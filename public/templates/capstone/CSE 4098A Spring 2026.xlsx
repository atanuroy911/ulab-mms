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4098A_Spring2026_Grade" sheetId="1" r:id="rId4"/>
    <sheet state="visible" name="CO_PO_Attainment_Analysis " sheetId="2" r:id="rId5"/>
    <sheet state="visible" name="ContinuousQualityImprovement" sheetId="3" r:id="rId6"/>
    <sheet state="visible" name="CO_Report Evaluation" sheetId="4" r:id="rId7"/>
    <sheet state="visible" name="CSE4098A_Spring2026_Report" sheetId="5" r:id="rId8"/>
    <sheet state="visible" name="CSE4098A_Spring2026_Presentatio" sheetId="6" r:id="rId9"/>
  </sheets>
  <definedNames>
    <definedName name="mygrades">#REF!</definedName>
    <definedName name="mygrade">#REF!</definedName>
    <definedName name="Grades">#REF!</definedName>
  </definedNames>
  <calcPr/>
  <extLst>
    <ext uri="GoogleSheetsCustomDataVersion2">
      <go:sheetsCustomData xmlns:go="http://customooxmlschemas.google.com/" r:id="rId10" roundtripDataChecksum="ujEQc/5fJvv8wV/8MZd9WRYKd9JKuxPHSa1R0uUAVAo="/>
    </ext>
  </extLst>
</workbook>
</file>

<file path=xl/sharedStrings.xml><?xml version="1.0" encoding="utf-8"?>
<sst xmlns="http://schemas.openxmlformats.org/spreadsheetml/2006/main" count="373" uniqueCount="223">
  <si>
    <t>Capstone Project Grade (CSE 4098A)</t>
  </si>
  <si>
    <t>Marks Distribution</t>
  </si>
  <si>
    <t>Spring 2026</t>
  </si>
  <si>
    <t>Sl</t>
  </si>
  <si>
    <t>Student ID</t>
  </si>
  <si>
    <t>Student Name</t>
  </si>
  <si>
    <t>Report
(40%)</t>
  </si>
  <si>
    <t>Presentation (45%)</t>
  </si>
  <si>
    <t>Peer 
(5%)</t>
  </si>
  <si>
    <t>Weekly Journal 
(10%)</t>
  </si>
  <si>
    <t>Total 
(100%)</t>
  </si>
  <si>
    <t>Grade</t>
  </si>
  <si>
    <t>Sup</t>
  </si>
  <si>
    <t>Title</t>
  </si>
  <si>
    <t>Bushra Nusyba Chowdhury</t>
  </si>
  <si>
    <t>MGK</t>
  </si>
  <si>
    <t>A Data-Driven Model for Predicting Students’ Intentions to Pursue Higher Studies Abroad</t>
  </si>
  <si>
    <t>Tasneem Ahmed</t>
  </si>
  <si>
    <t>Ibnul Haque Chowdhury</t>
  </si>
  <si>
    <t>Rafsan Islam</t>
  </si>
  <si>
    <t>Abir Akbar</t>
  </si>
  <si>
    <t>Tonmoy Talukder</t>
  </si>
  <si>
    <t>RaiK</t>
  </si>
  <si>
    <t>Measuring Narrative Divergence Across News Outlets: An Event-Aligned Computational Analysis of English Newspapers in Bangladesh</t>
  </si>
  <si>
    <t>Md. Aminul Islam Rupak</t>
  </si>
  <si>
    <t>Jannatul Tazree</t>
  </si>
  <si>
    <t>Tasin Bin Mortoza</t>
  </si>
  <si>
    <t>Mirza Mostafa Abrar</t>
  </si>
  <si>
    <t>BanglaLex-RAG: A Bilingual Hierarchical RAG System for Grounded Legal QA on Bangladesh Labour Law Using Fine-Tuned SLMs</t>
  </si>
  <si>
    <t>S M Rahnuma Apshara</t>
  </si>
  <si>
    <t>Israt Islam</t>
  </si>
  <si>
    <t>Shatabdee Chanda Shruti</t>
  </si>
  <si>
    <t>Piyas Sarkar</t>
  </si>
  <si>
    <t>RHF</t>
  </si>
  <si>
    <t>GhurbeSobai: An Intelligent Personalized Travel Recommendation and Destination Discovery System for Domestic Tourism in Bangladesh</t>
  </si>
  <si>
    <t>Md. Mahmuduzzaman Mollah Rabbee</t>
  </si>
  <si>
    <t>Md. Tasdiqur Rahman Khan</t>
  </si>
  <si>
    <t>Rafia Haque Arpita</t>
  </si>
  <si>
    <t>Mahmudul Islam Shajib</t>
  </si>
  <si>
    <t>Deep Learning-Based Rice Disease Detection and Pesticide Recommendation System</t>
  </si>
  <si>
    <t>Mst. Fahmida Jesmin</t>
  </si>
  <si>
    <t>Md. Eakramul Karim Tarik</t>
  </si>
  <si>
    <t>Md. Abir Hosen</t>
  </si>
  <si>
    <t>ASU</t>
  </si>
  <si>
    <t>Balancing Accuracy and Computational Efficiency in Waste Recognition Using a Dual-Backbone Lightweight Deep Learning Architecture</t>
  </si>
  <si>
    <t>Md. Rahat Hawlader</t>
  </si>
  <si>
    <t>Shahriar Alam Sazzad</t>
  </si>
  <si>
    <t>Zubaida Akter Prova</t>
  </si>
  <si>
    <t>Md. Shaidur Rahman</t>
  </si>
  <si>
    <t>NUA</t>
  </si>
  <si>
    <t>Behavior-Based Network Attack Detection System Using Machine Learning</t>
  </si>
  <si>
    <t>Sumia Sharmin Sinthia</t>
  </si>
  <si>
    <t>Maharun Nessa Akhi</t>
  </si>
  <si>
    <t>Md. Sakib Ishrak</t>
  </si>
  <si>
    <t>Md. Jahid Ahamed Jihad</t>
  </si>
  <si>
    <t>KidneyGenZ: A Lightweight Convolutional Neural Network for Multi-Stage Kidney Disease and Renal Cyst Malignancy Classification in CT Imaging</t>
  </si>
  <si>
    <t>Iftiker Jahid Moyshun</t>
  </si>
  <si>
    <t>Hasan Uddin Chowdhury</t>
  </si>
  <si>
    <t>Md. Arfan Alam</t>
  </si>
  <si>
    <t>Asif Ahmed</t>
  </si>
  <si>
    <t>Mozahedur Nur Nishanul Niloy</t>
  </si>
  <si>
    <t>WFU</t>
  </si>
  <si>
    <t>Lightweight Bangla Dialect Processing System: Converting Regional Speech to Standard Bangla and English Text with Audio Output</t>
  </si>
  <si>
    <t>Md. Nasimuzzaman Setu</t>
  </si>
  <si>
    <t>Mirazul Islam Turag</t>
  </si>
  <si>
    <t>Shahriar Al Shihab</t>
  </si>
  <si>
    <t>Md. Ayman Hasan</t>
  </si>
  <si>
    <t>Deepfake Image Detection Using Deep Learning Approach Under Compression and Low-Resolution Conditions for Social Media Environments</t>
  </si>
  <si>
    <t>Shovon Dip Karmaker</t>
  </si>
  <si>
    <t>Tahsin Aftab Khan</t>
  </si>
  <si>
    <t>Towhid Hossain Alvi</t>
  </si>
  <si>
    <t>Samina Akter</t>
  </si>
  <si>
    <t>Md. Shayan Alam</t>
  </si>
  <si>
    <t>NafM</t>
  </si>
  <si>
    <t>BloomAgent: An Agentic RAG Framework for Explainable Bloom’s Taxonomy Classification and Question Synthesis using LLM</t>
  </si>
  <si>
    <t>Mir Hussain Murtaza</t>
  </si>
  <si>
    <t>Morium Rahman</t>
  </si>
  <si>
    <t>Sabikun Nahar Zaria</t>
  </si>
  <si>
    <t>Sima Akter Tithe</t>
  </si>
  <si>
    <t>BlockExDSE:Blockchain-Driven Stock Exchange System Enhanced with Edge Computing: A Hybrid Architecture for Scalable, Low-Latency Real-Time Trading</t>
  </si>
  <si>
    <t>Muskan Gouri</t>
  </si>
  <si>
    <t>Minhaz Hossen</t>
  </si>
  <si>
    <t>Prisom Halder</t>
  </si>
  <si>
    <t>Fatima Wohabee</t>
  </si>
  <si>
    <t>AI-Based Income Tax Assistant for Bangladesh: A Survey-Driven Approach Using NBR Finance Act</t>
  </si>
  <si>
    <t>Tasnim Taher</t>
  </si>
  <si>
    <t>Israt Zahan Ifa</t>
  </si>
  <si>
    <t>Rakib Rahman</t>
  </si>
  <si>
    <t>Yasin Khandakar</t>
  </si>
  <si>
    <t>MAWA</t>
  </si>
  <si>
    <t>AI Powered Phishing Risk Analyzer using Multi-Modal Website Analysis</t>
  </si>
  <si>
    <t>Sanjida Siddique</t>
  </si>
  <si>
    <t>Shakila Rahman Sudha</t>
  </si>
  <si>
    <t>Rafsan Jani Siam</t>
  </si>
  <si>
    <t>Bahadur Zamn Shezan</t>
  </si>
  <si>
    <t>SJSQ</t>
  </si>
  <si>
    <t>Unmochon: A Bilingual Clause-Level Government Policies Search Engine for Bengali Archives</t>
  </si>
  <si>
    <t>Ratul Hasan Polok</t>
  </si>
  <si>
    <t>Tasfia Hasan Tushin</t>
  </si>
  <si>
    <t>Thamina Hossen</t>
  </si>
  <si>
    <t>Tanzila Tasnim Rahman</t>
  </si>
  <si>
    <t>MNMA</t>
  </si>
  <si>
    <t>An Explainable Context-Aware NLP Framework for Automated Detection and Resolution of Ambiguities in Software Requirements Specifications</t>
  </si>
  <si>
    <t>Sadia Sharmin</t>
  </si>
  <si>
    <t>Jannatun Farjana</t>
  </si>
  <si>
    <t>Sumaiya Afrin</t>
  </si>
  <si>
    <t>Tarif-E-Mustafa</t>
  </si>
  <si>
    <t>MdKH</t>
  </si>
  <si>
    <t>A Unified, Multimodal Deep Learning Framework for Threat Prediction Using Facial Expression and Lip Reading</t>
  </si>
  <si>
    <t>Saykot Biswas Shawon</t>
  </si>
  <si>
    <t>Abu Saleh Md Araf</t>
  </si>
  <si>
    <t>Sariful Islam Rana</t>
  </si>
  <si>
    <t>Farjana Akter Ema</t>
  </si>
  <si>
    <t>DWAMT</t>
  </si>
  <si>
    <t>An Intelligent Multimodal Deep Learning System for Automated Skin Lesion Detection and Classification</t>
  </si>
  <si>
    <t>Pronoy Pal</t>
  </si>
  <si>
    <t>Mohammad Talha</t>
  </si>
  <si>
    <t>Sumaiya Islam Rouja</t>
  </si>
  <si>
    <t>Sudipto Acharjee Dhrubo</t>
  </si>
  <si>
    <t>Md. Mahmudul Hasan Mohot</t>
  </si>
  <si>
    <t>Uncertainty-Aware Explainable AI for Real-Time AWD Irrigation Scheduling and Yield Optimization in Boro Rice: A Case Study in Rajshahi, Bangladesh</t>
  </si>
  <si>
    <t>Refa Rayhana</t>
  </si>
  <si>
    <t>Md. Emon Hossain</t>
  </si>
  <si>
    <t>Mohammad Asif Abrar Sayim</t>
  </si>
  <si>
    <t>Tahmina Akter Ritu</t>
  </si>
  <si>
    <t>FK</t>
  </si>
  <si>
    <t>Early-Stage PCOS Risk Assessment Using a Hybrid Explainable AI Framework Aligned with Rotterdam Criteria</t>
  </si>
  <si>
    <t>Jahra Amin Misty</t>
  </si>
  <si>
    <t>Humayara Kabir Upoma</t>
  </si>
  <si>
    <t>Maimuna Islam</t>
  </si>
  <si>
    <t>Grade Summary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</si>
  <si>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</si>
  <si>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</si>
  <si>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</si>
  <si>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</si>
  <si>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</si>
  <si>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</si>
  <si>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</si>
  <si>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</si>
  <si>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</si>
  <si>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</si>
  <si>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Total</t>
  </si>
  <si>
    <t>Muhammad Golam Kibria</t>
  </si>
  <si>
    <t>CSE 4098 A</t>
  </si>
  <si>
    <t>Mapping of COs to POs</t>
  </si>
  <si>
    <t>Assessment Items</t>
  </si>
  <si>
    <t>CO1</t>
  </si>
  <si>
    <t>CO2</t>
  </si>
  <si>
    <t>CO3</t>
  </si>
  <si>
    <t>CO4</t>
  </si>
  <si>
    <t>CO5</t>
  </si>
  <si>
    <t>CO6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</si>
  <si>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</si>
  <si>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</si>
  <si>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</si>
  <si>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</si>
  <si>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</si>
  <si>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</si>
  <si>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</si>
  <si>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</si>
  <si>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</si>
  <si>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</si>
  <si>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</si>
  <si>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</si>
  <si>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Report</t>
  </si>
  <si>
    <t>Peer</t>
  </si>
  <si>
    <t>Term Final Presentation</t>
  </si>
  <si>
    <t>CO Attainment Analysis CSE 4098A [Spring 2026]</t>
  </si>
  <si>
    <t>CO Attainment Analysis</t>
  </si>
  <si>
    <t>PO Attainment Analysis</t>
  </si>
  <si>
    <t>Presentation</t>
  </si>
  <si>
    <t>Project</t>
  </si>
  <si>
    <t>Total Marks</t>
  </si>
  <si>
    <t>Percentage</t>
  </si>
  <si>
    <t>CO Attainment</t>
  </si>
  <si>
    <t>PO Attainment</t>
  </si>
  <si>
    <t>S/N</t>
  </si>
  <si>
    <t>Name</t>
  </si>
  <si>
    <t>If CO achieved (≥55%) then 1, else 0</t>
  </si>
  <si>
    <t>If PO achieved (≥55%) then 1, else 0</t>
  </si>
  <si>
    <t>Class Average</t>
  </si>
  <si>
    <t>Continuous Quality Improvement (CQI) Form</t>
  </si>
  <si>
    <t>Course Code</t>
  </si>
  <si>
    <t>CSE 4098A</t>
  </si>
  <si>
    <t>Section</t>
  </si>
  <si>
    <t>Course Title</t>
  </si>
  <si>
    <t>Capstone Project</t>
  </si>
  <si>
    <t>Semester</t>
  </si>
  <si>
    <t>Credit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</si>
  <si>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</si>
  <si>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</si>
  <si>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</si>
  <si>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</si>
  <si>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</si>
  <si>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>Should be given more practices</t>
  </si>
  <si>
    <t>* attach additional sheet, if required</t>
  </si>
  <si>
    <t>Signature of the Instructor:</t>
  </si>
  <si>
    <t>Name of the Instructor:</t>
  </si>
  <si>
    <t>Date:</t>
  </si>
  <si>
    <t>Evaluator 1</t>
  </si>
  <si>
    <t>Evaluator 2</t>
  </si>
  <si>
    <t>Supervisor</t>
  </si>
  <si>
    <t xml:space="preserve">Final </t>
  </si>
  <si>
    <t>Capstone Project Report (CSE 4098A)</t>
  </si>
  <si>
    <t>Evaluator's Marks (Provided in Rubrics: 33)</t>
  </si>
  <si>
    <t>Supervisor (Provided in Rubrics: 33)</t>
  </si>
  <si>
    <t>Supervisor Marks (40%)</t>
  </si>
  <si>
    <t>SviA</t>
  </si>
  <si>
    <t>ASR</t>
  </si>
  <si>
    <t>JFR</t>
  </si>
  <si>
    <t>RWAIK</t>
  </si>
  <si>
    <t>TSZK</t>
  </si>
  <si>
    <t>FsAh</t>
  </si>
  <si>
    <t>DAMT</t>
  </si>
  <si>
    <t>ABY</t>
  </si>
  <si>
    <t>SBMM</t>
  </si>
  <si>
    <t>Evaluator's Marsk (40%)</t>
  </si>
  <si>
    <t>Total
(Supervisor: 60% + Evaluator: 40%)</t>
  </si>
  <si>
    <t>Capstone Project Presentation (CSE 4098A)</t>
  </si>
  <si>
    <t>Evaluator's Marks (Provided in Rubrics: 45)</t>
  </si>
  <si>
    <t>Supervisor (Provided in Rubrics: 45)</t>
  </si>
  <si>
    <t>Supervisor Marks (50%)</t>
  </si>
  <si>
    <t>Evaluator's Marsk (50%)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</si>
</sst>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31">
    <font>
      <sz val="10.0"/>
      <color rgb="FF000000"/>
      <name val="Arial"/>
      <scheme val="minor"/>
    </font>
    <font>
      <b/>
      <sz val="14.0"/>
      <color rgb="FF000000"/>
      <name val="Times New Roman"/>
    </font>
    <font/>
    <font>
      <b/>
      <sz val="12.0"/>
      <color rgb="FF000000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Arial"/>
    </font>
    <font>
      <sz val="10.0"/>
      <color theme="1"/>
      <name val="Times New Roman"/>
    </font>
    <font>
      <sz val="10.0"/>
      <color rgb="FF000000"/>
      <name val="'Times New Roman'"/>
    </font>
    <font>
      <sz val="9.0"/>
      <color rgb="FF000000"/>
      <name val="'Times New Roman'"/>
    </font>
    <font>
      <sz val="10.0"/>
      <color rgb="FF000000"/>
      <name val="Times New Roman"/>
    </font>
    <font>
      <sz val="10.0"/>
      <color theme="1"/>
      <name val="Arial"/>
    </font>
    <font>
      <sz val="10.0"/>
      <color rgb="FF000000"/>
      <name val="Calibri"/>
    </font>
    <font>
      <sz val="9.0"/>
      <color rgb="FF000000"/>
      <name val="Calibri"/>
    </font>
    <font>
      <sz val="10.0"/>
      <color rgb="FF000000"/>
      <name val="Serif"/>
    </font>
    <font>
      <sz val="8.0"/>
      <color rgb="FF000000"/>
      <name val="'Times New Roman'"/>
    </font>
    <font>
      <sz val="9.0"/>
      <color theme="1"/>
      <name val="Arimo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Times New Roman"/>
    </font>
    <font>
      <color theme="1"/>
      <name val="Arial"/>
    </font>
    <font>
      <sz val="12.0"/>
      <color theme="1"/>
      <name val="Times New Roman"/>
    </font>
    <font>
      <b/>
      <sz val="14.0"/>
      <color theme="1"/>
      <name val="Arial Narrow"/>
    </font>
    <font>
      <b/>
      <color theme="1"/>
      <name val="Arial Narrow"/>
    </font>
    <font>
      <sz val="11.0"/>
      <color theme="1"/>
      <name val="Arial Narrow"/>
    </font>
    <font>
      <b/>
      <u/>
      <color theme="1"/>
      <name val="Arial Narrow"/>
    </font>
    <font>
      <i/>
      <sz val="11.0"/>
      <color theme="1"/>
      <name val="Arial Narrow"/>
    </font>
    <font>
      <b/>
      <color theme="1"/>
      <name val="Arial"/>
    </font>
    <font>
      <color theme="1"/>
      <name val="Arial"/>
      <scheme val="minor"/>
    </font>
    <font>
      <sz val="10.0"/>
      <color rgb="FF1F1F1F"/>
      <name val="Times New Roman"/>
    </font>
    <font>
      <sz val="10.0"/>
      <color theme="1"/>
      <name val="Serif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E5DFEC"/>
        <bgColor rgb="FFE5DFE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8CCE4"/>
        <bgColor rgb="FFB8CCE4"/>
      </patternFill>
    </fill>
    <fill>
      <patternFill patternType="solid">
        <fgColor rgb="FFF3F3F3"/>
        <bgColor rgb="FFF3F3F3"/>
      </patternFill>
    </fill>
  </fills>
  <borders count="88">
    <border/>
    <border>
      <left style="thin">
        <color rgb="FF000000"/>
      </left>
      <top/>
      <bottom/>
    </border>
    <border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4" fontId="6" numFmtId="0" xfId="0" applyBorder="1" applyFill="1" applyFont="1"/>
    <xf borderId="5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5" fontId="10" numFmtId="0" xfId="0" applyAlignment="1" applyBorder="1" applyFill="1" applyFont="1">
      <alignment horizontal="center" vertical="center"/>
    </xf>
    <xf borderId="8" fillId="5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6" numFmtId="0" xfId="0" applyFont="1"/>
    <xf borderId="3" fillId="0" fontId="2" numFmtId="0" xfId="0" applyBorder="1" applyFont="1"/>
    <xf borderId="5" fillId="0" fontId="10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5" fillId="7" fontId="11" numFmtId="0" xfId="0" applyAlignment="1" applyBorder="1" applyFill="1" applyFont="1">
      <alignment horizontal="center" readingOrder="0" vertical="center"/>
    </xf>
    <xf borderId="5" fillId="7" fontId="7" numFmtId="0" xfId="0" applyAlignment="1" applyBorder="1" applyFont="1">
      <alignment horizontal="center" readingOrder="0" vertical="center"/>
    </xf>
    <xf borderId="5" fillId="7" fontId="6" numFmtId="0" xfId="0" applyAlignment="1" applyBorder="1" applyFont="1">
      <alignment horizontal="center" readingOrder="0" shrinkToFit="0" vertical="center" wrapText="1"/>
    </xf>
    <xf borderId="5" fillId="7" fontId="10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5" fillId="7" fontId="14" numFmtId="0" xfId="0" applyAlignment="1" applyBorder="1" applyFont="1">
      <alignment horizontal="center" readingOrder="0" shrinkToFit="0" vertical="center" wrapText="1"/>
    </xf>
    <xf borderId="5" fillId="7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9" fillId="0" fontId="5" numFmtId="0" xfId="0" applyAlignment="1" applyBorder="1" applyFont="1">
      <alignment horizontal="center" vertical="center"/>
    </xf>
    <xf borderId="10" fillId="0" fontId="2" numFmtId="0" xfId="0" applyBorder="1" applyFont="1"/>
    <xf borderId="5" fillId="0" fontId="10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center"/>
    </xf>
    <xf borderId="0" fillId="0" fontId="16" numFmtId="1" xfId="0" applyAlignment="1" applyFont="1" applyNumberFormat="1">
      <alignment vertical="bottom"/>
    </xf>
    <xf borderId="11" fillId="0" fontId="17" numFmtId="1" xfId="0" applyAlignment="1" applyBorder="1" applyFont="1" applyNumberFormat="1">
      <alignment horizontal="center" vertical="bottom"/>
    </xf>
    <xf borderId="12" fillId="0" fontId="2" numFmtId="0" xfId="0" applyBorder="1" applyFont="1"/>
    <xf borderId="13" fillId="0" fontId="2" numFmtId="0" xfId="0" applyBorder="1" applyFont="1"/>
    <xf borderId="14" fillId="0" fontId="17" numFmtId="1" xfId="0" applyAlignment="1" applyBorder="1" applyFont="1" applyNumberFormat="1">
      <alignment horizontal="center" vertical="bottom"/>
    </xf>
    <xf borderId="14" fillId="0" fontId="18" numFmtId="1" xfId="0" applyAlignment="1" applyBorder="1" applyFont="1" applyNumberFormat="1">
      <alignment horizontal="center"/>
    </xf>
    <xf borderId="15" fillId="0" fontId="18" numFmtId="1" xfId="0" applyAlignment="1" applyBorder="1" applyFont="1" applyNumberFormat="1">
      <alignment horizontal="center"/>
    </xf>
    <xf borderId="16" fillId="0" fontId="18" numFmtId="1" xfId="0" applyAlignment="1" applyBorder="1" applyFont="1" applyNumberFormat="1">
      <alignment horizontal="center"/>
    </xf>
    <xf borderId="17" fillId="0" fontId="16" numFmtId="1" xfId="0" applyBorder="1" applyFont="1" applyNumberFormat="1"/>
    <xf borderId="18" fillId="0" fontId="18" numFmtId="1" xfId="0" applyAlignment="1" applyBorder="1" applyFont="1" applyNumberFormat="1">
      <alignment horizontal="center"/>
    </xf>
    <xf borderId="19" fillId="0" fontId="18" numFmtId="1" xfId="0" applyAlignment="1" applyBorder="1" applyFont="1" applyNumberFormat="1">
      <alignment horizontal="center"/>
    </xf>
    <xf borderId="20" fillId="0" fontId="18" numFmtId="1" xfId="0" applyAlignment="1" applyBorder="1" applyFont="1" applyNumberFormat="1">
      <alignment horizontal="center"/>
    </xf>
    <xf borderId="21" fillId="0" fontId="18" numFmtId="1" xfId="0" applyAlignment="1" applyBorder="1" applyFont="1" applyNumberFormat="1">
      <alignment horizontal="center" vertical="bottom"/>
    </xf>
    <xf borderId="22" fillId="8" fontId="18" numFmtId="2" xfId="0" applyAlignment="1" applyBorder="1" applyFill="1" applyFont="1" applyNumberFormat="1">
      <alignment horizontal="center"/>
    </xf>
    <xf borderId="23" fillId="8" fontId="18" numFmtId="2" xfId="0" applyAlignment="1" applyBorder="1" applyFont="1" applyNumberFormat="1">
      <alignment horizontal="center"/>
    </xf>
    <xf borderId="24" fillId="8" fontId="16" numFmtId="2" xfId="0" applyBorder="1" applyFont="1" applyNumberFormat="1"/>
    <xf borderId="25" fillId="0" fontId="18" numFmtId="1" xfId="0" applyAlignment="1" applyBorder="1" applyFont="1" applyNumberFormat="1">
      <alignment horizontal="center"/>
    </xf>
    <xf borderId="22" fillId="8" fontId="18" numFmtId="1" xfId="0" applyAlignment="1" applyBorder="1" applyFont="1" applyNumberFormat="1">
      <alignment horizontal="center"/>
    </xf>
    <xf borderId="23" fillId="8" fontId="18" numFmtId="1" xfId="0" applyAlignment="1" applyBorder="1" applyFont="1" applyNumberFormat="1">
      <alignment horizontal="center"/>
    </xf>
    <xf borderId="24" fillId="8" fontId="18" numFmtId="1" xfId="0" applyAlignment="1" applyBorder="1" applyFont="1" applyNumberFormat="1">
      <alignment horizontal="center"/>
    </xf>
    <xf borderId="26" fillId="0" fontId="18" numFmtId="1" xfId="0" applyAlignment="1" applyBorder="1" applyFont="1" applyNumberFormat="1">
      <alignment horizontal="center" vertical="bottom"/>
    </xf>
    <xf borderId="26" fillId="8" fontId="18" numFmtId="2" xfId="0" applyAlignment="1" applyBorder="1" applyFont="1" applyNumberFormat="1">
      <alignment horizontal="center"/>
    </xf>
    <xf borderId="5" fillId="8" fontId="18" numFmtId="2" xfId="0" applyAlignment="1" applyBorder="1" applyFont="1" applyNumberFormat="1">
      <alignment horizontal="center"/>
    </xf>
    <xf borderId="27" fillId="8" fontId="16" numFmtId="2" xfId="0" applyBorder="1" applyFont="1" applyNumberFormat="1"/>
    <xf borderId="28" fillId="0" fontId="18" numFmtId="1" xfId="0" applyAlignment="1" applyBorder="1" applyFont="1" applyNumberFormat="1">
      <alignment horizontal="center"/>
    </xf>
    <xf borderId="26" fillId="8" fontId="18" numFmtId="1" xfId="0" applyAlignment="1" applyBorder="1" applyFont="1" applyNumberFormat="1">
      <alignment horizontal="center"/>
    </xf>
    <xf borderId="5" fillId="8" fontId="18" numFmtId="1" xfId="0" applyAlignment="1" applyBorder="1" applyFont="1" applyNumberFormat="1">
      <alignment horizontal="center"/>
    </xf>
    <xf borderId="27" fillId="8" fontId="18" numFmtId="1" xfId="0" applyAlignment="1" applyBorder="1" applyFont="1" applyNumberFormat="1">
      <alignment horizontal="center"/>
    </xf>
    <xf borderId="29" fillId="0" fontId="18" numFmtId="1" xfId="0" applyAlignment="1" applyBorder="1" applyFont="1" applyNumberFormat="1">
      <alignment horizontal="center" vertical="bottom"/>
    </xf>
    <xf borderId="30" fillId="8" fontId="16" numFmtId="2" xfId="0" applyBorder="1" applyFont="1" applyNumberFormat="1"/>
    <xf borderId="4" fillId="8" fontId="16" numFmtId="2" xfId="0" applyBorder="1" applyFont="1" applyNumberFormat="1"/>
    <xf borderId="31" fillId="8" fontId="16" numFmtId="2" xfId="0" applyBorder="1" applyFont="1" applyNumberFormat="1"/>
    <xf borderId="14" fillId="0" fontId="18" numFmtId="2" xfId="0" applyAlignment="1" applyBorder="1" applyFont="1" applyNumberFormat="1">
      <alignment horizontal="center"/>
    </xf>
    <xf borderId="32" fillId="0" fontId="18" numFmtId="2" xfId="0" applyAlignment="1" applyBorder="1" applyFont="1" applyNumberFormat="1">
      <alignment horizontal="center"/>
    </xf>
    <xf borderId="33" fillId="0" fontId="18" numFmtId="2" xfId="0" applyAlignment="1" applyBorder="1" applyFont="1" applyNumberFormat="1">
      <alignment horizontal="center"/>
    </xf>
    <xf borderId="34" fillId="0" fontId="18" numFmtId="1" xfId="0" applyAlignment="1" applyBorder="1" applyFont="1" applyNumberFormat="1">
      <alignment horizontal="center"/>
    </xf>
    <xf borderId="35" fillId="0" fontId="18" numFmtId="1" xfId="0" applyAlignment="1" applyBorder="1" applyFont="1" applyNumberFormat="1">
      <alignment horizontal="center"/>
    </xf>
    <xf borderId="36" fillId="8" fontId="18" numFmtId="1" xfId="0" applyAlignment="1" applyBorder="1" applyFont="1" applyNumberFormat="1">
      <alignment horizontal="center"/>
    </xf>
    <xf borderId="37" fillId="8" fontId="18" numFmtId="1" xfId="0" applyAlignment="1" applyBorder="1" applyFont="1" applyNumberFormat="1">
      <alignment horizontal="center"/>
    </xf>
    <xf borderId="38" fillId="8" fontId="18" numFmtId="1" xfId="0" applyAlignment="1" applyBorder="1" applyFont="1" applyNumberFormat="1">
      <alignment horizontal="center"/>
    </xf>
    <xf borderId="17" fillId="0" fontId="18" numFmtId="1" xfId="0" applyAlignment="1" applyBorder="1" applyFont="1" applyNumberFormat="1">
      <alignment horizontal="center"/>
    </xf>
    <xf borderId="39" fillId="0" fontId="18" numFmtId="1" xfId="0" applyAlignment="1" applyBorder="1" applyFont="1" applyNumberFormat="1">
      <alignment horizontal="center"/>
    </xf>
    <xf borderId="40" fillId="0" fontId="18" numFmtId="1" xfId="0" applyAlignment="1" applyBorder="1" applyFont="1" applyNumberFormat="1">
      <alignment horizontal="center"/>
    </xf>
    <xf borderId="41" fillId="0" fontId="18" numFmtId="1" xfId="0" applyAlignment="1" applyBorder="1" applyFont="1" applyNumberFormat="1">
      <alignment horizontal="center"/>
    </xf>
    <xf borderId="11" fillId="0" fontId="17" numFmtId="1" xfId="0" applyAlignment="1" applyBorder="1" applyFont="1" applyNumberFormat="1">
      <alignment horizontal="center" readingOrder="0" shrinkToFit="0" vertical="center" wrapText="1"/>
    </xf>
    <xf borderId="42" fillId="0" fontId="16" numFmtId="1" xfId="0" applyAlignment="1" applyBorder="1" applyFont="1" applyNumberFormat="1">
      <alignment vertical="bottom"/>
    </xf>
    <xf borderId="33" fillId="0" fontId="16" numFmtId="1" xfId="0" applyAlignment="1" applyBorder="1" applyFont="1" applyNumberFormat="1">
      <alignment vertical="bottom"/>
    </xf>
    <xf borderId="43" fillId="9" fontId="17" numFmtId="1" xfId="0" applyAlignment="1" applyBorder="1" applyFill="1" applyFont="1" applyNumberFormat="1">
      <alignment horizontal="center" vertical="bottom"/>
    </xf>
    <xf borderId="42" fillId="0" fontId="2" numFmtId="0" xfId="0" applyBorder="1" applyFont="1"/>
    <xf borderId="33" fillId="0" fontId="2" numFmtId="0" xfId="0" applyBorder="1" applyFont="1"/>
    <xf borderId="43" fillId="10" fontId="17" numFmtId="1" xfId="0" applyAlignment="1" applyBorder="1" applyFill="1" applyFont="1" applyNumberFormat="1">
      <alignment horizontal="center" vertical="bottom"/>
    </xf>
    <xf borderId="44" fillId="0" fontId="2" numFmtId="0" xfId="0" applyBorder="1" applyFont="1"/>
    <xf borderId="45" fillId="0" fontId="2" numFmtId="0" xfId="0" applyBorder="1" applyFont="1"/>
    <xf borderId="46" fillId="0" fontId="17" numFmtId="1" xfId="0" applyAlignment="1" applyBorder="1" applyFont="1" applyNumberFormat="1">
      <alignment horizontal="center" vertical="bottom"/>
    </xf>
    <xf borderId="46" fillId="0" fontId="2" numFmtId="0" xfId="0" applyBorder="1" applyFont="1"/>
    <xf borderId="47" fillId="0" fontId="2" numFmtId="0" xfId="0" applyBorder="1" applyFont="1"/>
    <xf borderId="48" fillId="0" fontId="17" numFmtId="1" xfId="0" applyAlignment="1" applyBorder="1" applyFont="1" applyNumberFormat="1">
      <alignment horizontal="center" vertical="bottom"/>
    </xf>
    <xf borderId="11" fillId="0" fontId="19" numFmtId="1" xfId="0" applyAlignment="1" applyBorder="1" applyFont="1" applyNumberFormat="1">
      <alignment horizontal="center" vertical="bottom"/>
    </xf>
    <xf borderId="43" fillId="0" fontId="17" numFmtId="1" xfId="0" applyAlignment="1" applyBorder="1" applyFont="1" applyNumberFormat="1">
      <alignment horizontal="center" vertical="bottom"/>
    </xf>
    <xf borderId="49" fillId="0" fontId="18" numFmtId="1" xfId="0" applyAlignment="1" applyBorder="1" applyFont="1" applyNumberFormat="1">
      <alignment horizontal="center"/>
    </xf>
    <xf borderId="50" fillId="0" fontId="18" numFmtId="1" xfId="0" applyAlignment="1" applyBorder="1" applyFont="1" applyNumberFormat="1">
      <alignment horizontal="center"/>
    </xf>
    <xf borderId="51" fillId="0" fontId="18" numFmtId="1" xfId="0" applyAlignment="1" applyBorder="1" applyFont="1" applyNumberFormat="1">
      <alignment horizontal="center"/>
    </xf>
    <xf borderId="52" fillId="0" fontId="18" numFmtId="1" xfId="0" applyAlignment="1" applyBorder="1" applyFont="1" applyNumberFormat="1">
      <alignment horizontal="center"/>
    </xf>
    <xf borderId="53" fillId="0" fontId="18" numFmtId="1" xfId="0" applyAlignment="1" applyBorder="1" applyFont="1" applyNumberFormat="1">
      <alignment horizontal="center"/>
    </xf>
    <xf borderId="54" fillId="0" fontId="18" numFmtId="1" xfId="0" applyAlignment="1" applyBorder="1" applyFont="1" applyNumberFormat="1">
      <alignment horizontal="center"/>
    </xf>
    <xf borderId="3" fillId="0" fontId="18" numFmtId="1" xfId="0" applyAlignment="1" applyBorder="1" applyFont="1" applyNumberFormat="1">
      <alignment horizontal="center"/>
    </xf>
    <xf borderId="55" fillId="0" fontId="18" numFmtId="1" xfId="0" applyAlignment="1" applyBorder="1" applyFont="1" applyNumberFormat="1">
      <alignment horizontal="center"/>
    </xf>
    <xf borderId="39" fillId="0" fontId="18" numFmtId="1" xfId="0" applyAlignment="1" applyBorder="1" applyFont="1" applyNumberFormat="1">
      <alignment horizontal="center" vertical="bottom"/>
    </xf>
    <xf borderId="56" fillId="0" fontId="18" numFmtId="1" xfId="0" applyAlignment="1" applyBorder="1" applyFont="1" applyNumberFormat="1">
      <alignment horizontal="center" vertical="bottom"/>
    </xf>
    <xf borderId="47" fillId="0" fontId="18" numFmtId="1" xfId="0" applyAlignment="1" applyBorder="1" applyFont="1" applyNumberFormat="1">
      <alignment horizontal="center" vertical="bottom"/>
    </xf>
    <xf borderId="57" fillId="0" fontId="18" numFmtId="1" xfId="0" applyAlignment="1" applyBorder="1" applyFont="1" applyNumberFormat="1">
      <alignment horizontal="center"/>
    </xf>
    <xf borderId="0" fillId="0" fontId="16" numFmtId="1" xfId="0" applyFont="1" applyNumberFormat="1"/>
    <xf borderId="14" fillId="0" fontId="17" numFmtId="1" xfId="0" applyAlignment="1" applyBorder="1" applyFont="1" applyNumberFormat="1">
      <alignment horizontal="center" shrinkToFit="0" wrapText="1"/>
    </xf>
    <xf borderId="15" fillId="0" fontId="17" numFmtId="1" xfId="0" applyAlignment="1" applyBorder="1" applyFont="1" applyNumberFormat="1">
      <alignment horizontal="center"/>
    </xf>
    <xf borderId="16" fillId="0" fontId="17" numFmtId="1" xfId="0" applyBorder="1" applyFont="1" applyNumberFormat="1"/>
    <xf borderId="58" fillId="11" fontId="18" numFmtId="1" xfId="0" applyAlignment="1" applyBorder="1" applyFill="1" applyFont="1" applyNumberFormat="1">
      <alignment horizontal="center"/>
    </xf>
    <xf borderId="15" fillId="11" fontId="18" numFmtId="1" xfId="0" applyAlignment="1" applyBorder="1" applyFont="1" applyNumberFormat="1">
      <alignment horizontal="center"/>
    </xf>
    <xf borderId="15" fillId="11" fontId="16" numFmtId="1" xfId="0" applyBorder="1" applyFont="1" applyNumberFormat="1"/>
    <xf borderId="16" fillId="11" fontId="16" numFmtId="1" xfId="0" applyBorder="1" applyFont="1" applyNumberFormat="1"/>
    <xf borderId="59" fillId="11" fontId="16" numFmtId="1" xfId="0" applyAlignment="1" applyBorder="1" applyFont="1" applyNumberFormat="1">
      <alignment vertical="bottom"/>
    </xf>
    <xf borderId="14" fillId="11" fontId="18" numFmtId="1" xfId="0" applyAlignment="1" applyBorder="1" applyFont="1" applyNumberFormat="1">
      <alignment horizontal="center"/>
    </xf>
    <xf borderId="14" fillId="11" fontId="18" numFmtId="9" xfId="0" applyAlignment="1" applyBorder="1" applyFont="1" applyNumberFormat="1">
      <alignment horizontal="center"/>
    </xf>
    <xf borderId="15" fillId="11" fontId="18" numFmtId="9" xfId="0" applyAlignment="1" applyBorder="1" applyFont="1" applyNumberFormat="1">
      <alignment horizontal="center"/>
    </xf>
    <xf borderId="16" fillId="11" fontId="18" numFmtId="9" xfId="0" applyAlignment="1" applyBorder="1" applyFont="1" applyNumberFormat="1">
      <alignment horizontal="center"/>
    </xf>
    <xf borderId="60" fillId="11" fontId="18" numFmtId="9" xfId="0" applyAlignment="1" applyBorder="1" applyFont="1" applyNumberFormat="1">
      <alignment horizontal="center"/>
    </xf>
    <xf borderId="61" fillId="11" fontId="18" numFmtId="1" xfId="0" applyAlignment="1" applyBorder="1" applyFont="1" applyNumberFormat="1">
      <alignment horizontal="center"/>
    </xf>
    <xf borderId="62" fillId="11" fontId="18" numFmtId="9" xfId="0" applyAlignment="1" applyBorder="1" applyFont="1" applyNumberFormat="1">
      <alignment horizontal="center"/>
    </xf>
    <xf borderId="63" fillId="11" fontId="18" numFmtId="9" xfId="0" applyAlignment="1" applyBorder="1" applyFont="1" applyNumberFormat="1">
      <alignment horizontal="center"/>
    </xf>
    <xf borderId="64" fillId="11" fontId="18" numFmtId="9" xfId="0" applyAlignment="1" applyBorder="1" applyFont="1" applyNumberFormat="1">
      <alignment horizontal="center"/>
    </xf>
    <xf borderId="65" fillId="11" fontId="18" numFmtId="1" xfId="0" applyAlignment="1" applyBorder="1" applyFont="1" applyNumberFormat="1">
      <alignment horizontal="center"/>
    </xf>
    <xf borderId="66" fillId="0" fontId="2" numFmtId="0" xfId="0" applyBorder="1" applyFont="1"/>
    <xf borderId="67" fillId="0" fontId="2" numFmtId="0" xfId="0" applyBorder="1" applyFont="1"/>
    <xf borderId="68" fillId="0" fontId="18" numFmtId="1" xfId="0" applyAlignment="1" applyBorder="1" applyFont="1" applyNumberFormat="1">
      <alignment horizontal="center" vertical="bottom"/>
    </xf>
    <xf borderId="5" fillId="0" fontId="20" numFmtId="1" xfId="0" applyAlignment="1" applyBorder="1" applyFont="1" applyNumberFormat="1">
      <alignment horizontal="center" vertical="bottom"/>
    </xf>
    <xf borderId="69" fillId="8" fontId="18" numFmtId="2" xfId="0" applyAlignment="1" applyBorder="1" applyFont="1" applyNumberFormat="1">
      <alignment horizontal="center"/>
    </xf>
    <xf borderId="70" fillId="8" fontId="16" numFmtId="2" xfId="0" applyBorder="1" applyFont="1" applyNumberFormat="1"/>
    <xf borderId="71" fillId="8" fontId="16" numFmtId="2" xfId="0" applyBorder="1" applyFont="1" applyNumberFormat="1"/>
    <xf borderId="70" fillId="8" fontId="18" numFmtId="2" xfId="0" applyAlignment="1" applyBorder="1" applyFont="1" applyNumberFormat="1">
      <alignment horizontal="center"/>
    </xf>
    <xf borderId="72" fillId="8" fontId="16" numFmtId="2" xfId="0" applyAlignment="1" applyBorder="1" applyFont="1" applyNumberFormat="1">
      <alignment vertical="bottom"/>
    </xf>
    <xf borderId="69" fillId="8" fontId="16" numFmtId="2" xfId="0" applyAlignment="1" applyBorder="1" applyFont="1" applyNumberFormat="1">
      <alignment vertical="bottom"/>
    </xf>
    <xf borderId="73" fillId="8" fontId="16" numFmtId="2" xfId="0" applyAlignment="1" applyBorder="1" applyFont="1" applyNumberFormat="1">
      <alignment vertical="bottom"/>
    </xf>
    <xf borderId="74" fillId="0" fontId="18" numFmtId="2" xfId="0" applyAlignment="1" applyBorder="1" applyFont="1" applyNumberFormat="1">
      <alignment horizontal="center"/>
    </xf>
    <xf borderId="75" fillId="0" fontId="18" numFmtId="2" xfId="0" applyAlignment="1" applyBorder="1" applyFont="1" applyNumberFormat="1">
      <alignment horizontal="center"/>
    </xf>
    <xf borderId="24" fillId="0" fontId="18" numFmtId="9" xfId="0" applyAlignment="1" applyBorder="1" applyFont="1" applyNumberFormat="1">
      <alignment horizontal="center"/>
    </xf>
    <xf borderId="22" fillId="0" fontId="18" numFmtId="1" xfId="0" applyAlignment="1" applyBorder="1" applyFont="1" applyNumberFormat="1">
      <alignment horizontal="center"/>
    </xf>
    <xf borderId="26" fillId="0" fontId="18" numFmtId="9" xfId="0" applyAlignment="1" applyBorder="1" applyFont="1" applyNumberFormat="1">
      <alignment horizontal="center"/>
    </xf>
    <xf borderId="70" fillId="8" fontId="18" numFmtId="0" xfId="0" applyAlignment="1" applyBorder="1" applyFont="1">
      <alignment horizontal="center" readingOrder="0"/>
    </xf>
    <xf borderId="76" fillId="11" fontId="17" numFmtId="1" xfId="0" applyAlignment="1" applyBorder="1" applyFont="1" applyNumberFormat="1">
      <alignment horizontal="center"/>
    </xf>
    <xf borderId="43" fillId="11" fontId="17" numFmtId="1" xfId="0" applyAlignment="1" applyBorder="1" applyFont="1" applyNumberFormat="1">
      <alignment horizontal="center"/>
    </xf>
    <xf borderId="14" fillId="11" fontId="18" numFmtId="2" xfId="0" applyAlignment="1" applyBorder="1" applyFont="1" applyNumberFormat="1">
      <alignment horizontal="center"/>
    </xf>
    <xf borderId="15" fillId="11" fontId="18" numFmtId="2" xfId="0" applyAlignment="1" applyBorder="1" applyFont="1" applyNumberFormat="1">
      <alignment horizontal="center"/>
    </xf>
    <xf borderId="16" fillId="11" fontId="18" numFmtId="1" xfId="0" applyAlignment="1" applyBorder="1" applyFont="1" applyNumberFormat="1">
      <alignment horizontal="center"/>
    </xf>
    <xf borderId="0" fillId="0" fontId="21" numFmtId="1" xfId="0" applyAlignment="1" applyFont="1" applyNumberFormat="1">
      <alignment vertical="bottom"/>
    </xf>
    <xf borderId="0" fillId="0" fontId="16" numFmtId="9" xfId="0" applyAlignment="1" applyFont="1" applyNumberFormat="1">
      <alignment vertical="bottom"/>
    </xf>
    <xf borderId="43" fillId="0" fontId="22" numFmtId="1" xfId="0" applyAlignment="1" applyBorder="1" applyFont="1" applyNumberFormat="1">
      <alignment horizontal="center"/>
    </xf>
    <xf borderId="22" fillId="12" fontId="23" numFmtId="1" xfId="0" applyAlignment="1" applyBorder="1" applyFill="1" applyFont="1" applyNumberFormat="1">
      <alignment horizontal="center"/>
    </xf>
    <xf borderId="23" fillId="12" fontId="23" numFmtId="1" xfId="0" applyAlignment="1" applyBorder="1" applyFont="1" applyNumberFormat="1">
      <alignment horizontal="center"/>
    </xf>
    <xf borderId="24" fillId="12" fontId="23" numFmtId="1" xfId="0" applyAlignment="1" applyBorder="1" applyFont="1" applyNumberFormat="1">
      <alignment horizontal="center"/>
    </xf>
    <xf borderId="5" fillId="12" fontId="23" numFmtId="1" xfId="0" applyAlignment="1" applyBorder="1" applyFont="1" applyNumberFormat="1">
      <alignment horizontal="center" shrinkToFit="0" wrapText="1"/>
    </xf>
    <xf borderId="77" fillId="12" fontId="23" numFmtId="1" xfId="0" applyAlignment="1" applyBorder="1" applyFont="1" applyNumberFormat="1">
      <alignment horizontal="center" readingOrder="0" shrinkToFit="0" wrapText="1"/>
    </xf>
    <xf borderId="37" fillId="12" fontId="23" numFmtId="164" xfId="0" applyAlignment="1" applyBorder="1" applyFont="1" applyNumberFormat="1">
      <alignment horizontal="center"/>
    </xf>
    <xf borderId="37" fillId="12" fontId="23" numFmtId="1" xfId="0" applyAlignment="1" applyBorder="1" applyFont="1" applyNumberFormat="1">
      <alignment horizontal="center"/>
    </xf>
    <xf borderId="38" fillId="12" fontId="23" numFmtId="1" xfId="0" applyAlignment="1" applyBorder="1" applyFont="1" applyNumberFormat="1">
      <alignment horizontal="center"/>
    </xf>
    <xf borderId="43" fillId="0" fontId="23" numFmtId="1" xfId="0" applyAlignment="1" applyBorder="1" applyFont="1" applyNumberFormat="1">
      <alignment horizontal="center"/>
    </xf>
    <xf borderId="32" fillId="0" fontId="2" numFmtId="0" xfId="0" applyBorder="1" applyFont="1"/>
    <xf borderId="19" fillId="0" fontId="23" numFmtId="1" xfId="0" applyAlignment="1" applyBorder="1" applyFont="1" applyNumberFormat="1">
      <alignment horizontal="center"/>
    </xf>
    <xf borderId="16" fillId="0" fontId="23" numFmtId="1" xfId="0" applyAlignment="1" applyBorder="1" applyFont="1" applyNumberFormat="1">
      <alignment horizontal="center"/>
    </xf>
    <xf borderId="25" fillId="0" fontId="23" numFmtId="1" xfId="0" applyAlignment="1" applyBorder="1" applyFont="1" applyNumberFormat="1">
      <alignment horizontal="center"/>
    </xf>
    <xf borderId="78" fillId="0" fontId="2" numFmtId="0" xfId="0" applyBorder="1" applyFont="1"/>
    <xf borderId="79" fillId="0" fontId="24" numFmtId="9" xfId="0" applyAlignment="1" applyBorder="1" applyFont="1" applyNumberFormat="1">
      <alignment horizontal="center" shrinkToFit="0" wrapText="1"/>
    </xf>
    <xf borderId="80" fillId="0" fontId="23" numFmtId="9" xfId="0" applyAlignment="1" applyBorder="1" applyFont="1" applyNumberFormat="1">
      <alignment horizontal="center"/>
    </xf>
    <xf borderId="81" fillId="0" fontId="2" numFmtId="0" xfId="0" applyBorder="1" applyFont="1"/>
    <xf borderId="82" fillId="0" fontId="2" numFmtId="0" xfId="0" applyBorder="1" applyFont="1"/>
    <xf borderId="83" fillId="0" fontId="25" numFmtId="1" xfId="0" applyAlignment="1" applyBorder="1" applyFont="1" applyNumberFormat="1">
      <alignment shrinkToFit="0" vertical="bottom" wrapText="1"/>
    </xf>
    <xf borderId="83" fillId="0" fontId="2" numFmtId="0" xfId="0" applyBorder="1" applyFont="1"/>
    <xf borderId="9" fillId="5" fontId="17" numFmtId="1" xfId="0" applyAlignment="1" applyBorder="1" applyFont="1" applyNumberFormat="1">
      <alignment horizontal="center"/>
    </xf>
    <xf borderId="84" fillId="0" fontId="2" numFmtId="0" xfId="0" applyBorder="1" applyFont="1"/>
    <xf borderId="9" fillId="5" fontId="16" numFmtId="1" xfId="0" applyAlignment="1" applyBorder="1" applyFont="1" applyNumberFormat="1">
      <alignment vertical="bottom"/>
    </xf>
    <xf borderId="7" fillId="13" fontId="16" numFmtId="1" xfId="0" applyAlignment="1" applyBorder="1" applyFill="1" applyFont="1" applyNumberFormat="1">
      <alignment vertical="bottom"/>
    </xf>
    <xf borderId="85" fillId="5" fontId="16" numFmtId="1" xfId="0" applyAlignment="1" applyBorder="1" applyFont="1" applyNumberFormat="1">
      <alignment vertical="bottom"/>
    </xf>
    <xf borderId="6" fillId="5" fontId="16" numFmtId="1" xfId="0" applyAlignment="1" applyBorder="1" applyFont="1" applyNumberFormat="1">
      <alignment vertical="bottom"/>
    </xf>
    <xf borderId="8" fillId="5" fontId="16" numFmtId="1" xfId="0" applyAlignment="1" applyBorder="1" applyFont="1" applyNumberFormat="1">
      <alignment vertical="bottom"/>
    </xf>
    <xf borderId="9" fillId="5" fontId="16" numFmtId="1" xfId="0" applyBorder="1" applyFont="1" applyNumberFormat="1"/>
    <xf borderId="0" fillId="0" fontId="26" numFmtId="1" xfId="0" applyAlignment="1" applyFont="1" applyNumberFormat="1">
      <alignment horizontal="right" vertical="bottom"/>
    </xf>
    <xf borderId="0" fillId="0" fontId="23" numFmtId="1" xfId="0" applyAlignment="1" applyFont="1" applyNumberFormat="1">
      <alignment horizontal="right" vertical="bottom"/>
    </xf>
    <xf borderId="83" fillId="0" fontId="16" numFmtId="1" xfId="0" applyAlignment="1" applyBorder="1" applyFont="1" applyNumberFormat="1">
      <alignment vertical="bottom"/>
    </xf>
    <xf borderId="0" fillId="0" fontId="23" numFmtId="1" xfId="0" applyAlignment="1" applyFont="1" applyNumberFormat="1">
      <alignment horizontal="center"/>
    </xf>
    <xf borderId="0" fillId="0" fontId="16" numFmtId="165" xfId="0" applyFont="1" applyNumberFormat="1"/>
    <xf borderId="0" fillId="14" fontId="27" numFmtId="0" xfId="0" applyAlignment="1" applyFill="1" applyFont="1">
      <alignment horizontal="center"/>
    </xf>
    <xf borderId="0" fillId="15" fontId="27" numFmtId="0" xfId="0" applyAlignment="1" applyFill="1" applyFont="1">
      <alignment horizontal="center"/>
    </xf>
    <xf borderId="0" fillId="16" fontId="20" numFmtId="0" xfId="0" applyFill="1" applyFont="1"/>
    <xf borderId="0" fillId="15" fontId="20" numFmtId="0" xfId="0" applyFont="1"/>
    <xf borderId="0" fillId="17" fontId="20" numFmtId="0" xfId="0" applyAlignment="1" applyFill="1" applyFont="1">
      <alignment horizontal="center"/>
    </xf>
    <xf borderId="0" fillId="0" fontId="27" numFmtId="0" xfId="0" applyFont="1"/>
    <xf borderId="0" fillId="0" fontId="20" numFmtId="0" xfId="0" applyAlignment="1" applyFont="1">
      <alignment horizontal="center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8" numFmtId="0" xfId="0" applyAlignment="1" applyFont="1">
      <alignment readingOrder="0"/>
    </xf>
    <xf borderId="3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right" shrinkToFit="0" vertical="center" wrapText="1"/>
    </xf>
    <xf borderId="5" fillId="0" fontId="5" numFmtId="0" xfId="0" applyAlignment="1" applyBorder="1" applyFont="1">
      <alignment horizontal="left" readingOrder="0" vertical="center"/>
    </xf>
    <xf borderId="9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5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vertical="center"/>
    </xf>
    <xf borderId="5" fillId="8" fontId="10" numFmtId="0" xfId="0" applyAlignment="1" applyBorder="1" applyFont="1">
      <alignment horizontal="center" vertical="center"/>
    </xf>
    <xf borderId="5" fillId="15" fontId="7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vertical="center"/>
    </xf>
    <xf borderId="5" fillId="18" fontId="4" numFmtId="0" xfId="0" applyAlignment="1" applyBorder="1" applyFill="1" applyFont="1">
      <alignment horizontal="center" vertical="center"/>
    </xf>
    <xf borderId="5" fillId="15" fontId="7" numFmtId="0" xfId="0" applyAlignment="1" applyBorder="1" applyFont="1">
      <alignment horizontal="center" vertical="center"/>
    </xf>
    <xf borderId="5" fillId="19" fontId="11" numFmtId="0" xfId="0" applyAlignment="1" applyBorder="1" applyFill="1" applyFont="1">
      <alignment horizontal="center" readingOrder="0" vertical="center"/>
    </xf>
    <xf borderId="5" fillId="15" fontId="11" numFmtId="0" xfId="0" applyAlignment="1" applyBorder="1" applyFont="1">
      <alignment horizontal="center" readingOrder="0" vertical="center"/>
    </xf>
    <xf borderId="5" fillId="19" fontId="7" numFmtId="0" xfId="0" applyAlignment="1" applyBorder="1" applyFont="1">
      <alignment horizontal="center" vertical="center"/>
    </xf>
    <xf borderId="50" fillId="0" fontId="7" numFmtId="0" xfId="0" applyAlignment="1" applyBorder="1" applyFont="1">
      <alignment horizontal="center" vertical="center"/>
    </xf>
    <xf borderId="50" fillId="0" fontId="7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5" fillId="7" fontId="30" numFmtId="0" xfId="0" applyAlignment="1" applyBorder="1" applyFont="1">
      <alignment horizontal="center" readingOrder="0" vertical="center"/>
    </xf>
    <xf borderId="5" fillId="7" fontId="6" numFmtId="0" xfId="0" applyAlignment="1" applyBorder="1" applyFont="1">
      <alignment horizontal="center" readingOrder="0" vertical="center"/>
    </xf>
    <xf borderId="17" fillId="0" fontId="10" numFmtId="0" xfId="0" applyAlignment="1" applyBorder="1" applyFont="1">
      <alignment horizontal="center" readingOrder="0" shrinkToFit="0" vertical="center" wrapText="1"/>
    </xf>
    <xf borderId="86" fillId="0" fontId="10" numFmtId="0" xfId="0" applyAlignment="1" applyBorder="1" applyFont="1">
      <alignment horizontal="center" readingOrder="0" shrinkToFit="0" vertical="center" wrapText="1"/>
    </xf>
    <xf borderId="50" fillId="0" fontId="6" numFmtId="0" xfId="0" applyAlignment="1" applyBorder="1" applyFont="1">
      <alignment horizontal="center" vertical="center"/>
    </xf>
    <xf borderId="50" fillId="0" fontId="6" numFmtId="0" xfId="0" applyAlignment="1" applyBorder="1" applyFont="1">
      <alignment horizontal="center" readingOrder="0" vertical="center"/>
    </xf>
    <xf borderId="5" fillId="7" fontId="1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horizontal="left" readingOrder="0" vertical="center"/>
    </xf>
    <xf borderId="9" fillId="3" fontId="5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vertical="center"/>
    </xf>
    <xf borderId="4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center" shrinkToFit="0" vertical="center" wrapText="1"/>
    </xf>
    <xf borderId="5" fillId="18" fontId="5" numFmtId="0" xfId="0" applyAlignment="1" applyBorder="1" applyFont="1">
      <alignment horizontal="center" vertical="center"/>
    </xf>
    <xf borderId="6" fillId="7" fontId="10" numFmtId="0" xfId="0" applyAlignment="1" applyBorder="1" applyFont="1">
      <alignment horizontal="center" vertical="center"/>
    </xf>
    <xf borderId="6" fillId="7" fontId="10" numFmtId="0" xfId="0" applyAlignment="1" applyBorder="1" applyFont="1">
      <alignment horizontal="center" readingOrder="0" vertical="center"/>
    </xf>
    <xf borderId="5" fillId="7" fontId="10" numFmtId="0" xfId="0" applyAlignment="1" applyBorder="1" applyFont="1">
      <alignment horizontal="center" vertical="center"/>
    </xf>
    <xf borderId="50" fillId="0" fontId="10" numFmtId="0" xfId="0" applyAlignment="1" applyBorder="1" applyFont="1">
      <alignment horizontal="center" vertical="center"/>
    </xf>
    <xf borderId="49" fillId="0" fontId="10" numFmtId="0" xfId="0" applyAlignment="1" applyBorder="1" applyFont="1">
      <alignment horizontal="center" vertical="center"/>
    </xf>
    <xf borderId="50" fillId="0" fontId="10" numFmtId="0" xfId="0" applyAlignment="1" applyBorder="1" applyFont="1">
      <alignment horizontal="center" readingOrder="0" vertical="center"/>
    </xf>
    <xf borderId="49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vertical="center"/>
    </xf>
    <xf borderId="87" fillId="0" fontId="10" numFmtId="0" xfId="0" applyAlignment="1" applyBorder="1" applyFont="1">
      <alignment horizontal="center" vertical="center"/>
    </xf>
    <xf borderId="51" fillId="0" fontId="10" numFmtId="0" xfId="0" applyAlignment="1" applyBorder="1" applyFont="1">
      <alignment horizontal="center" readingOrder="0" vertical="center"/>
    </xf>
    <xf borderId="51" fillId="0" fontId="10" numFmtId="0" xfId="0" applyAlignment="1" applyBorder="1" applyFont="1">
      <alignment horizontal="center" vertical="center"/>
    </xf>
    <xf borderId="5" fillId="7" fontId="14" numFmtId="0" xfId="0" applyAlignment="1" applyBorder="1" applyFont="1">
      <alignment horizontal="center" readingOrder="0" vertical="center"/>
    </xf>
    <xf borderId="87" fillId="0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CSE 4098A Grade Chart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CSE4098A_Spring2026_Grade!$G$93:$G$102</c:f>
            </c:strRef>
          </c:cat>
          <c:val>
            <c:numRef>
              <c:f>CSE4098A_Spring2026_Grade!$H$93:$H$102</c:f>
              <c:numCache/>
            </c:numRef>
          </c:val>
        </c:ser>
        <c:overlap val="100"/>
        <c:axId val="877011375"/>
        <c:axId val="900180879"/>
      </c:barChart>
      <c:catAx>
        <c:axId val="877011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Grades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0180879"/>
      </c:catAx>
      <c:valAx>
        <c:axId val="900180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Number of Grades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7701137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88</xdr:row>
      <xdr:rowOff>57150</xdr:rowOff>
    </xdr:from>
    <xdr:ext cx="4457700" cy="2752725"/>
    <xdr:graphicFrame>
      <xdr:nvGraphicFramePr>
        <xdr:cNvPr id="51341846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25"/>
    <col customWidth="1" min="2" max="2" width="12.0"/>
    <col customWidth="1" min="3" max="3" width="24.63"/>
    <col customWidth="1" min="4" max="8" width="15.25"/>
    <col customWidth="1" min="9" max="9" width="14.75"/>
    <col customWidth="1" min="10" max="10" width="7.25"/>
    <col customWidth="1" min="11" max="11" width="109.13"/>
    <col customWidth="1" min="12" max="30" width="14.2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4.0" customHeight="1">
      <c r="A2" s="3" t="s">
        <v>1</v>
      </c>
    </row>
    <row r="3" ht="24.75" customHeight="1">
      <c r="A3" s="4" t="s">
        <v>2</v>
      </c>
    </row>
    <row r="4" ht="41.25" customHeight="1">
      <c r="A4" s="5" t="s">
        <v>3</v>
      </c>
      <c r="B4" s="5" t="s">
        <v>4</v>
      </c>
      <c r="C4" s="6" t="s">
        <v>5</v>
      </c>
      <c r="D4" s="5" t="s">
        <v>6</v>
      </c>
      <c r="E4" s="7" t="s">
        <v>7</v>
      </c>
      <c r="F4" s="5" t="s">
        <v>8</v>
      </c>
      <c r="G4" s="8" t="s">
        <v>9</v>
      </c>
      <c r="H4" s="9" t="s">
        <v>10</v>
      </c>
      <c r="I4" s="7" t="s">
        <v>11</v>
      </c>
      <c r="J4" s="10" t="s">
        <v>12</v>
      </c>
      <c r="K4" s="10" t="s">
        <v>13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15.0" customHeight="1">
      <c r="A5" s="11">
        <v>1.0</v>
      </c>
      <c r="B5" s="12">
        <v>2.31014004E8</v>
      </c>
      <c r="C5" s="13" t="s">
        <v>14</v>
      </c>
      <c r="D5" s="14">
        <f>CSE4098A_Spring2026_Report!AB5</f>
        <v>34.18</v>
      </c>
      <c r="E5" s="15">
        <f>MIN(45, IF(CSE4098A_Spring2026_Presentatio!AA5&gt;1,
CSE4098A_Spring2026_Presentatio!AA5,
CSE4098A_Spring2026_Presentatio!AA5*45))
</f>
        <v>41.11</v>
      </c>
      <c r="F5" s="16">
        <v>5.0</v>
      </c>
      <c r="G5" s="16">
        <v>10.0</v>
      </c>
      <c r="H5" s="17">
        <f t="shared" ref="H5:H87" si="1">SUM(D5:G5)</f>
        <v>90.29</v>
      </c>
      <c r="I5" s="18" t="str">
        <f t="shared" ref="I5:I87" si="2">IF(H5&gt;=98,"A+",IF(H5&gt;=85,"A",IF(H5&gt;=80,"A-",IF(H5&gt;=75,"B+",IF(H5&gt;=70,"B",IF(H5&gt;=65,"B-",IF(H5&gt;=60,"C+",IF(H5&gt;=55,"C",IF(H5&gt;=50,"D","F")))))))))</f>
        <v>A</v>
      </c>
      <c r="J5" s="19" t="s">
        <v>15</v>
      </c>
      <c r="K5" s="20" t="s">
        <v>16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5.0" customHeight="1">
      <c r="A6" s="11">
        <v>2.0</v>
      </c>
      <c r="B6" s="12">
        <v>2.31014146E8</v>
      </c>
      <c r="C6" s="13" t="s">
        <v>17</v>
      </c>
      <c r="D6" s="14">
        <f>CSE4098A_Spring2026_Report!AB6</f>
        <v>34.18</v>
      </c>
      <c r="E6" s="15">
        <f>MIN(45, IF(CSE4098A_Spring2026_Presentatio!AA6&gt;1,
CSE4098A_Spring2026_Presentatio!AA6,
CSE4098A_Spring2026_Presentatio!AA6*45))
</f>
        <v>36.81</v>
      </c>
      <c r="F6" s="16">
        <v>3.0</v>
      </c>
      <c r="G6" s="16">
        <v>8.0</v>
      </c>
      <c r="H6" s="17">
        <f t="shared" si="1"/>
        <v>81.99</v>
      </c>
      <c r="I6" s="18" t="str">
        <f t="shared" si="2"/>
        <v>A-</v>
      </c>
      <c r="J6" s="22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15.0" customHeight="1">
      <c r="A7" s="11">
        <v>3.0</v>
      </c>
      <c r="B7" s="12">
        <v>2.31014006E8</v>
      </c>
      <c r="C7" s="13" t="s">
        <v>18</v>
      </c>
      <c r="D7" s="14">
        <f>CSE4098A_Spring2026_Report!AB7</f>
        <v>34.18</v>
      </c>
      <c r="E7" s="15">
        <f>MIN(45, IF(CSE4098A_Spring2026_Presentatio!AA7&gt;1,
CSE4098A_Spring2026_Presentatio!AA7,
CSE4098A_Spring2026_Presentatio!AA7*45))
</f>
        <v>36.44</v>
      </c>
      <c r="F7" s="16">
        <v>3.0</v>
      </c>
      <c r="G7" s="16">
        <v>8.0</v>
      </c>
      <c r="H7" s="17">
        <f t="shared" si="1"/>
        <v>81.62</v>
      </c>
      <c r="I7" s="18" t="str">
        <f t="shared" si="2"/>
        <v>A-</v>
      </c>
      <c r="J7" s="22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15.0" customHeight="1">
      <c r="A8" s="11">
        <v>4.0</v>
      </c>
      <c r="B8" s="12">
        <v>2.31014022E8</v>
      </c>
      <c r="C8" s="13" t="s">
        <v>19</v>
      </c>
      <c r="D8" s="14">
        <f>CSE4098A_Spring2026_Report!AB8</f>
        <v>34.18</v>
      </c>
      <c r="E8" s="15">
        <f>MIN(45, IF(CSE4098A_Spring2026_Presentatio!AA8&gt;1,
CSE4098A_Spring2026_Presentatio!AA8,
CSE4098A_Spring2026_Presentatio!AA8*45))
</f>
        <v>39.7</v>
      </c>
      <c r="F8" s="16">
        <v>4.0</v>
      </c>
      <c r="G8" s="16">
        <v>8.0</v>
      </c>
      <c r="H8" s="17">
        <f t="shared" si="1"/>
        <v>85.88</v>
      </c>
      <c r="I8" s="18" t="str">
        <f t="shared" si="2"/>
        <v>A</v>
      </c>
      <c r="J8" s="22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15.0" customHeight="1">
      <c r="A9" s="11">
        <v>5.0</v>
      </c>
      <c r="B9" s="12">
        <v>2.31014042E8</v>
      </c>
      <c r="C9" s="13" t="s">
        <v>20</v>
      </c>
      <c r="D9" s="14">
        <f>CSE4098A_Spring2026_Report!AB9</f>
        <v>34.18</v>
      </c>
      <c r="E9" s="15">
        <f>MIN(45, IF(CSE4098A_Spring2026_Presentatio!AA9&gt;1,
CSE4098A_Spring2026_Presentatio!AA9,
CSE4098A_Spring2026_Presentatio!AA9*45))
</f>
        <v>35.93</v>
      </c>
      <c r="F9" s="16">
        <v>3.0</v>
      </c>
      <c r="G9" s="16">
        <v>8.0</v>
      </c>
      <c r="H9" s="17">
        <f t="shared" si="1"/>
        <v>81.11</v>
      </c>
      <c r="I9" s="18" t="str">
        <f t="shared" si="2"/>
        <v>A-</v>
      </c>
      <c r="J9" s="22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15.0" customHeight="1">
      <c r="A10" s="11">
        <v>6.0</v>
      </c>
      <c r="B10" s="12">
        <v>2.32014128E8</v>
      </c>
      <c r="C10" s="13" t="s">
        <v>21</v>
      </c>
      <c r="D10" s="14">
        <f>CSE4098A_Spring2026_Report!AB10</f>
        <v>35.39</v>
      </c>
      <c r="E10" s="15">
        <f>MIN(45, IF(CSE4098A_Spring2026_Presentatio!AA10&gt;1,
CSE4098A_Spring2026_Presentatio!AA10,
CSE4098A_Spring2026_Presentatio!AA10*45))
</f>
        <v>39.2</v>
      </c>
      <c r="F10" s="23">
        <v>4.0</v>
      </c>
      <c r="G10" s="23">
        <v>8.0</v>
      </c>
      <c r="H10" s="17">
        <f t="shared" si="1"/>
        <v>86.59</v>
      </c>
      <c r="I10" s="18" t="str">
        <f t="shared" si="2"/>
        <v>A</v>
      </c>
      <c r="J10" s="19" t="s">
        <v>22</v>
      </c>
      <c r="K10" s="20" t="s">
        <v>23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ht="15.0" customHeight="1">
      <c r="A11" s="11">
        <v>7.0</v>
      </c>
      <c r="B11" s="12">
        <v>2.31014001E8</v>
      </c>
      <c r="C11" s="13" t="s">
        <v>24</v>
      </c>
      <c r="D11" s="14">
        <f>CSE4098A_Spring2026_Report!AB11</f>
        <v>35.39</v>
      </c>
      <c r="E11" s="15">
        <f>MIN(45, IF(CSE4098A_Spring2026_Presentatio!AA11&gt;1,
CSE4098A_Spring2026_Presentatio!AA11,
CSE4098A_Spring2026_Presentatio!AA11*45))
</f>
        <v>39.2</v>
      </c>
      <c r="F11" s="23">
        <v>4.0</v>
      </c>
      <c r="G11" s="23">
        <v>8.0</v>
      </c>
      <c r="H11" s="17">
        <f t="shared" si="1"/>
        <v>86.59</v>
      </c>
      <c r="I11" s="18" t="str">
        <f t="shared" si="2"/>
        <v>A</v>
      </c>
      <c r="J11" s="22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ht="15.0" customHeight="1">
      <c r="A12" s="11">
        <v>8.0</v>
      </c>
      <c r="B12" s="12">
        <v>2.230141E8</v>
      </c>
      <c r="C12" s="13" t="s">
        <v>25</v>
      </c>
      <c r="D12" s="14">
        <f>CSE4098A_Spring2026_Report!AB12</f>
        <v>35.39</v>
      </c>
      <c r="E12" s="15">
        <f>MIN(45, IF(CSE4098A_Spring2026_Presentatio!AA12&gt;1,
CSE4098A_Spring2026_Presentatio!AA12,
CSE4098A_Spring2026_Presentatio!AA12*45))
</f>
        <v>42.67</v>
      </c>
      <c r="F12" s="23">
        <v>4.0</v>
      </c>
      <c r="G12" s="23">
        <v>9.0</v>
      </c>
      <c r="H12" s="17">
        <f t="shared" si="1"/>
        <v>91.06</v>
      </c>
      <c r="I12" s="18" t="str">
        <f t="shared" si="2"/>
        <v>A</v>
      </c>
      <c r="J12" s="22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ht="15.0" customHeight="1">
      <c r="A13" s="11">
        <v>9.0</v>
      </c>
      <c r="B13" s="12">
        <v>2.32014003E8</v>
      </c>
      <c r="C13" s="13" t="s">
        <v>26</v>
      </c>
      <c r="D13" s="14">
        <f>CSE4098A_Spring2026_Report!AB13</f>
        <v>35.39</v>
      </c>
      <c r="E13" s="15">
        <f>MIN(45, IF(CSE4098A_Spring2026_Presentatio!AA13&gt;1,
CSE4098A_Spring2026_Presentatio!AA13,
CSE4098A_Spring2026_Presentatio!AA13*45))
</f>
        <v>40.4</v>
      </c>
      <c r="F13" s="23">
        <v>3.0</v>
      </c>
      <c r="G13" s="23">
        <v>7.0</v>
      </c>
      <c r="H13" s="17">
        <f t="shared" si="1"/>
        <v>85.79</v>
      </c>
      <c r="I13" s="18" t="str">
        <f t="shared" si="2"/>
        <v>A</v>
      </c>
      <c r="J13" s="22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ht="15.0" customHeight="1">
      <c r="A14" s="11">
        <v>10.0</v>
      </c>
      <c r="B14" s="12">
        <v>2.23014084E8</v>
      </c>
      <c r="C14" s="13" t="s">
        <v>27</v>
      </c>
      <c r="D14" s="14">
        <f>CSE4098A_Spring2026_Report!AB14</f>
        <v>34.42</v>
      </c>
      <c r="E14" s="15">
        <f>MIN(45, IF(CSE4098A_Spring2026_Presentatio!AA14&gt;1,
CSE4098A_Spring2026_Presentatio!AA14,
CSE4098A_Spring2026_Presentatio!AA14*45))
</f>
        <v>40.67</v>
      </c>
      <c r="F14" s="24">
        <v>3.0</v>
      </c>
      <c r="G14" s="24">
        <v>6.0</v>
      </c>
      <c r="H14" s="17">
        <f t="shared" si="1"/>
        <v>84.09</v>
      </c>
      <c r="I14" s="18" t="str">
        <f t="shared" si="2"/>
        <v>A-</v>
      </c>
      <c r="J14" s="19" t="s">
        <v>22</v>
      </c>
      <c r="K14" s="20" t="s">
        <v>28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ht="15.0" customHeight="1">
      <c r="A15" s="11">
        <v>11.0</v>
      </c>
      <c r="B15" s="12">
        <v>2.23014075E8</v>
      </c>
      <c r="C15" s="13" t="s">
        <v>29</v>
      </c>
      <c r="D15" s="14">
        <f>CSE4098A_Spring2026_Report!AB15</f>
        <v>34.42</v>
      </c>
      <c r="E15" s="15">
        <f>MIN(45, IF(CSE4098A_Spring2026_Presentatio!AA15&gt;1,
CSE4098A_Spring2026_Presentatio!AA15,
CSE4098A_Spring2026_Presentatio!AA15*45))
</f>
        <v>43.33</v>
      </c>
      <c r="F15" s="24">
        <v>4.0</v>
      </c>
      <c r="G15" s="24">
        <v>8.0</v>
      </c>
      <c r="H15" s="17">
        <f t="shared" si="1"/>
        <v>89.75</v>
      </c>
      <c r="I15" s="18" t="str">
        <f t="shared" si="2"/>
        <v>A</v>
      </c>
      <c r="J15" s="22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ht="15.0" customHeight="1">
      <c r="A16" s="11">
        <v>12.0</v>
      </c>
      <c r="B16" s="12">
        <v>2.23014108E8</v>
      </c>
      <c r="C16" s="13" t="s">
        <v>30</v>
      </c>
      <c r="D16" s="14">
        <f>CSE4098A_Spring2026_Report!AB16</f>
        <v>34.42</v>
      </c>
      <c r="E16" s="15">
        <f>MIN(45, IF(CSE4098A_Spring2026_Presentatio!AA16&gt;1,
CSE4098A_Spring2026_Presentatio!AA16,
CSE4098A_Spring2026_Presentatio!AA16*45))
</f>
        <v>42.67</v>
      </c>
      <c r="F16" s="24">
        <v>3.0</v>
      </c>
      <c r="G16" s="24">
        <v>6.0</v>
      </c>
      <c r="H16" s="17">
        <f t="shared" si="1"/>
        <v>86.09</v>
      </c>
      <c r="I16" s="18" t="str">
        <f t="shared" si="2"/>
        <v>A</v>
      </c>
      <c r="J16" s="22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ht="15.0" customHeight="1">
      <c r="A17" s="11">
        <v>13.0</v>
      </c>
      <c r="B17" s="12">
        <v>2.2301409E8</v>
      </c>
      <c r="C17" s="13" t="s">
        <v>31</v>
      </c>
      <c r="D17" s="14">
        <f>CSE4098A_Spring2026_Report!AB17</f>
        <v>34.42</v>
      </c>
      <c r="E17" s="15">
        <f>MIN(45, IF(CSE4098A_Spring2026_Presentatio!AA17&gt;1,
CSE4098A_Spring2026_Presentatio!AA17,
CSE4098A_Spring2026_Presentatio!AA17*45))
</f>
        <v>42</v>
      </c>
      <c r="F17" s="24">
        <v>3.0</v>
      </c>
      <c r="G17" s="24">
        <v>6.0</v>
      </c>
      <c r="H17" s="17">
        <f t="shared" si="1"/>
        <v>85.42</v>
      </c>
      <c r="I17" s="18" t="str">
        <f t="shared" si="2"/>
        <v>A</v>
      </c>
      <c r="J17" s="22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15.0" customHeight="1">
      <c r="A18" s="11">
        <v>14.0</v>
      </c>
      <c r="B18" s="12">
        <v>2.23014024E8</v>
      </c>
      <c r="C18" s="13" t="s">
        <v>32</v>
      </c>
      <c r="D18" s="14">
        <f>CSE4098A_Spring2026_Report!AB18</f>
        <v>31.76</v>
      </c>
      <c r="E18" s="15">
        <f>MIN(45, IF(CSE4098A_Spring2026_Presentatio!AA18&gt;1,
CSE4098A_Spring2026_Presentatio!AA18,
CSE4098A_Spring2026_Presentatio!AA18*45))
</f>
        <v>34.44</v>
      </c>
      <c r="F18" s="25">
        <v>4.0</v>
      </c>
      <c r="G18" s="25">
        <v>8.0</v>
      </c>
      <c r="H18" s="17">
        <f t="shared" si="1"/>
        <v>78.2</v>
      </c>
      <c r="I18" s="18" t="str">
        <f t="shared" si="2"/>
        <v>B+</v>
      </c>
      <c r="J18" s="19" t="s">
        <v>33</v>
      </c>
      <c r="K18" s="20" t="s">
        <v>34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ht="15.0" customHeight="1">
      <c r="A19" s="11">
        <v>15.0</v>
      </c>
      <c r="B19" s="12">
        <v>2.23014112E8</v>
      </c>
      <c r="C19" s="13" t="s">
        <v>35</v>
      </c>
      <c r="D19" s="14">
        <f>CSE4098A_Spring2026_Report!AB19</f>
        <v>31.76</v>
      </c>
      <c r="E19" s="15">
        <f>MIN(45, IF(CSE4098A_Spring2026_Presentatio!AA19&gt;1,
CSE4098A_Spring2026_Presentatio!AA19,
CSE4098A_Spring2026_Presentatio!AA19*45))
</f>
        <v>31.11</v>
      </c>
      <c r="F19" s="25">
        <v>4.0</v>
      </c>
      <c r="G19" s="25">
        <v>8.0</v>
      </c>
      <c r="H19" s="17">
        <f t="shared" si="1"/>
        <v>74.87</v>
      </c>
      <c r="I19" s="18" t="str">
        <f t="shared" si="2"/>
        <v>B</v>
      </c>
      <c r="J19" s="22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ht="15.0" customHeight="1">
      <c r="A20" s="11">
        <v>16.0</v>
      </c>
      <c r="B20" s="12">
        <v>2.31014136E8</v>
      </c>
      <c r="C20" s="13" t="s">
        <v>36</v>
      </c>
      <c r="D20" s="14">
        <f>CSE4098A_Spring2026_Report!AB20</f>
        <v>31.76</v>
      </c>
      <c r="E20" s="15">
        <f>MIN(45, IF(CSE4098A_Spring2026_Presentatio!AA20&gt;1,
CSE4098A_Spring2026_Presentatio!AA20,
CSE4098A_Spring2026_Presentatio!AA20*45))
</f>
        <v>31.11</v>
      </c>
      <c r="F20" s="25">
        <v>4.0</v>
      </c>
      <c r="G20" s="25">
        <v>6.0</v>
      </c>
      <c r="H20" s="17">
        <f t="shared" si="1"/>
        <v>72.87</v>
      </c>
      <c r="I20" s="18" t="str">
        <f t="shared" si="2"/>
        <v>B</v>
      </c>
      <c r="J20" s="22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ht="15.0" customHeight="1">
      <c r="A21" s="11">
        <v>17.0</v>
      </c>
      <c r="B21" s="12">
        <v>2.23014206E8</v>
      </c>
      <c r="C21" s="13" t="s">
        <v>37</v>
      </c>
      <c r="D21" s="14">
        <f>CSE4098A_Spring2026_Report!AB21</f>
        <v>31.76</v>
      </c>
      <c r="E21" s="15">
        <f>MIN(45, IF(CSE4098A_Spring2026_Presentatio!AA21&gt;1,
CSE4098A_Spring2026_Presentatio!AA21,
CSE4098A_Spring2026_Presentatio!AA21*45))
</f>
        <v>33.44</v>
      </c>
      <c r="F21" s="25">
        <v>4.0</v>
      </c>
      <c r="G21" s="25">
        <v>7.0</v>
      </c>
      <c r="H21" s="17">
        <f t="shared" si="1"/>
        <v>76.2</v>
      </c>
      <c r="I21" s="18" t="str">
        <f t="shared" si="2"/>
        <v>B+</v>
      </c>
      <c r="J21" s="22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ht="15.0" customHeight="1">
      <c r="A22" s="11">
        <v>18.0</v>
      </c>
      <c r="B22" s="12">
        <v>2.3101401E8</v>
      </c>
      <c r="C22" s="13" t="s">
        <v>38</v>
      </c>
      <c r="D22" s="14">
        <f>CSE4098A_Spring2026_Report!AB22</f>
        <v>33.22</v>
      </c>
      <c r="E22" s="15">
        <f>MIN(45, IF(CSE4098A_Spring2026_Presentatio!AA22&gt;1,
CSE4098A_Spring2026_Presentatio!AA22,
CSE4098A_Spring2026_Presentatio!AA22*45))
</f>
        <v>37.02</v>
      </c>
      <c r="F22" s="25">
        <v>5.0</v>
      </c>
      <c r="G22" s="25">
        <v>7.0</v>
      </c>
      <c r="H22" s="17">
        <f t="shared" si="1"/>
        <v>82.24</v>
      </c>
      <c r="I22" s="18" t="str">
        <f t="shared" si="2"/>
        <v>A-</v>
      </c>
      <c r="J22" s="19" t="s">
        <v>33</v>
      </c>
      <c r="K22" s="20" t="s">
        <v>39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ht="15.0" customHeight="1">
      <c r="A23" s="11">
        <v>19.0</v>
      </c>
      <c r="B23" s="12">
        <v>2.31014082E8</v>
      </c>
      <c r="C23" s="13" t="s">
        <v>40</v>
      </c>
      <c r="D23" s="14">
        <f>CSE4098A_Spring2026_Report!AB23</f>
        <v>33.22</v>
      </c>
      <c r="E23" s="15">
        <f>MIN(45, IF(CSE4098A_Spring2026_Presentatio!AA23&gt;1,
CSE4098A_Spring2026_Presentatio!AA23,
CSE4098A_Spring2026_Presentatio!AA23*45))
</f>
        <v>39.29</v>
      </c>
      <c r="F23" s="25">
        <v>5.0</v>
      </c>
      <c r="G23" s="25">
        <v>7.0</v>
      </c>
      <c r="H23" s="17">
        <f t="shared" si="1"/>
        <v>84.51</v>
      </c>
      <c r="I23" s="18" t="str">
        <f t="shared" si="2"/>
        <v>A-</v>
      </c>
      <c r="J23" s="22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ht="15.0" customHeight="1">
      <c r="A24" s="11">
        <v>20.0</v>
      </c>
      <c r="B24" s="12">
        <v>2.31014133E8</v>
      </c>
      <c r="C24" s="13" t="s">
        <v>41</v>
      </c>
      <c r="D24" s="14">
        <f>CSE4098A_Spring2026_Report!AB24</f>
        <v>33.22</v>
      </c>
      <c r="E24" s="15">
        <f>MIN(45, IF(CSE4098A_Spring2026_Presentatio!AA24&gt;1,
CSE4098A_Spring2026_Presentatio!AA24,
CSE4098A_Spring2026_Presentatio!AA24*45))
</f>
        <v>37.02</v>
      </c>
      <c r="F24" s="26">
        <v>2.0</v>
      </c>
      <c r="G24" s="26">
        <v>7.0</v>
      </c>
      <c r="H24" s="17">
        <f t="shared" si="1"/>
        <v>79.24</v>
      </c>
      <c r="I24" s="18" t="str">
        <f t="shared" si="2"/>
        <v>B+</v>
      </c>
      <c r="J24" s="22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ht="15.0" customHeight="1">
      <c r="A25" s="11">
        <v>21.0</v>
      </c>
      <c r="B25" s="12">
        <v>2.3101412E8</v>
      </c>
      <c r="C25" s="13" t="s">
        <v>42</v>
      </c>
      <c r="D25" s="14">
        <f>CSE4098A_Spring2026_Report!AB25</f>
        <v>35.64</v>
      </c>
      <c r="E25" s="15">
        <f>MIN(45, IF(CSE4098A_Spring2026_Presentatio!AA25&gt;1,
CSE4098A_Spring2026_Presentatio!AA25,
CSE4098A_Spring2026_Presentatio!AA25*45))
</f>
        <v>40.31</v>
      </c>
      <c r="F25" s="26">
        <v>5.0</v>
      </c>
      <c r="G25" s="26">
        <v>10.0</v>
      </c>
      <c r="H25" s="17">
        <f t="shared" si="1"/>
        <v>90.95</v>
      </c>
      <c r="I25" s="18" t="str">
        <f t="shared" si="2"/>
        <v>A</v>
      </c>
      <c r="J25" s="19" t="s">
        <v>43</v>
      </c>
      <c r="K25" s="20" t="s">
        <v>44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ht="15.0" customHeight="1">
      <c r="A26" s="11">
        <v>22.0</v>
      </c>
      <c r="B26" s="12">
        <v>2.31014096E8</v>
      </c>
      <c r="C26" s="13" t="s">
        <v>45</v>
      </c>
      <c r="D26" s="14">
        <f>CSE4098A_Spring2026_Report!AB26</f>
        <v>35.64</v>
      </c>
      <c r="E26" s="15">
        <f>MIN(45, IF(CSE4098A_Spring2026_Presentatio!AA26&gt;1,
CSE4098A_Spring2026_Presentatio!AA26,
CSE4098A_Spring2026_Presentatio!AA26*45))
</f>
        <v>40.04</v>
      </c>
      <c r="F26" s="25">
        <v>5.0</v>
      </c>
      <c r="G26" s="25">
        <v>10.0</v>
      </c>
      <c r="H26" s="17">
        <f t="shared" si="1"/>
        <v>90.68</v>
      </c>
      <c r="I26" s="18" t="str">
        <f t="shared" si="2"/>
        <v>A</v>
      </c>
      <c r="J26" s="22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ht="15.0" customHeight="1">
      <c r="A27" s="11">
        <v>23.0</v>
      </c>
      <c r="B27" s="12">
        <v>2.31014014E8</v>
      </c>
      <c r="C27" s="13" t="s">
        <v>46</v>
      </c>
      <c r="D27" s="14">
        <f>CSE4098A_Spring2026_Report!AB27</f>
        <v>35.64</v>
      </c>
      <c r="E27" s="15">
        <f>MIN(45, IF(CSE4098A_Spring2026_Presentatio!AA27&gt;1,
CSE4098A_Spring2026_Presentatio!AA27,
CSE4098A_Spring2026_Presentatio!AA27*45))
</f>
        <v>38.04</v>
      </c>
      <c r="F27" s="25">
        <v>4.0</v>
      </c>
      <c r="G27" s="25">
        <v>9.0</v>
      </c>
      <c r="H27" s="17">
        <f t="shared" si="1"/>
        <v>86.68</v>
      </c>
      <c r="I27" s="18" t="str">
        <f t="shared" si="2"/>
        <v>A</v>
      </c>
      <c r="J27" s="22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ht="15.0" customHeight="1">
      <c r="A28" s="11">
        <v>24.0</v>
      </c>
      <c r="B28" s="12">
        <v>2.31014018E8</v>
      </c>
      <c r="C28" s="13" t="s">
        <v>47</v>
      </c>
      <c r="D28" s="14">
        <f>CSE4098A_Spring2026_Report!AB28</f>
        <v>35.64</v>
      </c>
      <c r="E28" s="15">
        <f>MIN(45, IF(CSE4098A_Spring2026_Presentatio!AA28&gt;1,
CSE4098A_Spring2026_Presentatio!AA28,
CSE4098A_Spring2026_Presentatio!AA28*45))
</f>
        <v>37.51</v>
      </c>
      <c r="F28" s="25">
        <v>4.0</v>
      </c>
      <c r="G28" s="25">
        <v>9.0</v>
      </c>
      <c r="H28" s="17">
        <f t="shared" si="1"/>
        <v>86.15</v>
      </c>
      <c r="I28" s="18" t="str">
        <f t="shared" si="2"/>
        <v>A</v>
      </c>
      <c r="J28" s="22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ht="15.0" customHeight="1">
      <c r="A29" s="11">
        <v>25.0</v>
      </c>
      <c r="B29" s="12">
        <v>2.31014052E8</v>
      </c>
      <c r="C29" s="13" t="s">
        <v>48</v>
      </c>
      <c r="D29" s="14">
        <f>CSE4098A_Spring2026_Report!AB29</f>
        <v>25.7</v>
      </c>
      <c r="E29" s="15">
        <f>MIN(45, IF(CSE4098A_Spring2026_Presentatio!AA29&gt;1,
CSE4098A_Spring2026_Presentatio!AA29,
CSE4098A_Spring2026_Presentatio!AA29*45))
</f>
        <v>21.33</v>
      </c>
      <c r="F29" s="27">
        <v>3.0</v>
      </c>
      <c r="G29" s="27">
        <v>6.0</v>
      </c>
      <c r="H29" s="17">
        <f t="shared" si="1"/>
        <v>56.03</v>
      </c>
      <c r="I29" s="18" t="str">
        <f t="shared" si="2"/>
        <v>C</v>
      </c>
      <c r="J29" s="19" t="s">
        <v>49</v>
      </c>
      <c r="K29" s="20" t="s">
        <v>50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ht="15.0" customHeight="1">
      <c r="A30" s="11">
        <v>26.0</v>
      </c>
      <c r="B30" s="12">
        <v>2.31014131E8</v>
      </c>
      <c r="C30" s="13" t="s">
        <v>51</v>
      </c>
      <c r="D30" s="14">
        <f>CSE4098A_Spring2026_Report!AB30</f>
        <v>25.7</v>
      </c>
      <c r="E30" s="15">
        <f>MIN(45, IF(CSE4098A_Spring2026_Presentatio!AA30&gt;1,
CSE4098A_Spring2026_Presentatio!AA30,
CSE4098A_Spring2026_Presentatio!AA30*45))
</f>
        <v>25.04</v>
      </c>
      <c r="F30" s="27">
        <v>3.0</v>
      </c>
      <c r="G30" s="27">
        <v>6.0</v>
      </c>
      <c r="H30" s="17">
        <f t="shared" si="1"/>
        <v>59.74</v>
      </c>
      <c r="I30" s="18" t="str">
        <f t="shared" si="2"/>
        <v>C</v>
      </c>
      <c r="J30" s="22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ht="15.0" customHeight="1">
      <c r="A31" s="11">
        <v>27.0</v>
      </c>
      <c r="B31" s="12">
        <v>2.21014109E8</v>
      </c>
      <c r="C31" s="13" t="s">
        <v>52</v>
      </c>
      <c r="D31" s="14">
        <f>CSE4098A_Spring2026_Report!AB31</f>
        <v>25.7</v>
      </c>
      <c r="E31" s="15">
        <f>MIN(45, IF(CSE4098A_Spring2026_Presentatio!AA31&gt;1,
CSE4098A_Spring2026_Presentatio!AA31,
CSE4098A_Spring2026_Presentatio!AA31*45))
</f>
        <v>21.7</v>
      </c>
      <c r="F31" s="27">
        <v>3.0</v>
      </c>
      <c r="G31" s="27">
        <v>6.0</v>
      </c>
      <c r="H31" s="17">
        <f t="shared" si="1"/>
        <v>56.4</v>
      </c>
      <c r="I31" s="18" t="str">
        <f t="shared" si="2"/>
        <v>C</v>
      </c>
      <c r="J31" s="22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ht="15.0" customHeight="1">
      <c r="A32" s="11">
        <v>28.0</v>
      </c>
      <c r="B32" s="12">
        <v>2.23014088E8</v>
      </c>
      <c r="C32" s="13" t="s">
        <v>53</v>
      </c>
      <c r="D32" s="14">
        <f>CSE4098A_Spring2026_Report!AB32</f>
        <v>25.7</v>
      </c>
      <c r="E32" s="15">
        <f>MIN(45, IF(CSE4098A_Spring2026_Presentatio!AA32&gt;1,
CSE4098A_Spring2026_Presentatio!AA32,
CSE4098A_Spring2026_Presentatio!AA32*45))
</f>
        <v>21.11</v>
      </c>
      <c r="F32" s="27">
        <v>3.0</v>
      </c>
      <c r="G32" s="27">
        <v>6.0</v>
      </c>
      <c r="H32" s="17">
        <f t="shared" si="1"/>
        <v>55.81</v>
      </c>
      <c r="I32" s="18" t="str">
        <f t="shared" si="2"/>
        <v>C</v>
      </c>
      <c r="J32" s="22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ht="15.0" customHeight="1">
      <c r="A33" s="11">
        <v>29.0</v>
      </c>
      <c r="B33" s="12">
        <v>2.31014017E8</v>
      </c>
      <c r="C33" s="13" t="s">
        <v>54</v>
      </c>
      <c r="D33" s="14">
        <f>CSE4098A_Spring2026_Report!AB33</f>
        <v>33.7</v>
      </c>
      <c r="E33" s="15">
        <f>MIN(45, IF(CSE4098A_Spring2026_Presentatio!AA33&gt;1,
CSE4098A_Spring2026_Presentatio!AA33,
CSE4098A_Spring2026_Presentatio!AA33*45))
</f>
        <v>36.93</v>
      </c>
      <c r="F33" s="27">
        <v>4.0</v>
      </c>
      <c r="G33" s="27">
        <v>8.0</v>
      </c>
      <c r="H33" s="17">
        <f t="shared" si="1"/>
        <v>82.63</v>
      </c>
      <c r="I33" s="18" t="str">
        <f t="shared" si="2"/>
        <v>A-</v>
      </c>
      <c r="J33" s="19" t="s">
        <v>49</v>
      </c>
      <c r="K33" s="20" t="s">
        <v>55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ht="15.0" customHeight="1">
      <c r="A34" s="11">
        <v>30.0</v>
      </c>
      <c r="B34" s="12">
        <v>2.31014115E8</v>
      </c>
      <c r="C34" s="13" t="s">
        <v>56</v>
      </c>
      <c r="D34" s="14">
        <f>CSE4098A_Spring2026_Report!AB34</f>
        <v>33.7</v>
      </c>
      <c r="E34" s="15">
        <f>MIN(45, IF(CSE4098A_Spring2026_Presentatio!AA34&gt;1,
CSE4098A_Spring2026_Presentatio!AA34,
CSE4098A_Spring2026_Presentatio!AA34*45))
</f>
        <v>35.02</v>
      </c>
      <c r="F34" s="25">
        <v>4.0</v>
      </c>
      <c r="G34" s="25">
        <v>8.0</v>
      </c>
      <c r="H34" s="17">
        <f t="shared" si="1"/>
        <v>80.72</v>
      </c>
      <c r="I34" s="18" t="str">
        <f t="shared" si="2"/>
        <v>A-</v>
      </c>
      <c r="J34" s="22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ht="15.0" customHeight="1">
      <c r="A35" s="11">
        <v>31.0</v>
      </c>
      <c r="B35" s="12">
        <v>2.31014151E8</v>
      </c>
      <c r="C35" s="13" t="s">
        <v>57</v>
      </c>
      <c r="D35" s="14">
        <f>CSE4098A_Spring2026_Report!AB35</f>
        <v>33.7</v>
      </c>
      <c r="E35" s="15">
        <f>MIN(45, IF(CSE4098A_Spring2026_Presentatio!AA35&gt;1,
CSE4098A_Spring2026_Presentatio!AA35,
CSE4098A_Spring2026_Presentatio!AA35*45))
</f>
        <v>29.11</v>
      </c>
      <c r="F35" s="25">
        <v>3.0</v>
      </c>
      <c r="G35" s="25">
        <v>6.0</v>
      </c>
      <c r="H35" s="17">
        <f t="shared" si="1"/>
        <v>71.81</v>
      </c>
      <c r="I35" s="18" t="str">
        <f t="shared" si="2"/>
        <v>B</v>
      </c>
      <c r="J35" s="22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ht="15.0" customHeight="1">
      <c r="A36" s="11">
        <v>32.0</v>
      </c>
      <c r="B36" s="12">
        <v>2.31014003E8</v>
      </c>
      <c r="C36" s="13" t="s">
        <v>58</v>
      </c>
      <c r="D36" s="14">
        <f>CSE4098A_Spring2026_Report!AB36</f>
        <v>33.7</v>
      </c>
      <c r="E36" s="15">
        <f>MIN(45, IF(CSE4098A_Spring2026_Presentatio!AA36&gt;1,
CSE4098A_Spring2026_Presentatio!AA36,
CSE4098A_Spring2026_Presentatio!AA36*45))
</f>
        <v>36.84</v>
      </c>
      <c r="F36" s="16">
        <v>5.0</v>
      </c>
      <c r="G36" s="16">
        <v>9.0</v>
      </c>
      <c r="H36" s="17">
        <f t="shared" si="1"/>
        <v>84.54</v>
      </c>
      <c r="I36" s="18" t="str">
        <f t="shared" si="2"/>
        <v>A-</v>
      </c>
      <c r="J36" s="22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ht="15.0" customHeight="1">
      <c r="A37" s="11">
        <v>33.0</v>
      </c>
      <c r="B37" s="12">
        <v>2.31014147E8</v>
      </c>
      <c r="C37" s="13" t="s">
        <v>59</v>
      </c>
      <c r="D37" s="14">
        <f>CSE4098A_Spring2026_Report!AB37</f>
        <v>33.7</v>
      </c>
      <c r="E37" s="15">
        <f>MIN(45, IF(CSE4098A_Spring2026_Presentatio!AA37&gt;1,
CSE4098A_Spring2026_Presentatio!AA37,
CSE4098A_Spring2026_Presentatio!AA37*45))
</f>
        <v>32.76</v>
      </c>
      <c r="F37" s="16">
        <v>3.0</v>
      </c>
      <c r="G37" s="16">
        <v>5.0</v>
      </c>
      <c r="H37" s="17">
        <f t="shared" si="1"/>
        <v>74.46</v>
      </c>
      <c r="I37" s="18" t="str">
        <f t="shared" si="2"/>
        <v>B</v>
      </c>
      <c r="J37" s="22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ht="15.0" customHeight="1">
      <c r="A38" s="11">
        <v>34.0</v>
      </c>
      <c r="B38" s="12">
        <v>2.1301401E8</v>
      </c>
      <c r="C38" s="13" t="s">
        <v>60</v>
      </c>
      <c r="D38" s="14">
        <f>CSE4098A_Spring2026_Report!AB38</f>
        <v>30.3</v>
      </c>
      <c r="E38" s="15">
        <f>MIN(45, IF(CSE4098A_Spring2026_Presentatio!AA38&gt;1,
CSE4098A_Spring2026_Presentatio!AA38,
CSE4098A_Spring2026_Presentatio!AA38*45))
</f>
        <v>27.78</v>
      </c>
      <c r="F38" s="16">
        <v>5.0</v>
      </c>
      <c r="G38" s="23">
        <v>10.0</v>
      </c>
      <c r="H38" s="17">
        <f t="shared" si="1"/>
        <v>73.08</v>
      </c>
      <c r="I38" s="18" t="str">
        <f t="shared" si="2"/>
        <v>B</v>
      </c>
      <c r="J38" s="19" t="s">
        <v>61</v>
      </c>
      <c r="K38" s="20" t="s">
        <v>62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ht="15.0" customHeight="1">
      <c r="A39" s="11">
        <v>35.0</v>
      </c>
      <c r="B39" s="12">
        <v>2.21014096E8</v>
      </c>
      <c r="C39" s="13" t="s">
        <v>63</v>
      </c>
      <c r="D39" s="14">
        <f>CSE4098A_Spring2026_Report!AB39</f>
        <v>30.3</v>
      </c>
      <c r="E39" s="15">
        <f>MIN(45, IF(CSE4098A_Spring2026_Presentatio!AA39&gt;1,
CSE4098A_Spring2026_Presentatio!AA39,
CSE4098A_Spring2026_Presentatio!AA39*45))
</f>
        <v>27.6</v>
      </c>
      <c r="F39" s="26">
        <v>4.0</v>
      </c>
      <c r="G39" s="28">
        <v>9.0</v>
      </c>
      <c r="H39" s="17">
        <f t="shared" si="1"/>
        <v>70.9</v>
      </c>
      <c r="I39" s="18" t="str">
        <f t="shared" si="2"/>
        <v>B</v>
      </c>
      <c r="J39" s="22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ht="15.0" customHeight="1">
      <c r="A40" s="11">
        <v>36.0</v>
      </c>
      <c r="B40" s="12">
        <v>2.21014061E8</v>
      </c>
      <c r="C40" s="13" t="s">
        <v>64</v>
      </c>
      <c r="D40" s="14">
        <f>CSE4098A_Spring2026_Report!AB40</f>
        <v>30.3</v>
      </c>
      <c r="E40" s="15">
        <f>MIN(45, IF(CSE4098A_Spring2026_Presentatio!AA40&gt;1,
CSE4098A_Spring2026_Presentatio!AA40,
CSE4098A_Spring2026_Presentatio!AA40*45))
</f>
        <v>27.6</v>
      </c>
      <c r="F40" s="26">
        <v>4.0</v>
      </c>
      <c r="G40" s="28">
        <v>9.0</v>
      </c>
      <c r="H40" s="17">
        <f t="shared" si="1"/>
        <v>70.9</v>
      </c>
      <c r="I40" s="18" t="str">
        <f t="shared" si="2"/>
        <v>B</v>
      </c>
      <c r="J40" s="22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ht="15.0" customHeight="1">
      <c r="A41" s="11">
        <v>37.0</v>
      </c>
      <c r="B41" s="12">
        <v>2.21014087E8</v>
      </c>
      <c r="C41" s="13" t="s">
        <v>65</v>
      </c>
      <c r="D41" s="14">
        <f>CSE4098A_Spring2026_Report!AB41</f>
        <v>30.3</v>
      </c>
      <c r="E41" s="15">
        <f>MIN(45, IF(CSE4098A_Spring2026_Presentatio!AA41&gt;1,
CSE4098A_Spring2026_Presentatio!AA41,
CSE4098A_Spring2026_Presentatio!AA41*45))
</f>
        <v>27.51</v>
      </c>
      <c r="F41" s="26">
        <v>4.0</v>
      </c>
      <c r="G41" s="28">
        <v>9.0</v>
      </c>
      <c r="H41" s="17">
        <f t="shared" si="1"/>
        <v>70.81</v>
      </c>
      <c r="I41" s="18" t="str">
        <f t="shared" si="2"/>
        <v>B</v>
      </c>
      <c r="J41" s="22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ht="15.0" customHeight="1">
      <c r="A42" s="11">
        <v>38.0</v>
      </c>
      <c r="B42" s="12">
        <v>2.1201401E8</v>
      </c>
      <c r="C42" s="13" t="s">
        <v>66</v>
      </c>
      <c r="D42" s="14">
        <f>CSE4098A_Spring2026_Report!AB42</f>
        <v>31.28</v>
      </c>
      <c r="E42" s="15">
        <f>MIN(45, IF(CSE4098A_Spring2026_Presentatio!AA42&gt;1,
CSE4098A_Spring2026_Presentatio!AA42,
CSE4098A_Spring2026_Presentatio!AA42*45))
</f>
        <v>28.93</v>
      </c>
      <c r="F42" s="16">
        <v>4.0</v>
      </c>
      <c r="G42" s="23">
        <v>10.0</v>
      </c>
      <c r="H42" s="17">
        <f t="shared" si="1"/>
        <v>74.21</v>
      </c>
      <c r="I42" s="18" t="str">
        <f t="shared" si="2"/>
        <v>B</v>
      </c>
      <c r="J42" s="19" t="s">
        <v>61</v>
      </c>
      <c r="K42" s="20" t="s">
        <v>67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ht="15.0" customHeight="1">
      <c r="A43" s="11">
        <v>39.0</v>
      </c>
      <c r="B43" s="12">
        <v>2.13014056E8</v>
      </c>
      <c r="C43" s="13" t="s">
        <v>68</v>
      </c>
      <c r="D43" s="14">
        <f>CSE4098A_Spring2026_Report!AB43</f>
        <v>31.28</v>
      </c>
      <c r="E43" s="15">
        <f>MIN(45, IF(CSE4098A_Spring2026_Presentatio!AA43&gt;1,
CSE4098A_Spring2026_Presentatio!AA43,
CSE4098A_Spring2026_Presentatio!AA43*45))
</f>
        <v>29.02</v>
      </c>
      <c r="F43" s="23">
        <v>4.0</v>
      </c>
      <c r="G43" s="23">
        <v>10.0</v>
      </c>
      <c r="H43" s="17">
        <f t="shared" si="1"/>
        <v>74.3</v>
      </c>
      <c r="I43" s="18" t="str">
        <f t="shared" si="2"/>
        <v>B</v>
      </c>
      <c r="J43" s="22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ht="15.0" customHeight="1">
      <c r="A44" s="11">
        <v>40.0</v>
      </c>
      <c r="B44" s="12">
        <v>2.12014022E8</v>
      </c>
      <c r="C44" s="13" t="s">
        <v>69</v>
      </c>
      <c r="D44" s="14">
        <f>CSE4098A_Spring2026_Report!AB44</f>
        <v>31.28</v>
      </c>
      <c r="E44" s="15">
        <f>MIN(45, IF(CSE4098A_Spring2026_Presentatio!AA44&gt;1,
CSE4098A_Spring2026_Presentatio!AA44,
CSE4098A_Spring2026_Presentatio!AA44*45))
</f>
        <v>29.2</v>
      </c>
      <c r="F44" s="23">
        <v>5.0</v>
      </c>
      <c r="G44" s="23">
        <v>10.0</v>
      </c>
      <c r="H44" s="17">
        <f t="shared" si="1"/>
        <v>75.48</v>
      </c>
      <c r="I44" s="18" t="str">
        <f t="shared" si="2"/>
        <v>B+</v>
      </c>
      <c r="J44" s="22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ht="15.0" customHeight="1">
      <c r="A45" s="11">
        <v>41.0</v>
      </c>
      <c r="B45" s="12">
        <v>2.1301404E8</v>
      </c>
      <c r="C45" s="13" t="s">
        <v>70</v>
      </c>
      <c r="D45" s="14">
        <f>CSE4098A_Spring2026_Report!AB45</f>
        <v>31.28</v>
      </c>
      <c r="E45" s="15">
        <f>MIN(45, IF(CSE4098A_Spring2026_Presentatio!AA45&gt;1,
CSE4098A_Spring2026_Presentatio!AA45,
CSE4098A_Spring2026_Presentatio!AA45*45))
</f>
        <v>29.02</v>
      </c>
      <c r="F45" s="23">
        <v>5.0</v>
      </c>
      <c r="G45" s="23">
        <v>10.0</v>
      </c>
      <c r="H45" s="17">
        <f t="shared" si="1"/>
        <v>75.3</v>
      </c>
      <c r="I45" s="18" t="str">
        <f t="shared" si="2"/>
        <v>B+</v>
      </c>
      <c r="J45" s="22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ht="15.0" customHeight="1">
      <c r="A46" s="11">
        <v>42.0</v>
      </c>
      <c r="B46" s="12">
        <v>2.13014058E8</v>
      </c>
      <c r="C46" s="13" t="s">
        <v>71</v>
      </c>
      <c r="D46" s="14">
        <f>CSE4098A_Spring2026_Report!AB46</f>
        <v>31.28</v>
      </c>
      <c r="E46" s="15">
        <f>MIN(45, IF(CSE4098A_Spring2026_Presentatio!AA46&gt;1,
CSE4098A_Spring2026_Presentatio!AA46,
CSE4098A_Spring2026_Presentatio!AA46*45))
</f>
        <v>28.67</v>
      </c>
      <c r="F46" s="23">
        <v>3.0</v>
      </c>
      <c r="G46" s="23">
        <v>7.0</v>
      </c>
      <c r="H46" s="17">
        <f t="shared" si="1"/>
        <v>69.95</v>
      </c>
      <c r="I46" s="18" t="str">
        <f t="shared" si="2"/>
        <v>B-</v>
      </c>
      <c r="J46" s="22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ht="15.0" customHeight="1">
      <c r="A47" s="11">
        <v>43.0</v>
      </c>
      <c r="B47" s="29">
        <v>2.32014048E8</v>
      </c>
      <c r="C47" s="30" t="s">
        <v>72</v>
      </c>
      <c r="D47" s="14">
        <f>CSE4098A_Spring2026_Report!AB47</f>
        <v>37.09</v>
      </c>
      <c r="E47" s="15">
        <f>MIN(45, IF(CSE4098A_Spring2026_Presentatio!AA47&gt;1,
CSE4098A_Spring2026_Presentatio!AA47,
CSE4098A_Spring2026_Presentatio!AA47*45))
</f>
        <v>42.89</v>
      </c>
      <c r="F47" s="31">
        <v>5.0</v>
      </c>
      <c r="G47" s="31">
        <v>9.0</v>
      </c>
      <c r="H47" s="17">
        <f t="shared" si="1"/>
        <v>93.98</v>
      </c>
      <c r="I47" s="18" t="str">
        <f t="shared" si="2"/>
        <v>A</v>
      </c>
      <c r="J47" s="19" t="s">
        <v>73</v>
      </c>
      <c r="K47" s="20" t="s">
        <v>74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ht="15.0" customHeight="1">
      <c r="A48" s="11">
        <v>44.0</v>
      </c>
      <c r="B48" s="29">
        <v>2.23014077E8</v>
      </c>
      <c r="C48" s="30" t="s">
        <v>75</v>
      </c>
      <c r="D48" s="14">
        <f>CSE4098A_Spring2026_Report!AB48</f>
        <v>37.09</v>
      </c>
      <c r="E48" s="15">
        <f>MIN(45, IF(CSE4098A_Spring2026_Presentatio!AA48&gt;1,
CSE4098A_Spring2026_Presentatio!AA48,
CSE4098A_Spring2026_Presentatio!AA48*45))
</f>
        <v>44.22</v>
      </c>
      <c r="F48" s="31">
        <v>5.0</v>
      </c>
      <c r="G48" s="31">
        <v>9.0</v>
      </c>
      <c r="H48" s="17">
        <f t="shared" si="1"/>
        <v>95.31</v>
      </c>
      <c r="I48" s="18" t="str">
        <f t="shared" si="2"/>
        <v>A</v>
      </c>
      <c r="J48" s="22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ht="15.0" customHeight="1">
      <c r="A49" s="11">
        <v>45.0</v>
      </c>
      <c r="B49" s="29">
        <v>2.32014033E8</v>
      </c>
      <c r="C49" s="30" t="s">
        <v>76</v>
      </c>
      <c r="D49" s="14">
        <f>CSE4098A_Spring2026_Report!AB49</f>
        <v>37.09</v>
      </c>
      <c r="E49" s="15">
        <f>MIN(45, IF(CSE4098A_Spring2026_Presentatio!AA49&gt;1,
CSE4098A_Spring2026_Presentatio!AA49,
CSE4098A_Spring2026_Presentatio!AA49*45))
</f>
        <v>42.44</v>
      </c>
      <c r="F49" s="31">
        <v>5.0</v>
      </c>
      <c r="G49" s="31">
        <v>9.0</v>
      </c>
      <c r="H49" s="17">
        <f t="shared" si="1"/>
        <v>93.53</v>
      </c>
      <c r="I49" s="18" t="str">
        <f t="shared" si="2"/>
        <v>A</v>
      </c>
      <c r="J49" s="22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ht="15.0" customHeight="1">
      <c r="A50" s="11">
        <v>46.0</v>
      </c>
      <c r="B50" s="29">
        <v>2.32014102E8</v>
      </c>
      <c r="C50" s="30" t="s">
        <v>77</v>
      </c>
      <c r="D50" s="14">
        <f>CSE4098A_Spring2026_Report!AB50</f>
        <v>37.09</v>
      </c>
      <c r="E50" s="15">
        <f>MIN(45, IF(CSE4098A_Spring2026_Presentatio!AA50&gt;1,
CSE4098A_Spring2026_Presentatio!AA50,
CSE4098A_Spring2026_Presentatio!AA50*45))
</f>
        <v>42.44</v>
      </c>
      <c r="F50" s="31">
        <v>5.0</v>
      </c>
      <c r="G50" s="31">
        <v>9.0</v>
      </c>
      <c r="H50" s="17">
        <f t="shared" si="1"/>
        <v>93.53</v>
      </c>
      <c r="I50" s="18" t="str">
        <f t="shared" si="2"/>
        <v>A</v>
      </c>
      <c r="J50" s="22"/>
      <c r="L50" s="21"/>
      <c r="M50" s="21"/>
      <c r="N50" s="1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ht="15.0" customHeight="1">
      <c r="A51" s="11">
        <v>47.0</v>
      </c>
      <c r="B51" s="12">
        <v>2.3201404E8</v>
      </c>
      <c r="C51" s="13" t="s">
        <v>78</v>
      </c>
      <c r="D51" s="14">
        <f>CSE4098A_Spring2026_Report!AB51</f>
        <v>36.6</v>
      </c>
      <c r="E51" s="15">
        <f>MIN(45, IF(CSE4098A_Spring2026_Presentatio!AA51&gt;1,
CSE4098A_Spring2026_Presentatio!AA51,
CSE4098A_Spring2026_Presentatio!AA51*45))
</f>
        <v>40.67</v>
      </c>
      <c r="F51" s="31">
        <v>5.0</v>
      </c>
      <c r="G51" s="31">
        <v>9.0</v>
      </c>
      <c r="H51" s="17">
        <f t="shared" si="1"/>
        <v>91.27</v>
      </c>
      <c r="I51" s="18" t="str">
        <f t="shared" si="2"/>
        <v>A</v>
      </c>
      <c r="J51" s="19" t="s">
        <v>73</v>
      </c>
      <c r="K51" s="20" t="s">
        <v>79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ht="15.0" customHeight="1">
      <c r="A52" s="11">
        <v>48.0</v>
      </c>
      <c r="B52" s="12">
        <v>2.32014027E8</v>
      </c>
      <c r="C52" s="13" t="s">
        <v>80</v>
      </c>
      <c r="D52" s="14">
        <f>CSE4098A_Spring2026_Report!AB52</f>
        <v>36.6</v>
      </c>
      <c r="E52" s="15">
        <f>MIN(45, IF(CSE4098A_Spring2026_Presentatio!AA52&gt;1,
CSE4098A_Spring2026_Presentatio!AA52,
CSE4098A_Spring2026_Presentatio!AA52*45))
</f>
        <v>40</v>
      </c>
      <c r="F52" s="31">
        <v>5.0</v>
      </c>
      <c r="G52" s="31">
        <v>9.0</v>
      </c>
      <c r="H52" s="17">
        <f t="shared" si="1"/>
        <v>90.6</v>
      </c>
      <c r="I52" s="18" t="str">
        <f t="shared" si="2"/>
        <v>A</v>
      </c>
      <c r="J52" s="22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ht="15.0" customHeight="1">
      <c r="A53" s="11">
        <v>49.0</v>
      </c>
      <c r="B53" s="12">
        <v>2.13014024E8</v>
      </c>
      <c r="C53" s="13" t="s">
        <v>81</v>
      </c>
      <c r="D53" s="14">
        <f>CSE4098A_Spring2026_Report!AB53</f>
        <v>36.6</v>
      </c>
      <c r="E53" s="15">
        <f>MIN(45, IF(CSE4098A_Spring2026_Presentatio!AA53&gt;1,
CSE4098A_Spring2026_Presentatio!AA53,
CSE4098A_Spring2026_Presentatio!AA53*45))
</f>
        <v>38.67</v>
      </c>
      <c r="F53" s="31">
        <v>5.0</v>
      </c>
      <c r="G53" s="31">
        <v>9.0</v>
      </c>
      <c r="H53" s="17">
        <f t="shared" si="1"/>
        <v>89.27</v>
      </c>
      <c r="I53" s="18" t="str">
        <f t="shared" si="2"/>
        <v>A</v>
      </c>
      <c r="J53" s="22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ht="15.0" customHeight="1">
      <c r="A54" s="11">
        <v>50.0</v>
      </c>
      <c r="B54" s="12">
        <v>2.21014137E8</v>
      </c>
      <c r="C54" s="13" t="s">
        <v>82</v>
      </c>
      <c r="D54" s="14">
        <f>CSE4098A_Spring2026_Report!AB54</f>
        <v>36.6</v>
      </c>
      <c r="E54" s="15">
        <f>MIN(45, IF(CSE4098A_Spring2026_Presentatio!AA54&gt;1,
CSE4098A_Spring2026_Presentatio!AA54,
CSE4098A_Spring2026_Presentatio!AA54*45))
</f>
        <v>38.67</v>
      </c>
      <c r="F54" s="31">
        <v>5.0</v>
      </c>
      <c r="G54" s="31">
        <v>9.0</v>
      </c>
      <c r="H54" s="17">
        <f t="shared" si="1"/>
        <v>89.27</v>
      </c>
      <c r="I54" s="18" t="str">
        <f t="shared" si="2"/>
        <v>A</v>
      </c>
      <c r="J54" s="22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 ht="15.0" customHeight="1">
      <c r="A55" s="11">
        <v>51.0</v>
      </c>
      <c r="B55" s="12">
        <v>2.23014125E8</v>
      </c>
      <c r="C55" s="13" t="s">
        <v>83</v>
      </c>
      <c r="D55" s="14">
        <f>CSE4098A_Spring2026_Report!AB55</f>
        <v>28.85</v>
      </c>
      <c r="E55" s="15">
        <f>MIN(45, IF(CSE4098A_Spring2026_Presentatio!AA55&gt;1,
CSE4098A_Spring2026_Presentatio!AA55,
CSE4098A_Spring2026_Presentatio!AA55*45))
</f>
        <v>30</v>
      </c>
      <c r="F55" s="31">
        <v>4.0</v>
      </c>
      <c r="G55" s="31">
        <v>7.0</v>
      </c>
      <c r="H55" s="17">
        <f t="shared" si="1"/>
        <v>69.85</v>
      </c>
      <c r="I55" s="18" t="str">
        <f t="shared" si="2"/>
        <v>B-</v>
      </c>
      <c r="J55" s="19" t="s">
        <v>73</v>
      </c>
      <c r="K55" s="20" t="s">
        <v>84</v>
      </c>
      <c r="L55" s="21"/>
      <c r="M55" s="21"/>
      <c r="N55" s="1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</row>
    <row r="56" ht="15.0" customHeight="1">
      <c r="A56" s="11">
        <v>52.0</v>
      </c>
      <c r="B56" s="12">
        <v>2.31014008E8</v>
      </c>
      <c r="C56" s="13" t="s">
        <v>85</v>
      </c>
      <c r="D56" s="14">
        <f>CSE4098A_Spring2026_Report!AB56</f>
        <v>28.85</v>
      </c>
      <c r="E56" s="15">
        <f>MIN(45, IF(CSE4098A_Spring2026_Presentatio!AA56&gt;1,
CSE4098A_Spring2026_Presentatio!AA56,
CSE4098A_Spring2026_Presentatio!AA56*45))
</f>
        <v>29.33</v>
      </c>
      <c r="F56" s="31">
        <v>4.0</v>
      </c>
      <c r="G56" s="31">
        <v>7.0</v>
      </c>
      <c r="H56" s="17">
        <f t="shared" si="1"/>
        <v>69.18</v>
      </c>
      <c r="I56" s="18" t="str">
        <f t="shared" si="2"/>
        <v>B-</v>
      </c>
      <c r="J56" s="22"/>
    </row>
    <row r="57" ht="15.0" customHeight="1">
      <c r="A57" s="11">
        <v>53.0</v>
      </c>
      <c r="B57" s="12">
        <v>2.23014064E8</v>
      </c>
      <c r="C57" s="13" t="s">
        <v>86</v>
      </c>
      <c r="D57" s="14">
        <f>CSE4098A_Spring2026_Report!AB57</f>
        <v>28.85</v>
      </c>
      <c r="E57" s="15">
        <f>MIN(45, IF(CSE4098A_Spring2026_Presentatio!AA57&gt;1,
CSE4098A_Spring2026_Presentatio!AA57,
CSE4098A_Spring2026_Presentatio!AA57*45))
</f>
        <v>29.33</v>
      </c>
      <c r="F57" s="31">
        <v>4.0</v>
      </c>
      <c r="G57" s="31">
        <v>7.0</v>
      </c>
      <c r="H57" s="17">
        <f t="shared" si="1"/>
        <v>69.18</v>
      </c>
      <c r="I57" s="18" t="str">
        <f t="shared" si="2"/>
        <v>B-</v>
      </c>
      <c r="J57" s="22"/>
    </row>
    <row r="58" ht="15.0" customHeight="1">
      <c r="A58" s="11">
        <v>54.0</v>
      </c>
      <c r="B58" s="12">
        <v>2.31014123E8</v>
      </c>
      <c r="C58" s="13" t="s">
        <v>87</v>
      </c>
      <c r="D58" s="14">
        <f>CSE4098A_Spring2026_Report!AB58</f>
        <v>28.85</v>
      </c>
      <c r="E58" s="15">
        <f>MIN(45, IF(CSE4098A_Spring2026_Presentatio!AA58&gt;1,
CSE4098A_Spring2026_Presentatio!AA58,
CSE4098A_Spring2026_Presentatio!AA58*45))
</f>
        <v>29.33</v>
      </c>
      <c r="F58" s="31">
        <v>4.0</v>
      </c>
      <c r="G58" s="31">
        <v>7.0</v>
      </c>
      <c r="H58" s="17">
        <f t="shared" si="1"/>
        <v>69.18</v>
      </c>
      <c r="I58" s="18" t="str">
        <f t="shared" si="2"/>
        <v>B-</v>
      </c>
      <c r="J58" s="22"/>
    </row>
    <row r="59" ht="15.0" customHeight="1">
      <c r="A59" s="11">
        <v>55.0</v>
      </c>
      <c r="B59" s="12">
        <v>2.23014141E8</v>
      </c>
      <c r="C59" s="13" t="s">
        <v>88</v>
      </c>
      <c r="D59" s="14">
        <f>CSE4098A_Spring2026_Report!AB59</f>
        <v>23.76</v>
      </c>
      <c r="E59" s="15">
        <f>MIN(45, IF(CSE4098A_Spring2026_Presentatio!AA59&gt;1,
CSE4098A_Spring2026_Presentatio!AA59,
CSE4098A_Spring2026_Presentatio!AA59*45))
</f>
        <v>34.22</v>
      </c>
      <c r="F59" s="28">
        <v>3.0</v>
      </c>
      <c r="G59" s="28">
        <v>5.5</v>
      </c>
      <c r="H59" s="17">
        <f t="shared" si="1"/>
        <v>66.48</v>
      </c>
      <c r="I59" s="18" t="str">
        <f t="shared" si="2"/>
        <v>B-</v>
      </c>
      <c r="J59" s="19" t="s">
        <v>89</v>
      </c>
      <c r="K59" s="20" t="s">
        <v>90</v>
      </c>
    </row>
    <row r="60" ht="15.0" customHeight="1">
      <c r="A60" s="11">
        <v>56.0</v>
      </c>
      <c r="B60" s="12">
        <v>2.23014002E8</v>
      </c>
      <c r="C60" s="13" t="s">
        <v>91</v>
      </c>
      <c r="D60" s="14">
        <f>CSE4098A_Spring2026_Report!AB60</f>
        <v>23.76</v>
      </c>
      <c r="E60" s="15">
        <f>MIN(45, IF(CSE4098A_Spring2026_Presentatio!AA60&gt;1,
CSE4098A_Spring2026_Presentatio!AA60,
CSE4098A_Spring2026_Presentatio!AA60*45))
</f>
        <v>32.22</v>
      </c>
      <c r="F60" s="28">
        <v>3.5</v>
      </c>
      <c r="G60" s="28">
        <v>6.0</v>
      </c>
      <c r="H60" s="17">
        <f t="shared" si="1"/>
        <v>65.48</v>
      </c>
      <c r="I60" s="18" t="str">
        <f t="shared" si="2"/>
        <v>B-</v>
      </c>
      <c r="J60" s="22"/>
    </row>
    <row r="61" ht="15.0" customHeight="1">
      <c r="A61" s="11">
        <v>57.0</v>
      </c>
      <c r="B61" s="12">
        <v>2.21014059E8</v>
      </c>
      <c r="C61" s="13" t="s">
        <v>92</v>
      </c>
      <c r="D61" s="14">
        <f>CSE4098A_Spring2026_Report!AB61</f>
        <v>23.76</v>
      </c>
      <c r="E61" s="15">
        <f>MIN(45, IF(CSE4098A_Spring2026_Presentatio!AA61&gt;1,
CSE4098A_Spring2026_Presentatio!AA61,
CSE4098A_Spring2026_Presentatio!AA61*45))
</f>
        <v>31.78</v>
      </c>
      <c r="F61" s="28">
        <v>3.5</v>
      </c>
      <c r="G61" s="28">
        <v>6.0</v>
      </c>
      <c r="H61" s="17">
        <f t="shared" si="1"/>
        <v>65.04</v>
      </c>
      <c r="I61" s="18" t="str">
        <f t="shared" si="2"/>
        <v>B-</v>
      </c>
      <c r="J61" s="22"/>
    </row>
    <row r="62" ht="15.0" customHeight="1">
      <c r="A62" s="11">
        <v>58.0</v>
      </c>
      <c r="B62" s="12">
        <v>2.22014061E8</v>
      </c>
      <c r="C62" s="13" t="s">
        <v>93</v>
      </c>
      <c r="D62" s="14">
        <f>CSE4098A_Spring2026_Report!AB62</f>
        <v>23.76</v>
      </c>
      <c r="E62" s="15">
        <f>MIN(45, IF(CSE4098A_Spring2026_Presentatio!AA62&gt;1,
CSE4098A_Spring2026_Presentatio!AA62,
CSE4098A_Spring2026_Presentatio!AA62*45))
</f>
        <v>27.33</v>
      </c>
      <c r="F62" s="32">
        <v>2.0</v>
      </c>
      <c r="G62" s="32">
        <v>4.0</v>
      </c>
      <c r="H62" s="17">
        <f t="shared" si="1"/>
        <v>57.09</v>
      </c>
      <c r="I62" s="18" t="str">
        <f t="shared" si="2"/>
        <v>C</v>
      </c>
      <c r="J62" s="22"/>
    </row>
    <row r="63" ht="15.0" customHeight="1">
      <c r="A63" s="11">
        <v>59.0</v>
      </c>
      <c r="B63" s="12">
        <v>2.22014014E8</v>
      </c>
      <c r="C63" s="13" t="s">
        <v>94</v>
      </c>
      <c r="D63" s="14">
        <f>CSE4098A_Spring2026_Report!AB63</f>
        <v>32.73</v>
      </c>
      <c r="E63" s="15">
        <f>MIN(45, IF(CSE4098A_Spring2026_Presentatio!AA63&gt;1,
CSE4098A_Spring2026_Presentatio!AA63,
CSE4098A_Spring2026_Presentatio!AA63*45))
</f>
        <v>37.67</v>
      </c>
      <c r="F63" s="33">
        <v>4.0</v>
      </c>
      <c r="G63" s="33">
        <v>8.0</v>
      </c>
      <c r="H63" s="17">
        <f t="shared" si="1"/>
        <v>82.4</v>
      </c>
      <c r="I63" s="18" t="str">
        <f t="shared" si="2"/>
        <v>A-</v>
      </c>
      <c r="J63" s="19" t="s">
        <v>95</v>
      </c>
      <c r="K63" s="20" t="s">
        <v>96</v>
      </c>
    </row>
    <row r="64" ht="15.0" customHeight="1">
      <c r="A64" s="11">
        <v>60.0</v>
      </c>
      <c r="B64" s="12">
        <v>2.22014004E8</v>
      </c>
      <c r="C64" s="13" t="s">
        <v>97</v>
      </c>
      <c r="D64" s="14">
        <f>CSE4098A_Spring2026_Report!AB64</f>
        <v>32.73</v>
      </c>
      <c r="E64" s="15">
        <f>MIN(45, IF(CSE4098A_Spring2026_Presentatio!AA64&gt;1,
CSE4098A_Spring2026_Presentatio!AA64,
CSE4098A_Spring2026_Presentatio!AA64*45))
</f>
        <v>38.33</v>
      </c>
      <c r="F64" s="33">
        <v>4.0</v>
      </c>
      <c r="G64" s="33">
        <v>8.0</v>
      </c>
      <c r="H64" s="17">
        <f t="shared" si="1"/>
        <v>83.06</v>
      </c>
      <c r="I64" s="18" t="str">
        <f t="shared" si="2"/>
        <v>A-</v>
      </c>
      <c r="J64" s="22"/>
    </row>
    <row r="65" ht="15.0" customHeight="1">
      <c r="A65" s="11">
        <v>61.0</v>
      </c>
      <c r="B65" s="12">
        <v>2.32014059E8</v>
      </c>
      <c r="C65" s="13" t="s">
        <v>98</v>
      </c>
      <c r="D65" s="14">
        <f>CSE4098A_Spring2026_Report!AB65</f>
        <v>32.73</v>
      </c>
      <c r="E65" s="15">
        <f>MIN(45, IF(CSE4098A_Spring2026_Presentatio!AA65&gt;1,
CSE4098A_Spring2026_Presentatio!AA65,
CSE4098A_Spring2026_Presentatio!AA65*45))
</f>
        <v>41.33</v>
      </c>
      <c r="F65" s="33">
        <v>5.0</v>
      </c>
      <c r="G65" s="33">
        <v>9.0</v>
      </c>
      <c r="H65" s="17">
        <f t="shared" si="1"/>
        <v>88.06</v>
      </c>
      <c r="I65" s="18" t="str">
        <f t="shared" si="2"/>
        <v>A</v>
      </c>
      <c r="J65" s="22"/>
    </row>
    <row r="66" ht="15.0" customHeight="1">
      <c r="A66" s="11">
        <v>62.0</v>
      </c>
      <c r="B66" s="12">
        <v>2.3201413E8</v>
      </c>
      <c r="C66" s="13" t="s">
        <v>99</v>
      </c>
      <c r="D66" s="14">
        <f>CSE4098A_Spring2026_Report!AB66</f>
        <v>32.73</v>
      </c>
      <c r="E66" s="15">
        <f>MIN(45, IF(CSE4098A_Spring2026_Presentatio!AA66&gt;1,
CSE4098A_Spring2026_Presentatio!AA66,
CSE4098A_Spring2026_Presentatio!AA66*45))
</f>
        <v>42</v>
      </c>
      <c r="F66" s="33">
        <v>5.0</v>
      </c>
      <c r="G66" s="33">
        <v>10.0</v>
      </c>
      <c r="H66" s="17">
        <f t="shared" si="1"/>
        <v>89.73</v>
      </c>
      <c r="I66" s="18" t="str">
        <f t="shared" si="2"/>
        <v>A</v>
      </c>
      <c r="J66" s="22"/>
    </row>
    <row r="67" ht="15.0" customHeight="1">
      <c r="A67" s="11">
        <v>63.0</v>
      </c>
      <c r="B67" s="12">
        <v>2.31014084E8</v>
      </c>
      <c r="C67" s="13" t="s">
        <v>100</v>
      </c>
      <c r="D67" s="14">
        <f>CSE4098A_Spring2026_Report!AB67</f>
        <v>28.61</v>
      </c>
      <c r="E67" s="15">
        <f>MIN(45, IF(CSE4098A_Spring2026_Presentatio!AA67&gt;1,
CSE4098A_Spring2026_Presentatio!AA67,
CSE4098A_Spring2026_Presentatio!AA67*45))
</f>
        <v>33.11</v>
      </c>
      <c r="F67" s="33">
        <v>3.0</v>
      </c>
      <c r="G67" s="33">
        <v>6.0</v>
      </c>
      <c r="H67" s="17">
        <f t="shared" si="1"/>
        <v>70.72</v>
      </c>
      <c r="I67" s="18" t="str">
        <f t="shared" si="2"/>
        <v>B</v>
      </c>
      <c r="J67" s="19" t="s">
        <v>101</v>
      </c>
      <c r="K67" s="20" t="s">
        <v>102</v>
      </c>
    </row>
    <row r="68" ht="15.0" customHeight="1">
      <c r="A68" s="11">
        <v>64.0</v>
      </c>
      <c r="B68" s="12">
        <v>2.31014029E8</v>
      </c>
      <c r="C68" s="13" t="s">
        <v>103</v>
      </c>
      <c r="D68" s="14">
        <f>CSE4098A_Spring2026_Report!AB68</f>
        <v>28.61</v>
      </c>
      <c r="E68" s="15">
        <f>MIN(45, IF(CSE4098A_Spring2026_Presentatio!AA68&gt;1,
CSE4098A_Spring2026_Presentatio!AA68,
CSE4098A_Spring2026_Presentatio!AA68*45))
</f>
        <v>35.78</v>
      </c>
      <c r="F68" s="33">
        <v>3.0</v>
      </c>
      <c r="G68" s="33">
        <v>6.0</v>
      </c>
      <c r="H68" s="17">
        <f t="shared" si="1"/>
        <v>73.39</v>
      </c>
      <c r="I68" s="18" t="str">
        <f t="shared" si="2"/>
        <v>B</v>
      </c>
      <c r="J68" s="22"/>
    </row>
    <row r="69" ht="15.0" customHeight="1">
      <c r="A69" s="11">
        <v>65.0</v>
      </c>
      <c r="B69" s="12">
        <v>2.31014083E8</v>
      </c>
      <c r="C69" s="13" t="s">
        <v>104</v>
      </c>
      <c r="D69" s="14">
        <f>CSE4098A_Spring2026_Report!AB69</f>
        <v>28.61</v>
      </c>
      <c r="E69" s="15">
        <f>MIN(45, IF(CSE4098A_Spring2026_Presentatio!AA69&gt;1,
CSE4098A_Spring2026_Presentatio!AA69,
CSE4098A_Spring2026_Presentatio!AA69*45))
</f>
        <v>34.44</v>
      </c>
      <c r="F69" s="33">
        <v>3.0</v>
      </c>
      <c r="G69" s="33">
        <v>6.0</v>
      </c>
      <c r="H69" s="17">
        <f t="shared" si="1"/>
        <v>72.05</v>
      </c>
      <c r="I69" s="18" t="str">
        <f t="shared" si="2"/>
        <v>B</v>
      </c>
      <c r="J69" s="22"/>
    </row>
    <row r="70" ht="15.0" customHeight="1">
      <c r="A70" s="11">
        <v>66.0</v>
      </c>
      <c r="B70" s="12">
        <v>2.31014077E8</v>
      </c>
      <c r="C70" s="13" t="s">
        <v>105</v>
      </c>
      <c r="D70" s="14">
        <f>CSE4098A_Spring2026_Report!AB70</f>
        <v>28.61</v>
      </c>
      <c r="E70" s="15">
        <f>MIN(45, IF(CSE4098A_Spring2026_Presentatio!AA70&gt;1,
CSE4098A_Spring2026_Presentatio!AA70,
CSE4098A_Spring2026_Presentatio!AA70*45))
</f>
        <v>34</v>
      </c>
      <c r="F70" s="33">
        <v>3.0</v>
      </c>
      <c r="G70" s="33">
        <v>5.0</v>
      </c>
      <c r="H70" s="17">
        <f t="shared" si="1"/>
        <v>70.61</v>
      </c>
      <c r="I70" s="18" t="str">
        <f t="shared" si="2"/>
        <v>B</v>
      </c>
      <c r="J70" s="22"/>
    </row>
    <row r="71" ht="15.0" customHeight="1">
      <c r="A71" s="11">
        <v>67.0</v>
      </c>
      <c r="B71" s="12">
        <v>2.23014082E8</v>
      </c>
      <c r="C71" s="13" t="s">
        <v>106</v>
      </c>
      <c r="D71" s="14">
        <f>CSE4098A_Spring2026_Report!AB71</f>
        <v>34.18</v>
      </c>
      <c r="E71" s="15">
        <f>MIN(45, IF(CSE4098A_Spring2026_Presentatio!AA71&gt;1,
CSE4098A_Spring2026_Presentatio!AA71,
CSE4098A_Spring2026_Presentatio!AA71*45))
</f>
        <v>30.22</v>
      </c>
      <c r="F71" s="32">
        <v>5.0</v>
      </c>
      <c r="G71" s="32">
        <v>9.0</v>
      </c>
      <c r="H71" s="17">
        <f t="shared" si="1"/>
        <v>78.4</v>
      </c>
      <c r="I71" s="18" t="str">
        <f t="shared" si="2"/>
        <v>B+</v>
      </c>
      <c r="J71" s="19" t="s">
        <v>107</v>
      </c>
      <c r="K71" s="20" t="s">
        <v>108</v>
      </c>
    </row>
    <row r="72" ht="15.0" customHeight="1">
      <c r="A72" s="11">
        <v>68.0</v>
      </c>
      <c r="B72" s="12">
        <v>2.31014002E8</v>
      </c>
      <c r="C72" s="13" t="s">
        <v>109</v>
      </c>
      <c r="D72" s="14">
        <f>CSE4098A_Spring2026_Report!AB72</f>
        <v>34.18</v>
      </c>
      <c r="E72" s="15">
        <f>MIN(45, IF(CSE4098A_Spring2026_Presentatio!AA72&gt;1,
CSE4098A_Spring2026_Presentatio!AA72,
CSE4098A_Spring2026_Presentatio!AA72*45))
</f>
        <v>29.78</v>
      </c>
      <c r="F72" s="32">
        <v>4.0</v>
      </c>
      <c r="G72" s="32">
        <v>8.0</v>
      </c>
      <c r="H72" s="17">
        <f t="shared" si="1"/>
        <v>75.96</v>
      </c>
      <c r="I72" s="18" t="str">
        <f t="shared" si="2"/>
        <v>B+</v>
      </c>
      <c r="J72" s="22"/>
    </row>
    <row r="73" ht="15.0" customHeight="1">
      <c r="A73" s="11">
        <v>69.0</v>
      </c>
      <c r="B73" s="12">
        <v>2.31014047E8</v>
      </c>
      <c r="C73" s="13" t="s">
        <v>110</v>
      </c>
      <c r="D73" s="14">
        <f>CSE4098A_Spring2026_Report!AB73</f>
        <v>34.18</v>
      </c>
      <c r="E73" s="15">
        <f>MIN(45, IF(CSE4098A_Spring2026_Presentatio!AA73&gt;1,
CSE4098A_Spring2026_Presentatio!AA73,
CSE4098A_Spring2026_Presentatio!AA73*45))
</f>
        <v>31.11</v>
      </c>
      <c r="F73" s="32">
        <v>4.0</v>
      </c>
      <c r="G73" s="32">
        <v>8.0</v>
      </c>
      <c r="H73" s="17">
        <f t="shared" si="1"/>
        <v>77.29</v>
      </c>
      <c r="I73" s="18" t="str">
        <f t="shared" si="2"/>
        <v>B+</v>
      </c>
      <c r="J73" s="22"/>
    </row>
    <row r="74" ht="15.0" customHeight="1">
      <c r="A74" s="11">
        <v>70.0</v>
      </c>
      <c r="B74" s="12">
        <v>2.31014025E8</v>
      </c>
      <c r="C74" s="13" t="s">
        <v>111</v>
      </c>
      <c r="D74" s="14">
        <f>CSE4098A_Spring2026_Report!AB74</f>
        <v>34.18</v>
      </c>
      <c r="E74" s="15">
        <f>MIN(45, IF(CSE4098A_Spring2026_Presentatio!AA74&gt;1,
CSE4098A_Spring2026_Presentatio!AA74,
CSE4098A_Spring2026_Presentatio!AA74*45))
</f>
        <v>28.44</v>
      </c>
      <c r="F74" s="32">
        <v>4.0</v>
      </c>
      <c r="G74" s="32">
        <v>7.0</v>
      </c>
      <c r="H74" s="17">
        <f t="shared" si="1"/>
        <v>73.62</v>
      </c>
      <c r="I74" s="18" t="str">
        <f t="shared" si="2"/>
        <v>B</v>
      </c>
      <c r="J74" s="22"/>
    </row>
    <row r="75" ht="15.0" customHeight="1">
      <c r="A75" s="11">
        <v>71.0</v>
      </c>
      <c r="B75" s="12">
        <v>2.23014009E8</v>
      </c>
      <c r="C75" s="13" t="s">
        <v>112</v>
      </c>
      <c r="D75" s="14">
        <f>CSE4098A_Spring2026_Report!AB75</f>
        <v>30.06</v>
      </c>
      <c r="E75" s="15">
        <f>MIN(45, IF(CSE4098A_Spring2026_Presentatio!AA75&gt;1,
CSE4098A_Spring2026_Presentatio!AA75,
CSE4098A_Spring2026_Presentatio!AA75*45))
</f>
        <v>29</v>
      </c>
      <c r="F75" s="32">
        <v>4.0</v>
      </c>
      <c r="G75" s="32">
        <v>8.0</v>
      </c>
      <c r="H75" s="17">
        <f t="shared" si="1"/>
        <v>71.06</v>
      </c>
      <c r="I75" s="18" t="str">
        <f t="shared" si="2"/>
        <v>B</v>
      </c>
      <c r="J75" s="19" t="s">
        <v>113</v>
      </c>
      <c r="K75" s="20" t="s">
        <v>114</v>
      </c>
    </row>
    <row r="76" ht="15.0" customHeight="1">
      <c r="A76" s="11">
        <v>72.0</v>
      </c>
      <c r="B76" s="12">
        <v>2.23014073E8</v>
      </c>
      <c r="C76" s="13" t="s">
        <v>115</v>
      </c>
      <c r="D76" s="14">
        <f>CSE4098A_Spring2026_Report!AB76</f>
        <v>30.06</v>
      </c>
      <c r="E76" s="15">
        <f>MIN(45, IF(CSE4098A_Spring2026_Presentatio!AA76&gt;1,
CSE4098A_Spring2026_Presentatio!AA76,
CSE4098A_Spring2026_Presentatio!AA76*45))
</f>
        <v>28.78</v>
      </c>
      <c r="F76" s="32">
        <v>4.0</v>
      </c>
      <c r="G76" s="32">
        <v>8.0</v>
      </c>
      <c r="H76" s="17">
        <f t="shared" si="1"/>
        <v>70.84</v>
      </c>
      <c r="I76" s="18" t="str">
        <f t="shared" si="2"/>
        <v>B</v>
      </c>
      <c r="J76" s="22"/>
    </row>
    <row r="77" ht="15.0" customHeight="1">
      <c r="A77" s="11">
        <v>73.0</v>
      </c>
      <c r="B77" s="12">
        <v>2.23014157E8</v>
      </c>
      <c r="C77" s="13" t="s">
        <v>116</v>
      </c>
      <c r="D77" s="14">
        <f>CSE4098A_Spring2026_Report!AB77</f>
        <v>30.06</v>
      </c>
      <c r="E77" s="15">
        <f>MIN(45, IF(CSE4098A_Spring2026_Presentatio!AA77&gt;1,
CSE4098A_Spring2026_Presentatio!AA77,
CSE4098A_Spring2026_Presentatio!AA77*45))
</f>
        <v>28.56</v>
      </c>
      <c r="F77" s="32">
        <v>4.0</v>
      </c>
      <c r="G77" s="32">
        <v>8.0</v>
      </c>
      <c r="H77" s="17">
        <f t="shared" si="1"/>
        <v>70.62</v>
      </c>
      <c r="I77" s="18" t="str">
        <f t="shared" si="2"/>
        <v>B</v>
      </c>
      <c r="J77" s="22"/>
    </row>
    <row r="78" ht="15.0" customHeight="1">
      <c r="A78" s="11">
        <v>74.0</v>
      </c>
      <c r="B78" s="12">
        <v>2.23014022E8</v>
      </c>
      <c r="C78" s="13" t="s">
        <v>117</v>
      </c>
      <c r="D78" s="14">
        <f>CSE4098A_Spring2026_Report!AB78</f>
        <v>30.06</v>
      </c>
      <c r="E78" s="15">
        <f>MIN(45, IF(CSE4098A_Spring2026_Presentatio!AA78&gt;1,
CSE4098A_Spring2026_Presentatio!AA78,
CSE4098A_Spring2026_Presentatio!AA78*45))
</f>
        <v>28.56</v>
      </c>
      <c r="F78" s="32">
        <v>4.0</v>
      </c>
      <c r="G78" s="32">
        <v>8.0</v>
      </c>
      <c r="H78" s="17">
        <f t="shared" si="1"/>
        <v>70.62</v>
      </c>
      <c r="I78" s="18" t="str">
        <f t="shared" si="2"/>
        <v>B</v>
      </c>
      <c r="J78" s="22"/>
    </row>
    <row r="79" ht="15.0" customHeight="1">
      <c r="A79" s="11">
        <v>75.0</v>
      </c>
      <c r="B79" s="12">
        <v>2.23014117E8</v>
      </c>
      <c r="C79" s="34" t="s">
        <v>118</v>
      </c>
      <c r="D79" s="14">
        <f>CSE4098A_Spring2026_Report!AB79</f>
        <v>30.06</v>
      </c>
      <c r="E79" s="15">
        <f>MIN(45, IF(CSE4098A_Spring2026_Presentatio!AA79&gt;1,
CSE4098A_Spring2026_Presentatio!AA79,
CSE4098A_Spring2026_Presentatio!AA79*45))
</f>
        <v>28.89</v>
      </c>
      <c r="F79" s="32">
        <v>4.0</v>
      </c>
      <c r="G79" s="32">
        <v>8.0</v>
      </c>
      <c r="H79" s="17">
        <f t="shared" si="1"/>
        <v>70.95</v>
      </c>
      <c r="I79" s="18" t="str">
        <f t="shared" si="2"/>
        <v>B</v>
      </c>
      <c r="J79" s="22"/>
    </row>
    <row r="80" ht="15.0" customHeight="1">
      <c r="A80" s="11">
        <v>76.0</v>
      </c>
      <c r="B80" s="12">
        <v>2.23014005E8</v>
      </c>
      <c r="C80" s="13" t="s">
        <v>119</v>
      </c>
      <c r="D80" s="14">
        <f>CSE4098A_Spring2026_Report!AB80</f>
        <v>30.79</v>
      </c>
      <c r="E80" s="15">
        <f>MIN(45, IF(CSE4098A_Spring2026_Presentatio!AA80&gt;1,
CSE4098A_Spring2026_Presentatio!AA80,
CSE4098A_Spring2026_Presentatio!AA80*45))
</f>
        <v>27.78</v>
      </c>
      <c r="F80" s="32">
        <v>4.0</v>
      </c>
      <c r="G80" s="32">
        <v>8.0</v>
      </c>
      <c r="H80" s="17">
        <f t="shared" si="1"/>
        <v>70.57</v>
      </c>
      <c r="I80" s="18" t="str">
        <f t="shared" si="2"/>
        <v>B</v>
      </c>
      <c r="J80" s="19" t="s">
        <v>113</v>
      </c>
      <c r="K80" s="20" t="s">
        <v>120</v>
      </c>
    </row>
    <row r="81" ht="15.0" customHeight="1">
      <c r="A81" s="11">
        <v>77.0</v>
      </c>
      <c r="B81" s="12">
        <v>2.2301408E8</v>
      </c>
      <c r="C81" s="13" t="s">
        <v>121</v>
      </c>
      <c r="D81" s="14">
        <f>CSE4098A_Spring2026_Report!AB81</f>
        <v>30.79</v>
      </c>
      <c r="E81" s="15">
        <f>MIN(45, IF(CSE4098A_Spring2026_Presentatio!AA81&gt;1,
CSE4098A_Spring2026_Presentatio!AA81,
CSE4098A_Spring2026_Presentatio!AA81*45))
</f>
        <v>27.89</v>
      </c>
      <c r="F81" s="32">
        <v>4.0</v>
      </c>
      <c r="G81" s="32">
        <v>8.0</v>
      </c>
      <c r="H81" s="17">
        <f t="shared" si="1"/>
        <v>70.68</v>
      </c>
      <c r="I81" s="18" t="str">
        <f t="shared" si="2"/>
        <v>B</v>
      </c>
      <c r="J81" s="22"/>
    </row>
    <row r="82" ht="15.0" customHeight="1">
      <c r="A82" s="11">
        <v>78.0</v>
      </c>
      <c r="B82" s="12">
        <v>2.23014123E8</v>
      </c>
      <c r="C82" s="13" t="s">
        <v>122</v>
      </c>
      <c r="D82" s="14">
        <f>CSE4098A_Spring2026_Report!AB82</f>
        <v>30.79</v>
      </c>
      <c r="E82" s="15">
        <f>MIN(45, IF(CSE4098A_Spring2026_Presentatio!AA82&gt;1,
CSE4098A_Spring2026_Presentatio!AA82,
CSE4098A_Spring2026_Presentatio!AA82*45))
</f>
        <v>27.56</v>
      </c>
      <c r="F82" s="32">
        <v>4.0</v>
      </c>
      <c r="G82" s="32">
        <v>8.0</v>
      </c>
      <c r="H82" s="17">
        <f t="shared" si="1"/>
        <v>70.35</v>
      </c>
      <c r="I82" s="18" t="str">
        <f t="shared" si="2"/>
        <v>B</v>
      </c>
      <c r="J82" s="22"/>
    </row>
    <row r="83" ht="15.0" customHeight="1">
      <c r="A83" s="11">
        <v>79.0</v>
      </c>
      <c r="B83" s="12">
        <v>2.23014187E8</v>
      </c>
      <c r="C83" s="13" t="s">
        <v>123</v>
      </c>
      <c r="D83" s="14">
        <f>CSE4098A_Spring2026_Report!AB83</f>
        <v>30.79</v>
      </c>
      <c r="E83" s="15">
        <f>MIN(45, IF(CSE4098A_Spring2026_Presentatio!AA83&gt;1,
CSE4098A_Spring2026_Presentatio!AA83,
CSE4098A_Spring2026_Presentatio!AA83*45))
</f>
        <v>28.44</v>
      </c>
      <c r="F83" s="32">
        <v>4.0</v>
      </c>
      <c r="G83" s="32">
        <v>8.0</v>
      </c>
      <c r="H83" s="17">
        <f t="shared" si="1"/>
        <v>71.23</v>
      </c>
      <c r="I83" s="18" t="str">
        <f t="shared" si="2"/>
        <v>B</v>
      </c>
      <c r="J83" s="22"/>
    </row>
    <row r="84" ht="15.0" customHeight="1">
      <c r="A84" s="11">
        <v>80.0</v>
      </c>
      <c r="B84" s="12">
        <v>2.31014107E8</v>
      </c>
      <c r="C84" s="13" t="s">
        <v>124</v>
      </c>
      <c r="D84" s="14">
        <f>CSE4098A_Spring2026_Report!AB84</f>
        <v>34.67</v>
      </c>
      <c r="E84" s="15">
        <f>MIN(45, IF(CSE4098A_Spring2026_Presentatio!AA84&gt;1,
CSE4098A_Spring2026_Presentatio!AA84,
CSE4098A_Spring2026_Presentatio!AA84*45))
</f>
        <v>40.22</v>
      </c>
      <c r="F84" s="33">
        <v>5.0</v>
      </c>
      <c r="G84" s="33">
        <v>10.0</v>
      </c>
      <c r="H84" s="17">
        <f t="shared" si="1"/>
        <v>89.89</v>
      </c>
      <c r="I84" s="18" t="str">
        <f t="shared" si="2"/>
        <v>A</v>
      </c>
      <c r="J84" s="19" t="s">
        <v>125</v>
      </c>
      <c r="K84" s="20" t="s">
        <v>126</v>
      </c>
    </row>
    <row r="85" ht="15.0" customHeight="1">
      <c r="A85" s="11">
        <v>81.0</v>
      </c>
      <c r="B85" s="12">
        <v>2.31014108E8</v>
      </c>
      <c r="C85" s="13" t="s">
        <v>127</v>
      </c>
      <c r="D85" s="14">
        <f>CSE4098A_Spring2026_Report!AB85</f>
        <v>34.67</v>
      </c>
      <c r="E85" s="15">
        <f>MIN(45, IF(CSE4098A_Spring2026_Presentatio!AA85&gt;1,
CSE4098A_Spring2026_Presentatio!AA85,
CSE4098A_Spring2026_Presentatio!AA85*45))
</f>
        <v>37.78</v>
      </c>
      <c r="F85" s="33">
        <v>4.0</v>
      </c>
      <c r="G85" s="33">
        <v>9.0</v>
      </c>
      <c r="H85" s="17">
        <f t="shared" si="1"/>
        <v>85.45</v>
      </c>
      <c r="I85" s="18" t="str">
        <f t="shared" si="2"/>
        <v>A</v>
      </c>
      <c r="J85" s="22"/>
    </row>
    <row r="86" ht="15.0" customHeight="1">
      <c r="A86" s="11">
        <v>82.0</v>
      </c>
      <c r="B86" s="12">
        <v>2.23014098E8</v>
      </c>
      <c r="C86" s="13" t="s">
        <v>128</v>
      </c>
      <c r="D86" s="14">
        <f>CSE4098A_Spring2026_Report!AB86</f>
        <v>34.67</v>
      </c>
      <c r="E86" s="15">
        <f>MIN(45, IF(CSE4098A_Spring2026_Presentatio!AA86&gt;1,
CSE4098A_Spring2026_Presentatio!AA86,
CSE4098A_Spring2026_Presentatio!AA86*45))
</f>
        <v>35.56</v>
      </c>
      <c r="F86" s="33">
        <v>4.0</v>
      </c>
      <c r="G86" s="33">
        <v>8.0</v>
      </c>
      <c r="H86" s="17">
        <f t="shared" si="1"/>
        <v>82.23</v>
      </c>
      <c r="I86" s="18" t="str">
        <f t="shared" si="2"/>
        <v>A-</v>
      </c>
      <c r="J86" s="22"/>
    </row>
    <row r="87" ht="15.0" customHeight="1">
      <c r="A87" s="11">
        <v>83.0</v>
      </c>
      <c r="B87" s="12">
        <v>2.31014028E8</v>
      </c>
      <c r="C87" s="13" t="s">
        <v>129</v>
      </c>
      <c r="D87" s="14">
        <f>CSE4098A_Spring2026_Report!AB87</f>
        <v>34.67</v>
      </c>
      <c r="E87" s="15">
        <f>MIN(45, IF(CSE4098A_Spring2026_Presentatio!AA87&gt;1,
CSE4098A_Spring2026_Presentatio!AA87,
CSE4098A_Spring2026_Presentatio!AA87*45))
</f>
        <v>36.89</v>
      </c>
      <c r="F87" s="23">
        <v>4.0</v>
      </c>
      <c r="G87" s="23">
        <v>9.0</v>
      </c>
      <c r="H87" s="17">
        <f t="shared" si="1"/>
        <v>84.56</v>
      </c>
      <c r="I87" s="18" t="str">
        <f t="shared" si="2"/>
        <v>A-</v>
      </c>
      <c r="J87" s="22"/>
    </row>
    <row r="88" ht="12.75" customHeight="1">
      <c r="A88" s="35"/>
      <c r="B88" s="36"/>
      <c r="C88" s="37"/>
      <c r="D88" s="37"/>
      <c r="E88" s="37"/>
      <c r="F88" s="37"/>
      <c r="G88" s="37"/>
      <c r="H88" s="37"/>
      <c r="I88" s="37"/>
    </row>
    <row r="89" ht="12.75" customHeight="1">
      <c r="A89" s="35"/>
      <c r="B89" s="36"/>
      <c r="C89" s="37"/>
      <c r="D89" s="37"/>
      <c r="E89" s="37"/>
      <c r="F89" s="37"/>
      <c r="G89" s="37"/>
      <c r="H89" s="37"/>
      <c r="I89" s="37"/>
    </row>
    <row r="90" ht="12.75" customHeight="1">
      <c r="A90" s="35"/>
      <c r="B90" s="36"/>
      <c r="C90" s="37"/>
      <c r="D90" s="37"/>
      <c r="E90" s="37"/>
      <c r="F90" s="37"/>
      <c r="G90" s="37"/>
      <c r="H90" s="37"/>
      <c r="I90" s="37"/>
    </row>
    <row r="91" ht="12.75" customHeight="1">
      <c r="A91" s="35"/>
      <c r="B91" s="36"/>
      <c r="C91" s="37"/>
      <c r="D91" s="37"/>
      <c r="E91" s="37"/>
      <c r="F91" s="37"/>
      <c r="G91" s="37"/>
      <c r="H91" s="37"/>
      <c r="I91" s="37"/>
    </row>
    <row r="92" ht="12.75" customHeight="1">
      <c r="A92" s="38"/>
      <c r="B92" s="36"/>
      <c r="C92" s="37"/>
      <c r="D92" s="37"/>
      <c r="E92" s="37"/>
      <c r="F92" s="37"/>
      <c r="G92" s="39" t="s">
        <v>130</v>
      </c>
      <c r="H92" s="40"/>
      <c r="I92" s="37"/>
    </row>
    <row r="93" ht="12.75" customHeight="1">
      <c r="A93" s="38"/>
      <c r="B93" s="36"/>
      <c r="C93" s="37"/>
      <c r="D93" s="37"/>
      <c r="E93" s="37"/>
      <c r="F93" s="37"/>
      <c r="G93" s="41" t="s">
        <v>131</v>
      </c>
      <c r="H93" s="42">
        <f>COUNTIF(I5:I87, "A+")</f>
        <v>0</v>
      </c>
      <c r="I93" s="37"/>
    </row>
    <row r="94" ht="12.75" customHeight="1">
      <c r="A94" s="38"/>
      <c r="B94" s="36"/>
      <c r="C94" s="37"/>
      <c r="D94" s="37"/>
      <c r="E94" s="37"/>
      <c r="F94" s="37"/>
      <c r="G94" s="41" t="s">
        <v>132</v>
      </c>
      <c r="H94" s="42">
        <f>COUNTIF(I5:I87, "A")</f>
        <v>25</v>
      </c>
      <c r="I94" s="37"/>
    </row>
    <row r="95" ht="12.75" customHeight="1">
      <c r="A95" s="38"/>
      <c r="B95" s="36"/>
      <c r="C95" s="37"/>
      <c r="D95" s="37"/>
      <c r="E95" s="37"/>
      <c r="F95" s="37"/>
      <c r="G95" s="41" t="s">
        <v>133</v>
      </c>
      <c r="H95" s="42">
        <f>COUNTIF(I5:I87, "A-")</f>
        <v>13</v>
      </c>
      <c r="I95" s="37"/>
    </row>
    <row r="96" ht="12.75" customHeight="1">
      <c r="A96" s="38"/>
      <c r="B96" s="36"/>
      <c r="C96" s="37"/>
      <c r="D96" s="37"/>
      <c r="E96" s="37"/>
      <c r="F96" s="37"/>
      <c r="G96" s="41" t="s">
        <v>134</v>
      </c>
      <c r="H96" s="42">
        <f>COUNTIF(I5:I87, "B+")</f>
        <v>8</v>
      </c>
      <c r="I96" s="37"/>
    </row>
    <row r="97" ht="12.75" customHeight="1">
      <c r="A97" s="38"/>
      <c r="B97" s="36"/>
      <c r="C97" s="37"/>
      <c r="D97" s="37"/>
      <c r="E97" s="37"/>
      <c r="F97" s="37"/>
      <c r="G97" s="41" t="s">
        <v>135</v>
      </c>
      <c r="H97" s="42">
        <f>COUNTIF(I5:I87, "B")</f>
        <v>24</v>
      </c>
      <c r="I97" s="37"/>
    </row>
    <row r="98" ht="12.75" customHeight="1">
      <c r="A98" s="38"/>
      <c r="B98" s="36"/>
      <c r="C98" s="37"/>
      <c r="D98" s="37"/>
      <c r="E98" s="37"/>
      <c r="F98" s="37"/>
      <c r="G98" s="41" t="s">
        <v>136</v>
      </c>
      <c r="H98" s="42">
        <f>COUNTIF(I5:I87, "B-")</f>
        <v>8</v>
      </c>
      <c r="I98" s="37"/>
    </row>
    <row r="99" ht="12.75" customHeight="1">
      <c r="A99" s="38"/>
      <c r="B99" s="36"/>
      <c r="C99" s="37"/>
      <c r="D99" s="37"/>
      <c r="E99" s="37"/>
      <c r="F99" s="37"/>
      <c r="G99" s="41" t="s">
        <v>137</v>
      </c>
      <c r="H99" s="42">
        <f>COUNTIF(I5:I87, "C+")</f>
        <v>0</v>
      </c>
      <c r="I99" s="37"/>
    </row>
    <row r="100" ht="12.75" customHeight="1">
      <c r="A100" s="38"/>
      <c r="B100" s="36"/>
      <c r="C100" s="37"/>
      <c r="D100" s="37"/>
      <c r="E100" s="37"/>
      <c r="F100" s="37"/>
      <c r="G100" s="41" t="s">
        <v>138</v>
      </c>
      <c r="H100" s="42">
        <f>COUNTIF(I5:I87, "C")</f>
        <v>5</v>
      </c>
      <c r="I100" s="37"/>
    </row>
    <row r="101" ht="12.75" customHeight="1">
      <c r="A101" s="38"/>
      <c r="B101" s="36"/>
      <c r="C101" s="37"/>
      <c r="D101" s="37"/>
      <c r="E101" s="37"/>
      <c r="F101" s="37"/>
      <c r="G101" s="41" t="s">
        <v>139</v>
      </c>
      <c r="H101" s="42">
        <f>COUNTIF(I5:I87, "D")</f>
        <v>0</v>
      </c>
      <c r="I101" s="37"/>
    </row>
    <row r="102" ht="12.75" customHeight="1">
      <c r="A102" s="38"/>
      <c r="B102" s="36"/>
      <c r="C102" s="37"/>
      <c r="D102" s="37"/>
      <c r="E102" s="37"/>
      <c r="F102" s="37"/>
      <c r="G102" s="41" t="s">
        <v>140</v>
      </c>
      <c r="H102" s="42">
        <f>COUNTIF(I5:I87, "F")</f>
        <v>0</v>
      </c>
      <c r="I102" s="37"/>
    </row>
    <row r="103" ht="12.75" customHeight="1">
      <c r="A103" s="38"/>
      <c r="B103" s="38"/>
      <c r="C103" s="37"/>
      <c r="D103" s="37"/>
      <c r="E103" s="38"/>
      <c r="F103" s="38"/>
      <c r="G103" s="43" t="s">
        <v>141</v>
      </c>
      <c r="H103" s="43">
        <f>SUM(H93:H102)</f>
        <v>83</v>
      </c>
      <c r="I103" s="38"/>
    </row>
    <row r="104" ht="12.75" customHeight="1">
      <c r="A104" s="38"/>
      <c r="B104" s="38"/>
      <c r="C104" s="37"/>
      <c r="D104" s="37"/>
      <c r="E104" s="38"/>
      <c r="F104" s="38"/>
      <c r="G104" s="38"/>
      <c r="H104" s="38"/>
      <c r="I104" s="38"/>
    </row>
    <row r="105" ht="12.75" customHeight="1">
      <c r="A105" s="38"/>
      <c r="B105" s="38"/>
      <c r="C105" s="37"/>
      <c r="D105" s="37"/>
      <c r="E105" s="38"/>
      <c r="F105" s="38"/>
      <c r="G105" s="38"/>
      <c r="H105" s="38"/>
      <c r="I105" s="38"/>
    </row>
    <row r="106" ht="12.75" customHeight="1">
      <c r="A106" s="38"/>
      <c r="B106" s="38"/>
      <c r="C106" s="37"/>
      <c r="D106" s="37"/>
      <c r="E106" s="38"/>
      <c r="F106" s="38"/>
      <c r="G106" s="38"/>
      <c r="H106" s="38"/>
      <c r="I106" s="38"/>
    </row>
    <row r="107" ht="12.75" customHeight="1">
      <c r="A107" s="38"/>
      <c r="B107" s="38"/>
      <c r="C107" s="37"/>
      <c r="D107" s="37"/>
      <c r="E107" s="38"/>
      <c r="F107" s="38"/>
      <c r="G107" s="38"/>
      <c r="H107" s="38"/>
      <c r="I107" s="38"/>
    </row>
    <row r="108" ht="15.75" customHeight="1">
      <c r="A108" s="38"/>
      <c r="B108" s="38"/>
      <c r="C108" s="37"/>
      <c r="D108" s="37"/>
      <c r="E108" s="38"/>
      <c r="F108" s="38"/>
      <c r="G108" s="38"/>
      <c r="H108" s="38"/>
      <c r="I108" s="38"/>
    </row>
    <row r="109" ht="15.75" customHeight="1">
      <c r="A109" s="38"/>
      <c r="B109" s="38"/>
      <c r="C109" s="37" t="s">
        <v>142</v>
      </c>
      <c r="D109" s="37"/>
      <c r="E109" s="38"/>
      <c r="F109" s="38"/>
      <c r="G109" s="38"/>
      <c r="H109" s="38"/>
      <c r="I109" s="38"/>
    </row>
    <row r="110" ht="15.75" customHeight="1">
      <c r="A110" s="38"/>
      <c r="B110" s="38"/>
      <c r="C110" s="37" t="s">
        <v>143</v>
      </c>
      <c r="D110" s="37"/>
      <c r="E110" s="38"/>
      <c r="F110" s="38"/>
      <c r="G110" s="38"/>
      <c r="H110" s="38"/>
      <c r="I110" s="38"/>
    </row>
    <row r="111" ht="15.75" customHeight="1">
      <c r="A111" s="38"/>
      <c r="B111" s="38"/>
      <c r="C111" s="37"/>
      <c r="D111" s="37"/>
      <c r="E111" s="38"/>
      <c r="F111" s="38"/>
      <c r="G111" s="38"/>
      <c r="H111" s="38"/>
      <c r="I111" s="38"/>
    </row>
    <row r="112" ht="15.75" customHeight="1">
      <c r="A112" s="38"/>
      <c r="B112" s="38"/>
      <c r="C112" s="37"/>
      <c r="D112" s="37"/>
      <c r="E112" s="38"/>
      <c r="F112" s="38"/>
      <c r="G112" s="38"/>
      <c r="H112" s="38"/>
      <c r="I112" s="38"/>
    </row>
    <row r="113" ht="15.75" customHeight="1">
      <c r="A113" s="38"/>
      <c r="B113" s="38"/>
      <c r="C113" s="37"/>
      <c r="D113" s="37"/>
      <c r="E113" s="38"/>
      <c r="F113" s="38"/>
      <c r="G113" s="38"/>
      <c r="H113" s="38"/>
      <c r="I113" s="38"/>
    </row>
    <row r="114" ht="15.75" customHeight="1">
      <c r="A114" s="38"/>
      <c r="B114" s="38"/>
      <c r="C114" s="37"/>
      <c r="D114" s="37"/>
      <c r="E114" s="38"/>
      <c r="F114" s="38"/>
      <c r="G114" s="38"/>
      <c r="H114" s="38"/>
      <c r="I114" s="38"/>
    </row>
    <row r="115" ht="15.75" customHeight="1">
      <c r="A115" s="38"/>
      <c r="B115" s="38"/>
      <c r="C115" s="37"/>
      <c r="D115" s="37"/>
      <c r="E115" s="38"/>
      <c r="F115" s="38"/>
      <c r="G115" s="38"/>
      <c r="H115" s="38"/>
      <c r="I115" s="38"/>
    </row>
    <row r="116" ht="15.75" customHeight="1">
      <c r="A116" s="38"/>
      <c r="B116" s="38"/>
      <c r="C116" s="37"/>
      <c r="D116" s="37"/>
      <c r="E116" s="38"/>
      <c r="F116" s="38"/>
      <c r="G116" s="38"/>
      <c r="H116" s="38"/>
      <c r="I116" s="38"/>
    </row>
    <row r="117" ht="15.75" customHeight="1">
      <c r="A117" s="38"/>
      <c r="B117" s="38"/>
      <c r="C117" s="37"/>
      <c r="D117" s="37"/>
      <c r="E117" s="38"/>
      <c r="F117" s="38"/>
      <c r="G117" s="38"/>
      <c r="H117" s="38"/>
      <c r="I117" s="38"/>
    </row>
    <row r="118" ht="15.75" customHeight="1">
      <c r="A118" s="38"/>
      <c r="B118" s="38"/>
      <c r="C118" s="37"/>
      <c r="D118" s="37"/>
      <c r="E118" s="38"/>
      <c r="F118" s="38"/>
      <c r="G118" s="38"/>
      <c r="H118" s="38"/>
      <c r="I118" s="38"/>
    </row>
    <row r="119" ht="15.75" customHeight="1">
      <c r="A119" s="38"/>
      <c r="B119" s="38"/>
      <c r="C119" s="37"/>
      <c r="D119" s="37"/>
      <c r="E119" s="38"/>
      <c r="F119" s="38"/>
      <c r="G119" s="38"/>
      <c r="H119" s="38"/>
      <c r="I119" s="38"/>
    </row>
    <row r="120" ht="15.75" customHeight="1">
      <c r="A120" s="38"/>
      <c r="B120" s="38"/>
      <c r="C120" s="37"/>
      <c r="D120" s="37"/>
      <c r="E120" s="38"/>
      <c r="F120" s="38"/>
      <c r="G120" s="38"/>
      <c r="H120" s="38"/>
      <c r="I120" s="38"/>
    </row>
    <row r="121" ht="15.75" customHeight="1">
      <c r="A121" s="38"/>
      <c r="B121" s="38"/>
      <c r="C121" s="37"/>
      <c r="D121" s="37"/>
      <c r="E121" s="38"/>
      <c r="F121" s="38"/>
      <c r="G121" s="38"/>
      <c r="H121" s="38"/>
      <c r="I121" s="38"/>
    </row>
    <row r="122" ht="15.75" customHeight="1">
      <c r="A122" s="38"/>
      <c r="B122" s="38"/>
      <c r="C122" s="37"/>
      <c r="D122" s="37"/>
      <c r="E122" s="38"/>
      <c r="F122" s="38"/>
      <c r="G122" s="38"/>
      <c r="H122" s="38"/>
      <c r="I122" s="38"/>
    </row>
    <row r="123" ht="15.75" customHeight="1">
      <c r="A123" s="38"/>
      <c r="B123" s="38"/>
      <c r="C123" s="37"/>
      <c r="D123" s="37"/>
      <c r="E123" s="38"/>
      <c r="F123" s="38"/>
      <c r="G123" s="38"/>
      <c r="H123" s="38"/>
      <c r="I123" s="38"/>
    </row>
    <row r="124" ht="15.75" customHeight="1">
      <c r="A124" s="38"/>
      <c r="B124" s="38"/>
      <c r="C124" s="37"/>
      <c r="D124" s="37"/>
      <c r="E124" s="38"/>
      <c r="F124" s="38"/>
      <c r="G124" s="38"/>
      <c r="H124" s="38"/>
      <c r="I124" s="38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44">
    <mergeCell ref="A1:I1"/>
    <mergeCell ref="A2:I2"/>
    <mergeCell ref="A3:I3"/>
    <mergeCell ref="J5:J9"/>
    <mergeCell ref="K5:K9"/>
    <mergeCell ref="J10:J13"/>
    <mergeCell ref="K10:K13"/>
    <mergeCell ref="J14:J17"/>
    <mergeCell ref="K14:K17"/>
    <mergeCell ref="J18:J21"/>
    <mergeCell ref="K18:K21"/>
    <mergeCell ref="J22:J24"/>
    <mergeCell ref="K22:K24"/>
    <mergeCell ref="K25:K28"/>
    <mergeCell ref="J25:J28"/>
    <mergeCell ref="J29:J32"/>
    <mergeCell ref="J33:J37"/>
    <mergeCell ref="J38:J41"/>
    <mergeCell ref="J42:J46"/>
    <mergeCell ref="J47:J50"/>
    <mergeCell ref="J51:J54"/>
    <mergeCell ref="K59:K62"/>
    <mergeCell ref="K63:K66"/>
    <mergeCell ref="K67:K70"/>
    <mergeCell ref="K71:K74"/>
    <mergeCell ref="K75:K79"/>
    <mergeCell ref="K80:K83"/>
    <mergeCell ref="K84:K87"/>
    <mergeCell ref="K29:K32"/>
    <mergeCell ref="K33:K37"/>
    <mergeCell ref="K38:K41"/>
    <mergeCell ref="K42:K46"/>
    <mergeCell ref="K47:K50"/>
    <mergeCell ref="K51:K54"/>
    <mergeCell ref="K55:K58"/>
    <mergeCell ref="J84:J87"/>
    <mergeCell ref="G92:H92"/>
    <mergeCell ref="J55:J58"/>
    <mergeCell ref="J59:J62"/>
    <mergeCell ref="J63:J66"/>
    <mergeCell ref="J67:J70"/>
    <mergeCell ref="J71:J74"/>
    <mergeCell ref="J75:J79"/>
    <mergeCell ref="J80:J8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13"/>
    <col customWidth="1" min="3" max="3" width="29.13"/>
  </cols>
  <sheetData>
    <row r="1">
      <c r="A1" s="44"/>
      <c r="B1" s="44"/>
      <c r="C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5" t="s">
        <v>144</v>
      </c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7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</row>
    <row r="2">
      <c r="A2" s="44"/>
      <c r="B2" s="44"/>
      <c r="C2" s="48" t="s">
        <v>145</v>
      </c>
      <c r="D2" s="49" t="s">
        <v>146</v>
      </c>
      <c r="E2" s="50" t="s">
        <v>147</v>
      </c>
      <c r="F2" s="50" t="s">
        <v>148</v>
      </c>
      <c r="G2" s="51" t="s">
        <v>149</v>
      </c>
      <c r="H2" s="51" t="s">
        <v>150</v>
      </c>
      <c r="I2" s="51" t="s">
        <v>151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52"/>
      <c r="AT2" s="53" t="s">
        <v>152</v>
      </c>
      <c r="AU2" s="54" t="s">
        <v>153</v>
      </c>
      <c r="AV2" s="54" t="s">
        <v>154</v>
      </c>
      <c r="AW2" s="54" t="s">
        <v>155</v>
      </c>
      <c r="AX2" s="54" t="s">
        <v>156</v>
      </c>
      <c r="AY2" s="54" t="s">
        <v>157</v>
      </c>
      <c r="AZ2" s="54" t="s">
        <v>158</v>
      </c>
      <c r="BA2" s="54" t="s">
        <v>159</v>
      </c>
      <c r="BB2" s="54" t="s">
        <v>160</v>
      </c>
      <c r="BC2" s="54" t="s">
        <v>161</v>
      </c>
      <c r="BD2" s="54" t="s">
        <v>162</v>
      </c>
      <c r="BE2" s="55" t="s">
        <v>163</v>
      </c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</row>
    <row r="3">
      <c r="A3" s="44"/>
      <c r="B3" s="44"/>
      <c r="C3" s="56" t="s">
        <v>164</v>
      </c>
      <c r="D3" s="57">
        <v>15.0</v>
      </c>
      <c r="E3" s="58">
        <v>3.0</v>
      </c>
      <c r="F3" s="58">
        <v>3.0</v>
      </c>
      <c r="G3" s="59"/>
      <c r="H3" s="59"/>
      <c r="I3" s="59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60" t="s">
        <v>146</v>
      </c>
      <c r="AT3" s="61">
        <v>0.0</v>
      </c>
      <c r="AU3" s="62">
        <v>1.0</v>
      </c>
      <c r="AV3" s="62">
        <v>0.0</v>
      </c>
      <c r="AW3" s="62">
        <v>0.0</v>
      </c>
      <c r="AX3" s="62">
        <v>0.0</v>
      </c>
      <c r="AY3" s="62">
        <v>0.0</v>
      </c>
      <c r="AZ3" s="62">
        <v>0.0</v>
      </c>
      <c r="BA3" s="62">
        <v>0.0</v>
      </c>
      <c r="BB3" s="62">
        <v>0.0</v>
      </c>
      <c r="BC3" s="62">
        <v>0.0</v>
      </c>
      <c r="BD3" s="62">
        <v>0.0</v>
      </c>
      <c r="BE3" s="63">
        <v>0.0</v>
      </c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</row>
    <row r="4">
      <c r="A4" s="44"/>
      <c r="B4" s="44"/>
      <c r="C4" s="64" t="s">
        <v>165</v>
      </c>
      <c r="D4" s="65"/>
      <c r="E4" s="66"/>
      <c r="F4" s="66"/>
      <c r="G4" s="57">
        <v>5.0</v>
      </c>
      <c r="H4" s="67"/>
      <c r="I4" s="67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8" t="s">
        <v>147</v>
      </c>
      <c r="AT4" s="69">
        <v>0.0</v>
      </c>
      <c r="AU4" s="70">
        <v>0.0</v>
      </c>
      <c r="AV4" s="70">
        <v>0.0</v>
      </c>
      <c r="AW4" s="70">
        <v>0.0</v>
      </c>
      <c r="AX4" s="70">
        <v>0.0</v>
      </c>
      <c r="AY4" s="70">
        <v>0.0</v>
      </c>
      <c r="AZ4" s="70">
        <v>0.0</v>
      </c>
      <c r="BA4" s="70">
        <v>0.0</v>
      </c>
      <c r="BB4" s="70">
        <v>0.0</v>
      </c>
      <c r="BC4" s="70">
        <v>0.0</v>
      </c>
      <c r="BD4" s="70">
        <v>0.0</v>
      </c>
      <c r="BE4" s="71">
        <v>1.0</v>
      </c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</row>
    <row r="5">
      <c r="A5" s="44"/>
      <c r="B5" s="44"/>
      <c r="C5" s="72" t="s">
        <v>166</v>
      </c>
      <c r="D5" s="73"/>
      <c r="E5" s="74"/>
      <c r="F5" s="74"/>
      <c r="G5" s="57"/>
      <c r="H5" s="57">
        <v>10.0</v>
      </c>
      <c r="I5" s="7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68" t="s">
        <v>148</v>
      </c>
      <c r="AT5" s="69">
        <v>0.0</v>
      </c>
      <c r="AU5" s="70">
        <v>0.0</v>
      </c>
      <c r="AV5" s="70">
        <v>0.0</v>
      </c>
      <c r="AW5" s="70">
        <v>0.0</v>
      </c>
      <c r="AX5" s="70">
        <v>0.0</v>
      </c>
      <c r="AY5" s="70">
        <v>0.0</v>
      </c>
      <c r="AZ5" s="70">
        <v>0.0</v>
      </c>
      <c r="BA5" s="70">
        <v>0.0</v>
      </c>
      <c r="BB5" s="70">
        <v>0.0</v>
      </c>
      <c r="BC5" s="70">
        <v>0.0</v>
      </c>
      <c r="BD5" s="70">
        <v>1.0</v>
      </c>
      <c r="BE5" s="71">
        <v>0.0</v>
      </c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</row>
    <row r="6">
      <c r="A6" s="44"/>
      <c r="B6" s="44"/>
      <c r="C6" s="72"/>
      <c r="D6" s="73"/>
      <c r="E6" s="74"/>
      <c r="F6" s="74"/>
      <c r="G6" s="75"/>
      <c r="H6" s="75"/>
      <c r="I6" s="75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68" t="s">
        <v>149</v>
      </c>
      <c r="AT6" s="69">
        <v>0.0</v>
      </c>
      <c r="AU6" s="70">
        <v>0.0</v>
      </c>
      <c r="AV6" s="70">
        <v>0.0</v>
      </c>
      <c r="AW6" s="70">
        <v>0.0</v>
      </c>
      <c r="AX6" s="70">
        <v>0.0</v>
      </c>
      <c r="AY6" s="70">
        <v>0.0</v>
      </c>
      <c r="AZ6" s="70">
        <v>0.0</v>
      </c>
      <c r="BA6" s="70">
        <v>0.0</v>
      </c>
      <c r="BB6" s="70">
        <v>1.0</v>
      </c>
      <c r="BC6" s="70">
        <v>0.0</v>
      </c>
      <c r="BD6" s="70">
        <v>0.0</v>
      </c>
      <c r="BE6" s="71">
        <v>0.0</v>
      </c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</row>
    <row r="7">
      <c r="A7" s="44"/>
      <c r="B7" s="44"/>
      <c r="C7" s="48" t="s">
        <v>141</v>
      </c>
      <c r="D7" s="76">
        <f t="shared" ref="D7:I7" si="1">SUM(D3:D6)</f>
        <v>15</v>
      </c>
      <c r="E7" s="77">
        <f t="shared" si="1"/>
        <v>3</v>
      </c>
      <c r="F7" s="77">
        <f t="shared" si="1"/>
        <v>3</v>
      </c>
      <c r="G7" s="78">
        <f t="shared" si="1"/>
        <v>5</v>
      </c>
      <c r="H7" s="78">
        <f t="shared" si="1"/>
        <v>10</v>
      </c>
      <c r="I7" s="78">
        <f t="shared" si="1"/>
        <v>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79" t="s">
        <v>150</v>
      </c>
      <c r="AT7" s="69">
        <v>0.0</v>
      </c>
      <c r="AU7" s="70">
        <v>0.0</v>
      </c>
      <c r="AV7" s="70">
        <v>0.0</v>
      </c>
      <c r="AW7" s="70">
        <v>0.0</v>
      </c>
      <c r="AX7" s="70">
        <v>0.0</v>
      </c>
      <c r="AY7" s="70">
        <v>0.0</v>
      </c>
      <c r="AZ7" s="70">
        <v>0.0</v>
      </c>
      <c r="BA7" s="70">
        <v>0.0</v>
      </c>
      <c r="BB7" s="70">
        <v>0.0</v>
      </c>
      <c r="BC7" s="70">
        <v>1.0</v>
      </c>
      <c r="BD7" s="70">
        <v>0.0</v>
      </c>
      <c r="BE7" s="71">
        <v>0.0</v>
      </c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80" t="s">
        <v>151</v>
      </c>
      <c r="AT8" s="81">
        <v>0.0</v>
      </c>
      <c r="AU8" s="82">
        <v>0.0</v>
      </c>
      <c r="AV8" s="82">
        <v>0.0</v>
      </c>
      <c r="AW8" s="82">
        <v>0.0</v>
      </c>
      <c r="AX8" s="82">
        <v>0.0</v>
      </c>
      <c r="AY8" s="82">
        <v>0.0</v>
      </c>
      <c r="AZ8" s="82">
        <v>0.0</v>
      </c>
      <c r="BA8" s="82">
        <v>0.0</v>
      </c>
      <c r="BB8" s="82">
        <v>0.0</v>
      </c>
      <c r="BC8" s="82">
        <v>0.0</v>
      </c>
      <c r="BD8" s="82">
        <v>0.0</v>
      </c>
      <c r="BE8" s="83">
        <v>0.0</v>
      </c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84" t="s">
        <v>141</v>
      </c>
      <c r="AT9" s="85">
        <f t="shared" ref="AT9:BE9" si="2">SUM(AT3:AT8)</f>
        <v>0</v>
      </c>
      <c r="AU9" s="86">
        <f t="shared" si="2"/>
        <v>1</v>
      </c>
      <c r="AV9" s="86">
        <f t="shared" si="2"/>
        <v>0</v>
      </c>
      <c r="AW9" s="86">
        <f t="shared" si="2"/>
        <v>0</v>
      </c>
      <c r="AX9" s="86">
        <f t="shared" si="2"/>
        <v>0</v>
      </c>
      <c r="AY9" s="86">
        <f t="shared" si="2"/>
        <v>0</v>
      </c>
      <c r="AZ9" s="86">
        <f t="shared" si="2"/>
        <v>0</v>
      </c>
      <c r="BA9" s="86">
        <f t="shared" si="2"/>
        <v>0</v>
      </c>
      <c r="BB9" s="86">
        <f t="shared" si="2"/>
        <v>1</v>
      </c>
      <c r="BC9" s="86">
        <f t="shared" si="2"/>
        <v>1</v>
      </c>
      <c r="BD9" s="86">
        <f t="shared" si="2"/>
        <v>1</v>
      </c>
      <c r="BE9" s="87">
        <f t="shared" si="2"/>
        <v>1</v>
      </c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</row>
    <row r="11">
      <c r="A11" s="88" t="s">
        <v>167</v>
      </c>
      <c r="B11" s="46"/>
      <c r="C11" s="47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90"/>
      <c r="AB11" s="91" t="s">
        <v>168</v>
      </c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3"/>
      <c r="AT11" s="44"/>
      <c r="AU11" s="94" t="s">
        <v>169</v>
      </c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3"/>
    </row>
    <row r="12">
      <c r="A12" s="95"/>
      <c r="C12" s="96"/>
      <c r="D12" s="97" t="str">
        <f>C3</f>
        <v>Report</v>
      </c>
      <c r="E12" s="98"/>
      <c r="F12" s="98"/>
      <c r="G12" s="98"/>
      <c r="H12" s="98"/>
      <c r="I12" s="99"/>
      <c r="J12" s="100" t="str">
        <f>C4</f>
        <v>Peer</v>
      </c>
      <c r="K12" s="98"/>
      <c r="L12" s="98"/>
      <c r="M12" s="98"/>
      <c r="N12" s="98"/>
      <c r="O12" s="99"/>
      <c r="P12" s="100" t="s">
        <v>170</v>
      </c>
      <c r="Q12" s="98"/>
      <c r="R12" s="98"/>
      <c r="S12" s="98"/>
      <c r="T12" s="98"/>
      <c r="U12" s="99"/>
      <c r="V12" s="100" t="s">
        <v>171</v>
      </c>
      <c r="W12" s="98"/>
      <c r="X12" s="98"/>
      <c r="Y12" s="98"/>
      <c r="Z12" s="98"/>
      <c r="AA12" s="99"/>
      <c r="AB12" s="101" t="s">
        <v>172</v>
      </c>
      <c r="AC12" s="46"/>
      <c r="AD12" s="46"/>
      <c r="AE12" s="46"/>
      <c r="AF12" s="46"/>
      <c r="AG12" s="47"/>
      <c r="AH12" s="102" t="s">
        <v>173</v>
      </c>
      <c r="AI12" s="92"/>
      <c r="AJ12" s="92"/>
      <c r="AK12" s="92"/>
      <c r="AL12" s="92"/>
      <c r="AM12" s="93"/>
      <c r="AN12" s="102" t="s">
        <v>174</v>
      </c>
      <c r="AO12" s="92"/>
      <c r="AP12" s="92"/>
      <c r="AQ12" s="92"/>
      <c r="AR12" s="92"/>
      <c r="AS12" s="93"/>
      <c r="AT12" s="44"/>
      <c r="AU12" s="45" t="s">
        <v>173</v>
      </c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7"/>
      <c r="BG12" s="45" t="s">
        <v>175</v>
      </c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7"/>
    </row>
    <row r="13">
      <c r="A13" s="95"/>
      <c r="C13" s="96"/>
      <c r="D13" s="103" t="s">
        <v>146</v>
      </c>
      <c r="E13" s="104" t="s">
        <v>147</v>
      </c>
      <c r="F13" s="104" t="s">
        <v>148</v>
      </c>
      <c r="G13" s="105" t="s">
        <v>149</v>
      </c>
      <c r="H13" s="105" t="s">
        <v>150</v>
      </c>
      <c r="I13" s="106" t="s">
        <v>151</v>
      </c>
      <c r="J13" s="107" t="s">
        <v>146</v>
      </c>
      <c r="K13" s="108" t="s">
        <v>147</v>
      </c>
      <c r="L13" s="108" t="s">
        <v>148</v>
      </c>
      <c r="M13" s="109" t="s">
        <v>149</v>
      </c>
      <c r="N13" s="109" t="s">
        <v>150</v>
      </c>
      <c r="O13" s="110" t="s">
        <v>151</v>
      </c>
      <c r="P13" s="111" t="s">
        <v>146</v>
      </c>
      <c r="Q13" s="112" t="s">
        <v>147</v>
      </c>
      <c r="R13" s="112" t="s">
        <v>148</v>
      </c>
      <c r="S13" s="112" t="s">
        <v>149</v>
      </c>
      <c r="T13" s="112" t="s">
        <v>150</v>
      </c>
      <c r="U13" s="113" t="s">
        <v>151</v>
      </c>
      <c r="V13" s="111" t="s">
        <v>146</v>
      </c>
      <c r="W13" s="112" t="s">
        <v>147</v>
      </c>
      <c r="X13" s="112" t="s">
        <v>148</v>
      </c>
      <c r="Y13" s="112" t="s">
        <v>149</v>
      </c>
      <c r="Z13" s="112" t="s">
        <v>150</v>
      </c>
      <c r="AA13" s="113" t="s">
        <v>151</v>
      </c>
      <c r="AB13" s="49" t="s">
        <v>146</v>
      </c>
      <c r="AC13" s="49" t="s">
        <v>147</v>
      </c>
      <c r="AD13" s="49" t="s">
        <v>148</v>
      </c>
      <c r="AE13" s="49" t="s">
        <v>149</v>
      </c>
      <c r="AF13" s="49" t="s">
        <v>150</v>
      </c>
      <c r="AG13" s="49" t="s">
        <v>151</v>
      </c>
      <c r="AH13" s="53" t="s">
        <v>146</v>
      </c>
      <c r="AI13" s="54" t="s">
        <v>147</v>
      </c>
      <c r="AJ13" s="54" t="s">
        <v>148</v>
      </c>
      <c r="AK13" s="55" t="s">
        <v>149</v>
      </c>
      <c r="AL13" s="114" t="s">
        <v>150</v>
      </c>
      <c r="AM13" s="55" t="s">
        <v>151</v>
      </c>
      <c r="AN13" s="53" t="s">
        <v>146</v>
      </c>
      <c r="AO13" s="54" t="s">
        <v>147</v>
      </c>
      <c r="AP13" s="54" t="s">
        <v>148</v>
      </c>
      <c r="AQ13" s="114" t="s">
        <v>149</v>
      </c>
      <c r="AR13" s="114" t="s">
        <v>150</v>
      </c>
      <c r="AS13" s="55" t="s">
        <v>151</v>
      </c>
      <c r="AT13" s="115"/>
      <c r="AU13" s="53" t="s">
        <v>152</v>
      </c>
      <c r="AV13" s="54" t="s">
        <v>153</v>
      </c>
      <c r="AW13" s="54" t="s">
        <v>154</v>
      </c>
      <c r="AX13" s="54" t="s">
        <v>155</v>
      </c>
      <c r="AY13" s="54" t="s">
        <v>156</v>
      </c>
      <c r="AZ13" s="54" t="s">
        <v>157</v>
      </c>
      <c r="BA13" s="54" t="s">
        <v>158</v>
      </c>
      <c r="BB13" s="54" t="s">
        <v>159</v>
      </c>
      <c r="BC13" s="54" t="s">
        <v>160</v>
      </c>
      <c r="BD13" s="54" t="s">
        <v>161</v>
      </c>
      <c r="BE13" s="54" t="s">
        <v>162</v>
      </c>
      <c r="BF13" s="55" t="s">
        <v>163</v>
      </c>
      <c r="BG13" s="49" t="s">
        <v>152</v>
      </c>
      <c r="BH13" s="50" t="s">
        <v>153</v>
      </c>
      <c r="BI13" s="50" t="s">
        <v>154</v>
      </c>
      <c r="BJ13" s="50" t="s">
        <v>155</v>
      </c>
      <c r="BK13" s="50" t="s">
        <v>156</v>
      </c>
      <c r="BL13" s="50" t="s">
        <v>157</v>
      </c>
      <c r="BM13" s="50" t="s">
        <v>158</v>
      </c>
      <c r="BN13" s="50" t="s">
        <v>159</v>
      </c>
      <c r="BO13" s="50" t="s">
        <v>160</v>
      </c>
      <c r="BP13" s="50" t="s">
        <v>161</v>
      </c>
      <c r="BQ13" s="50" t="s">
        <v>162</v>
      </c>
      <c r="BR13" s="51" t="s">
        <v>163</v>
      </c>
    </row>
    <row r="14">
      <c r="A14" s="116" t="s">
        <v>176</v>
      </c>
      <c r="B14" s="117" t="s">
        <v>4</v>
      </c>
      <c r="C14" s="118" t="s">
        <v>177</v>
      </c>
      <c r="D14" s="119">
        <f t="shared" ref="D14:I14" si="3">D3</f>
        <v>15</v>
      </c>
      <c r="E14" s="120">
        <f t="shared" si="3"/>
        <v>3</v>
      </c>
      <c r="F14" s="120">
        <f t="shared" si="3"/>
        <v>3</v>
      </c>
      <c r="G14" s="121" t="str">
        <f t="shared" si="3"/>
        <v/>
      </c>
      <c r="H14" s="121" t="str">
        <f t="shared" si="3"/>
        <v/>
      </c>
      <c r="I14" s="122" t="str">
        <f t="shared" si="3"/>
        <v/>
      </c>
      <c r="J14" s="119" t="str">
        <f t="shared" ref="J14:O14" si="4">D4</f>
        <v/>
      </c>
      <c r="K14" s="119" t="str">
        <f t="shared" si="4"/>
        <v/>
      </c>
      <c r="L14" s="120" t="str">
        <f t="shared" si="4"/>
        <v/>
      </c>
      <c r="M14" s="120">
        <f t="shared" si="4"/>
        <v>5</v>
      </c>
      <c r="N14" s="121" t="str">
        <f t="shared" si="4"/>
        <v/>
      </c>
      <c r="O14" s="121" t="str">
        <f t="shared" si="4"/>
        <v/>
      </c>
      <c r="P14" s="123" t="str">
        <f t="shared" ref="P14:U14" si="5">D5</f>
        <v/>
      </c>
      <c r="Q14" s="123" t="str">
        <f t="shared" si="5"/>
        <v/>
      </c>
      <c r="R14" s="123" t="str">
        <f t="shared" si="5"/>
        <v/>
      </c>
      <c r="S14" s="120" t="str">
        <f t="shared" si="5"/>
        <v/>
      </c>
      <c r="T14" s="120">
        <f t="shared" si="5"/>
        <v>10</v>
      </c>
      <c r="U14" s="123" t="str">
        <f t="shared" si="5"/>
        <v/>
      </c>
      <c r="V14" s="123" t="str">
        <f t="shared" ref="V14:AA14" si="6">D6</f>
        <v/>
      </c>
      <c r="W14" s="123" t="str">
        <f t="shared" si="6"/>
        <v/>
      </c>
      <c r="X14" s="123" t="str">
        <f t="shared" si="6"/>
        <v/>
      </c>
      <c r="Y14" s="123" t="str">
        <f t="shared" si="6"/>
        <v/>
      </c>
      <c r="Z14" s="123" t="str">
        <f t="shared" si="6"/>
        <v/>
      </c>
      <c r="AA14" s="123" t="str">
        <f t="shared" si="6"/>
        <v/>
      </c>
      <c r="AB14" s="124">
        <f>SUM(P14,D14,J14)</f>
        <v>15</v>
      </c>
      <c r="AC14" s="120">
        <f t="shared" ref="AC14:AG14" si="7">SUM(K14,E14,Q14)</f>
        <v>3</v>
      </c>
      <c r="AD14" s="120">
        <f t="shared" si="7"/>
        <v>3</v>
      </c>
      <c r="AE14" s="120">
        <f t="shared" si="7"/>
        <v>5</v>
      </c>
      <c r="AF14" s="120">
        <f t="shared" si="7"/>
        <v>10</v>
      </c>
      <c r="AG14" s="120">
        <f t="shared" si="7"/>
        <v>0</v>
      </c>
      <c r="AH14" s="125">
        <v>1.0</v>
      </c>
      <c r="AI14" s="126">
        <v>1.0</v>
      </c>
      <c r="AJ14" s="126">
        <v>1.0</v>
      </c>
      <c r="AK14" s="127">
        <v>1.0</v>
      </c>
      <c r="AL14" s="128">
        <v>1.0</v>
      </c>
      <c r="AM14" s="127">
        <v>1.0</v>
      </c>
      <c r="AN14" s="129" t="s">
        <v>178</v>
      </c>
      <c r="AO14" s="92"/>
      <c r="AP14" s="92"/>
      <c r="AQ14" s="92"/>
      <c r="AR14" s="92"/>
      <c r="AS14" s="93"/>
      <c r="AT14" s="115"/>
      <c r="AU14" s="130">
        <v>1.0</v>
      </c>
      <c r="AV14" s="131">
        <v>1.0</v>
      </c>
      <c r="AW14" s="131">
        <v>1.0</v>
      </c>
      <c r="AX14" s="131">
        <v>1.0</v>
      </c>
      <c r="AY14" s="131">
        <v>1.0</v>
      </c>
      <c r="AZ14" s="131">
        <v>1.0</v>
      </c>
      <c r="BA14" s="131">
        <v>1.0</v>
      </c>
      <c r="BB14" s="131">
        <v>1.0</v>
      </c>
      <c r="BC14" s="131">
        <v>1.0</v>
      </c>
      <c r="BD14" s="131">
        <v>1.0</v>
      </c>
      <c r="BE14" s="131">
        <v>1.0</v>
      </c>
      <c r="BF14" s="132">
        <v>1.0</v>
      </c>
      <c r="BG14" s="133" t="s">
        <v>179</v>
      </c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5"/>
    </row>
    <row r="15">
      <c r="A15" s="136">
        <v>1.0</v>
      </c>
      <c r="B15" s="137">
        <f>CSE4098A_Spring2026_Grade!B5</f>
        <v>231014004</v>
      </c>
      <c r="C15" s="137" t="str">
        <f>CSE4098A_Spring2026_Grade!C5</f>
        <v>Bushra Nusyba Chowdhury</v>
      </c>
      <c r="D15" s="138">
        <f>'CO_Report Evaluation'!P3</f>
        <v>12.66666667</v>
      </c>
      <c r="E15" s="138">
        <f>'CO_Report Evaluation'!Q3</f>
        <v>2.666666667</v>
      </c>
      <c r="F15" s="138">
        <f>'CO_Report Evaluation'!R3</f>
        <v>2.333333333</v>
      </c>
      <c r="G15" s="139"/>
      <c r="H15" s="139"/>
      <c r="I15" s="140"/>
      <c r="J15" s="138"/>
      <c r="K15" s="141"/>
      <c r="L15" s="141"/>
      <c r="M15" s="141">
        <v>2.0</v>
      </c>
      <c r="N15" s="139"/>
      <c r="O15" s="139"/>
      <c r="P15" s="142"/>
      <c r="Q15" s="143"/>
      <c r="R15" s="143"/>
      <c r="S15" s="143"/>
      <c r="T15" s="141">
        <f>((CSE4098A_Spring2026_Grade!E5)*10)/45</f>
        <v>9.135555556</v>
      </c>
      <c r="U15" s="144"/>
      <c r="V15" s="142"/>
      <c r="W15" s="143"/>
      <c r="X15" s="143"/>
      <c r="Y15" s="143"/>
      <c r="Z15" s="143"/>
      <c r="AA15" s="144"/>
      <c r="AB15" s="145">
        <f t="shared" ref="AB15:AB97" si="11">SUM(V15,D15,J15)</f>
        <v>12.66666667</v>
      </c>
      <c r="AC15" s="146">
        <f t="shared" ref="AC15:AE15" si="8">SUM(Q15, W15,E15,K15)</f>
        <v>2.666666667</v>
      </c>
      <c r="AD15" s="146">
        <f t="shared" si="8"/>
        <v>2.333333333</v>
      </c>
      <c r="AE15" s="146">
        <f t="shared" si="8"/>
        <v>2</v>
      </c>
      <c r="AF15" s="146">
        <f t="shared" ref="AF15:AF97" si="13">SUM(T15,H15,N15)</f>
        <v>9.135555556</v>
      </c>
      <c r="AG15" s="146">
        <f t="shared" ref="AG15:AG97" si="14">SUM(AA15,I15,O15)</f>
        <v>0</v>
      </c>
      <c r="AH15" s="147">
        <f t="shared" ref="AH15:AM15" si="9">IF(AB15 = 0, 0, AB15/AB$14)</f>
        <v>0.8444444444</v>
      </c>
      <c r="AI15" s="147">
        <f t="shared" si="9"/>
        <v>0.8888888889</v>
      </c>
      <c r="AJ15" s="147">
        <f t="shared" si="9"/>
        <v>0.7777777778</v>
      </c>
      <c r="AK15" s="147">
        <f t="shared" si="9"/>
        <v>0.4</v>
      </c>
      <c r="AL15" s="147">
        <f t="shared" si="9"/>
        <v>0.9135555556</v>
      </c>
      <c r="AM15" s="147">
        <f t="shared" si="9"/>
        <v>0</v>
      </c>
      <c r="AN15" s="148">
        <f>IF(OR(CSE4098A_Spring2026_Grade!$I5="W (Withdrawn)", CSE4098A_Spring2026_Grade!$I5="I (Incomplete)"), 0, IF(AH15&gt;=55%, 1, 0))</f>
        <v>1</v>
      </c>
      <c r="AO15" s="148">
        <f>IF(OR(CSE4098A_Spring2026_Grade!$I5="W (Withdrawn)", CSE4098A_Spring2026_Grade!I5="I (Incomplete)"), 0, IF(AI15&gt;=55%, 1, 0))</f>
        <v>1</v>
      </c>
      <c r="AP15" s="148">
        <f>IF(OR(CSE4098A_Spring2026_Grade!$I5="W (Withdrawn)", CSE4098A_Spring2026_Grade!$I5="I (Incomplete)"), 0, IF(AJ15&gt;=55%, 1, 0))</f>
        <v>1</v>
      </c>
      <c r="AQ15" s="148">
        <f>IF(OR(CSE4098A_Spring2026_Grade!$I5="W (Withdrawn)", CSE4098A_Spring2026_Grade!$I5="I (Incomplete)"), 0, IF(AK15&gt;=55%, 1, 0))</f>
        <v>0</v>
      </c>
      <c r="AR15" s="148">
        <f>IF(OR(CSE4098A_Spring2026_Grade!$I5="W (Withdrawn)", CSE4098A_Spring2026_Grade!$I5="I (Incomplete)"), 0, IF(AL15&gt;=55%, 1, 0))</f>
        <v>1</v>
      </c>
      <c r="AS15" s="148">
        <f>IF(OR(CSE4098A_Spring2026_Grade!$I5="W (Withdrawn)", CSE4098A_Spring2026_Grade!$I5="I (Incomplete)"), 0, IF(AM15&gt;=55%, 1, 0))</f>
        <v>0</v>
      </c>
      <c r="AT15" s="115"/>
      <c r="AU15" s="149">
        <f t="shared" ref="AU15:AU97" si="16">IF($AT$9=0,0,MMULT($AH15:$AM15, AT$3:AT$8)/$AT$9)</f>
        <v>0</v>
      </c>
      <c r="AV15" s="149">
        <f t="shared" ref="AV15:AV97" si="17">IF($AU$9=0,0,MMULT($AH15:$AM15, AU$3:AU$8)/$AU$9)</f>
        <v>0.8444444444</v>
      </c>
      <c r="AW15" s="149">
        <f t="array" ref="AW15">IF($AV$9=0,0,MMULT($AH15:$AM15, AV$3:AV$8)/$AV$9)</f>
        <v>0</v>
      </c>
      <c r="AX15" s="149">
        <f t="array" ref="AX15">IF($AW$9=0,0,MMULT($AH15:$AM15, AW$3:AW$8)/$AW$9)</f>
        <v>0</v>
      </c>
      <c r="AY15" s="149">
        <f t="shared" ref="AY15:AY97" si="18">IF($AX$9=0,0,MMULT($AH15:$AM15, AX$3:AX$8)/$AX$9)</f>
        <v>0</v>
      </c>
      <c r="AZ15" s="149">
        <f t="array" ref="AZ15">IF($AY$9=0,0,MMULT($AH15:$AM15, AY$3:AY$8)/$AY$9)</f>
        <v>0</v>
      </c>
      <c r="BA15" s="149">
        <f t="array" ref="BA15">IF($AZ$9=0,0,MMULT($AH15:$AM15, AZ$3:AZ$8)/$AZ$9)</f>
        <v>0</v>
      </c>
      <c r="BB15" s="149">
        <f t="array" ref="BB15">IF($BA$9=0,0,MMULT($AH15:$AM15, BA$3:BA$8)/$BA$9)</f>
        <v>0</v>
      </c>
      <c r="BC15" s="149">
        <f t="array" ref="BC15">IF($BB$9=0,0,MMULT($AH15:$AM15, BB$3:BB$8)/$BB$9)</f>
        <v>0.4</v>
      </c>
      <c r="BD15" s="149">
        <f t="array" ref="BD15">IF($BC$9=0,0,MMULT($AH15:$AM15, BC$3:BC$8)/$BC$9)</f>
        <v>0.9135555556</v>
      </c>
      <c r="BE15" s="149">
        <f t="shared" ref="BE15:BE97" si="19">IF($BD$9=0,0,MMULT($AH15:$AM15, BD$3:BD$8)/$BD$9)</f>
        <v>0.7777777778</v>
      </c>
      <c r="BF15" s="149">
        <f t="shared" ref="BF15:BF97" si="20">IF($BE$9=0,0,MMULT($AH15:$AM15, BE$3:BE$8)/$BE$9)</f>
        <v>0.8888888889</v>
      </c>
      <c r="BG15" s="148" t="str">
        <f t="shared" ref="BG15:BG97" si="21">IF(OR(GradeSheet!$M10="W (Withdrawn)", GradeSheet!$M10="I (Incomplete)"), 0, IF(AU15&gt;=55%, 1, 0))</f>
        <v>#REF!</v>
      </c>
      <c r="BH15" s="148">
        <f>IF(OR(CSE4098A_Spring2026_Grade!$I5="W (Withdrawn)", CSE4098A_Spring2026_Grade!$I5="I (Incomplete)"), 0, IF(AV15&gt;=55%, 1, 0))</f>
        <v>1</v>
      </c>
      <c r="BI15" s="148" t="str">
        <f t="shared" ref="BI15:BN15" si="10">IF(OR(GradeSheet!$M10="W (Withdrawn)", GradeSheet!$M10="I (Incomplete)"), 0, IF(AW15&gt;=55%, 1, 0))</f>
        <v>#REF!</v>
      </c>
      <c r="BJ15" s="148" t="str">
        <f t="shared" si="10"/>
        <v>#REF!</v>
      </c>
      <c r="BK15" s="148" t="str">
        <f t="shared" si="10"/>
        <v>#REF!</v>
      </c>
      <c r="BL15" s="148" t="str">
        <f t="shared" si="10"/>
        <v>#REF!</v>
      </c>
      <c r="BM15" s="148" t="str">
        <f t="shared" si="10"/>
        <v>#REF!</v>
      </c>
      <c r="BN15" s="148" t="str">
        <f t="shared" si="10"/>
        <v>#REF!</v>
      </c>
      <c r="BO15" s="148">
        <f>IF(OR(CSE4098A_Spring2026_Grade!$I5="W (Withdrawn)", CSE4098A_Spring2026_Grade!$I5="I (Incomplete)"), 0, IF(BC15&gt;=55%, 1, 0))</f>
        <v>0</v>
      </c>
      <c r="BP15" s="148">
        <f>IF(OR(CSE4098A_Spring2026_Grade!$I5="W (Withdrawn)", CSE4098A_Spring2026_Grade!$I5="I (Incomplete)"), 0, IF(BD15&gt;=55%, 1, 0))</f>
        <v>1</v>
      </c>
      <c r="BQ15" s="148">
        <f>IF(OR(CSE4098A_Spring2026_Grade!$I5="W (Withdrawn)", CSE4098A_Spring2026_Grade!$I5="I (Incomplete)"), 0, IF(BE15&gt;=55%, 1, 0))</f>
        <v>1</v>
      </c>
      <c r="BR15" s="148">
        <f>IF(OR(CSE4098A_Spring2026_Grade!$I5="W (Withdrawn)", CSE4098A_Spring2026_Grade!$I5="I (Incomplete)"), 0, IF(BF15&gt;=55%, 1, 0))</f>
        <v>1</v>
      </c>
    </row>
    <row r="16">
      <c r="A16" s="136">
        <v>2.0</v>
      </c>
      <c r="B16" s="137">
        <f>CSE4098A_Spring2026_Grade!B6</f>
        <v>231014146</v>
      </c>
      <c r="C16" s="137" t="str">
        <f>CSE4098A_Spring2026_Grade!C6</f>
        <v>Tasneem Ahmed</v>
      </c>
      <c r="D16" s="138">
        <f>'CO_Report Evaluation'!P4</f>
        <v>12.66666667</v>
      </c>
      <c r="E16" s="138">
        <f>'CO_Report Evaluation'!Q4</f>
        <v>2.666666667</v>
      </c>
      <c r="F16" s="138">
        <f>'CO_Report Evaluation'!R4</f>
        <v>2.333333333</v>
      </c>
      <c r="G16" s="139"/>
      <c r="H16" s="139"/>
      <c r="I16" s="140"/>
      <c r="J16" s="138"/>
      <c r="K16" s="141"/>
      <c r="L16" s="141"/>
      <c r="M16" s="141">
        <v>2.0</v>
      </c>
      <c r="N16" s="139"/>
      <c r="O16" s="139"/>
      <c r="P16" s="142"/>
      <c r="Q16" s="143"/>
      <c r="R16" s="143"/>
      <c r="S16" s="143"/>
      <c r="T16" s="141">
        <f>((CSE4098A_Spring2026_Grade!E6)*10)/45</f>
        <v>8.18</v>
      </c>
      <c r="U16" s="144"/>
      <c r="V16" s="142"/>
      <c r="W16" s="143"/>
      <c r="X16" s="143"/>
      <c r="Y16" s="143"/>
      <c r="Z16" s="143"/>
      <c r="AA16" s="144"/>
      <c r="AB16" s="145">
        <f t="shared" si="11"/>
        <v>12.66666667</v>
      </c>
      <c r="AC16" s="146">
        <f t="shared" ref="AC16:AE16" si="12">SUM(Q16, W16,E16,K16)</f>
        <v>2.666666667</v>
      </c>
      <c r="AD16" s="146">
        <f t="shared" si="12"/>
        <v>2.333333333</v>
      </c>
      <c r="AE16" s="146">
        <f t="shared" si="12"/>
        <v>2</v>
      </c>
      <c r="AF16" s="146">
        <f t="shared" si="13"/>
        <v>8.18</v>
      </c>
      <c r="AG16" s="146">
        <f t="shared" si="14"/>
        <v>0</v>
      </c>
      <c r="AH16" s="147">
        <f t="shared" ref="AH16:AM16" si="15">IF(AB16 = 0, 0, AB16/AB$14)</f>
        <v>0.8444444444</v>
      </c>
      <c r="AI16" s="147">
        <f t="shared" si="15"/>
        <v>0.8888888889</v>
      </c>
      <c r="AJ16" s="147">
        <f t="shared" si="15"/>
        <v>0.7777777778</v>
      </c>
      <c r="AK16" s="147">
        <f t="shared" si="15"/>
        <v>0.4</v>
      </c>
      <c r="AL16" s="147">
        <f t="shared" si="15"/>
        <v>0.818</v>
      </c>
      <c r="AM16" s="147">
        <f t="shared" si="15"/>
        <v>0</v>
      </c>
      <c r="AN16" s="148">
        <f>IF(OR(CSE4098A_Spring2026_Grade!$I6="W (Withdrawn)", CSE4098A_Spring2026_Grade!$I6="I (Incomplete)"), 0, IF(AH16&gt;=55%, 1, 0))</f>
        <v>1</v>
      </c>
      <c r="AO16" s="148">
        <f>IF(OR(CSE4098A_Spring2026_Grade!$I6="W (Withdrawn)", CSE4098A_Spring2026_Grade!I6="I (Incomplete)"), 0, IF(AI16&gt;=55%, 1, 0))</f>
        <v>1</v>
      </c>
      <c r="AP16" s="148">
        <f>IF(OR(CSE4098A_Spring2026_Grade!$I6="W (Withdrawn)", CSE4098A_Spring2026_Grade!$I6="I (Incomplete)"), 0, IF(AJ16&gt;=55%, 1, 0))</f>
        <v>1</v>
      </c>
      <c r="AQ16" s="148">
        <f>IF(OR(CSE4098A_Spring2026_Grade!$I6="W (Withdrawn)", CSE4098A_Spring2026_Grade!$I6="I (Incomplete)"), 0, IF(AK16&gt;=55%, 1, 0))</f>
        <v>0</v>
      </c>
      <c r="AR16" s="148">
        <f>IF(OR(CSE4098A_Spring2026_Grade!$I6="W (Withdrawn)", CSE4098A_Spring2026_Grade!$I6="I (Incomplete)"), 0, IF(AL16&gt;=55%, 1, 0))</f>
        <v>1</v>
      </c>
      <c r="AS16" s="148">
        <f>IF(OR(CSE4098A_Spring2026_Grade!$I6="W (Withdrawn)", CSE4098A_Spring2026_Grade!$I6="I (Incomplete)"), 0, IF(AM16&gt;=55%, 1, 0))</f>
        <v>0</v>
      </c>
      <c r="AT16" s="115"/>
      <c r="AU16" s="149">
        <f t="shared" si="16"/>
        <v>0</v>
      </c>
      <c r="AV16" s="149">
        <f t="shared" si="17"/>
        <v>0.8444444444</v>
      </c>
      <c r="AW16" s="149">
        <f t="array" ref="AW16">IF($AV$9=0,0,MMULT($AH16:$AM16, AV$3:AV$8)/$AV$9)</f>
        <v>0</v>
      </c>
      <c r="AX16" s="149">
        <f t="array" ref="AX16">IF($AW$9=0,0,MMULT($AH16:$AM16, AW$3:AW$8)/$AW$9)</f>
        <v>0</v>
      </c>
      <c r="AY16" s="149">
        <f t="shared" si="18"/>
        <v>0</v>
      </c>
      <c r="AZ16" s="149">
        <f t="array" ref="AZ16">IF($AY$9=0,0,MMULT($AH16:$AM16, AY$3:AY$8)/$AY$9)</f>
        <v>0</v>
      </c>
      <c r="BA16" s="149">
        <f t="array" ref="BA16">IF($AZ$9=0,0,MMULT($AH16:$AM16, AZ$3:AZ$8)/$AZ$9)</f>
        <v>0</v>
      </c>
      <c r="BB16" s="149">
        <f t="array" ref="BB16">IF($BA$9=0,0,MMULT($AH16:$AM16, BA$3:BA$8)/$BA$9)</f>
        <v>0</v>
      </c>
      <c r="BC16" s="149">
        <f t="array" ref="BC16">IF($BB$9=0,0,MMULT($AH16:$AM16, BB$3:BB$8)/$BB$9)</f>
        <v>0.4</v>
      </c>
      <c r="BD16" s="149">
        <f t="array" ref="BD16">IF($BC$9=0,0,MMULT($AH16:$AM16, BC$3:BC$8)/$BC$9)</f>
        <v>0.818</v>
      </c>
      <c r="BE16" s="149">
        <f t="shared" si="19"/>
        <v>0.7777777778</v>
      </c>
      <c r="BF16" s="149">
        <f t="shared" si="20"/>
        <v>0.8888888889</v>
      </c>
      <c r="BG16" s="148" t="str">
        <f t="shared" si="21"/>
        <v>#REF!</v>
      </c>
      <c r="BH16" s="148">
        <f>IF(OR(CSE4098A_Spring2026_Grade!$I6="W (Withdrawn)", CSE4098A_Spring2026_Grade!$I6="I (Incomplete)"), 0, IF(AV16&gt;=55%, 1, 0))</f>
        <v>1</v>
      </c>
      <c r="BI16" s="148" t="str">
        <f t="shared" ref="BI16:BN16" si="22">IF(OR(GradeSheet!$M11="W (Withdrawn)", GradeSheet!$M11="I (Incomplete)"), 0, IF(AW16&gt;=55%, 1, 0))</f>
        <v>#REF!</v>
      </c>
      <c r="BJ16" s="148" t="str">
        <f t="shared" si="22"/>
        <v>#REF!</v>
      </c>
      <c r="BK16" s="148" t="str">
        <f t="shared" si="22"/>
        <v>#REF!</v>
      </c>
      <c r="BL16" s="148" t="str">
        <f t="shared" si="22"/>
        <v>#REF!</v>
      </c>
      <c r="BM16" s="148" t="str">
        <f t="shared" si="22"/>
        <v>#REF!</v>
      </c>
      <c r="BN16" s="148" t="str">
        <f t="shared" si="22"/>
        <v>#REF!</v>
      </c>
      <c r="BO16" s="148">
        <f>IF(OR(CSE4098A_Spring2026_Grade!$I6="W (Withdrawn)", CSE4098A_Spring2026_Grade!$I6="I (Incomplete)"), 0, IF(BC16&gt;=55%, 1, 0))</f>
        <v>0</v>
      </c>
      <c r="BP16" s="148">
        <f>IF(OR(CSE4098A_Spring2026_Grade!$I6="W (Withdrawn)", CSE4098A_Spring2026_Grade!$I6="I (Incomplete)"), 0, IF(BD16&gt;=55%, 1, 0))</f>
        <v>1</v>
      </c>
      <c r="BQ16" s="148">
        <f>IF(OR(CSE4098A_Spring2026_Grade!$I6="W (Withdrawn)", CSE4098A_Spring2026_Grade!$I6="I (Incomplete)"), 0, IF(BE16&gt;=55%, 1, 0))</f>
        <v>1</v>
      </c>
      <c r="BR16" s="148">
        <f>IF(OR(CSE4098A_Spring2026_Grade!$I6="W (Withdrawn)", CSE4098A_Spring2026_Grade!$I6="I (Incomplete)"), 0, IF(BF16&gt;=55%, 1, 0))</f>
        <v>1</v>
      </c>
    </row>
    <row r="17">
      <c r="A17" s="136">
        <v>3.0</v>
      </c>
      <c r="B17" s="137">
        <f>CSE4098A_Spring2026_Grade!B7</f>
        <v>231014006</v>
      </c>
      <c r="C17" s="137" t="str">
        <f>CSE4098A_Spring2026_Grade!C7</f>
        <v>Ibnul Haque Chowdhury</v>
      </c>
      <c r="D17" s="138">
        <f>'CO_Report Evaluation'!P5</f>
        <v>12.66666667</v>
      </c>
      <c r="E17" s="138">
        <f>'CO_Report Evaluation'!Q5</f>
        <v>2.666666667</v>
      </c>
      <c r="F17" s="138">
        <f>'CO_Report Evaluation'!R5</f>
        <v>2.333333333</v>
      </c>
      <c r="G17" s="139"/>
      <c r="H17" s="139"/>
      <c r="I17" s="140"/>
      <c r="J17" s="138"/>
      <c r="K17" s="141"/>
      <c r="L17" s="141"/>
      <c r="M17" s="141">
        <v>2.0</v>
      </c>
      <c r="N17" s="139"/>
      <c r="O17" s="139"/>
      <c r="P17" s="142"/>
      <c r="Q17" s="143"/>
      <c r="R17" s="143"/>
      <c r="S17" s="143"/>
      <c r="T17" s="141">
        <f>((CSE4098A_Spring2026_Grade!E7)*10)/45</f>
        <v>8.097777778</v>
      </c>
      <c r="U17" s="144"/>
      <c r="V17" s="142"/>
      <c r="W17" s="143"/>
      <c r="X17" s="143"/>
      <c r="Y17" s="143"/>
      <c r="Z17" s="143"/>
      <c r="AA17" s="144"/>
      <c r="AB17" s="145">
        <f t="shared" si="11"/>
        <v>12.66666667</v>
      </c>
      <c r="AC17" s="146">
        <f t="shared" ref="AC17:AE17" si="23">SUM(Q17, W17,E17,K17)</f>
        <v>2.666666667</v>
      </c>
      <c r="AD17" s="146">
        <f t="shared" si="23"/>
        <v>2.333333333</v>
      </c>
      <c r="AE17" s="146">
        <f t="shared" si="23"/>
        <v>2</v>
      </c>
      <c r="AF17" s="146">
        <f t="shared" si="13"/>
        <v>8.097777778</v>
      </c>
      <c r="AG17" s="146">
        <f t="shared" si="14"/>
        <v>0</v>
      </c>
      <c r="AH17" s="147">
        <f t="shared" ref="AH17:AM17" si="24">IF(AB17 = 0, 0, AB17/AB$14)</f>
        <v>0.8444444444</v>
      </c>
      <c r="AI17" s="147">
        <f t="shared" si="24"/>
        <v>0.8888888889</v>
      </c>
      <c r="AJ17" s="147">
        <f t="shared" si="24"/>
        <v>0.7777777778</v>
      </c>
      <c r="AK17" s="147">
        <f t="shared" si="24"/>
        <v>0.4</v>
      </c>
      <c r="AL17" s="147">
        <f t="shared" si="24"/>
        <v>0.8097777778</v>
      </c>
      <c r="AM17" s="147">
        <f t="shared" si="24"/>
        <v>0</v>
      </c>
      <c r="AN17" s="148">
        <f>IF(OR(CSE4098A_Spring2026_Grade!$I7="W (Withdrawn)", CSE4098A_Spring2026_Grade!$I7="I (Incomplete)"), 0, IF(AH17&gt;=55%, 1, 0))</f>
        <v>1</v>
      </c>
      <c r="AO17" s="148">
        <f>IF(OR(CSE4098A_Spring2026_Grade!$I7="W (Withdrawn)", CSE4098A_Spring2026_Grade!I7="I (Incomplete)"), 0, IF(AI17&gt;=55%, 1, 0))</f>
        <v>1</v>
      </c>
      <c r="AP17" s="148">
        <f>IF(OR(CSE4098A_Spring2026_Grade!$I7="W (Withdrawn)", CSE4098A_Spring2026_Grade!$I7="I (Incomplete)"), 0, IF(AJ17&gt;=55%, 1, 0))</f>
        <v>1</v>
      </c>
      <c r="AQ17" s="148">
        <f>IF(OR(CSE4098A_Spring2026_Grade!$I7="W (Withdrawn)", CSE4098A_Spring2026_Grade!$I7="I (Incomplete)"), 0, IF(AK17&gt;=55%, 1, 0))</f>
        <v>0</v>
      </c>
      <c r="AR17" s="148">
        <f>IF(OR(CSE4098A_Spring2026_Grade!$I7="W (Withdrawn)", CSE4098A_Spring2026_Grade!$I7="I (Incomplete)"), 0, IF(AL17&gt;=55%, 1, 0))</f>
        <v>1</v>
      </c>
      <c r="AS17" s="148">
        <f>IF(OR(CSE4098A_Spring2026_Grade!$I7="W (Withdrawn)", CSE4098A_Spring2026_Grade!$I7="I (Incomplete)"), 0, IF(AM17&gt;=55%, 1, 0))</f>
        <v>0</v>
      </c>
      <c r="AT17" s="115"/>
      <c r="AU17" s="149">
        <f t="shared" si="16"/>
        <v>0</v>
      </c>
      <c r="AV17" s="149">
        <f t="shared" si="17"/>
        <v>0.8444444444</v>
      </c>
      <c r="AW17" s="149">
        <f t="array" ref="AW17">IF($AV$9=0,0,MMULT($AH17:$AM17, AV$3:AV$8)/$AV$9)</f>
        <v>0</v>
      </c>
      <c r="AX17" s="149">
        <f t="array" ref="AX17">IF($AW$9=0,0,MMULT($AH17:$AM17, AW$3:AW$8)/$AW$9)</f>
        <v>0</v>
      </c>
      <c r="AY17" s="149">
        <f t="shared" si="18"/>
        <v>0</v>
      </c>
      <c r="AZ17" s="149">
        <f t="array" ref="AZ17">IF($AY$9=0,0,MMULT($AH17:$AM17, AY$3:AY$8)/$AY$9)</f>
        <v>0</v>
      </c>
      <c r="BA17" s="149">
        <f t="array" ref="BA17">IF($AZ$9=0,0,MMULT($AH17:$AM17, AZ$3:AZ$8)/$AZ$9)</f>
        <v>0</v>
      </c>
      <c r="BB17" s="149">
        <f t="array" ref="BB17">IF($BA$9=0,0,MMULT($AH17:$AM17, BA$3:BA$8)/$BA$9)</f>
        <v>0</v>
      </c>
      <c r="BC17" s="149">
        <f t="array" ref="BC17">IF($BB$9=0,0,MMULT($AH17:$AM17, BB$3:BB$8)/$BB$9)</f>
        <v>0.4</v>
      </c>
      <c r="BD17" s="149">
        <f t="array" ref="BD17">IF($BC$9=0,0,MMULT($AH17:$AM17, BC$3:BC$8)/$BC$9)</f>
        <v>0.8097777778</v>
      </c>
      <c r="BE17" s="149">
        <f t="shared" si="19"/>
        <v>0.7777777778</v>
      </c>
      <c r="BF17" s="149">
        <f t="shared" si="20"/>
        <v>0.8888888889</v>
      </c>
      <c r="BG17" s="148" t="str">
        <f t="shared" si="21"/>
        <v>#REF!</v>
      </c>
      <c r="BH17" s="148">
        <f>IF(OR(CSE4098A_Spring2026_Grade!$I7="W (Withdrawn)", CSE4098A_Spring2026_Grade!$I7="I (Incomplete)"), 0, IF(AV17&gt;=55%, 1, 0))</f>
        <v>1</v>
      </c>
      <c r="BI17" s="148" t="str">
        <f t="shared" ref="BI17:BN17" si="25">IF(OR(GradeSheet!$M12="W (Withdrawn)", GradeSheet!$M12="I (Incomplete)"), 0, IF(AW17&gt;=55%, 1, 0))</f>
        <v>#REF!</v>
      </c>
      <c r="BJ17" s="148" t="str">
        <f t="shared" si="25"/>
        <v>#REF!</v>
      </c>
      <c r="BK17" s="148" t="str">
        <f t="shared" si="25"/>
        <v>#REF!</v>
      </c>
      <c r="BL17" s="148" t="str">
        <f t="shared" si="25"/>
        <v>#REF!</v>
      </c>
      <c r="BM17" s="148" t="str">
        <f t="shared" si="25"/>
        <v>#REF!</v>
      </c>
      <c r="BN17" s="148" t="str">
        <f t="shared" si="25"/>
        <v>#REF!</v>
      </c>
      <c r="BO17" s="148">
        <f>IF(OR(CSE4098A_Spring2026_Grade!$I7="W (Withdrawn)", CSE4098A_Spring2026_Grade!$I7="I (Incomplete)"), 0, IF(BC17&gt;=55%, 1, 0))</f>
        <v>0</v>
      </c>
      <c r="BP17" s="148">
        <f>IF(OR(CSE4098A_Spring2026_Grade!$I7="W (Withdrawn)", CSE4098A_Spring2026_Grade!$I7="I (Incomplete)"), 0, IF(BD17&gt;=55%, 1, 0))</f>
        <v>1</v>
      </c>
      <c r="BQ17" s="148">
        <f>IF(OR(CSE4098A_Spring2026_Grade!$I7="W (Withdrawn)", CSE4098A_Spring2026_Grade!$I7="I (Incomplete)"), 0, IF(BE17&gt;=55%, 1, 0))</f>
        <v>1</v>
      </c>
      <c r="BR17" s="148">
        <f>IF(OR(CSE4098A_Spring2026_Grade!$I7="W (Withdrawn)", CSE4098A_Spring2026_Grade!$I7="I (Incomplete)"), 0, IF(BF17&gt;=55%, 1, 0))</f>
        <v>1</v>
      </c>
    </row>
    <row r="18">
      <c r="A18" s="136">
        <v>4.0</v>
      </c>
      <c r="B18" s="137">
        <f>CSE4098A_Spring2026_Grade!B8</f>
        <v>231014022</v>
      </c>
      <c r="C18" s="137" t="str">
        <f>CSE4098A_Spring2026_Grade!C8</f>
        <v>Rafsan Islam</v>
      </c>
      <c r="D18" s="138">
        <f>'CO_Report Evaluation'!P6</f>
        <v>12.66666667</v>
      </c>
      <c r="E18" s="138">
        <f>'CO_Report Evaluation'!Q6</f>
        <v>2.666666667</v>
      </c>
      <c r="F18" s="138">
        <f>'CO_Report Evaluation'!R6</f>
        <v>2.333333333</v>
      </c>
      <c r="G18" s="139"/>
      <c r="H18" s="139"/>
      <c r="I18" s="140"/>
      <c r="J18" s="138"/>
      <c r="K18" s="141"/>
      <c r="L18" s="141"/>
      <c r="M18" s="141">
        <v>2.0</v>
      </c>
      <c r="N18" s="139"/>
      <c r="O18" s="139"/>
      <c r="P18" s="142"/>
      <c r="Q18" s="143"/>
      <c r="R18" s="143"/>
      <c r="S18" s="143"/>
      <c r="T18" s="141">
        <f>((CSE4098A_Spring2026_Grade!E8)*10)/45</f>
        <v>8.822222222</v>
      </c>
      <c r="U18" s="144"/>
      <c r="V18" s="142"/>
      <c r="W18" s="143"/>
      <c r="X18" s="143"/>
      <c r="Y18" s="143"/>
      <c r="Z18" s="143"/>
      <c r="AA18" s="144"/>
      <c r="AB18" s="145">
        <f t="shared" si="11"/>
        <v>12.66666667</v>
      </c>
      <c r="AC18" s="146">
        <f t="shared" ref="AC18:AE18" si="26">SUM(Q18, W18,E18,K18)</f>
        <v>2.666666667</v>
      </c>
      <c r="AD18" s="146">
        <f t="shared" si="26"/>
        <v>2.333333333</v>
      </c>
      <c r="AE18" s="146">
        <f t="shared" si="26"/>
        <v>2</v>
      </c>
      <c r="AF18" s="146">
        <f t="shared" si="13"/>
        <v>8.822222222</v>
      </c>
      <c r="AG18" s="146">
        <f t="shared" si="14"/>
        <v>0</v>
      </c>
      <c r="AH18" s="147">
        <f t="shared" ref="AH18:AM18" si="27">IF(AB18 = 0, 0, AB18/AB$14)</f>
        <v>0.8444444444</v>
      </c>
      <c r="AI18" s="147">
        <f t="shared" si="27"/>
        <v>0.8888888889</v>
      </c>
      <c r="AJ18" s="147">
        <f t="shared" si="27"/>
        <v>0.7777777778</v>
      </c>
      <c r="AK18" s="147">
        <f t="shared" si="27"/>
        <v>0.4</v>
      </c>
      <c r="AL18" s="147">
        <f t="shared" si="27"/>
        <v>0.8822222222</v>
      </c>
      <c r="AM18" s="147">
        <f t="shared" si="27"/>
        <v>0</v>
      </c>
      <c r="AN18" s="148">
        <f>IF(OR(CSE4098A_Spring2026_Grade!$I8="W (Withdrawn)", CSE4098A_Spring2026_Grade!$I8="I (Incomplete)"), 0, IF(AH18&gt;=55%, 1, 0))</f>
        <v>1</v>
      </c>
      <c r="AO18" s="148">
        <f>IF(OR(CSE4098A_Spring2026_Grade!$I8="W (Withdrawn)", CSE4098A_Spring2026_Grade!I8="I (Incomplete)"), 0, IF(AI18&gt;=55%, 1, 0))</f>
        <v>1</v>
      </c>
      <c r="AP18" s="148">
        <f>IF(OR(CSE4098A_Spring2026_Grade!$I8="W (Withdrawn)", CSE4098A_Spring2026_Grade!$I8="I (Incomplete)"), 0, IF(AJ18&gt;=55%, 1, 0))</f>
        <v>1</v>
      </c>
      <c r="AQ18" s="148">
        <f>IF(OR(CSE4098A_Spring2026_Grade!$I8="W (Withdrawn)", CSE4098A_Spring2026_Grade!$I8="I (Incomplete)"), 0, IF(AK18&gt;=55%, 1, 0))</f>
        <v>0</v>
      </c>
      <c r="AR18" s="148">
        <f>IF(OR(CSE4098A_Spring2026_Grade!$I8="W (Withdrawn)", CSE4098A_Spring2026_Grade!$I8="I (Incomplete)"), 0, IF(AL18&gt;=55%, 1, 0))</f>
        <v>1</v>
      </c>
      <c r="AS18" s="148">
        <f>IF(OR(CSE4098A_Spring2026_Grade!$I8="W (Withdrawn)", CSE4098A_Spring2026_Grade!$I8="I (Incomplete)"), 0, IF(AM18&gt;=55%, 1, 0))</f>
        <v>0</v>
      </c>
      <c r="AT18" s="115"/>
      <c r="AU18" s="149">
        <f t="shared" si="16"/>
        <v>0</v>
      </c>
      <c r="AV18" s="149">
        <f t="shared" si="17"/>
        <v>0.8444444444</v>
      </c>
      <c r="AW18" s="149">
        <f t="array" ref="AW18">IF($AV$9=0,0,MMULT($AH18:$AM18, AV$3:AV$8)/$AV$9)</f>
        <v>0</v>
      </c>
      <c r="AX18" s="149">
        <f t="array" ref="AX18">IF($AW$9=0,0,MMULT($AH18:$AM18, AW$3:AW$8)/$AW$9)</f>
        <v>0</v>
      </c>
      <c r="AY18" s="149">
        <f t="shared" si="18"/>
        <v>0</v>
      </c>
      <c r="AZ18" s="149">
        <f t="array" ref="AZ18">IF($AY$9=0,0,MMULT($AH18:$AM18, AY$3:AY$8)/$AY$9)</f>
        <v>0</v>
      </c>
      <c r="BA18" s="149">
        <f t="array" ref="BA18">IF($AZ$9=0,0,MMULT($AH18:$AM18, AZ$3:AZ$8)/$AZ$9)</f>
        <v>0</v>
      </c>
      <c r="BB18" s="149">
        <f t="array" ref="BB18">IF($BA$9=0,0,MMULT($AH18:$AM18, BA$3:BA$8)/$BA$9)</f>
        <v>0</v>
      </c>
      <c r="BC18" s="149">
        <f t="array" ref="BC18">IF($BB$9=0,0,MMULT($AH18:$AM18, BB$3:BB$8)/$BB$9)</f>
        <v>0.4</v>
      </c>
      <c r="BD18" s="149">
        <f t="array" ref="BD18">IF($BC$9=0,0,MMULT($AH18:$AM18, BC$3:BC$8)/$BC$9)</f>
        <v>0.8822222222</v>
      </c>
      <c r="BE18" s="149">
        <f t="shared" si="19"/>
        <v>0.7777777778</v>
      </c>
      <c r="BF18" s="149">
        <f t="shared" si="20"/>
        <v>0.8888888889</v>
      </c>
      <c r="BG18" s="148" t="str">
        <f t="shared" si="21"/>
        <v>#REF!</v>
      </c>
      <c r="BH18" s="148">
        <f>IF(OR(CSE4098A_Spring2026_Grade!$I8="W (Withdrawn)", CSE4098A_Spring2026_Grade!$I8="I (Incomplete)"), 0, IF(AV18&gt;=55%, 1, 0))</f>
        <v>1</v>
      </c>
      <c r="BI18" s="148" t="str">
        <f t="shared" ref="BI18:BN18" si="28">IF(OR(GradeSheet!$M13="W (Withdrawn)", GradeSheet!$M13="I (Incomplete)"), 0, IF(AW18&gt;=55%, 1, 0))</f>
        <v>#REF!</v>
      </c>
      <c r="BJ18" s="148" t="str">
        <f t="shared" si="28"/>
        <v>#REF!</v>
      </c>
      <c r="BK18" s="148" t="str">
        <f t="shared" si="28"/>
        <v>#REF!</v>
      </c>
      <c r="BL18" s="148" t="str">
        <f t="shared" si="28"/>
        <v>#REF!</v>
      </c>
      <c r="BM18" s="148" t="str">
        <f t="shared" si="28"/>
        <v>#REF!</v>
      </c>
      <c r="BN18" s="148" t="str">
        <f t="shared" si="28"/>
        <v>#REF!</v>
      </c>
      <c r="BO18" s="148">
        <f>IF(OR(CSE4098A_Spring2026_Grade!$I8="W (Withdrawn)", CSE4098A_Spring2026_Grade!$I8="I (Incomplete)"), 0, IF(BC18&gt;=55%, 1, 0))</f>
        <v>0</v>
      </c>
      <c r="BP18" s="148">
        <f>IF(OR(CSE4098A_Spring2026_Grade!$I8="W (Withdrawn)", CSE4098A_Spring2026_Grade!$I8="I (Incomplete)"), 0, IF(BD18&gt;=55%, 1, 0))</f>
        <v>1</v>
      </c>
      <c r="BQ18" s="148">
        <f>IF(OR(CSE4098A_Spring2026_Grade!$I8="W (Withdrawn)", CSE4098A_Spring2026_Grade!$I8="I (Incomplete)"), 0, IF(BE18&gt;=55%, 1, 0))</f>
        <v>1</v>
      </c>
      <c r="BR18" s="148">
        <f>IF(OR(CSE4098A_Spring2026_Grade!$I8="W (Withdrawn)", CSE4098A_Spring2026_Grade!$I8="I (Incomplete)"), 0, IF(BF18&gt;=55%, 1, 0))</f>
        <v>1</v>
      </c>
    </row>
    <row r="19">
      <c r="A19" s="136">
        <v>5.0</v>
      </c>
      <c r="B19" s="137">
        <f>CSE4098A_Spring2026_Grade!B9</f>
        <v>231014042</v>
      </c>
      <c r="C19" s="137" t="str">
        <f>CSE4098A_Spring2026_Grade!C9</f>
        <v>Abir Akbar</v>
      </c>
      <c r="D19" s="138">
        <f>'CO_Report Evaluation'!P7</f>
        <v>12.66666667</v>
      </c>
      <c r="E19" s="138">
        <f>'CO_Report Evaluation'!Q7</f>
        <v>2.666666667</v>
      </c>
      <c r="F19" s="138">
        <f>'CO_Report Evaluation'!R7</f>
        <v>2.333333333</v>
      </c>
      <c r="G19" s="139"/>
      <c r="H19" s="139"/>
      <c r="I19" s="140"/>
      <c r="J19" s="138"/>
      <c r="K19" s="141"/>
      <c r="L19" s="141"/>
      <c r="M19" s="141">
        <v>3.0</v>
      </c>
      <c r="N19" s="139"/>
      <c r="O19" s="139"/>
      <c r="P19" s="142"/>
      <c r="Q19" s="143"/>
      <c r="R19" s="143"/>
      <c r="S19" s="143"/>
      <c r="T19" s="141">
        <f>((CSE4098A_Spring2026_Grade!E9)*10)/45</f>
        <v>7.984444444</v>
      </c>
      <c r="U19" s="144"/>
      <c r="V19" s="142"/>
      <c r="W19" s="143"/>
      <c r="X19" s="143"/>
      <c r="Y19" s="143"/>
      <c r="Z19" s="143"/>
      <c r="AA19" s="144"/>
      <c r="AB19" s="145">
        <f t="shared" si="11"/>
        <v>12.66666667</v>
      </c>
      <c r="AC19" s="146">
        <f t="shared" ref="AC19:AE19" si="29">SUM(Q19, W19,E19,K19)</f>
        <v>2.666666667</v>
      </c>
      <c r="AD19" s="146">
        <f t="shared" si="29"/>
        <v>2.333333333</v>
      </c>
      <c r="AE19" s="146">
        <f t="shared" si="29"/>
        <v>3</v>
      </c>
      <c r="AF19" s="146">
        <f t="shared" si="13"/>
        <v>7.984444444</v>
      </c>
      <c r="AG19" s="146">
        <f t="shared" si="14"/>
        <v>0</v>
      </c>
      <c r="AH19" s="147">
        <f t="shared" ref="AH19:AM19" si="30">IF(AB19 = 0, 0, AB19/AB$14)</f>
        <v>0.8444444444</v>
      </c>
      <c r="AI19" s="147">
        <f t="shared" si="30"/>
        <v>0.8888888889</v>
      </c>
      <c r="AJ19" s="147">
        <f t="shared" si="30"/>
        <v>0.7777777778</v>
      </c>
      <c r="AK19" s="147">
        <f t="shared" si="30"/>
        <v>0.6</v>
      </c>
      <c r="AL19" s="147">
        <f t="shared" si="30"/>
        <v>0.7984444444</v>
      </c>
      <c r="AM19" s="147">
        <f t="shared" si="30"/>
        <v>0</v>
      </c>
      <c r="AN19" s="148">
        <f>IF(OR(CSE4098A_Spring2026_Grade!$I9="W (Withdrawn)", CSE4098A_Spring2026_Grade!$I9="I (Incomplete)"), 0, IF(AH19&gt;=55%, 1, 0))</f>
        <v>1</v>
      </c>
      <c r="AO19" s="148">
        <f>IF(OR(CSE4098A_Spring2026_Grade!$I9="W (Withdrawn)", CSE4098A_Spring2026_Grade!I9="I (Incomplete)"), 0, IF(AI19&gt;=55%, 1, 0))</f>
        <v>1</v>
      </c>
      <c r="AP19" s="148">
        <f>IF(OR(CSE4098A_Spring2026_Grade!$I9="W (Withdrawn)", CSE4098A_Spring2026_Grade!$I9="I (Incomplete)"), 0, IF(AJ19&gt;=55%, 1, 0))</f>
        <v>1</v>
      </c>
      <c r="AQ19" s="148">
        <f>IF(OR(CSE4098A_Spring2026_Grade!$I9="W (Withdrawn)", CSE4098A_Spring2026_Grade!$I9="I (Incomplete)"), 0, IF(AK19&gt;=55%, 1, 0))</f>
        <v>1</v>
      </c>
      <c r="AR19" s="148">
        <f>IF(OR(CSE4098A_Spring2026_Grade!$I9="W (Withdrawn)", CSE4098A_Spring2026_Grade!$I9="I (Incomplete)"), 0, IF(AL19&gt;=55%, 1, 0))</f>
        <v>1</v>
      </c>
      <c r="AS19" s="148">
        <f>IF(OR(CSE4098A_Spring2026_Grade!$I9="W (Withdrawn)", CSE4098A_Spring2026_Grade!$I9="I (Incomplete)"), 0, IF(AM19&gt;=55%, 1, 0))</f>
        <v>0</v>
      </c>
      <c r="AT19" s="115"/>
      <c r="AU19" s="149">
        <f t="shared" si="16"/>
        <v>0</v>
      </c>
      <c r="AV19" s="149">
        <f t="shared" si="17"/>
        <v>0.8444444444</v>
      </c>
      <c r="AW19" s="149">
        <f t="array" ref="AW19">IF($AV$9=0,0,MMULT($AH19:$AM19, AV$3:AV$8)/$AV$9)</f>
        <v>0</v>
      </c>
      <c r="AX19" s="149">
        <f t="array" ref="AX19">IF($AW$9=0,0,MMULT($AH19:$AM19, AW$3:AW$8)/$AW$9)</f>
        <v>0</v>
      </c>
      <c r="AY19" s="149">
        <f t="shared" si="18"/>
        <v>0</v>
      </c>
      <c r="AZ19" s="149">
        <f t="array" ref="AZ19">IF($AY$9=0,0,MMULT($AH19:$AM19, AY$3:AY$8)/$AY$9)</f>
        <v>0</v>
      </c>
      <c r="BA19" s="149">
        <f t="array" ref="BA19">IF($AZ$9=0,0,MMULT($AH19:$AM19, AZ$3:AZ$8)/$AZ$9)</f>
        <v>0</v>
      </c>
      <c r="BB19" s="149">
        <f t="array" ref="BB19">IF($BA$9=0,0,MMULT($AH19:$AM19, BA$3:BA$8)/$BA$9)</f>
        <v>0</v>
      </c>
      <c r="BC19" s="149">
        <f t="array" ref="BC19">IF($BB$9=0,0,MMULT($AH19:$AM19, BB$3:BB$8)/$BB$9)</f>
        <v>0.6</v>
      </c>
      <c r="BD19" s="149">
        <f t="array" ref="BD19">IF($BC$9=0,0,MMULT($AH19:$AM19, BC$3:BC$8)/$BC$9)</f>
        <v>0.7984444444</v>
      </c>
      <c r="BE19" s="149">
        <f t="shared" si="19"/>
        <v>0.7777777778</v>
      </c>
      <c r="BF19" s="149">
        <f t="shared" si="20"/>
        <v>0.8888888889</v>
      </c>
      <c r="BG19" s="148" t="str">
        <f t="shared" si="21"/>
        <v>#REF!</v>
      </c>
      <c r="BH19" s="148">
        <f>IF(OR(CSE4098A_Spring2026_Grade!$I9="W (Withdrawn)", CSE4098A_Spring2026_Grade!$I9="I (Incomplete)"), 0, IF(AV19&gt;=55%, 1, 0))</f>
        <v>1</v>
      </c>
      <c r="BI19" s="148" t="str">
        <f t="shared" ref="BI19:BN19" si="31">IF(OR(GradeSheet!$M14="W (Withdrawn)", GradeSheet!$M14="I (Incomplete)"), 0, IF(AW19&gt;=55%, 1, 0))</f>
        <v>#REF!</v>
      </c>
      <c r="BJ19" s="148" t="str">
        <f t="shared" si="31"/>
        <v>#REF!</v>
      </c>
      <c r="BK19" s="148" t="str">
        <f t="shared" si="31"/>
        <v>#REF!</v>
      </c>
      <c r="BL19" s="148" t="str">
        <f t="shared" si="31"/>
        <v>#REF!</v>
      </c>
      <c r="BM19" s="148" t="str">
        <f t="shared" si="31"/>
        <v>#REF!</v>
      </c>
      <c r="BN19" s="148" t="str">
        <f t="shared" si="31"/>
        <v>#REF!</v>
      </c>
      <c r="BO19" s="148">
        <f>IF(OR(CSE4098A_Spring2026_Grade!$I9="W (Withdrawn)", CSE4098A_Spring2026_Grade!$I9="I (Incomplete)"), 0, IF(BC19&gt;=55%, 1, 0))</f>
        <v>1</v>
      </c>
      <c r="BP19" s="148">
        <f>IF(OR(CSE4098A_Spring2026_Grade!$I9="W (Withdrawn)", CSE4098A_Spring2026_Grade!$I9="I (Incomplete)"), 0, IF(BD19&gt;=55%, 1, 0))</f>
        <v>1</v>
      </c>
      <c r="BQ19" s="148">
        <f>IF(OR(CSE4098A_Spring2026_Grade!$I9="W (Withdrawn)", CSE4098A_Spring2026_Grade!$I9="I (Incomplete)"), 0, IF(BE19&gt;=55%, 1, 0))</f>
        <v>1</v>
      </c>
      <c r="BR19" s="148">
        <f>IF(OR(CSE4098A_Spring2026_Grade!$I9="W (Withdrawn)", CSE4098A_Spring2026_Grade!$I9="I (Incomplete)"), 0, IF(BF19&gt;=55%, 1, 0))</f>
        <v>1</v>
      </c>
    </row>
    <row r="20">
      <c r="A20" s="136">
        <v>6.0</v>
      </c>
      <c r="B20" s="137">
        <f>CSE4098A_Spring2026_Grade!B10</f>
        <v>232014128</v>
      </c>
      <c r="C20" s="137" t="str">
        <f>CSE4098A_Spring2026_Grade!C10</f>
        <v>Tonmoy Talukder</v>
      </c>
      <c r="D20" s="138">
        <f>'CO_Report Evaluation'!P8</f>
        <v>12.66666667</v>
      </c>
      <c r="E20" s="138">
        <f>'CO_Report Evaluation'!Q8</f>
        <v>2.666666667</v>
      </c>
      <c r="F20" s="138">
        <f>'CO_Report Evaluation'!R8</f>
        <v>2.666666667</v>
      </c>
      <c r="G20" s="139"/>
      <c r="H20" s="139"/>
      <c r="I20" s="140"/>
      <c r="J20" s="138"/>
      <c r="K20" s="141"/>
      <c r="L20" s="141"/>
      <c r="M20" s="141">
        <v>4.0</v>
      </c>
      <c r="N20" s="139"/>
      <c r="O20" s="139"/>
      <c r="P20" s="142"/>
      <c r="Q20" s="143"/>
      <c r="R20" s="143"/>
      <c r="S20" s="143"/>
      <c r="T20" s="141">
        <f>((CSE4098A_Spring2026_Grade!E10)*10)/45</f>
        <v>8.711111111</v>
      </c>
      <c r="U20" s="144"/>
      <c r="V20" s="142"/>
      <c r="W20" s="143"/>
      <c r="X20" s="143"/>
      <c r="Y20" s="143"/>
      <c r="Z20" s="143"/>
      <c r="AA20" s="144"/>
      <c r="AB20" s="145">
        <f t="shared" si="11"/>
        <v>12.66666667</v>
      </c>
      <c r="AC20" s="146">
        <f t="shared" ref="AC20:AE20" si="32">SUM(Q20, W20,E20,K20)</f>
        <v>2.666666667</v>
      </c>
      <c r="AD20" s="146">
        <f t="shared" si="32"/>
        <v>2.666666667</v>
      </c>
      <c r="AE20" s="146">
        <f t="shared" si="32"/>
        <v>4</v>
      </c>
      <c r="AF20" s="146">
        <f t="shared" si="13"/>
        <v>8.711111111</v>
      </c>
      <c r="AG20" s="146">
        <f t="shared" si="14"/>
        <v>0</v>
      </c>
      <c r="AH20" s="147">
        <f t="shared" ref="AH20:AM20" si="33">IF(AB20 = 0, 0, AB20/AB$14)</f>
        <v>0.8444444444</v>
      </c>
      <c r="AI20" s="147">
        <f t="shared" si="33"/>
        <v>0.8888888889</v>
      </c>
      <c r="AJ20" s="147">
        <f t="shared" si="33"/>
        <v>0.8888888889</v>
      </c>
      <c r="AK20" s="147">
        <f t="shared" si="33"/>
        <v>0.8</v>
      </c>
      <c r="AL20" s="147">
        <f t="shared" si="33"/>
        <v>0.8711111111</v>
      </c>
      <c r="AM20" s="147">
        <f t="shared" si="33"/>
        <v>0</v>
      </c>
      <c r="AN20" s="148">
        <f>IF(OR(CSE4098A_Spring2026_Grade!$I10="W (Withdrawn)", CSE4098A_Spring2026_Grade!$I10="I (Incomplete)"), 0, IF(AH20&gt;=55%, 1, 0))</f>
        <v>1</v>
      </c>
      <c r="AO20" s="148">
        <f>IF(OR(CSE4098A_Spring2026_Grade!$I10="W (Withdrawn)", CSE4098A_Spring2026_Grade!I10="I (Incomplete)"), 0, IF(AI20&gt;=55%, 1, 0))</f>
        <v>1</v>
      </c>
      <c r="AP20" s="148">
        <f>IF(OR(CSE4098A_Spring2026_Grade!$I10="W (Withdrawn)", CSE4098A_Spring2026_Grade!$I10="I (Incomplete)"), 0, IF(AJ20&gt;=55%, 1, 0))</f>
        <v>1</v>
      </c>
      <c r="AQ20" s="148">
        <f>IF(OR(CSE4098A_Spring2026_Grade!$I10="W (Withdrawn)", CSE4098A_Spring2026_Grade!$I10="I (Incomplete)"), 0, IF(AK20&gt;=55%, 1, 0))</f>
        <v>1</v>
      </c>
      <c r="AR20" s="148">
        <f>IF(OR(CSE4098A_Spring2026_Grade!$I10="W (Withdrawn)", CSE4098A_Spring2026_Grade!$I10="I (Incomplete)"), 0, IF(AL20&gt;=55%, 1, 0))</f>
        <v>1</v>
      </c>
      <c r="AS20" s="148">
        <f>IF(OR(CSE4098A_Spring2026_Grade!$I10="W (Withdrawn)", CSE4098A_Spring2026_Grade!$I10="I (Incomplete)"), 0, IF(AM20&gt;=55%, 1, 0))</f>
        <v>0</v>
      </c>
      <c r="AT20" s="115"/>
      <c r="AU20" s="149">
        <f t="shared" si="16"/>
        <v>0</v>
      </c>
      <c r="AV20" s="149">
        <f t="shared" si="17"/>
        <v>0.8444444444</v>
      </c>
      <c r="AW20" s="149">
        <f t="array" ref="AW20">IF($AV$9=0,0,MMULT($AH20:$AM20, AV$3:AV$8)/$AV$9)</f>
        <v>0</v>
      </c>
      <c r="AX20" s="149">
        <f t="array" ref="AX20">IF($AW$9=0,0,MMULT($AH20:$AM20, AW$3:AW$8)/$AW$9)</f>
        <v>0</v>
      </c>
      <c r="AY20" s="149">
        <f t="shared" si="18"/>
        <v>0</v>
      </c>
      <c r="AZ20" s="149">
        <f t="array" ref="AZ20">IF($AY$9=0,0,MMULT($AH20:$AM20, AY$3:AY$8)/$AY$9)</f>
        <v>0</v>
      </c>
      <c r="BA20" s="149">
        <f t="array" ref="BA20">IF($AZ$9=0,0,MMULT($AH20:$AM20, AZ$3:AZ$8)/$AZ$9)</f>
        <v>0</v>
      </c>
      <c r="BB20" s="149">
        <f t="array" ref="BB20">IF($BA$9=0,0,MMULT($AH20:$AM20, BA$3:BA$8)/$BA$9)</f>
        <v>0</v>
      </c>
      <c r="BC20" s="149">
        <f t="array" ref="BC20">IF($BB$9=0,0,MMULT($AH20:$AM20, BB$3:BB$8)/$BB$9)</f>
        <v>0.8</v>
      </c>
      <c r="BD20" s="149">
        <f t="array" ref="BD20">IF($BC$9=0,0,MMULT($AH20:$AM20, BC$3:BC$8)/$BC$9)</f>
        <v>0.8711111111</v>
      </c>
      <c r="BE20" s="149">
        <f t="shared" si="19"/>
        <v>0.8888888889</v>
      </c>
      <c r="BF20" s="149">
        <f t="shared" si="20"/>
        <v>0.8888888889</v>
      </c>
      <c r="BG20" s="148" t="str">
        <f t="shared" si="21"/>
        <v>#REF!</v>
      </c>
      <c r="BH20" s="148">
        <f>IF(OR(CSE4098A_Spring2026_Grade!$I10="W (Withdrawn)", CSE4098A_Spring2026_Grade!$I10="I (Incomplete)"), 0, IF(AV20&gt;=55%, 1, 0))</f>
        <v>1</v>
      </c>
      <c r="BI20" s="148" t="str">
        <f t="shared" ref="BI20:BN20" si="34">IF(OR(GradeSheet!$M15="W (Withdrawn)", GradeSheet!$M15="I (Incomplete)"), 0, IF(AW20&gt;=55%, 1, 0))</f>
        <v>#REF!</v>
      </c>
      <c r="BJ20" s="148" t="str">
        <f t="shared" si="34"/>
        <v>#REF!</v>
      </c>
      <c r="BK20" s="148" t="str">
        <f t="shared" si="34"/>
        <v>#REF!</v>
      </c>
      <c r="BL20" s="148" t="str">
        <f t="shared" si="34"/>
        <v>#REF!</v>
      </c>
      <c r="BM20" s="148" t="str">
        <f t="shared" si="34"/>
        <v>#REF!</v>
      </c>
      <c r="BN20" s="148" t="str">
        <f t="shared" si="34"/>
        <v>#REF!</v>
      </c>
      <c r="BO20" s="148">
        <f>IF(OR(CSE4098A_Spring2026_Grade!$I10="W (Withdrawn)", CSE4098A_Spring2026_Grade!$I10="I (Incomplete)"), 0, IF(BC20&gt;=55%, 1, 0))</f>
        <v>1</v>
      </c>
      <c r="BP20" s="148">
        <f>IF(OR(CSE4098A_Spring2026_Grade!$I10="W (Withdrawn)", CSE4098A_Spring2026_Grade!$I10="I (Incomplete)"), 0, IF(BD20&gt;=55%, 1, 0))</f>
        <v>1</v>
      </c>
      <c r="BQ20" s="148">
        <f>IF(OR(CSE4098A_Spring2026_Grade!$I10="W (Withdrawn)", CSE4098A_Spring2026_Grade!$I10="I (Incomplete)"), 0, IF(BE20&gt;=55%, 1, 0))</f>
        <v>1</v>
      </c>
      <c r="BR20" s="148">
        <f>IF(OR(CSE4098A_Spring2026_Grade!$I10="W (Withdrawn)", CSE4098A_Spring2026_Grade!$I10="I (Incomplete)"), 0, IF(BF20&gt;=55%, 1, 0))</f>
        <v>1</v>
      </c>
    </row>
    <row r="21">
      <c r="A21" s="136">
        <v>7.0</v>
      </c>
      <c r="B21" s="137">
        <f>CSE4098A_Spring2026_Grade!B11</f>
        <v>231014001</v>
      </c>
      <c r="C21" s="137" t="str">
        <f>CSE4098A_Spring2026_Grade!C11</f>
        <v>Md. Aminul Islam Rupak</v>
      </c>
      <c r="D21" s="138">
        <f>'CO_Report Evaluation'!P9</f>
        <v>12.66666667</v>
      </c>
      <c r="E21" s="138">
        <f>'CO_Report Evaluation'!Q9</f>
        <v>2.666666667</v>
      </c>
      <c r="F21" s="138">
        <f>'CO_Report Evaluation'!R9</f>
        <v>2.666666667</v>
      </c>
      <c r="G21" s="139"/>
      <c r="H21" s="139"/>
      <c r="I21" s="140"/>
      <c r="J21" s="138"/>
      <c r="K21" s="141"/>
      <c r="L21" s="141"/>
      <c r="M21" s="141">
        <v>3.0</v>
      </c>
      <c r="N21" s="139"/>
      <c r="O21" s="139"/>
      <c r="P21" s="142"/>
      <c r="Q21" s="143"/>
      <c r="R21" s="143"/>
      <c r="S21" s="143"/>
      <c r="T21" s="141">
        <f>((CSE4098A_Spring2026_Grade!E11)*10)/45</f>
        <v>8.711111111</v>
      </c>
      <c r="U21" s="144"/>
      <c r="V21" s="142"/>
      <c r="W21" s="143"/>
      <c r="X21" s="143"/>
      <c r="Y21" s="143"/>
      <c r="Z21" s="143"/>
      <c r="AA21" s="144"/>
      <c r="AB21" s="145">
        <f t="shared" si="11"/>
        <v>12.66666667</v>
      </c>
      <c r="AC21" s="146">
        <f t="shared" ref="AC21:AE21" si="35">SUM(Q21, W21,E21,K21)</f>
        <v>2.666666667</v>
      </c>
      <c r="AD21" s="146">
        <f t="shared" si="35"/>
        <v>2.666666667</v>
      </c>
      <c r="AE21" s="146">
        <f t="shared" si="35"/>
        <v>3</v>
      </c>
      <c r="AF21" s="146">
        <f t="shared" si="13"/>
        <v>8.711111111</v>
      </c>
      <c r="AG21" s="146">
        <f t="shared" si="14"/>
        <v>0</v>
      </c>
      <c r="AH21" s="147">
        <f t="shared" ref="AH21:AM21" si="36">IF(AB21 = 0, 0, AB21/AB$14)</f>
        <v>0.8444444444</v>
      </c>
      <c r="AI21" s="147">
        <f t="shared" si="36"/>
        <v>0.8888888889</v>
      </c>
      <c r="AJ21" s="147">
        <f t="shared" si="36"/>
        <v>0.8888888889</v>
      </c>
      <c r="AK21" s="147">
        <f t="shared" si="36"/>
        <v>0.6</v>
      </c>
      <c r="AL21" s="147">
        <f t="shared" si="36"/>
        <v>0.8711111111</v>
      </c>
      <c r="AM21" s="147">
        <f t="shared" si="36"/>
        <v>0</v>
      </c>
      <c r="AN21" s="148">
        <f>IF(OR(CSE4098A_Spring2026_Grade!$I11="W (Withdrawn)", CSE4098A_Spring2026_Grade!$I11="I (Incomplete)"), 0, IF(AH21&gt;=55%, 1, 0))</f>
        <v>1</v>
      </c>
      <c r="AO21" s="148">
        <f>IF(OR(CSE4098A_Spring2026_Grade!$I11="W (Withdrawn)", CSE4098A_Spring2026_Grade!I11="I (Incomplete)"), 0, IF(AI21&gt;=55%, 1, 0))</f>
        <v>1</v>
      </c>
      <c r="AP21" s="148">
        <f>IF(OR(CSE4098A_Spring2026_Grade!$I11="W (Withdrawn)", CSE4098A_Spring2026_Grade!$I11="I (Incomplete)"), 0, IF(AJ21&gt;=55%, 1, 0))</f>
        <v>1</v>
      </c>
      <c r="AQ21" s="148">
        <f>IF(OR(CSE4098A_Spring2026_Grade!$I11="W (Withdrawn)", CSE4098A_Spring2026_Grade!$I11="I (Incomplete)"), 0, IF(AK21&gt;=55%, 1, 0))</f>
        <v>1</v>
      </c>
      <c r="AR21" s="148">
        <f>IF(OR(CSE4098A_Spring2026_Grade!$I11="W (Withdrawn)", CSE4098A_Spring2026_Grade!$I11="I (Incomplete)"), 0, IF(AL21&gt;=55%, 1, 0))</f>
        <v>1</v>
      </c>
      <c r="AS21" s="148">
        <f>IF(OR(CSE4098A_Spring2026_Grade!$I11="W (Withdrawn)", CSE4098A_Spring2026_Grade!$I11="I (Incomplete)"), 0, IF(AM21&gt;=55%, 1, 0))</f>
        <v>0</v>
      </c>
      <c r="AT21" s="115"/>
      <c r="AU21" s="149">
        <f t="shared" si="16"/>
        <v>0</v>
      </c>
      <c r="AV21" s="149">
        <f t="shared" si="17"/>
        <v>0.8444444444</v>
      </c>
      <c r="AW21" s="149">
        <f t="array" ref="AW21">IF($AV$9=0,0,MMULT($AH21:$AM21, AV$3:AV$8)/$AV$9)</f>
        <v>0</v>
      </c>
      <c r="AX21" s="149">
        <f t="array" ref="AX21">IF($AW$9=0,0,MMULT($AH21:$AM21, AW$3:AW$8)/$AW$9)</f>
        <v>0</v>
      </c>
      <c r="AY21" s="149">
        <f t="shared" si="18"/>
        <v>0</v>
      </c>
      <c r="AZ21" s="149">
        <f t="array" ref="AZ21">IF($AY$9=0,0,MMULT($AH21:$AM21, AY$3:AY$8)/$AY$9)</f>
        <v>0</v>
      </c>
      <c r="BA21" s="149">
        <f t="array" ref="BA21">IF($AZ$9=0,0,MMULT($AH21:$AM21, AZ$3:AZ$8)/$AZ$9)</f>
        <v>0</v>
      </c>
      <c r="BB21" s="149">
        <f t="array" ref="BB21">IF($BA$9=0,0,MMULT($AH21:$AM21, BA$3:BA$8)/$BA$9)</f>
        <v>0</v>
      </c>
      <c r="BC21" s="149">
        <f t="array" ref="BC21">IF($BB$9=0,0,MMULT($AH21:$AM21, BB$3:BB$8)/$BB$9)</f>
        <v>0.6</v>
      </c>
      <c r="BD21" s="149">
        <f t="array" ref="BD21">IF($BC$9=0,0,MMULT($AH21:$AM21, BC$3:BC$8)/$BC$9)</f>
        <v>0.8711111111</v>
      </c>
      <c r="BE21" s="149">
        <f t="shared" si="19"/>
        <v>0.8888888889</v>
      </c>
      <c r="BF21" s="149">
        <f t="shared" si="20"/>
        <v>0.8888888889</v>
      </c>
      <c r="BG21" s="148" t="str">
        <f t="shared" si="21"/>
        <v>#REF!</v>
      </c>
      <c r="BH21" s="148">
        <f>IF(OR(CSE4098A_Spring2026_Grade!$I11="W (Withdrawn)", CSE4098A_Spring2026_Grade!$I11="I (Incomplete)"), 0, IF(AV21&gt;=55%, 1, 0))</f>
        <v>1</v>
      </c>
      <c r="BI21" s="148" t="str">
        <f t="shared" ref="BI21:BN21" si="37">IF(OR(GradeSheet!$M16="W (Withdrawn)", GradeSheet!$M16="I (Incomplete)"), 0, IF(AW21&gt;=55%, 1, 0))</f>
        <v>#REF!</v>
      </c>
      <c r="BJ21" s="148" t="str">
        <f t="shared" si="37"/>
        <v>#REF!</v>
      </c>
      <c r="BK21" s="148" t="str">
        <f t="shared" si="37"/>
        <v>#REF!</v>
      </c>
      <c r="BL21" s="148" t="str">
        <f t="shared" si="37"/>
        <v>#REF!</v>
      </c>
      <c r="BM21" s="148" t="str">
        <f t="shared" si="37"/>
        <v>#REF!</v>
      </c>
      <c r="BN21" s="148" t="str">
        <f t="shared" si="37"/>
        <v>#REF!</v>
      </c>
      <c r="BO21" s="148">
        <f>IF(OR(CSE4098A_Spring2026_Grade!$I11="W (Withdrawn)", CSE4098A_Spring2026_Grade!$I11="I (Incomplete)"), 0, IF(BC21&gt;=55%, 1, 0))</f>
        <v>1</v>
      </c>
      <c r="BP21" s="148">
        <f>IF(OR(CSE4098A_Spring2026_Grade!$I11="W (Withdrawn)", CSE4098A_Spring2026_Grade!$I11="I (Incomplete)"), 0, IF(BD21&gt;=55%, 1, 0))</f>
        <v>1</v>
      </c>
      <c r="BQ21" s="148">
        <f>IF(OR(CSE4098A_Spring2026_Grade!$I11="W (Withdrawn)", CSE4098A_Spring2026_Grade!$I11="I (Incomplete)"), 0, IF(BE21&gt;=55%, 1, 0))</f>
        <v>1</v>
      </c>
      <c r="BR21" s="148">
        <f>IF(OR(CSE4098A_Spring2026_Grade!$I11="W (Withdrawn)", CSE4098A_Spring2026_Grade!$I11="I (Incomplete)"), 0, IF(BF21&gt;=55%, 1, 0))</f>
        <v>1</v>
      </c>
    </row>
    <row r="22">
      <c r="A22" s="136">
        <v>8.0</v>
      </c>
      <c r="B22" s="137">
        <f>CSE4098A_Spring2026_Grade!B12</f>
        <v>223014100</v>
      </c>
      <c r="C22" s="137" t="str">
        <f>CSE4098A_Spring2026_Grade!C12</f>
        <v>Jannatul Tazree</v>
      </c>
      <c r="D22" s="138">
        <f>'CO_Report Evaluation'!P10</f>
        <v>12.66666667</v>
      </c>
      <c r="E22" s="138">
        <f>'CO_Report Evaluation'!Q10</f>
        <v>2.666666667</v>
      </c>
      <c r="F22" s="138">
        <f>'CO_Report Evaluation'!R10</f>
        <v>2.666666667</v>
      </c>
      <c r="G22" s="139"/>
      <c r="H22" s="139"/>
      <c r="I22" s="140"/>
      <c r="J22" s="138"/>
      <c r="K22" s="141"/>
      <c r="L22" s="141"/>
      <c r="M22" s="141">
        <v>2.0</v>
      </c>
      <c r="N22" s="139"/>
      <c r="O22" s="139"/>
      <c r="P22" s="142"/>
      <c r="Q22" s="143"/>
      <c r="R22" s="143"/>
      <c r="S22" s="143"/>
      <c r="T22" s="141">
        <f>((CSE4098A_Spring2026_Grade!E12)*10)/45</f>
        <v>9.482222222</v>
      </c>
      <c r="U22" s="144"/>
      <c r="V22" s="142"/>
      <c r="W22" s="143"/>
      <c r="X22" s="143"/>
      <c r="Y22" s="143"/>
      <c r="Z22" s="143"/>
      <c r="AA22" s="144"/>
      <c r="AB22" s="145">
        <f t="shared" si="11"/>
        <v>12.66666667</v>
      </c>
      <c r="AC22" s="146">
        <f t="shared" ref="AC22:AE22" si="38">SUM(Q22, W22,E22,K22)</f>
        <v>2.666666667</v>
      </c>
      <c r="AD22" s="146">
        <f t="shared" si="38"/>
        <v>2.666666667</v>
      </c>
      <c r="AE22" s="146">
        <f t="shared" si="38"/>
        <v>2</v>
      </c>
      <c r="AF22" s="146">
        <f t="shared" si="13"/>
        <v>9.482222222</v>
      </c>
      <c r="AG22" s="146">
        <f t="shared" si="14"/>
        <v>0</v>
      </c>
      <c r="AH22" s="147">
        <f t="shared" ref="AH22:AM22" si="39">IF(AB22 = 0, 0, AB22/AB$14)</f>
        <v>0.8444444444</v>
      </c>
      <c r="AI22" s="147">
        <f t="shared" si="39"/>
        <v>0.8888888889</v>
      </c>
      <c r="AJ22" s="147">
        <f t="shared" si="39"/>
        <v>0.8888888889</v>
      </c>
      <c r="AK22" s="147">
        <f t="shared" si="39"/>
        <v>0.4</v>
      </c>
      <c r="AL22" s="147">
        <f t="shared" si="39"/>
        <v>0.9482222222</v>
      </c>
      <c r="AM22" s="147">
        <f t="shared" si="39"/>
        <v>0</v>
      </c>
      <c r="AN22" s="148">
        <f>IF(OR(CSE4098A_Spring2026_Grade!$I12="W (Withdrawn)", CSE4098A_Spring2026_Grade!$I12="I (Incomplete)"), 0, IF(AH22&gt;=55%, 1, 0))</f>
        <v>1</v>
      </c>
      <c r="AO22" s="148">
        <f>IF(OR(CSE4098A_Spring2026_Grade!$I12="W (Withdrawn)", CSE4098A_Spring2026_Grade!I12="I (Incomplete)"), 0, IF(AI22&gt;=55%, 1, 0))</f>
        <v>1</v>
      </c>
      <c r="AP22" s="148">
        <f>IF(OR(CSE4098A_Spring2026_Grade!$I12="W (Withdrawn)", CSE4098A_Spring2026_Grade!$I12="I (Incomplete)"), 0, IF(AJ22&gt;=55%, 1, 0))</f>
        <v>1</v>
      </c>
      <c r="AQ22" s="148">
        <f>IF(OR(CSE4098A_Spring2026_Grade!$I12="W (Withdrawn)", CSE4098A_Spring2026_Grade!$I12="I (Incomplete)"), 0, IF(AK22&gt;=55%, 1, 0))</f>
        <v>0</v>
      </c>
      <c r="AR22" s="148">
        <f>IF(OR(CSE4098A_Spring2026_Grade!$I12="W (Withdrawn)", CSE4098A_Spring2026_Grade!$I12="I (Incomplete)"), 0, IF(AL22&gt;=55%, 1, 0))</f>
        <v>1</v>
      </c>
      <c r="AS22" s="148">
        <f>IF(OR(CSE4098A_Spring2026_Grade!$I12="W (Withdrawn)", CSE4098A_Spring2026_Grade!$I12="I (Incomplete)"), 0, IF(AM22&gt;=55%, 1, 0))</f>
        <v>0</v>
      </c>
      <c r="AT22" s="115"/>
      <c r="AU22" s="149">
        <f t="shared" si="16"/>
        <v>0</v>
      </c>
      <c r="AV22" s="149">
        <f t="shared" si="17"/>
        <v>0.8444444444</v>
      </c>
      <c r="AW22" s="149">
        <f t="array" ref="AW22">IF($AV$9=0,0,MMULT($AH22:$AM22, AV$3:AV$8)/$AV$9)</f>
        <v>0</v>
      </c>
      <c r="AX22" s="149">
        <f t="array" ref="AX22">IF($AW$9=0,0,MMULT($AH22:$AM22, AW$3:AW$8)/$AW$9)</f>
        <v>0</v>
      </c>
      <c r="AY22" s="149">
        <f t="shared" si="18"/>
        <v>0</v>
      </c>
      <c r="AZ22" s="149">
        <f t="array" ref="AZ22">IF($AY$9=0,0,MMULT($AH22:$AM22, AY$3:AY$8)/$AY$9)</f>
        <v>0</v>
      </c>
      <c r="BA22" s="149">
        <f t="array" ref="BA22">IF($AZ$9=0,0,MMULT($AH22:$AM22, AZ$3:AZ$8)/$AZ$9)</f>
        <v>0</v>
      </c>
      <c r="BB22" s="149">
        <f t="array" ref="BB22">IF($BA$9=0,0,MMULT($AH22:$AM22, BA$3:BA$8)/$BA$9)</f>
        <v>0</v>
      </c>
      <c r="BC22" s="149">
        <f t="array" ref="BC22">IF($BB$9=0,0,MMULT($AH22:$AM22, BB$3:BB$8)/$BB$9)</f>
        <v>0.4</v>
      </c>
      <c r="BD22" s="149">
        <f t="array" ref="BD22">IF($BC$9=0,0,MMULT($AH22:$AM22, BC$3:BC$8)/$BC$9)</f>
        <v>0.9482222222</v>
      </c>
      <c r="BE22" s="149">
        <f t="shared" si="19"/>
        <v>0.8888888889</v>
      </c>
      <c r="BF22" s="149">
        <f t="shared" si="20"/>
        <v>0.8888888889</v>
      </c>
      <c r="BG22" s="148" t="str">
        <f t="shared" si="21"/>
        <v>#REF!</v>
      </c>
      <c r="BH22" s="148">
        <f>IF(OR(CSE4098A_Spring2026_Grade!$I12="W (Withdrawn)", CSE4098A_Spring2026_Grade!$I12="I (Incomplete)"), 0, IF(AV22&gt;=55%, 1, 0))</f>
        <v>1</v>
      </c>
      <c r="BI22" s="148" t="str">
        <f t="shared" ref="BI22:BN22" si="40">IF(OR(GradeSheet!$M17="W (Withdrawn)", GradeSheet!$M17="I (Incomplete)"), 0, IF(AW22&gt;=55%, 1, 0))</f>
        <v>#REF!</v>
      </c>
      <c r="BJ22" s="148" t="str">
        <f t="shared" si="40"/>
        <v>#REF!</v>
      </c>
      <c r="BK22" s="148" t="str">
        <f t="shared" si="40"/>
        <v>#REF!</v>
      </c>
      <c r="BL22" s="148" t="str">
        <f t="shared" si="40"/>
        <v>#REF!</v>
      </c>
      <c r="BM22" s="148" t="str">
        <f t="shared" si="40"/>
        <v>#REF!</v>
      </c>
      <c r="BN22" s="148" t="str">
        <f t="shared" si="40"/>
        <v>#REF!</v>
      </c>
      <c r="BO22" s="148">
        <f>IF(OR(CSE4098A_Spring2026_Grade!$I12="W (Withdrawn)", CSE4098A_Spring2026_Grade!$I12="I (Incomplete)"), 0, IF(BC22&gt;=55%, 1, 0))</f>
        <v>0</v>
      </c>
      <c r="BP22" s="148">
        <f>IF(OR(CSE4098A_Spring2026_Grade!$I12="W (Withdrawn)", CSE4098A_Spring2026_Grade!$I12="I (Incomplete)"), 0, IF(BD22&gt;=55%, 1, 0))</f>
        <v>1</v>
      </c>
      <c r="BQ22" s="148">
        <f>IF(OR(CSE4098A_Spring2026_Grade!$I12="W (Withdrawn)", CSE4098A_Spring2026_Grade!$I12="I (Incomplete)"), 0, IF(BE22&gt;=55%, 1, 0))</f>
        <v>1</v>
      </c>
      <c r="BR22" s="148">
        <f>IF(OR(CSE4098A_Spring2026_Grade!$I12="W (Withdrawn)", CSE4098A_Spring2026_Grade!$I12="I (Incomplete)"), 0, IF(BF22&gt;=55%, 1, 0))</f>
        <v>1</v>
      </c>
    </row>
    <row r="23">
      <c r="A23" s="136">
        <v>9.0</v>
      </c>
      <c r="B23" s="137">
        <f>CSE4098A_Spring2026_Grade!B13</f>
        <v>232014003</v>
      </c>
      <c r="C23" s="137" t="str">
        <f>CSE4098A_Spring2026_Grade!C13</f>
        <v>Tasin Bin Mortoza</v>
      </c>
      <c r="D23" s="138">
        <f>'CO_Report Evaluation'!P11</f>
        <v>12.66666667</v>
      </c>
      <c r="E23" s="138">
        <f>'CO_Report Evaluation'!Q11</f>
        <v>2.666666667</v>
      </c>
      <c r="F23" s="138">
        <f>'CO_Report Evaluation'!R11</f>
        <v>2.666666667</v>
      </c>
      <c r="G23" s="139"/>
      <c r="H23" s="139"/>
      <c r="I23" s="140"/>
      <c r="J23" s="138"/>
      <c r="K23" s="141"/>
      <c r="L23" s="141"/>
      <c r="M23" s="141">
        <v>2.0</v>
      </c>
      <c r="N23" s="139"/>
      <c r="O23" s="139"/>
      <c r="P23" s="142"/>
      <c r="Q23" s="143"/>
      <c r="R23" s="143"/>
      <c r="S23" s="143"/>
      <c r="T23" s="141">
        <f>((CSE4098A_Spring2026_Grade!E13)*10)/45</f>
        <v>8.977777778</v>
      </c>
      <c r="U23" s="144"/>
      <c r="V23" s="142"/>
      <c r="W23" s="143"/>
      <c r="X23" s="143"/>
      <c r="Y23" s="143"/>
      <c r="Z23" s="143"/>
      <c r="AA23" s="144"/>
      <c r="AB23" s="145">
        <f t="shared" si="11"/>
        <v>12.66666667</v>
      </c>
      <c r="AC23" s="146">
        <f t="shared" ref="AC23:AE23" si="41">SUM(Q23, W23,E23,K23)</f>
        <v>2.666666667</v>
      </c>
      <c r="AD23" s="146">
        <f t="shared" si="41"/>
        <v>2.666666667</v>
      </c>
      <c r="AE23" s="146">
        <f t="shared" si="41"/>
        <v>2</v>
      </c>
      <c r="AF23" s="146">
        <f t="shared" si="13"/>
        <v>8.977777778</v>
      </c>
      <c r="AG23" s="146">
        <f t="shared" si="14"/>
        <v>0</v>
      </c>
      <c r="AH23" s="147">
        <f t="shared" ref="AH23:AM23" si="42">IF(AB23 = 0, 0, AB23/AB$14)</f>
        <v>0.8444444444</v>
      </c>
      <c r="AI23" s="147">
        <f t="shared" si="42"/>
        <v>0.8888888889</v>
      </c>
      <c r="AJ23" s="147">
        <f t="shared" si="42"/>
        <v>0.8888888889</v>
      </c>
      <c r="AK23" s="147">
        <f t="shared" si="42"/>
        <v>0.4</v>
      </c>
      <c r="AL23" s="147">
        <f t="shared" si="42"/>
        <v>0.8977777778</v>
      </c>
      <c r="AM23" s="147">
        <f t="shared" si="42"/>
        <v>0</v>
      </c>
      <c r="AN23" s="148">
        <f>IF(OR(CSE4098A_Spring2026_Grade!$I13="W (Withdrawn)", CSE4098A_Spring2026_Grade!$I13="I (Incomplete)"), 0, IF(AH23&gt;=55%, 1, 0))</f>
        <v>1</v>
      </c>
      <c r="AO23" s="148">
        <f>IF(OR(CSE4098A_Spring2026_Grade!$I13="W (Withdrawn)", CSE4098A_Spring2026_Grade!I13="I (Incomplete)"), 0, IF(AI23&gt;=55%, 1, 0))</f>
        <v>1</v>
      </c>
      <c r="AP23" s="148">
        <f>IF(OR(CSE4098A_Spring2026_Grade!$I13="W (Withdrawn)", CSE4098A_Spring2026_Grade!$I13="I (Incomplete)"), 0, IF(AJ23&gt;=55%, 1, 0))</f>
        <v>1</v>
      </c>
      <c r="AQ23" s="148">
        <f>IF(OR(CSE4098A_Spring2026_Grade!$I13="W (Withdrawn)", CSE4098A_Spring2026_Grade!$I13="I (Incomplete)"), 0, IF(AK23&gt;=55%, 1, 0))</f>
        <v>0</v>
      </c>
      <c r="AR23" s="148">
        <f>IF(OR(CSE4098A_Spring2026_Grade!$I13="W (Withdrawn)", CSE4098A_Spring2026_Grade!$I13="I (Incomplete)"), 0, IF(AL23&gt;=55%, 1, 0))</f>
        <v>1</v>
      </c>
      <c r="AS23" s="148">
        <f>IF(OR(CSE4098A_Spring2026_Grade!$I13="W (Withdrawn)", CSE4098A_Spring2026_Grade!$I13="I (Incomplete)"), 0, IF(AM23&gt;=55%, 1, 0))</f>
        <v>0</v>
      </c>
      <c r="AT23" s="115"/>
      <c r="AU23" s="149">
        <f t="shared" si="16"/>
        <v>0</v>
      </c>
      <c r="AV23" s="149">
        <f t="shared" si="17"/>
        <v>0.8444444444</v>
      </c>
      <c r="AW23" s="149">
        <f t="array" ref="AW23">IF($AV$9=0,0,MMULT($AH23:$AM23, AV$3:AV$8)/$AV$9)</f>
        <v>0</v>
      </c>
      <c r="AX23" s="149">
        <f t="array" ref="AX23">IF($AW$9=0,0,MMULT($AH23:$AM23, AW$3:AW$8)/$AW$9)</f>
        <v>0</v>
      </c>
      <c r="AY23" s="149">
        <f t="shared" si="18"/>
        <v>0</v>
      </c>
      <c r="AZ23" s="149">
        <f t="array" ref="AZ23">IF($AY$9=0,0,MMULT($AH23:$AM23, AY$3:AY$8)/$AY$9)</f>
        <v>0</v>
      </c>
      <c r="BA23" s="149">
        <f t="array" ref="BA23">IF($AZ$9=0,0,MMULT($AH23:$AM23, AZ$3:AZ$8)/$AZ$9)</f>
        <v>0</v>
      </c>
      <c r="BB23" s="149">
        <f t="array" ref="BB23">IF($BA$9=0,0,MMULT($AH23:$AM23, BA$3:BA$8)/$BA$9)</f>
        <v>0</v>
      </c>
      <c r="BC23" s="149">
        <f t="array" ref="BC23">IF($BB$9=0,0,MMULT($AH23:$AM23, BB$3:BB$8)/$BB$9)</f>
        <v>0.4</v>
      </c>
      <c r="BD23" s="149">
        <f t="array" ref="BD23">IF($BC$9=0,0,MMULT($AH23:$AM23, BC$3:BC$8)/$BC$9)</f>
        <v>0.8977777778</v>
      </c>
      <c r="BE23" s="149">
        <f t="shared" si="19"/>
        <v>0.8888888889</v>
      </c>
      <c r="BF23" s="149">
        <f t="shared" si="20"/>
        <v>0.8888888889</v>
      </c>
      <c r="BG23" s="148" t="str">
        <f t="shared" si="21"/>
        <v>#REF!</v>
      </c>
      <c r="BH23" s="148">
        <f>IF(OR(CSE4098A_Spring2026_Grade!$I13="W (Withdrawn)", CSE4098A_Spring2026_Grade!$I13="I (Incomplete)"), 0, IF(AV23&gt;=55%, 1, 0))</f>
        <v>1</v>
      </c>
      <c r="BI23" s="148" t="str">
        <f t="shared" ref="BI23:BN23" si="43">IF(OR(GradeSheet!$M18="W (Withdrawn)", GradeSheet!$M18="I (Incomplete)"), 0, IF(AW23&gt;=55%, 1, 0))</f>
        <v>#REF!</v>
      </c>
      <c r="BJ23" s="148" t="str">
        <f t="shared" si="43"/>
        <v>#REF!</v>
      </c>
      <c r="BK23" s="148" t="str">
        <f t="shared" si="43"/>
        <v>#REF!</v>
      </c>
      <c r="BL23" s="148" t="str">
        <f t="shared" si="43"/>
        <v>#REF!</v>
      </c>
      <c r="BM23" s="148" t="str">
        <f t="shared" si="43"/>
        <v>#REF!</v>
      </c>
      <c r="BN23" s="148" t="str">
        <f t="shared" si="43"/>
        <v>#REF!</v>
      </c>
      <c r="BO23" s="148">
        <f>IF(OR(CSE4098A_Spring2026_Grade!$I13="W (Withdrawn)", CSE4098A_Spring2026_Grade!$I13="I (Incomplete)"), 0, IF(BC23&gt;=55%, 1, 0))</f>
        <v>0</v>
      </c>
      <c r="BP23" s="148">
        <f>IF(OR(CSE4098A_Spring2026_Grade!$I13="W (Withdrawn)", CSE4098A_Spring2026_Grade!$I13="I (Incomplete)"), 0, IF(BD23&gt;=55%, 1, 0))</f>
        <v>1</v>
      </c>
      <c r="BQ23" s="148">
        <f>IF(OR(CSE4098A_Spring2026_Grade!$I13="W (Withdrawn)", CSE4098A_Spring2026_Grade!$I13="I (Incomplete)"), 0, IF(BE23&gt;=55%, 1, 0))</f>
        <v>1</v>
      </c>
      <c r="BR23" s="148">
        <f>IF(OR(CSE4098A_Spring2026_Grade!$I13="W (Withdrawn)", CSE4098A_Spring2026_Grade!$I13="I (Incomplete)"), 0, IF(BF23&gt;=55%, 1, 0))</f>
        <v>1</v>
      </c>
    </row>
    <row r="24">
      <c r="A24" s="136">
        <v>10.0</v>
      </c>
      <c r="B24" s="137">
        <f>CSE4098A_Spring2026_Grade!B14</f>
        <v>223014084</v>
      </c>
      <c r="C24" s="137" t="str">
        <f>CSE4098A_Spring2026_Grade!C14</f>
        <v>Mirza Mostafa Abrar</v>
      </c>
      <c r="D24" s="138">
        <f>'CO_Report Evaluation'!P12</f>
        <v>12.66666667</v>
      </c>
      <c r="E24" s="138">
        <f>'CO_Report Evaluation'!Q12</f>
        <v>2</v>
      </c>
      <c r="F24" s="138">
        <f>'CO_Report Evaluation'!R12</f>
        <v>2.666666667</v>
      </c>
      <c r="G24" s="139"/>
      <c r="H24" s="139"/>
      <c r="I24" s="140"/>
      <c r="J24" s="138"/>
      <c r="K24" s="141"/>
      <c r="L24" s="141"/>
      <c r="M24" s="141">
        <v>5.0</v>
      </c>
      <c r="N24" s="139"/>
      <c r="O24" s="139"/>
      <c r="P24" s="142"/>
      <c r="Q24" s="143"/>
      <c r="R24" s="143"/>
      <c r="S24" s="143"/>
      <c r="T24" s="141">
        <f>((CSE4098A_Spring2026_Grade!E14)*10)/45</f>
        <v>9.037777778</v>
      </c>
      <c r="U24" s="144"/>
      <c r="V24" s="142"/>
      <c r="W24" s="143"/>
      <c r="X24" s="143"/>
      <c r="Y24" s="143"/>
      <c r="Z24" s="143"/>
      <c r="AA24" s="144"/>
      <c r="AB24" s="145">
        <f t="shared" si="11"/>
        <v>12.66666667</v>
      </c>
      <c r="AC24" s="146">
        <f t="shared" ref="AC24:AE24" si="44">SUM(Q24, W24,E24,K24)</f>
        <v>2</v>
      </c>
      <c r="AD24" s="146">
        <f t="shared" si="44"/>
        <v>2.666666667</v>
      </c>
      <c r="AE24" s="146">
        <f t="shared" si="44"/>
        <v>5</v>
      </c>
      <c r="AF24" s="146">
        <f t="shared" si="13"/>
        <v>9.037777778</v>
      </c>
      <c r="AG24" s="146">
        <f t="shared" si="14"/>
        <v>0</v>
      </c>
      <c r="AH24" s="147">
        <f t="shared" ref="AH24:AM24" si="45">IF(AB24 = 0, 0, AB24/AB$14)</f>
        <v>0.8444444444</v>
      </c>
      <c r="AI24" s="147">
        <f t="shared" si="45"/>
        <v>0.6666666667</v>
      </c>
      <c r="AJ24" s="147">
        <f t="shared" si="45"/>
        <v>0.8888888889</v>
      </c>
      <c r="AK24" s="147">
        <f t="shared" si="45"/>
        <v>1</v>
      </c>
      <c r="AL24" s="147">
        <f t="shared" si="45"/>
        <v>0.9037777778</v>
      </c>
      <c r="AM24" s="147">
        <f t="shared" si="45"/>
        <v>0</v>
      </c>
      <c r="AN24" s="148">
        <f>IF(OR(CSE4098A_Spring2026_Grade!$I14="W (Withdrawn)", CSE4098A_Spring2026_Grade!$I14="I (Incomplete)"), 0, IF(AH24&gt;=55%, 1, 0))</f>
        <v>1</v>
      </c>
      <c r="AO24" s="148">
        <f>IF(OR(CSE4098A_Spring2026_Grade!$I14="W (Withdrawn)", CSE4098A_Spring2026_Grade!I14="I (Incomplete)"), 0, IF(AI24&gt;=55%, 1, 0))</f>
        <v>1</v>
      </c>
      <c r="AP24" s="148">
        <f>IF(OR(CSE4098A_Spring2026_Grade!$I14="W (Withdrawn)", CSE4098A_Spring2026_Grade!$I14="I (Incomplete)"), 0, IF(AJ24&gt;=55%, 1, 0))</f>
        <v>1</v>
      </c>
      <c r="AQ24" s="148">
        <f>IF(OR(CSE4098A_Spring2026_Grade!$I14="W (Withdrawn)", CSE4098A_Spring2026_Grade!$I14="I (Incomplete)"), 0, IF(AK24&gt;=55%, 1, 0))</f>
        <v>1</v>
      </c>
      <c r="AR24" s="148">
        <f>IF(OR(CSE4098A_Spring2026_Grade!$I14="W (Withdrawn)", CSE4098A_Spring2026_Grade!$I14="I (Incomplete)"), 0, IF(AL24&gt;=55%, 1, 0))</f>
        <v>1</v>
      </c>
      <c r="AS24" s="148">
        <f>IF(OR(CSE4098A_Spring2026_Grade!$I14="W (Withdrawn)", CSE4098A_Spring2026_Grade!$I14="I (Incomplete)"), 0, IF(AM24&gt;=55%, 1, 0))</f>
        <v>0</v>
      </c>
      <c r="AT24" s="115"/>
      <c r="AU24" s="149">
        <f t="shared" si="16"/>
        <v>0</v>
      </c>
      <c r="AV24" s="149">
        <f t="shared" si="17"/>
        <v>0.8444444444</v>
      </c>
      <c r="AW24" s="149">
        <f t="array" ref="AW24">IF($AV$9=0,0,MMULT($AH24:$AM24, AV$3:AV$8)/$AV$9)</f>
        <v>0</v>
      </c>
      <c r="AX24" s="149">
        <f t="array" ref="AX24">IF($AW$9=0,0,MMULT($AH24:$AM24, AW$3:AW$8)/$AW$9)</f>
        <v>0</v>
      </c>
      <c r="AY24" s="149">
        <f t="shared" si="18"/>
        <v>0</v>
      </c>
      <c r="AZ24" s="149">
        <f t="array" ref="AZ24">IF($AY$9=0,0,MMULT($AH24:$AM24, AY$3:AY$8)/$AY$9)</f>
        <v>0</v>
      </c>
      <c r="BA24" s="149">
        <f t="array" ref="BA24">IF($AZ$9=0,0,MMULT($AH24:$AM24, AZ$3:AZ$8)/$AZ$9)</f>
        <v>0</v>
      </c>
      <c r="BB24" s="149">
        <f t="array" ref="BB24">IF($BA$9=0,0,MMULT($AH24:$AM24, BA$3:BA$8)/$BA$9)</f>
        <v>0</v>
      </c>
      <c r="BC24" s="149">
        <f t="array" ref="BC24">IF($BB$9=0,0,MMULT($AH24:$AM24, BB$3:BB$8)/$BB$9)</f>
        <v>1</v>
      </c>
      <c r="BD24" s="149">
        <f t="array" ref="BD24">IF($BC$9=0,0,MMULT($AH24:$AM24, BC$3:BC$8)/$BC$9)</f>
        <v>0.9037777778</v>
      </c>
      <c r="BE24" s="149">
        <f t="shared" si="19"/>
        <v>0.8888888889</v>
      </c>
      <c r="BF24" s="149">
        <f t="shared" si="20"/>
        <v>0.6666666667</v>
      </c>
      <c r="BG24" s="148" t="str">
        <f t="shared" si="21"/>
        <v>#REF!</v>
      </c>
      <c r="BH24" s="148">
        <f>IF(OR(CSE4098A_Spring2026_Grade!$I14="W (Withdrawn)", CSE4098A_Spring2026_Grade!$I14="I (Incomplete)"), 0, IF(AV24&gt;=55%, 1, 0))</f>
        <v>1</v>
      </c>
      <c r="BI24" s="148" t="str">
        <f t="shared" ref="BI24:BN24" si="46">IF(OR(GradeSheet!$M19="W (Withdrawn)", GradeSheet!$M19="I (Incomplete)"), 0, IF(AW24&gt;=55%, 1, 0))</f>
        <v>#REF!</v>
      </c>
      <c r="BJ24" s="148" t="str">
        <f t="shared" si="46"/>
        <v>#REF!</v>
      </c>
      <c r="BK24" s="148" t="str">
        <f t="shared" si="46"/>
        <v>#REF!</v>
      </c>
      <c r="BL24" s="148" t="str">
        <f t="shared" si="46"/>
        <v>#REF!</v>
      </c>
      <c r="BM24" s="148" t="str">
        <f t="shared" si="46"/>
        <v>#REF!</v>
      </c>
      <c r="BN24" s="148" t="str">
        <f t="shared" si="46"/>
        <v>#REF!</v>
      </c>
      <c r="BO24" s="148">
        <f>IF(OR(CSE4098A_Spring2026_Grade!$I14="W (Withdrawn)", CSE4098A_Spring2026_Grade!$I14="I (Incomplete)"), 0, IF(BC24&gt;=55%, 1, 0))</f>
        <v>1</v>
      </c>
      <c r="BP24" s="148">
        <f>IF(OR(CSE4098A_Spring2026_Grade!$I14="W (Withdrawn)", CSE4098A_Spring2026_Grade!$I14="I (Incomplete)"), 0, IF(BD24&gt;=55%, 1, 0))</f>
        <v>1</v>
      </c>
      <c r="BQ24" s="148">
        <f>IF(OR(CSE4098A_Spring2026_Grade!$I14="W (Withdrawn)", CSE4098A_Spring2026_Grade!$I14="I (Incomplete)"), 0, IF(BE24&gt;=55%, 1, 0))</f>
        <v>1</v>
      </c>
      <c r="BR24" s="148">
        <f>IF(OR(CSE4098A_Spring2026_Grade!$I14="W (Withdrawn)", CSE4098A_Spring2026_Grade!$I14="I (Incomplete)"), 0, IF(BF24&gt;=55%, 1, 0))</f>
        <v>1</v>
      </c>
    </row>
    <row r="25">
      <c r="A25" s="136">
        <v>11.0</v>
      </c>
      <c r="B25" s="137">
        <f>CSE4098A_Spring2026_Grade!B15</f>
        <v>223014075</v>
      </c>
      <c r="C25" s="137" t="str">
        <f>CSE4098A_Spring2026_Grade!C15</f>
        <v>S M Rahnuma Apshara</v>
      </c>
      <c r="D25" s="138">
        <f>'CO_Report Evaluation'!P13</f>
        <v>12.66666667</v>
      </c>
      <c r="E25" s="138">
        <f>'CO_Report Evaluation'!Q13</f>
        <v>2</v>
      </c>
      <c r="F25" s="138">
        <f>'CO_Report Evaluation'!R13</f>
        <v>2.666666667</v>
      </c>
      <c r="G25" s="139"/>
      <c r="H25" s="139"/>
      <c r="I25" s="140"/>
      <c r="J25" s="138"/>
      <c r="K25" s="141"/>
      <c r="L25" s="141"/>
      <c r="M25" s="141">
        <v>5.0</v>
      </c>
      <c r="N25" s="139"/>
      <c r="O25" s="139"/>
      <c r="P25" s="142"/>
      <c r="Q25" s="143"/>
      <c r="R25" s="143"/>
      <c r="S25" s="143"/>
      <c r="T25" s="141">
        <f>((CSE4098A_Spring2026_Grade!E15)*10)/45</f>
        <v>9.628888889</v>
      </c>
      <c r="U25" s="144"/>
      <c r="V25" s="142"/>
      <c r="W25" s="143"/>
      <c r="X25" s="143"/>
      <c r="Y25" s="143"/>
      <c r="Z25" s="143"/>
      <c r="AA25" s="144"/>
      <c r="AB25" s="145">
        <f t="shared" si="11"/>
        <v>12.66666667</v>
      </c>
      <c r="AC25" s="146">
        <f t="shared" ref="AC25:AE25" si="47">SUM(Q25, W25,E25,K25)</f>
        <v>2</v>
      </c>
      <c r="AD25" s="146">
        <f t="shared" si="47"/>
        <v>2.666666667</v>
      </c>
      <c r="AE25" s="146">
        <f t="shared" si="47"/>
        <v>5</v>
      </c>
      <c r="AF25" s="146">
        <f t="shared" si="13"/>
        <v>9.628888889</v>
      </c>
      <c r="AG25" s="146">
        <f t="shared" si="14"/>
        <v>0</v>
      </c>
      <c r="AH25" s="147">
        <f t="shared" ref="AH25:AM25" si="48">IF(AB25 = 0, 0, AB25/AB$14)</f>
        <v>0.8444444444</v>
      </c>
      <c r="AI25" s="147">
        <f t="shared" si="48"/>
        <v>0.6666666667</v>
      </c>
      <c r="AJ25" s="147">
        <f t="shared" si="48"/>
        <v>0.8888888889</v>
      </c>
      <c r="AK25" s="147">
        <f t="shared" si="48"/>
        <v>1</v>
      </c>
      <c r="AL25" s="147">
        <f t="shared" si="48"/>
        <v>0.9628888889</v>
      </c>
      <c r="AM25" s="147">
        <f t="shared" si="48"/>
        <v>0</v>
      </c>
      <c r="AN25" s="148">
        <f>IF(OR(CSE4098A_Spring2026_Grade!$I15="W (Withdrawn)", CSE4098A_Spring2026_Grade!$I15="I (Incomplete)"), 0, IF(AH25&gt;=55%, 1, 0))</f>
        <v>1</v>
      </c>
      <c r="AO25" s="148">
        <f>IF(OR(CSE4098A_Spring2026_Grade!$I15="W (Withdrawn)", CSE4098A_Spring2026_Grade!I15="I (Incomplete)"), 0, IF(AI25&gt;=55%, 1, 0))</f>
        <v>1</v>
      </c>
      <c r="AP25" s="148">
        <f>IF(OR(CSE4098A_Spring2026_Grade!$I15="W (Withdrawn)", CSE4098A_Spring2026_Grade!$I15="I (Incomplete)"), 0, IF(AJ25&gt;=55%, 1, 0))</f>
        <v>1</v>
      </c>
      <c r="AQ25" s="148">
        <f>IF(OR(CSE4098A_Spring2026_Grade!$I15="W (Withdrawn)", CSE4098A_Spring2026_Grade!$I15="I (Incomplete)"), 0, IF(AK25&gt;=55%, 1, 0))</f>
        <v>1</v>
      </c>
      <c r="AR25" s="148">
        <f>IF(OR(CSE4098A_Spring2026_Grade!$I15="W (Withdrawn)", CSE4098A_Spring2026_Grade!$I15="I (Incomplete)"), 0, IF(AL25&gt;=55%, 1, 0))</f>
        <v>1</v>
      </c>
      <c r="AS25" s="148">
        <f>IF(OR(CSE4098A_Spring2026_Grade!$I15="W (Withdrawn)", CSE4098A_Spring2026_Grade!$I15="I (Incomplete)"), 0, IF(AM25&gt;=55%, 1, 0))</f>
        <v>0</v>
      </c>
      <c r="AT25" s="115"/>
      <c r="AU25" s="149">
        <f t="shared" si="16"/>
        <v>0</v>
      </c>
      <c r="AV25" s="149">
        <f t="shared" si="17"/>
        <v>0.8444444444</v>
      </c>
      <c r="AW25" s="149">
        <f t="array" ref="AW25">IF($AV$9=0,0,MMULT($AH25:$AM25, AV$3:AV$8)/$AV$9)</f>
        <v>0</v>
      </c>
      <c r="AX25" s="149">
        <f t="array" ref="AX25">IF($AW$9=0,0,MMULT($AH25:$AM25, AW$3:AW$8)/$AW$9)</f>
        <v>0</v>
      </c>
      <c r="AY25" s="149">
        <f t="shared" si="18"/>
        <v>0</v>
      </c>
      <c r="AZ25" s="149">
        <f t="array" ref="AZ25">IF($AY$9=0,0,MMULT($AH25:$AM25, AY$3:AY$8)/$AY$9)</f>
        <v>0</v>
      </c>
      <c r="BA25" s="149">
        <f t="array" ref="BA25">IF($AZ$9=0,0,MMULT($AH25:$AM25, AZ$3:AZ$8)/$AZ$9)</f>
        <v>0</v>
      </c>
      <c r="BB25" s="149">
        <f t="array" ref="BB25">IF($BA$9=0,0,MMULT($AH25:$AM25, BA$3:BA$8)/$BA$9)</f>
        <v>0</v>
      </c>
      <c r="BC25" s="149">
        <f t="array" ref="BC25">IF($BB$9=0,0,MMULT($AH25:$AM25, BB$3:BB$8)/$BB$9)</f>
        <v>1</v>
      </c>
      <c r="BD25" s="149">
        <f t="array" ref="BD25">IF($BC$9=0,0,MMULT($AH25:$AM25, BC$3:BC$8)/$BC$9)</f>
        <v>0.9628888889</v>
      </c>
      <c r="BE25" s="149">
        <f t="shared" si="19"/>
        <v>0.8888888889</v>
      </c>
      <c r="BF25" s="149">
        <f t="shared" si="20"/>
        <v>0.6666666667</v>
      </c>
      <c r="BG25" s="148" t="str">
        <f t="shared" si="21"/>
        <v>#REF!</v>
      </c>
      <c r="BH25" s="148">
        <f>IF(OR(CSE4098A_Spring2026_Grade!$I15="W (Withdrawn)", CSE4098A_Spring2026_Grade!$I15="I (Incomplete)"), 0, IF(AV25&gt;=55%, 1, 0))</f>
        <v>1</v>
      </c>
      <c r="BI25" s="148" t="str">
        <f t="shared" ref="BI25:BN25" si="49">IF(OR(GradeSheet!$M20="W (Withdrawn)", GradeSheet!$M20="I (Incomplete)"), 0, IF(AW25&gt;=55%, 1, 0))</f>
        <v>#REF!</v>
      </c>
      <c r="BJ25" s="148" t="str">
        <f t="shared" si="49"/>
        <v>#REF!</v>
      </c>
      <c r="BK25" s="148" t="str">
        <f t="shared" si="49"/>
        <v>#REF!</v>
      </c>
      <c r="BL25" s="148" t="str">
        <f t="shared" si="49"/>
        <v>#REF!</v>
      </c>
      <c r="BM25" s="148" t="str">
        <f t="shared" si="49"/>
        <v>#REF!</v>
      </c>
      <c r="BN25" s="148" t="str">
        <f t="shared" si="49"/>
        <v>#REF!</v>
      </c>
      <c r="BO25" s="148">
        <f>IF(OR(CSE4098A_Spring2026_Grade!$I15="W (Withdrawn)", CSE4098A_Spring2026_Grade!$I15="I (Incomplete)"), 0, IF(BC25&gt;=55%, 1, 0))</f>
        <v>1</v>
      </c>
      <c r="BP25" s="148">
        <f>IF(OR(CSE4098A_Spring2026_Grade!$I15="W (Withdrawn)", CSE4098A_Spring2026_Grade!$I15="I (Incomplete)"), 0, IF(BD25&gt;=55%, 1, 0))</f>
        <v>1</v>
      </c>
      <c r="BQ25" s="148">
        <f>IF(OR(CSE4098A_Spring2026_Grade!$I15="W (Withdrawn)", CSE4098A_Spring2026_Grade!$I15="I (Incomplete)"), 0, IF(BE25&gt;=55%, 1, 0))</f>
        <v>1</v>
      </c>
      <c r="BR25" s="148">
        <f>IF(OR(CSE4098A_Spring2026_Grade!$I15="W (Withdrawn)", CSE4098A_Spring2026_Grade!$I15="I (Incomplete)"), 0, IF(BF25&gt;=55%, 1, 0))</f>
        <v>1</v>
      </c>
    </row>
    <row r="26">
      <c r="A26" s="136">
        <v>12.0</v>
      </c>
      <c r="B26" s="137">
        <f>CSE4098A_Spring2026_Grade!B16</f>
        <v>223014108</v>
      </c>
      <c r="C26" s="137" t="str">
        <f>CSE4098A_Spring2026_Grade!C16</f>
        <v>Israt Islam</v>
      </c>
      <c r="D26" s="138">
        <f>'CO_Report Evaluation'!P14</f>
        <v>12.66666667</v>
      </c>
      <c r="E26" s="138">
        <f>'CO_Report Evaluation'!Q14</f>
        <v>2</v>
      </c>
      <c r="F26" s="138">
        <f>'CO_Report Evaluation'!R14</f>
        <v>2.666666667</v>
      </c>
      <c r="G26" s="139"/>
      <c r="H26" s="139"/>
      <c r="I26" s="140"/>
      <c r="J26" s="138"/>
      <c r="K26" s="141"/>
      <c r="L26" s="141"/>
      <c r="M26" s="141">
        <v>3.0</v>
      </c>
      <c r="N26" s="139"/>
      <c r="O26" s="139"/>
      <c r="P26" s="142"/>
      <c r="Q26" s="143"/>
      <c r="R26" s="143"/>
      <c r="S26" s="143"/>
      <c r="T26" s="141">
        <f>((CSE4098A_Spring2026_Grade!E16)*10)/45</f>
        <v>9.482222222</v>
      </c>
      <c r="U26" s="144"/>
      <c r="V26" s="142"/>
      <c r="W26" s="143"/>
      <c r="X26" s="143"/>
      <c r="Y26" s="143"/>
      <c r="Z26" s="143"/>
      <c r="AA26" s="144"/>
      <c r="AB26" s="145">
        <f t="shared" si="11"/>
        <v>12.66666667</v>
      </c>
      <c r="AC26" s="146">
        <f t="shared" ref="AC26:AE26" si="50">SUM(Q26, W26,E26,K26)</f>
        <v>2</v>
      </c>
      <c r="AD26" s="146">
        <f t="shared" si="50"/>
        <v>2.666666667</v>
      </c>
      <c r="AE26" s="146">
        <f t="shared" si="50"/>
        <v>3</v>
      </c>
      <c r="AF26" s="146">
        <f t="shared" si="13"/>
        <v>9.482222222</v>
      </c>
      <c r="AG26" s="146">
        <f t="shared" si="14"/>
        <v>0</v>
      </c>
      <c r="AH26" s="147">
        <f t="shared" ref="AH26:AM26" si="51">IF(AB26 = 0, 0, AB26/AB$14)</f>
        <v>0.8444444444</v>
      </c>
      <c r="AI26" s="147">
        <f t="shared" si="51"/>
        <v>0.6666666667</v>
      </c>
      <c r="AJ26" s="147">
        <f t="shared" si="51"/>
        <v>0.8888888889</v>
      </c>
      <c r="AK26" s="147">
        <f t="shared" si="51"/>
        <v>0.6</v>
      </c>
      <c r="AL26" s="147">
        <f t="shared" si="51"/>
        <v>0.9482222222</v>
      </c>
      <c r="AM26" s="147">
        <f t="shared" si="51"/>
        <v>0</v>
      </c>
      <c r="AN26" s="148">
        <f>IF(OR(CSE4098A_Spring2026_Grade!$I16="W (Withdrawn)", CSE4098A_Spring2026_Grade!$I16="I (Incomplete)"), 0, IF(AH26&gt;=55%, 1, 0))</f>
        <v>1</v>
      </c>
      <c r="AO26" s="148">
        <f>IF(OR(CSE4098A_Spring2026_Grade!$I16="W (Withdrawn)", CSE4098A_Spring2026_Grade!I16="I (Incomplete)"), 0, IF(AI26&gt;=55%, 1, 0))</f>
        <v>1</v>
      </c>
      <c r="AP26" s="148">
        <f>IF(OR(CSE4098A_Spring2026_Grade!$I16="W (Withdrawn)", CSE4098A_Spring2026_Grade!$I16="I (Incomplete)"), 0, IF(AJ26&gt;=55%, 1, 0))</f>
        <v>1</v>
      </c>
      <c r="AQ26" s="148">
        <f>IF(OR(CSE4098A_Spring2026_Grade!$I16="W (Withdrawn)", CSE4098A_Spring2026_Grade!$I16="I (Incomplete)"), 0, IF(AK26&gt;=55%, 1, 0))</f>
        <v>1</v>
      </c>
      <c r="AR26" s="148">
        <f>IF(OR(CSE4098A_Spring2026_Grade!$I16="W (Withdrawn)", CSE4098A_Spring2026_Grade!$I16="I (Incomplete)"), 0, IF(AL26&gt;=55%, 1, 0))</f>
        <v>1</v>
      </c>
      <c r="AS26" s="148">
        <f>IF(OR(CSE4098A_Spring2026_Grade!$I16="W (Withdrawn)", CSE4098A_Spring2026_Grade!$I16="I (Incomplete)"), 0, IF(AM26&gt;=55%, 1, 0))</f>
        <v>0</v>
      </c>
      <c r="AT26" s="115"/>
      <c r="AU26" s="149">
        <f t="shared" si="16"/>
        <v>0</v>
      </c>
      <c r="AV26" s="149">
        <f t="shared" si="17"/>
        <v>0.8444444444</v>
      </c>
      <c r="AW26" s="149">
        <f t="array" ref="AW26">IF($AV$9=0,0,MMULT($AH26:$AM26, AV$3:AV$8)/$AV$9)</f>
        <v>0</v>
      </c>
      <c r="AX26" s="149">
        <f t="array" ref="AX26">IF($AW$9=0,0,MMULT($AH26:$AM26, AW$3:AW$8)/$AW$9)</f>
        <v>0</v>
      </c>
      <c r="AY26" s="149">
        <f t="shared" si="18"/>
        <v>0</v>
      </c>
      <c r="AZ26" s="149">
        <f t="array" ref="AZ26">IF($AY$9=0,0,MMULT($AH26:$AM26, AY$3:AY$8)/$AY$9)</f>
        <v>0</v>
      </c>
      <c r="BA26" s="149">
        <f t="array" ref="BA26">IF($AZ$9=0,0,MMULT($AH26:$AM26, AZ$3:AZ$8)/$AZ$9)</f>
        <v>0</v>
      </c>
      <c r="BB26" s="149">
        <f t="array" ref="BB26">IF($BA$9=0,0,MMULT($AH26:$AM26, BA$3:BA$8)/$BA$9)</f>
        <v>0</v>
      </c>
      <c r="BC26" s="149">
        <f t="array" ref="BC26">IF($BB$9=0,0,MMULT($AH26:$AM26, BB$3:BB$8)/$BB$9)</f>
        <v>0.6</v>
      </c>
      <c r="BD26" s="149">
        <f t="array" ref="BD26">IF($BC$9=0,0,MMULT($AH26:$AM26, BC$3:BC$8)/$BC$9)</f>
        <v>0.9482222222</v>
      </c>
      <c r="BE26" s="149">
        <f t="shared" si="19"/>
        <v>0.8888888889</v>
      </c>
      <c r="BF26" s="149">
        <f t="shared" si="20"/>
        <v>0.6666666667</v>
      </c>
      <c r="BG26" s="148" t="str">
        <f t="shared" si="21"/>
        <v>#REF!</v>
      </c>
      <c r="BH26" s="148">
        <f>IF(OR(CSE4098A_Spring2026_Grade!$I16="W (Withdrawn)", CSE4098A_Spring2026_Grade!$I16="I (Incomplete)"), 0, IF(AV26&gt;=55%, 1, 0))</f>
        <v>1</v>
      </c>
      <c r="BI26" s="148" t="str">
        <f t="shared" ref="BI26:BN26" si="52">IF(OR(GradeSheet!$M21="W (Withdrawn)", GradeSheet!$M21="I (Incomplete)"), 0, IF(AW26&gt;=55%, 1, 0))</f>
        <v>#REF!</v>
      </c>
      <c r="BJ26" s="148" t="str">
        <f t="shared" si="52"/>
        <v>#REF!</v>
      </c>
      <c r="BK26" s="148" t="str">
        <f t="shared" si="52"/>
        <v>#REF!</v>
      </c>
      <c r="BL26" s="148" t="str">
        <f t="shared" si="52"/>
        <v>#REF!</v>
      </c>
      <c r="BM26" s="148" t="str">
        <f t="shared" si="52"/>
        <v>#REF!</v>
      </c>
      <c r="BN26" s="148" t="str">
        <f t="shared" si="52"/>
        <v>#REF!</v>
      </c>
      <c r="BO26" s="148">
        <f>IF(OR(CSE4098A_Spring2026_Grade!$I16="W (Withdrawn)", CSE4098A_Spring2026_Grade!$I16="I (Incomplete)"), 0, IF(BC26&gt;=55%, 1, 0))</f>
        <v>1</v>
      </c>
      <c r="BP26" s="148">
        <f>IF(OR(CSE4098A_Spring2026_Grade!$I16="W (Withdrawn)", CSE4098A_Spring2026_Grade!$I16="I (Incomplete)"), 0, IF(BD26&gt;=55%, 1, 0))</f>
        <v>1</v>
      </c>
      <c r="BQ26" s="148">
        <f>IF(OR(CSE4098A_Spring2026_Grade!$I16="W (Withdrawn)", CSE4098A_Spring2026_Grade!$I16="I (Incomplete)"), 0, IF(BE26&gt;=55%, 1, 0))</f>
        <v>1</v>
      </c>
      <c r="BR26" s="148">
        <f>IF(OR(CSE4098A_Spring2026_Grade!$I16="W (Withdrawn)", CSE4098A_Spring2026_Grade!$I16="I (Incomplete)"), 0, IF(BF26&gt;=55%, 1, 0))</f>
        <v>1</v>
      </c>
    </row>
    <row r="27">
      <c r="A27" s="136">
        <v>13.0</v>
      </c>
      <c r="B27" s="137">
        <f>CSE4098A_Spring2026_Grade!B17</f>
        <v>223014090</v>
      </c>
      <c r="C27" s="137" t="str">
        <f>CSE4098A_Spring2026_Grade!C17</f>
        <v>Shatabdee Chanda Shruti</v>
      </c>
      <c r="D27" s="138">
        <f>'CO_Report Evaluation'!P15</f>
        <v>12.66666667</v>
      </c>
      <c r="E27" s="138">
        <f>'CO_Report Evaluation'!Q15</f>
        <v>2</v>
      </c>
      <c r="F27" s="138">
        <f>'CO_Report Evaluation'!R15</f>
        <v>2.666666667</v>
      </c>
      <c r="G27" s="139"/>
      <c r="H27" s="139"/>
      <c r="I27" s="140"/>
      <c r="J27" s="138"/>
      <c r="K27" s="141"/>
      <c r="L27" s="141"/>
      <c r="M27" s="141">
        <v>4.0</v>
      </c>
      <c r="N27" s="139"/>
      <c r="O27" s="139"/>
      <c r="P27" s="142"/>
      <c r="Q27" s="143"/>
      <c r="R27" s="143"/>
      <c r="S27" s="143"/>
      <c r="T27" s="141">
        <f>((CSE4098A_Spring2026_Grade!E17)*10)/45</f>
        <v>9.333333333</v>
      </c>
      <c r="U27" s="144"/>
      <c r="V27" s="142"/>
      <c r="W27" s="143"/>
      <c r="X27" s="143"/>
      <c r="Y27" s="143"/>
      <c r="Z27" s="143"/>
      <c r="AA27" s="144"/>
      <c r="AB27" s="145">
        <f t="shared" si="11"/>
        <v>12.66666667</v>
      </c>
      <c r="AC27" s="146">
        <f t="shared" ref="AC27:AE27" si="53">SUM(Q27, W27,E27,K27)</f>
        <v>2</v>
      </c>
      <c r="AD27" s="146">
        <f t="shared" si="53"/>
        <v>2.666666667</v>
      </c>
      <c r="AE27" s="146">
        <f t="shared" si="53"/>
        <v>4</v>
      </c>
      <c r="AF27" s="146">
        <f t="shared" si="13"/>
        <v>9.333333333</v>
      </c>
      <c r="AG27" s="146">
        <f t="shared" si="14"/>
        <v>0</v>
      </c>
      <c r="AH27" s="147">
        <f t="shared" ref="AH27:AM27" si="54">IF(AB27 = 0, 0, AB27/AB$14)</f>
        <v>0.8444444444</v>
      </c>
      <c r="AI27" s="147">
        <f t="shared" si="54"/>
        <v>0.6666666667</v>
      </c>
      <c r="AJ27" s="147">
        <f t="shared" si="54"/>
        <v>0.8888888889</v>
      </c>
      <c r="AK27" s="147">
        <f t="shared" si="54"/>
        <v>0.8</v>
      </c>
      <c r="AL27" s="147">
        <f t="shared" si="54"/>
        <v>0.9333333333</v>
      </c>
      <c r="AM27" s="147">
        <f t="shared" si="54"/>
        <v>0</v>
      </c>
      <c r="AN27" s="148">
        <f>IF(OR(CSE4098A_Spring2026_Grade!$I17="W (Withdrawn)", CSE4098A_Spring2026_Grade!$I17="I (Incomplete)"), 0, IF(AH27&gt;=55%, 1, 0))</f>
        <v>1</v>
      </c>
      <c r="AO27" s="148">
        <f>IF(OR(CSE4098A_Spring2026_Grade!$I17="W (Withdrawn)", CSE4098A_Spring2026_Grade!I17="I (Incomplete)"), 0, IF(AI27&gt;=55%, 1, 0))</f>
        <v>1</v>
      </c>
      <c r="AP27" s="148">
        <f>IF(OR(CSE4098A_Spring2026_Grade!$I17="W (Withdrawn)", CSE4098A_Spring2026_Grade!$I17="I (Incomplete)"), 0, IF(AJ27&gt;=55%, 1, 0))</f>
        <v>1</v>
      </c>
      <c r="AQ27" s="148">
        <f>IF(OR(CSE4098A_Spring2026_Grade!$I17="W (Withdrawn)", CSE4098A_Spring2026_Grade!$I17="I (Incomplete)"), 0, IF(AK27&gt;=55%, 1, 0))</f>
        <v>1</v>
      </c>
      <c r="AR27" s="148">
        <f>IF(OR(CSE4098A_Spring2026_Grade!$I17="W (Withdrawn)", CSE4098A_Spring2026_Grade!$I17="I (Incomplete)"), 0, IF(AL27&gt;=55%, 1, 0))</f>
        <v>1</v>
      </c>
      <c r="AS27" s="148">
        <f>IF(OR(CSE4098A_Spring2026_Grade!$I17="W (Withdrawn)", CSE4098A_Spring2026_Grade!$I17="I (Incomplete)"), 0, IF(AM27&gt;=55%, 1, 0))</f>
        <v>0</v>
      </c>
      <c r="AT27" s="115"/>
      <c r="AU27" s="149">
        <f t="shared" si="16"/>
        <v>0</v>
      </c>
      <c r="AV27" s="149">
        <f t="shared" si="17"/>
        <v>0.8444444444</v>
      </c>
      <c r="AW27" s="149">
        <f t="array" ref="AW27">IF($AV$9=0,0,MMULT($AH27:$AM27, AV$3:AV$8)/$AV$9)</f>
        <v>0</v>
      </c>
      <c r="AX27" s="149">
        <f t="array" ref="AX27">IF($AW$9=0,0,MMULT($AH27:$AM27, AW$3:AW$8)/$AW$9)</f>
        <v>0</v>
      </c>
      <c r="AY27" s="149">
        <f t="shared" si="18"/>
        <v>0</v>
      </c>
      <c r="AZ27" s="149">
        <f t="array" ref="AZ27">IF($AY$9=0,0,MMULT($AH27:$AM27, AY$3:AY$8)/$AY$9)</f>
        <v>0</v>
      </c>
      <c r="BA27" s="149">
        <f t="array" ref="BA27">IF($AZ$9=0,0,MMULT($AH27:$AM27, AZ$3:AZ$8)/$AZ$9)</f>
        <v>0</v>
      </c>
      <c r="BB27" s="149">
        <f t="array" ref="BB27">IF($BA$9=0,0,MMULT($AH27:$AM27, BA$3:BA$8)/$BA$9)</f>
        <v>0</v>
      </c>
      <c r="BC27" s="149">
        <f t="array" ref="BC27">IF($BB$9=0,0,MMULT($AH27:$AM27, BB$3:BB$8)/$BB$9)</f>
        <v>0.8</v>
      </c>
      <c r="BD27" s="149">
        <f t="array" ref="BD27">IF($BC$9=0,0,MMULT($AH27:$AM27, BC$3:BC$8)/$BC$9)</f>
        <v>0.9333333333</v>
      </c>
      <c r="BE27" s="149">
        <f t="shared" si="19"/>
        <v>0.8888888889</v>
      </c>
      <c r="BF27" s="149">
        <f t="shared" si="20"/>
        <v>0.6666666667</v>
      </c>
      <c r="BG27" s="148" t="str">
        <f t="shared" si="21"/>
        <v>#REF!</v>
      </c>
      <c r="BH27" s="148">
        <f>IF(OR(CSE4098A_Spring2026_Grade!$I17="W (Withdrawn)", CSE4098A_Spring2026_Grade!$I17="I (Incomplete)"), 0, IF(AV27&gt;=55%, 1, 0))</f>
        <v>1</v>
      </c>
      <c r="BI27" s="148" t="str">
        <f t="shared" ref="BI27:BN27" si="55">IF(OR(GradeSheet!$M22="W (Withdrawn)", GradeSheet!$M22="I (Incomplete)"), 0, IF(AW27&gt;=55%, 1, 0))</f>
        <v>#REF!</v>
      </c>
      <c r="BJ27" s="148" t="str">
        <f t="shared" si="55"/>
        <v>#REF!</v>
      </c>
      <c r="BK27" s="148" t="str">
        <f t="shared" si="55"/>
        <v>#REF!</v>
      </c>
      <c r="BL27" s="148" t="str">
        <f t="shared" si="55"/>
        <v>#REF!</v>
      </c>
      <c r="BM27" s="148" t="str">
        <f t="shared" si="55"/>
        <v>#REF!</v>
      </c>
      <c r="BN27" s="148" t="str">
        <f t="shared" si="55"/>
        <v>#REF!</v>
      </c>
      <c r="BO27" s="148">
        <f>IF(OR(CSE4098A_Spring2026_Grade!$I17="W (Withdrawn)", CSE4098A_Spring2026_Grade!$I17="I (Incomplete)"), 0, IF(BC27&gt;=55%, 1, 0))</f>
        <v>1</v>
      </c>
      <c r="BP27" s="148">
        <f>IF(OR(CSE4098A_Spring2026_Grade!$I17="W (Withdrawn)", CSE4098A_Spring2026_Grade!$I17="I (Incomplete)"), 0, IF(BD27&gt;=55%, 1, 0))</f>
        <v>1</v>
      </c>
      <c r="BQ27" s="148">
        <f>IF(OR(CSE4098A_Spring2026_Grade!$I17="W (Withdrawn)", CSE4098A_Spring2026_Grade!$I17="I (Incomplete)"), 0, IF(BE27&gt;=55%, 1, 0))</f>
        <v>1</v>
      </c>
      <c r="BR27" s="148">
        <f>IF(OR(CSE4098A_Spring2026_Grade!$I17="W (Withdrawn)", CSE4098A_Spring2026_Grade!$I17="I (Incomplete)"), 0, IF(BF27&gt;=55%, 1, 0))</f>
        <v>1</v>
      </c>
    </row>
    <row r="28">
      <c r="A28" s="136">
        <v>14.0</v>
      </c>
      <c r="B28" s="137">
        <f>CSE4098A_Spring2026_Grade!B18</f>
        <v>223014024</v>
      </c>
      <c r="C28" s="137" t="str">
        <f>CSE4098A_Spring2026_Grade!C18</f>
        <v>Piyas Sarkar</v>
      </c>
      <c r="D28" s="138">
        <f>'CO_Report Evaluation'!P16</f>
        <v>12.33333333</v>
      </c>
      <c r="E28" s="138">
        <f>'CO_Report Evaluation'!Q16</f>
        <v>2.666666667</v>
      </c>
      <c r="F28" s="138">
        <f>'CO_Report Evaluation'!R16</f>
        <v>2.666666667</v>
      </c>
      <c r="G28" s="139"/>
      <c r="H28" s="139"/>
      <c r="I28" s="140"/>
      <c r="J28" s="138"/>
      <c r="K28" s="141"/>
      <c r="L28" s="141"/>
      <c r="M28" s="141">
        <v>5.0</v>
      </c>
      <c r="N28" s="139"/>
      <c r="O28" s="139"/>
      <c r="P28" s="142"/>
      <c r="Q28" s="143"/>
      <c r="R28" s="143"/>
      <c r="S28" s="143"/>
      <c r="T28" s="141">
        <f>((CSE4098A_Spring2026_Grade!E18)*10)/45</f>
        <v>7.653333333</v>
      </c>
      <c r="U28" s="144"/>
      <c r="V28" s="142"/>
      <c r="W28" s="143"/>
      <c r="X28" s="143"/>
      <c r="Y28" s="143"/>
      <c r="Z28" s="143"/>
      <c r="AA28" s="144"/>
      <c r="AB28" s="145">
        <f t="shared" si="11"/>
        <v>12.33333333</v>
      </c>
      <c r="AC28" s="146">
        <f t="shared" ref="AC28:AE28" si="56">SUM(Q28, W28,E28,K28)</f>
        <v>2.666666667</v>
      </c>
      <c r="AD28" s="146">
        <f t="shared" si="56"/>
        <v>2.666666667</v>
      </c>
      <c r="AE28" s="146">
        <f t="shared" si="56"/>
        <v>5</v>
      </c>
      <c r="AF28" s="146">
        <f t="shared" si="13"/>
        <v>7.653333333</v>
      </c>
      <c r="AG28" s="146">
        <f t="shared" si="14"/>
        <v>0</v>
      </c>
      <c r="AH28" s="147">
        <f t="shared" ref="AH28:AM28" si="57">IF(AB28 = 0, 0, AB28/AB$14)</f>
        <v>0.8222222222</v>
      </c>
      <c r="AI28" s="147">
        <f t="shared" si="57"/>
        <v>0.8888888889</v>
      </c>
      <c r="AJ28" s="147">
        <f t="shared" si="57"/>
        <v>0.8888888889</v>
      </c>
      <c r="AK28" s="147">
        <f t="shared" si="57"/>
        <v>1</v>
      </c>
      <c r="AL28" s="147">
        <f t="shared" si="57"/>
        <v>0.7653333333</v>
      </c>
      <c r="AM28" s="147">
        <f t="shared" si="57"/>
        <v>0</v>
      </c>
      <c r="AN28" s="148">
        <f>IF(OR(CSE4098A_Spring2026_Grade!$I18="W (Withdrawn)", CSE4098A_Spring2026_Grade!$I18="I (Incomplete)"), 0, IF(AH28&gt;=55%, 1, 0))</f>
        <v>1</v>
      </c>
      <c r="AO28" s="148">
        <f>IF(OR(CSE4098A_Spring2026_Grade!$I18="W (Withdrawn)", CSE4098A_Spring2026_Grade!I18="I (Incomplete)"), 0, IF(AI28&gt;=55%, 1, 0))</f>
        <v>1</v>
      </c>
      <c r="AP28" s="148">
        <f>IF(OR(CSE4098A_Spring2026_Grade!$I18="W (Withdrawn)", CSE4098A_Spring2026_Grade!$I18="I (Incomplete)"), 0, IF(AJ28&gt;=55%, 1, 0))</f>
        <v>1</v>
      </c>
      <c r="AQ28" s="148">
        <f>IF(OR(CSE4098A_Spring2026_Grade!$I18="W (Withdrawn)", CSE4098A_Spring2026_Grade!$I18="I (Incomplete)"), 0, IF(AK28&gt;=55%, 1, 0))</f>
        <v>1</v>
      </c>
      <c r="AR28" s="148">
        <f>IF(OR(CSE4098A_Spring2026_Grade!$I18="W (Withdrawn)", CSE4098A_Spring2026_Grade!$I18="I (Incomplete)"), 0, IF(AL28&gt;=55%, 1, 0))</f>
        <v>1</v>
      </c>
      <c r="AS28" s="148">
        <f>IF(OR(CSE4098A_Spring2026_Grade!$I18="W (Withdrawn)", CSE4098A_Spring2026_Grade!$I18="I (Incomplete)"), 0, IF(AM28&gt;=55%, 1, 0))</f>
        <v>0</v>
      </c>
      <c r="AT28" s="115"/>
      <c r="AU28" s="149">
        <f t="shared" si="16"/>
        <v>0</v>
      </c>
      <c r="AV28" s="149">
        <f t="shared" si="17"/>
        <v>0.8222222222</v>
      </c>
      <c r="AW28" s="149">
        <f t="array" ref="AW28">IF($AV$9=0,0,MMULT($AH28:$AM28, AV$3:AV$8)/$AV$9)</f>
        <v>0</v>
      </c>
      <c r="AX28" s="149">
        <f t="array" ref="AX28">IF($AW$9=0,0,MMULT($AH28:$AM28, AW$3:AW$8)/$AW$9)</f>
        <v>0</v>
      </c>
      <c r="AY28" s="149">
        <f t="shared" si="18"/>
        <v>0</v>
      </c>
      <c r="AZ28" s="149">
        <f t="array" ref="AZ28">IF($AY$9=0,0,MMULT($AH28:$AM28, AY$3:AY$8)/$AY$9)</f>
        <v>0</v>
      </c>
      <c r="BA28" s="149">
        <f t="array" ref="BA28">IF($AZ$9=0,0,MMULT($AH28:$AM28, AZ$3:AZ$8)/$AZ$9)</f>
        <v>0</v>
      </c>
      <c r="BB28" s="149">
        <f t="array" ref="BB28">IF($BA$9=0,0,MMULT($AH28:$AM28, BA$3:BA$8)/$BA$9)</f>
        <v>0</v>
      </c>
      <c r="BC28" s="149">
        <f t="array" ref="BC28">IF($BB$9=0,0,MMULT($AH28:$AM28, BB$3:BB$8)/$BB$9)</f>
        <v>1</v>
      </c>
      <c r="BD28" s="149">
        <f t="array" ref="BD28">IF($BC$9=0,0,MMULT($AH28:$AM28, BC$3:BC$8)/$BC$9)</f>
        <v>0.7653333333</v>
      </c>
      <c r="BE28" s="149">
        <f t="shared" si="19"/>
        <v>0.8888888889</v>
      </c>
      <c r="BF28" s="149">
        <f t="shared" si="20"/>
        <v>0.8888888889</v>
      </c>
      <c r="BG28" s="148" t="str">
        <f t="shared" si="21"/>
        <v>#REF!</v>
      </c>
      <c r="BH28" s="148">
        <f>IF(OR(CSE4098A_Spring2026_Grade!$I18="W (Withdrawn)", CSE4098A_Spring2026_Grade!$I18="I (Incomplete)"), 0, IF(AV28&gt;=55%, 1, 0))</f>
        <v>1</v>
      </c>
      <c r="BI28" s="148" t="str">
        <f t="shared" ref="BI28:BN28" si="58">IF(OR(GradeSheet!$M23="W (Withdrawn)", GradeSheet!$M23="I (Incomplete)"), 0, IF(AW28&gt;=55%, 1, 0))</f>
        <v>#REF!</v>
      </c>
      <c r="BJ28" s="148" t="str">
        <f t="shared" si="58"/>
        <v>#REF!</v>
      </c>
      <c r="BK28" s="148" t="str">
        <f t="shared" si="58"/>
        <v>#REF!</v>
      </c>
      <c r="BL28" s="148" t="str">
        <f t="shared" si="58"/>
        <v>#REF!</v>
      </c>
      <c r="BM28" s="148" t="str">
        <f t="shared" si="58"/>
        <v>#REF!</v>
      </c>
      <c r="BN28" s="148" t="str">
        <f t="shared" si="58"/>
        <v>#REF!</v>
      </c>
      <c r="BO28" s="148">
        <f>IF(OR(CSE4098A_Spring2026_Grade!$I18="W (Withdrawn)", CSE4098A_Spring2026_Grade!$I18="I (Incomplete)"), 0, IF(BC28&gt;=55%, 1, 0))</f>
        <v>1</v>
      </c>
      <c r="BP28" s="148">
        <f>IF(OR(CSE4098A_Spring2026_Grade!$I18="W (Withdrawn)", CSE4098A_Spring2026_Grade!$I18="I (Incomplete)"), 0, IF(BD28&gt;=55%, 1, 0))</f>
        <v>1</v>
      </c>
      <c r="BQ28" s="148">
        <f>IF(OR(CSE4098A_Spring2026_Grade!$I18="W (Withdrawn)", CSE4098A_Spring2026_Grade!$I18="I (Incomplete)"), 0, IF(BE28&gt;=55%, 1, 0))</f>
        <v>1</v>
      </c>
      <c r="BR28" s="148">
        <f>IF(OR(CSE4098A_Spring2026_Grade!$I18="W (Withdrawn)", CSE4098A_Spring2026_Grade!$I18="I (Incomplete)"), 0, IF(BF28&gt;=55%, 1, 0))</f>
        <v>1</v>
      </c>
    </row>
    <row r="29">
      <c r="A29" s="136">
        <v>15.0</v>
      </c>
      <c r="B29" s="137">
        <f>CSE4098A_Spring2026_Grade!B19</f>
        <v>223014112</v>
      </c>
      <c r="C29" s="137" t="str">
        <f>CSE4098A_Spring2026_Grade!C19</f>
        <v>Md. Mahmuduzzaman Mollah Rabbee</v>
      </c>
      <c r="D29" s="138">
        <f>'CO_Report Evaluation'!P17</f>
        <v>12.33333333</v>
      </c>
      <c r="E29" s="138">
        <f>'CO_Report Evaluation'!Q17</f>
        <v>2.666666667</v>
      </c>
      <c r="F29" s="138">
        <f>'CO_Report Evaluation'!R17</f>
        <v>2.666666667</v>
      </c>
      <c r="G29" s="139"/>
      <c r="H29" s="139"/>
      <c r="I29" s="140"/>
      <c r="J29" s="138"/>
      <c r="K29" s="141"/>
      <c r="L29" s="141"/>
      <c r="M29" s="141">
        <v>5.0</v>
      </c>
      <c r="N29" s="139"/>
      <c r="O29" s="139"/>
      <c r="P29" s="142"/>
      <c r="Q29" s="143"/>
      <c r="R29" s="143"/>
      <c r="S29" s="143"/>
      <c r="T29" s="141">
        <f>((CSE4098A_Spring2026_Grade!E19)*10)/45</f>
        <v>6.913333333</v>
      </c>
      <c r="U29" s="144"/>
      <c r="V29" s="142"/>
      <c r="W29" s="143"/>
      <c r="X29" s="143"/>
      <c r="Y29" s="143"/>
      <c r="Z29" s="143"/>
      <c r="AA29" s="144"/>
      <c r="AB29" s="145">
        <f t="shared" si="11"/>
        <v>12.33333333</v>
      </c>
      <c r="AC29" s="146">
        <f t="shared" ref="AC29:AE29" si="59">SUM(Q29, W29,E29,K29)</f>
        <v>2.666666667</v>
      </c>
      <c r="AD29" s="146">
        <f t="shared" si="59"/>
        <v>2.666666667</v>
      </c>
      <c r="AE29" s="146">
        <f t="shared" si="59"/>
        <v>5</v>
      </c>
      <c r="AF29" s="146">
        <f t="shared" si="13"/>
        <v>6.913333333</v>
      </c>
      <c r="AG29" s="146">
        <f t="shared" si="14"/>
        <v>0</v>
      </c>
      <c r="AH29" s="147">
        <f t="shared" ref="AH29:AM29" si="60">IF(AB29 = 0, 0, AB29/AB$14)</f>
        <v>0.8222222222</v>
      </c>
      <c r="AI29" s="147">
        <f t="shared" si="60"/>
        <v>0.8888888889</v>
      </c>
      <c r="AJ29" s="147">
        <f t="shared" si="60"/>
        <v>0.8888888889</v>
      </c>
      <c r="AK29" s="147">
        <f t="shared" si="60"/>
        <v>1</v>
      </c>
      <c r="AL29" s="147">
        <f t="shared" si="60"/>
        <v>0.6913333333</v>
      </c>
      <c r="AM29" s="147">
        <f t="shared" si="60"/>
        <v>0</v>
      </c>
      <c r="AN29" s="148">
        <f>IF(OR(CSE4098A_Spring2026_Grade!$I19="W (Withdrawn)", CSE4098A_Spring2026_Grade!$I19="I (Incomplete)"), 0, IF(AH29&gt;=55%, 1, 0))</f>
        <v>1</v>
      </c>
      <c r="AO29" s="148">
        <f>IF(OR(CSE4098A_Spring2026_Grade!$I19="W (Withdrawn)", CSE4098A_Spring2026_Grade!I19="I (Incomplete)"), 0, IF(AI29&gt;=55%, 1, 0))</f>
        <v>1</v>
      </c>
      <c r="AP29" s="148">
        <f>IF(OR(CSE4098A_Spring2026_Grade!$I19="W (Withdrawn)", CSE4098A_Spring2026_Grade!$I19="I (Incomplete)"), 0, IF(AJ29&gt;=55%, 1, 0))</f>
        <v>1</v>
      </c>
      <c r="AQ29" s="148">
        <f>IF(OR(CSE4098A_Spring2026_Grade!$I19="W (Withdrawn)", CSE4098A_Spring2026_Grade!$I19="I (Incomplete)"), 0, IF(AK29&gt;=55%, 1, 0))</f>
        <v>1</v>
      </c>
      <c r="AR29" s="148">
        <f>IF(OR(CSE4098A_Spring2026_Grade!$I19="W (Withdrawn)", CSE4098A_Spring2026_Grade!$I19="I (Incomplete)"), 0, IF(AL29&gt;=55%, 1, 0))</f>
        <v>1</v>
      </c>
      <c r="AS29" s="148">
        <f>IF(OR(CSE4098A_Spring2026_Grade!$I19="W (Withdrawn)", CSE4098A_Spring2026_Grade!$I19="I (Incomplete)"), 0, IF(AM29&gt;=55%, 1, 0))</f>
        <v>0</v>
      </c>
      <c r="AT29" s="115"/>
      <c r="AU29" s="149">
        <f t="shared" si="16"/>
        <v>0</v>
      </c>
      <c r="AV29" s="149">
        <f t="shared" si="17"/>
        <v>0.8222222222</v>
      </c>
      <c r="AW29" s="149">
        <f t="array" ref="AW29">IF($AV$9=0,0,MMULT($AH29:$AM29, AV$3:AV$8)/$AV$9)</f>
        <v>0</v>
      </c>
      <c r="AX29" s="149">
        <f t="array" ref="AX29">IF($AW$9=0,0,MMULT($AH29:$AM29, AW$3:AW$8)/$AW$9)</f>
        <v>0</v>
      </c>
      <c r="AY29" s="149">
        <f t="shared" si="18"/>
        <v>0</v>
      </c>
      <c r="AZ29" s="149">
        <f t="array" ref="AZ29">IF($AY$9=0,0,MMULT($AH29:$AM29, AY$3:AY$8)/$AY$9)</f>
        <v>0</v>
      </c>
      <c r="BA29" s="149">
        <f t="array" ref="BA29">IF($AZ$9=0,0,MMULT($AH29:$AM29, AZ$3:AZ$8)/$AZ$9)</f>
        <v>0</v>
      </c>
      <c r="BB29" s="149">
        <f t="array" ref="BB29">IF($BA$9=0,0,MMULT($AH29:$AM29, BA$3:BA$8)/$BA$9)</f>
        <v>0</v>
      </c>
      <c r="BC29" s="149">
        <f t="array" ref="BC29">IF($BB$9=0,0,MMULT($AH29:$AM29, BB$3:BB$8)/$BB$9)</f>
        <v>1</v>
      </c>
      <c r="BD29" s="149">
        <f t="array" ref="BD29">IF($BC$9=0,0,MMULT($AH29:$AM29, BC$3:BC$8)/$BC$9)</f>
        <v>0.6913333333</v>
      </c>
      <c r="BE29" s="149">
        <f t="shared" si="19"/>
        <v>0.8888888889</v>
      </c>
      <c r="BF29" s="149">
        <f t="shared" si="20"/>
        <v>0.8888888889</v>
      </c>
      <c r="BG29" s="148" t="str">
        <f t="shared" si="21"/>
        <v>#REF!</v>
      </c>
      <c r="BH29" s="148">
        <f>IF(OR(CSE4098A_Spring2026_Grade!$I19="W (Withdrawn)", CSE4098A_Spring2026_Grade!$I19="I (Incomplete)"), 0, IF(AV29&gt;=55%, 1, 0))</f>
        <v>1</v>
      </c>
      <c r="BI29" s="148" t="str">
        <f t="shared" ref="BI29:BN29" si="61">IF(OR(GradeSheet!$M24="W (Withdrawn)", GradeSheet!$M24="I (Incomplete)"), 0, IF(AW29&gt;=55%, 1, 0))</f>
        <v>#REF!</v>
      </c>
      <c r="BJ29" s="148" t="str">
        <f t="shared" si="61"/>
        <v>#REF!</v>
      </c>
      <c r="BK29" s="148" t="str">
        <f t="shared" si="61"/>
        <v>#REF!</v>
      </c>
      <c r="BL29" s="148" t="str">
        <f t="shared" si="61"/>
        <v>#REF!</v>
      </c>
      <c r="BM29" s="148" t="str">
        <f t="shared" si="61"/>
        <v>#REF!</v>
      </c>
      <c r="BN29" s="148" t="str">
        <f t="shared" si="61"/>
        <v>#REF!</v>
      </c>
      <c r="BO29" s="148">
        <f>IF(OR(CSE4098A_Spring2026_Grade!$I19="W (Withdrawn)", CSE4098A_Spring2026_Grade!$I19="I (Incomplete)"), 0, IF(BC29&gt;=55%, 1, 0))</f>
        <v>1</v>
      </c>
      <c r="BP29" s="148">
        <f>IF(OR(CSE4098A_Spring2026_Grade!$I19="W (Withdrawn)", CSE4098A_Spring2026_Grade!$I19="I (Incomplete)"), 0, IF(BD29&gt;=55%, 1, 0))</f>
        <v>1</v>
      </c>
      <c r="BQ29" s="148">
        <f>IF(OR(CSE4098A_Spring2026_Grade!$I19="W (Withdrawn)", CSE4098A_Spring2026_Grade!$I19="I (Incomplete)"), 0, IF(BE29&gt;=55%, 1, 0))</f>
        <v>1</v>
      </c>
      <c r="BR29" s="148">
        <f>IF(OR(CSE4098A_Spring2026_Grade!$I19="W (Withdrawn)", CSE4098A_Spring2026_Grade!$I19="I (Incomplete)"), 0, IF(BF29&gt;=55%, 1, 0))</f>
        <v>1</v>
      </c>
    </row>
    <row r="30">
      <c r="A30" s="136">
        <v>16.0</v>
      </c>
      <c r="B30" s="137">
        <f>CSE4098A_Spring2026_Grade!B20</f>
        <v>231014136</v>
      </c>
      <c r="C30" s="137" t="str">
        <f>CSE4098A_Spring2026_Grade!C20</f>
        <v>Md. Tasdiqur Rahman Khan</v>
      </c>
      <c r="D30" s="138">
        <f>'CO_Report Evaluation'!P18</f>
        <v>12.33333333</v>
      </c>
      <c r="E30" s="138">
        <f>'CO_Report Evaluation'!Q18</f>
        <v>2.666666667</v>
      </c>
      <c r="F30" s="138">
        <f>'CO_Report Evaluation'!R18</f>
        <v>2.666666667</v>
      </c>
      <c r="G30" s="139"/>
      <c r="H30" s="139"/>
      <c r="I30" s="140"/>
      <c r="J30" s="138"/>
      <c r="K30" s="141"/>
      <c r="L30" s="141"/>
      <c r="M30" s="141">
        <v>4.0</v>
      </c>
      <c r="N30" s="139"/>
      <c r="O30" s="139"/>
      <c r="P30" s="142"/>
      <c r="Q30" s="143"/>
      <c r="R30" s="143"/>
      <c r="S30" s="143"/>
      <c r="T30" s="141">
        <f>((CSE4098A_Spring2026_Grade!E20)*10)/45</f>
        <v>6.913333333</v>
      </c>
      <c r="U30" s="144"/>
      <c r="V30" s="142"/>
      <c r="W30" s="143"/>
      <c r="X30" s="143"/>
      <c r="Y30" s="143"/>
      <c r="Z30" s="143"/>
      <c r="AA30" s="144"/>
      <c r="AB30" s="145">
        <f t="shared" si="11"/>
        <v>12.33333333</v>
      </c>
      <c r="AC30" s="146">
        <f t="shared" ref="AC30:AE30" si="62">SUM(Q30, W30,E30,K30)</f>
        <v>2.666666667</v>
      </c>
      <c r="AD30" s="146">
        <f t="shared" si="62"/>
        <v>2.666666667</v>
      </c>
      <c r="AE30" s="146">
        <f t="shared" si="62"/>
        <v>4</v>
      </c>
      <c r="AF30" s="146">
        <f t="shared" si="13"/>
        <v>6.913333333</v>
      </c>
      <c r="AG30" s="146">
        <f t="shared" si="14"/>
        <v>0</v>
      </c>
      <c r="AH30" s="147">
        <f t="shared" ref="AH30:AM30" si="63">IF(AB30 = 0, 0, AB30/AB$14)</f>
        <v>0.8222222222</v>
      </c>
      <c r="AI30" s="147">
        <f t="shared" si="63"/>
        <v>0.8888888889</v>
      </c>
      <c r="AJ30" s="147">
        <f t="shared" si="63"/>
        <v>0.8888888889</v>
      </c>
      <c r="AK30" s="147">
        <f t="shared" si="63"/>
        <v>0.8</v>
      </c>
      <c r="AL30" s="147">
        <f t="shared" si="63"/>
        <v>0.6913333333</v>
      </c>
      <c r="AM30" s="147">
        <f t="shared" si="63"/>
        <v>0</v>
      </c>
      <c r="AN30" s="148">
        <f>IF(OR(CSE4098A_Spring2026_Grade!$I20="W (Withdrawn)", CSE4098A_Spring2026_Grade!$I20="I (Incomplete)"), 0, IF(AH30&gt;=55%, 1, 0))</f>
        <v>1</v>
      </c>
      <c r="AO30" s="148">
        <f>IF(OR(CSE4098A_Spring2026_Grade!$I20="W (Withdrawn)", CSE4098A_Spring2026_Grade!I20="I (Incomplete)"), 0, IF(AI30&gt;=55%, 1, 0))</f>
        <v>1</v>
      </c>
      <c r="AP30" s="148">
        <f>IF(OR(CSE4098A_Spring2026_Grade!$I20="W (Withdrawn)", CSE4098A_Spring2026_Grade!$I20="I (Incomplete)"), 0, IF(AJ30&gt;=55%, 1, 0))</f>
        <v>1</v>
      </c>
      <c r="AQ30" s="148">
        <f>IF(OR(CSE4098A_Spring2026_Grade!$I20="W (Withdrawn)", CSE4098A_Spring2026_Grade!$I20="I (Incomplete)"), 0, IF(AK30&gt;=55%, 1, 0))</f>
        <v>1</v>
      </c>
      <c r="AR30" s="148">
        <f>IF(OR(CSE4098A_Spring2026_Grade!$I20="W (Withdrawn)", CSE4098A_Spring2026_Grade!$I20="I (Incomplete)"), 0, IF(AL30&gt;=55%, 1, 0))</f>
        <v>1</v>
      </c>
      <c r="AS30" s="148">
        <f>IF(OR(CSE4098A_Spring2026_Grade!$I20="W (Withdrawn)", CSE4098A_Spring2026_Grade!$I20="I (Incomplete)"), 0, IF(AM30&gt;=55%, 1, 0))</f>
        <v>0</v>
      </c>
      <c r="AT30" s="115"/>
      <c r="AU30" s="149">
        <f t="shared" si="16"/>
        <v>0</v>
      </c>
      <c r="AV30" s="149">
        <f t="shared" si="17"/>
        <v>0.8222222222</v>
      </c>
      <c r="AW30" s="149">
        <f t="array" ref="AW30">IF($AV$9=0,0,MMULT($AH30:$AM30, AV$3:AV$8)/$AV$9)</f>
        <v>0</v>
      </c>
      <c r="AX30" s="149">
        <f t="array" ref="AX30">IF($AW$9=0,0,MMULT($AH30:$AM30, AW$3:AW$8)/$AW$9)</f>
        <v>0</v>
      </c>
      <c r="AY30" s="149">
        <f t="shared" si="18"/>
        <v>0</v>
      </c>
      <c r="AZ30" s="149">
        <f t="array" ref="AZ30">IF($AY$9=0,0,MMULT($AH30:$AM30, AY$3:AY$8)/$AY$9)</f>
        <v>0</v>
      </c>
      <c r="BA30" s="149">
        <f t="array" ref="BA30">IF($AZ$9=0,0,MMULT($AH30:$AM30, AZ$3:AZ$8)/$AZ$9)</f>
        <v>0</v>
      </c>
      <c r="BB30" s="149">
        <f t="array" ref="BB30">IF($BA$9=0,0,MMULT($AH30:$AM30, BA$3:BA$8)/$BA$9)</f>
        <v>0</v>
      </c>
      <c r="BC30" s="149">
        <f t="array" ref="BC30">IF($BB$9=0,0,MMULT($AH30:$AM30, BB$3:BB$8)/$BB$9)</f>
        <v>0.8</v>
      </c>
      <c r="BD30" s="149">
        <f t="array" ref="BD30">IF($BC$9=0,0,MMULT($AH30:$AM30, BC$3:BC$8)/$BC$9)</f>
        <v>0.6913333333</v>
      </c>
      <c r="BE30" s="149">
        <f t="shared" si="19"/>
        <v>0.8888888889</v>
      </c>
      <c r="BF30" s="149">
        <f t="shared" si="20"/>
        <v>0.8888888889</v>
      </c>
      <c r="BG30" s="148" t="str">
        <f t="shared" si="21"/>
        <v>#REF!</v>
      </c>
      <c r="BH30" s="148">
        <f>IF(OR(CSE4098A_Spring2026_Grade!$I20="W (Withdrawn)", CSE4098A_Spring2026_Grade!$I20="I (Incomplete)"), 0, IF(AV30&gt;=55%, 1, 0))</f>
        <v>1</v>
      </c>
      <c r="BI30" s="148" t="str">
        <f t="shared" ref="BI30:BN30" si="64">IF(OR(GradeSheet!$M25="W (Withdrawn)", GradeSheet!$M25="I (Incomplete)"), 0, IF(AW30&gt;=55%, 1, 0))</f>
        <v>#REF!</v>
      </c>
      <c r="BJ30" s="148" t="str">
        <f t="shared" si="64"/>
        <v>#REF!</v>
      </c>
      <c r="BK30" s="148" t="str">
        <f t="shared" si="64"/>
        <v>#REF!</v>
      </c>
      <c r="BL30" s="148" t="str">
        <f t="shared" si="64"/>
        <v>#REF!</v>
      </c>
      <c r="BM30" s="148" t="str">
        <f t="shared" si="64"/>
        <v>#REF!</v>
      </c>
      <c r="BN30" s="148" t="str">
        <f t="shared" si="64"/>
        <v>#REF!</v>
      </c>
      <c r="BO30" s="148">
        <f>IF(OR(CSE4098A_Spring2026_Grade!$I20="W (Withdrawn)", CSE4098A_Spring2026_Grade!$I20="I (Incomplete)"), 0, IF(BC30&gt;=55%, 1, 0))</f>
        <v>1</v>
      </c>
      <c r="BP30" s="148">
        <f>IF(OR(CSE4098A_Spring2026_Grade!$I20="W (Withdrawn)", CSE4098A_Spring2026_Grade!$I20="I (Incomplete)"), 0, IF(BD30&gt;=55%, 1, 0))</f>
        <v>1</v>
      </c>
      <c r="BQ30" s="148">
        <f>IF(OR(CSE4098A_Spring2026_Grade!$I20="W (Withdrawn)", CSE4098A_Spring2026_Grade!$I20="I (Incomplete)"), 0, IF(BE30&gt;=55%, 1, 0))</f>
        <v>1</v>
      </c>
      <c r="BR30" s="148">
        <f>IF(OR(CSE4098A_Spring2026_Grade!$I20="W (Withdrawn)", CSE4098A_Spring2026_Grade!$I20="I (Incomplete)"), 0, IF(BF30&gt;=55%, 1, 0))</f>
        <v>1</v>
      </c>
    </row>
    <row r="31">
      <c r="A31" s="136">
        <v>17.0</v>
      </c>
      <c r="B31" s="137">
        <f>CSE4098A_Spring2026_Grade!B21</f>
        <v>223014206</v>
      </c>
      <c r="C31" s="137" t="str">
        <f>CSE4098A_Spring2026_Grade!C21</f>
        <v>Rafia Haque Arpita</v>
      </c>
      <c r="D31" s="138">
        <f>'CO_Report Evaluation'!P19</f>
        <v>12.33333333</v>
      </c>
      <c r="E31" s="138">
        <f>'CO_Report Evaluation'!Q19</f>
        <v>2.666666667</v>
      </c>
      <c r="F31" s="138">
        <f>'CO_Report Evaluation'!R19</f>
        <v>2.666666667</v>
      </c>
      <c r="G31" s="139"/>
      <c r="H31" s="139"/>
      <c r="I31" s="140"/>
      <c r="J31" s="138"/>
      <c r="K31" s="141"/>
      <c r="L31" s="141"/>
      <c r="M31" s="141">
        <v>5.0</v>
      </c>
      <c r="N31" s="139"/>
      <c r="O31" s="139"/>
      <c r="P31" s="142"/>
      <c r="Q31" s="143"/>
      <c r="R31" s="143"/>
      <c r="S31" s="143"/>
      <c r="T31" s="141">
        <f>((CSE4098A_Spring2026_Grade!E21)*10)/45</f>
        <v>7.431111111</v>
      </c>
      <c r="U31" s="144"/>
      <c r="V31" s="142"/>
      <c r="W31" s="143"/>
      <c r="X31" s="143"/>
      <c r="Y31" s="143"/>
      <c r="Z31" s="143"/>
      <c r="AA31" s="144"/>
      <c r="AB31" s="145">
        <f t="shared" si="11"/>
        <v>12.33333333</v>
      </c>
      <c r="AC31" s="146">
        <f t="shared" ref="AC31:AE31" si="65">SUM(Q31, W31,E31,K31)</f>
        <v>2.666666667</v>
      </c>
      <c r="AD31" s="146">
        <f t="shared" si="65"/>
        <v>2.666666667</v>
      </c>
      <c r="AE31" s="146">
        <f t="shared" si="65"/>
        <v>5</v>
      </c>
      <c r="AF31" s="146">
        <f t="shared" si="13"/>
        <v>7.431111111</v>
      </c>
      <c r="AG31" s="146">
        <f t="shared" si="14"/>
        <v>0</v>
      </c>
      <c r="AH31" s="147">
        <f t="shared" ref="AH31:AM31" si="66">IF(AB31 = 0, 0, AB31/AB$14)</f>
        <v>0.8222222222</v>
      </c>
      <c r="AI31" s="147">
        <f t="shared" si="66"/>
        <v>0.8888888889</v>
      </c>
      <c r="AJ31" s="147">
        <f t="shared" si="66"/>
        <v>0.8888888889</v>
      </c>
      <c r="AK31" s="147">
        <f t="shared" si="66"/>
        <v>1</v>
      </c>
      <c r="AL31" s="147">
        <f t="shared" si="66"/>
        <v>0.7431111111</v>
      </c>
      <c r="AM31" s="147">
        <f t="shared" si="66"/>
        <v>0</v>
      </c>
      <c r="AN31" s="148">
        <f>IF(OR(CSE4098A_Spring2026_Grade!$I21="W (Withdrawn)", CSE4098A_Spring2026_Grade!$I21="I (Incomplete)"), 0, IF(AH31&gt;=55%, 1, 0))</f>
        <v>1</v>
      </c>
      <c r="AO31" s="148">
        <f>IF(OR(CSE4098A_Spring2026_Grade!$I21="W (Withdrawn)", CSE4098A_Spring2026_Grade!I21="I (Incomplete)"), 0, IF(AI31&gt;=55%, 1, 0))</f>
        <v>1</v>
      </c>
      <c r="AP31" s="148">
        <f>IF(OR(CSE4098A_Spring2026_Grade!$I21="W (Withdrawn)", CSE4098A_Spring2026_Grade!$I21="I (Incomplete)"), 0, IF(AJ31&gt;=55%, 1, 0))</f>
        <v>1</v>
      </c>
      <c r="AQ31" s="148">
        <f>IF(OR(CSE4098A_Spring2026_Grade!$I21="W (Withdrawn)", CSE4098A_Spring2026_Grade!$I21="I (Incomplete)"), 0, IF(AK31&gt;=55%, 1, 0))</f>
        <v>1</v>
      </c>
      <c r="AR31" s="148">
        <f>IF(OR(CSE4098A_Spring2026_Grade!$I21="W (Withdrawn)", CSE4098A_Spring2026_Grade!$I21="I (Incomplete)"), 0, IF(AL31&gt;=55%, 1, 0))</f>
        <v>1</v>
      </c>
      <c r="AS31" s="148">
        <f>IF(OR(CSE4098A_Spring2026_Grade!$I21="W (Withdrawn)", CSE4098A_Spring2026_Grade!$I21="I (Incomplete)"), 0, IF(AM31&gt;=55%, 1, 0))</f>
        <v>0</v>
      </c>
      <c r="AT31" s="115"/>
      <c r="AU31" s="149">
        <f t="shared" si="16"/>
        <v>0</v>
      </c>
      <c r="AV31" s="149">
        <f t="shared" si="17"/>
        <v>0.8222222222</v>
      </c>
      <c r="AW31" s="149">
        <f t="array" ref="AW31">IF($AV$9=0,0,MMULT($AH31:$AM31, AV$3:AV$8)/$AV$9)</f>
        <v>0</v>
      </c>
      <c r="AX31" s="149">
        <f t="array" ref="AX31">IF($AW$9=0,0,MMULT($AH31:$AM31, AW$3:AW$8)/$AW$9)</f>
        <v>0</v>
      </c>
      <c r="AY31" s="149">
        <f t="shared" si="18"/>
        <v>0</v>
      </c>
      <c r="AZ31" s="149">
        <f t="array" ref="AZ31">IF($AY$9=0,0,MMULT($AH31:$AM31, AY$3:AY$8)/$AY$9)</f>
        <v>0</v>
      </c>
      <c r="BA31" s="149">
        <f t="array" ref="BA31">IF($AZ$9=0,0,MMULT($AH31:$AM31, AZ$3:AZ$8)/$AZ$9)</f>
        <v>0</v>
      </c>
      <c r="BB31" s="149">
        <f t="array" ref="BB31">IF($BA$9=0,0,MMULT($AH31:$AM31, BA$3:BA$8)/$BA$9)</f>
        <v>0</v>
      </c>
      <c r="BC31" s="149">
        <f t="array" ref="BC31">IF($BB$9=0,0,MMULT($AH31:$AM31, BB$3:BB$8)/$BB$9)</f>
        <v>1</v>
      </c>
      <c r="BD31" s="149">
        <f t="array" ref="BD31">IF($BC$9=0,0,MMULT($AH31:$AM31, BC$3:BC$8)/$BC$9)</f>
        <v>0.7431111111</v>
      </c>
      <c r="BE31" s="149">
        <f t="shared" si="19"/>
        <v>0.8888888889</v>
      </c>
      <c r="BF31" s="149">
        <f t="shared" si="20"/>
        <v>0.8888888889</v>
      </c>
      <c r="BG31" s="148" t="str">
        <f t="shared" si="21"/>
        <v>#REF!</v>
      </c>
      <c r="BH31" s="148">
        <f>IF(OR(CSE4098A_Spring2026_Grade!$I21="W (Withdrawn)", CSE4098A_Spring2026_Grade!$I21="I (Incomplete)"), 0, IF(AV31&gt;=55%, 1, 0))</f>
        <v>1</v>
      </c>
      <c r="BI31" s="148" t="str">
        <f t="shared" ref="BI31:BN31" si="67">IF(OR(GradeSheet!$M26="W (Withdrawn)", GradeSheet!$M26="I (Incomplete)"), 0, IF(AW31&gt;=55%, 1, 0))</f>
        <v>#REF!</v>
      </c>
      <c r="BJ31" s="148" t="str">
        <f t="shared" si="67"/>
        <v>#REF!</v>
      </c>
      <c r="BK31" s="148" t="str">
        <f t="shared" si="67"/>
        <v>#REF!</v>
      </c>
      <c r="BL31" s="148" t="str">
        <f t="shared" si="67"/>
        <v>#REF!</v>
      </c>
      <c r="BM31" s="148" t="str">
        <f t="shared" si="67"/>
        <v>#REF!</v>
      </c>
      <c r="BN31" s="148" t="str">
        <f t="shared" si="67"/>
        <v>#REF!</v>
      </c>
      <c r="BO31" s="148">
        <f>IF(OR(CSE4098A_Spring2026_Grade!$I21="W (Withdrawn)", CSE4098A_Spring2026_Grade!$I21="I (Incomplete)"), 0, IF(BC31&gt;=55%, 1, 0))</f>
        <v>1</v>
      </c>
      <c r="BP31" s="148">
        <f>IF(OR(CSE4098A_Spring2026_Grade!$I21="W (Withdrawn)", CSE4098A_Spring2026_Grade!$I21="I (Incomplete)"), 0, IF(BD31&gt;=55%, 1, 0))</f>
        <v>1</v>
      </c>
      <c r="BQ31" s="148">
        <f>IF(OR(CSE4098A_Spring2026_Grade!$I21="W (Withdrawn)", CSE4098A_Spring2026_Grade!$I21="I (Incomplete)"), 0, IF(BE31&gt;=55%, 1, 0))</f>
        <v>1</v>
      </c>
      <c r="BR31" s="148">
        <f>IF(OR(CSE4098A_Spring2026_Grade!$I21="W (Withdrawn)", CSE4098A_Spring2026_Grade!$I21="I (Incomplete)"), 0, IF(BF31&gt;=55%, 1, 0))</f>
        <v>1</v>
      </c>
    </row>
    <row r="32">
      <c r="A32" s="136">
        <v>18.0</v>
      </c>
      <c r="B32" s="137">
        <f>CSE4098A_Spring2026_Grade!B22</f>
        <v>231014010</v>
      </c>
      <c r="C32" s="137" t="str">
        <f>CSE4098A_Spring2026_Grade!C22</f>
        <v>Mahmudul Islam Shajib</v>
      </c>
      <c r="D32" s="138">
        <f>'CO_Report Evaluation'!P20</f>
        <v>13.33333333</v>
      </c>
      <c r="E32" s="138">
        <f>'CO_Report Evaluation'!Q20</f>
        <v>3</v>
      </c>
      <c r="F32" s="138">
        <f>'CO_Report Evaluation'!R20</f>
        <v>2.333333333</v>
      </c>
      <c r="G32" s="139"/>
      <c r="H32" s="139"/>
      <c r="I32" s="140"/>
      <c r="J32" s="138"/>
      <c r="K32" s="141"/>
      <c r="L32" s="141"/>
      <c r="M32" s="141">
        <v>4.0</v>
      </c>
      <c r="N32" s="139"/>
      <c r="O32" s="139"/>
      <c r="P32" s="142"/>
      <c r="Q32" s="143"/>
      <c r="R32" s="143"/>
      <c r="S32" s="143"/>
      <c r="T32" s="141">
        <f>((CSE4098A_Spring2026_Grade!E22)*10)/45</f>
        <v>8.226666667</v>
      </c>
      <c r="U32" s="144"/>
      <c r="V32" s="142"/>
      <c r="W32" s="143"/>
      <c r="X32" s="143"/>
      <c r="Y32" s="143"/>
      <c r="Z32" s="143"/>
      <c r="AA32" s="144"/>
      <c r="AB32" s="145">
        <f t="shared" si="11"/>
        <v>13.33333333</v>
      </c>
      <c r="AC32" s="146">
        <f t="shared" ref="AC32:AE32" si="68">SUM(Q32, W32,E32,K32)</f>
        <v>3</v>
      </c>
      <c r="AD32" s="146">
        <f t="shared" si="68"/>
        <v>2.333333333</v>
      </c>
      <c r="AE32" s="146">
        <f t="shared" si="68"/>
        <v>4</v>
      </c>
      <c r="AF32" s="146">
        <f t="shared" si="13"/>
        <v>8.226666667</v>
      </c>
      <c r="AG32" s="146">
        <f t="shared" si="14"/>
        <v>0</v>
      </c>
      <c r="AH32" s="147">
        <f t="shared" ref="AH32:AM32" si="69">IF(AB32 = 0, 0, AB32/AB$14)</f>
        <v>0.8888888889</v>
      </c>
      <c r="AI32" s="147">
        <f t="shared" si="69"/>
        <v>1</v>
      </c>
      <c r="AJ32" s="147">
        <f t="shared" si="69"/>
        <v>0.7777777778</v>
      </c>
      <c r="AK32" s="147">
        <f t="shared" si="69"/>
        <v>0.8</v>
      </c>
      <c r="AL32" s="147">
        <f t="shared" si="69"/>
        <v>0.8226666667</v>
      </c>
      <c r="AM32" s="147">
        <f t="shared" si="69"/>
        <v>0</v>
      </c>
      <c r="AN32" s="148">
        <f>IF(OR(CSE4098A_Spring2026_Grade!$I22="W (Withdrawn)", CSE4098A_Spring2026_Grade!$I22="I (Incomplete)"), 0, IF(AH32&gt;=55%, 1, 0))</f>
        <v>1</v>
      </c>
      <c r="AO32" s="148">
        <f>IF(OR(CSE4098A_Spring2026_Grade!$I22="W (Withdrawn)", CSE4098A_Spring2026_Grade!I22="I (Incomplete)"), 0, IF(AI32&gt;=55%, 1, 0))</f>
        <v>1</v>
      </c>
      <c r="AP32" s="148">
        <f>IF(OR(CSE4098A_Spring2026_Grade!$I22="W (Withdrawn)", CSE4098A_Spring2026_Grade!$I22="I (Incomplete)"), 0, IF(AJ32&gt;=55%, 1, 0))</f>
        <v>1</v>
      </c>
      <c r="AQ32" s="148">
        <f>IF(OR(CSE4098A_Spring2026_Grade!$I22="W (Withdrawn)", CSE4098A_Spring2026_Grade!$I22="I (Incomplete)"), 0, IF(AK32&gt;=55%, 1, 0))</f>
        <v>1</v>
      </c>
      <c r="AR32" s="148">
        <f>IF(OR(CSE4098A_Spring2026_Grade!$I22="W (Withdrawn)", CSE4098A_Spring2026_Grade!$I22="I (Incomplete)"), 0, IF(AL32&gt;=55%, 1, 0))</f>
        <v>1</v>
      </c>
      <c r="AS32" s="148">
        <f>IF(OR(CSE4098A_Spring2026_Grade!$I22="W (Withdrawn)", CSE4098A_Spring2026_Grade!$I22="I (Incomplete)"), 0, IF(AM32&gt;=55%, 1, 0))</f>
        <v>0</v>
      </c>
      <c r="AT32" s="115"/>
      <c r="AU32" s="149">
        <f t="shared" si="16"/>
        <v>0</v>
      </c>
      <c r="AV32" s="149">
        <f t="shared" si="17"/>
        <v>0.8888888889</v>
      </c>
      <c r="AW32" s="149">
        <f t="array" ref="AW32">IF($AV$9=0,0,MMULT($AH32:$AM32, AV$3:AV$8)/$AV$9)</f>
        <v>0</v>
      </c>
      <c r="AX32" s="149">
        <f t="array" ref="AX32">IF($AW$9=0,0,MMULT($AH32:$AM32, AW$3:AW$8)/$AW$9)</f>
        <v>0</v>
      </c>
      <c r="AY32" s="149">
        <f t="shared" si="18"/>
        <v>0</v>
      </c>
      <c r="AZ32" s="149">
        <f t="array" ref="AZ32">IF($AY$9=0,0,MMULT($AH32:$AM32, AY$3:AY$8)/$AY$9)</f>
        <v>0</v>
      </c>
      <c r="BA32" s="149">
        <f t="array" ref="BA32">IF($AZ$9=0,0,MMULT($AH32:$AM32, AZ$3:AZ$8)/$AZ$9)</f>
        <v>0</v>
      </c>
      <c r="BB32" s="149">
        <f t="array" ref="BB32">IF($BA$9=0,0,MMULT($AH32:$AM32, BA$3:BA$8)/$BA$9)</f>
        <v>0</v>
      </c>
      <c r="BC32" s="149">
        <f t="array" ref="BC32">IF($BB$9=0,0,MMULT($AH32:$AM32, BB$3:BB$8)/$BB$9)</f>
        <v>0.8</v>
      </c>
      <c r="BD32" s="149">
        <f t="array" ref="BD32">IF($BC$9=0,0,MMULT($AH32:$AM32, BC$3:BC$8)/$BC$9)</f>
        <v>0.8226666667</v>
      </c>
      <c r="BE32" s="149">
        <f t="shared" si="19"/>
        <v>0.7777777778</v>
      </c>
      <c r="BF32" s="149">
        <f t="shared" si="20"/>
        <v>1</v>
      </c>
      <c r="BG32" s="148" t="str">
        <f t="shared" si="21"/>
        <v>#REF!</v>
      </c>
      <c r="BH32" s="148">
        <f>IF(OR(CSE4098A_Spring2026_Grade!$I22="W (Withdrawn)", CSE4098A_Spring2026_Grade!$I22="I (Incomplete)"), 0, IF(AV32&gt;=55%, 1, 0))</f>
        <v>1</v>
      </c>
      <c r="BI32" s="148" t="str">
        <f t="shared" ref="BI32:BN32" si="70">IF(OR(GradeSheet!$M27="W (Withdrawn)", GradeSheet!$M27="I (Incomplete)"), 0, IF(AW32&gt;=55%, 1, 0))</f>
        <v>#REF!</v>
      </c>
      <c r="BJ32" s="148" t="str">
        <f t="shared" si="70"/>
        <v>#REF!</v>
      </c>
      <c r="BK32" s="148" t="str">
        <f t="shared" si="70"/>
        <v>#REF!</v>
      </c>
      <c r="BL32" s="148" t="str">
        <f t="shared" si="70"/>
        <v>#REF!</v>
      </c>
      <c r="BM32" s="148" t="str">
        <f t="shared" si="70"/>
        <v>#REF!</v>
      </c>
      <c r="BN32" s="148" t="str">
        <f t="shared" si="70"/>
        <v>#REF!</v>
      </c>
      <c r="BO32" s="148">
        <f>IF(OR(CSE4098A_Spring2026_Grade!$I22="W (Withdrawn)", CSE4098A_Spring2026_Grade!$I22="I (Incomplete)"), 0, IF(BC32&gt;=55%, 1, 0))</f>
        <v>1</v>
      </c>
      <c r="BP32" s="148">
        <f>IF(OR(CSE4098A_Spring2026_Grade!$I22="W (Withdrawn)", CSE4098A_Spring2026_Grade!$I22="I (Incomplete)"), 0, IF(BD32&gt;=55%, 1, 0))</f>
        <v>1</v>
      </c>
      <c r="BQ32" s="148">
        <f>IF(OR(CSE4098A_Spring2026_Grade!$I22="W (Withdrawn)", CSE4098A_Spring2026_Grade!$I22="I (Incomplete)"), 0, IF(BE32&gt;=55%, 1, 0))</f>
        <v>1</v>
      </c>
      <c r="BR32" s="148">
        <f>IF(OR(CSE4098A_Spring2026_Grade!$I22="W (Withdrawn)", CSE4098A_Spring2026_Grade!$I22="I (Incomplete)"), 0, IF(BF32&gt;=55%, 1, 0))</f>
        <v>1</v>
      </c>
    </row>
    <row r="33">
      <c r="A33" s="136">
        <v>19.0</v>
      </c>
      <c r="B33" s="137">
        <f>CSE4098A_Spring2026_Grade!B23</f>
        <v>231014082</v>
      </c>
      <c r="C33" s="137" t="str">
        <f>CSE4098A_Spring2026_Grade!C23</f>
        <v>Mst. Fahmida Jesmin</v>
      </c>
      <c r="D33" s="138">
        <f>'CO_Report Evaluation'!P21</f>
        <v>13.33333333</v>
      </c>
      <c r="E33" s="138">
        <f>'CO_Report Evaluation'!Q21</f>
        <v>3</v>
      </c>
      <c r="F33" s="138">
        <f>'CO_Report Evaluation'!R21</f>
        <v>2.333333333</v>
      </c>
      <c r="G33" s="139"/>
      <c r="H33" s="139"/>
      <c r="I33" s="140"/>
      <c r="J33" s="138"/>
      <c r="K33" s="141"/>
      <c r="L33" s="141"/>
      <c r="M33" s="141">
        <v>5.0</v>
      </c>
      <c r="N33" s="139"/>
      <c r="O33" s="139"/>
      <c r="P33" s="142"/>
      <c r="Q33" s="143"/>
      <c r="R33" s="143"/>
      <c r="S33" s="143"/>
      <c r="T33" s="141">
        <f>((CSE4098A_Spring2026_Grade!E23)*10)/45</f>
        <v>8.731111111</v>
      </c>
      <c r="U33" s="144"/>
      <c r="V33" s="142"/>
      <c r="W33" s="143"/>
      <c r="X33" s="143"/>
      <c r="Y33" s="143"/>
      <c r="Z33" s="143"/>
      <c r="AA33" s="144"/>
      <c r="AB33" s="145">
        <f t="shared" si="11"/>
        <v>13.33333333</v>
      </c>
      <c r="AC33" s="146">
        <f t="shared" ref="AC33:AE33" si="71">SUM(Q33, W33,E33,K33)</f>
        <v>3</v>
      </c>
      <c r="AD33" s="146">
        <f t="shared" si="71"/>
        <v>2.333333333</v>
      </c>
      <c r="AE33" s="146">
        <f t="shared" si="71"/>
        <v>5</v>
      </c>
      <c r="AF33" s="146">
        <f t="shared" si="13"/>
        <v>8.731111111</v>
      </c>
      <c r="AG33" s="146">
        <f t="shared" si="14"/>
        <v>0</v>
      </c>
      <c r="AH33" s="147">
        <f t="shared" ref="AH33:AM33" si="72">IF(AB33 = 0, 0, AB33/AB$14)</f>
        <v>0.8888888889</v>
      </c>
      <c r="AI33" s="147">
        <f t="shared" si="72"/>
        <v>1</v>
      </c>
      <c r="AJ33" s="147">
        <f t="shared" si="72"/>
        <v>0.7777777778</v>
      </c>
      <c r="AK33" s="147">
        <f t="shared" si="72"/>
        <v>1</v>
      </c>
      <c r="AL33" s="147">
        <f t="shared" si="72"/>
        <v>0.8731111111</v>
      </c>
      <c r="AM33" s="147">
        <f t="shared" si="72"/>
        <v>0</v>
      </c>
      <c r="AN33" s="148">
        <f>IF(OR(CSE4098A_Spring2026_Grade!$I23="W (Withdrawn)", CSE4098A_Spring2026_Grade!$I23="I (Incomplete)"), 0, IF(AH33&gt;=55%, 1, 0))</f>
        <v>1</v>
      </c>
      <c r="AO33" s="148">
        <f>IF(OR(CSE4098A_Spring2026_Grade!$I23="W (Withdrawn)", CSE4098A_Spring2026_Grade!I23="I (Incomplete)"), 0, IF(AI33&gt;=55%, 1, 0))</f>
        <v>1</v>
      </c>
      <c r="AP33" s="148">
        <f>IF(OR(CSE4098A_Spring2026_Grade!$I23="W (Withdrawn)", CSE4098A_Spring2026_Grade!$I23="I (Incomplete)"), 0, IF(AJ33&gt;=55%, 1, 0))</f>
        <v>1</v>
      </c>
      <c r="AQ33" s="148">
        <f>IF(OR(CSE4098A_Spring2026_Grade!$I23="W (Withdrawn)", CSE4098A_Spring2026_Grade!$I23="I (Incomplete)"), 0, IF(AK33&gt;=55%, 1, 0))</f>
        <v>1</v>
      </c>
      <c r="AR33" s="148">
        <f>IF(OR(CSE4098A_Spring2026_Grade!$I23="W (Withdrawn)", CSE4098A_Spring2026_Grade!$I23="I (Incomplete)"), 0, IF(AL33&gt;=55%, 1, 0))</f>
        <v>1</v>
      </c>
      <c r="AS33" s="148">
        <f>IF(OR(CSE4098A_Spring2026_Grade!$I23="W (Withdrawn)", CSE4098A_Spring2026_Grade!$I23="I (Incomplete)"), 0, IF(AM33&gt;=55%, 1, 0))</f>
        <v>0</v>
      </c>
      <c r="AT33" s="115"/>
      <c r="AU33" s="149">
        <f t="shared" si="16"/>
        <v>0</v>
      </c>
      <c r="AV33" s="149">
        <f t="shared" si="17"/>
        <v>0.8888888889</v>
      </c>
      <c r="AW33" s="149">
        <f t="array" ref="AW33">IF($AV$9=0,0,MMULT($AH33:$AM33, AV$3:AV$8)/$AV$9)</f>
        <v>0</v>
      </c>
      <c r="AX33" s="149">
        <f t="array" ref="AX33">IF($AW$9=0,0,MMULT($AH33:$AM33, AW$3:AW$8)/$AW$9)</f>
        <v>0</v>
      </c>
      <c r="AY33" s="149">
        <f t="shared" si="18"/>
        <v>0</v>
      </c>
      <c r="AZ33" s="149">
        <f t="array" ref="AZ33">IF($AY$9=0,0,MMULT($AH33:$AM33, AY$3:AY$8)/$AY$9)</f>
        <v>0</v>
      </c>
      <c r="BA33" s="149">
        <f t="array" ref="BA33">IF($AZ$9=0,0,MMULT($AH33:$AM33, AZ$3:AZ$8)/$AZ$9)</f>
        <v>0</v>
      </c>
      <c r="BB33" s="149">
        <f t="array" ref="BB33">IF($BA$9=0,0,MMULT($AH33:$AM33, BA$3:BA$8)/$BA$9)</f>
        <v>0</v>
      </c>
      <c r="BC33" s="149">
        <f t="array" ref="BC33">IF($BB$9=0,0,MMULT($AH33:$AM33, BB$3:BB$8)/$BB$9)</f>
        <v>1</v>
      </c>
      <c r="BD33" s="149">
        <f t="array" ref="BD33">IF($BC$9=0,0,MMULT($AH33:$AM33, BC$3:BC$8)/$BC$9)</f>
        <v>0.8731111111</v>
      </c>
      <c r="BE33" s="149">
        <f t="shared" si="19"/>
        <v>0.7777777778</v>
      </c>
      <c r="BF33" s="149">
        <f t="shared" si="20"/>
        <v>1</v>
      </c>
      <c r="BG33" s="148" t="str">
        <f t="shared" si="21"/>
        <v>#REF!</v>
      </c>
      <c r="BH33" s="148">
        <f>IF(OR(CSE4098A_Spring2026_Grade!$I23="W (Withdrawn)", CSE4098A_Spring2026_Grade!$I23="I (Incomplete)"), 0, IF(AV33&gt;=55%, 1, 0))</f>
        <v>1</v>
      </c>
      <c r="BI33" s="148" t="str">
        <f t="shared" ref="BI33:BN33" si="73">IF(OR(GradeSheet!$M28="W (Withdrawn)", GradeSheet!$M28="I (Incomplete)"), 0, IF(AW33&gt;=55%, 1, 0))</f>
        <v>#REF!</v>
      </c>
      <c r="BJ33" s="148" t="str">
        <f t="shared" si="73"/>
        <v>#REF!</v>
      </c>
      <c r="BK33" s="148" t="str">
        <f t="shared" si="73"/>
        <v>#REF!</v>
      </c>
      <c r="BL33" s="148" t="str">
        <f t="shared" si="73"/>
        <v>#REF!</v>
      </c>
      <c r="BM33" s="148" t="str">
        <f t="shared" si="73"/>
        <v>#REF!</v>
      </c>
      <c r="BN33" s="148" t="str">
        <f t="shared" si="73"/>
        <v>#REF!</v>
      </c>
      <c r="BO33" s="148">
        <f>IF(OR(CSE4098A_Spring2026_Grade!$I23="W (Withdrawn)", CSE4098A_Spring2026_Grade!$I23="I (Incomplete)"), 0, IF(BC33&gt;=55%, 1, 0))</f>
        <v>1</v>
      </c>
      <c r="BP33" s="148">
        <f>IF(OR(CSE4098A_Spring2026_Grade!$I23="W (Withdrawn)", CSE4098A_Spring2026_Grade!$I23="I (Incomplete)"), 0, IF(BD33&gt;=55%, 1, 0))</f>
        <v>1</v>
      </c>
      <c r="BQ33" s="148">
        <f>IF(OR(CSE4098A_Spring2026_Grade!$I23="W (Withdrawn)", CSE4098A_Spring2026_Grade!$I23="I (Incomplete)"), 0, IF(BE33&gt;=55%, 1, 0))</f>
        <v>1</v>
      </c>
      <c r="BR33" s="148">
        <f>IF(OR(CSE4098A_Spring2026_Grade!$I23="W (Withdrawn)", CSE4098A_Spring2026_Grade!$I23="I (Incomplete)"), 0, IF(BF33&gt;=55%, 1, 0))</f>
        <v>1</v>
      </c>
    </row>
    <row r="34">
      <c r="A34" s="136">
        <v>20.0</v>
      </c>
      <c r="B34" s="137">
        <f>CSE4098A_Spring2026_Grade!B24</f>
        <v>231014133</v>
      </c>
      <c r="C34" s="137" t="str">
        <f>CSE4098A_Spring2026_Grade!C24</f>
        <v>Md. Eakramul Karim Tarik</v>
      </c>
      <c r="D34" s="138">
        <f>'CO_Report Evaluation'!P22</f>
        <v>13.33333333</v>
      </c>
      <c r="E34" s="138">
        <f>'CO_Report Evaluation'!Q22</f>
        <v>3</v>
      </c>
      <c r="F34" s="138">
        <f>'CO_Report Evaluation'!R22</f>
        <v>2.333333333</v>
      </c>
      <c r="G34" s="139"/>
      <c r="H34" s="139"/>
      <c r="I34" s="140"/>
      <c r="J34" s="138"/>
      <c r="K34" s="141"/>
      <c r="L34" s="141"/>
      <c r="M34" s="141">
        <v>5.0</v>
      </c>
      <c r="N34" s="139"/>
      <c r="O34" s="139"/>
      <c r="P34" s="142"/>
      <c r="Q34" s="143"/>
      <c r="R34" s="143"/>
      <c r="S34" s="143"/>
      <c r="T34" s="141">
        <f>((CSE4098A_Spring2026_Grade!E24)*10)/45</f>
        <v>8.226666667</v>
      </c>
      <c r="U34" s="144"/>
      <c r="V34" s="142"/>
      <c r="W34" s="143"/>
      <c r="X34" s="143"/>
      <c r="Y34" s="143"/>
      <c r="Z34" s="143"/>
      <c r="AA34" s="144"/>
      <c r="AB34" s="145">
        <f t="shared" si="11"/>
        <v>13.33333333</v>
      </c>
      <c r="AC34" s="146">
        <f t="shared" ref="AC34:AE34" si="74">SUM(Q34, W34,E34,K34)</f>
        <v>3</v>
      </c>
      <c r="AD34" s="146">
        <f t="shared" si="74"/>
        <v>2.333333333</v>
      </c>
      <c r="AE34" s="146">
        <f t="shared" si="74"/>
        <v>5</v>
      </c>
      <c r="AF34" s="146">
        <f t="shared" si="13"/>
        <v>8.226666667</v>
      </c>
      <c r="AG34" s="146">
        <f t="shared" si="14"/>
        <v>0</v>
      </c>
      <c r="AH34" s="147">
        <f t="shared" ref="AH34:AM34" si="75">IF(AB34 = 0, 0, AB34/AB$14)</f>
        <v>0.8888888889</v>
      </c>
      <c r="AI34" s="147">
        <f t="shared" si="75"/>
        <v>1</v>
      </c>
      <c r="AJ34" s="147">
        <f t="shared" si="75"/>
        <v>0.7777777778</v>
      </c>
      <c r="AK34" s="147">
        <f t="shared" si="75"/>
        <v>1</v>
      </c>
      <c r="AL34" s="147">
        <f t="shared" si="75"/>
        <v>0.8226666667</v>
      </c>
      <c r="AM34" s="147">
        <f t="shared" si="75"/>
        <v>0</v>
      </c>
      <c r="AN34" s="148">
        <f>IF(OR(CSE4098A_Spring2026_Grade!$I24="W (Withdrawn)", CSE4098A_Spring2026_Grade!$I24="I (Incomplete)"), 0, IF(AH34&gt;=55%, 1, 0))</f>
        <v>1</v>
      </c>
      <c r="AO34" s="148">
        <f>IF(OR(CSE4098A_Spring2026_Grade!$I24="W (Withdrawn)", CSE4098A_Spring2026_Grade!I24="I (Incomplete)"), 0, IF(AI34&gt;=55%, 1, 0))</f>
        <v>1</v>
      </c>
      <c r="AP34" s="148">
        <f>IF(OR(CSE4098A_Spring2026_Grade!$I24="W (Withdrawn)", CSE4098A_Spring2026_Grade!$I24="I (Incomplete)"), 0, IF(AJ34&gt;=55%, 1, 0))</f>
        <v>1</v>
      </c>
      <c r="AQ34" s="148">
        <f>IF(OR(CSE4098A_Spring2026_Grade!$I24="W (Withdrawn)", CSE4098A_Spring2026_Grade!$I24="I (Incomplete)"), 0, IF(AK34&gt;=55%, 1, 0))</f>
        <v>1</v>
      </c>
      <c r="AR34" s="148">
        <f>IF(OR(CSE4098A_Spring2026_Grade!$I24="W (Withdrawn)", CSE4098A_Spring2026_Grade!$I24="I (Incomplete)"), 0, IF(AL34&gt;=55%, 1, 0))</f>
        <v>1</v>
      </c>
      <c r="AS34" s="148">
        <f>IF(OR(CSE4098A_Spring2026_Grade!$I24="W (Withdrawn)", CSE4098A_Spring2026_Grade!$I24="I (Incomplete)"), 0, IF(AM34&gt;=55%, 1, 0))</f>
        <v>0</v>
      </c>
      <c r="AT34" s="115"/>
      <c r="AU34" s="149">
        <f t="shared" si="16"/>
        <v>0</v>
      </c>
      <c r="AV34" s="149">
        <f t="shared" si="17"/>
        <v>0.8888888889</v>
      </c>
      <c r="AW34" s="149">
        <f t="array" ref="AW34">IF($AV$9=0,0,MMULT($AH34:$AM34, AV$3:AV$8)/$AV$9)</f>
        <v>0</v>
      </c>
      <c r="AX34" s="149">
        <f t="array" ref="AX34">IF($AW$9=0,0,MMULT($AH34:$AM34, AW$3:AW$8)/$AW$9)</f>
        <v>0</v>
      </c>
      <c r="AY34" s="149">
        <f t="shared" si="18"/>
        <v>0</v>
      </c>
      <c r="AZ34" s="149">
        <f t="array" ref="AZ34">IF($AY$9=0,0,MMULT($AH34:$AM34, AY$3:AY$8)/$AY$9)</f>
        <v>0</v>
      </c>
      <c r="BA34" s="149">
        <f t="array" ref="BA34">IF($AZ$9=0,0,MMULT($AH34:$AM34, AZ$3:AZ$8)/$AZ$9)</f>
        <v>0</v>
      </c>
      <c r="BB34" s="149">
        <f t="array" ref="BB34">IF($BA$9=0,0,MMULT($AH34:$AM34, BA$3:BA$8)/$BA$9)</f>
        <v>0</v>
      </c>
      <c r="BC34" s="149">
        <f t="array" ref="BC34">IF($BB$9=0,0,MMULT($AH34:$AM34, BB$3:BB$8)/$BB$9)</f>
        <v>1</v>
      </c>
      <c r="BD34" s="149">
        <f t="array" ref="BD34">IF($BC$9=0,0,MMULT($AH34:$AM34, BC$3:BC$8)/$BC$9)</f>
        <v>0.8226666667</v>
      </c>
      <c r="BE34" s="149">
        <f t="shared" si="19"/>
        <v>0.7777777778</v>
      </c>
      <c r="BF34" s="149">
        <f t="shared" si="20"/>
        <v>1</v>
      </c>
      <c r="BG34" s="148" t="str">
        <f t="shared" si="21"/>
        <v>#REF!</v>
      </c>
      <c r="BH34" s="148">
        <f>IF(OR(CSE4098A_Spring2026_Grade!$I24="W (Withdrawn)", CSE4098A_Spring2026_Grade!$I24="I (Incomplete)"), 0, IF(AV34&gt;=55%, 1, 0))</f>
        <v>1</v>
      </c>
      <c r="BI34" s="148" t="str">
        <f t="shared" ref="BI34:BN34" si="76">IF(OR(GradeSheet!$M29="W (Withdrawn)", GradeSheet!$M29="I (Incomplete)"), 0, IF(AW34&gt;=55%, 1, 0))</f>
        <v>#REF!</v>
      </c>
      <c r="BJ34" s="148" t="str">
        <f t="shared" si="76"/>
        <v>#REF!</v>
      </c>
      <c r="BK34" s="148" t="str">
        <f t="shared" si="76"/>
        <v>#REF!</v>
      </c>
      <c r="BL34" s="148" t="str">
        <f t="shared" si="76"/>
        <v>#REF!</v>
      </c>
      <c r="BM34" s="148" t="str">
        <f t="shared" si="76"/>
        <v>#REF!</v>
      </c>
      <c r="BN34" s="148" t="str">
        <f t="shared" si="76"/>
        <v>#REF!</v>
      </c>
      <c r="BO34" s="148">
        <f>IF(OR(CSE4098A_Spring2026_Grade!$I24="W (Withdrawn)", CSE4098A_Spring2026_Grade!$I24="I (Incomplete)"), 0, IF(BC34&gt;=55%, 1, 0))</f>
        <v>1</v>
      </c>
      <c r="BP34" s="148">
        <f>IF(OR(CSE4098A_Spring2026_Grade!$I24="W (Withdrawn)", CSE4098A_Spring2026_Grade!$I24="I (Incomplete)"), 0, IF(BD34&gt;=55%, 1, 0))</f>
        <v>1</v>
      </c>
      <c r="BQ34" s="148">
        <f>IF(OR(CSE4098A_Spring2026_Grade!$I24="W (Withdrawn)", CSE4098A_Spring2026_Grade!$I24="I (Incomplete)"), 0, IF(BE34&gt;=55%, 1, 0))</f>
        <v>1</v>
      </c>
      <c r="BR34" s="148">
        <f>IF(OR(CSE4098A_Spring2026_Grade!$I24="W (Withdrawn)", CSE4098A_Spring2026_Grade!$I24="I (Incomplete)"), 0, IF(BF34&gt;=55%, 1, 0))</f>
        <v>1</v>
      </c>
    </row>
    <row r="35">
      <c r="A35" s="136">
        <v>21.0</v>
      </c>
      <c r="B35" s="137">
        <f>CSE4098A_Spring2026_Grade!B25</f>
        <v>231014120</v>
      </c>
      <c r="C35" s="137" t="str">
        <f>CSE4098A_Spring2026_Grade!C25</f>
        <v>Md. Abir Hosen</v>
      </c>
      <c r="D35" s="138">
        <f>'CO_Report Evaluation'!P23</f>
        <v>12.66666667</v>
      </c>
      <c r="E35" s="138">
        <f>'CO_Report Evaluation'!Q23</f>
        <v>2.666666667</v>
      </c>
      <c r="F35" s="138">
        <f>'CO_Report Evaluation'!R23</f>
        <v>1.666666667</v>
      </c>
      <c r="G35" s="139"/>
      <c r="H35" s="139"/>
      <c r="I35" s="140"/>
      <c r="J35" s="138"/>
      <c r="K35" s="141"/>
      <c r="L35" s="141"/>
      <c r="M35" s="141">
        <v>5.0</v>
      </c>
      <c r="N35" s="139"/>
      <c r="O35" s="139"/>
      <c r="P35" s="142"/>
      <c r="Q35" s="143"/>
      <c r="R35" s="143"/>
      <c r="S35" s="143"/>
      <c r="T35" s="141">
        <f>((CSE4098A_Spring2026_Grade!E25)*10)/45</f>
        <v>8.957777778</v>
      </c>
      <c r="U35" s="144"/>
      <c r="V35" s="142"/>
      <c r="W35" s="143"/>
      <c r="X35" s="143"/>
      <c r="Y35" s="143"/>
      <c r="Z35" s="143"/>
      <c r="AA35" s="144"/>
      <c r="AB35" s="145">
        <f t="shared" si="11"/>
        <v>12.66666667</v>
      </c>
      <c r="AC35" s="146">
        <f t="shared" ref="AC35:AE35" si="77">SUM(Q35, W35,E35,K35)</f>
        <v>2.666666667</v>
      </c>
      <c r="AD35" s="146">
        <f t="shared" si="77"/>
        <v>1.666666667</v>
      </c>
      <c r="AE35" s="146">
        <f t="shared" si="77"/>
        <v>5</v>
      </c>
      <c r="AF35" s="146">
        <f t="shared" si="13"/>
        <v>8.957777778</v>
      </c>
      <c r="AG35" s="146">
        <f t="shared" si="14"/>
        <v>0</v>
      </c>
      <c r="AH35" s="147">
        <f t="shared" ref="AH35:AM35" si="78">IF(AB35 = 0, 0, AB35/AB$14)</f>
        <v>0.8444444444</v>
      </c>
      <c r="AI35" s="147">
        <f t="shared" si="78"/>
        <v>0.8888888889</v>
      </c>
      <c r="AJ35" s="147">
        <f t="shared" si="78"/>
        <v>0.5555555556</v>
      </c>
      <c r="AK35" s="147">
        <f t="shared" si="78"/>
        <v>1</v>
      </c>
      <c r="AL35" s="147">
        <f t="shared" si="78"/>
        <v>0.8957777778</v>
      </c>
      <c r="AM35" s="147">
        <f t="shared" si="78"/>
        <v>0</v>
      </c>
      <c r="AN35" s="148">
        <f>IF(OR(CSE4098A_Spring2026_Grade!$I25="W (Withdrawn)", CSE4098A_Spring2026_Grade!$I25="I (Incomplete)"), 0, IF(AH35&gt;=55%, 1, 0))</f>
        <v>1</v>
      </c>
      <c r="AO35" s="148">
        <f>IF(OR(CSE4098A_Spring2026_Grade!$I25="W (Withdrawn)", CSE4098A_Spring2026_Grade!I25="I (Incomplete)"), 0, IF(AI35&gt;=55%, 1, 0))</f>
        <v>1</v>
      </c>
      <c r="AP35" s="148">
        <f>IF(OR(CSE4098A_Spring2026_Grade!$I25="W (Withdrawn)", CSE4098A_Spring2026_Grade!$I25="I (Incomplete)"), 0, IF(AJ35&gt;=55%, 1, 0))</f>
        <v>1</v>
      </c>
      <c r="AQ35" s="148">
        <f>IF(OR(CSE4098A_Spring2026_Grade!$I25="W (Withdrawn)", CSE4098A_Spring2026_Grade!$I25="I (Incomplete)"), 0, IF(AK35&gt;=55%, 1, 0))</f>
        <v>1</v>
      </c>
      <c r="AR35" s="148">
        <f>IF(OR(CSE4098A_Spring2026_Grade!$I25="W (Withdrawn)", CSE4098A_Spring2026_Grade!$I25="I (Incomplete)"), 0, IF(AL35&gt;=55%, 1, 0))</f>
        <v>1</v>
      </c>
      <c r="AS35" s="148">
        <f>IF(OR(CSE4098A_Spring2026_Grade!$I25="W (Withdrawn)", CSE4098A_Spring2026_Grade!$I25="I (Incomplete)"), 0, IF(AM35&gt;=55%, 1, 0))</f>
        <v>0</v>
      </c>
      <c r="AT35" s="115"/>
      <c r="AU35" s="149">
        <f t="shared" si="16"/>
        <v>0</v>
      </c>
      <c r="AV35" s="149">
        <f t="shared" si="17"/>
        <v>0.8444444444</v>
      </c>
      <c r="AW35" s="149">
        <f t="array" ref="AW35">IF($AV$9=0,0,MMULT($AH35:$AM35, AV$3:AV$8)/$AV$9)</f>
        <v>0</v>
      </c>
      <c r="AX35" s="149">
        <f t="array" ref="AX35">IF($AW$9=0,0,MMULT($AH35:$AM35, AW$3:AW$8)/$AW$9)</f>
        <v>0</v>
      </c>
      <c r="AY35" s="149">
        <f t="shared" si="18"/>
        <v>0</v>
      </c>
      <c r="AZ35" s="149">
        <f t="array" ref="AZ35">IF($AY$9=0,0,MMULT($AH35:$AM35, AY$3:AY$8)/$AY$9)</f>
        <v>0</v>
      </c>
      <c r="BA35" s="149">
        <f t="array" ref="BA35">IF($AZ$9=0,0,MMULT($AH35:$AM35, AZ$3:AZ$8)/$AZ$9)</f>
        <v>0</v>
      </c>
      <c r="BB35" s="149">
        <f t="array" ref="BB35">IF($BA$9=0,0,MMULT($AH35:$AM35, BA$3:BA$8)/$BA$9)</f>
        <v>0</v>
      </c>
      <c r="BC35" s="149">
        <f t="array" ref="BC35">IF($BB$9=0,0,MMULT($AH35:$AM35, BB$3:BB$8)/$BB$9)</f>
        <v>1</v>
      </c>
      <c r="BD35" s="149">
        <f t="array" ref="BD35">IF($BC$9=0,0,MMULT($AH35:$AM35, BC$3:BC$8)/$BC$9)</f>
        <v>0.8957777778</v>
      </c>
      <c r="BE35" s="149">
        <f t="shared" si="19"/>
        <v>0.5555555556</v>
      </c>
      <c r="BF35" s="149">
        <f t="shared" si="20"/>
        <v>0.8888888889</v>
      </c>
      <c r="BG35" s="148" t="str">
        <f t="shared" si="21"/>
        <v>#REF!</v>
      </c>
      <c r="BH35" s="148">
        <f>IF(OR(CSE4098A_Spring2026_Grade!$I25="W (Withdrawn)", CSE4098A_Spring2026_Grade!$I25="I (Incomplete)"), 0, IF(AV35&gt;=55%, 1, 0))</f>
        <v>1</v>
      </c>
      <c r="BI35" s="148" t="str">
        <f t="shared" ref="BI35:BN35" si="79">IF(OR(GradeSheet!$M30="W (Withdrawn)", GradeSheet!$M30="I (Incomplete)"), 0, IF(AW35&gt;=55%, 1, 0))</f>
        <v>#REF!</v>
      </c>
      <c r="BJ35" s="148" t="str">
        <f t="shared" si="79"/>
        <v>#REF!</v>
      </c>
      <c r="BK35" s="148" t="str">
        <f t="shared" si="79"/>
        <v>#REF!</v>
      </c>
      <c r="BL35" s="148" t="str">
        <f t="shared" si="79"/>
        <v>#REF!</v>
      </c>
      <c r="BM35" s="148" t="str">
        <f t="shared" si="79"/>
        <v>#REF!</v>
      </c>
      <c r="BN35" s="148" t="str">
        <f t="shared" si="79"/>
        <v>#REF!</v>
      </c>
      <c r="BO35" s="148">
        <f>IF(OR(CSE4098A_Spring2026_Grade!$I25="W (Withdrawn)", CSE4098A_Spring2026_Grade!$I25="I (Incomplete)"), 0, IF(BC35&gt;=55%, 1, 0))</f>
        <v>1</v>
      </c>
      <c r="BP35" s="148">
        <f>IF(OR(CSE4098A_Spring2026_Grade!$I25="W (Withdrawn)", CSE4098A_Spring2026_Grade!$I25="I (Incomplete)"), 0, IF(BD35&gt;=55%, 1, 0))</f>
        <v>1</v>
      </c>
      <c r="BQ35" s="148">
        <f>IF(OR(CSE4098A_Spring2026_Grade!$I25="W (Withdrawn)", CSE4098A_Spring2026_Grade!$I25="I (Incomplete)"), 0, IF(BE35&gt;=55%, 1, 0))</f>
        <v>1</v>
      </c>
      <c r="BR35" s="148">
        <f>IF(OR(CSE4098A_Spring2026_Grade!$I25="W (Withdrawn)", CSE4098A_Spring2026_Grade!$I25="I (Incomplete)"), 0, IF(BF35&gt;=55%, 1, 0))</f>
        <v>1</v>
      </c>
    </row>
    <row r="36">
      <c r="A36" s="136">
        <v>22.0</v>
      </c>
      <c r="B36" s="137">
        <f>CSE4098A_Spring2026_Grade!B26</f>
        <v>231014096</v>
      </c>
      <c r="C36" s="137" t="str">
        <f>CSE4098A_Spring2026_Grade!C26</f>
        <v>Md. Rahat Hawlader</v>
      </c>
      <c r="D36" s="138">
        <f>'CO_Report Evaluation'!P24</f>
        <v>12.66666667</v>
      </c>
      <c r="E36" s="138">
        <f>'CO_Report Evaluation'!Q24</f>
        <v>2.666666667</v>
      </c>
      <c r="F36" s="138">
        <f>'CO_Report Evaluation'!R24</f>
        <v>1.666666667</v>
      </c>
      <c r="G36" s="139"/>
      <c r="H36" s="139"/>
      <c r="I36" s="140"/>
      <c r="J36" s="138"/>
      <c r="K36" s="141"/>
      <c r="L36" s="141"/>
      <c r="M36" s="141">
        <v>5.0</v>
      </c>
      <c r="N36" s="139"/>
      <c r="O36" s="139"/>
      <c r="P36" s="142"/>
      <c r="Q36" s="143"/>
      <c r="R36" s="143"/>
      <c r="S36" s="143"/>
      <c r="T36" s="141">
        <f>((CSE4098A_Spring2026_Grade!E26)*10)/45</f>
        <v>8.897777778</v>
      </c>
      <c r="U36" s="144"/>
      <c r="V36" s="142"/>
      <c r="W36" s="143"/>
      <c r="X36" s="143"/>
      <c r="Y36" s="143"/>
      <c r="Z36" s="143"/>
      <c r="AA36" s="144"/>
      <c r="AB36" s="145">
        <f t="shared" si="11"/>
        <v>12.66666667</v>
      </c>
      <c r="AC36" s="146">
        <f t="shared" ref="AC36:AE36" si="80">SUM(Q36, W36,E36,K36)</f>
        <v>2.666666667</v>
      </c>
      <c r="AD36" s="146">
        <f t="shared" si="80"/>
        <v>1.666666667</v>
      </c>
      <c r="AE36" s="146">
        <f t="shared" si="80"/>
        <v>5</v>
      </c>
      <c r="AF36" s="146">
        <f t="shared" si="13"/>
        <v>8.897777778</v>
      </c>
      <c r="AG36" s="146">
        <f t="shared" si="14"/>
        <v>0</v>
      </c>
      <c r="AH36" s="147">
        <f t="shared" ref="AH36:AM36" si="81">IF(AB36 = 0, 0, AB36/AB$14)</f>
        <v>0.8444444444</v>
      </c>
      <c r="AI36" s="147">
        <f t="shared" si="81"/>
        <v>0.8888888889</v>
      </c>
      <c r="AJ36" s="147">
        <f t="shared" si="81"/>
        <v>0.5555555556</v>
      </c>
      <c r="AK36" s="147">
        <f t="shared" si="81"/>
        <v>1</v>
      </c>
      <c r="AL36" s="147">
        <f t="shared" si="81"/>
        <v>0.8897777778</v>
      </c>
      <c r="AM36" s="147">
        <f t="shared" si="81"/>
        <v>0</v>
      </c>
      <c r="AN36" s="148">
        <f>IF(OR(CSE4098A_Spring2026_Grade!$I26="W (Withdrawn)", CSE4098A_Spring2026_Grade!$I26="I (Incomplete)"), 0, IF(AH36&gt;=55%, 1, 0))</f>
        <v>1</v>
      </c>
      <c r="AO36" s="148">
        <f>IF(OR(CSE4098A_Spring2026_Grade!$I26="W (Withdrawn)", CSE4098A_Spring2026_Grade!I26="I (Incomplete)"), 0, IF(AI36&gt;=55%, 1, 0))</f>
        <v>1</v>
      </c>
      <c r="AP36" s="148">
        <f>IF(OR(CSE4098A_Spring2026_Grade!$I26="W (Withdrawn)", CSE4098A_Spring2026_Grade!$I26="I (Incomplete)"), 0, IF(AJ36&gt;=55%, 1, 0))</f>
        <v>1</v>
      </c>
      <c r="AQ36" s="148">
        <f>IF(OR(CSE4098A_Spring2026_Grade!$I26="W (Withdrawn)", CSE4098A_Spring2026_Grade!$I26="I (Incomplete)"), 0, IF(AK36&gt;=55%, 1, 0))</f>
        <v>1</v>
      </c>
      <c r="AR36" s="148">
        <f>IF(OR(CSE4098A_Spring2026_Grade!$I26="W (Withdrawn)", CSE4098A_Spring2026_Grade!$I26="I (Incomplete)"), 0, IF(AL36&gt;=55%, 1, 0))</f>
        <v>1</v>
      </c>
      <c r="AS36" s="148">
        <f>IF(OR(CSE4098A_Spring2026_Grade!$I26="W (Withdrawn)", CSE4098A_Spring2026_Grade!$I26="I (Incomplete)"), 0, IF(AM36&gt;=55%, 1, 0))</f>
        <v>0</v>
      </c>
      <c r="AT36" s="115"/>
      <c r="AU36" s="149">
        <f t="shared" si="16"/>
        <v>0</v>
      </c>
      <c r="AV36" s="149">
        <f t="shared" si="17"/>
        <v>0.8444444444</v>
      </c>
      <c r="AW36" s="149">
        <f t="array" ref="AW36">IF($AV$9=0,0,MMULT($AH36:$AM36, AV$3:AV$8)/$AV$9)</f>
        <v>0</v>
      </c>
      <c r="AX36" s="149">
        <f t="array" ref="AX36">IF($AW$9=0,0,MMULT($AH36:$AM36, AW$3:AW$8)/$AW$9)</f>
        <v>0</v>
      </c>
      <c r="AY36" s="149">
        <f t="shared" si="18"/>
        <v>0</v>
      </c>
      <c r="AZ36" s="149">
        <f t="array" ref="AZ36">IF($AY$9=0,0,MMULT($AH36:$AM36, AY$3:AY$8)/$AY$9)</f>
        <v>0</v>
      </c>
      <c r="BA36" s="149">
        <f t="array" ref="BA36">IF($AZ$9=0,0,MMULT($AH36:$AM36, AZ$3:AZ$8)/$AZ$9)</f>
        <v>0</v>
      </c>
      <c r="BB36" s="149">
        <f t="array" ref="BB36">IF($BA$9=0,0,MMULT($AH36:$AM36, BA$3:BA$8)/$BA$9)</f>
        <v>0</v>
      </c>
      <c r="BC36" s="149">
        <f t="array" ref="BC36">IF($BB$9=0,0,MMULT($AH36:$AM36, BB$3:BB$8)/$BB$9)</f>
        <v>1</v>
      </c>
      <c r="BD36" s="149">
        <f t="array" ref="BD36">IF($BC$9=0,0,MMULT($AH36:$AM36, BC$3:BC$8)/$BC$9)</f>
        <v>0.8897777778</v>
      </c>
      <c r="BE36" s="149">
        <f t="shared" si="19"/>
        <v>0.5555555556</v>
      </c>
      <c r="BF36" s="149">
        <f t="shared" si="20"/>
        <v>0.8888888889</v>
      </c>
      <c r="BG36" s="148" t="str">
        <f t="shared" si="21"/>
        <v>#REF!</v>
      </c>
      <c r="BH36" s="148">
        <f>IF(OR(CSE4098A_Spring2026_Grade!$I26="W (Withdrawn)", CSE4098A_Spring2026_Grade!$I26="I (Incomplete)"), 0, IF(AV36&gt;=55%, 1, 0))</f>
        <v>1</v>
      </c>
      <c r="BI36" s="148" t="str">
        <f t="shared" ref="BI36:BN36" si="82">IF(OR(GradeSheet!$M31="W (Withdrawn)", GradeSheet!$M31="I (Incomplete)"), 0, IF(AW36&gt;=55%, 1, 0))</f>
        <v>#REF!</v>
      </c>
      <c r="BJ36" s="148" t="str">
        <f t="shared" si="82"/>
        <v>#REF!</v>
      </c>
      <c r="BK36" s="148" t="str">
        <f t="shared" si="82"/>
        <v>#REF!</v>
      </c>
      <c r="BL36" s="148" t="str">
        <f t="shared" si="82"/>
        <v>#REF!</v>
      </c>
      <c r="BM36" s="148" t="str">
        <f t="shared" si="82"/>
        <v>#REF!</v>
      </c>
      <c r="BN36" s="148" t="str">
        <f t="shared" si="82"/>
        <v>#REF!</v>
      </c>
      <c r="BO36" s="148">
        <f>IF(OR(CSE4098A_Spring2026_Grade!$I26="W (Withdrawn)", CSE4098A_Spring2026_Grade!$I26="I (Incomplete)"), 0, IF(BC36&gt;=55%, 1, 0))</f>
        <v>1</v>
      </c>
      <c r="BP36" s="148">
        <f>IF(OR(CSE4098A_Spring2026_Grade!$I26="W (Withdrawn)", CSE4098A_Spring2026_Grade!$I26="I (Incomplete)"), 0, IF(BD36&gt;=55%, 1, 0))</f>
        <v>1</v>
      </c>
      <c r="BQ36" s="148">
        <f>IF(OR(CSE4098A_Spring2026_Grade!$I26="W (Withdrawn)", CSE4098A_Spring2026_Grade!$I26="I (Incomplete)"), 0, IF(BE36&gt;=55%, 1, 0))</f>
        <v>1</v>
      </c>
      <c r="BR36" s="148">
        <f>IF(OR(CSE4098A_Spring2026_Grade!$I26="W (Withdrawn)", CSE4098A_Spring2026_Grade!$I26="I (Incomplete)"), 0, IF(BF36&gt;=55%, 1, 0))</f>
        <v>1</v>
      </c>
    </row>
    <row r="37">
      <c r="A37" s="136">
        <v>23.0</v>
      </c>
      <c r="B37" s="137">
        <f>CSE4098A_Spring2026_Grade!B27</f>
        <v>231014014</v>
      </c>
      <c r="C37" s="137" t="str">
        <f>CSE4098A_Spring2026_Grade!C27</f>
        <v>Shahriar Alam Sazzad</v>
      </c>
      <c r="D37" s="138">
        <f>'CO_Report Evaluation'!P25</f>
        <v>12.66666667</v>
      </c>
      <c r="E37" s="138">
        <f>'CO_Report Evaluation'!Q25</f>
        <v>2.666666667</v>
      </c>
      <c r="F37" s="138">
        <f>'CO_Report Evaluation'!R25</f>
        <v>1.666666667</v>
      </c>
      <c r="G37" s="139"/>
      <c r="H37" s="139"/>
      <c r="I37" s="140"/>
      <c r="J37" s="138"/>
      <c r="K37" s="141"/>
      <c r="L37" s="141"/>
      <c r="M37" s="141">
        <v>5.0</v>
      </c>
      <c r="N37" s="139"/>
      <c r="O37" s="139"/>
      <c r="P37" s="142"/>
      <c r="Q37" s="143"/>
      <c r="R37" s="143"/>
      <c r="S37" s="143"/>
      <c r="T37" s="141">
        <f>((CSE4098A_Spring2026_Grade!E27)*10)/45</f>
        <v>8.453333333</v>
      </c>
      <c r="U37" s="144"/>
      <c r="V37" s="142"/>
      <c r="W37" s="143"/>
      <c r="X37" s="143"/>
      <c r="Y37" s="143"/>
      <c r="Z37" s="143"/>
      <c r="AA37" s="144"/>
      <c r="AB37" s="145">
        <f t="shared" si="11"/>
        <v>12.66666667</v>
      </c>
      <c r="AC37" s="146">
        <f t="shared" ref="AC37:AE37" si="83">SUM(Q37, W37,E37,K37)</f>
        <v>2.666666667</v>
      </c>
      <c r="AD37" s="146">
        <f t="shared" si="83"/>
        <v>1.666666667</v>
      </c>
      <c r="AE37" s="146">
        <f t="shared" si="83"/>
        <v>5</v>
      </c>
      <c r="AF37" s="146">
        <f t="shared" si="13"/>
        <v>8.453333333</v>
      </c>
      <c r="AG37" s="146">
        <f t="shared" si="14"/>
        <v>0</v>
      </c>
      <c r="AH37" s="147">
        <f t="shared" ref="AH37:AM37" si="84">IF(AB37 = 0, 0, AB37/AB$14)</f>
        <v>0.8444444444</v>
      </c>
      <c r="AI37" s="147">
        <f t="shared" si="84"/>
        <v>0.8888888889</v>
      </c>
      <c r="AJ37" s="147">
        <f t="shared" si="84"/>
        <v>0.5555555556</v>
      </c>
      <c r="AK37" s="147">
        <f t="shared" si="84"/>
        <v>1</v>
      </c>
      <c r="AL37" s="147">
        <f t="shared" si="84"/>
        <v>0.8453333333</v>
      </c>
      <c r="AM37" s="147">
        <f t="shared" si="84"/>
        <v>0</v>
      </c>
      <c r="AN37" s="148">
        <f>IF(OR(CSE4098A_Spring2026_Grade!$I27="W (Withdrawn)", CSE4098A_Spring2026_Grade!$I27="I (Incomplete)"), 0, IF(AH37&gt;=55%, 1, 0))</f>
        <v>1</v>
      </c>
      <c r="AO37" s="148">
        <f>IF(OR(CSE4098A_Spring2026_Grade!$I27="W (Withdrawn)", CSE4098A_Spring2026_Grade!I27="I (Incomplete)"), 0, IF(AI37&gt;=55%, 1, 0))</f>
        <v>1</v>
      </c>
      <c r="AP37" s="148">
        <f>IF(OR(CSE4098A_Spring2026_Grade!$I27="W (Withdrawn)", CSE4098A_Spring2026_Grade!$I27="I (Incomplete)"), 0, IF(AJ37&gt;=55%, 1, 0))</f>
        <v>1</v>
      </c>
      <c r="AQ37" s="148">
        <f>IF(OR(CSE4098A_Spring2026_Grade!$I27="W (Withdrawn)", CSE4098A_Spring2026_Grade!$I27="I (Incomplete)"), 0, IF(AK37&gt;=55%, 1, 0))</f>
        <v>1</v>
      </c>
      <c r="AR37" s="148">
        <f>IF(OR(CSE4098A_Spring2026_Grade!$I27="W (Withdrawn)", CSE4098A_Spring2026_Grade!$I27="I (Incomplete)"), 0, IF(AL37&gt;=55%, 1, 0))</f>
        <v>1</v>
      </c>
      <c r="AS37" s="148">
        <f>IF(OR(CSE4098A_Spring2026_Grade!$I27="W (Withdrawn)", CSE4098A_Spring2026_Grade!$I27="I (Incomplete)"), 0, IF(AM37&gt;=55%, 1, 0))</f>
        <v>0</v>
      </c>
      <c r="AT37" s="115"/>
      <c r="AU37" s="149">
        <f t="shared" si="16"/>
        <v>0</v>
      </c>
      <c r="AV37" s="149">
        <f t="shared" si="17"/>
        <v>0.8444444444</v>
      </c>
      <c r="AW37" s="149">
        <f t="array" ref="AW37">IF($AV$9=0,0,MMULT($AH37:$AM37, AV$3:AV$8)/$AV$9)</f>
        <v>0</v>
      </c>
      <c r="AX37" s="149">
        <f t="array" ref="AX37">IF($AW$9=0,0,MMULT($AH37:$AM37, AW$3:AW$8)/$AW$9)</f>
        <v>0</v>
      </c>
      <c r="AY37" s="149">
        <f t="shared" si="18"/>
        <v>0</v>
      </c>
      <c r="AZ37" s="149">
        <f t="array" ref="AZ37">IF($AY$9=0,0,MMULT($AH37:$AM37, AY$3:AY$8)/$AY$9)</f>
        <v>0</v>
      </c>
      <c r="BA37" s="149">
        <f t="array" ref="BA37">IF($AZ$9=0,0,MMULT($AH37:$AM37, AZ$3:AZ$8)/$AZ$9)</f>
        <v>0</v>
      </c>
      <c r="BB37" s="149">
        <f t="array" ref="BB37">IF($BA$9=0,0,MMULT($AH37:$AM37, BA$3:BA$8)/$BA$9)</f>
        <v>0</v>
      </c>
      <c r="BC37" s="149">
        <f t="array" ref="BC37">IF($BB$9=0,0,MMULT($AH37:$AM37, BB$3:BB$8)/$BB$9)</f>
        <v>1</v>
      </c>
      <c r="BD37" s="149">
        <f t="array" ref="BD37">IF($BC$9=0,0,MMULT($AH37:$AM37, BC$3:BC$8)/$BC$9)</f>
        <v>0.8453333333</v>
      </c>
      <c r="BE37" s="149">
        <f t="shared" si="19"/>
        <v>0.5555555556</v>
      </c>
      <c r="BF37" s="149">
        <f t="shared" si="20"/>
        <v>0.8888888889</v>
      </c>
      <c r="BG37" s="148" t="str">
        <f t="shared" si="21"/>
        <v>#REF!</v>
      </c>
      <c r="BH37" s="148">
        <f>IF(OR(CSE4098A_Spring2026_Grade!$I27="W (Withdrawn)", CSE4098A_Spring2026_Grade!$I27="I (Incomplete)"), 0, IF(AV37&gt;=55%, 1, 0))</f>
        <v>1</v>
      </c>
      <c r="BI37" s="148" t="str">
        <f t="shared" ref="BI37:BN37" si="85">IF(OR(GradeSheet!$M32="W (Withdrawn)", GradeSheet!$M32="I (Incomplete)"), 0, IF(AW37&gt;=55%, 1, 0))</f>
        <v>#REF!</v>
      </c>
      <c r="BJ37" s="148" t="str">
        <f t="shared" si="85"/>
        <v>#REF!</v>
      </c>
      <c r="BK37" s="148" t="str">
        <f t="shared" si="85"/>
        <v>#REF!</v>
      </c>
      <c r="BL37" s="148" t="str">
        <f t="shared" si="85"/>
        <v>#REF!</v>
      </c>
      <c r="BM37" s="148" t="str">
        <f t="shared" si="85"/>
        <v>#REF!</v>
      </c>
      <c r="BN37" s="148" t="str">
        <f t="shared" si="85"/>
        <v>#REF!</v>
      </c>
      <c r="BO37" s="148">
        <f>IF(OR(CSE4098A_Spring2026_Grade!$I27="W (Withdrawn)", CSE4098A_Spring2026_Grade!$I27="I (Incomplete)"), 0, IF(BC37&gt;=55%, 1, 0))</f>
        <v>1</v>
      </c>
      <c r="BP37" s="148">
        <f>IF(OR(CSE4098A_Spring2026_Grade!$I27="W (Withdrawn)", CSE4098A_Spring2026_Grade!$I27="I (Incomplete)"), 0, IF(BD37&gt;=55%, 1, 0))</f>
        <v>1</v>
      </c>
      <c r="BQ37" s="148">
        <f>IF(OR(CSE4098A_Spring2026_Grade!$I27="W (Withdrawn)", CSE4098A_Spring2026_Grade!$I27="I (Incomplete)"), 0, IF(BE37&gt;=55%, 1, 0))</f>
        <v>1</v>
      </c>
      <c r="BR37" s="148">
        <f>IF(OR(CSE4098A_Spring2026_Grade!$I27="W (Withdrawn)", CSE4098A_Spring2026_Grade!$I27="I (Incomplete)"), 0, IF(BF37&gt;=55%, 1, 0))</f>
        <v>1</v>
      </c>
    </row>
    <row r="38">
      <c r="A38" s="136">
        <v>24.0</v>
      </c>
      <c r="B38" s="137">
        <f>CSE4098A_Spring2026_Grade!B28</f>
        <v>231014018</v>
      </c>
      <c r="C38" s="137" t="str">
        <f>CSE4098A_Spring2026_Grade!C28</f>
        <v>Zubaida Akter Prova</v>
      </c>
      <c r="D38" s="138">
        <f>'CO_Report Evaluation'!P26</f>
        <v>12.66666667</v>
      </c>
      <c r="E38" s="138">
        <f>'CO_Report Evaluation'!Q26</f>
        <v>2.666666667</v>
      </c>
      <c r="F38" s="138">
        <f>'CO_Report Evaluation'!R26</f>
        <v>1.666666667</v>
      </c>
      <c r="G38" s="139"/>
      <c r="H38" s="139"/>
      <c r="I38" s="140"/>
      <c r="J38" s="138"/>
      <c r="K38" s="141"/>
      <c r="L38" s="141"/>
      <c r="M38" s="141">
        <v>4.0</v>
      </c>
      <c r="N38" s="139"/>
      <c r="O38" s="139"/>
      <c r="P38" s="142"/>
      <c r="Q38" s="143"/>
      <c r="R38" s="143"/>
      <c r="S38" s="143"/>
      <c r="T38" s="141">
        <f>((CSE4098A_Spring2026_Grade!E28)*10)/45</f>
        <v>8.335555556</v>
      </c>
      <c r="U38" s="144"/>
      <c r="V38" s="142"/>
      <c r="W38" s="143"/>
      <c r="X38" s="143"/>
      <c r="Y38" s="143"/>
      <c r="Z38" s="143"/>
      <c r="AA38" s="144"/>
      <c r="AB38" s="145">
        <f t="shared" si="11"/>
        <v>12.66666667</v>
      </c>
      <c r="AC38" s="146">
        <f t="shared" ref="AC38:AE38" si="86">SUM(Q38, W38,E38,K38)</f>
        <v>2.666666667</v>
      </c>
      <c r="AD38" s="146">
        <f t="shared" si="86"/>
        <v>1.666666667</v>
      </c>
      <c r="AE38" s="146">
        <f t="shared" si="86"/>
        <v>4</v>
      </c>
      <c r="AF38" s="146">
        <f t="shared" si="13"/>
        <v>8.335555556</v>
      </c>
      <c r="AG38" s="146">
        <f t="shared" si="14"/>
        <v>0</v>
      </c>
      <c r="AH38" s="147">
        <f t="shared" ref="AH38:AM38" si="87">IF(AB38 = 0, 0, AB38/AB$14)</f>
        <v>0.8444444444</v>
      </c>
      <c r="AI38" s="147">
        <f t="shared" si="87"/>
        <v>0.8888888889</v>
      </c>
      <c r="AJ38" s="147">
        <f t="shared" si="87"/>
        <v>0.5555555556</v>
      </c>
      <c r="AK38" s="147">
        <f t="shared" si="87"/>
        <v>0.8</v>
      </c>
      <c r="AL38" s="147">
        <f t="shared" si="87"/>
        <v>0.8335555556</v>
      </c>
      <c r="AM38" s="147">
        <f t="shared" si="87"/>
        <v>0</v>
      </c>
      <c r="AN38" s="148">
        <f>IF(OR(CSE4098A_Spring2026_Grade!$I28="W (Withdrawn)", CSE4098A_Spring2026_Grade!$I28="I (Incomplete)"), 0, IF(AH38&gt;=55%, 1, 0))</f>
        <v>1</v>
      </c>
      <c r="AO38" s="148">
        <f>IF(OR(CSE4098A_Spring2026_Grade!$I28="W (Withdrawn)", CSE4098A_Spring2026_Grade!I28="I (Incomplete)"), 0, IF(AI38&gt;=55%, 1, 0))</f>
        <v>1</v>
      </c>
      <c r="AP38" s="148">
        <f>IF(OR(CSE4098A_Spring2026_Grade!$I28="W (Withdrawn)", CSE4098A_Spring2026_Grade!$I28="I (Incomplete)"), 0, IF(AJ38&gt;=55%, 1, 0))</f>
        <v>1</v>
      </c>
      <c r="AQ38" s="148">
        <f>IF(OR(CSE4098A_Spring2026_Grade!$I28="W (Withdrawn)", CSE4098A_Spring2026_Grade!$I28="I (Incomplete)"), 0, IF(AK38&gt;=55%, 1, 0))</f>
        <v>1</v>
      </c>
      <c r="AR38" s="148">
        <f>IF(OR(CSE4098A_Spring2026_Grade!$I28="W (Withdrawn)", CSE4098A_Spring2026_Grade!$I28="I (Incomplete)"), 0, IF(AL38&gt;=55%, 1, 0))</f>
        <v>1</v>
      </c>
      <c r="AS38" s="148">
        <f>IF(OR(CSE4098A_Spring2026_Grade!$I28="W (Withdrawn)", CSE4098A_Spring2026_Grade!$I28="I (Incomplete)"), 0, IF(AM38&gt;=55%, 1, 0))</f>
        <v>0</v>
      </c>
      <c r="AT38" s="115"/>
      <c r="AU38" s="149">
        <f t="shared" si="16"/>
        <v>0</v>
      </c>
      <c r="AV38" s="149">
        <f t="shared" si="17"/>
        <v>0.8444444444</v>
      </c>
      <c r="AW38" s="149">
        <f t="array" ref="AW38">IF($AV$9=0,0,MMULT($AH38:$AM38, AV$3:AV$8)/$AV$9)</f>
        <v>0</v>
      </c>
      <c r="AX38" s="149">
        <f t="array" ref="AX38">IF($AW$9=0,0,MMULT($AH38:$AM38, AW$3:AW$8)/$AW$9)</f>
        <v>0</v>
      </c>
      <c r="AY38" s="149">
        <f t="shared" si="18"/>
        <v>0</v>
      </c>
      <c r="AZ38" s="149">
        <f t="array" ref="AZ38">IF($AY$9=0,0,MMULT($AH38:$AM38, AY$3:AY$8)/$AY$9)</f>
        <v>0</v>
      </c>
      <c r="BA38" s="149">
        <f t="array" ref="BA38">IF($AZ$9=0,0,MMULT($AH38:$AM38, AZ$3:AZ$8)/$AZ$9)</f>
        <v>0</v>
      </c>
      <c r="BB38" s="149">
        <f t="array" ref="BB38">IF($BA$9=0,0,MMULT($AH38:$AM38, BA$3:BA$8)/$BA$9)</f>
        <v>0</v>
      </c>
      <c r="BC38" s="149">
        <f t="array" ref="BC38">IF($BB$9=0,0,MMULT($AH38:$AM38, BB$3:BB$8)/$BB$9)</f>
        <v>0.8</v>
      </c>
      <c r="BD38" s="149">
        <f t="array" ref="BD38">IF($BC$9=0,0,MMULT($AH38:$AM38, BC$3:BC$8)/$BC$9)</f>
        <v>0.8335555556</v>
      </c>
      <c r="BE38" s="149">
        <f t="shared" si="19"/>
        <v>0.5555555556</v>
      </c>
      <c r="BF38" s="149">
        <f t="shared" si="20"/>
        <v>0.8888888889</v>
      </c>
      <c r="BG38" s="148" t="str">
        <f t="shared" si="21"/>
        <v>#REF!</v>
      </c>
      <c r="BH38" s="148">
        <f>IF(OR(CSE4098A_Spring2026_Grade!$I28="W (Withdrawn)", CSE4098A_Spring2026_Grade!$I28="I (Incomplete)"), 0, IF(AV38&gt;=55%, 1, 0))</f>
        <v>1</v>
      </c>
      <c r="BI38" s="148" t="str">
        <f t="shared" ref="BI38:BN38" si="88">IF(OR(GradeSheet!$M33="W (Withdrawn)", GradeSheet!$M33="I (Incomplete)"), 0, IF(AW38&gt;=55%, 1, 0))</f>
        <v>#REF!</v>
      </c>
      <c r="BJ38" s="148" t="str">
        <f t="shared" si="88"/>
        <v>#REF!</v>
      </c>
      <c r="BK38" s="148" t="str">
        <f t="shared" si="88"/>
        <v>#REF!</v>
      </c>
      <c r="BL38" s="148" t="str">
        <f t="shared" si="88"/>
        <v>#REF!</v>
      </c>
      <c r="BM38" s="148" t="str">
        <f t="shared" si="88"/>
        <v>#REF!</v>
      </c>
      <c r="BN38" s="148" t="str">
        <f t="shared" si="88"/>
        <v>#REF!</v>
      </c>
      <c r="BO38" s="148">
        <f>IF(OR(CSE4098A_Spring2026_Grade!$I28="W (Withdrawn)", CSE4098A_Spring2026_Grade!$I28="I (Incomplete)"), 0, IF(BC38&gt;=55%, 1, 0))</f>
        <v>1</v>
      </c>
      <c r="BP38" s="148">
        <f>IF(OR(CSE4098A_Spring2026_Grade!$I28="W (Withdrawn)", CSE4098A_Spring2026_Grade!$I28="I (Incomplete)"), 0, IF(BD38&gt;=55%, 1, 0))</f>
        <v>1</v>
      </c>
      <c r="BQ38" s="148">
        <f>IF(OR(CSE4098A_Spring2026_Grade!$I28="W (Withdrawn)", CSE4098A_Spring2026_Grade!$I28="I (Incomplete)"), 0, IF(BE38&gt;=55%, 1, 0))</f>
        <v>1</v>
      </c>
      <c r="BR38" s="148">
        <f>IF(OR(CSE4098A_Spring2026_Grade!$I28="W (Withdrawn)", CSE4098A_Spring2026_Grade!$I28="I (Incomplete)"), 0, IF(BF38&gt;=55%, 1, 0))</f>
        <v>1</v>
      </c>
    </row>
    <row r="39">
      <c r="A39" s="136">
        <v>25.0</v>
      </c>
      <c r="B39" s="137">
        <f>CSE4098A_Spring2026_Grade!B29</f>
        <v>231014052</v>
      </c>
      <c r="C39" s="137" t="str">
        <f>CSE4098A_Spring2026_Grade!C29</f>
        <v>Md. Shaidur Rahman</v>
      </c>
      <c r="D39" s="138">
        <f>'CO_Report Evaluation'!P27</f>
        <v>7</v>
      </c>
      <c r="E39" s="138">
        <f>'CO_Report Evaluation'!Q27</f>
        <v>1</v>
      </c>
      <c r="F39" s="138">
        <f>'CO_Report Evaluation'!R27</f>
        <v>1</v>
      </c>
      <c r="G39" s="139"/>
      <c r="H39" s="139"/>
      <c r="I39" s="140"/>
      <c r="J39" s="138"/>
      <c r="K39" s="141"/>
      <c r="L39" s="141"/>
      <c r="M39" s="141">
        <v>4.0</v>
      </c>
      <c r="N39" s="139"/>
      <c r="O39" s="139"/>
      <c r="P39" s="142"/>
      <c r="Q39" s="143"/>
      <c r="R39" s="143"/>
      <c r="S39" s="143"/>
      <c r="T39" s="141">
        <f>((CSE4098A_Spring2026_Grade!E29)*10)/45</f>
        <v>4.74</v>
      </c>
      <c r="U39" s="144"/>
      <c r="V39" s="142"/>
      <c r="W39" s="143"/>
      <c r="X39" s="143"/>
      <c r="Y39" s="143"/>
      <c r="Z39" s="143"/>
      <c r="AA39" s="144"/>
      <c r="AB39" s="145">
        <f t="shared" si="11"/>
        <v>7</v>
      </c>
      <c r="AC39" s="146">
        <f t="shared" ref="AC39:AE39" si="89">SUM(Q39, W39,E39,K39)</f>
        <v>1</v>
      </c>
      <c r="AD39" s="146">
        <f t="shared" si="89"/>
        <v>1</v>
      </c>
      <c r="AE39" s="146">
        <f t="shared" si="89"/>
        <v>4</v>
      </c>
      <c r="AF39" s="146">
        <f t="shared" si="13"/>
        <v>4.74</v>
      </c>
      <c r="AG39" s="146">
        <f t="shared" si="14"/>
        <v>0</v>
      </c>
      <c r="AH39" s="147">
        <f t="shared" ref="AH39:AM39" si="90">IF(AB39 = 0, 0, AB39/AB$14)</f>
        <v>0.4666666667</v>
      </c>
      <c r="AI39" s="147">
        <f t="shared" si="90"/>
        <v>0.3333333333</v>
      </c>
      <c r="AJ39" s="147">
        <f t="shared" si="90"/>
        <v>0.3333333333</v>
      </c>
      <c r="AK39" s="147">
        <f t="shared" si="90"/>
        <v>0.8</v>
      </c>
      <c r="AL39" s="147">
        <f t="shared" si="90"/>
        <v>0.474</v>
      </c>
      <c r="AM39" s="147">
        <f t="shared" si="90"/>
        <v>0</v>
      </c>
      <c r="AN39" s="148">
        <f>IF(OR(CSE4098A_Spring2026_Grade!$I29="W (Withdrawn)", CSE4098A_Spring2026_Grade!$I29="I (Incomplete)"), 0, IF(AH39&gt;=55%, 1, 0))</f>
        <v>0</v>
      </c>
      <c r="AO39" s="148">
        <f>IF(OR(CSE4098A_Spring2026_Grade!$I29="W (Withdrawn)", CSE4098A_Spring2026_Grade!I29="I (Incomplete)"), 0, IF(AI39&gt;=55%, 1, 0))</f>
        <v>0</v>
      </c>
      <c r="AP39" s="148">
        <f>IF(OR(CSE4098A_Spring2026_Grade!$I29="W (Withdrawn)", CSE4098A_Spring2026_Grade!$I29="I (Incomplete)"), 0, IF(AJ39&gt;=55%, 1, 0))</f>
        <v>0</v>
      </c>
      <c r="AQ39" s="148">
        <f>IF(OR(CSE4098A_Spring2026_Grade!$I29="W (Withdrawn)", CSE4098A_Spring2026_Grade!$I29="I (Incomplete)"), 0, IF(AK39&gt;=55%, 1, 0))</f>
        <v>1</v>
      </c>
      <c r="AR39" s="148">
        <f>IF(OR(CSE4098A_Spring2026_Grade!$I29="W (Withdrawn)", CSE4098A_Spring2026_Grade!$I29="I (Incomplete)"), 0, IF(AL39&gt;=55%, 1, 0))</f>
        <v>0</v>
      </c>
      <c r="AS39" s="148">
        <f>IF(OR(CSE4098A_Spring2026_Grade!$I29="W (Withdrawn)", CSE4098A_Spring2026_Grade!$I29="I (Incomplete)"), 0, IF(AM39&gt;=55%, 1, 0))</f>
        <v>0</v>
      </c>
      <c r="AT39" s="115"/>
      <c r="AU39" s="149">
        <f t="shared" si="16"/>
        <v>0</v>
      </c>
      <c r="AV39" s="149">
        <f t="shared" si="17"/>
        <v>0.4666666667</v>
      </c>
      <c r="AW39" s="149">
        <f t="array" ref="AW39">IF($AV$9=0,0,MMULT($AH39:$AM39, AV$3:AV$8)/$AV$9)</f>
        <v>0</v>
      </c>
      <c r="AX39" s="149">
        <f t="array" ref="AX39">IF($AW$9=0,0,MMULT($AH39:$AM39, AW$3:AW$8)/$AW$9)</f>
        <v>0</v>
      </c>
      <c r="AY39" s="149">
        <f t="shared" si="18"/>
        <v>0</v>
      </c>
      <c r="AZ39" s="149">
        <f t="array" ref="AZ39">IF($AY$9=0,0,MMULT($AH39:$AM39, AY$3:AY$8)/$AY$9)</f>
        <v>0</v>
      </c>
      <c r="BA39" s="149">
        <f t="array" ref="BA39">IF($AZ$9=0,0,MMULT($AH39:$AM39, AZ$3:AZ$8)/$AZ$9)</f>
        <v>0</v>
      </c>
      <c r="BB39" s="149">
        <f t="array" ref="BB39">IF($BA$9=0,0,MMULT($AH39:$AM39, BA$3:BA$8)/$BA$9)</f>
        <v>0</v>
      </c>
      <c r="BC39" s="149">
        <f t="array" ref="BC39">IF($BB$9=0,0,MMULT($AH39:$AM39, BB$3:BB$8)/$BB$9)</f>
        <v>0.8</v>
      </c>
      <c r="BD39" s="149">
        <f t="array" ref="BD39">IF($BC$9=0,0,MMULT($AH39:$AM39, BC$3:BC$8)/$BC$9)</f>
        <v>0.474</v>
      </c>
      <c r="BE39" s="149">
        <f t="shared" si="19"/>
        <v>0.3333333333</v>
      </c>
      <c r="BF39" s="149">
        <f t="shared" si="20"/>
        <v>0.3333333333</v>
      </c>
      <c r="BG39" s="148" t="str">
        <f t="shared" si="21"/>
        <v>#REF!</v>
      </c>
      <c r="BH39" s="148">
        <f>IF(OR(CSE4098A_Spring2026_Grade!$I29="W (Withdrawn)", CSE4098A_Spring2026_Grade!$I29="I (Incomplete)"), 0, IF(AV39&gt;=55%, 1, 0))</f>
        <v>0</v>
      </c>
      <c r="BI39" s="148" t="str">
        <f t="shared" ref="BI39:BN39" si="91">IF(OR(GradeSheet!$M34="W (Withdrawn)", GradeSheet!$M34="I (Incomplete)"), 0, IF(AW39&gt;=55%, 1, 0))</f>
        <v>#REF!</v>
      </c>
      <c r="BJ39" s="148" t="str">
        <f t="shared" si="91"/>
        <v>#REF!</v>
      </c>
      <c r="BK39" s="148" t="str">
        <f t="shared" si="91"/>
        <v>#REF!</v>
      </c>
      <c r="BL39" s="148" t="str">
        <f t="shared" si="91"/>
        <v>#REF!</v>
      </c>
      <c r="BM39" s="148" t="str">
        <f t="shared" si="91"/>
        <v>#REF!</v>
      </c>
      <c r="BN39" s="148" t="str">
        <f t="shared" si="91"/>
        <v>#REF!</v>
      </c>
      <c r="BO39" s="148">
        <f>IF(OR(CSE4098A_Spring2026_Grade!$I29="W (Withdrawn)", CSE4098A_Spring2026_Grade!$I29="I (Incomplete)"), 0, IF(BC39&gt;=55%, 1, 0))</f>
        <v>1</v>
      </c>
      <c r="BP39" s="148">
        <f>IF(OR(CSE4098A_Spring2026_Grade!$I29="W (Withdrawn)", CSE4098A_Spring2026_Grade!$I29="I (Incomplete)"), 0, IF(BD39&gt;=55%, 1, 0))</f>
        <v>0</v>
      </c>
      <c r="BQ39" s="148">
        <f>IF(OR(CSE4098A_Spring2026_Grade!$I29="W (Withdrawn)", CSE4098A_Spring2026_Grade!$I29="I (Incomplete)"), 0, IF(BE39&gt;=55%, 1, 0))</f>
        <v>0</v>
      </c>
      <c r="BR39" s="148">
        <f>IF(OR(CSE4098A_Spring2026_Grade!$I29="W (Withdrawn)", CSE4098A_Spring2026_Grade!$I29="I (Incomplete)"), 0, IF(BF39&gt;=55%, 1, 0))</f>
        <v>0</v>
      </c>
    </row>
    <row r="40">
      <c r="A40" s="136">
        <v>26.0</v>
      </c>
      <c r="B40" s="137">
        <f>CSE4098A_Spring2026_Grade!B30</f>
        <v>231014131</v>
      </c>
      <c r="C40" s="137" t="str">
        <f>CSE4098A_Spring2026_Grade!C30</f>
        <v>Sumia Sharmin Sinthia</v>
      </c>
      <c r="D40" s="138">
        <f>'CO_Report Evaluation'!P28</f>
        <v>7</v>
      </c>
      <c r="E40" s="138">
        <f>'CO_Report Evaluation'!Q28</f>
        <v>1</v>
      </c>
      <c r="F40" s="138">
        <f>'CO_Report Evaluation'!R28</f>
        <v>1</v>
      </c>
      <c r="G40" s="139"/>
      <c r="H40" s="139"/>
      <c r="I40" s="140"/>
      <c r="J40" s="138"/>
      <c r="K40" s="141"/>
      <c r="L40" s="141"/>
      <c r="M40" s="141">
        <v>4.0</v>
      </c>
      <c r="N40" s="139"/>
      <c r="O40" s="139"/>
      <c r="P40" s="142"/>
      <c r="Q40" s="143"/>
      <c r="R40" s="143"/>
      <c r="S40" s="143"/>
      <c r="T40" s="141">
        <f>((CSE4098A_Spring2026_Grade!E30)*10)/45</f>
        <v>5.564444444</v>
      </c>
      <c r="U40" s="144"/>
      <c r="V40" s="142"/>
      <c r="W40" s="143"/>
      <c r="X40" s="143"/>
      <c r="Y40" s="143"/>
      <c r="Z40" s="143"/>
      <c r="AA40" s="144"/>
      <c r="AB40" s="145">
        <f t="shared" si="11"/>
        <v>7</v>
      </c>
      <c r="AC40" s="146">
        <f t="shared" ref="AC40:AE40" si="92">SUM(Q40, W40,E40,K40)</f>
        <v>1</v>
      </c>
      <c r="AD40" s="146">
        <f t="shared" si="92"/>
        <v>1</v>
      </c>
      <c r="AE40" s="146">
        <f t="shared" si="92"/>
        <v>4</v>
      </c>
      <c r="AF40" s="146">
        <f t="shared" si="13"/>
        <v>5.564444444</v>
      </c>
      <c r="AG40" s="146">
        <f t="shared" si="14"/>
        <v>0</v>
      </c>
      <c r="AH40" s="147">
        <f t="shared" ref="AH40:AM40" si="93">IF(AB40 = 0, 0, AB40/AB$14)</f>
        <v>0.4666666667</v>
      </c>
      <c r="AI40" s="147">
        <f t="shared" si="93"/>
        <v>0.3333333333</v>
      </c>
      <c r="AJ40" s="147">
        <f t="shared" si="93"/>
        <v>0.3333333333</v>
      </c>
      <c r="AK40" s="147">
        <f t="shared" si="93"/>
        <v>0.8</v>
      </c>
      <c r="AL40" s="147">
        <f t="shared" si="93"/>
        <v>0.5564444444</v>
      </c>
      <c r="AM40" s="147">
        <f t="shared" si="93"/>
        <v>0</v>
      </c>
      <c r="AN40" s="148">
        <f>IF(OR(CSE4098A_Spring2026_Grade!$I30="W (Withdrawn)", CSE4098A_Spring2026_Grade!$I30="I (Incomplete)"), 0, IF(AH40&gt;=55%, 1, 0))</f>
        <v>0</v>
      </c>
      <c r="AO40" s="148">
        <f>IF(OR(CSE4098A_Spring2026_Grade!$I30="W (Withdrawn)", CSE4098A_Spring2026_Grade!I30="I (Incomplete)"), 0, IF(AI40&gt;=55%, 1, 0))</f>
        <v>0</v>
      </c>
      <c r="AP40" s="148">
        <f>IF(OR(CSE4098A_Spring2026_Grade!$I30="W (Withdrawn)", CSE4098A_Spring2026_Grade!$I30="I (Incomplete)"), 0, IF(AJ40&gt;=55%, 1, 0))</f>
        <v>0</v>
      </c>
      <c r="AQ40" s="148">
        <f>IF(OR(CSE4098A_Spring2026_Grade!$I30="W (Withdrawn)", CSE4098A_Spring2026_Grade!$I30="I (Incomplete)"), 0, IF(AK40&gt;=55%, 1, 0))</f>
        <v>1</v>
      </c>
      <c r="AR40" s="148">
        <f>IF(OR(CSE4098A_Spring2026_Grade!$I30="W (Withdrawn)", CSE4098A_Spring2026_Grade!$I30="I (Incomplete)"), 0, IF(AL40&gt;=55%, 1, 0))</f>
        <v>1</v>
      </c>
      <c r="AS40" s="148">
        <f>IF(OR(CSE4098A_Spring2026_Grade!$I30="W (Withdrawn)", CSE4098A_Spring2026_Grade!$I30="I (Incomplete)"), 0, IF(AM40&gt;=55%, 1, 0))</f>
        <v>0</v>
      </c>
      <c r="AT40" s="115"/>
      <c r="AU40" s="149">
        <f t="shared" si="16"/>
        <v>0</v>
      </c>
      <c r="AV40" s="149">
        <f t="shared" si="17"/>
        <v>0.4666666667</v>
      </c>
      <c r="AW40" s="149">
        <f t="array" ref="AW40">IF($AV$9=0,0,MMULT($AH40:$AM40, AV$3:AV$8)/$AV$9)</f>
        <v>0</v>
      </c>
      <c r="AX40" s="149">
        <f t="array" ref="AX40">IF($AW$9=0,0,MMULT($AH40:$AM40, AW$3:AW$8)/$AW$9)</f>
        <v>0</v>
      </c>
      <c r="AY40" s="149">
        <f t="shared" si="18"/>
        <v>0</v>
      </c>
      <c r="AZ40" s="149">
        <f t="array" ref="AZ40">IF($AY$9=0,0,MMULT($AH40:$AM40, AY$3:AY$8)/$AY$9)</f>
        <v>0</v>
      </c>
      <c r="BA40" s="149">
        <f t="array" ref="BA40">IF($AZ$9=0,0,MMULT($AH40:$AM40, AZ$3:AZ$8)/$AZ$9)</f>
        <v>0</v>
      </c>
      <c r="BB40" s="149">
        <f t="array" ref="BB40">IF($BA$9=0,0,MMULT($AH40:$AM40, BA$3:BA$8)/$BA$9)</f>
        <v>0</v>
      </c>
      <c r="BC40" s="149">
        <f t="array" ref="BC40">IF($BB$9=0,0,MMULT($AH40:$AM40, BB$3:BB$8)/$BB$9)</f>
        <v>0.8</v>
      </c>
      <c r="BD40" s="149">
        <f t="array" ref="BD40">IF($BC$9=0,0,MMULT($AH40:$AM40, BC$3:BC$8)/$BC$9)</f>
        <v>0.5564444444</v>
      </c>
      <c r="BE40" s="149">
        <f t="shared" si="19"/>
        <v>0.3333333333</v>
      </c>
      <c r="BF40" s="149">
        <f t="shared" si="20"/>
        <v>0.3333333333</v>
      </c>
      <c r="BG40" s="148" t="str">
        <f t="shared" si="21"/>
        <v>#REF!</v>
      </c>
      <c r="BH40" s="148">
        <f>IF(OR(CSE4098A_Spring2026_Grade!$I30="W (Withdrawn)", CSE4098A_Spring2026_Grade!$I30="I (Incomplete)"), 0, IF(AV40&gt;=55%, 1, 0))</f>
        <v>0</v>
      </c>
      <c r="BI40" s="148" t="str">
        <f t="shared" ref="BI40:BN40" si="94">IF(OR(GradeSheet!$M35="W (Withdrawn)", GradeSheet!$M35="I (Incomplete)"), 0, IF(AW40&gt;=55%, 1, 0))</f>
        <v>#REF!</v>
      </c>
      <c r="BJ40" s="148" t="str">
        <f t="shared" si="94"/>
        <v>#REF!</v>
      </c>
      <c r="BK40" s="148" t="str">
        <f t="shared" si="94"/>
        <v>#REF!</v>
      </c>
      <c r="BL40" s="148" t="str">
        <f t="shared" si="94"/>
        <v>#REF!</v>
      </c>
      <c r="BM40" s="148" t="str">
        <f t="shared" si="94"/>
        <v>#REF!</v>
      </c>
      <c r="BN40" s="148" t="str">
        <f t="shared" si="94"/>
        <v>#REF!</v>
      </c>
      <c r="BO40" s="148">
        <f>IF(OR(CSE4098A_Spring2026_Grade!$I30="W (Withdrawn)", CSE4098A_Spring2026_Grade!$I30="I (Incomplete)"), 0, IF(BC40&gt;=55%, 1, 0))</f>
        <v>1</v>
      </c>
      <c r="BP40" s="148">
        <f>IF(OR(CSE4098A_Spring2026_Grade!$I30="W (Withdrawn)", CSE4098A_Spring2026_Grade!$I30="I (Incomplete)"), 0, IF(BD40&gt;=55%, 1, 0))</f>
        <v>1</v>
      </c>
      <c r="BQ40" s="148">
        <f>IF(OR(CSE4098A_Spring2026_Grade!$I30="W (Withdrawn)", CSE4098A_Spring2026_Grade!$I30="I (Incomplete)"), 0, IF(BE40&gt;=55%, 1, 0))</f>
        <v>0</v>
      </c>
      <c r="BR40" s="148">
        <f>IF(OR(CSE4098A_Spring2026_Grade!$I30="W (Withdrawn)", CSE4098A_Spring2026_Grade!$I30="I (Incomplete)"), 0, IF(BF40&gt;=55%, 1, 0))</f>
        <v>0</v>
      </c>
    </row>
    <row r="41">
      <c r="A41" s="136">
        <v>27.0</v>
      </c>
      <c r="B41" s="137">
        <f>CSE4098A_Spring2026_Grade!B31</f>
        <v>221014109</v>
      </c>
      <c r="C41" s="137" t="str">
        <f>CSE4098A_Spring2026_Grade!C31</f>
        <v>Maharun Nessa Akhi</v>
      </c>
      <c r="D41" s="138">
        <f>'CO_Report Evaluation'!P29</f>
        <v>7</v>
      </c>
      <c r="E41" s="138">
        <f>'CO_Report Evaluation'!Q29</f>
        <v>1</v>
      </c>
      <c r="F41" s="138">
        <f>'CO_Report Evaluation'!R29</f>
        <v>1</v>
      </c>
      <c r="G41" s="139"/>
      <c r="H41" s="139"/>
      <c r="I41" s="140"/>
      <c r="J41" s="138"/>
      <c r="K41" s="141"/>
      <c r="L41" s="141"/>
      <c r="M41" s="141">
        <v>4.0</v>
      </c>
      <c r="N41" s="139"/>
      <c r="O41" s="139"/>
      <c r="P41" s="142"/>
      <c r="Q41" s="143"/>
      <c r="R41" s="143"/>
      <c r="S41" s="143"/>
      <c r="T41" s="141">
        <f>((CSE4098A_Spring2026_Grade!E31)*10)/45</f>
        <v>4.822222222</v>
      </c>
      <c r="U41" s="144"/>
      <c r="V41" s="142"/>
      <c r="W41" s="143"/>
      <c r="X41" s="143"/>
      <c r="Y41" s="143"/>
      <c r="Z41" s="143"/>
      <c r="AA41" s="144"/>
      <c r="AB41" s="145">
        <f t="shared" si="11"/>
        <v>7</v>
      </c>
      <c r="AC41" s="146">
        <f t="shared" ref="AC41:AE41" si="95">SUM(Q41, W41,E41,K41)</f>
        <v>1</v>
      </c>
      <c r="AD41" s="146">
        <f t="shared" si="95"/>
        <v>1</v>
      </c>
      <c r="AE41" s="146">
        <f t="shared" si="95"/>
        <v>4</v>
      </c>
      <c r="AF41" s="146">
        <f t="shared" si="13"/>
        <v>4.822222222</v>
      </c>
      <c r="AG41" s="146">
        <f t="shared" si="14"/>
        <v>0</v>
      </c>
      <c r="AH41" s="147">
        <f t="shared" ref="AH41:AM41" si="96">IF(AB41 = 0, 0, AB41/AB$14)</f>
        <v>0.4666666667</v>
      </c>
      <c r="AI41" s="147">
        <f t="shared" si="96"/>
        <v>0.3333333333</v>
      </c>
      <c r="AJ41" s="147">
        <f t="shared" si="96"/>
        <v>0.3333333333</v>
      </c>
      <c r="AK41" s="147">
        <f t="shared" si="96"/>
        <v>0.8</v>
      </c>
      <c r="AL41" s="147">
        <f t="shared" si="96"/>
        <v>0.4822222222</v>
      </c>
      <c r="AM41" s="147">
        <f t="shared" si="96"/>
        <v>0</v>
      </c>
      <c r="AN41" s="148">
        <f>IF(OR(CSE4098A_Spring2026_Grade!$I31="W (Withdrawn)", CSE4098A_Spring2026_Grade!$I31="I (Incomplete)"), 0, IF(AH41&gt;=55%, 1, 0))</f>
        <v>0</v>
      </c>
      <c r="AO41" s="148">
        <f>IF(OR(CSE4098A_Spring2026_Grade!$I31="W (Withdrawn)", CSE4098A_Spring2026_Grade!I31="I (Incomplete)"), 0, IF(AI41&gt;=55%, 1, 0))</f>
        <v>0</v>
      </c>
      <c r="AP41" s="148">
        <f>IF(OR(CSE4098A_Spring2026_Grade!$I31="W (Withdrawn)", CSE4098A_Spring2026_Grade!$I31="I (Incomplete)"), 0, IF(AJ41&gt;=55%, 1, 0))</f>
        <v>0</v>
      </c>
      <c r="AQ41" s="148">
        <f>IF(OR(CSE4098A_Spring2026_Grade!$I31="W (Withdrawn)", CSE4098A_Spring2026_Grade!$I31="I (Incomplete)"), 0, IF(AK41&gt;=55%, 1, 0))</f>
        <v>1</v>
      </c>
      <c r="AR41" s="148">
        <f>IF(OR(CSE4098A_Spring2026_Grade!$I31="W (Withdrawn)", CSE4098A_Spring2026_Grade!$I31="I (Incomplete)"), 0, IF(AL41&gt;=55%, 1, 0))</f>
        <v>0</v>
      </c>
      <c r="AS41" s="148">
        <f>IF(OR(CSE4098A_Spring2026_Grade!$I31="W (Withdrawn)", CSE4098A_Spring2026_Grade!$I31="I (Incomplete)"), 0, IF(AM41&gt;=55%, 1, 0))</f>
        <v>0</v>
      </c>
      <c r="AT41" s="115"/>
      <c r="AU41" s="149">
        <f t="shared" si="16"/>
        <v>0</v>
      </c>
      <c r="AV41" s="149">
        <f t="shared" si="17"/>
        <v>0.4666666667</v>
      </c>
      <c r="AW41" s="149">
        <f t="array" ref="AW41">IF($AV$9=0,0,MMULT($AH41:$AM41, AV$3:AV$8)/$AV$9)</f>
        <v>0</v>
      </c>
      <c r="AX41" s="149">
        <f t="array" ref="AX41">IF($AW$9=0,0,MMULT($AH41:$AM41, AW$3:AW$8)/$AW$9)</f>
        <v>0</v>
      </c>
      <c r="AY41" s="149">
        <f t="shared" si="18"/>
        <v>0</v>
      </c>
      <c r="AZ41" s="149">
        <f t="array" ref="AZ41">IF($AY$9=0,0,MMULT($AH41:$AM41, AY$3:AY$8)/$AY$9)</f>
        <v>0</v>
      </c>
      <c r="BA41" s="149">
        <f t="array" ref="BA41">IF($AZ$9=0,0,MMULT($AH41:$AM41, AZ$3:AZ$8)/$AZ$9)</f>
        <v>0</v>
      </c>
      <c r="BB41" s="149">
        <f t="array" ref="BB41">IF($BA$9=0,0,MMULT($AH41:$AM41, BA$3:BA$8)/$BA$9)</f>
        <v>0</v>
      </c>
      <c r="BC41" s="149">
        <f t="array" ref="BC41">IF($BB$9=0,0,MMULT($AH41:$AM41, BB$3:BB$8)/$BB$9)</f>
        <v>0.8</v>
      </c>
      <c r="BD41" s="149">
        <f t="array" ref="BD41">IF($BC$9=0,0,MMULT($AH41:$AM41, BC$3:BC$8)/$BC$9)</f>
        <v>0.4822222222</v>
      </c>
      <c r="BE41" s="149">
        <f t="shared" si="19"/>
        <v>0.3333333333</v>
      </c>
      <c r="BF41" s="149">
        <f t="shared" si="20"/>
        <v>0.3333333333</v>
      </c>
      <c r="BG41" s="148" t="str">
        <f t="shared" si="21"/>
        <v>#REF!</v>
      </c>
      <c r="BH41" s="148">
        <f>IF(OR(CSE4098A_Spring2026_Grade!$I31="W (Withdrawn)", CSE4098A_Spring2026_Grade!$I31="I (Incomplete)"), 0, IF(AV41&gt;=55%, 1, 0))</f>
        <v>0</v>
      </c>
      <c r="BI41" s="148" t="str">
        <f t="shared" ref="BI41:BN41" si="97">IF(OR(GradeSheet!$M36="W (Withdrawn)", GradeSheet!$M36="I (Incomplete)"), 0, IF(AW41&gt;=55%, 1, 0))</f>
        <v>#REF!</v>
      </c>
      <c r="BJ41" s="148" t="str">
        <f t="shared" si="97"/>
        <v>#REF!</v>
      </c>
      <c r="BK41" s="148" t="str">
        <f t="shared" si="97"/>
        <v>#REF!</v>
      </c>
      <c r="BL41" s="148" t="str">
        <f t="shared" si="97"/>
        <v>#REF!</v>
      </c>
      <c r="BM41" s="148" t="str">
        <f t="shared" si="97"/>
        <v>#REF!</v>
      </c>
      <c r="BN41" s="148" t="str">
        <f t="shared" si="97"/>
        <v>#REF!</v>
      </c>
      <c r="BO41" s="148">
        <f>IF(OR(CSE4098A_Spring2026_Grade!$I31="W (Withdrawn)", CSE4098A_Spring2026_Grade!$I31="I (Incomplete)"), 0, IF(BC41&gt;=55%, 1, 0))</f>
        <v>1</v>
      </c>
      <c r="BP41" s="148">
        <f>IF(OR(CSE4098A_Spring2026_Grade!$I31="W (Withdrawn)", CSE4098A_Spring2026_Grade!$I31="I (Incomplete)"), 0, IF(BD41&gt;=55%, 1, 0))</f>
        <v>0</v>
      </c>
      <c r="BQ41" s="148">
        <f>IF(OR(CSE4098A_Spring2026_Grade!$I31="W (Withdrawn)", CSE4098A_Spring2026_Grade!$I31="I (Incomplete)"), 0, IF(BE41&gt;=55%, 1, 0))</f>
        <v>0</v>
      </c>
      <c r="BR41" s="148">
        <f>IF(OR(CSE4098A_Spring2026_Grade!$I31="W (Withdrawn)", CSE4098A_Spring2026_Grade!$I31="I (Incomplete)"), 0, IF(BF41&gt;=55%, 1, 0))</f>
        <v>0</v>
      </c>
    </row>
    <row r="42">
      <c r="A42" s="136">
        <v>28.0</v>
      </c>
      <c r="B42" s="137">
        <f>CSE4098A_Spring2026_Grade!B32</f>
        <v>223014088</v>
      </c>
      <c r="C42" s="137" t="str">
        <f>CSE4098A_Spring2026_Grade!C32</f>
        <v>Md. Sakib Ishrak</v>
      </c>
      <c r="D42" s="138">
        <f>'CO_Report Evaluation'!P30</f>
        <v>7</v>
      </c>
      <c r="E42" s="138">
        <f>'CO_Report Evaluation'!Q30</f>
        <v>1</v>
      </c>
      <c r="F42" s="138">
        <f>'CO_Report Evaluation'!R30</f>
        <v>1</v>
      </c>
      <c r="G42" s="139"/>
      <c r="H42" s="139"/>
      <c r="I42" s="140"/>
      <c r="J42" s="138"/>
      <c r="K42" s="141"/>
      <c r="L42" s="141"/>
      <c r="M42" s="141">
        <v>5.0</v>
      </c>
      <c r="N42" s="139"/>
      <c r="O42" s="139"/>
      <c r="P42" s="142"/>
      <c r="Q42" s="143"/>
      <c r="R42" s="143"/>
      <c r="S42" s="143"/>
      <c r="T42" s="141">
        <f>((CSE4098A_Spring2026_Grade!E32)*10)/45</f>
        <v>4.691111111</v>
      </c>
      <c r="U42" s="144"/>
      <c r="V42" s="142"/>
      <c r="W42" s="143"/>
      <c r="X42" s="143"/>
      <c r="Y42" s="143"/>
      <c r="Z42" s="143"/>
      <c r="AA42" s="144"/>
      <c r="AB42" s="145">
        <f t="shared" si="11"/>
        <v>7</v>
      </c>
      <c r="AC42" s="146">
        <f t="shared" ref="AC42:AE42" si="98">SUM(Q42, W42,E42,K42)</f>
        <v>1</v>
      </c>
      <c r="AD42" s="146">
        <f t="shared" si="98"/>
        <v>1</v>
      </c>
      <c r="AE42" s="146">
        <f t="shared" si="98"/>
        <v>5</v>
      </c>
      <c r="AF42" s="146">
        <f t="shared" si="13"/>
        <v>4.691111111</v>
      </c>
      <c r="AG42" s="146">
        <f t="shared" si="14"/>
        <v>0</v>
      </c>
      <c r="AH42" s="147">
        <f t="shared" ref="AH42:AM42" si="99">IF(AB42 = 0, 0, AB42/AB$14)</f>
        <v>0.4666666667</v>
      </c>
      <c r="AI42" s="147">
        <f t="shared" si="99"/>
        <v>0.3333333333</v>
      </c>
      <c r="AJ42" s="147">
        <f t="shared" si="99"/>
        <v>0.3333333333</v>
      </c>
      <c r="AK42" s="147">
        <f t="shared" si="99"/>
        <v>1</v>
      </c>
      <c r="AL42" s="147">
        <f t="shared" si="99"/>
        <v>0.4691111111</v>
      </c>
      <c r="AM42" s="147">
        <f t="shared" si="99"/>
        <v>0</v>
      </c>
      <c r="AN42" s="148">
        <f>IF(OR(CSE4098A_Spring2026_Grade!$I32="W (Withdrawn)", CSE4098A_Spring2026_Grade!$I32="I (Incomplete)"), 0, IF(AH42&gt;=55%, 1, 0))</f>
        <v>0</v>
      </c>
      <c r="AO42" s="148">
        <f>IF(OR(CSE4098A_Spring2026_Grade!$I32="W (Withdrawn)", CSE4098A_Spring2026_Grade!I32="I (Incomplete)"), 0, IF(AI42&gt;=55%, 1, 0))</f>
        <v>0</v>
      </c>
      <c r="AP42" s="148">
        <f>IF(OR(CSE4098A_Spring2026_Grade!$I32="W (Withdrawn)", CSE4098A_Spring2026_Grade!$I32="I (Incomplete)"), 0, IF(AJ42&gt;=55%, 1, 0))</f>
        <v>0</v>
      </c>
      <c r="AQ42" s="148">
        <f>IF(OR(CSE4098A_Spring2026_Grade!$I32="W (Withdrawn)", CSE4098A_Spring2026_Grade!$I32="I (Incomplete)"), 0, IF(AK42&gt;=55%, 1, 0))</f>
        <v>1</v>
      </c>
      <c r="AR42" s="148">
        <f>IF(OR(CSE4098A_Spring2026_Grade!$I32="W (Withdrawn)", CSE4098A_Spring2026_Grade!$I32="I (Incomplete)"), 0, IF(AL42&gt;=55%, 1, 0))</f>
        <v>0</v>
      </c>
      <c r="AS42" s="148">
        <f>IF(OR(CSE4098A_Spring2026_Grade!$I32="W (Withdrawn)", CSE4098A_Spring2026_Grade!$I32="I (Incomplete)"), 0, IF(AM42&gt;=55%, 1, 0))</f>
        <v>0</v>
      </c>
      <c r="AT42" s="115"/>
      <c r="AU42" s="149">
        <f t="shared" si="16"/>
        <v>0</v>
      </c>
      <c r="AV42" s="149">
        <f t="shared" si="17"/>
        <v>0.4666666667</v>
      </c>
      <c r="AW42" s="149">
        <f t="array" ref="AW42">IF($AV$9=0,0,MMULT($AH42:$AM42, AV$3:AV$8)/$AV$9)</f>
        <v>0</v>
      </c>
      <c r="AX42" s="149">
        <f t="array" ref="AX42">IF($AW$9=0,0,MMULT($AH42:$AM42, AW$3:AW$8)/$AW$9)</f>
        <v>0</v>
      </c>
      <c r="AY42" s="149">
        <f t="shared" si="18"/>
        <v>0</v>
      </c>
      <c r="AZ42" s="149">
        <f t="array" ref="AZ42">IF($AY$9=0,0,MMULT($AH42:$AM42, AY$3:AY$8)/$AY$9)</f>
        <v>0</v>
      </c>
      <c r="BA42" s="149">
        <f t="array" ref="BA42">IF($AZ$9=0,0,MMULT($AH42:$AM42, AZ$3:AZ$8)/$AZ$9)</f>
        <v>0</v>
      </c>
      <c r="BB42" s="149">
        <f t="array" ref="BB42">IF($BA$9=0,0,MMULT($AH42:$AM42, BA$3:BA$8)/$BA$9)</f>
        <v>0</v>
      </c>
      <c r="BC42" s="149">
        <f t="array" ref="BC42">IF($BB$9=0,0,MMULT($AH42:$AM42, BB$3:BB$8)/$BB$9)</f>
        <v>1</v>
      </c>
      <c r="BD42" s="149">
        <f t="array" ref="BD42">IF($BC$9=0,0,MMULT($AH42:$AM42, BC$3:BC$8)/$BC$9)</f>
        <v>0.4691111111</v>
      </c>
      <c r="BE42" s="149">
        <f t="shared" si="19"/>
        <v>0.3333333333</v>
      </c>
      <c r="BF42" s="149">
        <f t="shared" si="20"/>
        <v>0.3333333333</v>
      </c>
      <c r="BG42" s="148" t="str">
        <f t="shared" si="21"/>
        <v>#REF!</v>
      </c>
      <c r="BH42" s="148">
        <f>IF(OR(CSE4098A_Spring2026_Grade!$I32="W (Withdrawn)", CSE4098A_Spring2026_Grade!$I32="I (Incomplete)"), 0, IF(AV42&gt;=55%, 1, 0))</f>
        <v>0</v>
      </c>
      <c r="BI42" s="148" t="str">
        <f t="shared" ref="BI42:BN42" si="100">IF(OR(GradeSheet!$M37="W (Withdrawn)", GradeSheet!$M37="I (Incomplete)"), 0, IF(AW42&gt;=55%, 1, 0))</f>
        <v>#REF!</v>
      </c>
      <c r="BJ42" s="148" t="str">
        <f t="shared" si="100"/>
        <v>#REF!</v>
      </c>
      <c r="BK42" s="148" t="str">
        <f t="shared" si="100"/>
        <v>#REF!</v>
      </c>
      <c r="BL42" s="148" t="str">
        <f t="shared" si="100"/>
        <v>#REF!</v>
      </c>
      <c r="BM42" s="148" t="str">
        <f t="shared" si="100"/>
        <v>#REF!</v>
      </c>
      <c r="BN42" s="148" t="str">
        <f t="shared" si="100"/>
        <v>#REF!</v>
      </c>
      <c r="BO42" s="148">
        <f>IF(OR(CSE4098A_Spring2026_Grade!$I32="W (Withdrawn)", CSE4098A_Spring2026_Grade!$I32="I (Incomplete)"), 0, IF(BC42&gt;=55%, 1, 0))</f>
        <v>1</v>
      </c>
      <c r="BP42" s="148">
        <f>IF(OR(CSE4098A_Spring2026_Grade!$I32="W (Withdrawn)", CSE4098A_Spring2026_Grade!$I32="I (Incomplete)"), 0, IF(BD42&gt;=55%, 1, 0))</f>
        <v>0</v>
      </c>
      <c r="BQ42" s="148">
        <f>IF(OR(CSE4098A_Spring2026_Grade!$I32="W (Withdrawn)", CSE4098A_Spring2026_Grade!$I32="I (Incomplete)"), 0, IF(BE42&gt;=55%, 1, 0))</f>
        <v>0</v>
      </c>
      <c r="BR42" s="148">
        <f>IF(OR(CSE4098A_Spring2026_Grade!$I32="W (Withdrawn)", CSE4098A_Spring2026_Grade!$I32="I (Incomplete)"), 0, IF(BF42&gt;=55%, 1, 0))</f>
        <v>0</v>
      </c>
    </row>
    <row r="43">
      <c r="A43" s="136">
        <v>29.0</v>
      </c>
      <c r="B43" s="137">
        <f>CSE4098A_Spring2026_Grade!B33</f>
        <v>231014017</v>
      </c>
      <c r="C43" s="137" t="str">
        <f>CSE4098A_Spring2026_Grade!C33</f>
        <v>Md. Jahid Ahamed Jihad</v>
      </c>
      <c r="D43" s="138">
        <f>'CO_Report Evaluation'!P31</f>
        <v>12</v>
      </c>
      <c r="E43" s="138">
        <f>'CO_Report Evaluation'!Q31</f>
        <v>2.666666667</v>
      </c>
      <c r="F43" s="138">
        <f>'CO_Report Evaluation'!R31</f>
        <v>2.666666667</v>
      </c>
      <c r="G43" s="139"/>
      <c r="H43" s="139"/>
      <c r="I43" s="140"/>
      <c r="J43" s="138"/>
      <c r="K43" s="141"/>
      <c r="L43" s="141"/>
      <c r="M43" s="141">
        <v>5.0</v>
      </c>
      <c r="N43" s="139"/>
      <c r="O43" s="139"/>
      <c r="P43" s="142"/>
      <c r="Q43" s="143"/>
      <c r="R43" s="143"/>
      <c r="S43" s="143"/>
      <c r="T43" s="141">
        <f>((CSE4098A_Spring2026_Grade!E33)*10)/45</f>
        <v>8.206666667</v>
      </c>
      <c r="U43" s="144"/>
      <c r="V43" s="142"/>
      <c r="W43" s="143"/>
      <c r="X43" s="143"/>
      <c r="Y43" s="143"/>
      <c r="Z43" s="143"/>
      <c r="AA43" s="144"/>
      <c r="AB43" s="145">
        <f t="shared" si="11"/>
        <v>12</v>
      </c>
      <c r="AC43" s="146">
        <f t="shared" ref="AC43:AE43" si="101">SUM(Q43, W43,E43,K43)</f>
        <v>2.666666667</v>
      </c>
      <c r="AD43" s="146">
        <f t="shared" si="101"/>
        <v>2.666666667</v>
      </c>
      <c r="AE43" s="146">
        <f t="shared" si="101"/>
        <v>5</v>
      </c>
      <c r="AF43" s="146">
        <f t="shared" si="13"/>
        <v>8.206666667</v>
      </c>
      <c r="AG43" s="146">
        <f t="shared" si="14"/>
        <v>0</v>
      </c>
      <c r="AH43" s="147">
        <f t="shared" ref="AH43:AM43" si="102">IF(AB43 = 0, 0, AB43/AB$14)</f>
        <v>0.8</v>
      </c>
      <c r="AI43" s="147">
        <f t="shared" si="102"/>
        <v>0.8888888889</v>
      </c>
      <c r="AJ43" s="147">
        <f t="shared" si="102"/>
        <v>0.8888888889</v>
      </c>
      <c r="AK43" s="147">
        <f t="shared" si="102"/>
        <v>1</v>
      </c>
      <c r="AL43" s="147">
        <f t="shared" si="102"/>
        <v>0.8206666667</v>
      </c>
      <c r="AM43" s="147">
        <f t="shared" si="102"/>
        <v>0</v>
      </c>
      <c r="AN43" s="148">
        <f>IF(OR(CSE4098A_Spring2026_Grade!$I33="W (Withdrawn)", CSE4098A_Spring2026_Grade!$I33="I (Incomplete)"), 0, IF(AH43&gt;=55%, 1, 0))</f>
        <v>1</v>
      </c>
      <c r="AO43" s="148">
        <f>IF(OR(CSE4098A_Spring2026_Grade!$I33="W (Withdrawn)", CSE4098A_Spring2026_Grade!I33="I (Incomplete)"), 0, IF(AI43&gt;=55%, 1, 0))</f>
        <v>1</v>
      </c>
      <c r="AP43" s="148">
        <f>IF(OR(CSE4098A_Spring2026_Grade!$I33="W (Withdrawn)", CSE4098A_Spring2026_Grade!$I33="I (Incomplete)"), 0, IF(AJ43&gt;=55%, 1, 0))</f>
        <v>1</v>
      </c>
      <c r="AQ43" s="148">
        <f>IF(OR(CSE4098A_Spring2026_Grade!$I33="W (Withdrawn)", CSE4098A_Spring2026_Grade!$I33="I (Incomplete)"), 0, IF(AK43&gt;=55%, 1, 0))</f>
        <v>1</v>
      </c>
      <c r="AR43" s="148">
        <f>IF(OR(CSE4098A_Spring2026_Grade!$I33="W (Withdrawn)", CSE4098A_Spring2026_Grade!$I33="I (Incomplete)"), 0, IF(AL43&gt;=55%, 1, 0))</f>
        <v>1</v>
      </c>
      <c r="AS43" s="148">
        <f>IF(OR(CSE4098A_Spring2026_Grade!$I33="W (Withdrawn)", CSE4098A_Spring2026_Grade!$I33="I (Incomplete)"), 0, IF(AM43&gt;=55%, 1, 0))</f>
        <v>0</v>
      </c>
      <c r="AT43" s="115"/>
      <c r="AU43" s="149">
        <f t="shared" si="16"/>
        <v>0</v>
      </c>
      <c r="AV43" s="149">
        <f t="shared" si="17"/>
        <v>0.8</v>
      </c>
      <c r="AW43" s="149">
        <f t="array" ref="AW43">IF($AV$9=0,0,MMULT($AH43:$AM43, AV$3:AV$8)/$AV$9)</f>
        <v>0</v>
      </c>
      <c r="AX43" s="149">
        <f t="array" ref="AX43">IF($AW$9=0,0,MMULT($AH43:$AM43, AW$3:AW$8)/$AW$9)</f>
        <v>0</v>
      </c>
      <c r="AY43" s="149">
        <f t="shared" si="18"/>
        <v>0</v>
      </c>
      <c r="AZ43" s="149">
        <f t="array" ref="AZ43">IF($AY$9=0,0,MMULT($AH43:$AM43, AY$3:AY$8)/$AY$9)</f>
        <v>0</v>
      </c>
      <c r="BA43" s="149">
        <f t="array" ref="BA43">IF($AZ$9=0,0,MMULT($AH43:$AM43, AZ$3:AZ$8)/$AZ$9)</f>
        <v>0</v>
      </c>
      <c r="BB43" s="149">
        <f t="array" ref="BB43">IF($BA$9=0,0,MMULT($AH43:$AM43, BA$3:BA$8)/$BA$9)</f>
        <v>0</v>
      </c>
      <c r="BC43" s="149">
        <f t="array" ref="BC43">IF($BB$9=0,0,MMULT($AH43:$AM43, BB$3:BB$8)/$BB$9)</f>
        <v>1</v>
      </c>
      <c r="BD43" s="149">
        <f t="array" ref="BD43">IF($BC$9=0,0,MMULT($AH43:$AM43, BC$3:BC$8)/$BC$9)</f>
        <v>0.8206666667</v>
      </c>
      <c r="BE43" s="149">
        <f t="shared" si="19"/>
        <v>0.8888888889</v>
      </c>
      <c r="BF43" s="149">
        <f t="shared" si="20"/>
        <v>0.8888888889</v>
      </c>
      <c r="BG43" s="148" t="str">
        <f t="shared" si="21"/>
        <v>#REF!</v>
      </c>
      <c r="BH43" s="148">
        <f>IF(OR(CSE4098A_Spring2026_Grade!$I33="W (Withdrawn)", CSE4098A_Spring2026_Grade!$I33="I (Incomplete)"), 0, IF(AV43&gt;=55%, 1, 0))</f>
        <v>1</v>
      </c>
      <c r="BI43" s="148" t="str">
        <f t="shared" ref="BI43:BN43" si="103">IF(OR(GradeSheet!$M38="W (Withdrawn)", GradeSheet!$M38="I (Incomplete)"), 0, IF(AW43&gt;=55%, 1, 0))</f>
        <v>#REF!</v>
      </c>
      <c r="BJ43" s="148" t="str">
        <f t="shared" si="103"/>
        <v>#REF!</v>
      </c>
      <c r="BK43" s="148" t="str">
        <f t="shared" si="103"/>
        <v>#REF!</v>
      </c>
      <c r="BL43" s="148" t="str">
        <f t="shared" si="103"/>
        <v>#REF!</v>
      </c>
      <c r="BM43" s="148" t="str">
        <f t="shared" si="103"/>
        <v>#REF!</v>
      </c>
      <c r="BN43" s="148" t="str">
        <f t="shared" si="103"/>
        <v>#REF!</v>
      </c>
      <c r="BO43" s="148">
        <f>IF(OR(CSE4098A_Spring2026_Grade!$I33="W (Withdrawn)", CSE4098A_Spring2026_Grade!$I33="I (Incomplete)"), 0, IF(BC43&gt;=55%, 1, 0))</f>
        <v>1</v>
      </c>
      <c r="BP43" s="148">
        <f>IF(OR(CSE4098A_Spring2026_Grade!$I33="W (Withdrawn)", CSE4098A_Spring2026_Grade!$I33="I (Incomplete)"), 0, IF(BD43&gt;=55%, 1, 0))</f>
        <v>1</v>
      </c>
      <c r="BQ43" s="148">
        <f>IF(OR(CSE4098A_Spring2026_Grade!$I33="W (Withdrawn)", CSE4098A_Spring2026_Grade!$I33="I (Incomplete)"), 0, IF(BE43&gt;=55%, 1, 0))</f>
        <v>1</v>
      </c>
      <c r="BR43" s="148">
        <f>IF(OR(CSE4098A_Spring2026_Grade!$I33="W (Withdrawn)", CSE4098A_Spring2026_Grade!$I33="I (Incomplete)"), 0, IF(BF43&gt;=55%, 1, 0))</f>
        <v>1</v>
      </c>
    </row>
    <row r="44">
      <c r="A44" s="136">
        <v>30.0</v>
      </c>
      <c r="B44" s="137">
        <f>CSE4098A_Spring2026_Grade!B34</f>
        <v>231014115</v>
      </c>
      <c r="C44" s="137" t="str">
        <f>CSE4098A_Spring2026_Grade!C34</f>
        <v>Iftiker Jahid Moyshun</v>
      </c>
      <c r="D44" s="138">
        <f>'CO_Report Evaluation'!P32</f>
        <v>12</v>
      </c>
      <c r="E44" s="138">
        <f>'CO_Report Evaluation'!Q32</f>
        <v>2.666666667</v>
      </c>
      <c r="F44" s="138">
        <f>'CO_Report Evaluation'!R32</f>
        <v>2.666666667</v>
      </c>
      <c r="G44" s="139"/>
      <c r="H44" s="139"/>
      <c r="I44" s="140"/>
      <c r="J44" s="138"/>
      <c r="K44" s="141"/>
      <c r="L44" s="141"/>
      <c r="M44" s="141">
        <v>4.0</v>
      </c>
      <c r="N44" s="139"/>
      <c r="O44" s="139"/>
      <c r="P44" s="142"/>
      <c r="Q44" s="143"/>
      <c r="R44" s="143"/>
      <c r="S44" s="143"/>
      <c r="T44" s="141">
        <f>((CSE4098A_Spring2026_Grade!E34)*10)/45</f>
        <v>7.782222222</v>
      </c>
      <c r="U44" s="144"/>
      <c r="V44" s="142"/>
      <c r="W44" s="143"/>
      <c r="X44" s="143"/>
      <c r="Y44" s="143"/>
      <c r="Z44" s="143"/>
      <c r="AA44" s="144"/>
      <c r="AB44" s="145">
        <f t="shared" si="11"/>
        <v>12</v>
      </c>
      <c r="AC44" s="146">
        <f t="shared" ref="AC44:AE44" si="104">SUM(Q44, W44,E44,K44)</f>
        <v>2.666666667</v>
      </c>
      <c r="AD44" s="146">
        <f t="shared" si="104"/>
        <v>2.666666667</v>
      </c>
      <c r="AE44" s="146">
        <f t="shared" si="104"/>
        <v>4</v>
      </c>
      <c r="AF44" s="146">
        <f t="shared" si="13"/>
        <v>7.782222222</v>
      </c>
      <c r="AG44" s="146">
        <f t="shared" si="14"/>
        <v>0</v>
      </c>
      <c r="AH44" s="147">
        <f t="shared" ref="AH44:AM44" si="105">IF(AB44 = 0, 0, AB44/AB$14)</f>
        <v>0.8</v>
      </c>
      <c r="AI44" s="147">
        <f t="shared" si="105"/>
        <v>0.8888888889</v>
      </c>
      <c r="AJ44" s="147">
        <f t="shared" si="105"/>
        <v>0.8888888889</v>
      </c>
      <c r="AK44" s="147">
        <f t="shared" si="105"/>
        <v>0.8</v>
      </c>
      <c r="AL44" s="147">
        <f t="shared" si="105"/>
        <v>0.7782222222</v>
      </c>
      <c r="AM44" s="147">
        <f t="shared" si="105"/>
        <v>0</v>
      </c>
      <c r="AN44" s="148">
        <f>IF(OR(CSE4098A_Spring2026_Grade!$I34="W (Withdrawn)", CSE4098A_Spring2026_Grade!$I34="I (Incomplete)"), 0, IF(AH44&gt;=55%, 1, 0))</f>
        <v>1</v>
      </c>
      <c r="AO44" s="148">
        <f>IF(OR(CSE4098A_Spring2026_Grade!$I34="W (Withdrawn)", CSE4098A_Spring2026_Grade!I34="I (Incomplete)"), 0, IF(AI44&gt;=55%, 1, 0))</f>
        <v>1</v>
      </c>
      <c r="AP44" s="148">
        <f>IF(OR(CSE4098A_Spring2026_Grade!$I34="W (Withdrawn)", CSE4098A_Spring2026_Grade!$I34="I (Incomplete)"), 0, IF(AJ44&gt;=55%, 1, 0))</f>
        <v>1</v>
      </c>
      <c r="AQ44" s="148">
        <f>IF(OR(CSE4098A_Spring2026_Grade!$I34="W (Withdrawn)", CSE4098A_Spring2026_Grade!$I34="I (Incomplete)"), 0, IF(AK44&gt;=55%, 1, 0))</f>
        <v>1</v>
      </c>
      <c r="AR44" s="148">
        <f>IF(OR(CSE4098A_Spring2026_Grade!$I34="W (Withdrawn)", CSE4098A_Spring2026_Grade!$I34="I (Incomplete)"), 0, IF(AL44&gt;=55%, 1, 0))</f>
        <v>1</v>
      </c>
      <c r="AS44" s="148">
        <f>IF(OR(CSE4098A_Spring2026_Grade!$I34="W (Withdrawn)", CSE4098A_Spring2026_Grade!$I34="I (Incomplete)"), 0, IF(AM44&gt;=55%, 1, 0))</f>
        <v>0</v>
      </c>
      <c r="AT44" s="115"/>
      <c r="AU44" s="149">
        <f t="shared" si="16"/>
        <v>0</v>
      </c>
      <c r="AV44" s="149">
        <f t="shared" si="17"/>
        <v>0.8</v>
      </c>
      <c r="AW44" s="149">
        <f t="array" ref="AW44">IF($AV$9=0,0,MMULT($AH44:$AM44, AV$3:AV$8)/$AV$9)</f>
        <v>0</v>
      </c>
      <c r="AX44" s="149">
        <f t="array" ref="AX44">IF($AW$9=0,0,MMULT($AH44:$AM44, AW$3:AW$8)/$AW$9)</f>
        <v>0</v>
      </c>
      <c r="AY44" s="149">
        <f t="shared" si="18"/>
        <v>0</v>
      </c>
      <c r="AZ44" s="149">
        <f t="array" ref="AZ44">IF($AY$9=0,0,MMULT($AH44:$AM44, AY$3:AY$8)/$AY$9)</f>
        <v>0</v>
      </c>
      <c r="BA44" s="149">
        <f t="array" ref="BA44">IF($AZ$9=0,0,MMULT($AH44:$AM44, AZ$3:AZ$8)/$AZ$9)</f>
        <v>0</v>
      </c>
      <c r="BB44" s="149">
        <f t="array" ref="BB44">IF($BA$9=0,0,MMULT($AH44:$AM44, BA$3:BA$8)/$BA$9)</f>
        <v>0</v>
      </c>
      <c r="BC44" s="149">
        <f t="array" ref="BC44">IF($BB$9=0,0,MMULT($AH44:$AM44, BB$3:BB$8)/$BB$9)</f>
        <v>0.8</v>
      </c>
      <c r="BD44" s="149">
        <f t="array" ref="BD44">IF($BC$9=0,0,MMULT($AH44:$AM44, BC$3:BC$8)/$BC$9)</f>
        <v>0.7782222222</v>
      </c>
      <c r="BE44" s="149">
        <f t="shared" si="19"/>
        <v>0.8888888889</v>
      </c>
      <c r="BF44" s="149">
        <f t="shared" si="20"/>
        <v>0.8888888889</v>
      </c>
      <c r="BG44" s="148" t="str">
        <f t="shared" si="21"/>
        <v>#REF!</v>
      </c>
      <c r="BH44" s="148">
        <f>IF(OR(CSE4098A_Spring2026_Grade!$I34="W (Withdrawn)", CSE4098A_Spring2026_Grade!$I34="I (Incomplete)"), 0, IF(AV44&gt;=55%, 1, 0))</f>
        <v>1</v>
      </c>
      <c r="BI44" s="148" t="str">
        <f t="shared" ref="BI44:BN44" si="106">IF(OR(GradeSheet!$M39="W (Withdrawn)", GradeSheet!$M39="I (Incomplete)"), 0, IF(AW44&gt;=55%, 1, 0))</f>
        <v>#REF!</v>
      </c>
      <c r="BJ44" s="148" t="str">
        <f t="shared" si="106"/>
        <v>#REF!</v>
      </c>
      <c r="BK44" s="148" t="str">
        <f t="shared" si="106"/>
        <v>#REF!</v>
      </c>
      <c r="BL44" s="148" t="str">
        <f t="shared" si="106"/>
        <v>#REF!</v>
      </c>
      <c r="BM44" s="148" t="str">
        <f t="shared" si="106"/>
        <v>#REF!</v>
      </c>
      <c r="BN44" s="148" t="str">
        <f t="shared" si="106"/>
        <v>#REF!</v>
      </c>
      <c r="BO44" s="148">
        <f>IF(OR(CSE4098A_Spring2026_Grade!$I34="W (Withdrawn)", CSE4098A_Spring2026_Grade!$I34="I (Incomplete)"), 0, IF(BC44&gt;=55%, 1, 0))</f>
        <v>1</v>
      </c>
      <c r="BP44" s="148">
        <f>IF(OR(CSE4098A_Spring2026_Grade!$I34="W (Withdrawn)", CSE4098A_Spring2026_Grade!$I34="I (Incomplete)"), 0, IF(BD44&gt;=55%, 1, 0))</f>
        <v>1</v>
      </c>
      <c r="BQ44" s="148">
        <f>IF(OR(CSE4098A_Spring2026_Grade!$I34="W (Withdrawn)", CSE4098A_Spring2026_Grade!$I34="I (Incomplete)"), 0, IF(BE44&gt;=55%, 1, 0))</f>
        <v>1</v>
      </c>
      <c r="BR44" s="148">
        <f>IF(OR(CSE4098A_Spring2026_Grade!$I34="W (Withdrawn)", CSE4098A_Spring2026_Grade!$I34="I (Incomplete)"), 0, IF(BF44&gt;=55%, 1, 0))</f>
        <v>1</v>
      </c>
    </row>
    <row r="45">
      <c r="A45" s="136">
        <v>31.0</v>
      </c>
      <c r="B45" s="137">
        <f>CSE4098A_Spring2026_Grade!B35</f>
        <v>231014151</v>
      </c>
      <c r="C45" s="137" t="str">
        <f>CSE4098A_Spring2026_Grade!C35</f>
        <v>Hasan Uddin Chowdhury</v>
      </c>
      <c r="D45" s="138">
        <f>'CO_Report Evaluation'!P33</f>
        <v>12</v>
      </c>
      <c r="E45" s="138">
        <f>'CO_Report Evaluation'!Q33</f>
        <v>2.666666667</v>
      </c>
      <c r="F45" s="138">
        <f>'CO_Report Evaluation'!R33</f>
        <v>2.666666667</v>
      </c>
      <c r="G45" s="139"/>
      <c r="H45" s="139"/>
      <c r="I45" s="140"/>
      <c r="J45" s="138"/>
      <c r="K45" s="141"/>
      <c r="L45" s="141"/>
      <c r="M45" s="141">
        <v>5.0</v>
      </c>
      <c r="N45" s="139"/>
      <c r="O45" s="139"/>
      <c r="P45" s="142"/>
      <c r="Q45" s="143"/>
      <c r="R45" s="143"/>
      <c r="S45" s="143"/>
      <c r="T45" s="141">
        <f>((CSE4098A_Spring2026_Grade!E35)*10)/45</f>
        <v>6.468888889</v>
      </c>
      <c r="U45" s="144"/>
      <c r="V45" s="142"/>
      <c r="W45" s="143"/>
      <c r="X45" s="143"/>
      <c r="Y45" s="143"/>
      <c r="Z45" s="143"/>
      <c r="AA45" s="144"/>
      <c r="AB45" s="145">
        <f t="shared" si="11"/>
        <v>12</v>
      </c>
      <c r="AC45" s="146">
        <f t="shared" ref="AC45:AE45" si="107">SUM(Q45, W45,E45,K45)</f>
        <v>2.666666667</v>
      </c>
      <c r="AD45" s="146">
        <f t="shared" si="107"/>
        <v>2.666666667</v>
      </c>
      <c r="AE45" s="146">
        <f t="shared" si="107"/>
        <v>5</v>
      </c>
      <c r="AF45" s="146">
        <f t="shared" si="13"/>
        <v>6.468888889</v>
      </c>
      <c r="AG45" s="146">
        <f t="shared" si="14"/>
        <v>0</v>
      </c>
      <c r="AH45" s="147">
        <f t="shared" ref="AH45:AM45" si="108">IF(AB45 = 0, 0, AB45/AB$14)</f>
        <v>0.8</v>
      </c>
      <c r="AI45" s="147">
        <f t="shared" si="108"/>
        <v>0.8888888889</v>
      </c>
      <c r="AJ45" s="147">
        <f t="shared" si="108"/>
        <v>0.8888888889</v>
      </c>
      <c r="AK45" s="147">
        <f t="shared" si="108"/>
        <v>1</v>
      </c>
      <c r="AL45" s="147">
        <f t="shared" si="108"/>
        <v>0.6468888889</v>
      </c>
      <c r="AM45" s="147">
        <f t="shared" si="108"/>
        <v>0</v>
      </c>
      <c r="AN45" s="148">
        <f>IF(OR(CSE4098A_Spring2026_Grade!$I35="W (Withdrawn)", CSE4098A_Spring2026_Grade!$I35="I (Incomplete)"), 0, IF(AH45&gt;=55%, 1, 0))</f>
        <v>1</v>
      </c>
      <c r="AO45" s="148">
        <f>IF(OR(CSE4098A_Spring2026_Grade!$I35="W (Withdrawn)", CSE4098A_Spring2026_Grade!I35="I (Incomplete)"), 0, IF(AI45&gt;=55%, 1, 0))</f>
        <v>1</v>
      </c>
      <c r="AP45" s="148">
        <f>IF(OR(CSE4098A_Spring2026_Grade!$I35="W (Withdrawn)", CSE4098A_Spring2026_Grade!$I35="I (Incomplete)"), 0, IF(AJ45&gt;=55%, 1, 0))</f>
        <v>1</v>
      </c>
      <c r="AQ45" s="148">
        <f>IF(OR(CSE4098A_Spring2026_Grade!$I35="W (Withdrawn)", CSE4098A_Spring2026_Grade!$I35="I (Incomplete)"), 0, IF(AK45&gt;=55%, 1, 0))</f>
        <v>1</v>
      </c>
      <c r="AR45" s="148">
        <f>IF(OR(CSE4098A_Spring2026_Grade!$I35="W (Withdrawn)", CSE4098A_Spring2026_Grade!$I35="I (Incomplete)"), 0, IF(AL45&gt;=55%, 1, 0))</f>
        <v>1</v>
      </c>
      <c r="AS45" s="148">
        <f>IF(OR(CSE4098A_Spring2026_Grade!$I35="W (Withdrawn)", CSE4098A_Spring2026_Grade!$I35="I (Incomplete)"), 0, IF(AM45&gt;=55%, 1, 0))</f>
        <v>0</v>
      </c>
      <c r="AT45" s="115"/>
      <c r="AU45" s="149">
        <f t="shared" si="16"/>
        <v>0</v>
      </c>
      <c r="AV45" s="149">
        <f t="shared" si="17"/>
        <v>0.8</v>
      </c>
      <c r="AW45" s="149">
        <f t="array" ref="AW45">IF($AV$9=0,0,MMULT($AH45:$AM45, AV$3:AV$8)/$AV$9)</f>
        <v>0</v>
      </c>
      <c r="AX45" s="149">
        <f t="array" ref="AX45">IF($AW$9=0,0,MMULT($AH45:$AM45, AW$3:AW$8)/$AW$9)</f>
        <v>0</v>
      </c>
      <c r="AY45" s="149">
        <f t="shared" si="18"/>
        <v>0</v>
      </c>
      <c r="AZ45" s="149">
        <f t="array" ref="AZ45">IF($AY$9=0,0,MMULT($AH45:$AM45, AY$3:AY$8)/$AY$9)</f>
        <v>0</v>
      </c>
      <c r="BA45" s="149">
        <f t="array" ref="BA45">IF($AZ$9=0,0,MMULT($AH45:$AM45, AZ$3:AZ$8)/$AZ$9)</f>
        <v>0</v>
      </c>
      <c r="BB45" s="149">
        <f t="array" ref="BB45">IF($BA$9=0,0,MMULT($AH45:$AM45, BA$3:BA$8)/$BA$9)</f>
        <v>0</v>
      </c>
      <c r="BC45" s="149">
        <f t="array" ref="BC45">IF($BB$9=0,0,MMULT($AH45:$AM45, BB$3:BB$8)/$BB$9)</f>
        <v>1</v>
      </c>
      <c r="BD45" s="149">
        <f t="array" ref="BD45">IF($BC$9=0,0,MMULT($AH45:$AM45, BC$3:BC$8)/$BC$9)</f>
        <v>0.6468888889</v>
      </c>
      <c r="BE45" s="149">
        <f t="shared" si="19"/>
        <v>0.8888888889</v>
      </c>
      <c r="BF45" s="149">
        <f t="shared" si="20"/>
        <v>0.8888888889</v>
      </c>
      <c r="BG45" s="148" t="str">
        <f t="shared" si="21"/>
        <v>#REF!</v>
      </c>
      <c r="BH45" s="148">
        <f>IF(OR(CSE4098A_Spring2026_Grade!$I35="W (Withdrawn)", CSE4098A_Spring2026_Grade!$I35="I (Incomplete)"), 0, IF(AV45&gt;=55%, 1, 0))</f>
        <v>1</v>
      </c>
      <c r="BI45" s="148" t="str">
        <f t="shared" ref="BI45:BN45" si="109">IF(OR(GradeSheet!$M40="W (Withdrawn)", GradeSheet!$M40="I (Incomplete)"), 0, IF(AW45&gt;=55%, 1, 0))</f>
        <v>#REF!</v>
      </c>
      <c r="BJ45" s="148" t="str">
        <f t="shared" si="109"/>
        <v>#REF!</v>
      </c>
      <c r="BK45" s="148" t="str">
        <f t="shared" si="109"/>
        <v>#REF!</v>
      </c>
      <c r="BL45" s="148" t="str">
        <f t="shared" si="109"/>
        <v>#REF!</v>
      </c>
      <c r="BM45" s="148" t="str">
        <f t="shared" si="109"/>
        <v>#REF!</v>
      </c>
      <c r="BN45" s="148" t="str">
        <f t="shared" si="109"/>
        <v>#REF!</v>
      </c>
      <c r="BO45" s="148">
        <f>IF(OR(CSE4098A_Spring2026_Grade!$I35="W (Withdrawn)", CSE4098A_Spring2026_Grade!$I35="I (Incomplete)"), 0, IF(BC45&gt;=55%, 1, 0))</f>
        <v>1</v>
      </c>
      <c r="BP45" s="148">
        <f>IF(OR(CSE4098A_Spring2026_Grade!$I35="W (Withdrawn)", CSE4098A_Spring2026_Grade!$I35="I (Incomplete)"), 0, IF(BD45&gt;=55%, 1, 0))</f>
        <v>1</v>
      </c>
      <c r="BQ45" s="148">
        <f>IF(OR(CSE4098A_Spring2026_Grade!$I35="W (Withdrawn)", CSE4098A_Spring2026_Grade!$I35="I (Incomplete)"), 0, IF(BE45&gt;=55%, 1, 0))</f>
        <v>1</v>
      </c>
      <c r="BR45" s="148">
        <f>IF(OR(CSE4098A_Spring2026_Grade!$I35="W (Withdrawn)", CSE4098A_Spring2026_Grade!$I35="I (Incomplete)"), 0, IF(BF45&gt;=55%, 1, 0))</f>
        <v>1</v>
      </c>
    </row>
    <row r="46">
      <c r="A46" s="136">
        <v>32.0</v>
      </c>
      <c r="B46" s="137">
        <f>CSE4098A_Spring2026_Grade!B36</f>
        <v>231014003</v>
      </c>
      <c r="C46" s="137" t="str">
        <f>CSE4098A_Spring2026_Grade!C36</f>
        <v>Md. Arfan Alam</v>
      </c>
      <c r="D46" s="138">
        <f>'CO_Report Evaluation'!P34</f>
        <v>12</v>
      </c>
      <c r="E46" s="138">
        <f>'CO_Report Evaluation'!Q34</f>
        <v>2.666666667</v>
      </c>
      <c r="F46" s="138">
        <f>'CO_Report Evaluation'!R34</f>
        <v>2.666666667</v>
      </c>
      <c r="G46" s="139"/>
      <c r="H46" s="139"/>
      <c r="I46" s="140"/>
      <c r="J46" s="138"/>
      <c r="K46" s="141"/>
      <c r="L46" s="141"/>
      <c r="M46" s="141">
        <v>4.0</v>
      </c>
      <c r="N46" s="139"/>
      <c r="O46" s="139"/>
      <c r="P46" s="142"/>
      <c r="Q46" s="143"/>
      <c r="R46" s="143"/>
      <c r="S46" s="143"/>
      <c r="T46" s="141">
        <f>((CSE4098A_Spring2026_Grade!E36)*10)/45</f>
        <v>8.186666667</v>
      </c>
      <c r="U46" s="144"/>
      <c r="V46" s="142"/>
      <c r="W46" s="143"/>
      <c r="X46" s="143"/>
      <c r="Y46" s="143"/>
      <c r="Z46" s="143"/>
      <c r="AA46" s="144"/>
      <c r="AB46" s="145">
        <f t="shared" si="11"/>
        <v>12</v>
      </c>
      <c r="AC46" s="146">
        <f t="shared" ref="AC46:AE46" si="110">SUM(Q46, W46,E46,K46)</f>
        <v>2.666666667</v>
      </c>
      <c r="AD46" s="146">
        <f t="shared" si="110"/>
        <v>2.666666667</v>
      </c>
      <c r="AE46" s="146">
        <f t="shared" si="110"/>
        <v>4</v>
      </c>
      <c r="AF46" s="146">
        <f t="shared" si="13"/>
        <v>8.186666667</v>
      </c>
      <c r="AG46" s="146">
        <f t="shared" si="14"/>
        <v>0</v>
      </c>
      <c r="AH46" s="147">
        <f t="shared" ref="AH46:AM46" si="111">IF(AB46 = 0, 0, AB46/AB$14)</f>
        <v>0.8</v>
      </c>
      <c r="AI46" s="147">
        <f t="shared" si="111"/>
        <v>0.8888888889</v>
      </c>
      <c r="AJ46" s="147">
        <f t="shared" si="111"/>
        <v>0.8888888889</v>
      </c>
      <c r="AK46" s="147">
        <f t="shared" si="111"/>
        <v>0.8</v>
      </c>
      <c r="AL46" s="147">
        <f t="shared" si="111"/>
        <v>0.8186666667</v>
      </c>
      <c r="AM46" s="147">
        <f t="shared" si="111"/>
        <v>0</v>
      </c>
      <c r="AN46" s="148">
        <f>IF(OR(CSE4098A_Spring2026_Grade!$I36="W (Withdrawn)", CSE4098A_Spring2026_Grade!$I36="I (Incomplete)"), 0, IF(AH46&gt;=55%, 1, 0))</f>
        <v>1</v>
      </c>
      <c r="AO46" s="148">
        <f>IF(OR(CSE4098A_Spring2026_Grade!$I36="W (Withdrawn)", CSE4098A_Spring2026_Grade!I36="I (Incomplete)"), 0, IF(AI46&gt;=55%, 1, 0))</f>
        <v>1</v>
      </c>
      <c r="AP46" s="148">
        <f>IF(OR(CSE4098A_Spring2026_Grade!$I36="W (Withdrawn)", CSE4098A_Spring2026_Grade!$I36="I (Incomplete)"), 0, IF(AJ46&gt;=55%, 1, 0))</f>
        <v>1</v>
      </c>
      <c r="AQ46" s="148">
        <f>IF(OR(CSE4098A_Spring2026_Grade!$I36="W (Withdrawn)", CSE4098A_Spring2026_Grade!$I36="I (Incomplete)"), 0, IF(AK46&gt;=55%, 1, 0))</f>
        <v>1</v>
      </c>
      <c r="AR46" s="148">
        <f>IF(OR(CSE4098A_Spring2026_Grade!$I36="W (Withdrawn)", CSE4098A_Spring2026_Grade!$I36="I (Incomplete)"), 0, IF(AL46&gt;=55%, 1, 0))</f>
        <v>1</v>
      </c>
      <c r="AS46" s="148">
        <f>IF(OR(CSE4098A_Spring2026_Grade!$I36="W (Withdrawn)", CSE4098A_Spring2026_Grade!$I36="I (Incomplete)"), 0, IF(AM46&gt;=55%, 1, 0))</f>
        <v>0</v>
      </c>
      <c r="AT46" s="115"/>
      <c r="AU46" s="149">
        <f t="shared" si="16"/>
        <v>0</v>
      </c>
      <c r="AV46" s="149">
        <f t="shared" si="17"/>
        <v>0.8</v>
      </c>
      <c r="AW46" s="149">
        <f t="array" ref="AW46">IF($AV$9=0,0,MMULT($AH46:$AM46, AV$3:AV$8)/$AV$9)</f>
        <v>0</v>
      </c>
      <c r="AX46" s="149">
        <f t="array" ref="AX46">IF($AW$9=0,0,MMULT($AH46:$AM46, AW$3:AW$8)/$AW$9)</f>
        <v>0</v>
      </c>
      <c r="AY46" s="149">
        <f t="shared" si="18"/>
        <v>0</v>
      </c>
      <c r="AZ46" s="149">
        <f t="array" ref="AZ46">IF($AY$9=0,0,MMULT($AH46:$AM46, AY$3:AY$8)/$AY$9)</f>
        <v>0</v>
      </c>
      <c r="BA46" s="149">
        <f t="array" ref="BA46">IF($AZ$9=0,0,MMULT($AH46:$AM46, AZ$3:AZ$8)/$AZ$9)</f>
        <v>0</v>
      </c>
      <c r="BB46" s="149">
        <f t="array" ref="BB46">IF($BA$9=0,0,MMULT($AH46:$AM46, BA$3:BA$8)/$BA$9)</f>
        <v>0</v>
      </c>
      <c r="BC46" s="149">
        <f t="array" ref="BC46">IF($BB$9=0,0,MMULT($AH46:$AM46, BB$3:BB$8)/$BB$9)</f>
        <v>0.8</v>
      </c>
      <c r="BD46" s="149">
        <f t="array" ref="BD46">IF($BC$9=0,0,MMULT($AH46:$AM46, BC$3:BC$8)/$BC$9)</f>
        <v>0.8186666667</v>
      </c>
      <c r="BE46" s="149">
        <f t="shared" si="19"/>
        <v>0.8888888889</v>
      </c>
      <c r="BF46" s="149">
        <f t="shared" si="20"/>
        <v>0.8888888889</v>
      </c>
      <c r="BG46" s="148" t="str">
        <f t="shared" si="21"/>
        <v>#REF!</v>
      </c>
      <c r="BH46" s="148">
        <f>IF(OR(CSE4098A_Spring2026_Grade!$I36="W (Withdrawn)", CSE4098A_Spring2026_Grade!$I36="I (Incomplete)"), 0, IF(AV46&gt;=55%, 1, 0))</f>
        <v>1</v>
      </c>
      <c r="BI46" s="148" t="str">
        <f t="shared" ref="BI46:BN46" si="112">IF(OR(GradeSheet!$M41="W (Withdrawn)", GradeSheet!$M41="I (Incomplete)"), 0, IF(AW46&gt;=55%, 1, 0))</f>
        <v>#REF!</v>
      </c>
      <c r="BJ46" s="148" t="str">
        <f t="shared" si="112"/>
        <v>#REF!</v>
      </c>
      <c r="BK46" s="148" t="str">
        <f t="shared" si="112"/>
        <v>#REF!</v>
      </c>
      <c r="BL46" s="148" t="str">
        <f t="shared" si="112"/>
        <v>#REF!</v>
      </c>
      <c r="BM46" s="148" t="str">
        <f t="shared" si="112"/>
        <v>#REF!</v>
      </c>
      <c r="BN46" s="148" t="str">
        <f t="shared" si="112"/>
        <v>#REF!</v>
      </c>
      <c r="BO46" s="148">
        <f>IF(OR(CSE4098A_Spring2026_Grade!$I36="W (Withdrawn)", CSE4098A_Spring2026_Grade!$I36="I (Incomplete)"), 0, IF(BC46&gt;=55%, 1, 0))</f>
        <v>1</v>
      </c>
      <c r="BP46" s="148">
        <f>IF(OR(CSE4098A_Spring2026_Grade!$I36="W (Withdrawn)", CSE4098A_Spring2026_Grade!$I36="I (Incomplete)"), 0, IF(BD46&gt;=55%, 1, 0))</f>
        <v>1</v>
      </c>
      <c r="BQ46" s="148">
        <f>IF(OR(CSE4098A_Spring2026_Grade!$I36="W (Withdrawn)", CSE4098A_Spring2026_Grade!$I36="I (Incomplete)"), 0, IF(BE46&gt;=55%, 1, 0))</f>
        <v>1</v>
      </c>
      <c r="BR46" s="148">
        <f>IF(OR(CSE4098A_Spring2026_Grade!$I36="W (Withdrawn)", CSE4098A_Spring2026_Grade!$I36="I (Incomplete)"), 0, IF(BF46&gt;=55%, 1, 0))</f>
        <v>1</v>
      </c>
    </row>
    <row r="47">
      <c r="A47" s="136">
        <v>33.0</v>
      </c>
      <c r="B47" s="137">
        <f>CSE4098A_Spring2026_Grade!B37</f>
        <v>231014147</v>
      </c>
      <c r="C47" s="137" t="str">
        <f>CSE4098A_Spring2026_Grade!C37</f>
        <v>Asif Ahmed</v>
      </c>
      <c r="D47" s="138">
        <f>'CO_Report Evaluation'!P35</f>
        <v>12</v>
      </c>
      <c r="E47" s="138">
        <f>'CO_Report Evaluation'!Q35</f>
        <v>2.666666667</v>
      </c>
      <c r="F47" s="138">
        <f>'CO_Report Evaluation'!R35</f>
        <v>2.666666667</v>
      </c>
      <c r="G47" s="139"/>
      <c r="H47" s="139"/>
      <c r="I47" s="140"/>
      <c r="J47" s="138"/>
      <c r="K47" s="141"/>
      <c r="L47" s="141"/>
      <c r="M47" s="141">
        <v>4.0</v>
      </c>
      <c r="N47" s="139"/>
      <c r="O47" s="139"/>
      <c r="P47" s="142"/>
      <c r="Q47" s="143"/>
      <c r="R47" s="143"/>
      <c r="S47" s="143"/>
      <c r="T47" s="141">
        <f>((CSE4098A_Spring2026_Grade!E37)*10)/45</f>
        <v>7.28</v>
      </c>
      <c r="U47" s="144"/>
      <c r="V47" s="142"/>
      <c r="W47" s="143"/>
      <c r="X47" s="143"/>
      <c r="Y47" s="143"/>
      <c r="Z47" s="143"/>
      <c r="AA47" s="144"/>
      <c r="AB47" s="145">
        <f t="shared" si="11"/>
        <v>12</v>
      </c>
      <c r="AC47" s="146">
        <f t="shared" ref="AC47:AE47" si="113">SUM(Q47, W47,E47,K47)</f>
        <v>2.666666667</v>
      </c>
      <c r="AD47" s="146">
        <f t="shared" si="113"/>
        <v>2.666666667</v>
      </c>
      <c r="AE47" s="146">
        <f t="shared" si="113"/>
        <v>4</v>
      </c>
      <c r="AF47" s="146">
        <f t="shared" si="13"/>
        <v>7.28</v>
      </c>
      <c r="AG47" s="146">
        <f t="shared" si="14"/>
        <v>0</v>
      </c>
      <c r="AH47" s="147">
        <f t="shared" ref="AH47:AM47" si="114">IF(AB47 = 0, 0, AB47/AB$14)</f>
        <v>0.8</v>
      </c>
      <c r="AI47" s="147">
        <f t="shared" si="114"/>
        <v>0.8888888889</v>
      </c>
      <c r="AJ47" s="147">
        <f t="shared" si="114"/>
        <v>0.8888888889</v>
      </c>
      <c r="AK47" s="147">
        <f t="shared" si="114"/>
        <v>0.8</v>
      </c>
      <c r="AL47" s="147">
        <f t="shared" si="114"/>
        <v>0.728</v>
      </c>
      <c r="AM47" s="147">
        <f t="shared" si="114"/>
        <v>0</v>
      </c>
      <c r="AN47" s="148">
        <f>IF(OR(CSE4098A_Spring2026_Grade!$I37="W (Withdrawn)", CSE4098A_Spring2026_Grade!$I37="I (Incomplete)"), 0, IF(AH47&gt;=55%, 1, 0))</f>
        <v>1</v>
      </c>
      <c r="AO47" s="148">
        <f>IF(OR(CSE4098A_Spring2026_Grade!$I37="W (Withdrawn)", CSE4098A_Spring2026_Grade!I37="I (Incomplete)"), 0, IF(AI47&gt;=55%, 1, 0))</f>
        <v>1</v>
      </c>
      <c r="AP47" s="148">
        <f>IF(OR(CSE4098A_Spring2026_Grade!$I37="W (Withdrawn)", CSE4098A_Spring2026_Grade!$I37="I (Incomplete)"), 0, IF(AJ47&gt;=55%, 1, 0))</f>
        <v>1</v>
      </c>
      <c r="AQ47" s="148">
        <f>IF(OR(CSE4098A_Spring2026_Grade!$I37="W (Withdrawn)", CSE4098A_Spring2026_Grade!$I37="I (Incomplete)"), 0, IF(AK47&gt;=55%, 1, 0))</f>
        <v>1</v>
      </c>
      <c r="AR47" s="148">
        <f>IF(OR(CSE4098A_Spring2026_Grade!$I37="W (Withdrawn)", CSE4098A_Spring2026_Grade!$I37="I (Incomplete)"), 0, IF(AL47&gt;=55%, 1, 0))</f>
        <v>1</v>
      </c>
      <c r="AS47" s="148">
        <f>IF(OR(CSE4098A_Spring2026_Grade!$I37="W (Withdrawn)", CSE4098A_Spring2026_Grade!$I37="I (Incomplete)"), 0, IF(AM47&gt;=55%, 1, 0))</f>
        <v>0</v>
      </c>
      <c r="AT47" s="115"/>
      <c r="AU47" s="149">
        <f t="shared" si="16"/>
        <v>0</v>
      </c>
      <c r="AV47" s="149">
        <f t="shared" si="17"/>
        <v>0.8</v>
      </c>
      <c r="AW47" s="149">
        <f t="array" ref="AW47">IF($AV$9=0,0,MMULT($AH47:$AM47, AV$3:AV$8)/$AV$9)</f>
        <v>0</v>
      </c>
      <c r="AX47" s="149">
        <f t="array" ref="AX47">IF($AW$9=0,0,MMULT($AH47:$AM47, AW$3:AW$8)/$AW$9)</f>
        <v>0</v>
      </c>
      <c r="AY47" s="149">
        <f t="shared" si="18"/>
        <v>0</v>
      </c>
      <c r="AZ47" s="149">
        <f t="array" ref="AZ47">IF($AY$9=0,0,MMULT($AH47:$AM47, AY$3:AY$8)/$AY$9)</f>
        <v>0</v>
      </c>
      <c r="BA47" s="149">
        <f t="array" ref="BA47">IF($AZ$9=0,0,MMULT($AH47:$AM47, AZ$3:AZ$8)/$AZ$9)</f>
        <v>0</v>
      </c>
      <c r="BB47" s="149">
        <f t="array" ref="BB47">IF($BA$9=0,0,MMULT($AH47:$AM47, BA$3:BA$8)/$BA$9)</f>
        <v>0</v>
      </c>
      <c r="BC47" s="149">
        <f t="array" ref="BC47">IF($BB$9=0,0,MMULT($AH47:$AM47, BB$3:BB$8)/$BB$9)</f>
        <v>0.8</v>
      </c>
      <c r="BD47" s="149">
        <f t="array" ref="BD47">IF($BC$9=0,0,MMULT($AH47:$AM47, BC$3:BC$8)/$BC$9)</f>
        <v>0.728</v>
      </c>
      <c r="BE47" s="149">
        <f t="shared" si="19"/>
        <v>0.8888888889</v>
      </c>
      <c r="BF47" s="149">
        <f t="shared" si="20"/>
        <v>0.8888888889</v>
      </c>
      <c r="BG47" s="148" t="str">
        <f t="shared" si="21"/>
        <v>#REF!</v>
      </c>
      <c r="BH47" s="148">
        <f>IF(OR(CSE4098A_Spring2026_Grade!$I37="W (Withdrawn)", CSE4098A_Spring2026_Grade!$I37="I (Incomplete)"), 0, IF(AV47&gt;=55%, 1, 0))</f>
        <v>1</v>
      </c>
      <c r="BI47" s="148" t="str">
        <f t="shared" ref="BI47:BN47" si="115">IF(OR(GradeSheet!$M42="W (Withdrawn)", GradeSheet!$M42="I (Incomplete)"), 0, IF(AW47&gt;=55%, 1, 0))</f>
        <v>#REF!</v>
      </c>
      <c r="BJ47" s="148" t="str">
        <f t="shared" si="115"/>
        <v>#REF!</v>
      </c>
      <c r="BK47" s="148" t="str">
        <f t="shared" si="115"/>
        <v>#REF!</v>
      </c>
      <c r="BL47" s="148" t="str">
        <f t="shared" si="115"/>
        <v>#REF!</v>
      </c>
      <c r="BM47" s="148" t="str">
        <f t="shared" si="115"/>
        <v>#REF!</v>
      </c>
      <c r="BN47" s="148" t="str">
        <f t="shared" si="115"/>
        <v>#REF!</v>
      </c>
      <c r="BO47" s="148">
        <f>IF(OR(CSE4098A_Spring2026_Grade!$I37="W (Withdrawn)", CSE4098A_Spring2026_Grade!$I37="I (Incomplete)"), 0, IF(BC47&gt;=55%, 1, 0))</f>
        <v>1</v>
      </c>
      <c r="BP47" s="148">
        <f>IF(OR(CSE4098A_Spring2026_Grade!$I37="W (Withdrawn)", CSE4098A_Spring2026_Grade!$I37="I (Incomplete)"), 0, IF(BD47&gt;=55%, 1, 0))</f>
        <v>1</v>
      </c>
      <c r="BQ47" s="148">
        <f>IF(OR(CSE4098A_Spring2026_Grade!$I37="W (Withdrawn)", CSE4098A_Spring2026_Grade!$I37="I (Incomplete)"), 0, IF(BE47&gt;=55%, 1, 0))</f>
        <v>1</v>
      </c>
      <c r="BR47" s="148">
        <f>IF(OR(CSE4098A_Spring2026_Grade!$I37="W (Withdrawn)", CSE4098A_Spring2026_Grade!$I37="I (Incomplete)"), 0, IF(BF47&gt;=55%, 1, 0))</f>
        <v>1</v>
      </c>
    </row>
    <row r="48">
      <c r="A48" s="136">
        <v>34.0</v>
      </c>
      <c r="B48" s="137">
        <f>CSE4098A_Spring2026_Grade!B38</f>
        <v>213014010</v>
      </c>
      <c r="C48" s="137" t="str">
        <f>CSE4098A_Spring2026_Grade!C38</f>
        <v>Mozahedur Nur Nishanul Niloy</v>
      </c>
      <c r="D48" s="138">
        <f>'CO_Report Evaluation'!P36</f>
        <v>9</v>
      </c>
      <c r="E48" s="138">
        <f>'CO_Report Evaluation'!Q36</f>
        <v>1.666666667</v>
      </c>
      <c r="F48" s="138">
        <f>'CO_Report Evaluation'!R36</f>
        <v>1.666666667</v>
      </c>
      <c r="G48" s="139"/>
      <c r="H48" s="139"/>
      <c r="I48" s="140"/>
      <c r="J48" s="138"/>
      <c r="K48" s="141"/>
      <c r="L48" s="141"/>
      <c r="M48" s="141">
        <v>4.0</v>
      </c>
      <c r="N48" s="139"/>
      <c r="O48" s="139"/>
      <c r="P48" s="142"/>
      <c r="Q48" s="143"/>
      <c r="R48" s="143"/>
      <c r="S48" s="143"/>
      <c r="T48" s="141">
        <f>((CSE4098A_Spring2026_Grade!E38)*10)/45</f>
        <v>6.173333333</v>
      </c>
      <c r="U48" s="144"/>
      <c r="V48" s="142"/>
      <c r="W48" s="143"/>
      <c r="X48" s="143"/>
      <c r="Y48" s="143"/>
      <c r="Z48" s="143"/>
      <c r="AA48" s="144"/>
      <c r="AB48" s="145">
        <f t="shared" si="11"/>
        <v>9</v>
      </c>
      <c r="AC48" s="146">
        <f t="shared" ref="AC48:AE48" si="116">SUM(Q48, W48,E48,K48)</f>
        <v>1.666666667</v>
      </c>
      <c r="AD48" s="146">
        <f t="shared" si="116"/>
        <v>1.666666667</v>
      </c>
      <c r="AE48" s="146">
        <f t="shared" si="116"/>
        <v>4</v>
      </c>
      <c r="AF48" s="146">
        <f t="shared" si="13"/>
        <v>6.173333333</v>
      </c>
      <c r="AG48" s="146">
        <f t="shared" si="14"/>
        <v>0</v>
      </c>
      <c r="AH48" s="147">
        <f t="shared" ref="AH48:AM48" si="117">IF(AB48 = 0, 0, AB48/AB$14)</f>
        <v>0.6</v>
      </c>
      <c r="AI48" s="147">
        <f t="shared" si="117"/>
        <v>0.5555555556</v>
      </c>
      <c r="AJ48" s="147">
        <f t="shared" si="117"/>
        <v>0.5555555556</v>
      </c>
      <c r="AK48" s="147">
        <f t="shared" si="117"/>
        <v>0.8</v>
      </c>
      <c r="AL48" s="147">
        <f t="shared" si="117"/>
        <v>0.6173333333</v>
      </c>
      <c r="AM48" s="147">
        <f t="shared" si="117"/>
        <v>0</v>
      </c>
      <c r="AN48" s="148">
        <f>IF(OR(CSE4098A_Spring2026_Grade!$I38="W (Withdrawn)", CSE4098A_Spring2026_Grade!$I38="I (Incomplete)"), 0, IF(AH48&gt;=55%, 1, 0))</f>
        <v>1</v>
      </c>
      <c r="AO48" s="148">
        <f>IF(OR(CSE4098A_Spring2026_Grade!$I38="W (Withdrawn)", CSE4098A_Spring2026_Grade!I38="I (Incomplete)"), 0, IF(AI48&gt;=55%, 1, 0))</f>
        <v>1</v>
      </c>
      <c r="AP48" s="148">
        <f>IF(OR(CSE4098A_Spring2026_Grade!$I38="W (Withdrawn)", CSE4098A_Spring2026_Grade!$I38="I (Incomplete)"), 0, IF(AJ48&gt;=55%, 1, 0))</f>
        <v>1</v>
      </c>
      <c r="AQ48" s="148">
        <f>IF(OR(CSE4098A_Spring2026_Grade!$I38="W (Withdrawn)", CSE4098A_Spring2026_Grade!$I38="I (Incomplete)"), 0, IF(AK48&gt;=55%, 1, 0))</f>
        <v>1</v>
      </c>
      <c r="AR48" s="148">
        <f>IF(OR(CSE4098A_Spring2026_Grade!$I38="W (Withdrawn)", CSE4098A_Spring2026_Grade!$I38="I (Incomplete)"), 0, IF(AL48&gt;=55%, 1, 0))</f>
        <v>1</v>
      </c>
      <c r="AS48" s="148">
        <f>IF(OR(CSE4098A_Spring2026_Grade!$I38="W (Withdrawn)", CSE4098A_Spring2026_Grade!$I38="I (Incomplete)"), 0, IF(AM48&gt;=55%, 1, 0))</f>
        <v>0</v>
      </c>
      <c r="AT48" s="115"/>
      <c r="AU48" s="149">
        <f t="shared" si="16"/>
        <v>0</v>
      </c>
      <c r="AV48" s="149">
        <f t="shared" si="17"/>
        <v>0.6</v>
      </c>
      <c r="AW48" s="149">
        <f t="array" ref="AW48">IF($AV$9=0,0,MMULT($AH48:$AM48, AV$3:AV$8)/$AV$9)</f>
        <v>0</v>
      </c>
      <c r="AX48" s="149">
        <f t="array" ref="AX48">IF($AW$9=0,0,MMULT($AH48:$AM48, AW$3:AW$8)/$AW$9)</f>
        <v>0</v>
      </c>
      <c r="AY48" s="149">
        <f t="shared" si="18"/>
        <v>0</v>
      </c>
      <c r="AZ48" s="149">
        <f t="array" ref="AZ48">IF($AY$9=0,0,MMULT($AH48:$AM48, AY$3:AY$8)/$AY$9)</f>
        <v>0</v>
      </c>
      <c r="BA48" s="149">
        <f t="array" ref="BA48">IF($AZ$9=0,0,MMULT($AH48:$AM48, AZ$3:AZ$8)/$AZ$9)</f>
        <v>0</v>
      </c>
      <c r="BB48" s="149">
        <f t="array" ref="BB48">IF($BA$9=0,0,MMULT($AH48:$AM48, BA$3:BA$8)/$BA$9)</f>
        <v>0</v>
      </c>
      <c r="BC48" s="149">
        <f t="array" ref="BC48">IF($BB$9=0,0,MMULT($AH48:$AM48, BB$3:BB$8)/$BB$9)</f>
        <v>0.8</v>
      </c>
      <c r="BD48" s="149">
        <f t="array" ref="BD48">IF($BC$9=0,0,MMULT($AH48:$AM48, BC$3:BC$8)/$BC$9)</f>
        <v>0.6173333333</v>
      </c>
      <c r="BE48" s="149">
        <f t="shared" si="19"/>
        <v>0.5555555556</v>
      </c>
      <c r="BF48" s="149">
        <f t="shared" si="20"/>
        <v>0.5555555556</v>
      </c>
      <c r="BG48" s="148" t="str">
        <f t="shared" si="21"/>
        <v>#REF!</v>
      </c>
      <c r="BH48" s="148">
        <f>IF(OR(CSE4098A_Spring2026_Grade!$I38="W (Withdrawn)", CSE4098A_Spring2026_Grade!$I38="I (Incomplete)"), 0, IF(AV48&gt;=55%, 1, 0))</f>
        <v>1</v>
      </c>
      <c r="BI48" s="148" t="str">
        <f t="shared" ref="BI48:BN48" si="118">IF(OR(GradeSheet!$M43="W (Withdrawn)", GradeSheet!$M43="I (Incomplete)"), 0, IF(AW48&gt;=55%, 1, 0))</f>
        <v>#REF!</v>
      </c>
      <c r="BJ48" s="148" t="str">
        <f t="shared" si="118"/>
        <v>#REF!</v>
      </c>
      <c r="BK48" s="148" t="str">
        <f t="shared" si="118"/>
        <v>#REF!</v>
      </c>
      <c r="BL48" s="148" t="str">
        <f t="shared" si="118"/>
        <v>#REF!</v>
      </c>
      <c r="BM48" s="148" t="str">
        <f t="shared" si="118"/>
        <v>#REF!</v>
      </c>
      <c r="BN48" s="148" t="str">
        <f t="shared" si="118"/>
        <v>#REF!</v>
      </c>
      <c r="BO48" s="148">
        <f>IF(OR(CSE4098A_Spring2026_Grade!$I38="W (Withdrawn)", CSE4098A_Spring2026_Grade!$I38="I (Incomplete)"), 0, IF(BC48&gt;=55%, 1, 0))</f>
        <v>1</v>
      </c>
      <c r="BP48" s="148">
        <f>IF(OR(CSE4098A_Spring2026_Grade!$I38="W (Withdrawn)", CSE4098A_Spring2026_Grade!$I38="I (Incomplete)"), 0, IF(BD48&gt;=55%, 1, 0))</f>
        <v>1</v>
      </c>
      <c r="BQ48" s="148">
        <f>IF(OR(CSE4098A_Spring2026_Grade!$I38="W (Withdrawn)", CSE4098A_Spring2026_Grade!$I38="I (Incomplete)"), 0, IF(BE48&gt;=55%, 1, 0))</f>
        <v>1</v>
      </c>
      <c r="BR48" s="148">
        <f>IF(OR(CSE4098A_Spring2026_Grade!$I38="W (Withdrawn)", CSE4098A_Spring2026_Grade!$I38="I (Incomplete)"), 0, IF(BF48&gt;=55%, 1, 0))</f>
        <v>1</v>
      </c>
    </row>
    <row r="49">
      <c r="A49" s="136">
        <v>35.0</v>
      </c>
      <c r="B49" s="137">
        <f>CSE4098A_Spring2026_Grade!B39</f>
        <v>221014096</v>
      </c>
      <c r="C49" s="137" t="str">
        <f>CSE4098A_Spring2026_Grade!C39</f>
        <v>Md. Nasimuzzaman Setu</v>
      </c>
      <c r="D49" s="138">
        <f>'CO_Report Evaluation'!P37</f>
        <v>9</v>
      </c>
      <c r="E49" s="138">
        <f>'CO_Report Evaluation'!Q37</f>
        <v>1.666666667</v>
      </c>
      <c r="F49" s="138">
        <f>'CO_Report Evaluation'!R37</f>
        <v>1.666666667</v>
      </c>
      <c r="G49" s="139"/>
      <c r="H49" s="139"/>
      <c r="I49" s="140"/>
      <c r="J49" s="138"/>
      <c r="K49" s="141"/>
      <c r="L49" s="141"/>
      <c r="M49" s="141">
        <v>4.0</v>
      </c>
      <c r="N49" s="139"/>
      <c r="O49" s="139"/>
      <c r="P49" s="142"/>
      <c r="Q49" s="143"/>
      <c r="R49" s="143"/>
      <c r="S49" s="143"/>
      <c r="T49" s="141">
        <f>((CSE4098A_Spring2026_Grade!E39)*10)/45</f>
        <v>6.133333333</v>
      </c>
      <c r="U49" s="144"/>
      <c r="V49" s="142"/>
      <c r="W49" s="143"/>
      <c r="X49" s="143"/>
      <c r="Y49" s="143"/>
      <c r="Z49" s="143"/>
      <c r="AA49" s="144"/>
      <c r="AB49" s="145">
        <f t="shared" si="11"/>
        <v>9</v>
      </c>
      <c r="AC49" s="146">
        <f t="shared" ref="AC49:AE49" si="119">SUM(Q49, W49,E49,K49)</f>
        <v>1.666666667</v>
      </c>
      <c r="AD49" s="146">
        <f t="shared" si="119"/>
        <v>1.666666667</v>
      </c>
      <c r="AE49" s="146">
        <f t="shared" si="119"/>
        <v>4</v>
      </c>
      <c r="AF49" s="146">
        <f t="shared" si="13"/>
        <v>6.133333333</v>
      </c>
      <c r="AG49" s="146">
        <f t="shared" si="14"/>
        <v>0</v>
      </c>
      <c r="AH49" s="147">
        <f t="shared" ref="AH49:AM49" si="120">IF(AB49 = 0, 0, AB49/AB$14)</f>
        <v>0.6</v>
      </c>
      <c r="AI49" s="147">
        <f t="shared" si="120"/>
        <v>0.5555555556</v>
      </c>
      <c r="AJ49" s="147">
        <f t="shared" si="120"/>
        <v>0.5555555556</v>
      </c>
      <c r="AK49" s="147">
        <f t="shared" si="120"/>
        <v>0.8</v>
      </c>
      <c r="AL49" s="147">
        <f t="shared" si="120"/>
        <v>0.6133333333</v>
      </c>
      <c r="AM49" s="147">
        <f t="shared" si="120"/>
        <v>0</v>
      </c>
      <c r="AN49" s="148">
        <f>IF(OR(CSE4098A_Spring2026_Grade!$I39="W (Withdrawn)", CSE4098A_Spring2026_Grade!$I39="I (Incomplete)"), 0, IF(AH49&gt;=55%, 1, 0))</f>
        <v>1</v>
      </c>
      <c r="AO49" s="148">
        <f>IF(OR(CSE4098A_Spring2026_Grade!$I39="W (Withdrawn)", CSE4098A_Spring2026_Grade!I39="I (Incomplete)"), 0, IF(AI49&gt;=55%, 1, 0))</f>
        <v>1</v>
      </c>
      <c r="AP49" s="148">
        <f>IF(OR(CSE4098A_Spring2026_Grade!$I39="W (Withdrawn)", CSE4098A_Spring2026_Grade!$I39="I (Incomplete)"), 0, IF(AJ49&gt;=55%, 1, 0))</f>
        <v>1</v>
      </c>
      <c r="AQ49" s="148">
        <f>IF(OR(CSE4098A_Spring2026_Grade!$I39="W (Withdrawn)", CSE4098A_Spring2026_Grade!$I39="I (Incomplete)"), 0, IF(AK49&gt;=55%, 1, 0))</f>
        <v>1</v>
      </c>
      <c r="AR49" s="148">
        <f>IF(OR(CSE4098A_Spring2026_Grade!$I39="W (Withdrawn)", CSE4098A_Spring2026_Grade!$I39="I (Incomplete)"), 0, IF(AL49&gt;=55%, 1, 0))</f>
        <v>1</v>
      </c>
      <c r="AS49" s="148">
        <f>IF(OR(CSE4098A_Spring2026_Grade!$I39="W (Withdrawn)", CSE4098A_Spring2026_Grade!$I39="I (Incomplete)"), 0, IF(AM49&gt;=55%, 1, 0))</f>
        <v>0</v>
      </c>
      <c r="AT49" s="115"/>
      <c r="AU49" s="149">
        <f t="shared" si="16"/>
        <v>0</v>
      </c>
      <c r="AV49" s="149">
        <f t="shared" si="17"/>
        <v>0.6</v>
      </c>
      <c r="AW49" s="149">
        <f t="array" ref="AW49">IF($AV$9=0,0,MMULT($AH49:$AM49, AV$3:AV$8)/$AV$9)</f>
        <v>0</v>
      </c>
      <c r="AX49" s="149">
        <f t="array" ref="AX49">IF($AW$9=0,0,MMULT($AH49:$AM49, AW$3:AW$8)/$AW$9)</f>
        <v>0</v>
      </c>
      <c r="AY49" s="149">
        <f t="shared" si="18"/>
        <v>0</v>
      </c>
      <c r="AZ49" s="149">
        <f t="array" ref="AZ49">IF($AY$9=0,0,MMULT($AH49:$AM49, AY$3:AY$8)/$AY$9)</f>
        <v>0</v>
      </c>
      <c r="BA49" s="149">
        <f t="array" ref="BA49">IF($AZ$9=0,0,MMULT($AH49:$AM49, AZ$3:AZ$8)/$AZ$9)</f>
        <v>0</v>
      </c>
      <c r="BB49" s="149">
        <f t="array" ref="BB49">IF($BA$9=0,0,MMULT($AH49:$AM49, BA$3:BA$8)/$BA$9)</f>
        <v>0</v>
      </c>
      <c r="BC49" s="149">
        <f t="array" ref="BC49">IF($BB$9=0,0,MMULT($AH49:$AM49, BB$3:BB$8)/$BB$9)</f>
        <v>0.8</v>
      </c>
      <c r="BD49" s="149">
        <f t="array" ref="BD49">IF($BC$9=0,0,MMULT($AH49:$AM49, BC$3:BC$8)/$BC$9)</f>
        <v>0.6133333333</v>
      </c>
      <c r="BE49" s="149">
        <f t="shared" si="19"/>
        <v>0.5555555556</v>
      </c>
      <c r="BF49" s="149">
        <f t="shared" si="20"/>
        <v>0.5555555556</v>
      </c>
      <c r="BG49" s="148" t="str">
        <f t="shared" si="21"/>
        <v>#REF!</v>
      </c>
      <c r="BH49" s="148">
        <f>IF(OR(CSE4098A_Spring2026_Grade!$I39="W (Withdrawn)", CSE4098A_Spring2026_Grade!$I39="I (Incomplete)"), 0, IF(AV49&gt;=55%, 1, 0))</f>
        <v>1</v>
      </c>
      <c r="BI49" s="148" t="str">
        <f t="shared" ref="BI49:BN49" si="121">IF(OR(GradeSheet!$M44="W (Withdrawn)", GradeSheet!$M44="I (Incomplete)"), 0, IF(AW49&gt;=55%, 1, 0))</f>
        <v>#REF!</v>
      </c>
      <c r="BJ49" s="148" t="str">
        <f t="shared" si="121"/>
        <v>#REF!</v>
      </c>
      <c r="BK49" s="148" t="str">
        <f t="shared" si="121"/>
        <v>#REF!</v>
      </c>
      <c r="BL49" s="148" t="str">
        <f t="shared" si="121"/>
        <v>#REF!</v>
      </c>
      <c r="BM49" s="148" t="str">
        <f t="shared" si="121"/>
        <v>#REF!</v>
      </c>
      <c r="BN49" s="148" t="str">
        <f t="shared" si="121"/>
        <v>#REF!</v>
      </c>
      <c r="BO49" s="148">
        <f>IF(OR(CSE4098A_Spring2026_Grade!$I39="W (Withdrawn)", CSE4098A_Spring2026_Grade!$I39="I (Incomplete)"), 0, IF(BC49&gt;=55%, 1, 0))</f>
        <v>1</v>
      </c>
      <c r="BP49" s="148">
        <f>IF(OR(CSE4098A_Spring2026_Grade!$I39="W (Withdrawn)", CSE4098A_Spring2026_Grade!$I39="I (Incomplete)"), 0, IF(BD49&gt;=55%, 1, 0))</f>
        <v>1</v>
      </c>
      <c r="BQ49" s="148">
        <f>IF(OR(CSE4098A_Spring2026_Grade!$I39="W (Withdrawn)", CSE4098A_Spring2026_Grade!$I39="I (Incomplete)"), 0, IF(BE49&gt;=55%, 1, 0))</f>
        <v>1</v>
      </c>
      <c r="BR49" s="148">
        <f>IF(OR(CSE4098A_Spring2026_Grade!$I39="W (Withdrawn)", CSE4098A_Spring2026_Grade!$I39="I (Incomplete)"), 0, IF(BF49&gt;=55%, 1, 0))</f>
        <v>1</v>
      </c>
    </row>
    <row r="50">
      <c r="A50" s="136">
        <v>36.0</v>
      </c>
      <c r="B50" s="137">
        <f>CSE4098A_Spring2026_Grade!B40</f>
        <v>221014061</v>
      </c>
      <c r="C50" s="137" t="str">
        <f>CSE4098A_Spring2026_Grade!C40</f>
        <v>Mirazul Islam Turag</v>
      </c>
      <c r="D50" s="138">
        <f>'CO_Report Evaluation'!P38</f>
        <v>9</v>
      </c>
      <c r="E50" s="138">
        <f>'CO_Report Evaluation'!Q38</f>
        <v>1.666666667</v>
      </c>
      <c r="F50" s="138">
        <f>'CO_Report Evaluation'!R38</f>
        <v>1.666666667</v>
      </c>
      <c r="G50" s="139"/>
      <c r="H50" s="139"/>
      <c r="I50" s="140"/>
      <c r="J50" s="138"/>
      <c r="K50" s="141"/>
      <c r="L50" s="141"/>
      <c r="M50" s="141">
        <v>5.0</v>
      </c>
      <c r="N50" s="139"/>
      <c r="O50" s="139"/>
      <c r="P50" s="142"/>
      <c r="Q50" s="143"/>
      <c r="R50" s="143"/>
      <c r="S50" s="143"/>
      <c r="T50" s="141">
        <f>((CSE4098A_Spring2026_Grade!E40)*10)/45</f>
        <v>6.133333333</v>
      </c>
      <c r="U50" s="144"/>
      <c r="V50" s="142"/>
      <c r="W50" s="143"/>
      <c r="X50" s="143"/>
      <c r="Y50" s="143"/>
      <c r="Z50" s="143"/>
      <c r="AA50" s="144"/>
      <c r="AB50" s="145">
        <f t="shared" si="11"/>
        <v>9</v>
      </c>
      <c r="AC50" s="146">
        <f t="shared" ref="AC50:AE50" si="122">SUM(Q50, W50,E50,K50)</f>
        <v>1.666666667</v>
      </c>
      <c r="AD50" s="146">
        <f t="shared" si="122"/>
        <v>1.666666667</v>
      </c>
      <c r="AE50" s="146">
        <f t="shared" si="122"/>
        <v>5</v>
      </c>
      <c r="AF50" s="146">
        <f t="shared" si="13"/>
        <v>6.133333333</v>
      </c>
      <c r="AG50" s="146">
        <f t="shared" si="14"/>
        <v>0</v>
      </c>
      <c r="AH50" s="147">
        <f t="shared" ref="AH50:AM50" si="123">IF(AB50 = 0, 0, AB50/AB$14)</f>
        <v>0.6</v>
      </c>
      <c r="AI50" s="147">
        <f t="shared" si="123"/>
        <v>0.5555555556</v>
      </c>
      <c r="AJ50" s="147">
        <f t="shared" si="123"/>
        <v>0.5555555556</v>
      </c>
      <c r="AK50" s="147">
        <f t="shared" si="123"/>
        <v>1</v>
      </c>
      <c r="AL50" s="147">
        <f t="shared" si="123"/>
        <v>0.6133333333</v>
      </c>
      <c r="AM50" s="147">
        <f t="shared" si="123"/>
        <v>0</v>
      </c>
      <c r="AN50" s="148">
        <f>IF(OR(CSE4098A_Spring2026_Grade!$I40="W (Withdrawn)", CSE4098A_Spring2026_Grade!$I40="I (Incomplete)"), 0, IF(AH50&gt;=55%, 1, 0))</f>
        <v>1</v>
      </c>
      <c r="AO50" s="148">
        <f>IF(OR(CSE4098A_Spring2026_Grade!$I40="W (Withdrawn)", CSE4098A_Spring2026_Grade!I40="I (Incomplete)"), 0, IF(AI50&gt;=55%, 1, 0))</f>
        <v>1</v>
      </c>
      <c r="AP50" s="148">
        <f>IF(OR(CSE4098A_Spring2026_Grade!$I40="W (Withdrawn)", CSE4098A_Spring2026_Grade!$I40="I (Incomplete)"), 0, IF(AJ50&gt;=55%, 1, 0))</f>
        <v>1</v>
      </c>
      <c r="AQ50" s="148">
        <f>IF(OR(CSE4098A_Spring2026_Grade!$I40="W (Withdrawn)", CSE4098A_Spring2026_Grade!$I40="I (Incomplete)"), 0, IF(AK50&gt;=55%, 1, 0))</f>
        <v>1</v>
      </c>
      <c r="AR50" s="148">
        <f>IF(OR(CSE4098A_Spring2026_Grade!$I40="W (Withdrawn)", CSE4098A_Spring2026_Grade!$I40="I (Incomplete)"), 0, IF(AL50&gt;=55%, 1, 0))</f>
        <v>1</v>
      </c>
      <c r="AS50" s="148">
        <f>IF(OR(CSE4098A_Spring2026_Grade!$I40="W (Withdrawn)", CSE4098A_Spring2026_Grade!$I40="I (Incomplete)"), 0, IF(AM50&gt;=55%, 1, 0))</f>
        <v>0</v>
      </c>
      <c r="AT50" s="115"/>
      <c r="AU50" s="149">
        <f t="shared" si="16"/>
        <v>0</v>
      </c>
      <c r="AV50" s="149">
        <f t="shared" si="17"/>
        <v>0.6</v>
      </c>
      <c r="AW50" s="149">
        <f t="array" ref="AW50">IF($AV$9=0,0,MMULT($AH50:$AM50, AV$3:AV$8)/$AV$9)</f>
        <v>0</v>
      </c>
      <c r="AX50" s="149">
        <f t="array" ref="AX50">IF($AW$9=0,0,MMULT($AH50:$AM50, AW$3:AW$8)/$AW$9)</f>
        <v>0</v>
      </c>
      <c r="AY50" s="149">
        <f t="shared" si="18"/>
        <v>0</v>
      </c>
      <c r="AZ50" s="149">
        <f t="array" ref="AZ50">IF($AY$9=0,0,MMULT($AH50:$AM50, AY$3:AY$8)/$AY$9)</f>
        <v>0</v>
      </c>
      <c r="BA50" s="149">
        <f t="array" ref="BA50">IF($AZ$9=0,0,MMULT($AH50:$AM50, AZ$3:AZ$8)/$AZ$9)</f>
        <v>0</v>
      </c>
      <c r="BB50" s="149">
        <f t="array" ref="BB50">IF($BA$9=0,0,MMULT($AH50:$AM50, BA$3:BA$8)/$BA$9)</f>
        <v>0</v>
      </c>
      <c r="BC50" s="149">
        <f t="array" ref="BC50">IF($BB$9=0,0,MMULT($AH50:$AM50, BB$3:BB$8)/$BB$9)</f>
        <v>1</v>
      </c>
      <c r="BD50" s="149">
        <f t="array" ref="BD50">IF($BC$9=0,0,MMULT($AH50:$AM50, BC$3:BC$8)/$BC$9)</f>
        <v>0.6133333333</v>
      </c>
      <c r="BE50" s="149">
        <f t="shared" si="19"/>
        <v>0.5555555556</v>
      </c>
      <c r="BF50" s="149">
        <f t="shared" si="20"/>
        <v>0.5555555556</v>
      </c>
      <c r="BG50" s="148" t="str">
        <f t="shared" si="21"/>
        <v>#REF!</v>
      </c>
      <c r="BH50" s="148">
        <f>IF(OR(CSE4098A_Spring2026_Grade!$I40="W (Withdrawn)", CSE4098A_Spring2026_Grade!$I40="I (Incomplete)"), 0, IF(AV50&gt;=55%, 1, 0))</f>
        <v>1</v>
      </c>
      <c r="BI50" s="148" t="str">
        <f t="shared" ref="BI50:BN50" si="124">IF(OR(GradeSheet!$M45="W (Withdrawn)", GradeSheet!$M45="I (Incomplete)"), 0, IF(AW50&gt;=55%, 1, 0))</f>
        <v>#REF!</v>
      </c>
      <c r="BJ50" s="148" t="str">
        <f t="shared" si="124"/>
        <v>#REF!</v>
      </c>
      <c r="BK50" s="148" t="str">
        <f t="shared" si="124"/>
        <v>#REF!</v>
      </c>
      <c r="BL50" s="148" t="str">
        <f t="shared" si="124"/>
        <v>#REF!</v>
      </c>
      <c r="BM50" s="148" t="str">
        <f t="shared" si="124"/>
        <v>#REF!</v>
      </c>
      <c r="BN50" s="148" t="str">
        <f t="shared" si="124"/>
        <v>#REF!</v>
      </c>
      <c r="BO50" s="148">
        <f>IF(OR(CSE4098A_Spring2026_Grade!$I40="W (Withdrawn)", CSE4098A_Spring2026_Grade!$I40="I (Incomplete)"), 0, IF(BC50&gt;=55%, 1, 0))</f>
        <v>1</v>
      </c>
      <c r="BP50" s="148">
        <f>IF(OR(CSE4098A_Spring2026_Grade!$I40="W (Withdrawn)", CSE4098A_Spring2026_Grade!$I40="I (Incomplete)"), 0, IF(BD50&gt;=55%, 1, 0))</f>
        <v>1</v>
      </c>
      <c r="BQ50" s="148">
        <f>IF(OR(CSE4098A_Spring2026_Grade!$I40="W (Withdrawn)", CSE4098A_Spring2026_Grade!$I40="I (Incomplete)"), 0, IF(BE50&gt;=55%, 1, 0))</f>
        <v>1</v>
      </c>
      <c r="BR50" s="148">
        <f>IF(OR(CSE4098A_Spring2026_Grade!$I40="W (Withdrawn)", CSE4098A_Spring2026_Grade!$I40="I (Incomplete)"), 0, IF(BF50&gt;=55%, 1, 0))</f>
        <v>1</v>
      </c>
    </row>
    <row r="51">
      <c r="A51" s="136">
        <v>37.0</v>
      </c>
      <c r="B51" s="137">
        <f>CSE4098A_Spring2026_Grade!B41</f>
        <v>221014087</v>
      </c>
      <c r="C51" s="137" t="str">
        <f>CSE4098A_Spring2026_Grade!C41</f>
        <v>Shahriar Al Shihab</v>
      </c>
      <c r="D51" s="138">
        <f>'CO_Report Evaluation'!P39</f>
        <v>9</v>
      </c>
      <c r="E51" s="138">
        <f>'CO_Report Evaluation'!Q39</f>
        <v>1.666666667</v>
      </c>
      <c r="F51" s="138">
        <f>'CO_Report Evaluation'!R39</f>
        <v>1.666666667</v>
      </c>
      <c r="G51" s="139"/>
      <c r="H51" s="139"/>
      <c r="I51" s="140"/>
      <c r="J51" s="138"/>
      <c r="K51" s="141"/>
      <c r="L51" s="141"/>
      <c r="M51" s="141">
        <v>4.0</v>
      </c>
      <c r="N51" s="139"/>
      <c r="O51" s="139"/>
      <c r="P51" s="142"/>
      <c r="Q51" s="143"/>
      <c r="R51" s="143"/>
      <c r="S51" s="143"/>
      <c r="T51" s="141">
        <f>((CSE4098A_Spring2026_Grade!E41)*10)/45</f>
        <v>6.113333333</v>
      </c>
      <c r="U51" s="144"/>
      <c r="V51" s="142"/>
      <c r="W51" s="143"/>
      <c r="X51" s="143"/>
      <c r="Y51" s="143"/>
      <c r="Z51" s="143"/>
      <c r="AA51" s="144"/>
      <c r="AB51" s="145">
        <f t="shared" si="11"/>
        <v>9</v>
      </c>
      <c r="AC51" s="146">
        <f t="shared" ref="AC51:AE51" si="125">SUM(Q51, W51,E51,K51)</f>
        <v>1.666666667</v>
      </c>
      <c r="AD51" s="146">
        <f t="shared" si="125"/>
        <v>1.666666667</v>
      </c>
      <c r="AE51" s="146">
        <f t="shared" si="125"/>
        <v>4</v>
      </c>
      <c r="AF51" s="146">
        <f t="shared" si="13"/>
        <v>6.113333333</v>
      </c>
      <c r="AG51" s="146">
        <f t="shared" si="14"/>
        <v>0</v>
      </c>
      <c r="AH51" s="147">
        <f t="shared" ref="AH51:AM51" si="126">IF(AB51 = 0, 0, AB51/AB$14)</f>
        <v>0.6</v>
      </c>
      <c r="AI51" s="147">
        <f t="shared" si="126"/>
        <v>0.5555555556</v>
      </c>
      <c r="AJ51" s="147">
        <f t="shared" si="126"/>
        <v>0.5555555556</v>
      </c>
      <c r="AK51" s="147">
        <f t="shared" si="126"/>
        <v>0.8</v>
      </c>
      <c r="AL51" s="147">
        <f t="shared" si="126"/>
        <v>0.6113333333</v>
      </c>
      <c r="AM51" s="147">
        <f t="shared" si="126"/>
        <v>0</v>
      </c>
      <c r="AN51" s="148">
        <f>IF(OR(CSE4098A_Spring2026_Grade!$I41="W (Withdrawn)", CSE4098A_Spring2026_Grade!$I41="I (Incomplete)"), 0, IF(AH51&gt;=55%, 1, 0))</f>
        <v>1</v>
      </c>
      <c r="AO51" s="148">
        <f>IF(OR(CSE4098A_Spring2026_Grade!$I41="W (Withdrawn)", CSE4098A_Spring2026_Grade!I41="I (Incomplete)"), 0, IF(AI51&gt;=55%, 1, 0))</f>
        <v>1</v>
      </c>
      <c r="AP51" s="148">
        <f>IF(OR(CSE4098A_Spring2026_Grade!$I41="W (Withdrawn)", CSE4098A_Spring2026_Grade!$I41="I (Incomplete)"), 0, IF(AJ51&gt;=55%, 1, 0))</f>
        <v>1</v>
      </c>
      <c r="AQ51" s="148">
        <f>IF(OR(CSE4098A_Spring2026_Grade!$I41="W (Withdrawn)", CSE4098A_Spring2026_Grade!$I41="I (Incomplete)"), 0, IF(AK51&gt;=55%, 1, 0))</f>
        <v>1</v>
      </c>
      <c r="AR51" s="148">
        <f>IF(OR(CSE4098A_Spring2026_Grade!$I41="W (Withdrawn)", CSE4098A_Spring2026_Grade!$I41="I (Incomplete)"), 0, IF(AL51&gt;=55%, 1, 0))</f>
        <v>1</v>
      </c>
      <c r="AS51" s="148">
        <f>IF(OR(CSE4098A_Spring2026_Grade!$I41="W (Withdrawn)", CSE4098A_Spring2026_Grade!$I41="I (Incomplete)"), 0, IF(AM51&gt;=55%, 1, 0))</f>
        <v>0</v>
      </c>
      <c r="AT51" s="115"/>
      <c r="AU51" s="149">
        <f t="shared" si="16"/>
        <v>0</v>
      </c>
      <c r="AV51" s="149">
        <f t="shared" si="17"/>
        <v>0.6</v>
      </c>
      <c r="AW51" s="149">
        <f t="array" ref="AW51">IF($AV$9=0,0,MMULT($AH51:$AM51, AV$3:AV$8)/$AV$9)</f>
        <v>0</v>
      </c>
      <c r="AX51" s="149">
        <f t="array" ref="AX51">IF($AW$9=0,0,MMULT($AH51:$AM51, AW$3:AW$8)/$AW$9)</f>
        <v>0</v>
      </c>
      <c r="AY51" s="149">
        <f t="shared" si="18"/>
        <v>0</v>
      </c>
      <c r="AZ51" s="149">
        <f t="array" ref="AZ51">IF($AY$9=0,0,MMULT($AH51:$AM51, AY$3:AY$8)/$AY$9)</f>
        <v>0</v>
      </c>
      <c r="BA51" s="149">
        <f t="array" ref="BA51">IF($AZ$9=0,0,MMULT($AH51:$AM51, AZ$3:AZ$8)/$AZ$9)</f>
        <v>0</v>
      </c>
      <c r="BB51" s="149">
        <f t="array" ref="BB51">IF($BA$9=0,0,MMULT($AH51:$AM51, BA$3:BA$8)/$BA$9)</f>
        <v>0</v>
      </c>
      <c r="BC51" s="149">
        <f t="array" ref="BC51">IF($BB$9=0,0,MMULT($AH51:$AM51, BB$3:BB$8)/$BB$9)</f>
        <v>0.8</v>
      </c>
      <c r="BD51" s="149">
        <f t="array" ref="BD51">IF($BC$9=0,0,MMULT($AH51:$AM51, BC$3:BC$8)/$BC$9)</f>
        <v>0.6113333333</v>
      </c>
      <c r="BE51" s="149">
        <f t="shared" si="19"/>
        <v>0.5555555556</v>
      </c>
      <c r="BF51" s="149">
        <f t="shared" si="20"/>
        <v>0.5555555556</v>
      </c>
      <c r="BG51" s="148" t="str">
        <f t="shared" si="21"/>
        <v>#REF!</v>
      </c>
      <c r="BH51" s="148">
        <f>IF(OR(CSE4098A_Spring2026_Grade!$I41="W (Withdrawn)", CSE4098A_Spring2026_Grade!$I41="I (Incomplete)"), 0, IF(AV51&gt;=55%, 1, 0))</f>
        <v>1</v>
      </c>
      <c r="BI51" s="148" t="str">
        <f t="shared" ref="BI51:BN51" si="127">IF(OR(GradeSheet!$M46="W (Withdrawn)", GradeSheet!$M46="I (Incomplete)"), 0, IF(AW51&gt;=55%, 1, 0))</f>
        <v>#REF!</v>
      </c>
      <c r="BJ51" s="148" t="str">
        <f t="shared" si="127"/>
        <v>#REF!</v>
      </c>
      <c r="BK51" s="148" t="str">
        <f t="shared" si="127"/>
        <v>#REF!</v>
      </c>
      <c r="BL51" s="148" t="str">
        <f t="shared" si="127"/>
        <v>#REF!</v>
      </c>
      <c r="BM51" s="148" t="str">
        <f t="shared" si="127"/>
        <v>#REF!</v>
      </c>
      <c r="BN51" s="148" t="str">
        <f t="shared" si="127"/>
        <v>#REF!</v>
      </c>
      <c r="BO51" s="148">
        <f>IF(OR(CSE4098A_Spring2026_Grade!$I41="W (Withdrawn)", CSE4098A_Spring2026_Grade!$I41="I (Incomplete)"), 0, IF(BC51&gt;=55%, 1, 0))</f>
        <v>1</v>
      </c>
      <c r="BP51" s="148">
        <f>IF(OR(CSE4098A_Spring2026_Grade!$I41="W (Withdrawn)", CSE4098A_Spring2026_Grade!$I41="I (Incomplete)"), 0, IF(BD51&gt;=55%, 1, 0))</f>
        <v>1</v>
      </c>
      <c r="BQ51" s="148">
        <f>IF(OR(CSE4098A_Spring2026_Grade!$I41="W (Withdrawn)", CSE4098A_Spring2026_Grade!$I41="I (Incomplete)"), 0, IF(BE51&gt;=55%, 1, 0))</f>
        <v>1</v>
      </c>
      <c r="BR51" s="148">
        <f>IF(OR(CSE4098A_Spring2026_Grade!$I41="W (Withdrawn)", CSE4098A_Spring2026_Grade!$I41="I (Incomplete)"), 0, IF(BF51&gt;=55%, 1, 0))</f>
        <v>1</v>
      </c>
    </row>
    <row r="52">
      <c r="A52" s="136">
        <v>38.0</v>
      </c>
      <c r="B52" s="137">
        <f>CSE4098A_Spring2026_Grade!B42</f>
        <v>212014010</v>
      </c>
      <c r="C52" s="137" t="str">
        <f>CSE4098A_Spring2026_Grade!C42</f>
        <v>Md. Ayman Hasan</v>
      </c>
      <c r="D52" s="138">
        <f>'CO_Report Evaluation'!P40</f>
        <v>9</v>
      </c>
      <c r="E52" s="138">
        <f>'CO_Report Evaluation'!Q40</f>
        <v>2</v>
      </c>
      <c r="F52" s="138">
        <f>'CO_Report Evaluation'!R40</f>
        <v>2</v>
      </c>
      <c r="G52" s="139"/>
      <c r="H52" s="139"/>
      <c r="I52" s="140"/>
      <c r="J52" s="138"/>
      <c r="K52" s="141"/>
      <c r="L52" s="141"/>
      <c r="M52" s="141">
        <v>5.0</v>
      </c>
      <c r="N52" s="139"/>
      <c r="O52" s="139"/>
      <c r="P52" s="142"/>
      <c r="Q52" s="143"/>
      <c r="R52" s="143"/>
      <c r="S52" s="143"/>
      <c r="T52" s="141">
        <f>((CSE4098A_Spring2026_Grade!E42)*10)/45</f>
        <v>6.428888889</v>
      </c>
      <c r="U52" s="144"/>
      <c r="V52" s="142"/>
      <c r="W52" s="143"/>
      <c r="X52" s="143"/>
      <c r="Y52" s="143"/>
      <c r="Z52" s="143"/>
      <c r="AA52" s="144"/>
      <c r="AB52" s="145">
        <f t="shared" si="11"/>
        <v>9</v>
      </c>
      <c r="AC52" s="146">
        <f t="shared" ref="AC52:AE52" si="128">SUM(Q52, W52,E52,K52)</f>
        <v>2</v>
      </c>
      <c r="AD52" s="146">
        <f t="shared" si="128"/>
        <v>2</v>
      </c>
      <c r="AE52" s="146">
        <f t="shared" si="128"/>
        <v>5</v>
      </c>
      <c r="AF52" s="146">
        <f t="shared" si="13"/>
        <v>6.428888889</v>
      </c>
      <c r="AG52" s="146">
        <f t="shared" si="14"/>
        <v>0</v>
      </c>
      <c r="AH52" s="147">
        <f t="shared" ref="AH52:AM52" si="129">IF(AB52 = 0, 0, AB52/AB$14)</f>
        <v>0.6</v>
      </c>
      <c r="AI52" s="147">
        <f t="shared" si="129"/>
        <v>0.6666666667</v>
      </c>
      <c r="AJ52" s="147">
        <f t="shared" si="129"/>
        <v>0.6666666667</v>
      </c>
      <c r="AK52" s="147">
        <f t="shared" si="129"/>
        <v>1</v>
      </c>
      <c r="AL52" s="147">
        <f t="shared" si="129"/>
        <v>0.6428888889</v>
      </c>
      <c r="AM52" s="147">
        <f t="shared" si="129"/>
        <v>0</v>
      </c>
      <c r="AN52" s="148">
        <f>IF(OR(CSE4098A_Spring2026_Grade!$I42="W (Withdrawn)", CSE4098A_Spring2026_Grade!$I42="I (Incomplete)"), 0, IF(AH52&gt;=55%, 1, 0))</f>
        <v>1</v>
      </c>
      <c r="AO52" s="148">
        <f>IF(OR(CSE4098A_Spring2026_Grade!$I42="W (Withdrawn)", CSE4098A_Spring2026_Grade!I42="I (Incomplete)"), 0, IF(AI52&gt;=55%, 1, 0))</f>
        <v>1</v>
      </c>
      <c r="AP52" s="148">
        <f>IF(OR(CSE4098A_Spring2026_Grade!$I42="W (Withdrawn)", CSE4098A_Spring2026_Grade!$I42="I (Incomplete)"), 0, IF(AJ52&gt;=55%, 1, 0))</f>
        <v>1</v>
      </c>
      <c r="AQ52" s="148">
        <f>IF(OR(CSE4098A_Spring2026_Grade!$I42="W (Withdrawn)", CSE4098A_Spring2026_Grade!$I42="I (Incomplete)"), 0, IF(AK52&gt;=55%, 1, 0))</f>
        <v>1</v>
      </c>
      <c r="AR52" s="148">
        <f>IF(OR(CSE4098A_Spring2026_Grade!$I42="W (Withdrawn)", CSE4098A_Spring2026_Grade!$I42="I (Incomplete)"), 0, IF(AL52&gt;=55%, 1, 0))</f>
        <v>1</v>
      </c>
      <c r="AS52" s="148">
        <f>IF(OR(CSE4098A_Spring2026_Grade!$I42="W (Withdrawn)", CSE4098A_Spring2026_Grade!$I42="I (Incomplete)"), 0, IF(AM52&gt;=55%, 1, 0))</f>
        <v>0</v>
      </c>
      <c r="AT52" s="115"/>
      <c r="AU52" s="149">
        <f t="shared" si="16"/>
        <v>0</v>
      </c>
      <c r="AV52" s="149">
        <f t="shared" si="17"/>
        <v>0.6</v>
      </c>
      <c r="AW52" s="149">
        <f t="array" ref="AW52">IF($AV$9=0,0,MMULT($AH52:$AM52, AV$3:AV$8)/$AV$9)</f>
        <v>0</v>
      </c>
      <c r="AX52" s="149">
        <f t="array" ref="AX52">IF($AW$9=0,0,MMULT($AH52:$AM52, AW$3:AW$8)/$AW$9)</f>
        <v>0</v>
      </c>
      <c r="AY52" s="149">
        <f t="shared" si="18"/>
        <v>0</v>
      </c>
      <c r="AZ52" s="149">
        <f t="array" ref="AZ52">IF($AY$9=0,0,MMULT($AH52:$AM52, AY$3:AY$8)/$AY$9)</f>
        <v>0</v>
      </c>
      <c r="BA52" s="149">
        <f t="array" ref="BA52">IF($AZ$9=0,0,MMULT($AH52:$AM52, AZ$3:AZ$8)/$AZ$9)</f>
        <v>0</v>
      </c>
      <c r="BB52" s="149">
        <f t="array" ref="BB52">IF($BA$9=0,0,MMULT($AH52:$AM52, BA$3:BA$8)/$BA$9)</f>
        <v>0</v>
      </c>
      <c r="BC52" s="149">
        <f t="array" ref="BC52">IF($BB$9=0,0,MMULT($AH52:$AM52, BB$3:BB$8)/$BB$9)</f>
        <v>1</v>
      </c>
      <c r="BD52" s="149">
        <f t="array" ref="BD52">IF($BC$9=0,0,MMULT($AH52:$AM52, BC$3:BC$8)/$BC$9)</f>
        <v>0.6428888889</v>
      </c>
      <c r="BE52" s="149">
        <f t="shared" si="19"/>
        <v>0.6666666667</v>
      </c>
      <c r="BF52" s="149">
        <f t="shared" si="20"/>
        <v>0.6666666667</v>
      </c>
      <c r="BG52" s="148" t="str">
        <f t="shared" si="21"/>
        <v>#REF!</v>
      </c>
      <c r="BH52" s="148">
        <f>IF(OR(CSE4098A_Spring2026_Grade!$I42="W (Withdrawn)", CSE4098A_Spring2026_Grade!$I42="I (Incomplete)"), 0, IF(AV52&gt;=55%, 1, 0))</f>
        <v>1</v>
      </c>
      <c r="BI52" s="148" t="str">
        <f t="shared" ref="BI52:BN52" si="130">IF(OR(GradeSheet!$M47="W (Withdrawn)", GradeSheet!$M47="I (Incomplete)"), 0, IF(AW52&gt;=55%, 1, 0))</f>
        <v>#REF!</v>
      </c>
      <c r="BJ52" s="148" t="str">
        <f t="shared" si="130"/>
        <v>#REF!</v>
      </c>
      <c r="BK52" s="148" t="str">
        <f t="shared" si="130"/>
        <v>#REF!</v>
      </c>
      <c r="BL52" s="148" t="str">
        <f t="shared" si="130"/>
        <v>#REF!</v>
      </c>
      <c r="BM52" s="148" t="str">
        <f t="shared" si="130"/>
        <v>#REF!</v>
      </c>
      <c r="BN52" s="148" t="str">
        <f t="shared" si="130"/>
        <v>#REF!</v>
      </c>
      <c r="BO52" s="148">
        <f>IF(OR(CSE4098A_Spring2026_Grade!$I42="W (Withdrawn)", CSE4098A_Spring2026_Grade!$I42="I (Incomplete)"), 0, IF(BC52&gt;=55%, 1, 0))</f>
        <v>1</v>
      </c>
      <c r="BP52" s="148">
        <f>IF(OR(CSE4098A_Spring2026_Grade!$I42="W (Withdrawn)", CSE4098A_Spring2026_Grade!$I42="I (Incomplete)"), 0, IF(BD52&gt;=55%, 1, 0))</f>
        <v>1</v>
      </c>
      <c r="BQ52" s="148">
        <f>IF(OR(CSE4098A_Spring2026_Grade!$I42="W (Withdrawn)", CSE4098A_Spring2026_Grade!$I42="I (Incomplete)"), 0, IF(BE52&gt;=55%, 1, 0))</f>
        <v>1</v>
      </c>
      <c r="BR52" s="148">
        <f>IF(OR(CSE4098A_Spring2026_Grade!$I42="W (Withdrawn)", CSE4098A_Spring2026_Grade!$I42="I (Incomplete)"), 0, IF(BF52&gt;=55%, 1, 0))</f>
        <v>1</v>
      </c>
    </row>
    <row r="53">
      <c r="A53" s="136">
        <v>39.0</v>
      </c>
      <c r="B53" s="137">
        <f>CSE4098A_Spring2026_Grade!B43</f>
        <v>213014056</v>
      </c>
      <c r="C53" s="137" t="str">
        <f>CSE4098A_Spring2026_Grade!C43</f>
        <v>Shovon Dip Karmaker</v>
      </c>
      <c r="D53" s="138">
        <f>'CO_Report Evaluation'!P41</f>
        <v>9</v>
      </c>
      <c r="E53" s="138">
        <f>'CO_Report Evaluation'!Q41</f>
        <v>2</v>
      </c>
      <c r="F53" s="138">
        <f>'CO_Report Evaluation'!R41</f>
        <v>2</v>
      </c>
      <c r="G53" s="139"/>
      <c r="H53" s="139"/>
      <c r="I53" s="140"/>
      <c r="J53" s="138"/>
      <c r="K53" s="141"/>
      <c r="L53" s="141"/>
      <c r="M53" s="141">
        <v>5.0</v>
      </c>
      <c r="N53" s="139"/>
      <c r="O53" s="139"/>
      <c r="P53" s="142"/>
      <c r="Q53" s="143"/>
      <c r="R53" s="143"/>
      <c r="S53" s="143"/>
      <c r="T53" s="141">
        <f>((CSE4098A_Spring2026_Grade!E43)*10)/45</f>
        <v>6.448888889</v>
      </c>
      <c r="U53" s="144"/>
      <c r="V53" s="142"/>
      <c r="W53" s="143"/>
      <c r="X53" s="143"/>
      <c r="Y53" s="143"/>
      <c r="Z53" s="143"/>
      <c r="AA53" s="144"/>
      <c r="AB53" s="145">
        <f t="shared" si="11"/>
        <v>9</v>
      </c>
      <c r="AC53" s="146">
        <f t="shared" ref="AC53:AE53" si="131">SUM(Q53, W53,E53,K53)</f>
        <v>2</v>
      </c>
      <c r="AD53" s="146">
        <f t="shared" si="131"/>
        <v>2</v>
      </c>
      <c r="AE53" s="146">
        <f t="shared" si="131"/>
        <v>5</v>
      </c>
      <c r="AF53" s="146">
        <f t="shared" si="13"/>
        <v>6.448888889</v>
      </c>
      <c r="AG53" s="146">
        <f t="shared" si="14"/>
        <v>0</v>
      </c>
      <c r="AH53" s="147">
        <f t="shared" ref="AH53:AM53" si="132">IF(AB53 = 0, 0, AB53/AB$14)</f>
        <v>0.6</v>
      </c>
      <c r="AI53" s="147">
        <f t="shared" si="132"/>
        <v>0.6666666667</v>
      </c>
      <c r="AJ53" s="147">
        <f t="shared" si="132"/>
        <v>0.6666666667</v>
      </c>
      <c r="AK53" s="147">
        <f t="shared" si="132"/>
        <v>1</v>
      </c>
      <c r="AL53" s="147">
        <f t="shared" si="132"/>
        <v>0.6448888889</v>
      </c>
      <c r="AM53" s="147">
        <f t="shared" si="132"/>
        <v>0</v>
      </c>
      <c r="AN53" s="148">
        <f>IF(OR(CSE4098A_Spring2026_Grade!$I43="W (Withdrawn)", CSE4098A_Spring2026_Grade!$I43="I (Incomplete)"), 0, IF(AH53&gt;=55%, 1, 0))</f>
        <v>1</v>
      </c>
      <c r="AO53" s="148">
        <f>IF(OR(CSE4098A_Spring2026_Grade!$I43="W (Withdrawn)", CSE4098A_Spring2026_Grade!I43="I (Incomplete)"), 0, IF(AI53&gt;=55%, 1, 0))</f>
        <v>1</v>
      </c>
      <c r="AP53" s="148">
        <f>IF(OR(CSE4098A_Spring2026_Grade!$I43="W (Withdrawn)", CSE4098A_Spring2026_Grade!$I43="I (Incomplete)"), 0, IF(AJ53&gt;=55%, 1, 0))</f>
        <v>1</v>
      </c>
      <c r="AQ53" s="148">
        <f>IF(OR(CSE4098A_Spring2026_Grade!$I43="W (Withdrawn)", CSE4098A_Spring2026_Grade!$I43="I (Incomplete)"), 0, IF(AK53&gt;=55%, 1, 0))</f>
        <v>1</v>
      </c>
      <c r="AR53" s="148">
        <f>IF(OR(CSE4098A_Spring2026_Grade!$I43="W (Withdrawn)", CSE4098A_Spring2026_Grade!$I43="I (Incomplete)"), 0, IF(AL53&gt;=55%, 1, 0))</f>
        <v>1</v>
      </c>
      <c r="AS53" s="148">
        <f>IF(OR(CSE4098A_Spring2026_Grade!$I43="W (Withdrawn)", CSE4098A_Spring2026_Grade!$I43="I (Incomplete)"), 0, IF(AM53&gt;=55%, 1, 0))</f>
        <v>0</v>
      </c>
      <c r="AT53" s="115"/>
      <c r="AU53" s="149">
        <f t="shared" si="16"/>
        <v>0</v>
      </c>
      <c r="AV53" s="149">
        <f t="shared" si="17"/>
        <v>0.6</v>
      </c>
      <c r="AW53" s="149">
        <f t="array" ref="AW53">IF($AV$9=0,0,MMULT($AH53:$AM53, AV$3:AV$8)/$AV$9)</f>
        <v>0</v>
      </c>
      <c r="AX53" s="149">
        <f t="array" ref="AX53">IF($AW$9=0,0,MMULT($AH53:$AM53, AW$3:AW$8)/$AW$9)</f>
        <v>0</v>
      </c>
      <c r="AY53" s="149">
        <f t="shared" si="18"/>
        <v>0</v>
      </c>
      <c r="AZ53" s="149">
        <f t="array" ref="AZ53">IF($AY$9=0,0,MMULT($AH53:$AM53, AY$3:AY$8)/$AY$9)</f>
        <v>0</v>
      </c>
      <c r="BA53" s="149">
        <f t="array" ref="BA53">IF($AZ$9=0,0,MMULT($AH53:$AM53, AZ$3:AZ$8)/$AZ$9)</f>
        <v>0</v>
      </c>
      <c r="BB53" s="149">
        <f t="array" ref="BB53">IF($BA$9=0,0,MMULT($AH53:$AM53, BA$3:BA$8)/$BA$9)</f>
        <v>0</v>
      </c>
      <c r="BC53" s="149">
        <f t="array" ref="BC53">IF($BB$9=0,0,MMULT($AH53:$AM53, BB$3:BB$8)/$BB$9)</f>
        <v>1</v>
      </c>
      <c r="BD53" s="149">
        <f t="array" ref="BD53">IF($BC$9=0,0,MMULT($AH53:$AM53, BC$3:BC$8)/$BC$9)</f>
        <v>0.6448888889</v>
      </c>
      <c r="BE53" s="149">
        <f t="shared" si="19"/>
        <v>0.6666666667</v>
      </c>
      <c r="BF53" s="149">
        <f t="shared" si="20"/>
        <v>0.6666666667</v>
      </c>
      <c r="BG53" s="148" t="str">
        <f t="shared" si="21"/>
        <v>#REF!</v>
      </c>
      <c r="BH53" s="148">
        <f>IF(OR(CSE4098A_Spring2026_Grade!$I43="W (Withdrawn)", CSE4098A_Spring2026_Grade!$I43="I (Incomplete)"), 0, IF(AV53&gt;=55%, 1, 0))</f>
        <v>1</v>
      </c>
      <c r="BI53" s="148" t="str">
        <f t="shared" ref="BI53:BN53" si="133">IF(OR(GradeSheet!$M48="W (Withdrawn)", GradeSheet!$M48="I (Incomplete)"), 0, IF(AW53&gt;=55%, 1, 0))</f>
        <v>#REF!</v>
      </c>
      <c r="BJ53" s="148" t="str">
        <f t="shared" si="133"/>
        <v>#REF!</v>
      </c>
      <c r="BK53" s="148" t="str">
        <f t="shared" si="133"/>
        <v>#REF!</v>
      </c>
      <c r="BL53" s="148" t="str">
        <f t="shared" si="133"/>
        <v>#REF!</v>
      </c>
      <c r="BM53" s="148" t="str">
        <f t="shared" si="133"/>
        <v>#REF!</v>
      </c>
      <c r="BN53" s="148" t="str">
        <f t="shared" si="133"/>
        <v>#REF!</v>
      </c>
      <c r="BO53" s="148">
        <f>IF(OR(CSE4098A_Spring2026_Grade!$I43="W (Withdrawn)", CSE4098A_Spring2026_Grade!$I43="I (Incomplete)"), 0, IF(BC53&gt;=55%, 1, 0))</f>
        <v>1</v>
      </c>
      <c r="BP53" s="148">
        <f>IF(OR(CSE4098A_Spring2026_Grade!$I43="W (Withdrawn)", CSE4098A_Spring2026_Grade!$I43="I (Incomplete)"), 0, IF(BD53&gt;=55%, 1, 0))</f>
        <v>1</v>
      </c>
      <c r="BQ53" s="148">
        <f>IF(OR(CSE4098A_Spring2026_Grade!$I43="W (Withdrawn)", CSE4098A_Spring2026_Grade!$I43="I (Incomplete)"), 0, IF(BE53&gt;=55%, 1, 0))</f>
        <v>1</v>
      </c>
      <c r="BR53" s="148">
        <f>IF(OR(CSE4098A_Spring2026_Grade!$I43="W (Withdrawn)", CSE4098A_Spring2026_Grade!$I43="I (Incomplete)"), 0, IF(BF53&gt;=55%, 1, 0))</f>
        <v>1</v>
      </c>
    </row>
    <row r="54">
      <c r="A54" s="136">
        <v>40.0</v>
      </c>
      <c r="B54" s="137">
        <f>CSE4098A_Spring2026_Grade!B44</f>
        <v>212014022</v>
      </c>
      <c r="C54" s="137" t="str">
        <f>CSE4098A_Spring2026_Grade!C44</f>
        <v>Tahsin Aftab Khan</v>
      </c>
      <c r="D54" s="138">
        <f>'CO_Report Evaluation'!P42</f>
        <v>9</v>
      </c>
      <c r="E54" s="138">
        <f>'CO_Report Evaluation'!Q42</f>
        <v>2</v>
      </c>
      <c r="F54" s="138">
        <f>'CO_Report Evaluation'!R42</f>
        <v>2</v>
      </c>
      <c r="G54" s="139"/>
      <c r="H54" s="139"/>
      <c r="I54" s="140"/>
      <c r="J54" s="138"/>
      <c r="K54" s="141"/>
      <c r="L54" s="141"/>
      <c r="M54" s="150">
        <v>5.0</v>
      </c>
      <c r="N54" s="139"/>
      <c r="O54" s="139"/>
      <c r="P54" s="142"/>
      <c r="Q54" s="143"/>
      <c r="R54" s="143"/>
      <c r="S54" s="143"/>
      <c r="T54" s="141">
        <f>((CSE4098A_Spring2026_Grade!E44)*10)/45</f>
        <v>6.488888889</v>
      </c>
      <c r="U54" s="144"/>
      <c r="V54" s="142"/>
      <c r="W54" s="143"/>
      <c r="X54" s="143"/>
      <c r="Y54" s="143"/>
      <c r="Z54" s="143"/>
      <c r="AA54" s="144"/>
      <c r="AB54" s="145">
        <f t="shared" si="11"/>
        <v>9</v>
      </c>
      <c r="AC54" s="146">
        <f t="shared" ref="AC54:AE54" si="134">SUM(Q54, W54,E54,K54)</f>
        <v>2</v>
      </c>
      <c r="AD54" s="146">
        <f t="shared" si="134"/>
        <v>2</v>
      </c>
      <c r="AE54" s="146">
        <f t="shared" si="134"/>
        <v>5</v>
      </c>
      <c r="AF54" s="146">
        <f t="shared" si="13"/>
        <v>6.488888889</v>
      </c>
      <c r="AG54" s="146">
        <f t="shared" si="14"/>
        <v>0</v>
      </c>
      <c r="AH54" s="147">
        <f t="shared" ref="AH54:AM54" si="135">IF(AB54 = 0, 0, AB54/AB$14)</f>
        <v>0.6</v>
      </c>
      <c r="AI54" s="147">
        <f t="shared" si="135"/>
        <v>0.6666666667</v>
      </c>
      <c r="AJ54" s="147">
        <f t="shared" si="135"/>
        <v>0.6666666667</v>
      </c>
      <c r="AK54" s="147">
        <f t="shared" si="135"/>
        <v>1</v>
      </c>
      <c r="AL54" s="147">
        <f t="shared" si="135"/>
        <v>0.6488888889</v>
      </c>
      <c r="AM54" s="147">
        <f t="shared" si="135"/>
        <v>0</v>
      </c>
      <c r="AN54" s="148">
        <f>IF(OR(CSE4098A_Spring2026_Grade!$I44="W (Withdrawn)", CSE4098A_Spring2026_Grade!$I44="I (Incomplete)"), 0, IF(AH54&gt;=55%, 1, 0))</f>
        <v>1</v>
      </c>
      <c r="AO54" s="148">
        <f>IF(OR(CSE4098A_Spring2026_Grade!$I44="W (Withdrawn)", CSE4098A_Spring2026_Grade!I44="I (Incomplete)"), 0, IF(AI54&gt;=55%, 1, 0))</f>
        <v>1</v>
      </c>
      <c r="AP54" s="148">
        <f>IF(OR(CSE4098A_Spring2026_Grade!$I44="W (Withdrawn)", CSE4098A_Spring2026_Grade!$I44="I (Incomplete)"), 0, IF(AJ54&gt;=55%, 1, 0))</f>
        <v>1</v>
      </c>
      <c r="AQ54" s="148">
        <f>IF(OR(CSE4098A_Spring2026_Grade!$I44="W (Withdrawn)", CSE4098A_Spring2026_Grade!$I44="I (Incomplete)"), 0, IF(AK54&gt;=55%, 1, 0))</f>
        <v>1</v>
      </c>
      <c r="AR54" s="148">
        <f>IF(OR(CSE4098A_Spring2026_Grade!$I44="W (Withdrawn)", CSE4098A_Spring2026_Grade!$I44="I (Incomplete)"), 0, IF(AL54&gt;=55%, 1, 0))</f>
        <v>1</v>
      </c>
      <c r="AS54" s="148">
        <f>IF(OR(CSE4098A_Spring2026_Grade!$I44="W (Withdrawn)", CSE4098A_Spring2026_Grade!$I44="I (Incomplete)"), 0, IF(AM54&gt;=55%, 1, 0))</f>
        <v>0</v>
      </c>
      <c r="AT54" s="115"/>
      <c r="AU54" s="149">
        <f t="shared" si="16"/>
        <v>0</v>
      </c>
      <c r="AV54" s="149">
        <f t="shared" si="17"/>
        <v>0.6</v>
      </c>
      <c r="AW54" s="149">
        <f t="array" ref="AW54">IF($AV$9=0,0,MMULT($AH54:$AM54, AV$3:AV$8)/$AV$9)</f>
        <v>0</v>
      </c>
      <c r="AX54" s="149">
        <f t="array" ref="AX54">IF($AW$9=0,0,MMULT($AH54:$AM54, AW$3:AW$8)/$AW$9)</f>
        <v>0</v>
      </c>
      <c r="AY54" s="149">
        <f t="shared" si="18"/>
        <v>0</v>
      </c>
      <c r="AZ54" s="149">
        <f t="array" ref="AZ54">IF($AY$9=0,0,MMULT($AH54:$AM54, AY$3:AY$8)/$AY$9)</f>
        <v>0</v>
      </c>
      <c r="BA54" s="149">
        <f t="array" ref="BA54">IF($AZ$9=0,0,MMULT($AH54:$AM54, AZ$3:AZ$8)/$AZ$9)</f>
        <v>0</v>
      </c>
      <c r="BB54" s="149">
        <f t="array" ref="BB54">IF($BA$9=0,0,MMULT($AH54:$AM54, BA$3:BA$8)/$BA$9)</f>
        <v>0</v>
      </c>
      <c r="BC54" s="149">
        <f t="array" ref="BC54">IF($BB$9=0,0,MMULT($AH54:$AM54, BB$3:BB$8)/$BB$9)</f>
        <v>1</v>
      </c>
      <c r="BD54" s="149">
        <f t="array" ref="BD54">IF($BC$9=0,0,MMULT($AH54:$AM54, BC$3:BC$8)/$BC$9)</f>
        <v>0.6488888889</v>
      </c>
      <c r="BE54" s="149">
        <f t="shared" si="19"/>
        <v>0.6666666667</v>
      </c>
      <c r="BF54" s="149">
        <f t="shared" si="20"/>
        <v>0.6666666667</v>
      </c>
      <c r="BG54" s="148" t="str">
        <f t="shared" si="21"/>
        <v>#REF!</v>
      </c>
      <c r="BH54" s="148">
        <f>IF(OR(CSE4098A_Spring2026_Grade!$I44="W (Withdrawn)", CSE4098A_Spring2026_Grade!$I44="I (Incomplete)"), 0, IF(AV54&gt;=55%, 1, 0))</f>
        <v>1</v>
      </c>
      <c r="BI54" s="148" t="str">
        <f t="shared" ref="BI54:BN54" si="136">IF(OR(GradeSheet!$M49="W (Withdrawn)", GradeSheet!$M49="I (Incomplete)"), 0, IF(AW54&gt;=55%, 1, 0))</f>
        <v>#REF!</v>
      </c>
      <c r="BJ54" s="148" t="str">
        <f t="shared" si="136"/>
        <v>#REF!</v>
      </c>
      <c r="BK54" s="148" t="str">
        <f t="shared" si="136"/>
        <v>#REF!</v>
      </c>
      <c r="BL54" s="148" t="str">
        <f t="shared" si="136"/>
        <v>#REF!</v>
      </c>
      <c r="BM54" s="148" t="str">
        <f t="shared" si="136"/>
        <v>#REF!</v>
      </c>
      <c r="BN54" s="148" t="str">
        <f t="shared" si="136"/>
        <v>#REF!</v>
      </c>
      <c r="BO54" s="148">
        <f>IF(OR(CSE4098A_Spring2026_Grade!$I44="W (Withdrawn)", CSE4098A_Spring2026_Grade!$I44="I (Incomplete)"), 0, IF(BC54&gt;=55%, 1, 0))</f>
        <v>1</v>
      </c>
      <c r="BP54" s="148">
        <f>IF(OR(CSE4098A_Spring2026_Grade!$I44="W (Withdrawn)", CSE4098A_Spring2026_Grade!$I44="I (Incomplete)"), 0, IF(BD54&gt;=55%, 1, 0))</f>
        <v>1</v>
      </c>
      <c r="BQ54" s="148">
        <f>IF(OR(CSE4098A_Spring2026_Grade!$I44="W (Withdrawn)", CSE4098A_Spring2026_Grade!$I44="I (Incomplete)"), 0, IF(BE54&gt;=55%, 1, 0))</f>
        <v>1</v>
      </c>
      <c r="BR54" s="148">
        <f>IF(OR(CSE4098A_Spring2026_Grade!$I44="W (Withdrawn)", CSE4098A_Spring2026_Grade!$I44="I (Incomplete)"), 0, IF(BF54&gt;=55%, 1, 0))</f>
        <v>1</v>
      </c>
    </row>
    <row r="55">
      <c r="A55" s="136">
        <v>41.0</v>
      </c>
      <c r="B55" s="137">
        <f>CSE4098A_Spring2026_Grade!B45</f>
        <v>213014040</v>
      </c>
      <c r="C55" s="137" t="str">
        <f>CSE4098A_Spring2026_Grade!C45</f>
        <v>Towhid Hossain Alvi</v>
      </c>
      <c r="D55" s="138">
        <f>'CO_Report Evaluation'!P43</f>
        <v>9</v>
      </c>
      <c r="E55" s="138">
        <f>'CO_Report Evaluation'!Q43</f>
        <v>2</v>
      </c>
      <c r="F55" s="138">
        <f>'CO_Report Evaluation'!R43</f>
        <v>2</v>
      </c>
      <c r="G55" s="139"/>
      <c r="H55" s="139"/>
      <c r="I55" s="140"/>
      <c r="J55" s="138"/>
      <c r="K55" s="141"/>
      <c r="L55" s="141"/>
      <c r="M55" s="150">
        <v>5.0</v>
      </c>
      <c r="N55" s="139"/>
      <c r="O55" s="139"/>
      <c r="P55" s="142"/>
      <c r="Q55" s="143"/>
      <c r="R55" s="143"/>
      <c r="S55" s="143"/>
      <c r="T55" s="141">
        <f>((CSE4098A_Spring2026_Grade!E45)*10)/45</f>
        <v>6.448888889</v>
      </c>
      <c r="U55" s="144"/>
      <c r="V55" s="142"/>
      <c r="W55" s="143"/>
      <c r="X55" s="143"/>
      <c r="Y55" s="143"/>
      <c r="Z55" s="143"/>
      <c r="AA55" s="144"/>
      <c r="AB55" s="145">
        <f t="shared" si="11"/>
        <v>9</v>
      </c>
      <c r="AC55" s="146">
        <f t="shared" ref="AC55:AE55" si="137">SUM(Q55, W55,E55,K55)</f>
        <v>2</v>
      </c>
      <c r="AD55" s="146">
        <f t="shared" si="137"/>
        <v>2</v>
      </c>
      <c r="AE55" s="146">
        <f t="shared" si="137"/>
        <v>5</v>
      </c>
      <c r="AF55" s="146">
        <f t="shared" si="13"/>
        <v>6.448888889</v>
      </c>
      <c r="AG55" s="146">
        <f t="shared" si="14"/>
        <v>0</v>
      </c>
      <c r="AH55" s="147">
        <f t="shared" ref="AH55:AM55" si="138">IF(AB55 = 0, 0, AB55/AB$14)</f>
        <v>0.6</v>
      </c>
      <c r="AI55" s="147">
        <f t="shared" si="138"/>
        <v>0.6666666667</v>
      </c>
      <c r="AJ55" s="147">
        <f t="shared" si="138"/>
        <v>0.6666666667</v>
      </c>
      <c r="AK55" s="147">
        <f t="shared" si="138"/>
        <v>1</v>
      </c>
      <c r="AL55" s="147">
        <f t="shared" si="138"/>
        <v>0.6448888889</v>
      </c>
      <c r="AM55" s="147">
        <f t="shared" si="138"/>
        <v>0</v>
      </c>
      <c r="AN55" s="148">
        <f>IF(OR(CSE4098A_Spring2026_Grade!$I45="W (Withdrawn)", CSE4098A_Spring2026_Grade!$I45="I (Incomplete)"), 0, IF(AH55&gt;=55%, 1, 0))</f>
        <v>1</v>
      </c>
      <c r="AO55" s="148">
        <f>IF(OR(CSE4098A_Spring2026_Grade!$I45="W (Withdrawn)", CSE4098A_Spring2026_Grade!I45="I (Incomplete)"), 0, IF(AI55&gt;=55%, 1, 0))</f>
        <v>1</v>
      </c>
      <c r="AP55" s="148">
        <f>IF(OR(CSE4098A_Spring2026_Grade!$I45="W (Withdrawn)", CSE4098A_Spring2026_Grade!$I45="I (Incomplete)"), 0, IF(AJ55&gt;=55%, 1, 0))</f>
        <v>1</v>
      </c>
      <c r="AQ55" s="148">
        <f>IF(OR(CSE4098A_Spring2026_Grade!$I45="W (Withdrawn)", CSE4098A_Spring2026_Grade!$I45="I (Incomplete)"), 0, IF(AK55&gt;=55%, 1, 0))</f>
        <v>1</v>
      </c>
      <c r="AR55" s="148">
        <f>IF(OR(CSE4098A_Spring2026_Grade!$I45="W (Withdrawn)", CSE4098A_Spring2026_Grade!$I45="I (Incomplete)"), 0, IF(AL55&gt;=55%, 1, 0))</f>
        <v>1</v>
      </c>
      <c r="AS55" s="148">
        <f>IF(OR(CSE4098A_Spring2026_Grade!$I45="W (Withdrawn)", CSE4098A_Spring2026_Grade!$I45="I (Incomplete)"), 0, IF(AM55&gt;=55%, 1, 0))</f>
        <v>0</v>
      </c>
      <c r="AT55" s="115"/>
      <c r="AU55" s="149">
        <f t="shared" si="16"/>
        <v>0</v>
      </c>
      <c r="AV55" s="149">
        <f t="shared" si="17"/>
        <v>0.6</v>
      </c>
      <c r="AW55" s="149">
        <f t="array" ref="AW55">IF($AV$9=0,0,MMULT($AH55:$AM55, AV$3:AV$8)/$AV$9)</f>
        <v>0</v>
      </c>
      <c r="AX55" s="149">
        <f t="array" ref="AX55">IF($AW$9=0,0,MMULT($AH55:$AM55, AW$3:AW$8)/$AW$9)</f>
        <v>0</v>
      </c>
      <c r="AY55" s="149">
        <f t="shared" si="18"/>
        <v>0</v>
      </c>
      <c r="AZ55" s="149">
        <f t="array" ref="AZ55">IF($AY$9=0,0,MMULT($AH55:$AM55, AY$3:AY$8)/$AY$9)</f>
        <v>0</v>
      </c>
      <c r="BA55" s="149">
        <f t="array" ref="BA55">IF($AZ$9=0,0,MMULT($AH55:$AM55, AZ$3:AZ$8)/$AZ$9)</f>
        <v>0</v>
      </c>
      <c r="BB55" s="149">
        <f t="array" ref="BB55">IF($BA$9=0,0,MMULT($AH55:$AM55, BA$3:BA$8)/$BA$9)</f>
        <v>0</v>
      </c>
      <c r="BC55" s="149">
        <f t="array" ref="BC55">IF($BB$9=0,0,MMULT($AH55:$AM55, BB$3:BB$8)/$BB$9)</f>
        <v>1</v>
      </c>
      <c r="BD55" s="149">
        <f t="array" ref="BD55">IF($BC$9=0,0,MMULT($AH55:$AM55, BC$3:BC$8)/$BC$9)</f>
        <v>0.6448888889</v>
      </c>
      <c r="BE55" s="149">
        <f t="shared" si="19"/>
        <v>0.6666666667</v>
      </c>
      <c r="BF55" s="149">
        <f t="shared" si="20"/>
        <v>0.6666666667</v>
      </c>
      <c r="BG55" s="148" t="str">
        <f t="shared" si="21"/>
        <v>#REF!</v>
      </c>
      <c r="BH55" s="148">
        <f>IF(OR(CSE4098A_Spring2026_Grade!$I45="W (Withdrawn)", CSE4098A_Spring2026_Grade!$I45="I (Incomplete)"), 0, IF(AV55&gt;=55%, 1, 0))</f>
        <v>1</v>
      </c>
      <c r="BI55" s="148" t="str">
        <f t="shared" ref="BI55:BN55" si="139">IF(OR(GradeSheet!$M50="W (Withdrawn)", GradeSheet!$M50="I (Incomplete)"), 0, IF(AW55&gt;=55%, 1, 0))</f>
        <v>#REF!</v>
      </c>
      <c r="BJ55" s="148" t="str">
        <f t="shared" si="139"/>
        <v>#REF!</v>
      </c>
      <c r="BK55" s="148" t="str">
        <f t="shared" si="139"/>
        <v>#REF!</v>
      </c>
      <c r="BL55" s="148" t="str">
        <f t="shared" si="139"/>
        <v>#REF!</v>
      </c>
      <c r="BM55" s="148" t="str">
        <f t="shared" si="139"/>
        <v>#REF!</v>
      </c>
      <c r="BN55" s="148" t="str">
        <f t="shared" si="139"/>
        <v>#REF!</v>
      </c>
      <c r="BO55" s="148">
        <f>IF(OR(CSE4098A_Spring2026_Grade!$I45="W (Withdrawn)", CSE4098A_Spring2026_Grade!$I45="I (Incomplete)"), 0, IF(BC55&gt;=55%, 1, 0))</f>
        <v>1</v>
      </c>
      <c r="BP55" s="148">
        <f>IF(OR(CSE4098A_Spring2026_Grade!$I45="W (Withdrawn)", CSE4098A_Spring2026_Grade!$I45="I (Incomplete)"), 0, IF(BD55&gt;=55%, 1, 0))</f>
        <v>1</v>
      </c>
      <c r="BQ55" s="148">
        <f>IF(OR(CSE4098A_Spring2026_Grade!$I45="W (Withdrawn)", CSE4098A_Spring2026_Grade!$I45="I (Incomplete)"), 0, IF(BE55&gt;=55%, 1, 0))</f>
        <v>1</v>
      </c>
      <c r="BR55" s="148">
        <f>IF(OR(CSE4098A_Spring2026_Grade!$I45="W (Withdrawn)", CSE4098A_Spring2026_Grade!$I45="I (Incomplete)"), 0, IF(BF55&gt;=55%, 1, 0))</f>
        <v>1</v>
      </c>
    </row>
    <row r="56">
      <c r="A56" s="136">
        <v>42.0</v>
      </c>
      <c r="B56" s="137">
        <f>CSE4098A_Spring2026_Grade!B46</f>
        <v>213014058</v>
      </c>
      <c r="C56" s="137" t="str">
        <f>CSE4098A_Spring2026_Grade!C46</f>
        <v>Samina Akter</v>
      </c>
      <c r="D56" s="138">
        <f>'CO_Report Evaluation'!P44</f>
        <v>9</v>
      </c>
      <c r="E56" s="138">
        <f>'CO_Report Evaluation'!Q44</f>
        <v>2</v>
      </c>
      <c r="F56" s="138">
        <f>'CO_Report Evaluation'!R44</f>
        <v>2</v>
      </c>
      <c r="G56" s="139"/>
      <c r="H56" s="139"/>
      <c r="I56" s="140"/>
      <c r="J56" s="138"/>
      <c r="K56" s="141"/>
      <c r="L56" s="141"/>
      <c r="M56" s="150">
        <v>3.0</v>
      </c>
      <c r="N56" s="139"/>
      <c r="O56" s="139"/>
      <c r="P56" s="142"/>
      <c r="Q56" s="143"/>
      <c r="R56" s="143"/>
      <c r="S56" s="143"/>
      <c r="T56" s="141">
        <f>((CSE4098A_Spring2026_Grade!E46)*10)/45</f>
        <v>6.371111111</v>
      </c>
      <c r="U56" s="144"/>
      <c r="V56" s="142"/>
      <c r="W56" s="143"/>
      <c r="X56" s="143"/>
      <c r="Y56" s="143"/>
      <c r="Z56" s="143"/>
      <c r="AA56" s="144"/>
      <c r="AB56" s="145">
        <f t="shared" si="11"/>
        <v>9</v>
      </c>
      <c r="AC56" s="146">
        <f t="shared" ref="AC56:AE56" si="140">SUM(Q56, W56,E56,K56)</f>
        <v>2</v>
      </c>
      <c r="AD56" s="146">
        <f t="shared" si="140"/>
        <v>2</v>
      </c>
      <c r="AE56" s="146">
        <f t="shared" si="140"/>
        <v>3</v>
      </c>
      <c r="AF56" s="146">
        <f t="shared" si="13"/>
        <v>6.371111111</v>
      </c>
      <c r="AG56" s="146">
        <f t="shared" si="14"/>
        <v>0</v>
      </c>
      <c r="AH56" s="147">
        <f t="shared" ref="AH56:AM56" si="141">IF(AB56 = 0, 0, AB56/AB$14)</f>
        <v>0.6</v>
      </c>
      <c r="AI56" s="147">
        <f t="shared" si="141"/>
        <v>0.6666666667</v>
      </c>
      <c r="AJ56" s="147">
        <f t="shared" si="141"/>
        <v>0.6666666667</v>
      </c>
      <c r="AK56" s="147">
        <f t="shared" si="141"/>
        <v>0.6</v>
      </c>
      <c r="AL56" s="147">
        <f t="shared" si="141"/>
        <v>0.6371111111</v>
      </c>
      <c r="AM56" s="147">
        <f t="shared" si="141"/>
        <v>0</v>
      </c>
      <c r="AN56" s="148">
        <f>IF(OR(CSE4098A_Spring2026_Grade!$I46="W (Withdrawn)", CSE4098A_Spring2026_Grade!$I46="I (Incomplete)"), 0, IF(AH56&gt;=55%, 1, 0))</f>
        <v>1</v>
      </c>
      <c r="AO56" s="148">
        <f>IF(OR(CSE4098A_Spring2026_Grade!$I46="W (Withdrawn)", CSE4098A_Spring2026_Grade!I46="I (Incomplete)"), 0, IF(AI56&gt;=55%, 1, 0))</f>
        <v>1</v>
      </c>
      <c r="AP56" s="148">
        <f>IF(OR(CSE4098A_Spring2026_Grade!$I46="W (Withdrawn)", CSE4098A_Spring2026_Grade!$I46="I (Incomplete)"), 0, IF(AJ56&gt;=55%, 1, 0))</f>
        <v>1</v>
      </c>
      <c r="AQ56" s="148">
        <f>IF(OR(CSE4098A_Spring2026_Grade!$I46="W (Withdrawn)", CSE4098A_Spring2026_Grade!$I46="I (Incomplete)"), 0, IF(AK56&gt;=55%, 1, 0))</f>
        <v>1</v>
      </c>
      <c r="AR56" s="148">
        <f>IF(OR(CSE4098A_Spring2026_Grade!$I46="W (Withdrawn)", CSE4098A_Spring2026_Grade!$I46="I (Incomplete)"), 0, IF(AL56&gt;=55%, 1, 0))</f>
        <v>1</v>
      </c>
      <c r="AS56" s="148">
        <f>IF(OR(CSE4098A_Spring2026_Grade!$I46="W (Withdrawn)", CSE4098A_Spring2026_Grade!$I46="I (Incomplete)"), 0, IF(AM56&gt;=55%, 1, 0))</f>
        <v>0</v>
      </c>
      <c r="AT56" s="115"/>
      <c r="AU56" s="149">
        <f t="shared" si="16"/>
        <v>0</v>
      </c>
      <c r="AV56" s="149">
        <f t="shared" si="17"/>
        <v>0.6</v>
      </c>
      <c r="AW56" s="149">
        <f t="array" ref="AW56">IF($AV$9=0,0,MMULT($AH56:$AM56, AV$3:AV$8)/$AV$9)</f>
        <v>0</v>
      </c>
      <c r="AX56" s="149">
        <f t="array" ref="AX56">IF($AW$9=0,0,MMULT($AH56:$AM56, AW$3:AW$8)/$AW$9)</f>
        <v>0</v>
      </c>
      <c r="AY56" s="149">
        <f t="shared" si="18"/>
        <v>0</v>
      </c>
      <c r="AZ56" s="149">
        <f t="array" ref="AZ56">IF($AY$9=0,0,MMULT($AH56:$AM56, AY$3:AY$8)/$AY$9)</f>
        <v>0</v>
      </c>
      <c r="BA56" s="149">
        <f t="array" ref="BA56">IF($AZ$9=0,0,MMULT($AH56:$AM56, AZ$3:AZ$8)/$AZ$9)</f>
        <v>0</v>
      </c>
      <c r="BB56" s="149">
        <f t="array" ref="BB56">IF($BA$9=0,0,MMULT($AH56:$AM56, BA$3:BA$8)/$BA$9)</f>
        <v>0</v>
      </c>
      <c r="BC56" s="149">
        <f t="array" ref="BC56">IF($BB$9=0,0,MMULT($AH56:$AM56, BB$3:BB$8)/$BB$9)</f>
        <v>0.6</v>
      </c>
      <c r="BD56" s="149">
        <f t="array" ref="BD56">IF($BC$9=0,0,MMULT($AH56:$AM56, BC$3:BC$8)/$BC$9)</f>
        <v>0.6371111111</v>
      </c>
      <c r="BE56" s="149">
        <f t="shared" si="19"/>
        <v>0.6666666667</v>
      </c>
      <c r="BF56" s="149">
        <f t="shared" si="20"/>
        <v>0.6666666667</v>
      </c>
      <c r="BG56" s="148" t="str">
        <f t="shared" si="21"/>
        <v>#REF!</v>
      </c>
      <c r="BH56" s="148">
        <f>IF(OR(CSE4098A_Spring2026_Grade!$I46="W (Withdrawn)", CSE4098A_Spring2026_Grade!$I46="I (Incomplete)"), 0, IF(AV56&gt;=55%, 1, 0))</f>
        <v>1</v>
      </c>
      <c r="BI56" s="148" t="str">
        <f t="shared" ref="BI56:BN56" si="142">IF(OR(GradeSheet!$M51="W (Withdrawn)", GradeSheet!$M51="I (Incomplete)"), 0, IF(AW56&gt;=55%, 1, 0))</f>
        <v>#REF!</v>
      </c>
      <c r="BJ56" s="148" t="str">
        <f t="shared" si="142"/>
        <v>#REF!</v>
      </c>
      <c r="BK56" s="148" t="str">
        <f t="shared" si="142"/>
        <v>#REF!</v>
      </c>
      <c r="BL56" s="148" t="str">
        <f t="shared" si="142"/>
        <v>#REF!</v>
      </c>
      <c r="BM56" s="148" t="str">
        <f t="shared" si="142"/>
        <v>#REF!</v>
      </c>
      <c r="BN56" s="148" t="str">
        <f t="shared" si="142"/>
        <v>#REF!</v>
      </c>
      <c r="BO56" s="148">
        <f>IF(OR(CSE4098A_Spring2026_Grade!$I46="W (Withdrawn)", CSE4098A_Spring2026_Grade!$I46="I (Incomplete)"), 0, IF(BC56&gt;=55%, 1, 0))</f>
        <v>1</v>
      </c>
      <c r="BP56" s="148">
        <f>IF(OR(CSE4098A_Spring2026_Grade!$I46="W (Withdrawn)", CSE4098A_Spring2026_Grade!$I46="I (Incomplete)"), 0, IF(BD56&gt;=55%, 1, 0))</f>
        <v>1</v>
      </c>
      <c r="BQ56" s="148">
        <f>IF(OR(CSE4098A_Spring2026_Grade!$I46="W (Withdrawn)", CSE4098A_Spring2026_Grade!$I46="I (Incomplete)"), 0, IF(BE56&gt;=55%, 1, 0))</f>
        <v>1</v>
      </c>
      <c r="BR56" s="148">
        <f>IF(OR(CSE4098A_Spring2026_Grade!$I46="W (Withdrawn)", CSE4098A_Spring2026_Grade!$I46="I (Incomplete)"), 0, IF(BF56&gt;=55%, 1, 0))</f>
        <v>1</v>
      </c>
    </row>
    <row r="57">
      <c r="A57" s="136">
        <v>43.0</v>
      </c>
      <c r="B57" s="137">
        <f>CSE4098A_Spring2026_Grade!B47</f>
        <v>232014048</v>
      </c>
      <c r="C57" s="137" t="str">
        <f>CSE4098A_Spring2026_Grade!C47</f>
        <v>Md. Shayan Alam</v>
      </c>
      <c r="D57" s="138">
        <f>'CO_Report Evaluation'!P45</f>
        <v>9.333333333</v>
      </c>
      <c r="E57" s="138">
        <f>'CO_Report Evaluation'!Q45</f>
        <v>2</v>
      </c>
      <c r="F57" s="138">
        <f>'CO_Report Evaluation'!R45</f>
        <v>1.666666667</v>
      </c>
      <c r="G57" s="139"/>
      <c r="H57" s="139"/>
      <c r="I57" s="140"/>
      <c r="J57" s="138"/>
      <c r="K57" s="141"/>
      <c r="L57" s="141"/>
      <c r="M57" s="150">
        <v>5.0</v>
      </c>
      <c r="N57" s="139"/>
      <c r="O57" s="139"/>
      <c r="P57" s="142"/>
      <c r="Q57" s="143"/>
      <c r="R57" s="143"/>
      <c r="S57" s="143"/>
      <c r="T57" s="141">
        <f>((CSE4098A_Spring2026_Grade!E47)*10)/45</f>
        <v>9.531111111</v>
      </c>
      <c r="U57" s="144"/>
      <c r="V57" s="142"/>
      <c r="W57" s="143"/>
      <c r="X57" s="143"/>
      <c r="Y57" s="143"/>
      <c r="Z57" s="143"/>
      <c r="AA57" s="144"/>
      <c r="AB57" s="145">
        <f t="shared" si="11"/>
        <v>9.333333333</v>
      </c>
      <c r="AC57" s="146">
        <f t="shared" ref="AC57:AE57" si="143">SUM(Q57, W57,E57,K57)</f>
        <v>2</v>
      </c>
      <c r="AD57" s="146">
        <f t="shared" si="143"/>
        <v>1.666666667</v>
      </c>
      <c r="AE57" s="146">
        <f t="shared" si="143"/>
        <v>5</v>
      </c>
      <c r="AF57" s="146">
        <f t="shared" si="13"/>
        <v>9.531111111</v>
      </c>
      <c r="AG57" s="146">
        <f t="shared" si="14"/>
        <v>0</v>
      </c>
      <c r="AH57" s="147">
        <f t="shared" ref="AH57:AM57" si="144">IF(AB57 = 0, 0, AB57/AB$14)</f>
        <v>0.6222222222</v>
      </c>
      <c r="AI57" s="147">
        <f t="shared" si="144"/>
        <v>0.6666666667</v>
      </c>
      <c r="AJ57" s="147">
        <f t="shared" si="144"/>
        <v>0.5555555556</v>
      </c>
      <c r="AK57" s="147">
        <f t="shared" si="144"/>
        <v>1</v>
      </c>
      <c r="AL57" s="147">
        <f t="shared" si="144"/>
        <v>0.9531111111</v>
      </c>
      <c r="AM57" s="147">
        <f t="shared" si="144"/>
        <v>0</v>
      </c>
      <c r="AN57" s="148">
        <f>IF(OR(CSE4098A_Spring2026_Grade!$I47="W (Withdrawn)", CSE4098A_Spring2026_Grade!$I47="I (Incomplete)"), 0, IF(AH57&gt;=55%, 1, 0))</f>
        <v>1</v>
      </c>
      <c r="AO57" s="148">
        <f>IF(OR(CSE4098A_Spring2026_Grade!$I47="W (Withdrawn)", CSE4098A_Spring2026_Grade!I47="I (Incomplete)"), 0, IF(AI57&gt;=55%, 1, 0))</f>
        <v>1</v>
      </c>
      <c r="AP57" s="148">
        <f>IF(OR(CSE4098A_Spring2026_Grade!$I47="W (Withdrawn)", CSE4098A_Spring2026_Grade!$I47="I (Incomplete)"), 0, IF(AJ57&gt;=55%, 1, 0))</f>
        <v>1</v>
      </c>
      <c r="AQ57" s="148">
        <f>IF(OR(CSE4098A_Spring2026_Grade!$I47="W (Withdrawn)", CSE4098A_Spring2026_Grade!$I47="I (Incomplete)"), 0, IF(AK57&gt;=55%, 1, 0))</f>
        <v>1</v>
      </c>
      <c r="AR57" s="148">
        <f>IF(OR(CSE4098A_Spring2026_Grade!$I47="W (Withdrawn)", CSE4098A_Spring2026_Grade!$I47="I (Incomplete)"), 0, IF(AL57&gt;=55%, 1, 0))</f>
        <v>1</v>
      </c>
      <c r="AS57" s="148">
        <f>IF(OR(CSE4098A_Spring2026_Grade!$I47="W (Withdrawn)", CSE4098A_Spring2026_Grade!$I47="I (Incomplete)"), 0, IF(AM57&gt;=55%, 1, 0))</f>
        <v>0</v>
      </c>
      <c r="AT57" s="115"/>
      <c r="AU57" s="149">
        <f t="shared" si="16"/>
        <v>0</v>
      </c>
      <c r="AV57" s="149">
        <f t="shared" si="17"/>
        <v>0.6222222222</v>
      </c>
      <c r="AW57" s="149">
        <f t="array" ref="AW57">IF($AV$9=0,0,MMULT($AH57:$AM57, AV$3:AV$8)/$AV$9)</f>
        <v>0</v>
      </c>
      <c r="AX57" s="149">
        <f t="array" ref="AX57">IF($AW$9=0,0,MMULT($AH57:$AM57, AW$3:AW$8)/$AW$9)</f>
        <v>0</v>
      </c>
      <c r="AY57" s="149">
        <f t="shared" si="18"/>
        <v>0</v>
      </c>
      <c r="AZ57" s="149">
        <f t="array" ref="AZ57">IF($AY$9=0,0,MMULT($AH57:$AM57, AY$3:AY$8)/$AY$9)</f>
        <v>0</v>
      </c>
      <c r="BA57" s="149">
        <f t="array" ref="BA57">IF($AZ$9=0,0,MMULT($AH57:$AM57, AZ$3:AZ$8)/$AZ$9)</f>
        <v>0</v>
      </c>
      <c r="BB57" s="149">
        <f t="array" ref="BB57">IF($BA$9=0,0,MMULT($AH57:$AM57, BA$3:BA$8)/$BA$9)</f>
        <v>0</v>
      </c>
      <c r="BC57" s="149">
        <f t="array" ref="BC57">IF($BB$9=0,0,MMULT($AH57:$AM57, BB$3:BB$8)/$BB$9)</f>
        <v>1</v>
      </c>
      <c r="BD57" s="149">
        <f t="array" ref="BD57">IF($BC$9=0,0,MMULT($AH57:$AM57, BC$3:BC$8)/$BC$9)</f>
        <v>0.9531111111</v>
      </c>
      <c r="BE57" s="149">
        <f t="shared" si="19"/>
        <v>0.5555555556</v>
      </c>
      <c r="BF57" s="149">
        <f t="shared" si="20"/>
        <v>0.6666666667</v>
      </c>
      <c r="BG57" s="148" t="str">
        <f t="shared" si="21"/>
        <v>#REF!</v>
      </c>
      <c r="BH57" s="148">
        <f>IF(OR(CSE4098A_Spring2026_Grade!$I47="W (Withdrawn)", CSE4098A_Spring2026_Grade!$I47="I (Incomplete)"), 0, IF(AV57&gt;=55%, 1, 0))</f>
        <v>1</v>
      </c>
      <c r="BI57" s="148" t="str">
        <f t="shared" ref="BI57:BN57" si="145">IF(OR(GradeSheet!$M52="W (Withdrawn)", GradeSheet!$M52="I (Incomplete)"), 0, IF(AW57&gt;=55%, 1, 0))</f>
        <v>#REF!</v>
      </c>
      <c r="BJ57" s="148" t="str">
        <f t="shared" si="145"/>
        <v>#REF!</v>
      </c>
      <c r="BK57" s="148" t="str">
        <f t="shared" si="145"/>
        <v>#REF!</v>
      </c>
      <c r="BL57" s="148" t="str">
        <f t="shared" si="145"/>
        <v>#REF!</v>
      </c>
      <c r="BM57" s="148" t="str">
        <f t="shared" si="145"/>
        <v>#REF!</v>
      </c>
      <c r="BN57" s="148" t="str">
        <f t="shared" si="145"/>
        <v>#REF!</v>
      </c>
      <c r="BO57" s="148">
        <f>IF(OR(CSE4098A_Spring2026_Grade!$I47="W (Withdrawn)", CSE4098A_Spring2026_Grade!$I47="I (Incomplete)"), 0, IF(BC57&gt;=55%, 1, 0))</f>
        <v>1</v>
      </c>
      <c r="BP57" s="148">
        <f>IF(OR(CSE4098A_Spring2026_Grade!$I47="W (Withdrawn)", CSE4098A_Spring2026_Grade!$I47="I (Incomplete)"), 0, IF(BD57&gt;=55%, 1, 0))</f>
        <v>1</v>
      </c>
      <c r="BQ57" s="148">
        <f>IF(OR(CSE4098A_Spring2026_Grade!$I47="W (Withdrawn)", CSE4098A_Spring2026_Grade!$I47="I (Incomplete)"), 0, IF(BE57&gt;=55%, 1, 0))</f>
        <v>1</v>
      </c>
      <c r="BR57" s="148">
        <f>IF(OR(CSE4098A_Spring2026_Grade!$I47="W (Withdrawn)", CSE4098A_Spring2026_Grade!$I47="I (Incomplete)"), 0, IF(BF57&gt;=55%, 1, 0))</f>
        <v>1</v>
      </c>
    </row>
    <row r="58">
      <c r="A58" s="136">
        <v>44.0</v>
      </c>
      <c r="B58" s="137">
        <f>CSE4098A_Spring2026_Grade!B48</f>
        <v>223014077</v>
      </c>
      <c r="C58" s="137" t="str">
        <f>CSE4098A_Spring2026_Grade!C48</f>
        <v>Mir Hussain Murtaza</v>
      </c>
      <c r="D58" s="138">
        <f>'CO_Report Evaluation'!P46</f>
        <v>9.333333333</v>
      </c>
      <c r="E58" s="138">
        <f>'CO_Report Evaluation'!Q46</f>
        <v>2</v>
      </c>
      <c r="F58" s="138">
        <f>'CO_Report Evaluation'!R46</f>
        <v>1.666666667</v>
      </c>
      <c r="G58" s="139"/>
      <c r="H58" s="139"/>
      <c r="I58" s="140"/>
      <c r="J58" s="138"/>
      <c r="K58" s="141"/>
      <c r="L58" s="141"/>
      <c r="M58" s="150">
        <v>5.0</v>
      </c>
      <c r="N58" s="139"/>
      <c r="O58" s="139"/>
      <c r="P58" s="142"/>
      <c r="Q58" s="143"/>
      <c r="R58" s="143"/>
      <c r="S58" s="143"/>
      <c r="T58" s="141">
        <f>((CSE4098A_Spring2026_Grade!E48)*10)/45</f>
        <v>9.826666667</v>
      </c>
      <c r="U58" s="144"/>
      <c r="V58" s="142"/>
      <c r="W58" s="143"/>
      <c r="X58" s="143"/>
      <c r="Y58" s="143"/>
      <c r="Z58" s="143"/>
      <c r="AA58" s="144"/>
      <c r="AB58" s="145">
        <f t="shared" si="11"/>
        <v>9.333333333</v>
      </c>
      <c r="AC58" s="146">
        <f t="shared" ref="AC58:AE58" si="146">SUM(Q58, W58,E58,K58)</f>
        <v>2</v>
      </c>
      <c r="AD58" s="146">
        <f t="shared" si="146"/>
        <v>1.666666667</v>
      </c>
      <c r="AE58" s="146">
        <f t="shared" si="146"/>
        <v>5</v>
      </c>
      <c r="AF58" s="146">
        <f t="shared" si="13"/>
        <v>9.826666667</v>
      </c>
      <c r="AG58" s="146">
        <f t="shared" si="14"/>
        <v>0</v>
      </c>
      <c r="AH58" s="147">
        <f t="shared" ref="AH58:AM58" si="147">IF(AB58 = 0, 0, AB58/AB$14)</f>
        <v>0.6222222222</v>
      </c>
      <c r="AI58" s="147">
        <f t="shared" si="147"/>
        <v>0.6666666667</v>
      </c>
      <c r="AJ58" s="147">
        <f t="shared" si="147"/>
        <v>0.5555555556</v>
      </c>
      <c r="AK58" s="147">
        <f t="shared" si="147"/>
        <v>1</v>
      </c>
      <c r="AL58" s="147">
        <f t="shared" si="147"/>
        <v>0.9826666667</v>
      </c>
      <c r="AM58" s="147">
        <f t="shared" si="147"/>
        <v>0</v>
      </c>
      <c r="AN58" s="148">
        <f>IF(OR(CSE4098A_Spring2026_Grade!$I48="W (Withdrawn)", CSE4098A_Spring2026_Grade!$I48="I (Incomplete)"), 0, IF(AH58&gt;=55%, 1, 0))</f>
        <v>1</v>
      </c>
      <c r="AO58" s="148">
        <f>IF(OR(CSE4098A_Spring2026_Grade!$I48="W (Withdrawn)", CSE4098A_Spring2026_Grade!I48="I (Incomplete)"), 0, IF(AI58&gt;=55%, 1, 0))</f>
        <v>1</v>
      </c>
      <c r="AP58" s="148">
        <f>IF(OR(CSE4098A_Spring2026_Grade!$I48="W (Withdrawn)", CSE4098A_Spring2026_Grade!$I48="I (Incomplete)"), 0, IF(AJ58&gt;=55%, 1, 0))</f>
        <v>1</v>
      </c>
      <c r="AQ58" s="148">
        <f>IF(OR(CSE4098A_Spring2026_Grade!$I48="W (Withdrawn)", CSE4098A_Spring2026_Grade!$I48="I (Incomplete)"), 0, IF(AK58&gt;=55%, 1, 0))</f>
        <v>1</v>
      </c>
      <c r="AR58" s="148">
        <f>IF(OR(CSE4098A_Spring2026_Grade!$I48="W (Withdrawn)", CSE4098A_Spring2026_Grade!$I48="I (Incomplete)"), 0, IF(AL58&gt;=55%, 1, 0))</f>
        <v>1</v>
      </c>
      <c r="AS58" s="148">
        <f>IF(OR(CSE4098A_Spring2026_Grade!$I48="W (Withdrawn)", CSE4098A_Spring2026_Grade!$I48="I (Incomplete)"), 0, IF(AM58&gt;=55%, 1, 0))</f>
        <v>0</v>
      </c>
      <c r="AT58" s="115"/>
      <c r="AU58" s="149">
        <f t="shared" si="16"/>
        <v>0</v>
      </c>
      <c r="AV58" s="149">
        <f t="shared" si="17"/>
        <v>0.6222222222</v>
      </c>
      <c r="AW58" s="149">
        <f t="array" ref="AW58">IF($AV$9=0,0,MMULT($AH58:$AM58, AV$3:AV$8)/$AV$9)</f>
        <v>0</v>
      </c>
      <c r="AX58" s="149">
        <f t="array" ref="AX58">IF($AW$9=0,0,MMULT($AH58:$AM58, AW$3:AW$8)/$AW$9)</f>
        <v>0</v>
      </c>
      <c r="AY58" s="149">
        <f t="shared" si="18"/>
        <v>0</v>
      </c>
      <c r="AZ58" s="149">
        <f t="array" ref="AZ58">IF($AY$9=0,0,MMULT($AH58:$AM58, AY$3:AY$8)/$AY$9)</f>
        <v>0</v>
      </c>
      <c r="BA58" s="149">
        <f t="array" ref="BA58">IF($AZ$9=0,0,MMULT($AH58:$AM58, AZ$3:AZ$8)/$AZ$9)</f>
        <v>0</v>
      </c>
      <c r="BB58" s="149">
        <f t="array" ref="BB58">IF($BA$9=0,0,MMULT($AH58:$AM58, BA$3:BA$8)/$BA$9)</f>
        <v>0</v>
      </c>
      <c r="BC58" s="149">
        <f t="array" ref="BC58">IF($BB$9=0,0,MMULT($AH58:$AM58, BB$3:BB$8)/$BB$9)</f>
        <v>1</v>
      </c>
      <c r="BD58" s="149">
        <f t="array" ref="BD58">IF($BC$9=0,0,MMULT($AH58:$AM58, BC$3:BC$8)/$BC$9)</f>
        <v>0.9826666667</v>
      </c>
      <c r="BE58" s="149">
        <f t="shared" si="19"/>
        <v>0.5555555556</v>
      </c>
      <c r="BF58" s="149">
        <f t="shared" si="20"/>
        <v>0.6666666667</v>
      </c>
      <c r="BG58" s="148" t="str">
        <f t="shared" si="21"/>
        <v>#REF!</v>
      </c>
      <c r="BH58" s="148">
        <f>IF(OR(CSE4098A_Spring2026_Grade!$I48="W (Withdrawn)", CSE4098A_Spring2026_Grade!$I48="I (Incomplete)"), 0, IF(AV58&gt;=55%, 1, 0))</f>
        <v>1</v>
      </c>
      <c r="BI58" s="148" t="str">
        <f t="shared" ref="BI58:BN58" si="148">IF(OR(GradeSheet!$M53="W (Withdrawn)", GradeSheet!$M53="I (Incomplete)"), 0, IF(AW58&gt;=55%, 1, 0))</f>
        <v>#REF!</v>
      </c>
      <c r="BJ58" s="148" t="str">
        <f t="shared" si="148"/>
        <v>#REF!</v>
      </c>
      <c r="BK58" s="148" t="str">
        <f t="shared" si="148"/>
        <v>#REF!</v>
      </c>
      <c r="BL58" s="148" t="str">
        <f t="shared" si="148"/>
        <v>#REF!</v>
      </c>
      <c r="BM58" s="148" t="str">
        <f t="shared" si="148"/>
        <v>#REF!</v>
      </c>
      <c r="BN58" s="148" t="str">
        <f t="shared" si="148"/>
        <v>#REF!</v>
      </c>
      <c r="BO58" s="148">
        <f>IF(OR(CSE4098A_Spring2026_Grade!$I48="W (Withdrawn)", CSE4098A_Spring2026_Grade!$I48="I (Incomplete)"), 0, IF(BC58&gt;=55%, 1, 0))</f>
        <v>1</v>
      </c>
      <c r="BP58" s="148">
        <f>IF(OR(CSE4098A_Spring2026_Grade!$I48="W (Withdrawn)", CSE4098A_Spring2026_Grade!$I48="I (Incomplete)"), 0, IF(BD58&gt;=55%, 1, 0))</f>
        <v>1</v>
      </c>
      <c r="BQ58" s="148">
        <f>IF(OR(CSE4098A_Spring2026_Grade!$I48="W (Withdrawn)", CSE4098A_Spring2026_Grade!$I48="I (Incomplete)"), 0, IF(BE58&gt;=55%, 1, 0))</f>
        <v>1</v>
      </c>
      <c r="BR58" s="148">
        <f>IF(OR(CSE4098A_Spring2026_Grade!$I48="W (Withdrawn)", CSE4098A_Spring2026_Grade!$I48="I (Incomplete)"), 0, IF(BF58&gt;=55%, 1, 0))</f>
        <v>1</v>
      </c>
    </row>
    <row r="59">
      <c r="A59" s="136">
        <v>45.0</v>
      </c>
      <c r="B59" s="137">
        <f>CSE4098A_Spring2026_Grade!B49</f>
        <v>232014033</v>
      </c>
      <c r="C59" s="137" t="str">
        <f>CSE4098A_Spring2026_Grade!C49</f>
        <v>Morium Rahman</v>
      </c>
      <c r="D59" s="138">
        <f>'CO_Report Evaluation'!P47</f>
        <v>9.333333333</v>
      </c>
      <c r="E59" s="138">
        <f>'CO_Report Evaluation'!Q47</f>
        <v>2</v>
      </c>
      <c r="F59" s="138">
        <f>'CO_Report Evaluation'!R47</f>
        <v>1.666666667</v>
      </c>
      <c r="G59" s="139"/>
      <c r="H59" s="139"/>
      <c r="I59" s="140"/>
      <c r="J59" s="138"/>
      <c r="K59" s="141"/>
      <c r="L59" s="141"/>
      <c r="M59" s="150">
        <v>5.0</v>
      </c>
      <c r="N59" s="139"/>
      <c r="O59" s="139"/>
      <c r="P59" s="142"/>
      <c r="Q59" s="143"/>
      <c r="R59" s="143"/>
      <c r="S59" s="143"/>
      <c r="T59" s="141">
        <f>((CSE4098A_Spring2026_Grade!E49)*10)/45</f>
        <v>9.431111111</v>
      </c>
      <c r="U59" s="144"/>
      <c r="V59" s="142"/>
      <c r="W59" s="143"/>
      <c r="X59" s="143"/>
      <c r="Y59" s="143"/>
      <c r="Z59" s="143"/>
      <c r="AA59" s="144"/>
      <c r="AB59" s="145">
        <f t="shared" si="11"/>
        <v>9.333333333</v>
      </c>
      <c r="AC59" s="146">
        <f t="shared" ref="AC59:AE59" si="149">SUM(Q59, W59,E59,K59)</f>
        <v>2</v>
      </c>
      <c r="AD59" s="146">
        <f t="shared" si="149"/>
        <v>1.666666667</v>
      </c>
      <c r="AE59" s="146">
        <f t="shared" si="149"/>
        <v>5</v>
      </c>
      <c r="AF59" s="146">
        <f t="shared" si="13"/>
        <v>9.431111111</v>
      </c>
      <c r="AG59" s="146">
        <f t="shared" si="14"/>
        <v>0</v>
      </c>
      <c r="AH59" s="147">
        <f t="shared" ref="AH59:AM59" si="150">IF(AB59 = 0, 0, AB59/AB$14)</f>
        <v>0.6222222222</v>
      </c>
      <c r="AI59" s="147">
        <f t="shared" si="150"/>
        <v>0.6666666667</v>
      </c>
      <c r="AJ59" s="147">
        <f t="shared" si="150"/>
        <v>0.5555555556</v>
      </c>
      <c r="AK59" s="147">
        <f t="shared" si="150"/>
        <v>1</v>
      </c>
      <c r="AL59" s="147">
        <f t="shared" si="150"/>
        <v>0.9431111111</v>
      </c>
      <c r="AM59" s="147">
        <f t="shared" si="150"/>
        <v>0</v>
      </c>
      <c r="AN59" s="148">
        <f>IF(OR(CSE4098A_Spring2026_Grade!$I49="W (Withdrawn)", CSE4098A_Spring2026_Grade!$I49="I (Incomplete)"), 0, IF(AH59&gt;=55%, 1, 0))</f>
        <v>1</v>
      </c>
      <c r="AO59" s="148">
        <f>IF(OR(CSE4098A_Spring2026_Grade!$I49="W (Withdrawn)", CSE4098A_Spring2026_Grade!I49="I (Incomplete)"), 0, IF(AI59&gt;=55%, 1, 0))</f>
        <v>1</v>
      </c>
      <c r="AP59" s="148">
        <f>IF(OR(CSE4098A_Spring2026_Grade!$I49="W (Withdrawn)", CSE4098A_Spring2026_Grade!$I49="I (Incomplete)"), 0, IF(AJ59&gt;=55%, 1, 0))</f>
        <v>1</v>
      </c>
      <c r="AQ59" s="148">
        <f>IF(OR(CSE4098A_Spring2026_Grade!$I49="W (Withdrawn)", CSE4098A_Spring2026_Grade!$I49="I (Incomplete)"), 0, IF(AK59&gt;=55%, 1, 0))</f>
        <v>1</v>
      </c>
      <c r="AR59" s="148">
        <f>IF(OR(CSE4098A_Spring2026_Grade!$I49="W (Withdrawn)", CSE4098A_Spring2026_Grade!$I49="I (Incomplete)"), 0, IF(AL59&gt;=55%, 1, 0))</f>
        <v>1</v>
      </c>
      <c r="AS59" s="148">
        <f>IF(OR(CSE4098A_Spring2026_Grade!$I49="W (Withdrawn)", CSE4098A_Spring2026_Grade!$I49="I (Incomplete)"), 0, IF(AM59&gt;=55%, 1, 0))</f>
        <v>0</v>
      </c>
      <c r="AT59" s="115"/>
      <c r="AU59" s="149">
        <f t="shared" si="16"/>
        <v>0</v>
      </c>
      <c r="AV59" s="149">
        <f t="shared" si="17"/>
        <v>0.6222222222</v>
      </c>
      <c r="AW59" s="149">
        <f t="array" ref="AW59">IF($AV$9=0,0,MMULT($AH59:$AM59, AV$3:AV$8)/$AV$9)</f>
        <v>0</v>
      </c>
      <c r="AX59" s="149">
        <f t="array" ref="AX59">IF($AW$9=0,0,MMULT($AH59:$AM59, AW$3:AW$8)/$AW$9)</f>
        <v>0</v>
      </c>
      <c r="AY59" s="149">
        <f t="shared" si="18"/>
        <v>0</v>
      </c>
      <c r="AZ59" s="149">
        <f t="array" ref="AZ59">IF($AY$9=0,0,MMULT($AH59:$AM59, AY$3:AY$8)/$AY$9)</f>
        <v>0</v>
      </c>
      <c r="BA59" s="149">
        <f t="array" ref="BA59">IF($AZ$9=0,0,MMULT($AH59:$AM59, AZ$3:AZ$8)/$AZ$9)</f>
        <v>0</v>
      </c>
      <c r="BB59" s="149">
        <f t="array" ref="BB59">IF($BA$9=0,0,MMULT($AH59:$AM59, BA$3:BA$8)/$BA$9)</f>
        <v>0</v>
      </c>
      <c r="BC59" s="149">
        <f t="array" ref="BC59">IF($BB$9=0,0,MMULT($AH59:$AM59, BB$3:BB$8)/$BB$9)</f>
        <v>1</v>
      </c>
      <c r="BD59" s="149">
        <f t="array" ref="BD59">IF($BC$9=0,0,MMULT($AH59:$AM59, BC$3:BC$8)/$BC$9)</f>
        <v>0.9431111111</v>
      </c>
      <c r="BE59" s="149">
        <f t="shared" si="19"/>
        <v>0.5555555556</v>
      </c>
      <c r="BF59" s="149">
        <f t="shared" si="20"/>
        <v>0.6666666667</v>
      </c>
      <c r="BG59" s="148" t="str">
        <f t="shared" si="21"/>
        <v>#REF!</v>
      </c>
      <c r="BH59" s="148">
        <f>IF(OR(CSE4098A_Spring2026_Grade!$I49="W (Withdrawn)", CSE4098A_Spring2026_Grade!$I49="I (Incomplete)"), 0, IF(AV59&gt;=55%, 1, 0))</f>
        <v>1</v>
      </c>
      <c r="BI59" s="148" t="str">
        <f t="shared" ref="BI59:BN59" si="151">IF(OR(GradeSheet!$M54="W (Withdrawn)", GradeSheet!$M54="I (Incomplete)"), 0, IF(AW59&gt;=55%, 1, 0))</f>
        <v>#REF!</v>
      </c>
      <c r="BJ59" s="148" t="str">
        <f t="shared" si="151"/>
        <v>#REF!</v>
      </c>
      <c r="BK59" s="148" t="str">
        <f t="shared" si="151"/>
        <v>#REF!</v>
      </c>
      <c r="BL59" s="148" t="str">
        <f t="shared" si="151"/>
        <v>#REF!</v>
      </c>
      <c r="BM59" s="148" t="str">
        <f t="shared" si="151"/>
        <v>#REF!</v>
      </c>
      <c r="BN59" s="148" t="str">
        <f t="shared" si="151"/>
        <v>#REF!</v>
      </c>
      <c r="BO59" s="148">
        <f>IF(OR(CSE4098A_Spring2026_Grade!$I49="W (Withdrawn)", CSE4098A_Spring2026_Grade!$I49="I (Incomplete)"), 0, IF(BC59&gt;=55%, 1, 0))</f>
        <v>1</v>
      </c>
      <c r="BP59" s="148">
        <f>IF(OR(CSE4098A_Spring2026_Grade!$I49="W (Withdrawn)", CSE4098A_Spring2026_Grade!$I49="I (Incomplete)"), 0, IF(BD59&gt;=55%, 1, 0))</f>
        <v>1</v>
      </c>
      <c r="BQ59" s="148">
        <f>IF(OR(CSE4098A_Spring2026_Grade!$I49="W (Withdrawn)", CSE4098A_Spring2026_Grade!$I49="I (Incomplete)"), 0, IF(BE59&gt;=55%, 1, 0))</f>
        <v>1</v>
      </c>
      <c r="BR59" s="148">
        <f>IF(OR(CSE4098A_Spring2026_Grade!$I49="W (Withdrawn)", CSE4098A_Spring2026_Grade!$I49="I (Incomplete)"), 0, IF(BF59&gt;=55%, 1, 0))</f>
        <v>1</v>
      </c>
    </row>
    <row r="60">
      <c r="A60" s="136">
        <v>46.0</v>
      </c>
      <c r="B60" s="137">
        <f>CSE4098A_Spring2026_Grade!B50</f>
        <v>232014102</v>
      </c>
      <c r="C60" s="137" t="str">
        <f>CSE4098A_Spring2026_Grade!C50</f>
        <v>Sabikun Nahar Zaria</v>
      </c>
      <c r="D60" s="138">
        <f>'CO_Report Evaluation'!P48</f>
        <v>9.333333333</v>
      </c>
      <c r="E60" s="138">
        <f>'CO_Report Evaluation'!Q48</f>
        <v>2</v>
      </c>
      <c r="F60" s="138">
        <f>'CO_Report Evaluation'!R48</f>
        <v>1.666666667</v>
      </c>
      <c r="G60" s="139"/>
      <c r="H60" s="139"/>
      <c r="I60" s="140"/>
      <c r="J60" s="138"/>
      <c r="K60" s="141"/>
      <c r="L60" s="141"/>
      <c r="M60" s="150">
        <v>5.0</v>
      </c>
      <c r="N60" s="139"/>
      <c r="O60" s="139"/>
      <c r="P60" s="142"/>
      <c r="Q60" s="143"/>
      <c r="R60" s="143"/>
      <c r="S60" s="143"/>
      <c r="T60" s="141">
        <f>((CSE4098A_Spring2026_Grade!E50)*10)/45</f>
        <v>9.431111111</v>
      </c>
      <c r="U60" s="144"/>
      <c r="V60" s="142"/>
      <c r="W60" s="143"/>
      <c r="X60" s="143"/>
      <c r="Y60" s="143"/>
      <c r="Z60" s="143"/>
      <c r="AA60" s="144"/>
      <c r="AB60" s="145">
        <f t="shared" si="11"/>
        <v>9.333333333</v>
      </c>
      <c r="AC60" s="146">
        <f t="shared" ref="AC60:AE60" si="152">SUM(Q60, W60,E60,K60)</f>
        <v>2</v>
      </c>
      <c r="AD60" s="146">
        <f t="shared" si="152"/>
        <v>1.666666667</v>
      </c>
      <c r="AE60" s="146">
        <f t="shared" si="152"/>
        <v>5</v>
      </c>
      <c r="AF60" s="146">
        <f t="shared" si="13"/>
        <v>9.431111111</v>
      </c>
      <c r="AG60" s="146">
        <f t="shared" si="14"/>
        <v>0</v>
      </c>
      <c r="AH60" s="147">
        <f t="shared" ref="AH60:AM60" si="153">IF(AB60 = 0, 0, AB60/AB$14)</f>
        <v>0.6222222222</v>
      </c>
      <c r="AI60" s="147">
        <f t="shared" si="153"/>
        <v>0.6666666667</v>
      </c>
      <c r="AJ60" s="147">
        <f t="shared" si="153"/>
        <v>0.5555555556</v>
      </c>
      <c r="AK60" s="147">
        <f t="shared" si="153"/>
        <v>1</v>
      </c>
      <c r="AL60" s="147">
        <f t="shared" si="153"/>
        <v>0.9431111111</v>
      </c>
      <c r="AM60" s="147">
        <f t="shared" si="153"/>
        <v>0</v>
      </c>
      <c r="AN60" s="148">
        <f>IF(OR(CSE4098A_Spring2026_Grade!$I50="W (Withdrawn)", CSE4098A_Spring2026_Grade!$I50="I (Incomplete)"), 0, IF(AH60&gt;=55%, 1, 0))</f>
        <v>1</v>
      </c>
      <c r="AO60" s="148">
        <f>IF(OR(CSE4098A_Spring2026_Grade!$I50="W (Withdrawn)", CSE4098A_Spring2026_Grade!I50="I (Incomplete)"), 0, IF(AI60&gt;=55%, 1, 0))</f>
        <v>1</v>
      </c>
      <c r="AP60" s="148">
        <f>IF(OR(CSE4098A_Spring2026_Grade!$I50="W (Withdrawn)", CSE4098A_Spring2026_Grade!$I50="I (Incomplete)"), 0, IF(AJ60&gt;=55%, 1, 0))</f>
        <v>1</v>
      </c>
      <c r="AQ60" s="148">
        <f>IF(OR(CSE4098A_Spring2026_Grade!$I50="W (Withdrawn)", CSE4098A_Spring2026_Grade!$I50="I (Incomplete)"), 0, IF(AK60&gt;=55%, 1, 0))</f>
        <v>1</v>
      </c>
      <c r="AR60" s="148">
        <f>IF(OR(CSE4098A_Spring2026_Grade!$I50="W (Withdrawn)", CSE4098A_Spring2026_Grade!$I50="I (Incomplete)"), 0, IF(AL60&gt;=55%, 1, 0))</f>
        <v>1</v>
      </c>
      <c r="AS60" s="148">
        <f>IF(OR(CSE4098A_Spring2026_Grade!$I50="W (Withdrawn)", CSE4098A_Spring2026_Grade!$I50="I (Incomplete)"), 0, IF(AM60&gt;=55%, 1, 0))</f>
        <v>0</v>
      </c>
      <c r="AT60" s="115"/>
      <c r="AU60" s="149">
        <f t="shared" si="16"/>
        <v>0</v>
      </c>
      <c r="AV60" s="149">
        <f t="shared" si="17"/>
        <v>0.6222222222</v>
      </c>
      <c r="AW60" s="149">
        <f t="array" ref="AW60">IF($AV$9=0,0,MMULT($AH60:$AM60, AV$3:AV$8)/$AV$9)</f>
        <v>0</v>
      </c>
      <c r="AX60" s="149">
        <f t="array" ref="AX60">IF($AW$9=0,0,MMULT($AH60:$AM60, AW$3:AW$8)/$AW$9)</f>
        <v>0</v>
      </c>
      <c r="AY60" s="149">
        <f t="shared" si="18"/>
        <v>0</v>
      </c>
      <c r="AZ60" s="149">
        <f t="array" ref="AZ60">IF($AY$9=0,0,MMULT($AH60:$AM60, AY$3:AY$8)/$AY$9)</f>
        <v>0</v>
      </c>
      <c r="BA60" s="149">
        <f t="array" ref="BA60">IF($AZ$9=0,0,MMULT($AH60:$AM60, AZ$3:AZ$8)/$AZ$9)</f>
        <v>0</v>
      </c>
      <c r="BB60" s="149">
        <f t="array" ref="BB60">IF($BA$9=0,0,MMULT($AH60:$AM60, BA$3:BA$8)/$BA$9)</f>
        <v>0</v>
      </c>
      <c r="BC60" s="149">
        <f t="array" ref="BC60">IF($BB$9=0,0,MMULT($AH60:$AM60, BB$3:BB$8)/$BB$9)</f>
        <v>1</v>
      </c>
      <c r="BD60" s="149">
        <f t="array" ref="BD60">IF($BC$9=0,0,MMULT($AH60:$AM60, BC$3:BC$8)/$BC$9)</f>
        <v>0.9431111111</v>
      </c>
      <c r="BE60" s="149">
        <f t="shared" si="19"/>
        <v>0.5555555556</v>
      </c>
      <c r="BF60" s="149">
        <f t="shared" si="20"/>
        <v>0.6666666667</v>
      </c>
      <c r="BG60" s="148" t="str">
        <f t="shared" si="21"/>
        <v>#REF!</v>
      </c>
      <c r="BH60" s="148">
        <f>IF(OR(CSE4098A_Spring2026_Grade!$I50="W (Withdrawn)", CSE4098A_Spring2026_Grade!$I50="I (Incomplete)"), 0, IF(AV60&gt;=55%, 1, 0))</f>
        <v>1</v>
      </c>
      <c r="BI60" s="148" t="str">
        <f t="shared" ref="BI60:BN60" si="154">IF(OR(GradeSheet!$M55="W (Withdrawn)", GradeSheet!$M55="I (Incomplete)"), 0, IF(AW60&gt;=55%, 1, 0))</f>
        <v>#REF!</v>
      </c>
      <c r="BJ60" s="148" t="str">
        <f t="shared" si="154"/>
        <v>#REF!</v>
      </c>
      <c r="BK60" s="148" t="str">
        <f t="shared" si="154"/>
        <v>#REF!</v>
      </c>
      <c r="BL60" s="148" t="str">
        <f t="shared" si="154"/>
        <v>#REF!</v>
      </c>
      <c r="BM60" s="148" t="str">
        <f t="shared" si="154"/>
        <v>#REF!</v>
      </c>
      <c r="BN60" s="148" t="str">
        <f t="shared" si="154"/>
        <v>#REF!</v>
      </c>
      <c r="BO60" s="148">
        <f>IF(OR(CSE4098A_Spring2026_Grade!$I50="W (Withdrawn)", CSE4098A_Spring2026_Grade!$I50="I (Incomplete)"), 0, IF(BC60&gt;=55%, 1, 0))</f>
        <v>1</v>
      </c>
      <c r="BP60" s="148">
        <f>IF(OR(CSE4098A_Spring2026_Grade!$I50="W (Withdrawn)", CSE4098A_Spring2026_Grade!$I50="I (Incomplete)"), 0, IF(BD60&gt;=55%, 1, 0))</f>
        <v>1</v>
      </c>
      <c r="BQ60" s="148">
        <f>IF(OR(CSE4098A_Spring2026_Grade!$I50="W (Withdrawn)", CSE4098A_Spring2026_Grade!$I50="I (Incomplete)"), 0, IF(BE60&gt;=55%, 1, 0))</f>
        <v>1</v>
      </c>
      <c r="BR60" s="148">
        <f>IF(OR(CSE4098A_Spring2026_Grade!$I50="W (Withdrawn)", CSE4098A_Spring2026_Grade!$I50="I (Incomplete)"), 0, IF(BF60&gt;=55%, 1, 0))</f>
        <v>1</v>
      </c>
    </row>
    <row r="61">
      <c r="A61" s="136">
        <v>47.0</v>
      </c>
      <c r="B61" s="137">
        <f>CSE4098A_Spring2026_Grade!B51</f>
        <v>232014040</v>
      </c>
      <c r="C61" s="137" t="str">
        <f>CSE4098A_Spring2026_Grade!C51</f>
        <v>Sima Akter Tithe</v>
      </c>
      <c r="D61" s="138">
        <f>'CO_Report Evaluation'!P49</f>
        <v>4</v>
      </c>
      <c r="E61" s="138">
        <f>'CO_Report Evaluation'!Q49</f>
        <v>0.6666666667</v>
      </c>
      <c r="F61" s="138">
        <f>'CO_Report Evaluation'!R49</f>
        <v>1</v>
      </c>
      <c r="G61" s="139"/>
      <c r="H61" s="139"/>
      <c r="I61" s="140"/>
      <c r="J61" s="138"/>
      <c r="K61" s="141"/>
      <c r="L61" s="141"/>
      <c r="M61" s="150">
        <v>5.0</v>
      </c>
      <c r="N61" s="139"/>
      <c r="O61" s="139"/>
      <c r="P61" s="142"/>
      <c r="Q61" s="143"/>
      <c r="R61" s="143"/>
      <c r="S61" s="143"/>
      <c r="T61" s="141">
        <f>((CSE4098A_Spring2026_Grade!E51)*10)/45</f>
        <v>9.037777778</v>
      </c>
      <c r="U61" s="144"/>
      <c r="V61" s="142"/>
      <c r="W61" s="143"/>
      <c r="X61" s="143"/>
      <c r="Y61" s="143"/>
      <c r="Z61" s="143"/>
      <c r="AA61" s="144"/>
      <c r="AB61" s="145">
        <f t="shared" si="11"/>
        <v>4</v>
      </c>
      <c r="AC61" s="146">
        <f t="shared" ref="AC61:AE61" si="155">SUM(Q61, W61,E61,K61)</f>
        <v>0.6666666667</v>
      </c>
      <c r="AD61" s="146">
        <f t="shared" si="155"/>
        <v>1</v>
      </c>
      <c r="AE61" s="146">
        <f t="shared" si="155"/>
        <v>5</v>
      </c>
      <c r="AF61" s="146">
        <f t="shared" si="13"/>
        <v>9.037777778</v>
      </c>
      <c r="AG61" s="146">
        <f t="shared" si="14"/>
        <v>0</v>
      </c>
      <c r="AH61" s="147">
        <f t="shared" ref="AH61:AM61" si="156">IF(AB61 = 0, 0, AB61/AB$14)</f>
        <v>0.2666666667</v>
      </c>
      <c r="AI61" s="147">
        <f t="shared" si="156"/>
        <v>0.2222222222</v>
      </c>
      <c r="AJ61" s="147">
        <f t="shared" si="156"/>
        <v>0.3333333333</v>
      </c>
      <c r="AK61" s="147">
        <f t="shared" si="156"/>
        <v>1</v>
      </c>
      <c r="AL61" s="147">
        <f t="shared" si="156"/>
        <v>0.9037777778</v>
      </c>
      <c r="AM61" s="147">
        <f t="shared" si="156"/>
        <v>0</v>
      </c>
      <c r="AN61" s="148">
        <f>IF(OR(CSE4098A_Spring2026_Grade!$I51="W (Withdrawn)", CSE4098A_Spring2026_Grade!$I51="I (Incomplete)"), 0, IF(AH61&gt;=55%, 1, 0))</f>
        <v>0</v>
      </c>
      <c r="AO61" s="148">
        <f>IF(OR(CSE4098A_Spring2026_Grade!$I51="W (Withdrawn)", CSE4098A_Spring2026_Grade!I51="I (Incomplete)"), 0, IF(AI61&gt;=55%, 1, 0))</f>
        <v>0</v>
      </c>
      <c r="AP61" s="148">
        <f>IF(OR(CSE4098A_Spring2026_Grade!$I51="W (Withdrawn)", CSE4098A_Spring2026_Grade!$I51="I (Incomplete)"), 0, IF(AJ61&gt;=55%, 1, 0))</f>
        <v>0</v>
      </c>
      <c r="AQ61" s="148">
        <f>IF(OR(CSE4098A_Spring2026_Grade!$I51="W (Withdrawn)", CSE4098A_Spring2026_Grade!$I51="I (Incomplete)"), 0, IF(AK61&gt;=55%, 1, 0))</f>
        <v>1</v>
      </c>
      <c r="AR61" s="148">
        <f>IF(OR(CSE4098A_Spring2026_Grade!$I51="W (Withdrawn)", CSE4098A_Spring2026_Grade!$I51="I (Incomplete)"), 0, IF(AL61&gt;=55%, 1, 0))</f>
        <v>1</v>
      </c>
      <c r="AS61" s="148">
        <f>IF(OR(CSE4098A_Spring2026_Grade!$I51="W (Withdrawn)", CSE4098A_Spring2026_Grade!$I51="I (Incomplete)"), 0, IF(AM61&gt;=55%, 1, 0))</f>
        <v>0</v>
      </c>
      <c r="AT61" s="115"/>
      <c r="AU61" s="149">
        <f t="shared" si="16"/>
        <v>0</v>
      </c>
      <c r="AV61" s="149">
        <f t="shared" si="17"/>
        <v>0.2666666667</v>
      </c>
      <c r="AW61" s="149">
        <f t="array" ref="AW61">IF($AV$9=0,0,MMULT($AH61:$AM61, AV$3:AV$8)/$AV$9)</f>
        <v>0</v>
      </c>
      <c r="AX61" s="149">
        <f t="array" ref="AX61">IF($AW$9=0,0,MMULT($AH61:$AM61, AW$3:AW$8)/$AW$9)</f>
        <v>0</v>
      </c>
      <c r="AY61" s="149">
        <f t="shared" si="18"/>
        <v>0</v>
      </c>
      <c r="AZ61" s="149">
        <f t="array" ref="AZ61">IF($AY$9=0,0,MMULT($AH61:$AM61, AY$3:AY$8)/$AY$9)</f>
        <v>0</v>
      </c>
      <c r="BA61" s="149">
        <f t="array" ref="BA61">IF($AZ$9=0,0,MMULT($AH61:$AM61, AZ$3:AZ$8)/$AZ$9)</f>
        <v>0</v>
      </c>
      <c r="BB61" s="149">
        <f t="array" ref="BB61">IF($BA$9=0,0,MMULT($AH61:$AM61, BA$3:BA$8)/$BA$9)</f>
        <v>0</v>
      </c>
      <c r="BC61" s="149">
        <f t="array" ref="BC61">IF($BB$9=0,0,MMULT($AH61:$AM61, BB$3:BB$8)/$BB$9)</f>
        <v>1</v>
      </c>
      <c r="BD61" s="149">
        <f t="array" ref="BD61">IF($BC$9=0,0,MMULT($AH61:$AM61, BC$3:BC$8)/$BC$9)</f>
        <v>0.9037777778</v>
      </c>
      <c r="BE61" s="149">
        <f t="shared" si="19"/>
        <v>0.3333333333</v>
      </c>
      <c r="BF61" s="149">
        <f t="shared" si="20"/>
        <v>0.2222222222</v>
      </c>
      <c r="BG61" s="148" t="str">
        <f t="shared" si="21"/>
        <v>#REF!</v>
      </c>
      <c r="BH61" s="148">
        <f>IF(OR(CSE4098A_Spring2026_Grade!$I51="W (Withdrawn)", CSE4098A_Spring2026_Grade!$I51="I (Incomplete)"), 0, IF(AV61&gt;=55%, 1, 0))</f>
        <v>0</v>
      </c>
      <c r="BI61" s="148" t="str">
        <f t="shared" ref="BI61:BN61" si="157">IF(OR(GradeSheet!$M56="W (Withdrawn)", GradeSheet!$M56="I (Incomplete)"), 0, IF(AW61&gt;=55%, 1, 0))</f>
        <v>#REF!</v>
      </c>
      <c r="BJ61" s="148" t="str">
        <f t="shared" si="157"/>
        <v>#REF!</v>
      </c>
      <c r="BK61" s="148" t="str">
        <f t="shared" si="157"/>
        <v>#REF!</v>
      </c>
      <c r="BL61" s="148" t="str">
        <f t="shared" si="157"/>
        <v>#REF!</v>
      </c>
      <c r="BM61" s="148" t="str">
        <f t="shared" si="157"/>
        <v>#REF!</v>
      </c>
      <c r="BN61" s="148" t="str">
        <f t="shared" si="157"/>
        <v>#REF!</v>
      </c>
      <c r="BO61" s="148">
        <f>IF(OR(CSE4098A_Spring2026_Grade!$I51="W (Withdrawn)", CSE4098A_Spring2026_Grade!$I51="I (Incomplete)"), 0, IF(BC61&gt;=55%, 1, 0))</f>
        <v>1</v>
      </c>
      <c r="BP61" s="148">
        <f>IF(OR(CSE4098A_Spring2026_Grade!$I51="W (Withdrawn)", CSE4098A_Spring2026_Grade!$I51="I (Incomplete)"), 0, IF(BD61&gt;=55%, 1, 0))</f>
        <v>1</v>
      </c>
      <c r="BQ61" s="148">
        <f>IF(OR(CSE4098A_Spring2026_Grade!$I51="W (Withdrawn)", CSE4098A_Spring2026_Grade!$I51="I (Incomplete)"), 0, IF(BE61&gt;=55%, 1, 0))</f>
        <v>0</v>
      </c>
      <c r="BR61" s="148">
        <f>IF(OR(CSE4098A_Spring2026_Grade!$I51="W (Withdrawn)", CSE4098A_Spring2026_Grade!$I51="I (Incomplete)"), 0, IF(BF61&gt;=55%, 1, 0))</f>
        <v>0</v>
      </c>
    </row>
    <row r="62">
      <c r="A62" s="136">
        <v>48.0</v>
      </c>
      <c r="B62" s="137">
        <f>CSE4098A_Spring2026_Grade!B52</f>
        <v>232014027</v>
      </c>
      <c r="C62" s="137" t="str">
        <f>CSE4098A_Spring2026_Grade!C52</f>
        <v>Muskan Gouri</v>
      </c>
      <c r="D62" s="138">
        <f>'CO_Report Evaluation'!P50</f>
        <v>4</v>
      </c>
      <c r="E62" s="138">
        <f>'CO_Report Evaluation'!Q50</f>
        <v>0.6666666667</v>
      </c>
      <c r="F62" s="138">
        <f>'CO_Report Evaluation'!R50</f>
        <v>1</v>
      </c>
      <c r="G62" s="139"/>
      <c r="H62" s="139"/>
      <c r="I62" s="140"/>
      <c r="J62" s="138"/>
      <c r="K62" s="141"/>
      <c r="L62" s="141"/>
      <c r="M62" s="150">
        <v>5.0</v>
      </c>
      <c r="N62" s="139"/>
      <c r="O62" s="139"/>
      <c r="P62" s="142"/>
      <c r="Q62" s="143"/>
      <c r="R62" s="143"/>
      <c r="S62" s="143"/>
      <c r="T62" s="141">
        <f>((CSE4098A_Spring2026_Grade!E52)*10)/45</f>
        <v>8.888888889</v>
      </c>
      <c r="U62" s="144"/>
      <c r="V62" s="142"/>
      <c r="W62" s="143"/>
      <c r="X62" s="143"/>
      <c r="Y62" s="143"/>
      <c r="Z62" s="143"/>
      <c r="AA62" s="144"/>
      <c r="AB62" s="145">
        <f t="shared" si="11"/>
        <v>4</v>
      </c>
      <c r="AC62" s="146">
        <f t="shared" ref="AC62:AE62" si="158">SUM(Q62, W62,E62,K62)</f>
        <v>0.6666666667</v>
      </c>
      <c r="AD62" s="146">
        <f t="shared" si="158"/>
        <v>1</v>
      </c>
      <c r="AE62" s="146">
        <f t="shared" si="158"/>
        <v>5</v>
      </c>
      <c r="AF62" s="146">
        <f t="shared" si="13"/>
        <v>8.888888889</v>
      </c>
      <c r="AG62" s="146">
        <f t="shared" si="14"/>
        <v>0</v>
      </c>
      <c r="AH62" s="147">
        <f t="shared" ref="AH62:AM62" si="159">IF(AB62 = 0, 0, AB62/AB$14)</f>
        <v>0.2666666667</v>
      </c>
      <c r="AI62" s="147">
        <f t="shared" si="159"/>
        <v>0.2222222222</v>
      </c>
      <c r="AJ62" s="147">
        <f t="shared" si="159"/>
        <v>0.3333333333</v>
      </c>
      <c r="AK62" s="147">
        <f t="shared" si="159"/>
        <v>1</v>
      </c>
      <c r="AL62" s="147">
        <f t="shared" si="159"/>
        <v>0.8888888889</v>
      </c>
      <c r="AM62" s="147">
        <f t="shared" si="159"/>
        <v>0</v>
      </c>
      <c r="AN62" s="148">
        <f>IF(OR(CSE4098A_Spring2026_Grade!$I52="W (Withdrawn)", CSE4098A_Spring2026_Grade!$I52="I (Incomplete)"), 0, IF(AH62&gt;=55%, 1, 0))</f>
        <v>0</v>
      </c>
      <c r="AO62" s="148">
        <f>IF(OR(CSE4098A_Spring2026_Grade!$I52="W (Withdrawn)", CSE4098A_Spring2026_Grade!I52="I (Incomplete)"), 0, IF(AI62&gt;=55%, 1, 0))</f>
        <v>0</v>
      </c>
      <c r="AP62" s="148">
        <f>IF(OR(CSE4098A_Spring2026_Grade!$I52="W (Withdrawn)", CSE4098A_Spring2026_Grade!$I52="I (Incomplete)"), 0, IF(AJ62&gt;=55%, 1, 0))</f>
        <v>0</v>
      </c>
      <c r="AQ62" s="148">
        <f>IF(OR(CSE4098A_Spring2026_Grade!$I52="W (Withdrawn)", CSE4098A_Spring2026_Grade!$I52="I (Incomplete)"), 0, IF(AK62&gt;=55%, 1, 0))</f>
        <v>1</v>
      </c>
      <c r="AR62" s="148">
        <f>IF(OR(CSE4098A_Spring2026_Grade!$I52="W (Withdrawn)", CSE4098A_Spring2026_Grade!$I52="I (Incomplete)"), 0, IF(AL62&gt;=55%, 1, 0))</f>
        <v>1</v>
      </c>
      <c r="AS62" s="148">
        <f>IF(OR(CSE4098A_Spring2026_Grade!$I52="W (Withdrawn)", CSE4098A_Spring2026_Grade!$I52="I (Incomplete)"), 0, IF(AM62&gt;=55%, 1, 0))</f>
        <v>0</v>
      </c>
      <c r="AT62" s="115"/>
      <c r="AU62" s="149">
        <f t="shared" si="16"/>
        <v>0</v>
      </c>
      <c r="AV62" s="149">
        <f t="shared" si="17"/>
        <v>0.2666666667</v>
      </c>
      <c r="AW62" s="149">
        <f t="array" ref="AW62">IF($AV$9=0,0,MMULT($AH62:$AM62, AV$3:AV$8)/$AV$9)</f>
        <v>0</v>
      </c>
      <c r="AX62" s="149">
        <f t="array" ref="AX62">IF($AW$9=0,0,MMULT($AH62:$AM62, AW$3:AW$8)/$AW$9)</f>
        <v>0</v>
      </c>
      <c r="AY62" s="149">
        <f t="shared" si="18"/>
        <v>0</v>
      </c>
      <c r="AZ62" s="149">
        <f t="array" ref="AZ62">IF($AY$9=0,0,MMULT($AH62:$AM62, AY$3:AY$8)/$AY$9)</f>
        <v>0</v>
      </c>
      <c r="BA62" s="149">
        <f t="array" ref="BA62">IF($AZ$9=0,0,MMULT($AH62:$AM62, AZ$3:AZ$8)/$AZ$9)</f>
        <v>0</v>
      </c>
      <c r="BB62" s="149">
        <f t="array" ref="BB62">IF($BA$9=0,0,MMULT($AH62:$AM62, BA$3:BA$8)/$BA$9)</f>
        <v>0</v>
      </c>
      <c r="BC62" s="149">
        <f t="array" ref="BC62">IF($BB$9=0,0,MMULT($AH62:$AM62, BB$3:BB$8)/$BB$9)</f>
        <v>1</v>
      </c>
      <c r="BD62" s="149">
        <f t="array" ref="BD62">IF($BC$9=0,0,MMULT($AH62:$AM62, BC$3:BC$8)/$BC$9)</f>
        <v>0.8888888889</v>
      </c>
      <c r="BE62" s="149">
        <f t="shared" si="19"/>
        <v>0.3333333333</v>
      </c>
      <c r="BF62" s="149">
        <f t="shared" si="20"/>
        <v>0.2222222222</v>
      </c>
      <c r="BG62" s="148" t="str">
        <f t="shared" si="21"/>
        <v>#REF!</v>
      </c>
      <c r="BH62" s="148">
        <f>IF(OR(CSE4098A_Spring2026_Grade!$I52="W (Withdrawn)", CSE4098A_Spring2026_Grade!$I52="I (Incomplete)"), 0, IF(AV62&gt;=55%, 1, 0))</f>
        <v>0</v>
      </c>
      <c r="BI62" s="148" t="str">
        <f t="shared" ref="BI62:BN62" si="160">IF(OR(GradeSheet!$M57="W (Withdrawn)", GradeSheet!$M57="I (Incomplete)"), 0, IF(AW62&gt;=55%, 1, 0))</f>
        <v>#REF!</v>
      </c>
      <c r="BJ62" s="148" t="str">
        <f t="shared" si="160"/>
        <v>#REF!</v>
      </c>
      <c r="BK62" s="148" t="str">
        <f t="shared" si="160"/>
        <v>#REF!</v>
      </c>
      <c r="BL62" s="148" t="str">
        <f t="shared" si="160"/>
        <v>#REF!</v>
      </c>
      <c r="BM62" s="148" t="str">
        <f t="shared" si="160"/>
        <v>#REF!</v>
      </c>
      <c r="BN62" s="148" t="str">
        <f t="shared" si="160"/>
        <v>#REF!</v>
      </c>
      <c r="BO62" s="148">
        <f>IF(OR(CSE4098A_Spring2026_Grade!$I52="W (Withdrawn)", CSE4098A_Spring2026_Grade!$I52="I (Incomplete)"), 0, IF(BC62&gt;=55%, 1, 0))</f>
        <v>1</v>
      </c>
      <c r="BP62" s="148">
        <f>IF(OR(CSE4098A_Spring2026_Grade!$I52="W (Withdrawn)", CSE4098A_Spring2026_Grade!$I52="I (Incomplete)"), 0, IF(BD62&gt;=55%, 1, 0))</f>
        <v>1</v>
      </c>
      <c r="BQ62" s="148">
        <f>IF(OR(CSE4098A_Spring2026_Grade!$I52="W (Withdrawn)", CSE4098A_Spring2026_Grade!$I52="I (Incomplete)"), 0, IF(BE62&gt;=55%, 1, 0))</f>
        <v>0</v>
      </c>
      <c r="BR62" s="148">
        <f>IF(OR(CSE4098A_Spring2026_Grade!$I52="W (Withdrawn)", CSE4098A_Spring2026_Grade!$I52="I (Incomplete)"), 0, IF(BF62&gt;=55%, 1, 0))</f>
        <v>0</v>
      </c>
    </row>
    <row r="63">
      <c r="A63" s="136">
        <v>49.0</v>
      </c>
      <c r="B63" s="137">
        <f>CSE4098A_Spring2026_Grade!B53</f>
        <v>213014024</v>
      </c>
      <c r="C63" s="137" t="str">
        <f>CSE4098A_Spring2026_Grade!C53</f>
        <v>Minhaz Hossen</v>
      </c>
      <c r="D63" s="138">
        <f>'CO_Report Evaluation'!P51</f>
        <v>4</v>
      </c>
      <c r="E63" s="138">
        <f>'CO_Report Evaluation'!Q51</f>
        <v>0.6666666667</v>
      </c>
      <c r="F63" s="138">
        <f>'CO_Report Evaluation'!R51</f>
        <v>1</v>
      </c>
      <c r="G63" s="139"/>
      <c r="H63" s="139"/>
      <c r="I63" s="140"/>
      <c r="J63" s="138"/>
      <c r="K63" s="141"/>
      <c r="L63" s="141"/>
      <c r="M63" s="150">
        <v>5.0</v>
      </c>
      <c r="N63" s="139"/>
      <c r="O63" s="139"/>
      <c r="P63" s="142"/>
      <c r="Q63" s="143"/>
      <c r="R63" s="143"/>
      <c r="S63" s="143"/>
      <c r="T63" s="141">
        <f>((CSE4098A_Spring2026_Grade!E53)*10)/45</f>
        <v>8.593333333</v>
      </c>
      <c r="U63" s="144"/>
      <c r="V63" s="142"/>
      <c r="W63" s="143"/>
      <c r="X63" s="143"/>
      <c r="Y63" s="143"/>
      <c r="Z63" s="143"/>
      <c r="AA63" s="144"/>
      <c r="AB63" s="145">
        <f t="shared" si="11"/>
        <v>4</v>
      </c>
      <c r="AC63" s="146">
        <f t="shared" ref="AC63:AE63" si="161">SUM(Q63, W63,E63,K63)</f>
        <v>0.6666666667</v>
      </c>
      <c r="AD63" s="146">
        <f t="shared" si="161"/>
        <v>1</v>
      </c>
      <c r="AE63" s="146">
        <f t="shared" si="161"/>
        <v>5</v>
      </c>
      <c r="AF63" s="146">
        <f t="shared" si="13"/>
        <v>8.593333333</v>
      </c>
      <c r="AG63" s="146">
        <f t="shared" si="14"/>
        <v>0</v>
      </c>
      <c r="AH63" s="147">
        <f t="shared" ref="AH63:AM63" si="162">IF(AB63 = 0, 0, AB63/AB$14)</f>
        <v>0.2666666667</v>
      </c>
      <c r="AI63" s="147">
        <f t="shared" si="162"/>
        <v>0.2222222222</v>
      </c>
      <c r="AJ63" s="147">
        <f t="shared" si="162"/>
        <v>0.3333333333</v>
      </c>
      <c r="AK63" s="147">
        <f t="shared" si="162"/>
        <v>1</v>
      </c>
      <c r="AL63" s="147">
        <f t="shared" si="162"/>
        <v>0.8593333333</v>
      </c>
      <c r="AM63" s="147">
        <f t="shared" si="162"/>
        <v>0</v>
      </c>
      <c r="AN63" s="148">
        <f>IF(OR(CSE4098A_Spring2026_Grade!$I53="W (Withdrawn)", CSE4098A_Spring2026_Grade!$I53="I (Incomplete)"), 0, IF(AH63&gt;=55%, 1, 0))</f>
        <v>0</v>
      </c>
      <c r="AO63" s="148">
        <f>IF(OR(CSE4098A_Spring2026_Grade!$I53="W (Withdrawn)", CSE4098A_Spring2026_Grade!I53="I (Incomplete)"), 0, IF(AI63&gt;=55%, 1, 0))</f>
        <v>0</v>
      </c>
      <c r="AP63" s="148">
        <f>IF(OR(CSE4098A_Spring2026_Grade!$I53="W (Withdrawn)", CSE4098A_Spring2026_Grade!$I53="I (Incomplete)"), 0, IF(AJ63&gt;=55%, 1, 0))</f>
        <v>0</v>
      </c>
      <c r="AQ63" s="148">
        <f>IF(OR(CSE4098A_Spring2026_Grade!$I53="W (Withdrawn)", CSE4098A_Spring2026_Grade!$I53="I (Incomplete)"), 0, IF(AK63&gt;=55%, 1, 0))</f>
        <v>1</v>
      </c>
      <c r="AR63" s="148">
        <f>IF(OR(CSE4098A_Spring2026_Grade!$I53="W (Withdrawn)", CSE4098A_Spring2026_Grade!$I53="I (Incomplete)"), 0, IF(AL63&gt;=55%, 1, 0))</f>
        <v>1</v>
      </c>
      <c r="AS63" s="148">
        <f>IF(OR(CSE4098A_Spring2026_Grade!$I53="W (Withdrawn)", CSE4098A_Spring2026_Grade!$I53="I (Incomplete)"), 0, IF(AM63&gt;=55%, 1, 0))</f>
        <v>0</v>
      </c>
      <c r="AT63" s="115"/>
      <c r="AU63" s="149">
        <f t="shared" si="16"/>
        <v>0</v>
      </c>
      <c r="AV63" s="149">
        <f t="shared" si="17"/>
        <v>0.2666666667</v>
      </c>
      <c r="AW63" s="149">
        <f t="array" ref="AW63">IF($AV$9=0,0,MMULT($AH63:$AM63, AV$3:AV$8)/$AV$9)</f>
        <v>0</v>
      </c>
      <c r="AX63" s="149">
        <f t="array" ref="AX63">IF($AW$9=0,0,MMULT($AH63:$AM63, AW$3:AW$8)/$AW$9)</f>
        <v>0</v>
      </c>
      <c r="AY63" s="149">
        <f t="shared" si="18"/>
        <v>0</v>
      </c>
      <c r="AZ63" s="149">
        <f t="array" ref="AZ63">IF($AY$9=0,0,MMULT($AH63:$AM63, AY$3:AY$8)/$AY$9)</f>
        <v>0</v>
      </c>
      <c r="BA63" s="149">
        <f t="array" ref="BA63">IF($AZ$9=0,0,MMULT($AH63:$AM63, AZ$3:AZ$8)/$AZ$9)</f>
        <v>0</v>
      </c>
      <c r="BB63" s="149">
        <f t="array" ref="BB63">IF($BA$9=0,0,MMULT($AH63:$AM63, BA$3:BA$8)/$BA$9)</f>
        <v>0</v>
      </c>
      <c r="BC63" s="149">
        <f t="array" ref="BC63">IF($BB$9=0,0,MMULT($AH63:$AM63, BB$3:BB$8)/$BB$9)</f>
        <v>1</v>
      </c>
      <c r="BD63" s="149">
        <f t="array" ref="BD63">IF($BC$9=0,0,MMULT($AH63:$AM63, BC$3:BC$8)/$BC$9)</f>
        <v>0.8593333333</v>
      </c>
      <c r="BE63" s="149">
        <f t="shared" si="19"/>
        <v>0.3333333333</v>
      </c>
      <c r="BF63" s="149">
        <f t="shared" si="20"/>
        <v>0.2222222222</v>
      </c>
      <c r="BG63" s="148" t="str">
        <f t="shared" si="21"/>
        <v>#REF!</v>
      </c>
      <c r="BH63" s="148">
        <f>IF(OR(CSE4098A_Spring2026_Grade!$I53="W (Withdrawn)", CSE4098A_Spring2026_Grade!$I53="I (Incomplete)"), 0, IF(AV63&gt;=55%, 1, 0))</f>
        <v>0</v>
      </c>
      <c r="BI63" s="148" t="str">
        <f t="shared" ref="BI63:BN63" si="163">IF(OR(GradeSheet!$M58="W (Withdrawn)", GradeSheet!$M58="I (Incomplete)"), 0, IF(AW63&gt;=55%, 1, 0))</f>
        <v>#REF!</v>
      </c>
      <c r="BJ63" s="148" t="str">
        <f t="shared" si="163"/>
        <v>#REF!</v>
      </c>
      <c r="BK63" s="148" t="str">
        <f t="shared" si="163"/>
        <v>#REF!</v>
      </c>
      <c r="BL63" s="148" t="str">
        <f t="shared" si="163"/>
        <v>#REF!</v>
      </c>
      <c r="BM63" s="148" t="str">
        <f t="shared" si="163"/>
        <v>#REF!</v>
      </c>
      <c r="BN63" s="148" t="str">
        <f t="shared" si="163"/>
        <v>#REF!</v>
      </c>
      <c r="BO63" s="148">
        <f>IF(OR(CSE4098A_Spring2026_Grade!$I53="W (Withdrawn)", CSE4098A_Spring2026_Grade!$I53="I (Incomplete)"), 0, IF(BC63&gt;=55%, 1, 0))</f>
        <v>1</v>
      </c>
      <c r="BP63" s="148">
        <f>IF(OR(CSE4098A_Spring2026_Grade!$I53="W (Withdrawn)", CSE4098A_Spring2026_Grade!$I53="I (Incomplete)"), 0, IF(BD63&gt;=55%, 1, 0))</f>
        <v>1</v>
      </c>
      <c r="BQ63" s="148">
        <f>IF(OR(CSE4098A_Spring2026_Grade!$I53="W (Withdrawn)", CSE4098A_Spring2026_Grade!$I53="I (Incomplete)"), 0, IF(BE63&gt;=55%, 1, 0))</f>
        <v>0</v>
      </c>
      <c r="BR63" s="148">
        <f>IF(OR(CSE4098A_Spring2026_Grade!$I53="W (Withdrawn)", CSE4098A_Spring2026_Grade!$I53="I (Incomplete)"), 0, IF(BF63&gt;=55%, 1, 0))</f>
        <v>0</v>
      </c>
    </row>
    <row r="64">
      <c r="A64" s="136">
        <v>50.0</v>
      </c>
      <c r="B64" s="137">
        <f>CSE4098A_Spring2026_Grade!B54</f>
        <v>221014137</v>
      </c>
      <c r="C64" s="137" t="str">
        <f>CSE4098A_Spring2026_Grade!C54</f>
        <v>Prisom Halder</v>
      </c>
      <c r="D64" s="138">
        <f>'CO_Report Evaluation'!P52</f>
        <v>4</v>
      </c>
      <c r="E64" s="138">
        <f>'CO_Report Evaluation'!Q52</f>
        <v>0.6666666667</v>
      </c>
      <c r="F64" s="138">
        <f>'CO_Report Evaluation'!R52</f>
        <v>1</v>
      </c>
      <c r="G64" s="139"/>
      <c r="H64" s="139"/>
      <c r="I64" s="140"/>
      <c r="J64" s="138"/>
      <c r="K64" s="141"/>
      <c r="L64" s="141"/>
      <c r="M64" s="150">
        <v>5.0</v>
      </c>
      <c r="N64" s="139"/>
      <c r="O64" s="139"/>
      <c r="P64" s="142"/>
      <c r="Q64" s="143"/>
      <c r="R64" s="143"/>
      <c r="S64" s="143"/>
      <c r="T64" s="141">
        <f>((CSE4098A_Spring2026_Grade!E54)*10)/45</f>
        <v>8.593333333</v>
      </c>
      <c r="U64" s="144"/>
      <c r="V64" s="142"/>
      <c r="W64" s="143"/>
      <c r="X64" s="143"/>
      <c r="Y64" s="143"/>
      <c r="Z64" s="143"/>
      <c r="AA64" s="144"/>
      <c r="AB64" s="145">
        <f t="shared" si="11"/>
        <v>4</v>
      </c>
      <c r="AC64" s="146">
        <f t="shared" ref="AC64:AE64" si="164">SUM(Q64, W64,E64,K64)</f>
        <v>0.6666666667</v>
      </c>
      <c r="AD64" s="146">
        <f t="shared" si="164"/>
        <v>1</v>
      </c>
      <c r="AE64" s="146">
        <f t="shared" si="164"/>
        <v>5</v>
      </c>
      <c r="AF64" s="146">
        <f t="shared" si="13"/>
        <v>8.593333333</v>
      </c>
      <c r="AG64" s="146">
        <f t="shared" si="14"/>
        <v>0</v>
      </c>
      <c r="AH64" s="147">
        <f t="shared" ref="AH64:AM64" si="165">IF(AB64 = 0, 0, AB64/AB$14)</f>
        <v>0.2666666667</v>
      </c>
      <c r="AI64" s="147">
        <f t="shared" si="165"/>
        <v>0.2222222222</v>
      </c>
      <c r="AJ64" s="147">
        <f t="shared" si="165"/>
        <v>0.3333333333</v>
      </c>
      <c r="AK64" s="147">
        <f t="shared" si="165"/>
        <v>1</v>
      </c>
      <c r="AL64" s="147">
        <f t="shared" si="165"/>
        <v>0.8593333333</v>
      </c>
      <c r="AM64" s="147">
        <f t="shared" si="165"/>
        <v>0</v>
      </c>
      <c r="AN64" s="148">
        <f>IF(OR(CSE4098A_Spring2026_Grade!$I54="W (Withdrawn)", CSE4098A_Spring2026_Grade!$I54="I (Incomplete)"), 0, IF(AH64&gt;=55%, 1, 0))</f>
        <v>0</v>
      </c>
      <c r="AO64" s="148">
        <f>IF(OR(CSE4098A_Spring2026_Grade!$I54="W (Withdrawn)", CSE4098A_Spring2026_Grade!I54="I (Incomplete)"), 0, IF(AI64&gt;=55%, 1, 0))</f>
        <v>0</v>
      </c>
      <c r="AP64" s="148">
        <f>IF(OR(CSE4098A_Spring2026_Grade!$I54="W (Withdrawn)", CSE4098A_Spring2026_Grade!$I54="I (Incomplete)"), 0, IF(AJ64&gt;=55%, 1, 0))</f>
        <v>0</v>
      </c>
      <c r="AQ64" s="148">
        <f>IF(OR(CSE4098A_Spring2026_Grade!$I54="W (Withdrawn)", CSE4098A_Spring2026_Grade!$I54="I (Incomplete)"), 0, IF(AK64&gt;=55%, 1, 0))</f>
        <v>1</v>
      </c>
      <c r="AR64" s="148">
        <f>IF(OR(CSE4098A_Spring2026_Grade!$I54="W (Withdrawn)", CSE4098A_Spring2026_Grade!$I54="I (Incomplete)"), 0, IF(AL64&gt;=55%, 1, 0))</f>
        <v>1</v>
      </c>
      <c r="AS64" s="148">
        <f>IF(OR(CSE4098A_Spring2026_Grade!$I54="W (Withdrawn)", CSE4098A_Spring2026_Grade!$I54="I (Incomplete)"), 0, IF(AM64&gt;=55%, 1, 0))</f>
        <v>0</v>
      </c>
      <c r="AT64" s="115"/>
      <c r="AU64" s="149">
        <f t="shared" si="16"/>
        <v>0</v>
      </c>
      <c r="AV64" s="149">
        <f t="shared" si="17"/>
        <v>0.2666666667</v>
      </c>
      <c r="AW64" s="149">
        <f t="array" ref="AW64">IF($AV$9=0,0,MMULT($AH64:$AM64, AV$3:AV$8)/$AV$9)</f>
        <v>0</v>
      </c>
      <c r="AX64" s="149">
        <f t="array" ref="AX64">IF($AW$9=0,0,MMULT($AH64:$AM64, AW$3:AW$8)/$AW$9)</f>
        <v>0</v>
      </c>
      <c r="AY64" s="149">
        <f t="shared" si="18"/>
        <v>0</v>
      </c>
      <c r="AZ64" s="149">
        <f t="array" ref="AZ64">IF($AY$9=0,0,MMULT($AH64:$AM64, AY$3:AY$8)/$AY$9)</f>
        <v>0</v>
      </c>
      <c r="BA64" s="149">
        <f t="array" ref="BA64">IF($AZ$9=0,0,MMULT($AH64:$AM64, AZ$3:AZ$8)/$AZ$9)</f>
        <v>0</v>
      </c>
      <c r="BB64" s="149">
        <f t="array" ref="BB64">IF($BA$9=0,0,MMULT($AH64:$AM64, BA$3:BA$8)/$BA$9)</f>
        <v>0</v>
      </c>
      <c r="BC64" s="149">
        <f t="array" ref="BC64">IF($BB$9=0,0,MMULT($AH64:$AM64, BB$3:BB$8)/$BB$9)</f>
        <v>1</v>
      </c>
      <c r="BD64" s="149">
        <f t="array" ref="BD64">IF($BC$9=0,0,MMULT($AH64:$AM64, BC$3:BC$8)/$BC$9)</f>
        <v>0.8593333333</v>
      </c>
      <c r="BE64" s="149">
        <f t="shared" si="19"/>
        <v>0.3333333333</v>
      </c>
      <c r="BF64" s="149">
        <f t="shared" si="20"/>
        <v>0.2222222222</v>
      </c>
      <c r="BG64" s="148" t="str">
        <f t="shared" si="21"/>
        <v>#REF!</v>
      </c>
      <c r="BH64" s="148">
        <f>IF(OR(CSE4098A_Spring2026_Grade!$I54="W (Withdrawn)", CSE4098A_Spring2026_Grade!$I54="I (Incomplete)"), 0, IF(AV64&gt;=55%, 1, 0))</f>
        <v>0</v>
      </c>
      <c r="BI64" s="148" t="str">
        <f t="shared" ref="BI64:BN64" si="166">IF(OR(GradeSheet!$M59="W (Withdrawn)", GradeSheet!$M59="I (Incomplete)"), 0, IF(AW64&gt;=55%, 1, 0))</f>
        <v>#REF!</v>
      </c>
      <c r="BJ64" s="148" t="str">
        <f t="shared" si="166"/>
        <v>#REF!</v>
      </c>
      <c r="BK64" s="148" t="str">
        <f t="shared" si="166"/>
        <v>#REF!</v>
      </c>
      <c r="BL64" s="148" t="str">
        <f t="shared" si="166"/>
        <v>#REF!</v>
      </c>
      <c r="BM64" s="148" t="str">
        <f t="shared" si="166"/>
        <v>#REF!</v>
      </c>
      <c r="BN64" s="148" t="str">
        <f t="shared" si="166"/>
        <v>#REF!</v>
      </c>
      <c r="BO64" s="148">
        <f>IF(OR(CSE4098A_Spring2026_Grade!$I54="W (Withdrawn)", CSE4098A_Spring2026_Grade!$I54="I (Incomplete)"), 0, IF(BC64&gt;=55%, 1, 0))</f>
        <v>1</v>
      </c>
      <c r="BP64" s="148">
        <f>IF(OR(CSE4098A_Spring2026_Grade!$I54="W (Withdrawn)", CSE4098A_Spring2026_Grade!$I54="I (Incomplete)"), 0, IF(BD64&gt;=55%, 1, 0))</f>
        <v>1</v>
      </c>
      <c r="BQ64" s="148">
        <f>IF(OR(CSE4098A_Spring2026_Grade!$I54="W (Withdrawn)", CSE4098A_Spring2026_Grade!$I54="I (Incomplete)"), 0, IF(BE64&gt;=55%, 1, 0))</f>
        <v>0</v>
      </c>
      <c r="BR64" s="148">
        <f>IF(OR(CSE4098A_Spring2026_Grade!$I54="W (Withdrawn)", CSE4098A_Spring2026_Grade!$I54="I (Incomplete)"), 0, IF(BF64&gt;=55%, 1, 0))</f>
        <v>0</v>
      </c>
    </row>
    <row r="65">
      <c r="A65" s="136">
        <v>51.0</v>
      </c>
      <c r="B65" s="137">
        <f>CSE4098A_Spring2026_Grade!B55</f>
        <v>223014125</v>
      </c>
      <c r="C65" s="137" t="str">
        <f>CSE4098A_Spring2026_Grade!C55</f>
        <v>Fatima Wohabee</v>
      </c>
      <c r="D65" s="138">
        <f>'CO_Report Evaluation'!P53</f>
        <v>6</v>
      </c>
      <c r="E65" s="138">
        <f>'CO_Report Evaluation'!Q53</f>
        <v>1.333333333</v>
      </c>
      <c r="F65" s="138">
        <f>'CO_Report Evaluation'!R53</f>
        <v>1.333333333</v>
      </c>
      <c r="G65" s="139"/>
      <c r="H65" s="139"/>
      <c r="I65" s="140"/>
      <c r="J65" s="138"/>
      <c r="K65" s="141"/>
      <c r="L65" s="141"/>
      <c r="M65" s="150">
        <v>4.0</v>
      </c>
      <c r="N65" s="139"/>
      <c r="O65" s="139"/>
      <c r="P65" s="142"/>
      <c r="Q65" s="143"/>
      <c r="R65" s="143"/>
      <c r="S65" s="143"/>
      <c r="T65" s="141">
        <f>((CSE4098A_Spring2026_Grade!E55)*10)/45</f>
        <v>6.666666667</v>
      </c>
      <c r="U65" s="144"/>
      <c r="V65" s="142"/>
      <c r="W65" s="143"/>
      <c r="X65" s="143"/>
      <c r="Y65" s="143"/>
      <c r="Z65" s="143"/>
      <c r="AA65" s="144"/>
      <c r="AB65" s="145">
        <f t="shared" si="11"/>
        <v>6</v>
      </c>
      <c r="AC65" s="146">
        <f t="shared" ref="AC65:AE65" si="167">SUM(Q65, W65,E65,K65)</f>
        <v>1.333333333</v>
      </c>
      <c r="AD65" s="146">
        <f t="shared" si="167"/>
        <v>1.333333333</v>
      </c>
      <c r="AE65" s="146">
        <f t="shared" si="167"/>
        <v>4</v>
      </c>
      <c r="AF65" s="146">
        <f t="shared" si="13"/>
        <v>6.666666667</v>
      </c>
      <c r="AG65" s="146">
        <f t="shared" si="14"/>
        <v>0</v>
      </c>
      <c r="AH65" s="147">
        <f t="shared" ref="AH65:AM65" si="168">IF(AB65 = 0, 0, AB65/AB$14)</f>
        <v>0.4</v>
      </c>
      <c r="AI65" s="147">
        <f t="shared" si="168"/>
        <v>0.4444444444</v>
      </c>
      <c r="AJ65" s="147">
        <f t="shared" si="168"/>
        <v>0.4444444444</v>
      </c>
      <c r="AK65" s="147">
        <f t="shared" si="168"/>
        <v>0.8</v>
      </c>
      <c r="AL65" s="147">
        <f t="shared" si="168"/>
        <v>0.6666666667</v>
      </c>
      <c r="AM65" s="147">
        <f t="shared" si="168"/>
        <v>0</v>
      </c>
      <c r="AN65" s="148">
        <f>IF(OR(CSE4098A_Spring2026_Grade!$I55="W (Withdrawn)", CSE4098A_Spring2026_Grade!$I55="I (Incomplete)"), 0, IF(AH65&gt;=55%, 1, 0))</f>
        <v>0</v>
      </c>
      <c r="AO65" s="148">
        <f>IF(OR(CSE4098A_Spring2026_Grade!$I55="W (Withdrawn)", CSE4098A_Spring2026_Grade!I55="I (Incomplete)"), 0, IF(AI65&gt;=55%, 1, 0))</f>
        <v>0</v>
      </c>
      <c r="AP65" s="148">
        <f>IF(OR(CSE4098A_Spring2026_Grade!$I55="W (Withdrawn)", CSE4098A_Spring2026_Grade!$I55="I (Incomplete)"), 0, IF(AJ65&gt;=55%, 1, 0))</f>
        <v>0</v>
      </c>
      <c r="AQ65" s="148">
        <f>IF(OR(CSE4098A_Spring2026_Grade!$I55="W (Withdrawn)", CSE4098A_Spring2026_Grade!$I55="I (Incomplete)"), 0, IF(AK65&gt;=55%, 1, 0))</f>
        <v>1</v>
      </c>
      <c r="AR65" s="148">
        <f>IF(OR(CSE4098A_Spring2026_Grade!$I55="W (Withdrawn)", CSE4098A_Spring2026_Grade!$I55="I (Incomplete)"), 0, IF(AL65&gt;=55%, 1, 0))</f>
        <v>1</v>
      </c>
      <c r="AS65" s="148">
        <f>IF(OR(CSE4098A_Spring2026_Grade!$I55="W (Withdrawn)", CSE4098A_Spring2026_Grade!$I55="I (Incomplete)"), 0, IF(AM65&gt;=55%, 1, 0))</f>
        <v>0</v>
      </c>
      <c r="AT65" s="115"/>
      <c r="AU65" s="149">
        <f t="shared" si="16"/>
        <v>0</v>
      </c>
      <c r="AV65" s="149">
        <f t="shared" si="17"/>
        <v>0.4</v>
      </c>
      <c r="AW65" s="149">
        <f t="array" ref="AW65">IF($AV$9=0,0,MMULT($AH65:$AM65, AV$3:AV$8)/$AV$9)</f>
        <v>0</v>
      </c>
      <c r="AX65" s="149">
        <f t="array" ref="AX65">IF($AW$9=0,0,MMULT($AH65:$AM65, AW$3:AW$8)/$AW$9)</f>
        <v>0</v>
      </c>
      <c r="AY65" s="149">
        <f t="shared" si="18"/>
        <v>0</v>
      </c>
      <c r="AZ65" s="149">
        <f t="array" ref="AZ65">IF($AY$9=0,0,MMULT($AH65:$AM65, AY$3:AY$8)/$AY$9)</f>
        <v>0</v>
      </c>
      <c r="BA65" s="149">
        <f t="array" ref="BA65">IF($AZ$9=0,0,MMULT($AH65:$AM65, AZ$3:AZ$8)/$AZ$9)</f>
        <v>0</v>
      </c>
      <c r="BB65" s="149">
        <f t="array" ref="BB65">IF($BA$9=0,0,MMULT($AH65:$AM65, BA$3:BA$8)/$BA$9)</f>
        <v>0</v>
      </c>
      <c r="BC65" s="149">
        <f t="array" ref="BC65">IF($BB$9=0,0,MMULT($AH65:$AM65, BB$3:BB$8)/$BB$9)</f>
        <v>0.8</v>
      </c>
      <c r="BD65" s="149">
        <f t="array" ref="BD65">IF($BC$9=0,0,MMULT($AH65:$AM65, BC$3:BC$8)/$BC$9)</f>
        <v>0.6666666667</v>
      </c>
      <c r="BE65" s="149">
        <f t="shared" si="19"/>
        <v>0.4444444444</v>
      </c>
      <c r="BF65" s="149">
        <f t="shared" si="20"/>
        <v>0.4444444444</v>
      </c>
      <c r="BG65" s="148" t="str">
        <f t="shared" si="21"/>
        <v>#REF!</v>
      </c>
      <c r="BH65" s="148">
        <f>IF(OR(CSE4098A_Spring2026_Grade!$I55="W (Withdrawn)", CSE4098A_Spring2026_Grade!$I55="I (Incomplete)"), 0, IF(AV65&gt;=55%, 1, 0))</f>
        <v>0</v>
      </c>
      <c r="BI65" s="148" t="str">
        <f t="shared" ref="BI65:BN65" si="169">IF(OR(GradeSheet!$M60="W (Withdrawn)", GradeSheet!$M60="I (Incomplete)"), 0, IF(AW65&gt;=55%, 1, 0))</f>
        <v>#REF!</v>
      </c>
      <c r="BJ65" s="148" t="str">
        <f t="shared" si="169"/>
        <v>#REF!</v>
      </c>
      <c r="BK65" s="148" t="str">
        <f t="shared" si="169"/>
        <v>#REF!</v>
      </c>
      <c r="BL65" s="148" t="str">
        <f t="shared" si="169"/>
        <v>#REF!</v>
      </c>
      <c r="BM65" s="148" t="str">
        <f t="shared" si="169"/>
        <v>#REF!</v>
      </c>
      <c r="BN65" s="148" t="str">
        <f t="shared" si="169"/>
        <v>#REF!</v>
      </c>
      <c r="BO65" s="148">
        <f>IF(OR(CSE4098A_Spring2026_Grade!$I55="W (Withdrawn)", CSE4098A_Spring2026_Grade!$I55="I (Incomplete)"), 0, IF(BC65&gt;=55%, 1, 0))</f>
        <v>1</v>
      </c>
      <c r="BP65" s="148">
        <f>IF(OR(CSE4098A_Spring2026_Grade!$I55="W (Withdrawn)", CSE4098A_Spring2026_Grade!$I55="I (Incomplete)"), 0, IF(BD65&gt;=55%, 1, 0))</f>
        <v>1</v>
      </c>
      <c r="BQ65" s="148">
        <f>IF(OR(CSE4098A_Spring2026_Grade!$I55="W (Withdrawn)", CSE4098A_Spring2026_Grade!$I55="I (Incomplete)"), 0, IF(BE65&gt;=55%, 1, 0))</f>
        <v>0</v>
      </c>
      <c r="BR65" s="148">
        <f>IF(OR(CSE4098A_Spring2026_Grade!$I55="W (Withdrawn)", CSE4098A_Spring2026_Grade!$I55="I (Incomplete)"), 0, IF(BF65&gt;=55%, 1, 0))</f>
        <v>0</v>
      </c>
    </row>
    <row r="66">
      <c r="A66" s="136">
        <v>52.0</v>
      </c>
      <c r="B66" s="137">
        <f>CSE4098A_Spring2026_Grade!B56</f>
        <v>231014008</v>
      </c>
      <c r="C66" s="137" t="str">
        <f>CSE4098A_Spring2026_Grade!C56</f>
        <v>Tasnim Taher</v>
      </c>
      <c r="D66" s="138">
        <f>'CO_Report Evaluation'!P54</f>
        <v>6</v>
      </c>
      <c r="E66" s="138">
        <f>'CO_Report Evaluation'!Q54</f>
        <v>1.333333333</v>
      </c>
      <c r="F66" s="138">
        <f>'CO_Report Evaluation'!R54</f>
        <v>1.333333333</v>
      </c>
      <c r="G66" s="139"/>
      <c r="H66" s="139"/>
      <c r="I66" s="140"/>
      <c r="J66" s="138"/>
      <c r="K66" s="141"/>
      <c r="L66" s="141"/>
      <c r="M66" s="150">
        <v>4.0</v>
      </c>
      <c r="N66" s="139"/>
      <c r="O66" s="139"/>
      <c r="P66" s="142"/>
      <c r="Q66" s="143"/>
      <c r="R66" s="143"/>
      <c r="S66" s="143"/>
      <c r="T66" s="141">
        <f>((CSE4098A_Spring2026_Grade!E56)*10)/45</f>
        <v>6.517777778</v>
      </c>
      <c r="U66" s="144"/>
      <c r="V66" s="142"/>
      <c r="W66" s="143"/>
      <c r="X66" s="143"/>
      <c r="Y66" s="143"/>
      <c r="Z66" s="143"/>
      <c r="AA66" s="144"/>
      <c r="AB66" s="145">
        <f t="shared" si="11"/>
        <v>6</v>
      </c>
      <c r="AC66" s="146">
        <f t="shared" ref="AC66:AE66" si="170">SUM(Q66, W66,E66,K66)</f>
        <v>1.333333333</v>
      </c>
      <c r="AD66" s="146">
        <f t="shared" si="170"/>
        <v>1.333333333</v>
      </c>
      <c r="AE66" s="146">
        <f t="shared" si="170"/>
        <v>4</v>
      </c>
      <c r="AF66" s="146">
        <f t="shared" si="13"/>
        <v>6.517777778</v>
      </c>
      <c r="AG66" s="146">
        <f t="shared" si="14"/>
        <v>0</v>
      </c>
      <c r="AH66" s="147">
        <f t="shared" ref="AH66:AM66" si="171">IF(AB66 = 0, 0, AB66/AB$14)</f>
        <v>0.4</v>
      </c>
      <c r="AI66" s="147">
        <f t="shared" si="171"/>
        <v>0.4444444444</v>
      </c>
      <c r="AJ66" s="147">
        <f t="shared" si="171"/>
        <v>0.4444444444</v>
      </c>
      <c r="AK66" s="147">
        <f t="shared" si="171"/>
        <v>0.8</v>
      </c>
      <c r="AL66" s="147">
        <f t="shared" si="171"/>
        <v>0.6517777778</v>
      </c>
      <c r="AM66" s="147">
        <f t="shared" si="171"/>
        <v>0</v>
      </c>
      <c r="AN66" s="148">
        <f>IF(OR(CSE4098A_Spring2026_Grade!$I56="W (Withdrawn)", CSE4098A_Spring2026_Grade!$I56="I (Incomplete)"), 0, IF(AH66&gt;=55%, 1, 0))</f>
        <v>0</v>
      </c>
      <c r="AO66" s="148">
        <f>IF(OR(CSE4098A_Spring2026_Grade!$I56="W (Withdrawn)", CSE4098A_Spring2026_Grade!I56="I (Incomplete)"), 0, IF(AI66&gt;=55%, 1, 0))</f>
        <v>0</v>
      </c>
      <c r="AP66" s="148">
        <f>IF(OR(CSE4098A_Spring2026_Grade!$I56="W (Withdrawn)", CSE4098A_Spring2026_Grade!$I56="I (Incomplete)"), 0, IF(AJ66&gt;=55%, 1, 0))</f>
        <v>0</v>
      </c>
      <c r="AQ66" s="148">
        <f>IF(OR(CSE4098A_Spring2026_Grade!$I56="W (Withdrawn)", CSE4098A_Spring2026_Grade!$I56="I (Incomplete)"), 0, IF(AK66&gt;=55%, 1, 0))</f>
        <v>1</v>
      </c>
      <c r="AR66" s="148">
        <f>IF(OR(CSE4098A_Spring2026_Grade!$I56="W (Withdrawn)", CSE4098A_Spring2026_Grade!$I56="I (Incomplete)"), 0, IF(AL66&gt;=55%, 1, 0))</f>
        <v>1</v>
      </c>
      <c r="AS66" s="148">
        <f>IF(OR(CSE4098A_Spring2026_Grade!$I56="W (Withdrawn)", CSE4098A_Spring2026_Grade!$I56="I (Incomplete)"), 0, IF(AM66&gt;=55%, 1, 0))</f>
        <v>0</v>
      </c>
      <c r="AT66" s="115"/>
      <c r="AU66" s="149">
        <f t="shared" si="16"/>
        <v>0</v>
      </c>
      <c r="AV66" s="149">
        <f t="shared" si="17"/>
        <v>0.4</v>
      </c>
      <c r="AW66" s="149">
        <f t="array" ref="AW66">IF($AV$9=0,0,MMULT($AH66:$AM66, AV$3:AV$8)/$AV$9)</f>
        <v>0</v>
      </c>
      <c r="AX66" s="149">
        <f t="array" ref="AX66">IF($AW$9=0,0,MMULT($AH66:$AM66, AW$3:AW$8)/$AW$9)</f>
        <v>0</v>
      </c>
      <c r="AY66" s="149">
        <f t="shared" si="18"/>
        <v>0</v>
      </c>
      <c r="AZ66" s="149">
        <f t="array" ref="AZ66">IF($AY$9=0,0,MMULT($AH66:$AM66, AY$3:AY$8)/$AY$9)</f>
        <v>0</v>
      </c>
      <c r="BA66" s="149">
        <f t="array" ref="BA66">IF($AZ$9=0,0,MMULT($AH66:$AM66, AZ$3:AZ$8)/$AZ$9)</f>
        <v>0</v>
      </c>
      <c r="BB66" s="149">
        <f t="array" ref="BB66">IF($BA$9=0,0,MMULT($AH66:$AM66, BA$3:BA$8)/$BA$9)</f>
        <v>0</v>
      </c>
      <c r="BC66" s="149">
        <f t="array" ref="BC66">IF($BB$9=0,0,MMULT($AH66:$AM66, BB$3:BB$8)/$BB$9)</f>
        <v>0.8</v>
      </c>
      <c r="BD66" s="149">
        <f t="array" ref="BD66">IF($BC$9=0,0,MMULT($AH66:$AM66, BC$3:BC$8)/$BC$9)</f>
        <v>0.6517777778</v>
      </c>
      <c r="BE66" s="149">
        <f t="shared" si="19"/>
        <v>0.4444444444</v>
      </c>
      <c r="BF66" s="149">
        <f t="shared" si="20"/>
        <v>0.4444444444</v>
      </c>
      <c r="BG66" s="148" t="str">
        <f t="shared" si="21"/>
        <v>#REF!</v>
      </c>
      <c r="BH66" s="148">
        <f>IF(OR(CSE4098A_Spring2026_Grade!$I56="W (Withdrawn)", CSE4098A_Spring2026_Grade!$I56="I (Incomplete)"), 0, IF(AV66&gt;=55%, 1, 0))</f>
        <v>0</v>
      </c>
      <c r="BI66" s="148" t="str">
        <f t="shared" ref="BI66:BN66" si="172">IF(OR(GradeSheet!$M61="W (Withdrawn)", GradeSheet!$M61="I (Incomplete)"), 0, IF(AW66&gt;=55%, 1, 0))</f>
        <v>#REF!</v>
      </c>
      <c r="BJ66" s="148" t="str">
        <f t="shared" si="172"/>
        <v>#REF!</v>
      </c>
      <c r="BK66" s="148" t="str">
        <f t="shared" si="172"/>
        <v>#REF!</v>
      </c>
      <c r="BL66" s="148" t="str">
        <f t="shared" si="172"/>
        <v>#REF!</v>
      </c>
      <c r="BM66" s="148" t="str">
        <f t="shared" si="172"/>
        <v>#REF!</v>
      </c>
      <c r="BN66" s="148" t="str">
        <f t="shared" si="172"/>
        <v>#REF!</v>
      </c>
      <c r="BO66" s="148">
        <f>IF(OR(CSE4098A_Spring2026_Grade!$I56="W (Withdrawn)", CSE4098A_Spring2026_Grade!$I56="I (Incomplete)"), 0, IF(BC66&gt;=55%, 1, 0))</f>
        <v>1</v>
      </c>
      <c r="BP66" s="148">
        <f>IF(OR(CSE4098A_Spring2026_Grade!$I56="W (Withdrawn)", CSE4098A_Spring2026_Grade!$I56="I (Incomplete)"), 0, IF(BD66&gt;=55%, 1, 0))</f>
        <v>1</v>
      </c>
      <c r="BQ66" s="148">
        <f>IF(OR(CSE4098A_Spring2026_Grade!$I56="W (Withdrawn)", CSE4098A_Spring2026_Grade!$I56="I (Incomplete)"), 0, IF(BE66&gt;=55%, 1, 0))</f>
        <v>0</v>
      </c>
      <c r="BR66" s="148">
        <f>IF(OR(CSE4098A_Spring2026_Grade!$I56="W (Withdrawn)", CSE4098A_Spring2026_Grade!$I56="I (Incomplete)"), 0, IF(BF66&gt;=55%, 1, 0))</f>
        <v>0</v>
      </c>
    </row>
    <row r="67">
      <c r="A67" s="136">
        <v>53.0</v>
      </c>
      <c r="B67" s="137">
        <f>CSE4098A_Spring2026_Grade!B57</f>
        <v>223014064</v>
      </c>
      <c r="C67" s="137" t="str">
        <f>CSE4098A_Spring2026_Grade!C57</f>
        <v>Israt Zahan Ifa</v>
      </c>
      <c r="D67" s="138">
        <f>'CO_Report Evaluation'!P55</f>
        <v>6</v>
      </c>
      <c r="E67" s="138">
        <f>'CO_Report Evaluation'!Q55</f>
        <v>1.333333333</v>
      </c>
      <c r="F67" s="138">
        <f>'CO_Report Evaluation'!R55</f>
        <v>1.333333333</v>
      </c>
      <c r="G67" s="139"/>
      <c r="H67" s="139"/>
      <c r="I67" s="140"/>
      <c r="J67" s="138"/>
      <c r="K67" s="141"/>
      <c r="L67" s="141"/>
      <c r="M67" s="150">
        <v>4.0</v>
      </c>
      <c r="N67" s="139"/>
      <c r="O67" s="139"/>
      <c r="P67" s="142"/>
      <c r="Q67" s="143"/>
      <c r="R67" s="143"/>
      <c r="S67" s="143"/>
      <c r="T67" s="141">
        <f>((CSE4098A_Spring2026_Grade!E57)*10)/45</f>
        <v>6.517777778</v>
      </c>
      <c r="U67" s="144"/>
      <c r="V67" s="142"/>
      <c r="W67" s="143"/>
      <c r="X67" s="143"/>
      <c r="Y67" s="143"/>
      <c r="Z67" s="143"/>
      <c r="AA67" s="144"/>
      <c r="AB67" s="145">
        <f t="shared" si="11"/>
        <v>6</v>
      </c>
      <c r="AC67" s="146">
        <f t="shared" ref="AC67:AE67" si="173">SUM(Q67, W67,E67,K67)</f>
        <v>1.333333333</v>
      </c>
      <c r="AD67" s="146">
        <f t="shared" si="173"/>
        <v>1.333333333</v>
      </c>
      <c r="AE67" s="146">
        <f t="shared" si="173"/>
        <v>4</v>
      </c>
      <c r="AF67" s="146">
        <f t="shared" si="13"/>
        <v>6.517777778</v>
      </c>
      <c r="AG67" s="146">
        <f t="shared" si="14"/>
        <v>0</v>
      </c>
      <c r="AH67" s="147">
        <f t="shared" ref="AH67:AM67" si="174">IF(AB67 = 0, 0, AB67/AB$14)</f>
        <v>0.4</v>
      </c>
      <c r="AI67" s="147">
        <f t="shared" si="174"/>
        <v>0.4444444444</v>
      </c>
      <c r="AJ67" s="147">
        <f t="shared" si="174"/>
        <v>0.4444444444</v>
      </c>
      <c r="AK67" s="147">
        <f t="shared" si="174"/>
        <v>0.8</v>
      </c>
      <c r="AL67" s="147">
        <f t="shared" si="174"/>
        <v>0.6517777778</v>
      </c>
      <c r="AM67" s="147">
        <f t="shared" si="174"/>
        <v>0</v>
      </c>
      <c r="AN67" s="148">
        <f>IF(OR(CSE4098A_Spring2026_Grade!$I57="W (Withdrawn)", CSE4098A_Spring2026_Grade!$I57="I (Incomplete)"), 0, IF(AH67&gt;=55%, 1, 0))</f>
        <v>0</v>
      </c>
      <c r="AO67" s="148">
        <f>IF(OR(CSE4098A_Spring2026_Grade!$I57="W (Withdrawn)", CSE4098A_Spring2026_Grade!I57="I (Incomplete)"), 0, IF(AI67&gt;=55%, 1, 0))</f>
        <v>0</v>
      </c>
      <c r="AP67" s="148">
        <f>IF(OR(CSE4098A_Spring2026_Grade!$I57="W (Withdrawn)", CSE4098A_Spring2026_Grade!$I57="I (Incomplete)"), 0, IF(AJ67&gt;=55%, 1, 0))</f>
        <v>0</v>
      </c>
      <c r="AQ67" s="148">
        <f>IF(OR(CSE4098A_Spring2026_Grade!$I57="W (Withdrawn)", CSE4098A_Spring2026_Grade!$I57="I (Incomplete)"), 0, IF(AK67&gt;=55%, 1, 0))</f>
        <v>1</v>
      </c>
      <c r="AR67" s="148">
        <f>IF(OR(CSE4098A_Spring2026_Grade!$I57="W (Withdrawn)", CSE4098A_Spring2026_Grade!$I57="I (Incomplete)"), 0, IF(AL67&gt;=55%, 1, 0))</f>
        <v>1</v>
      </c>
      <c r="AS67" s="148">
        <f>IF(OR(CSE4098A_Spring2026_Grade!$I57="W (Withdrawn)", CSE4098A_Spring2026_Grade!$I57="I (Incomplete)"), 0, IF(AM67&gt;=55%, 1, 0))</f>
        <v>0</v>
      </c>
      <c r="AT67" s="115"/>
      <c r="AU67" s="149">
        <f t="shared" si="16"/>
        <v>0</v>
      </c>
      <c r="AV67" s="149">
        <f t="shared" si="17"/>
        <v>0.4</v>
      </c>
      <c r="AW67" s="149">
        <f t="array" ref="AW67">IF($AV$9=0,0,MMULT($AH67:$AM67, AV$3:AV$8)/$AV$9)</f>
        <v>0</v>
      </c>
      <c r="AX67" s="149">
        <f t="array" ref="AX67">IF($AW$9=0,0,MMULT($AH67:$AM67, AW$3:AW$8)/$AW$9)</f>
        <v>0</v>
      </c>
      <c r="AY67" s="149">
        <f t="shared" si="18"/>
        <v>0</v>
      </c>
      <c r="AZ67" s="149">
        <f t="array" ref="AZ67">IF($AY$9=0,0,MMULT($AH67:$AM67, AY$3:AY$8)/$AY$9)</f>
        <v>0</v>
      </c>
      <c r="BA67" s="149">
        <f t="array" ref="BA67">IF($AZ$9=0,0,MMULT($AH67:$AM67, AZ$3:AZ$8)/$AZ$9)</f>
        <v>0</v>
      </c>
      <c r="BB67" s="149">
        <f t="array" ref="BB67">IF($BA$9=0,0,MMULT($AH67:$AM67, BA$3:BA$8)/$BA$9)</f>
        <v>0</v>
      </c>
      <c r="BC67" s="149">
        <f t="array" ref="BC67">IF($BB$9=0,0,MMULT($AH67:$AM67, BB$3:BB$8)/$BB$9)</f>
        <v>0.8</v>
      </c>
      <c r="BD67" s="149">
        <f t="array" ref="BD67">IF($BC$9=0,0,MMULT($AH67:$AM67, BC$3:BC$8)/$BC$9)</f>
        <v>0.6517777778</v>
      </c>
      <c r="BE67" s="149">
        <f t="shared" si="19"/>
        <v>0.4444444444</v>
      </c>
      <c r="BF67" s="149">
        <f t="shared" si="20"/>
        <v>0.4444444444</v>
      </c>
      <c r="BG67" s="148" t="str">
        <f t="shared" si="21"/>
        <v>#REF!</v>
      </c>
      <c r="BH67" s="148">
        <f>IF(OR(CSE4098A_Spring2026_Grade!$I57="W (Withdrawn)", CSE4098A_Spring2026_Grade!$I57="I (Incomplete)"), 0, IF(AV67&gt;=55%, 1, 0))</f>
        <v>0</v>
      </c>
      <c r="BI67" s="148" t="str">
        <f t="shared" ref="BI67:BN67" si="175">IF(OR(GradeSheet!$M62="W (Withdrawn)", GradeSheet!$M62="I (Incomplete)"), 0, IF(AW67&gt;=55%, 1, 0))</f>
        <v>#REF!</v>
      </c>
      <c r="BJ67" s="148" t="str">
        <f t="shared" si="175"/>
        <v>#REF!</v>
      </c>
      <c r="BK67" s="148" t="str">
        <f t="shared" si="175"/>
        <v>#REF!</v>
      </c>
      <c r="BL67" s="148" t="str">
        <f t="shared" si="175"/>
        <v>#REF!</v>
      </c>
      <c r="BM67" s="148" t="str">
        <f t="shared" si="175"/>
        <v>#REF!</v>
      </c>
      <c r="BN67" s="148" t="str">
        <f t="shared" si="175"/>
        <v>#REF!</v>
      </c>
      <c r="BO67" s="148">
        <f>IF(OR(CSE4098A_Spring2026_Grade!$I57="W (Withdrawn)", CSE4098A_Spring2026_Grade!$I57="I (Incomplete)"), 0, IF(BC67&gt;=55%, 1, 0))</f>
        <v>1</v>
      </c>
      <c r="BP67" s="148">
        <f>IF(OR(CSE4098A_Spring2026_Grade!$I57="W (Withdrawn)", CSE4098A_Spring2026_Grade!$I57="I (Incomplete)"), 0, IF(BD67&gt;=55%, 1, 0))</f>
        <v>1</v>
      </c>
      <c r="BQ67" s="148">
        <f>IF(OR(CSE4098A_Spring2026_Grade!$I57="W (Withdrawn)", CSE4098A_Spring2026_Grade!$I57="I (Incomplete)"), 0, IF(BE67&gt;=55%, 1, 0))</f>
        <v>0</v>
      </c>
      <c r="BR67" s="148">
        <f>IF(OR(CSE4098A_Spring2026_Grade!$I57="W (Withdrawn)", CSE4098A_Spring2026_Grade!$I57="I (Incomplete)"), 0, IF(BF67&gt;=55%, 1, 0))</f>
        <v>0</v>
      </c>
    </row>
    <row r="68">
      <c r="A68" s="136">
        <v>54.0</v>
      </c>
      <c r="B68" s="137">
        <f>CSE4098A_Spring2026_Grade!B58</f>
        <v>231014123</v>
      </c>
      <c r="C68" s="137" t="str">
        <f>CSE4098A_Spring2026_Grade!C58</f>
        <v>Rakib Rahman</v>
      </c>
      <c r="D68" s="138">
        <f>'CO_Report Evaluation'!P56</f>
        <v>6</v>
      </c>
      <c r="E68" s="138">
        <f>'CO_Report Evaluation'!Q56</f>
        <v>1.333333333</v>
      </c>
      <c r="F68" s="138">
        <f>'CO_Report Evaluation'!R56</f>
        <v>1.333333333</v>
      </c>
      <c r="G68" s="139"/>
      <c r="H68" s="139"/>
      <c r="I68" s="140"/>
      <c r="J68" s="138"/>
      <c r="K68" s="141"/>
      <c r="L68" s="141"/>
      <c r="M68" s="150">
        <v>4.0</v>
      </c>
      <c r="N68" s="139"/>
      <c r="O68" s="139"/>
      <c r="P68" s="142"/>
      <c r="Q68" s="143"/>
      <c r="R68" s="143"/>
      <c r="S68" s="143"/>
      <c r="T68" s="141">
        <f>((CSE4098A_Spring2026_Grade!E58)*10)/45</f>
        <v>6.517777778</v>
      </c>
      <c r="U68" s="144"/>
      <c r="V68" s="142"/>
      <c r="W68" s="143"/>
      <c r="X68" s="143"/>
      <c r="Y68" s="143"/>
      <c r="Z68" s="143"/>
      <c r="AA68" s="144"/>
      <c r="AB68" s="145">
        <f t="shared" si="11"/>
        <v>6</v>
      </c>
      <c r="AC68" s="146">
        <f t="shared" ref="AC68:AE68" si="176">SUM(Q68, W68,E68,K68)</f>
        <v>1.333333333</v>
      </c>
      <c r="AD68" s="146">
        <f t="shared" si="176"/>
        <v>1.333333333</v>
      </c>
      <c r="AE68" s="146">
        <f t="shared" si="176"/>
        <v>4</v>
      </c>
      <c r="AF68" s="146">
        <f t="shared" si="13"/>
        <v>6.517777778</v>
      </c>
      <c r="AG68" s="146">
        <f t="shared" si="14"/>
        <v>0</v>
      </c>
      <c r="AH68" s="147">
        <f t="shared" ref="AH68:AM68" si="177">IF(AB68 = 0, 0, AB68/AB$14)</f>
        <v>0.4</v>
      </c>
      <c r="AI68" s="147">
        <f t="shared" si="177"/>
        <v>0.4444444444</v>
      </c>
      <c r="AJ68" s="147">
        <f t="shared" si="177"/>
        <v>0.4444444444</v>
      </c>
      <c r="AK68" s="147">
        <f t="shared" si="177"/>
        <v>0.8</v>
      </c>
      <c r="AL68" s="147">
        <f t="shared" si="177"/>
        <v>0.6517777778</v>
      </c>
      <c r="AM68" s="147">
        <f t="shared" si="177"/>
        <v>0</v>
      </c>
      <c r="AN68" s="148">
        <f>IF(OR(CSE4098A_Spring2026_Grade!$I58="W (Withdrawn)", CSE4098A_Spring2026_Grade!$I58="I (Incomplete)"), 0, IF(AH68&gt;=55%, 1, 0))</f>
        <v>0</v>
      </c>
      <c r="AO68" s="148">
        <f>IF(OR(CSE4098A_Spring2026_Grade!$I58="W (Withdrawn)", CSE4098A_Spring2026_Grade!I58="I (Incomplete)"), 0, IF(AI68&gt;=55%, 1, 0))</f>
        <v>0</v>
      </c>
      <c r="AP68" s="148">
        <f>IF(OR(CSE4098A_Spring2026_Grade!$I58="W (Withdrawn)", CSE4098A_Spring2026_Grade!$I58="I (Incomplete)"), 0, IF(AJ68&gt;=55%, 1, 0))</f>
        <v>0</v>
      </c>
      <c r="AQ68" s="148">
        <f>IF(OR(CSE4098A_Spring2026_Grade!$I58="W (Withdrawn)", CSE4098A_Spring2026_Grade!$I58="I (Incomplete)"), 0, IF(AK68&gt;=55%, 1, 0))</f>
        <v>1</v>
      </c>
      <c r="AR68" s="148">
        <f>IF(OR(CSE4098A_Spring2026_Grade!$I58="W (Withdrawn)", CSE4098A_Spring2026_Grade!$I58="I (Incomplete)"), 0, IF(AL68&gt;=55%, 1, 0))</f>
        <v>1</v>
      </c>
      <c r="AS68" s="148">
        <f>IF(OR(CSE4098A_Spring2026_Grade!$I58="W (Withdrawn)", CSE4098A_Spring2026_Grade!$I58="I (Incomplete)"), 0, IF(AM68&gt;=55%, 1, 0))</f>
        <v>0</v>
      </c>
      <c r="AT68" s="115"/>
      <c r="AU68" s="149">
        <f t="shared" si="16"/>
        <v>0</v>
      </c>
      <c r="AV68" s="149">
        <f t="shared" si="17"/>
        <v>0.4</v>
      </c>
      <c r="AW68" s="149">
        <f t="array" ref="AW68">IF($AV$9=0,0,MMULT($AH68:$AM68, AV$3:AV$8)/$AV$9)</f>
        <v>0</v>
      </c>
      <c r="AX68" s="149">
        <f t="array" ref="AX68">IF($AW$9=0,0,MMULT($AH68:$AM68, AW$3:AW$8)/$AW$9)</f>
        <v>0</v>
      </c>
      <c r="AY68" s="149">
        <f t="shared" si="18"/>
        <v>0</v>
      </c>
      <c r="AZ68" s="149">
        <f t="array" ref="AZ68">IF($AY$9=0,0,MMULT($AH68:$AM68, AY$3:AY$8)/$AY$9)</f>
        <v>0</v>
      </c>
      <c r="BA68" s="149">
        <f t="array" ref="BA68">IF($AZ$9=0,0,MMULT($AH68:$AM68, AZ$3:AZ$8)/$AZ$9)</f>
        <v>0</v>
      </c>
      <c r="BB68" s="149">
        <f t="array" ref="BB68">IF($BA$9=0,0,MMULT($AH68:$AM68, BA$3:BA$8)/$BA$9)</f>
        <v>0</v>
      </c>
      <c r="BC68" s="149">
        <f t="array" ref="BC68">IF($BB$9=0,0,MMULT($AH68:$AM68, BB$3:BB$8)/$BB$9)</f>
        <v>0.8</v>
      </c>
      <c r="BD68" s="149">
        <f t="array" ref="BD68">IF($BC$9=0,0,MMULT($AH68:$AM68, BC$3:BC$8)/$BC$9)</f>
        <v>0.6517777778</v>
      </c>
      <c r="BE68" s="149">
        <f t="shared" si="19"/>
        <v>0.4444444444</v>
      </c>
      <c r="BF68" s="149">
        <f t="shared" si="20"/>
        <v>0.4444444444</v>
      </c>
      <c r="BG68" s="148" t="str">
        <f t="shared" si="21"/>
        <v>#REF!</v>
      </c>
      <c r="BH68" s="148">
        <f>IF(OR(CSE4098A_Spring2026_Grade!$I58="W (Withdrawn)", CSE4098A_Spring2026_Grade!$I58="I (Incomplete)"), 0, IF(AV68&gt;=55%, 1, 0))</f>
        <v>0</v>
      </c>
      <c r="BI68" s="148" t="str">
        <f t="shared" ref="BI68:BN68" si="178">IF(OR(GradeSheet!$M63="W (Withdrawn)", GradeSheet!$M63="I (Incomplete)"), 0, IF(AW68&gt;=55%, 1, 0))</f>
        <v>#REF!</v>
      </c>
      <c r="BJ68" s="148" t="str">
        <f t="shared" si="178"/>
        <v>#REF!</v>
      </c>
      <c r="BK68" s="148" t="str">
        <f t="shared" si="178"/>
        <v>#REF!</v>
      </c>
      <c r="BL68" s="148" t="str">
        <f t="shared" si="178"/>
        <v>#REF!</v>
      </c>
      <c r="BM68" s="148" t="str">
        <f t="shared" si="178"/>
        <v>#REF!</v>
      </c>
      <c r="BN68" s="148" t="str">
        <f t="shared" si="178"/>
        <v>#REF!</v>
      </c>
      <c r="BO68" s="148">
        <f>IF(OR(CSE4098A_Spring2026_Grade!$I58="W (Withdrawn)", CSE4098A_Spring2026_Grade!$I58="I (Incomplete)"), 0, IF(BC68&gt;=55%, 1, 0))</f>
        <v>1</v>
      </c>
      <c r="BP68" s="148">
        <f>IF(OR(CSE4098A_Spring2026_Grade!$I58="W (Withdrawn)", CSE4098A_Spring2026_Grade!$I58="I (Incomplete)"), 0, IF(BD68&gt;=55%, 1, 0))</f>
        <v>1</v>
      </c>
      <c r="BQ68" s="148">
        <f>IF(OR(CSE4098A_Spring2026_Grade!$I58="W (Withdrawn)", CSE4098A_Spring2026_Grade!$I58="I (Incomplete)"), 0, IF(BE68&gt;=55%, 1, 0))</f>
        <v>0</v>
      </c>
      <c r="BR68" s="148">
        <f>IF(OR(CSE4098A_Spring2026_Grade!$I58="W (Withdrawn)", CSE4098A_Spring2026_Grade!$I58="I (Incomplete)"), 0, IF(BF68&gt;=55%, 1, 0))</f>
        <v>0</v>
      </c>
    </row>
    <row r="69">
      <c r="A69" s="136">
        <v>55.0</v>
      </c>
      <c r="B69" s="137">
        <f>CSE4098A_Spring2026_Grade!B59</f>
        <v>223014141</v>
      </c>
      <c r="C69" s="137" t="str">
        <f>CSE4098A_Spring2026_Grade!C59</f>
        <v>Yasin Khandakar</v>
      </c>
      <c r="D69" s="138">
        <f>'CO_Report Evaluation'!P57</f>
        <v>5.666666667</v>
      </c>
      <c r="E69" s="138">
        <f>'CO_Report Evaluation'!Q57</f>
        <v>1</v>
      </c>
      <c r="F69" s="138">
        <f>'CO_Report Evaluation'!R57</f>
        <v>1</v>
      </c>
      <c r="G69" s="139"/>
      <c r="H69" s="139"/>
      <c r="I69" s="140"/>
      <c r="J69" s="138"/>
      <c r="K69" s="141"/>
      <c r="L69" s="141"/>
      <c r="M69" s="150">
        <v>3.0</v>
      </c>
      <c r="N69" s="139"/>
      <c r="O69" s="139"/>
      <c r="P69" s="142"/>
      <c r="Q69" s="143"/>
      <c r="R69" s="143"/>
      <c r="S69" s="143"/>
      <c r="T69" s="141">
        <f>((CSE4098A_Spring2026_Grade!E59)*10)/45</f>
        <v>7.604444444</v>
      </c>
      <c r="U69" s="144"/>
      <c r="V69" s="142"/>
      <c r="W69" s="143"/>
      <c r="X69" s="143"/>
      <c r="Y69" s="143"/>
      <c r="Z69" s="143"/>
      <c r="AA69" s="144"/>
      <c r="AB69" s="145">
        <f t="shared" si="11"/>
        <v>5.666666667</v>
      </c>
      <c r="AC69" s="146">
        <f t="shared" ref="AC69:AE69" si="179">SUM(Q69, W69,E69,K69)</f>
        <v>1</v>
      </c>
      <c r="AD69" s="146">
        <f t="shared" si="179"/>
        <v>1</v>
      </c>
      <c r="AE69" s="146">
        <f t="shared" si="179"/>
        <v>3</v>
      </c>
      <c r="AF69" s="146">
        <f t="shared" si="13"/>
        <v>7.604444444</v>
      </c>
      <c r="AG69" s="146">
        <f t="shared" si="14"/>
        <v>0</v>
      </c>
      <c r="AH69" s="147">
        <f t="shared" ref="AH69:AM69" si="180">IF(AB69 = 0, 0, AB69/AB$14)</f>
        <v>0.3777777778</v>
      </c>
      <c r="AI69" s="147">
        <f t="shared" si="180"/>
        <v>0.3333333333</v>
      </c>
      <c r="AJ69" s="147">
        <f t="shared" si="180"/>
        <v>0.3333333333</v>
      </c>
      <c r="AK69" s="147">
        <f t="shared" si="180"/>
        <v>0.6</v>
      </c>
      <c r="AL69" s="147">
        <f t="shared" si="180"/>
        <v>0.7604444444</v>
      </c>
      <c r="AM69" s="147">
        <f t="shared" si="180"/>
        <v>0</v>
      </c>
      <c r="AN69" s="148">
        <f>IF(OR(CSE4098A_Spring2026_Grade!$I59="W (Withdrawn)", CSE4098A_Spring2026_Grade!$I59="I (Incomplete)"), 0, IF(AH69&gt;=55%, 1, 0))</f>
        <v>0</v>
      </c>
      <c r="AO69" s="148">
        <f>IF(OR(CSE4098A_Spring2026_Grade!$I59="W (Withdrawn)", CSE4098A_Spring2026_Grade!I59="I (Incomplete)"), 0, IF(AI69&gt;=55%, 1, 0))</f>
        <v>0</v>
      </c>
      <c r="AP69" s="148">
        <f>IF(OR(CSE4098A_Spring2026_Grade!$I59="W (Withdrawn)", CSE4098A_Spring2026_Grade!$I59="I (Incomplete)"), 0, IF(AJ69&gt;=55%, 1, 0))</f>
        <v>0</v>
      </c>
      <c r="AQ69" s="148">
        <f>IF(OR(CSE4098A_Spring2026_Grade!$I59="W (Withdrawn)", CSE4098A_Spring2026_Grade!$I59="I (Incomplete)"), 0, IF(AK69&gt;=55%, 1, 0))</f>
        <v>1</v>
      </c>
      <c r="AR69" s="148">
        <f>IF(OR(CSE4098A_Spring2026_Grade!$I59="W (Withdrawn)", CSE4098A_Spring2026_Grade!$I59="I (Incomplete)"), 0, IF(AL69&gt;=55%, 1, 0))</f>
        <v>1</v>
      </c>
      <c r="AS69" s="148">
        <f>IF(OR(CSE4098A_Spring2026_Grade!$I59="W (Withdrawn)", CSE4098A_Spring2026_Grade!$I59="I (Incomplete)"), 0, IF(AM69&gt;=55%, 1, 0))</f>
        <v>0</v>
      </c>
      <c r="AT69" s="115"/>
      <c r="AU69" s="149">
        <f t="shared" si="16"/>
        <v>0</v>
      </c>
      <c r="AV69" s="149">
        <f t="shared" si="17"/>
        <v>0.3777777778</v>
      </c>
      <c r="AW69" s="149">
        <f t="array" ref="AW69">IF($AV$9=0,0,MMULT($AH69:$AM69, AV$3:AV$8)/$AV$9)</f>
        <v>0</v>
      </c>
      <c r="AX69" s="149">
        <f t="array" ref="AX69">IF($AW$9=0,0,MMULT($AH69:$AM69, AW$3:AW$8)/$AW$9)</f>
        <v>0</v>
      </c>
      <c r="AY69" s="149">
        <f t="shared" si="18"/>
        <v>0</v>
      </c>
      <c r="AZ69" s="149">
        <f t="array" ref="AZ69">IF($AY$9=0,0,MMULT($AH69:$AM69, AY$3:AY$8)/$AY$9)</f>
        <v>0</v>
      </c>
      <c r="BA69" s="149">
        <f t="array" ref="BA69">IF($AZ$9=0,0,MMULT($AH69:$AM69, AZ$3:AZ$8)/$AZ$9)</f>
        <v>0</v>
      </c>
      <c r="BB69" s="149">
        <f t="array" ref="BB69">IF($BA$9=0,0,MMULT($AH69:$AM69, BA$3:BA$8)/$BA$9)</f>
        <v>0</v>
      </c>
      <c r="BC69" s="149">
        <f t="array" ref="BC69">IF($BB$9=0,0,MMULT($AH69:$AM69, BB$3:BB$8)/$BB$9)</f>
        <v>0.6</v>
      </c>
      <c r="BD69" s="149">
        <f t="array" ref="BD69">IF($BC$9=0,0,MMULT($AH69:$AM69, BC$3:BC$8)/$BC$9)</f>
        <v>0.7604444444</v>
      </c>
      <c r="BE69" s="149">
        <f t="shared" si="19"/>
        <v>0.3333333333</v>
      </c>
      <c r="BF69" s="149">
        <f t="shared" si="20"/>
        <v>0.3333333333</v>
      </c>
      <c r="BG69" s="148" t="str">
        <f t="shared" si="21"/>
        <v>#REF!</v>
      </c>
      <c r="BH69" s="148">
        <f>IF(OR(CSE4098A_Spring2026_Grade!$I59="W (Withdrawn)", CSE4098A_Spring2026_Grade!$I59="I (Incomplete)"), 0, IF(AV69&gt;=55%, 1, 0))</f>
        <v>0</v>
      </c>
      <c r="BI69" s="148" t="str">
        <f t="shared" ref="BI69:BN69" si="181">IF(OR(GradeSheet!$M64="W (Withdrawn)", GradeSheet!$M64="I (Incomplete)"), 0, IF(AW69&gt;=55%, 1, 0))</f>
        <v>#REF!</v>
      </c>
      <c r="BJ69" s="148" t="str">
        <f t="shared" si="181"/>
        <v>#REF!</v>
      </c>
      <c r="BK69" s="148" t="str">
        <f t="shared" si="181"/>
        <v>#REF!</v>
      </c>
      <c r="BL69" s="148" t="str">
        <f t="shared" si="181"/>
        <v>#REF!</v>
      </c>
      <c r="BM69" s="148" t="str">
        <f t="shared" si="181"/>
        <v>#REF!</v>
      </c>
      <c r="BN69" s="148" t="str">
        <f t="shared" si="181"/>
        <v>#REF!</v>
      </c>
      <c r="BO69" s="148">
        <f>IF(OR(CSE4098A_Spring2026_Grade!$I59="W (Withdrawn)", CSE4098A_Spring2026_Grade!$I59="I (Incomplete)"), 0, IF(BC69&gt;=55%, 1, 0))</f>
        <v>1</v>
      </c>
      <c r="BP69" s="148">
        <f>IF(OR(CSE4098A_Spring2026_Grade!$I59="W (Withdrawn)", CSE4098A_Spring2026_Grade!$I59="I (Incomplete)"), 0, IF(BD69&gt;=55%, 1, 0))</f>
        <v>1</v>
      </c>
      <c r="BQ69" s="148">
        <f>IF(OR(CSE4098A_Spring2026_Grade!$I59="W (Withdrawn)", CSE4098A_Spring2026_Grade!$I59="I (Incomplete)"), 0, IF(BE69&gt;=55%, 1, 0))</f>
        <v>0</v>
      </c>
      <c r="BR69" s="148">
        <f>IF(OR(CSE4098A_Spring2026_Grade!$I59="W (Withdrawn)", CSE4098A_Spring2026_Grade!$I59="I (Incomplete)"), 0, IF(BF69&gt;=55%, 1, 0))</f>
        <v>0</v>
      </c>
    </row>
    <row r="70">
      <c r="A70" s="136">
        <v>56.0</v>
      </c>
      <c r="B70" s="137">
        <f>CSE4098A_Spring2026_Grade!B60</f>
        <v>223014002</v>
      </c>
      <c r="C70" s="137" t="str">
        <f>CSE4098A_Spring2026_Grade!C60</f>
        <v>Sanjida Siddique</v>
      </c>
      <c r="D70" s="138">
        <f>'CO_Report Evaluation'!P58</f>
        <v>5.666666667</v>
      </c>
      <c r="E70" s="138">
        <f>'CO_Report Evaluation'!Q58</f>
        <v>1</v>
      </c>
      <c r="F70" s="138">
        <f>'CO_Report Evaluation'!R58</f>
        <v>1</v>
      </c>
      <c r="G70" s="139"/>
      <c r="H70" s="139"/>
      <c r="I70" s="140"/>
      <c r="J70" s="138"/>
      <c r="K70" s="141"/>
      <c r="L70" s="141"/>
      <c r="M70" s="150">
        <v>3.5</v>
      </c>
      <c r="N70" s="139"/>
      <c r="O70" s="139"/>
      <c r="P70" s="142"/>
      <c r="Q70" s="143"/>
      <c r="R70" s="143"/>
      <c r="S70" s="143"/>
      <c r="T70" s="141">
        <f>((CSE4098A_Spring2026_Grade!E60)*10)/45</f>
        <v>7.16</v>
      </c>
      <c r="U70" s="144"/>
      <c r="V70" s="142"/>
      <c r="W70" s="143"/>
      <c r="X70" s="143"/>
      <c r="Y70" s="143"/>
      <c r="Z70" s="143"/>
      <c r="AA70" s="144"/>
      <c r="AB70" s="145">
        <f t="shared" si="11"/>
        <v>5.666666667</v>
      </c>
      <c r="AC70" s="146">
        <f t="shared" ref="AC70:AE70" si="182">SUM(Q70, W70,E70,K70)</f>
        <v>1</v>
      </c>
      <c r="AD70" s="146">
        <f t="shared" si="182"/>
        <v>1</v>
      </c>
      <c r="AE70" s="146">
        <f t="shared" si="182"/>
        <v>3.5</v>
      </c>
      <c r="AF70" s="146">
        <f t="shared" si="13"/>
        <v>7.16</v>
      </c>
      <c r="AG70" s="146">
        <f t="shared" si="14"/>
        <v>0</v>
      </c>
      <c r="AH70" s="147">
        <f t="shared" ref="AH70:AM70" si="183">IF(AB70 = 0, 0, AB70/AB$14)</f>
        <v>0.3777777778</v>
      </c>
      <c r="AI70" s="147">
        <f t="shared" si="183"/>
        <v>0.3333333333</v>
      </c>
      <c r="AJ70" s="147">
        <f t="shared" si="183"/>
        <v>0.3333333333</v>
      </c>
      <c r="AK70" s="147">
        <f t="shared" si="183"/>
        <v>0.7</v>
      </c>
      <c r="AL70" s="147">
        <f t="shared" si="183"/>
        <v>0.716</v>
      </c>
      <c r="AM70" s="147">
        <f t="shared" si="183"/>
        <v>0</v>
      </c>
      <c r="AN70" s="148">
        <f>IF(OR(CSE4098A_Spring2026_Grade!$I60="W (Withdrawn)", CSE4098A_Spring2026_Grade!$I60="I (Incomplete)"), 0, IF(AH70&gt;=55%, 1, 0))</f>
        <v>0</v>
      </c>
      <c r="AO70" s="148">
        <f>IF(OR(CSE4098A_Spring2026_Grade!$I60="W (Withdrawn)", CSE4098A_Spring2026_Grade!I60="I (Incomplete)"), 0, IF(AI70&gt;=55%, 1, 0))</f>
        <v>0</v>
      </c>
      <c r="AP70" s="148">
        <f>IF(OR(CSE4098A_Spring2026_Grade!$I60="W (Withdrawn)", CSE4098A_Spring2026_Grade!$I60="I (Incomplete)"), 0, IF(AJ70&gt;=55%, 1, 0))</f>
        <v>0</v>
      </c>
      <c r="AQ70" s="148">
        <f>IF(OR(CSE4098A_Spring2026_Grade!$I60="W (Withdrawn)", CSE4098A_Spring2026_Grade!$I60="I (Incomplete)"), 0, IF(AK70&gt;=55%, 1, 0))</f>
        <v>1</v>
      </c>
      <c r="AR70" s="148">
        <f>IF(OR(CSE4098A_Spring2026_Grade!$I60="W (Withdrawn)", CSE4098A_Spring2026_Grade!$I60="I (Incomplete)"), 0, IF(AL70&gt;=55%, 1, 0))</f>
        <v>1</v>
      </c>
      <c r="AS70" s="148">
        <f>IF(OR(CSE4098A_Spring2026_Grade!$I60="W (Withdrawn)", CSE4098A_Spring2026_Grade!$I60="I (Incomplete)"), 0, IF(AM70&gt;=55%, 1, 0))</f>
        <v>0</v>
      </c>
      <c r="AT70" s="115"/>
      <c r="AU70" s="149">
        <f t="shared" si="16"/>
        <v>0</v>
      </c>
      <c r="AV70" s="149">
        <f t="shared" si="17"/>
        <v>0.3777777778</v>
      </c>
      <c r="AW70" s="149">
        <f t="array" ref="AW70">IF($AV$9=0,0,MMULT($AH70:$AM70, AV$3:AV$8)/$AV$9)</f>
        <v>0</v>
      </c>
      <c r="AX70" s="149">
        <f t="array" ref="AX70">IF($AW$9=0,0,MMULT($AH70:$AM70, AW$3:AW$8)/$AW$9)</f>
        <v>0</v>
      </c>
      <c r="AY70" s="149">
        <f t="shared" si="18"/>
        <v>0</v>
      </c>
      <c r="AZ70" s="149">
        <f t="array" ref="AZ70">IF($AY$9=0,0,MMULT($AH70:$AM70, AY$3:AY$8)/$AY$9)</f>
        <v>0</v>
      </c>
      <c r="BA70" s="149">
        <f t="array" ref="BA70">IF($AZ$9=0,0,MMULT($AH70:$AM70, AZ$3:AZ$8)/$AZ$9)</f>
        <v>0</v>
      </c>
      <c r="BB70" s="149">
        <f t="array" ref="BB70">IF($BA$9=0,0,MMULT($AH70:$AM70, BA$3:BA$8)/$BA$9)</f>
        <v>0</v>
      </c>
      <c r="BC70" s="149">
        <f t="array" ref="BC70">IF($BB$9=0,0,MMULT($AH70:$AM70, BB$3:BB$8)/$BB$9)</f>
        <v>0.7</v>
      </c>
      <c r="BD70" s="149">
        <f t="array" ref="BD70">IF($BC$9=0,0,MMULT($AH70:$AM70, BC$3:BC$8)/$BC$9)</f>
        <v>0.716</v>
      </c>
      <c r="BE70" s="149">
        <f t="shared" si="19"/>
        <v>0.3333333333</v>
      </c>
      <c r="BF70" s="149">
        <f t="shared" si="20"/>
        <v>0.3333333333</v>
      </c>
      <c r="BG70" s="148" t="str">
        <f t="shared" si="21"/>
        <v>#REF!</v>
      </c>
      <c r="BH70" s="148">
        <f>IF(OR(CSE4098A_Spring2026_Grade!$I60="W (Withdrawn)", CSE4098A_Spring2026_Grade!$I60="I (Incomplete)"), 0, IF(AV70&gt;=55%, 1, 0))</f>
        <v>0</v>
      </c>
      <c r="BI70" s="148" t="str">
        <f t="shared" ref="BI70:BN70" si="184">IF(OR(GradeSheet!$M65="W (Withdrawn)", GradeSheet!$M65="I (Incomplete)"), 0, IF(AW70&gt;=55%, 1, 0))</f>
        <v>#REF!</v>
      </c>
      <c r="BJ70" s="148" t="str">
        <f t="shared" si="184"/>
        <v>#REF!</v>
      </c>
      <c r="BK70" s="148" t="str">
        <f t="shared" si="184"/>
        <v>#REF!</v>
      </c>
      <c r="BL70" s="148" t="str">
        <f t="shared" si="184"/>
        <v>#REF!</v>
      </c>
      <c r="BM70" s="148" t="str">
        <f t="shared" si="184"/>
        <v>#REF!</v>
      </c>
      <c r="BN70" s="148" t="str">
        <f t="shared" si="184"/>
        <v>#REF!</v>
      </c>
      <c r="BO70" s="148">
        <f>IF(OR(CSE4098A_Spring2026_Grade!$I60="W (Withdrawn)", CSE4098A_Spring2026_Grade!$I60="I (Incomplete)"), 0, IF(BC70&gt;=55%, 1, 0))</f>
        <v>1</v>
      </c>
      <c r="BP70" s="148">
        <f>IF(OR(CSE4098A_Spring2026_Grade!$I60="W (Withdrawn)", CSE4098A_Spring2026_Grade!$I60="I (Incomplete)"), 0, IF(BD70&gt;=55%, 1, 0))</f>
        <v>1</v>
      </c>
      <c r="BQ70" s="148">
        <f>IF(OR(CSE4098A_Spring2026_Grade!$I60="W (Withdrawn)", CSE4098A_Spring2026_Grade!$I60="I (Incomplete)"), 0, IF(BE70&gt;=55%, 1, 0))</f>
        <v>0</v>
      </c>
      <c r="BR70" s="148">
        <f>IF(OR(CSE4098A_Spring2026_Grade!$I60="W (Withdrawn)", CSE4098A_Spring2026_Grade!$I60="I (Incomplete)"), 0, IF(BF70&gt;=55%, 1, 0))</f>
        <v>0</v>
      </c>
    </row>
    <row r="71">
      <c r="A71" s="136">
        <v>57.0</v>
      </c>
      <c r="B71" s="137">
        <f>CSE4098A_Spring2026_Grade!B61</f>
        <v>221014059</v>
      </c>
      <c r="C71" s="137" t="str">
        <f>CSE4098A_Spring2026_Grade!C61</f>
        <v>Shakila Rahman Sudha</v>
      </c>
      <c r="D71" s="138">
        <f>'CO_Report Evaluation'!P59</f>
        <v>5.666666667</v>
      </c>
      <c r="E71" s="138">
        <f>'CO_Report Evaluation'!Q59</f>
        <v>1</v>
      </c>
      <c r="F71" s="138">
        <f>'CO_Report Evaluation'!R59</f>
        <v>1</v>
      </c>
      <c r="G71" s="139"/>
      <c r="H71" s="139"/>
      <c r="I71" s="140"/>
      <c r="J71" s="138"/>
      <c r="K71" s="141"/>
      <c r="L71" s="141"/>
      <c r="M71" s="150">
        <v>3.5</v>
      </c>
      <c r="N71" s="139"/>
      <c r="O71" s="139"/>
      <c r="P71" s="142"/>
      <c r="Q71" s="143"/>
      <c r="R71" s="143"/>
      <c r="S71" s="143"/>
      <c r="T71" s="141">
        <f>((CSE4098A_Spring2026_Grade!E61)*10)/45</f>
        <v>7.062222222</v>
      </c>
      <c r="U71" s="144"/>
      <c r="V71" s="142"/>
      <c r="W71" s="143"/>
      <c r="X71" s="143"/>
      <c r="Y71" s="143"/>
      <c r="Z71" s="143"/>
      <c r="AA71" s="144"/>
      <c r="AB71" s="145">
        <f t="shared" si="11"/>
        <v>5.666666667</v>
      </c>
      <c r="AC71" s="146">
        <f t="shared" ref="AC71:AE71" si="185">SUM(Q71, W71,E71,K71)</f>
        <v>1</v>
      </c>
      <c r="AD71" s="146">
        <f t="shared" si="185"/>
        <v>1</v>
      </c>
      <c r="AE71" s="146">
        <f t="shared" si="185"/>
        <v>3.5</v>
      </c>
      <c r="AF71" s="146">
        <f t="shared" si="13"/>
        <v>7.062222222</v>
      </c>
      <c r="AG71" s="146">
        <f t="shared" si="14"/>
        <v>0</v>
      </c>
      <c r="AH71" s="147">
        <f t="shared" ref="AH71:AM71" si="186">IF(AB71 = 0, 0, AB71/AB$14)</f>
        <v>0.3777777778</v>
      </c>
      <c r="AI71" s="147">
        <f t="shared" si="186"/>
        <v>0.3333333333</v>
      </c>
      <c r="AJ71" s="147">
        <f t="shared" si="186"/>
        <v>0.3333333333</v>
      </c>
      <c r="AK71" s="147">
        <f t="shared" si="186"/>
        <v>0.7</v>
      </c>
      <c r="AL71" s="147">
        <f t="shared" si="186"/>
        <v>0.7062222222</v>
      </c>
      <c r="AM71" s="147">
        <f t="shared" si="186"/>
        <v>0</v>
      </c>
      <c r="AN71" s="148">
        <f>IF(OR(CSE4098A_Spring2026_Grade!$I61="W (Withdrawn)", CSE4098A_Spring2026_Grade!$I61="I (Incomplete)"), 0, IF(AH71&gt;=55%, 1, 0))</f>
        <v>0</v>
      </c>
      <c r="AO71" s="148">
        <f>IF(OR(CSE4098A_Spring2026_Grade!$I61="W (Withdrawn)", CSE4098A_Spring2026_Grade!I61="I (Incomplete)"), 0, IF(AI71&gt;=55%, 1, 0))</f>
        <v>0</v>
      </c>
      <c r="AP71" s="148">
        <f>IF(OR(CSE4098A_Spring2026_Grade!$I61="W (Withdrawn)", CSE4098A_Spring2026_Grade!$I61="I (Incomplete)"), 0, IF(AJ71&gt;=55%, 1, 0))</f>
        <v>0</v>
      </c>
      <c r="AQ71" s="148">
        <f>IF(OR(CSE4098A_Spring2026_Grade!$I61="W (Withdrawn)", CSE4098A_Spring2026_Grade!$I61="I (Incomplete)"), 0, IF(AK71&gt;=55%, 1, 0))</f>
        <v>1</v>
      </c>
      <c r="AR71" s="148">
        <f>IF(OR(CSE4098A_Spring2026_Grade!$I61="W (Withdrawn)", CSE4098A_Spring2026_Grade!$I61="I (Incomplete)"), 0, IF(AL71&gt;=55%, 1, 0))</f>
        <v>1</v>
      </c>
      <c r="AS71" s="148">
        <f>IF(OR(CSE4098A_Spring2026_Grade!$I61="W (Withdrawn)", CSE4098A_Spring2026_Grade!$I61="I (Incomplete)"), 0, IF(AM71&gt;=55%, 1, 0))</f>
        <v>0</v>
      </c>
      <c r="AT71" s="115"/>
      <c r="AU71" s="149">
        <f t="shared" si="16"/>
        <v>0</v>
      </c>
      <c r="AV71" s="149">
        <f t="shared" si="17"/>
        <v>0.3777777778</v>
      </c>
      <c r="AW71" s="149">
        <f t="array" ref="AW71">IF($AV$9=0,0,MMULT($AH71:$AM71, AV$3:AV$8)/$AV$9)</f>
        <v>0</v>
      </c>
      <c r="AX71" s="149">
        <f t="array" ref="AX71">IF($AW$9=0,0,MMULT($AH71:$AM71, AW$3:AW$8)/$AW$9)</f>
        <v>0</v>
      </c>
      <c r="AY71" s="149">
        <f t="shared" si="18"/>
        <v>0</v>
      </c>
      <c r="AZ71" s="149">
        <f t="array" ref="AZ71">IF($AY$9=0,0,MMULT($AH71:$AM71, AY$3:AY$8)/$AY$9)</f>
        <v>0</v>
      </c>
      <c r="BA71" s="149">
        <f t="array" ref="BA71">IF($AZ$9=0,0,MMULT($AH71:$AM71, AZ$3:AZ$8)/$AZ$9)</f>
        <v>0</v>
      </c>
      <c r="BB71" s="149">
        <f t="array" ref="BB71">IF($BA$9=0,0,MMULT($AH71:$AM71, BA$3:BA$8)/$BA$9)</f>
        <v>0</v>
      </c>
      <c r="BC71" s="149">
        <f t="array" ref="BC71">IF($BB$9=0,0,MMULT($AH71:$AM71, BB$3:BB$8)/$BB$9)</f>
        <v>0.7</v>
      </c>
      <c r="BD71" s="149">
        <f t="array" ref="BD71">IF($BC$9=0,0,MMULT($AH71:$AM71, BC$3:BC$8)/$BC$9)</f>
        <v>0.7062222222</v>
      </c>
      <c r="BE71" s="149">
        <f t="shared" si="19"/>
        <v>0.3333333333</v>
      </c>
      <c r="BF71" s="149">
        <f t="shared" si="20"/>
        <v>0.3333333333</v>
      </c>
      <c r="BG71" s="148" t="str">
        <f t="shared" si="21"/>
        <v>#REF!</v>
      </c>
      <c r="BH71" s="148">
        <f>IF(OR(CSE4098A_Spring2026_Grade!$I61="W (Withdrawn)", CSE4098A_Spring2026_Grade!$I61="I (Incomplete)"), 0, IF(AV71&gt;=55%, 1, 0))</f>
        <v>0</v>
      </c>
      <c r="BI71" s="148" t="str">
        <f t="shared" ref="BI71:BN71" si="187">IF(OR(GradeSheet!$M66="W (Withdrawn)", GradeSheet!$M66="I (Incomplete)"), 0, IF(AW71&gt;=55%, 1, 0))</f>
        <v>#REF!</v>
      </c>
      <c r="BJ71" s="148" t="str">
        <f t="shared" si="187"/>
        <v>#REF!</v>
      </c>
      <c r="BK71" s="148" t="str">
        <f t="shared" si="187"/>
        <v>#REF!</v>
      </c>
      <c r="BL71" s="148" t="str">
        <f t="shared" si="187"/>
        <v>#REF!</v>
      </c>
      <c r="BM71" s="148" t="str">
        <f t="shared" si="187"/>
        <v>#REF!</v>
      </c>
      <c r="BN71" s="148" t="str">
        <f t="shared" si="187"/>
        <v>#REF!</v>
      </c>
      <c r="BO71" s="148">
        <f>IF(OR(CSE4098A_Spring2026_Grade!$I61="W (Withdrawn)", CSE4098A_Spring2026_Grade!$I61="I (Incomplete)"), 0, IF(BC71&gt;=55%, 1, 0))</f>
        <v>1</v>
      </c>
      <c r="BP71" s="148">
        <f>IF(OR(CSE4098A_Spring2026_Grade!$I61="W (Withdrawn)", CSE4098A_Spring2026_Grade!$I61="I (Incomplete)"), 0, IF(BD71&gt;=55%, 1, 0))</f>
        <v>1</v>
      </c>
      <c r="BQ71" s="148">
        <f>IF(OR(CSE4098A_Spring2026_Grade!$I61="W (Withdrawn)", CSE4098A_Spring2026_Grade!$I61="I (Incomplete)"), 0, IF(BE71&gt;=55%, 1, 0))</f>
        <v>0</v>
      </c>
      <c r="BR71" s="148">
        <f>IF(OR(CSE4098A_Spring2026_Grade!$I61="W (Withdrawn)", CSE4098A_Spring2026_Grade!$I61="I (Incomplete)"), 0, IF(BF71&gt;=55%, 1, 0))</f>
        <v>0</v>
      </c>
    </row>
    <row r="72">
      <c r="A72" s="136">
        <v>58.0</v>
      </c>
      <c r="B72" s="137">
        <f>CSE4098A_Spring2026_Grade!B62</f>
        <v>222014061</v>
      </c>
      <c r="C72" s="137" t="str">
        <f>CSE4098A_Spring2026_Grade!C62</f>
        <v>Rafsan Jani Siam</v>
      </c>
      <c r="D72" s="138">
        <f>'CO_Report Evaluation'!P60</f>
        <v>5.666666667</v>
      </c>
      <c r="E72" s="138">
        <f>'CO_Report Evaluation'!Q60</f>
        <v>1</v>
      </c>
      <c r="F72" s="138">
        <f>'CO_Report Evaluation'!R60</f>
        <v>1</v>
      </c>
      <c r="G72" s="139"/>
      <c r="H72" s="139"/>
      <c r="I72" s="140"/>
      <c r="J72" s="138"/>
      <c r="K72" s="141"/>
      <c r="L72" s="141"/>
      <c r="M72" s="150">
        <v>2.0</v>
      </c>
      <c r="N72" s="139"/>
      <c r="O72" s="139"/>
      <c r="P72" s="142"/>
      <c r="Q72" s="143"/>
      <c r="R72" s="143"/>
      <c r="S72" s="143"/>
      <c r="T72" s="141">
        <f>((CSE4098A_Spring2026_Grade!E62)*10)/45</f>
        <v>6.073333333</v>
      </c>
      <c r="U72" s="144"/>
      <c r="V72" s="142"/>
      <c r="W72" s="143"/>
      <c r="X72" s="143"/>
      <c r="Y72" s="143"/>
      <c r="Z72" s="143"/>
      <c r="AA72" s="144"/>
      <c r="AB72" s="145">
        <f t="shared" si="11"/>
        <v>5.666666667</v>
      </c>
      <c r="AC72" s="146">
        <f t="shared" ref="AC72:AE72" si="188">SUM(Q72, W72,E72,K72)</f>
        <v>1</v>
      </c>
      <c r="AD72" s="146">
        <f t="shared" si="188"/>
        <v>1</v>
      </c>
      <c r="AE72" s="146">
        <f t="shared" si="188"/>
        <v>2</v>
      </c>
      <c r="AF72" s="146">
        <f t="shared" si="13"/>
        <v>6.073333333</v>
      </c>
      <c r="AG72" s="146">
        <f t="shared" si="14"/>
        <v>0</v>
      </c>
      <c r="AH72" s="147">
        <f t="shared" ref="AH72:AM72" si="189">IF(AB72 = 0, 0, AB72/AB$14)</f>
        <v>0.3777777778</v>
      </c>
      <c r="AI72" s="147">
        <f t="shared" si="189"/>
        <v>0.3333333333</v>
      </c>
      <c r="AJ72" s="147">
        <f t="shared" si="189"/>
        <v>0.3333333333</v>
      </c>
      <c r="AK72" s="147">
        <f t="shared" si="189"/>
        <v>0.4</v>
      </c>
      <c r="AL72" s="147">
        <f t="shared" si="189"/>
        <v>0.6073333333</v>
      </c>
      <c r="AM72" s="147">
        <f t="shared" si="189"/>
        <v>0</v>
      </c>
      <c r="AN72" s="148">
        <f>IF(OR(CSE4098A_Spring2026_Grade!$I62="W (Withdrawn)", CSE4098A_Spring2026_Grade!$I62="I (Incomplete)"), 0, IF(AH72&gt;=55%, 1, 0))</f>
        <v>0</v>
      </c>
      <c r="AO72" s="148">
        <f>IF(OR(CSE4098A_Spring2026_Grade!$I62="W (Withdrawn)", CSE4098A_Spring2026_Grade!I62="I (Incomplete)"), 0, IF(AI72&gt;=55%, 1, 0))</f>
        <v>0</v>
      </c>
      <c r="AP72" s="148">
        <f>IF(OR(CSE4098A_Spring2026_Grade!$I62="W (Withdrawn)", CSE4098A_Spring2026_Grade!$I62="I (Incomplete)"), 0, IF(AJ72&gt;=55%, 1, 0))</f>
        <v>0</v>
      </c>
      <c r="AQ72" s="148">
        <f>IF(OR(CSE4098A_Spring2026_Grade!$I62="W (Withdrawn)", CSE4098A_Spring2026_Grade!$I62="I (Incomplete)"), 0, IF(AK72&gt;=55%, 1, 0))</f>
        <v>0</v>
      </c>
      <c r="AR72" s="148">
        <f>IF(OR(CSE4098A_Spring2026_Grade!$I62="W (Withdrawn)", CSE4098A_Spring2026_Grade!$I62="I (Incomplete)"), 0, IF(AL72&gt;=55%, 1, 0))</f>
        <v>1</v>
      </c>
      <c r="AS72" s="148">
        <f>IF(OR(CSE4098A_Spring2026_Grade!$I62="W (Withdrawn)", CSE4098A_Spring2026_Grade!$I62="I (Incomplete)"), 0, IF(AM72&gt;=55%, 1, 0))</f>
        <v>0</v>
      </c>
      <c r="AT72" s="115"/>
      <c r="AU72" s="149">
        <f t="shared" si="16"/>
        <v>0</v>
      </c>
      <c r="AV72" s="149">
        <f t="shared" si="17"/>
        <v>0.3777777778</v>
      </c>
      <c r="AW72" s="149">
        <f t="array" ref="AW72">IF($AV$9=0,0,MMULT($AH72:$AM72, AV$3:AV$8)/$AV$9)</f>
        <v>0</v>
      </c>
      <c r="AX72" s="149">
        <f t="array" ref="AX72">IF($AW$9=0,0,MMULT($AH72:$AM72, AW$3:AW$8)/$AW$9)</f>
        <v>0</v>
      </c>
      <c r="AY72" s="149">
        <f t="shared" si="18"/>
        <v>0</v>
      </c>
      <c r="AZ72" s="149">
        <f t="array" ref="AZ72">IF($AY$9=0,0,MMULT($AH72:$AM72, AY$3:AY$8)/$AY$9)</f>
        <v>0</v>
      </c>
      <c r="BA72" s="149">
        <f t="array" ref="BA72">IF($AZ$9=0,0,MMULT($AH72:$AM72, AZ$3:AZ$8)/$AZ$9)</f>
        <v>0</v>
      </c>
      <c r="BB72" s="149">
        <f t="array" ref="BB72">IF($BA$9=0,0,MMULT($AH72:$AM72, BA$3:BA$8)/$BA$9)</f>
        <v>0</v>
      </c>
      <c r="BC72" s="149">
        <f t="array" ref="BC72">IF($BB$9=0,0,MMULT($AH72:$AM72, BB$3:BB$8)/$BB$9)</f>
        <v>0.4</v>
      </c>
      <c r="BD72" s="149">
        <f t="array" ref="BD72">IF($BC$9=0,0,MMULT($AH72:$AM72, BC$3:BC$8)/$BC$9)</f>
        <v>0.6073333333</v>
      </c>
      <c r="BE72" s="149">
        <f t="shared" si="19"/>
        <v>0.3333333333</v>
      </c>
      <c r="BF72" s="149">
        <f t="shared" si="20"/>
        <v>0.3333333333</v>
      </c>
      <c r="BG72" s="148" t="str">
        <f t="shared" si="21"/>
        <v>#REF!</v>
      </c>
      <c r="BH72" s="148">
        <f>IF(OR(CSE4098A_Spring2026_Grade!$I62="W (Withdrawn)", CSE4098A_Spring2026_Grade!$I62="I (Incomplete)"), 0, IF(AV72&gt;=55%, 1, 0))</f>
        <v>0</v>
      </c>
      <c r="BI72" s="148" t="str">
        <f t="shared" ref="BI72:BN72" si="190">IF(OR(GradeSheet!$M67="W (Withdrawn)", GradeSheet!$M67="I (Incomplete)"), 0, IF(AW72&gt;=55%, 1, 0))</f>
        <v>#REF!</v>
      </c>
      <c r="BJ72" s="148" t="str">
        <f t="shared" si="190"/>
        <v>#REF!</v>
      </c>
      <c r="BK72" s="148" t="str">
        <f t="shared" si="190"/>
        <v>#REF!</v>
      </c>
      <c r="BL72" s="148" t="str">
        <f t="shared" si="190"/>
        <v>#REF!</v>
      </c>
      <c r="BM72" s="148" t="str">
        <f t="shared" si="190"/>
        <v>#REF!</v>
      </c>
      <c r="BN72" s="148" t="str">
        <f t="shared" si="190"/>
        <v>#REF!</v>
      </c>
      <c r="BO72" s="148">
        <f>IF(OR(CSE4098A_Spring2026_Grade!$I62="W (Withdrawn)", CSE4098A_Spring2026_Grade!$I62="I (Incomplete)"), 0, IF(BC72&gt;=55%, 1, 0))</f>
        <v>0</v>
      </c>
      <c r="BP72" s="148">
        <f>IF(OR(CSE4098A_Spring2026_Grade!$I62="W (Withdrawn)", CSE4098A_Spring2026_Grade!$I62="I (Incomplete)"), 0, IF(BD72&gt;=55%, 1, 0))</f>
        <v>1</v>
      </c>
      <c r="BQ72" s="148">
        <f>IF(OR(CSE4098A_Spring2026_Grade!$I62="W (Withdrawn)", CSE4098A_Spring2026_Grade!$I62="I (Incomplete)"), 0, IF(BE72&gt;=55%, 1, 0))</f>
        <v>0</v>
      </c>
      <c r="BR72" s="148">
        <f>IF(OR(CSE4098A_Spring2026_Grade!$I62="W (Withdrawn)", CSE4098A_Spring2026_Grade!$I62="I (Incomplete)"), 0, IF(BF72&gt;=55%, 1, 0))</f>
        <v>0</v>
      </c>
    </row>
    <row r="73">
      <c r="A73" s="136">
        <v>59.0</v>
      </c>
      <c r="B73" s="137">
        <f>CSE4098A_Spring2026_Grade!B63</f>
        <v>222014014</v>
      </c>
      <c r="C73" s="137" t="str">
        <f>CSE4098A_Spring2026_Grade!C63</f>
        <v>Bahadur Zamn Shezan</v>
      </c>
      <c r="D73" s="138">
        <f>'CO_Report Evaluation'!P61</f>
        <v>11.33333333</v>
      </c>
      <c r="E73" s="138">
        <f>'CO_Report Evaluation'!Q61</f>
        <v>2</v>
      </c>
      <c r="F73" s="138">
        <f>'CO_Report Evaluation'!R61</f>
        <v>2</v>
      </c>
      <c r="G73" s="139"/>
      <c r="H73" s="139"/>
      <c r="I73" s="140"/>
      <c r="J73" s="138"/>
      <c r="K73" s="141"/>
      <c r="L73" s="141"/>
      <c r="M73" s="141">
        <v>4.0</v>
      </c>
      <c r="N73" s="139"/>
      <c r="O73" s="139"/>
      <c r="P73" s="142"/>
      <c r="Q73" s="143"/>
      <c r="R73" s="143"/>
      <c r="S73" s="143"/>
      <c r="T73" s="141">
        <f>((CSE4098A_Spring2026_Grade!E63)*10)/45</f>
        <v>8.371111111</v>
      </c>
      <c r="U73" s="144"/>
      <c r="V73" s="142"/>
      <c r="W73" s="143"/>
      <c r="X73" s="143"/>
      <c r="Y73" s="143"/>
      <c r="Z73" s="143"/>
      <c r="AA73" s="144"/>
      <c r="AB73" s="145">
        <f t="shared" si="11"/>
        <v>11.33333333</v>
      </c>
      <c r="AC73" s="146">
        <f t="shared" ref="AC73:AE73" si="191">SUM(Q73, W73,E73,K73)</f>
        <v>2</v>
      </c>
      <c r="AD73" s="146">
        <f t="shared" si="191"/>
        <v>2</v>
      </c>
      <c r="AE73" s="146">
        <f t="shared" si="191"/>
        <v>4</v>
      </c>
      <c r="AF73" s="146">
        <f t="shared" si="13"/>
        <v>8.371111111</v>
      </c>
      <c r="AG73" s="146">
        <f t="shared" si="14"/>
        <v>0</v>
      </c>
      <c r="AH73" s="147">
        <f t="shared" ref="AH73:AM73" si="192">IF(AB73 = 0, 0, AB73/AB$14)</f>
        <v>0.7555555556</v>
      </c>
      <c r="AI73" s="147">
        <f t="shared" si="192"/>
        <v>0.6666666667</v>
      </c>
      <c r="AJ73" s="147">
        <f t="shared" si="192"/>
        <v>0.6666666667</v>
      </c>
      <c r="AK73" s="147">
        <f t="shared" si="192"/>
        <v>0.8</v>
      </c>
      <c r="AL73" s="147">
        <f t="shared" si="192"/>
        <v>0.8371111111</v>
      </c>
      <c r="AM73" s="147">
        <f t="shared" si="192"/>
        <v>0</v>
      </c>
      <c r="AN73" s="148">
        <f>IF(OR(CSE4098A_Spring2026_Grade!$I63="W (Withdrawn)", CSE4098A_Spring2026_Grade!$I63="I (Incomplete)"), 0, IF(AH73&gt;=55%, 1, 0))</f>
        <v>1</v>
      </c>
      <c r="AO73" s="148">
        <f>IF(OR(CSE4098A_Spring2026_Grade!$I63="W (Withdrawn)", CSE4098A_Spring2026_Grade!I63="I (Incomplete)"), 0, IF(AI73&gt;=55%, 1, 0))</f>
        <v>1</v>
      </c>
      <c r="AP73" s="148">
        <f>IF(OR(CSE4098A_Spring2026_Grade!$I63="W (Withdrawn)", CSE4098A_Spring2026_Grade!$I63="I (Incomplete)"), 0, IF(AJ73&gt;=55%, 1, 0))</f>
        <v>1</v>
      </c>
      <c r="AQ73" s="148">
        <f>IF(OR(CSE4098A_Spring2026_Grade!$I63="W (Withdrawn)", CSE4098A_Spring2026_Grade!$I63="I (Incomplete)"), 0, IF(AK73&gt;=55%, 1, 0))</f>
        <v>1</v>
      </c>
      <c r="AR73" s="148">
        <f>IF(OR(CSE4098A_Spring2026_Grade!$I63="W (Withdrawn)", CSE4098A_Spring2026_Grade!$I63="I (Incomplete)"), 0, IF(AL73&gt;=55%, 1, 0))</f>
        <v>1</v>
      </c>
      <c r="AS73" s="148">
        <f>IF(OR(CSE4098A_Spring2026_Grade!$I63="W (Withdrawn)", CSE4098A_Spring2026_Grade!$I63="I (Incomplete)"), 0, IF(AM73&gt;=55%, 1, 0))</f>
        <v>0</v>
      </c>
      <c r="AT73" s="115"/>
      <c r="AU73" s="149">
        <f t="shared" si="16"/>
        <v>0</v>
      </c>
      <c r="AV73" s="149">
        <f t="shared" si="17"/>
        <v>0.7555555556</v>
      </c>
      <c r="AW73" s="149">
        <f t="array" ref="AW73">IF($AV$9=0,0,MMULT($AH73:$AM73, AV$3:AV$8)/$AV$9)</f>
        <v>0</v>
      </c>
      <c r="AX73" s="149">
        <f t="array" ref="AX73">IF($AW$9=0,0,MMULT($AH73:$AM73, AW$3:AW$8)/$AW$9)</f>
        <v>0</v>
      </c>
      <c r="AY73" s="149">
        <f t="shared" si="18"/>
        <v>0</v>
      </c>
      <c r="AZ73" s="149">
        <f t="array" ref="AZ73">IF($AY$9=0,0,MMULT($AH73:$AM73, AY$3:AY$8)/$AY$9)</f>
        <v>0</v>
      </c>
      <c r="BA73" s="149">
        <f t="array" ref="BA73">IF($AZ$9=0,0,MMULT($AH73:$AM73, AZ$3:AZ$8)/$AZ$9)</f>
        <v>0</v>
      </c>
      <c r="BB73" s="149">
        <f t="array" ref="BB73">IF($BA$9=0,0,MMULT($AH73:$AM73, BA$3:BA$8)/$BA$9)</f>
        <v>0</v>
      </c>
      <c r="BC73" s="149">
        <f t="array" ref="BC73">IF($BB$9=0,0,MMULT($AH73:$AM73, BB$3:BB$8)/$BB$9)</f>
        <v>0.8</v>
      </c>
      <c r="BD73" s="149">
        <f t="array" ref="BD73">IF($BC$9=0,0,MMULT($AH73:$AM73, BC$3:BC$8)/$BC$9)</f>
        <v>0.8371111111</v>
      </c>
      <c r="BE73" s="149">
        <f t="shared" si="19"/>
        <v>0.6666666667</v>
      </c>
      <c r="BF73" s="149">
        <f t="shared" si="20"/>
        <v>0.6666666667</v>
      </c>
      <c r="BG73" s="148" t="str">
        <f t="shared" si="21"/>
        <v>#REF!</v>
      </c>
      <c r="BH73" s="148">
        <f>IF(OR(CSE4098A_Spring2026_Grade!$I63="W (Withdrawn)", CSE4098A_Spring2026_Grade!$I63="I (Incomplete)"), 0, IF(AV73&gt;=55%, 1, 0))</f>
        <v>1</v>
      </c>
      <c r="BI73" s="148" t="str">
        <f t="shared" ref="BI73:BN73" si="193">IF(OR(GradeSheet!$M68="W (Withdrawn)", GradeSheet!$M68="I (Incomplete)"), 0, IF(AW73&gt;=55%, 1, 0))</f>
        <v>#REF!</v>
      </c>
      <c r="BJ73" s="148" t="str">
        <f t="shared" si="193"/>
        <v>#REF!</v>
      </c>
      <c r="BK73" s="148" t="str">
        <f t="shared" si="193"/>
        <v>#REF!</v>
      </c>
      <c r="BL73" s="148" t="str">
        <f t="shared" si="193"/>
        <v>#REF!</v>
      </c>
      <c r="BM73" s="148" t="str">
        <f t="shared" si="193"/>
        <v>#REF!</v>
      </c>
      <c r="BN73" s="148" t="str">
        <f t="shared" si="193"/>
        <v>#REF!</v>
      </c>
      <c r="BO73" s="148">
        <f>IF(OR(CSE4098A_Spring2026_Grade!$I63="W (Withdrawn)", CSE4098A_Spring2026_Grade!$I63="I (Incomplete)"), 0, IF(BC73&gt;=55%, 1, 0))</f>
        <v>1</v>
      </c>
      <c r="BP73" s="148">
        <f>IF(OR(CSE4098A_Spring2026_Grade!$I63="W (Withdrawn)", CSE4098A_Spring2026_Grade!$I63="I (Incomplete)"), 0, IF(BD73&gt;=55%, 1, 0))</f>
        <v>1</v>
      </c>
      <c r="BQ73" s="148">
        <f>IF(OR(CSE4098A_Spring2026_Grade!$I63="W (Withdrawn)", CSE4098A_Spring2026_Grade!$I63="I (Incomplete)"), 0, IF(BE73&gt;=55%, 1, 0))</f>
        <v>1</v>
      </c>
      <c r="BR73" s="148">
        <f>IF(OR(CSE4098A_Spring2026_Grade!$I63="W (Withdrawn)", CSE4098A_Spring2026_Grade!$I63="I (Incomplete)"), 0, IF(BF73&gt;=55%, 1, 0))</f>
        <v>1</v>
      </c>
    </row>
    <row r="74">
      <c r="A74" s="136">
        <v>60.0</v>
      </c>
      <c r="B74" s="137">
        <f>CSE4098A_Spring2026_Grade!B64</f>
        <v>222014004</v>
      </c>
      <c r="C74" s="137" t="str">
        <f>CSE4098A_Spring2026_Grade!C64</f>
        <v>Ratul Hasan Polok</v>
      </c>
      <c r="D74" s="138">
        <f>'CO_Report Evaluation'!P62</f>
        <v>11.33333333</v>
      </c>
      <c r="E74" s="138">
        <f>'CO_Report Evaluation'!Q62</f>
        <v>2</v>
      </c>
      <c r="F74" s="138">
        <f>'CO_Report Evaluation'!R62</f>
        <v>2</v>
      </c>
      <c r="G74" s="139"/>
      <c r="H74" s="139"/>
      <c r="I74" s="140"/>
      <c r="J74" s="138"/>
      <c r="K74" s="141"/>
      <c r="L74" s="141"/>
      <c r="M74" s="141">
        <v>4.0</v>
      </c>
      <c r="N74" s="139"/>
      <c r="O74" s="139"/>
      <c r="P74" s="142"/>
      <c r="Q74" s="143"/>
      <c r="R74" s="143"/>
      <c r="S74" s="143"/>
      <c r="T74" s="141">
        <f>((CSE4098A_Spring2026_Grade!E64)*10)/45</f>
        <v>8.517777778</v>
      </c>
      <c r="U74" s="144"/>
      <c r="V74" s="142"/>
      <c r="W74" s="143"/>
      <c r="X74" s="143"/>
      <c r="Y74" s="143"/>
      <c r="Z74" s="143"/>
      <c r="AA74" s="144"/>
      <c r="AB74" s="145">
        <f t="shared" si="11"/>
        <v>11.33333333</v>
      </c>
      <c r="AC74" s="146">
        <f t="shared" ref="AC74:AE74" si="194">SUM(Q74, W74,E74,K74)</f>
        <v>2</v>
      </c>
      <c r="AD74" s="146">
        <f t="shared" si="194"/>
        <v>2</v>
      </c>
      <c r="AE74" s="146">
        <f t="shared" si="194"/>
        <v>4</v>
      </c>
      <c r="AF74" s="146">
        <f t="shared" si="13"/>
        <v>8.517777778</v>
      </c>
      <c r="AG74" s="146">
        <f t="shared" si="14"/>
        <v>0</v>
      </c>
      <c r="AH74" s="147">
        <f t="shared" ref="AH74:AM74" si="195">IF(AB74 = 0, 0, AB74/AB$14)</f>
        <v>0.7555555556</v>
      </c>
      <c r="AI74" s="147">
        <f t="shared" si="195"/>
        <v>0.6666666667</v>
      </c>
      <c r="AJ74" s="147">
        <f t="shared" si="195"/>
        <v>0.6666666667</v>
      </c>
      <c r="AK74" s="147">
        <f t="shared" si="195"/>
        <v>0.8</v>
      </c>
      <c r="AL74" s="147">
        <f t="shared" si="195"/>
        <v>0.8517777778</v>
      </c>
      <c r="AM74" s="147">
        <f t="shared" si="195"/>
        <v>0</v>
      </c>
      <c r="AN74" s="148">
        <f>IF(OR(CSE4098A_Spring2026_Grade!$I64="W (Withdrawn)", CSE4098A_Spring2026_Grade!$I64="I (Incomplete)"), 0, IF(AH74&gt;=55%, 1, 0))</f>
        <v>1</v>
      </c>
      <c r="AO74" s="148">
        <f>IF(OR(CSE4098A_Spring2026_Grade!$I64="W (Withdrawn)", CSE4098A_Spring2026_Grade!I64="I (Incomplete)"), 0, IF(AI74&gt;=55%, 1, 0))</f>
        <v>1</v>
      </c>
      <c r="AP74" s="148">
        <f>IF(OR(CSE4098A_Spring2026_Grade!$I64="W (Withdrawn)", CSE4098A_Spring2026_Grade!$I64="I (Incomplete)"), 0, IF(AJ74&gt;=55%, 1, 0))</f>
        <v>1</v>
      </c>
      <c r="AQ74" s="148">
        <f>IF(OR(CSE4098A_Spring2026_Grade!$I64="W (Withdrawn)", CSE4098A_Spring2026_Grade!$I64="I (Incomplete)"), 0, IF(AK74&gt;=55%, 1, 0))</f>
        <v>1</v>
      </c>
      <c r="AR74" s="148">
        <f>IF(OR(CSE4098A_Spring2026_Grade!$I64="W (Withdrawn)", CSE4098A_Spring2026_Grade!$I64="I (Incomplete)"), 0, IF(AL74&gt;=55%, 1, 0))</f>
        <v>1</v>
      </c>
      <c r="AS74" s="148">
        <f>IF(OR(CSE4098A_Spring2026_Grade!$I64="W (Withdrawn)", CSE4098A_Spring2026_Grade!$I64="I (Incomplete)"), 0, IF(AM74&gt;=55%, 1, 0))</f>
        <v>0</v>
      </c>
      <c r="AT74" s="115"/>
      <c r="AU74" s="149">
        <f t="shared" si="16"/>
        <v>0</v>
      </c>
      <c r="AV74" s="149">
        <f t="shared" si="17"/>
        <v>0.7555555556</v>
      </c>
      <c r="AW74" s="149">
        <f t="array" ref="AW74">IF($AV$9=0,0,MMULT($AH74:$AM74, AV$3:AV$8)/$AV$9)</f>
        <v>0</v>
      </c>
      <c r="AX74" s="149">
        <f t="array" ref="AX74">IF($AW$9=0,0,MMULT($AH74:$AM74, AW$3:AW$8)/$AW$9)</f>
        <v>0</v>
      </c>
      <c r="AY74" s="149">
        <f t="shared" si="18"/>
        <v>0</v>
      </c>
      <c r="AZ74" s="149">
        <f t="array" ref="AZ74">IF($AY$9=0,0,MMULT($AH74:$AM74, AY$3:AY$8)/$AY$9)</f>
        <v>0</v>
      </c>
      <c r="BA74" s="149">
        <f t="array" ref="BA74">IF($AZ$9=0,0,MMULT($AH74:$AM74, AZ$3:AZ$8)/$AZ$9)</f>
        <v>0</v>
      </c>
      <c r="BB74" s="149">
        <f t="array" ref="BB74">IF($BA$9=0,0,MMULT($AH74:$AM74, BA$3:BA$8)/$BA$9)</f>
        <v>0</v>
      </c>
      <c r="BC74" s="149">
        <f t="array" ref="BC74">IF($BB$9=0,0,MMULT($AH74:$AM74, BB$3:BB$8)/$BB$9)</f>
        <v>0.8</v>
      </c>
      <c r="BD74" s="149">
        <f t="array" ref="BD74">IF($BC$9=0,0,MMULT($AH74:$AM74, BC$3:BC$8)/$BC$9)</f>
        <v>0.8517777778</v>
      </c>
      <c r="BE74" s="149">
        <f t="shared" si="19"/>
        <v>0.6666666667</v>
      </c>
      <c r="BF74" s="149">
        <f t="shared" si="20"/>
        <v>0.6666666667</v>
      </c>
      <c r="BG74" s="148" t="str">
        <f t="shared" si="21"/>
        <v>#REF!</v>
      </c>
      <c r="BH74" s="148">
        <f>IF(OR(CSE4098A_Spring2026_Grade!$I64="W (Withdrawn)", CSE4098A_Spring2026_Grade!$I64="I (Incomplete)"), 0, IF(AV74&gt;=55%, 1, 0))</f>
        <v>1</v>
      </c>
      <c r="BI74" s="148" t="str">
        <f t="shared" ref="BI74:BN74" si="196">IF(OR(GradeSheet!$M69="W (Withdrawn)", GradeSheet!$M69="I (Incomplete)"), 0, IF(AW74&gt;=55%, 1, 0))</f>
        <v>#REF!</v>
      </c>
      <c r="BJ74" s="148" t="str">
        <f t="shared" si="196"/>
        <v>#REF!</v>
      </c>
      <c r="BK74" s="148" t="str">
        <f t="shared" si="196"/>
        <v>#REF!</v>
      </c>
      <c r="BL74" s="148" t="str">
        <f t="shared" si="196"/>
        <v>#REF!</v>
      </c>
      <c r="BM74" s="148" t="str">
        <f t="shared" si="196"/>
        <v>#REF!</v>
      </c>
      <c r="BN74" s="148" t="str">
        <f t="shared" si="196"/>
        <v>#REF!</v>
      </c>
      <c r="BO74" s="148">
        <f>IF(OR(CSE4098A_Spring2026_Grade!$I64="W (Withdrawn)", CSE4098A_Spring2026_Grade!$I64="I (Incomplete)"), 0, IF(BC74&gt;=55%, 1, 0))</f>
        <v>1</v>
      </c>
      <c r="BP74" s="148">
        <f>IF(OR(CSE4098A_Spring2026_Grade!$I64="W (Withdrawn)", CSE4098A_Spring2026_Grade!$I64="I (Incomplete)"), 0, IF(BD74&gt;=55%, 1, 0))</f>
        <v>1</v>
      </c>
      <c r="BQ74" s="148">
        <f>IF(OR(CSE4098A_Spring2026_Grade!$I64="W (Withdrawn)", CSE4098A_Spring2026_Grade!$I64="I (Incomplete)"), 0, IF(BE74&gt;=55%, 1, 0))</f>
        <v>1</v>
      </c>
      <c r="BR74" s="148">
        <f>IF(OR(CSE4098A_Spring2026_Grade!$I64="W (Withdrawn)", CSE4098A_Spring2026_Grade!$I64="I (Incomplete)"), 0, IF(BF74&gt;=55%, 1, 0))</f>
        <v>1</v>
      </c>
    </row>
    <row r="75">
      <c r="A75" s="136">
        <v>61.0</v>
      </c>
      <c r="B75" s="137">
        <f>CSE4098A_Spring2026_Grade!B65</f>
        <v>232014059</v>
      </c>
      <c r="C75" s="137" t="str">
        <f>CSE4098A_Spring2026_Grade!C65</f>
        <v>Tasfia Hasan Tushin</v>
      </c>
      <c r="D75" s="138">
        <f>'CO_Report Evaluation'!P63</f>
        <v>11.33333333</v>
      </c>
      <c r="E75" s="138">
        <f>'CO_Report Evaluation'!Q63</f>
        <v>2</v>
      </c>
      <c r="F75" s="138">
        <f>'CO_Report Evaluation'!R63</f>
        <v>2</v>
      </c>
      <c r="G75" s="139"/>
      <c r="H75" s="139"/>
      <c r="I75" s="140"/>
      <c r="J75" s="138"/>
      <c r="K75" s="141"/>
      <c r="L75" s="141"/>
      <c r="M75" s="141">
        <v>4.0</v>
      </c>
      <c r="N75" s="139"/>
      <c r="O75" s="139"/>
      <c r="P75" s="142"/>
      <c r="Q75" s="143"/>
      <c r="R75" s="143"/>
      <c r="S75" s="143"/>
      <c r="T75" s="141">
        <f>((CSE4098A_Spring2026_Grade!E65)*10)/45</f>
        <v>9.184444444</v>
      </c>
      <c r="U75" s="144"/>
      <c r="V75" s="142"/>
      <c r="W75" s="143"/>
      <c r="X75" s="143"/>
      <c r="Y75" s="143"/>
      <c r="Z75" s="143"/>
      <c r="AA75" s="144"/>
      <c r="AB75" s="145">
        <f t="shared" si="11"/>
        <v>11.33333333</v>
      </c>
      <c r="AC75" s="146">
        <f t="shared" ref="AC75:AE75" si="197">SUM(Q75, W75,E75,K75)</f>
        <v>2</v>
      </c>
      <c r="AD75" s="146">
        <f t="shared" si="197"/>
        <v>2</v>
      </c>
      <c r="AE75" s="146">
        <f t="shared" si="197"/>
        <v>4</v>
      </c>
      <c r="AF75" s="146">
        <f t="shared" si="13"/>
        <v>9.184444444</v>
      </c>
      <c r="AG75" s="146">
        <f t="shared" si="14"/>
        <v>0</v>
      </c>
      <c r="AH75" s="147">
        <f t="shared" ref="AH75:AM75" si="198">IF(AB75 = 0, 0, AB75/AB$14)</f>
        <v>0.7555555556</v>
      </c>
      <c r="AI75" s="147">
        <f t="shared" si="198"/>
        <v>0.6666666667</v>
      </c>
      <c r="AJ75" s="147">
        <f t="shared" si="198"/>
        <v>0.6666666667</v>
      </c>
      <c r="AK75" s="147">
        <f t="shared" si="198"/>
        <v>0.8</v>
      </c>
      <c r="AL75" s="147">
        <f t="shared" si="198"/>
        <v>0.9184444444</v>
      </c>
      <c r="AM75" s="147">
        <f t="shared" si="198"/>
        <v>0</v>
      </c>
      <c r="AN75" s="148">
        <f>IF(OR(CSE4098A_Spring2026_Grade!$I65="W (Withdrawn)", CSE4098A_Spring2026_Grade!$I65="I (Incomplete)"), 0, IF(AH75&gt;=55%, 1, 0))</f>
        <v>1</v>
      </c>
      <c r="AO75" s="148">
        <f>IF(OR(CSE4098A_Spring2026_Grade!$I65="W (Withdrawn)", CSE4098A_Spring2026_Grade!I65="I (Incomplete)"), 0, IF(AI75&gt;=55%, 1, 0))</f>
        <v>1</v>
      </c>
      <c r="AP75" s="148">
        <f>IF(OR(CSE4098A_Spring2026_Grade!$I65="W (Withdrawn)", CSE4098A_Spring2026_Grade!$I65="I (Incomplete)"), 0, IF(AJ75&gt;=55%, 1, 0))</f>
        <v>1</v>
      </c>
      <c r="AQ75" s="148">
        <f>IF(OR(CSE4098A_Spring2026_Grade!$I65="W (Withdrawn)", CSE4098A_Spring2026_Grade!$I65="I (Incomplete)"), 0, IF(AK75&gt;=55%, 1, 0))</f>
        <v>1</v>
      </c>
      <c r="AR75" s="148">
        <f>IF(OR(CSE4098A_Spring2026_Grade!$I65="W (Withdrawn)", CSE4098A_Spring2026_Grade!$I65="I (Incomplete)"), 0, IF(AL75&gt;=55%, 1, 0))</f>
        <v>1</v>
      </c>
      <c r="AS75" s="148">
        <f>IF(OR(CSE4098A_Spring2026_Grade!$I65="W (Withdrawn)", CSE4098A_Spring2026_Grade!$I65="I (Incomplete)"), 0, IF(AM75&gt;=55%, 1, 0))</f>
        <v>0</v>
      </c>
      <c r="AT75" s="115"/>
      <c r="AU75" s="149">
        <f t="shared" si="16"/>
        <v>0</v>
      </c>
      <c r="AV75" s="149">
        <f t="shared" si="17"/>
        <v>0.7555555556</v>
      </c>
      <c r="AW75" s="149">
        <f t="array" ref="AW75">IF($AV$9=0,0,MMULT($AH75:$AM75, AV$3:AV$8)/$AV$9)</f>
        <v>0</v>
      </c>
      <c r="AX75" s="149">
        <f t="array" ref="AX75">IF($AW$9=0,0,MMULT($AH75:$AM75, AW$3:AW$8)/$AW$9)</f>
        <v>0</v>
      </c>
      <c r="AY75" s="149">
        <f t="shared" si="18"/>
        <v>0</v>
      </c>
      <c r="AZ75" s="149">
        <f t="array" ref="AZ75">IF($AY$9=0,0,MMULT($AH75:$AM75, AY$3:AY$8)/$AY$9)</f>
        <v>0</v>
      </c>
      <c r="BA75" s="149">
        <f t="array" ref="BA75">IF($AZ$9=0,0,MMULT($AH75:$AM75, AZ$3:AZ$8)/$AZ$9)</f>
        <v>0</v>
      </c>
      <c r="BB75" s="149">
        <f t="array" ref="BB75">IF($BA$9=0,0,MMULT($AH75:$AM75, BA$3:BA$8)/$BA$9)</f>
        <v>0</v>
      </c>
      <c r="BC75" s="149">
        <f t="array" ref="BC75">IF($BB$9=0,0,MMULT($AH75:$AM75, BB$3:BB$8)/$BB$9)</f>
        <v>0.8</v>
      </c>
      <c r="BD75" s="149">
        <f t="array" ref="BD75">IF($BC$9=0,0,MMULT($AH75:$AM75, BC$3:BC$8)/$BC$9)</f>
        <v>0.9184444444</v>
      </c>
      <c r="BE75" s="149">
        <f t="shared" si="19"/>
        <v>0.6666666667</v>
      </c>
      <c r="BF75" s="149">
        <f t="shared" si="20"/>
        <v>0.6666666667</v>
      </c>
      <c r="BG75" s="148" t="str">
        <f t="shared" si="21"/>
        <v>#REF!</v>
      </c>
      <c r="BH75" s="148">
        <f>IF(OR(CSE4098A_Spring2026_Grade!$I65="W (Withdrawn)", CSE4098A_Spring2026_Grade!$I65="I (Incomplete)"), 0, IF(AV75&gt;=55%, 1, 0))</f>
        <v>1</v>
      </c>
      <c r="BI75" s="148" t="str">
        <f t="shared" ref="BI75:BN75" si="199">IF(OR(GradeSheet!$M70="W (Withdrawn)", GradeSheet!$M70="I (Incomplete)"), 0, IF(AW75&gt;=55%, 1, 0))</f>
        <v>#REF!</v>
      </c>
      <c r="BJ75" s="148" t="str">
        <f t="shared" si="199"/>
        <v>#REF!</v>
      </c>
      <c r="BK75" s="148" t="str">
        <f t="shared" si="199"/>
        <v>#REF!</v>
      </c>
      <c r="BL75" s="148" t="str">
        <f t="shared" si="199"/>
        <v>#REF!</v>
      </c>
      <c r="BM75" s="148" t="str">
        <f t="shared" si="199"/>
        <v>#REF!</v>
      </c>
      <c r="BN75" s="148" t="str">
        <f t="shared" si="199"/>
        <v>#REF!</v>
      </c>
      <c r="BO75" s="148">
        <f>IF(OR(CSE4098A_Spring2026_Grade!$I65="W (Withdrawn)", CSE4098A_Spring2026_Grade!$I65="I (Incomplete)"), 0, IF(BC75&gt;=55%, 1, 0))</f>
        <v>1</v>
      </c>
      <c r="BP75" s="148">
        <f>IF(OR(CSE4098A_Spring2026_Grade!$I65="W (Withdrawn)", CSE4098A_Spring2026_Grade!$I65="I (Incomplete)"), 0, IF(BD75&gt;=55%, 1, 0))</f>
        <v>1</v>
      </c>
      <c r="BQ75" s="148">
        <f>IF(OR(CSE4098A_Spring2026_Grade!$I65="W (Withdrawn)", CSE4098A_Spring2026_Grade!$I65="I (Incomplete)"), 0, IF(BE75&gt;=55%, 1, 0))</f>
        <v>1</v>
      </c>
      <c r="BR75" s="148">
        <f>IF(OR(CSE4098A_Spring2026_Grade!$I65="W (Withdrawn)", CSE4098A_Spring2026_Grade!$I65="I (Incomplete)"), 0, IF(BF75&gt;=55%, 1, 0))</f>
        <v>1</v>
      </c>
    </row>
    <row r="76">
      <c r="A76" s="136">
        <v>62.0</v>
      </c>
      <c r="B76" s="137">
        <f>CSE4098A_Spring2026_Grade!B66</f>
        <v>232014130</v>
      </c>
      <c r="C76" s="137" t="str">
        <f>CSE4098A_Spring2026_Grade!C66</f>
        <v>Thamina Hossen</v>
      </c>
      <c r="D76" s="138">
        <f>'CO_Report Evaluation'!P64</f>
        <v>11.33333333</v>
      </c>
      <c r="E76" s="138">
        <f>'CO_Report Evaluation'!Q64</f>
        <v>2</v>
      </c>
      <c r="F76" s="138">
        <f>'CO_Report Evaluation'!R64</f>
        <v>2</v>
      </c>
      <c r="G76" s="139"/>
      <c r="H76" s="139"/>
      <c r="I76" s="140"/>
      <c r="J76" s="138"/>
      <c r="K76" s="141"/>
      <c r="L76" s="141"/>
      <c r="M76" s="141">
        <v>3.0</v>
      </c>
      <c r="N76" s="139"/>
      <c r="O76" s="139"/>
      <c r="P76" s="142"/>
      <c r="Q76" s="143"/>
      <c r="R76" s="143"/>
      <c r="S76" s="143"/>
      <c r="T76" s="141">
        <f>((CSE4098A_Spring2026_Grade!E66)*10)/45</f>
        <v>9.333333333</v>
      </c>
      <c r="U76" s="144"/>
      <c r="V76" s="142"/>
      <c r="W76" s="143"/>
      <c r="X76" s="143"/>
      <c r="Y76" s="143"/>
      <c r="Z76" s="143"/>
      <c r="AA76" s="144"/>
      <c r="AB76" s="145">
        <f t="shared" si="11"/>
        <v>11.33333333</v>
      </c>
      <c r="AC76" s="146">
        <f t="shared" ref="AC76:AE76" si="200">SUM(Q76, W76,E76,K76)</f>
        <v>2</v>
      </c>
      <c r="AD76" s="146">
        <f t="shared" si="200"/>
        <v>2</v>
      </c>
      <c r="AE76" s="146">
        <f t="shared" si="200"/>
        <v>3</v>
      </c>
      <c r="AF76" s="146">
        <f t="shared" si="13"/>
        <v>9.333333333</v>
      </c>
      <c r="AG76" s="146">
        <f t="shared" si="14"/>
        <v>0</v>
      </c>
      <c r="AH76" s="147">
        <f t="shared" ref="AH76:AM76" si="201">IF(AB76 = 0, 0, AB76/AB$14)</f>
        <v>0.7555555556</v>
      </c>
      <c r="AI76" s="147">
        <f t="shared" si="201"/>
        <v>0.6666666667</v>
      </c>
      <c r="AJ76" s="147">
        <f t="shared" si="201"/>
        <v>0.6666666667</v>
      </c>
      <c r="AK76" s="147">
        <f t="shared" si="201"/>
        <v>0.6</v>
      </c>
      <c r="AL76" s="147">
        <f t="shared" si="201"/>
        <v>0.9333333333</v>
      </c>
      <c r="AM76" s="147">
        <f t="shared" si="201"/>
        <v>0</v>
      </c>
      <c r="AN76" s="148">
        <f>IF(OR(CSE4098A_Spring2026_Grade!$I66="W (Withdrawn)", CSE4098A_Spring2026_Grade!$I66="I (Incomplete)"), 0, IF(AH76&gt;=55%, 1, 0))</f>
        <v>1</v>
      </c>
      <c r="AO76" s="148">
        <f>IF(OR(CSE4098A_Spring2026_Grade!$I66="W (Withdrawn)", CSE4098A_Spring2026_Grade!I66="I (Incomplete)"), 0, IF(AI76&gt;=55%, 1, 0))</f>
        <v>1</v>
      </c>
      <c r="AP76" s="148">
        <f>IF(OR(CSE4098A_Spring2026_Grade!$I66="W (Withdrawn)", CSE4098A_Spring2026_Grade!$I66="I (Incomplete)"), 0, IF(AJ76&gt;=55%, 1, 0))</f>
        <v>1</v>
      </c>
      <c r="AQ76" s="148">
        <f>IF(OR(CSE4098A_Spring2026_Grade!$I66="W (Withdrawn)", CSE4098A_Spring2026_Grade!$I66="I (Incomplete)"), 0, IF(AK76&gt;=55%, 1, 0))</f>
        <v>1</v>
      </c>
      <c r="AR76" s="148">
        <f>IF(OR(CSE4098A_Spring2026_Grade!$I66="W (Withdrawn)", CSE4098A_Spring2026_Grade!$I66="I (Incomplete)"), 0, IF(AL76&gt;=55%, 1, 0))</f>
        <v>1</v>
      </c>
      <c r="AS76" s="148">
        <f>IF(OR(CSE4098A_Spring2026_Grade!$I66="W (Withdrawn)", CSE4098A_Spring2026_Grade!$I66="I (Incomplete)"), 0, IF(AM76&gt;=55%, 1, 0))</f>
        <v>0</v>
      </c>
      <c r="AT76" s="115"/>
      <c r="AU76" s="149">
        <f t="shared" si="16"/>
        <v>0</v>
      </c>
      <c r="AV76" s="149">
        <f t="shared" si="17"/>
        <v>0.7555555556</v>
      </c>
      <c r="AW76" s="149">
        <f t="array" ref="AW76">IF($AV$9=0,0,MMULT($AH76:$AM76, AV$3:AV$8)/$AV$9)</f>
        <v>0</v>
      </c>
      <c r="AX76" s="149">
        <f t="array" ref="AX76">IF($AW$9=0,0,MMULT($AH76:$AM76, AW$3:AW$8)/$AW$9)</f>
        <v>0</v>
      </c>
      <c r="AY76" s="149">
        <f t="shared" si="18"/>
        <v>0</v>
      </c>
      <c r="AZ76" s="149">
        <f t="array" ref="AZ76">IF($AY$9=0,0,MMULT($AH76:$AM76, AY$3:AY$8)/$AY$9)</f>
        <v>0</v>
      </c>
      <c r="BA76" s="149">
        <f t="array" ref="BA76">IF($AZ$9=0,0,MMULT($AH76:$AM76, AZ$3:AZ$8)/$AZ$9)</f>
        <v>0</v>
      </c>
      <c r="BB76" s="149">
        <f t="array" ref="BB76">IF($BA$9=0,0,MMULT($AH76:$AM76, BA$3:BA$8)/$BA$9)</f>
        <v>0</v>
      </c>
      <c r="BC76" s="149">
        <f t="array" ref="BC76">IF($BB$9=0,0,MMULT($AH76:$AM76, BB$3:BB$8)/$BB$9)</f>
        <v>0.6</v>
      </c>
      <c r="BD76" s="149">
        <f t="array" ref="BD76">IF($BC$9=0,0,MMULT($AH76:$AM76, BC$3:BC$8)/$BC$9)</f>
        <v>0.9333333333</v>
      </c>
      <c r="BE76" s="149">
        <f t="shared" si="19"/>
        <v>0.6666666667</v>
      </c>
      <c r="BF76" s="149">
        <f t="shared" si="20"/>
        <v>0.6666666667</v>
      </c>
      <c r="BG76" s="148" t="str">
        <f t="shared" si="21"/>
        <v>#REF!</v>
      </c>
      <c r="BH76" s="148">
        <f>IF(OR(CSE4098A_Spring2026_Grade!$I66="W (Withdrawn)", CSE4098A_Spring2026_Grade!$I66="I (Incomplete)"), 0, IF(AV76&gt;=55%, 1, 0))</f>
        <v>1</v>
      </c>
      <c r="BI76" s="148" t="str">
        <f t="shared" ref="BI76:BN76" si="202">IF(OR(GradeSheet!$M71="W (Withdrawn)", GradeSheet!$M71="I (Incomplete)"), 0, IF(AW76&gt;=55%, 1, 0))</f>
        <v>#REF!</v>
      </c>
      <c r="BJ76" s="148" t="str">
        <f t="shared" si="202"/>
        <v>#REF!</v>
      </c>
      <c r="BK76" s="148" t="str">
        <f t="shared" si="202"/>
        <v>#REF!</v>
      </c>
      <c r="BL76" s="148" t="str">
        <f t="shared" si="202"/>
        <v>#REF!</v>
      </c>
      <c r="BM76" s="148" t="str">
        <f t="shared" si="202"/>
        <v>#REF!</v>
      </c>
      <c r="BN76" s="148" t="str">
        <f t="shared" si="202"/>
        <v>#REF!</v>
      </c>
      <c r="BO76" s="148">
        <f>IF(OR(CSE4098A_Spring2026_Grade!$I66="W (Withdrawn)", CSE4098A_Spring2026_Grade!$I66="I (Incomplete)"), 0, IF(BC76&gt;=55%, 1, 0))</f>
        <v>1</v>
      </c>
      <c r="BP76" s="148">
        <f>IF(OR(CSE4098A_Spring2026_Grade!$I66="W (Withdrawn)", CSE4098A_Spring2026_Grade!$I66="I (Incomplete)"), 0, IF(BD76&gt;=55%, 1, 0))</f>
        <v>1</v>
      </c>
      <c r="BQ76" s="148">
        <f>IF(OR(CSE4098A_Spring2026_Grade!$I66="W (Withdrawn)", CSE4098A_Spring2026_Grade!$I66="I (Incomplete)"), 0, IF(BE76&gt;=55%, 1, 0))</f>
        <v>1</v>
      </c>
      <c r="BR76" s="148">
        <f>IF(OR(CSE4098A_Spring2026_Grade!$I66="W (Withdrawn)", CSE4098A_Spring2026_Grade!$I66="I (Incomplete)"), 0, IF(BF76&gt;=55%, 1, 0))</f>
        <v>1</v>
      </c>
    </row>
    <row r="77">
      <c r="A77" s="136">
        <v>63.0</v>
      </c>
      <c r="B77" s="137">
        <f>CSE4098A_Spring2026_Grade!B67</f>
        <v>231014084</v>
      </c>
      <c r="C77" s="137" t="str">
        <f>CSE4098A_Spring2026_Grade!C67</f>
        <v>Tanzila Tasnim Rahman</v>
      </c>
      <c r="D77" s="138">
        <f>'CO_Report Evaluation'!P65</f>
        <v>9.666666667</v>
      </c>
      <c r="E77" s="138">
        <f>'CO_Report Evaluation'!Q65</f>
        <v>2.666666667</v>
      </c>
      <c r="F77" s="138">
        <f>'CO_Report Evaluation'!R65</f>
        <v>2.666666667</v>
      </c>
      <c r="G77" s="139"/>
      <c r="H77" s="139"/>
      <c r="I77" s="140"/>
      <c r="J77" s="138"/>
      <c r="K77" s="141"/>
      <c r="L77" s="141"/>
      <c r="M77" s="141">
        <v>3.0</v>
      </c>
      <c r="N77" s="139"/>
      <c r="O77" s="139"/>
      <c r="P77" s="142"/>
      <c r="Q77" s="143"/>
      <c r="R77" s="143"/>
      <c r="S77" s="143"/>
      <c r="T77" s="141">
        <f>((CSE4098A_Spring2026_Grade!E67)*10)/45</f>
        <v>7.357777778</v>
      </c>
      <c r="U77" s="144"/>
      <c r="V77" s="142"/>
      <c r="W77" s="143"/>
      <c r="X77" s="143"/>
      <c r="Y77" s="143"/>
      <c r="Z77" s="143"/>
      <c r="AA77" s="144"/>
      <c r="AB77" s="145">
        <f t="shared" si="11"/>
        <v>9.666666667</v>
      </c>
      <c r="AC77" s="146">
        <f t="shared" ref="AC77:AE77" si="203">SUM(Q77, W77,E77,K77)</f>
        <v>2.666666667</v>
      </c>
      <c r="AD77" s="146">
        <f t="shared" si="203"/>
        <v>2.666666667</v>
      </c>
      <c r="AE77" s="146">
        <f t="shared" si="203"/>
        <v>3</v>
      </c>
      <c r="AF77" s="146">
        <f t="shared" si="13"/>
        <v>7.357777778</v>
      </c>
      <c r="AG77" s="146">
        <f t="shared" si="14"/>
        <v>0</v>
      </c>
      <c r="AH77" s="147">
        <f t="shared" ref="AH77:AM77" si="204">IF(AB77 = 0, 0, AB77/AB$14)</f>
        <v>0.6444444444</v>
      </c>
      <c r="AI77" s="147">
        <f t="shared" si="204"/>
        <v>0.8888888889</v>
      </c>
      <c r="AJ77" s="147">
        <f t="shared" si="204"/>
        <v>0.8888888889</v>
      </c>
      <c r="AK77" s="147">
        <f t="shared" si="204"/>
        <v>0.6</v>
      </c>
      <c r="AL77" s="147">
        <f t="shared" si="204"/>
        <v>0.7357777778</v>
      </c>
      <c r="AM77" s="147">
        <f t="shared" si="204"/>
        <v>0</v>
      </c>
      <c r="AN77" s="148">
        <f>IF(OR(CSE4098A_Spring2026_Grade!$I67="W (Withdrawn)", CSE4098A_Spring2026_Grade!$I67="I (Incomplete)"), 0, IF(AH77&gt;=55%, 1, 0))</f>
        <v>1</v>
      </c>
      <c r="AO77" s="148">
        <f>IF(OR(CSE4098A_Spring2026_Grade!$I67="W (Withdrawn)", CSE4098A_Spring2026_Grade!I67="I (Incomplete)"), 0, IF(AI77&gt;=55%, 1, 0))</f>
        <v>1</v>
      </c>
      <c r="AP77" s="148">
        <f>IF(OR(CSE4098A_Spring2026_Grade!$I67="W (Withdrawn)", CSE4098A_Spring2026_Grade!$I67="I (Incomplete)"), 0, IF(AJ77&gt;=55%, 1, 0))</f>
        <v>1</v>
      </c>
      <c r="AQ77" s="148">
        <f>IF(OR(CSE4098A_Spring2026_Grade!$I67="W (Withdrawn)", CSE4098A_Spring2026_Grade!$I67="I (Incomplete)"), 0, IF(AK77&gt;=55%, 1, 0))</f>
        <v>1</v>
      </c>
      <c r="AR77" s="148">
        <f>IF(OR(CSE4098A_Spring2026_Grade!$I67="W (Withdrawn)", CSE4098A_Spring2026_Grade!$I67="I (Incomplete)"), 0, IF(AL77&gt;=55%, 1, 0))</f>
        <v>1</v>
      </c>
      <c r="AS77" s="148">
        <f>IF(OR(CSE4098A_Spring2026_Grade!$I67="W (Withdrawn)", CSE4098A_Spring2026_Grade!$I67="I (Incomplete)"), 0, IF(AM77&gt;=55%, 1, 0))</f>
        <v>0</v>
      </c>
      <c r="AT77" s="115"/>
      <c r="AU77" s="149">
        <f t="shared" si="16"/>
        <v>0</v>
      </c>
      <c r="AV77" s="149">
        <f t="shared" si="17"/>
        <v>0.6444444444</v>
      </c>
      <c r="AW77" s="149">
        <f t="array" ref="AW77">IF($AV$9=0,0,MMULT($AH77:$AM77, AV$3:AV$8)/$AV$9)</f>
        <v>0</v>
      </c>
      <c r="AX77" s="149">
        <f t="array" ref="AX77">IF($AW$9=0,0,MMULT($AH77:$AM77, AW$3:AW$8)/$AW$9)</f>
        <v>0</v>
      </c>
      <c r="AY77" s="149">
        <f t="shared" si="18"/>
        <v>0</v>
      </c>
      <c r="AZ77" s="149">
        <f t="array" ref="AZ77">IF($AY$9=0,0,MMULT($AH77:$AM77, AY$3:AY$8)/$AY$9)</f>
        <v>0</v>
      </c>
      <c r="BA77" s="149">
        <f t="array" ref="BA77">IF($AZ$9=0,0,MMULT($AH77:$AM77, AZ$3:AZ$8)/$AZ$9)</f>
        <v>0</v>
      </c>
      <c r="BB77" s="149">
        <f t="array" ref="BB77">IF($BA$9=0,0,MMULT($AH77:$AM77, BA$3:BA$8)/$BA$9)</f>
        <v>0</v>
      </c>
      <c r="BC77" s="149">
        <f t="array" ref="BC77">IF($BB$9=0,0,MMULT($AH77:$AM77, BB$3:BB$8)/$BB$9)</f>
        <v>0.6</v>
      </c>
      <c r="BD77" s="149">
        <f t="array" ref="BD77">IF($BC$9=0,0,MMULT($AH77:$AM77, BC$3:BC$8)/$BC$9)</f>
        <v>0.7357777778</v>
      </c>
      <c r="BE77" s="149">
        <f t="shared" si="19"/>
        <v>0.8888888889</v>
      </c>
      <c r="BF77" s="149">
        <f t="shared" si="20"/>
        <v>0.8888888889</v>
      </c>
      <c r="BG77" s="148" t="str">
        <f t="shared" si="21"/>
        <v>#REF!</v>
      </c>
      <c r="BH77" s="148">
        <f>IF(OR(CSE4098A_Spring2026_Grade!$I67="W (Withdrawn)", CSE4098A_Spring2026_Grade!$I67="I (Incomplete)"), 0, IF(AV77&gt;=55%, 1, 0))</f>
        <v>1</v>
      </c>
      <c r="BI77" s="148" t="str">
        <f t="shared" ref="BI77:BN77" si="205">IF(OR(GradeSheet!$M72="W (Withdrawn)", GradeSheet!$M72="I (Incomplete)"), 0, IF(AW77&gt;=55%, 1, 0))</f>
        <v>#REF!</v>
      </c>
      <c r="BJ77" s="148" t="str">
        <f t="shared" si="205"/>
        <v>#REF!</v>
      </c>
      <c r="BK77" s="148" t="str">
        <f t="shared" si="205"/>
        <v>#REF!</v>
      </c>
      <c r="BL77" s="148" t="str">
        <f t="shared" si="205"/>
        <v>#REF!</v>
      </c>
      <c r="BM77" s="148" t="str">
        <f t="shared" si="205"/>
        <v>#REF!</v>
      </c>
      <c r="BN77" s="148" t="str">
        <f t="shared" si="205"/>
        <v>#REF!</v>
      </c>
      <c r="BO77" s="148">
        <f>IF(OR(CSE4098A_Spring2026_Grade!$I67="W (Withdrawn)", CSE4098A_Spring2026_Grade!$I67="I (Incomplete)"), 0, IF(BC77&gt;=55%, 1, 0))</f>
        <v>1</v>
      </c>
      <c r="BP77" s="148">
        <f>IF(OR(CSE4098A_Spring2026_Grade!$I67="W (Withdrawn)", CSE4098A_Spring2026_Grade!$I67="I (Incomplete)"), 0, IF(BD77&gt;=55%, 1, 0))</f>
        <v>1</v>
      </c>
      <c r="BQ77" s="148">
        <f>IF(OR(CSE4098A_Spring2026_Grade!$I67="W (Withdrawn)", CSE4098A_Spring2026_Grade!$I67="I (Incomplete)"), 0, IF(BE77&gt;=55%, 1, 0))</f>
        <v>1</v>
      </c>
      <c r="BR77" s="148">
        <f>IF(OR(CSE4098A_Spring2026_Grade!$I67="W (Withdrawn)", CSE4098A_Spring2026_Grade!$I67="I (Incomplete)"), 0, IF(BF77&gt;=55%, 1, 0))</f>
        <v>1</v>
      </c>
    </row>
    <row r="78">
      <c r="A78" s="136">
        <v>64.0</v>
      </c>
      <c r="B78" s="137">
        <f>CSE4098A_Spring2026_Grade!B68</f>
        <v>231014029</v>
      </c>
      <c r="C78" s="137" t="str">
        <f>CSE4098A_Spring2026_Grade!C68</f>
        <v>Sadia Sharmin</v>
      </c>
      <c r="D78" s="138">
        <f>'CO_Report Evaluation'!P66</f>
        <v>9.666666667</v>
      </c>
      <c r="E78" s="138">
        <f>'CO_Report Evaluation'!Q66</f>
        <v>2.666666667</v>
      </c>
      <c r="F78" s="138">
        <f>'CO_Report Evaluation'!R66</f>
        <v>2.666666667</v>
      </c>
      <c r="G78" s="139"/>
      <c r="H78" s="139"/>
      <c r="I78" s="140"/>
      <c r="J78" s="138"/>
      <c r="K78" s="141"/>
      <c r="L78" s="141"/>
      <c r="M78" s="141">
        <v>3.0</v>
      </c>
      <c r="N78" s="139"/>
      <c r="O78" s="139"/>
      <c r="P78" s="142"/>
      <c r="Q78" s="143"/>
      <c r="R78" s="143"/>
      <c r="S78" s="143"/>
      <c r="T78" s="141">
        <f>((CSE4098A_Spring2026_Grade!E68)*10)/45</f>
        <v>7.951111111</v>
      </c>
      <c r="U78" s="144"/>
      <c r="V78" s="142"/>
      <c r="W78" s="143"/>
      <c r="X78" s="143"/>
      <c r="Y78" s="143"/>
      <c r="Z78" s="143"/>
      <c r="AA78" s="144"/>
      <c r="AB78" s="145">
        <f t="shared" si="11"/>
        <v>9.666666667</v>
      </c>
      <c r="AC78" s="146">
        <f t="shared" ref="AC78:AE78" si="206">SUM(Q78, W78,E78,K78)</f>
        <v>2.666666667</v>
      </c>
      <c r="AD78" s="146">
        <f t="shared" si="206"/>
        <v>2.666666667</v>
      </c>
      <c r="AE78" s="146">
        <f t="shared" si="206"/>
        <v>3</v>
      </c>
      <c r="AF78" s="146">
        <f t="shared" si="13"/>
        <v>7.951111111</v>
      </c>
      <c r="AG78" s="146">
        <f t="shared" si="14"/>
        <v>0</v>
      </c>
      <c r="AH78" s="147">
        <f t="shared" ref="AH78:AM78" si="207">IF(AB78 = 0, 0, AB78/AB$14)</f>
        <v>0.6444444444</v>
      </c>
      <c r="AI78" s="147">
        <f t="shared" si="207"/>
        <v>0.8888888889</v>
      </c>
      <c r="AJ78" s="147">
        <f t="shared" si="207"/>
        <v>0.8888888889</v>
      </c>
      <c r="AK78" s="147">
        <f t="shared" si="207"/>
        <v>0.6</v>
      </c>
      <c r="AL78" s="147">
        <f t="shared" si="207"/>
        <v>0.7951111111</v>
      </c>
      <c r="AM78" s="147">
        <f t="shared" si="207"/>
        <v>0</v>
      </c>
      <c r="AN78" s="148">
        <f>IF(OR(CSE4098A_Spring2026_Grade!$I68="W (Withdrawn)", CSE4098A_Spring2026_Grade!$I68="I (Incomplete)"), 0, IF(AH78&gt;=55%, 1, 0))</f>
        <v>1</v>
      </c>
      <c r="AO78" s="148">
        <f>IF(OR(CSE4098A_Spring2026_Grade!$I68="W (Withdrawn)", CSE4098A_Spring2026_Grade!I68="I (Incomplete)"), 0, IF(AI78&gt;=55%, 1, 0))</f>
        <v>1</v>
      </c>
      <c r="AP78" s="148">
        <f>IF(OR(CSE4098A_Spring2026_Grade!$I68="W (Withdrawn)", CSE4098A_Spring2026_Grade!$I68="I (Incomplete)"), 0, IF(AJ78&gt;=55%, 1, 0))</f>
        <v>1</v>
      </c>
      <c r="AQ78" s="148">
        <f>IF(OR(CSE4098A_Spring2026_Grade!$I68="W (Withdrawn)", CSE4098A_Spring2026_Grade!$I68="I (Incomplete)"), 0, IF(AK78&gt;=55%, 1, 0))</f>
        <v>1</v>
      </c>
      <c r="AR78" s="148">
        <f>IF(OR(CSE4098A_Spring2026_Grade!$I68="W (Withdrawn)", CSE4098A_Spring2026_Grade!$I68="I (Incomplete)"), 0, IF(AL78&gt;=55%, 1, 0))</f>
        <v>1</v>
      </c>
      <c r="AS78" s="148">
        <f>IF(OR(CSE4098A_Spring2026_Grade!$I68="W (Withdrawn)", CSE4098A_Spring2026_Grade!$I68="I (Incomplete)"), 0, IF(AM78&gt;=55%, 1, 0))</f>
        <v>0</v>
      </c>
      <c r="AT78" s="115"/>
      <c r="AU78" s="149">
        <f t="shared" si="16"/>
        <v>0</v>
      </c>
      <c r="AV78" s="149">
        <f t="shared" si="17"/>
        <v>0.6444444444</v>
      </c>
      <c r="AW78" s="149">
        <f t="array" ref="AW78">IF($AV$9=0,0,MMULT($AH78:$AM78, AV$3:AV$8)/$AV$9)</f>
        <v>0</v>
      </c>
      <c r="AX78" s="149">
        <f t="array" ref="AX78">IF($AW$9=0,0,MMULT($AH78:$AM78, AW$3:AW$8)/$AW$9)</f>
        <v>0</v>
      </c>
      <c r="AY78" s="149">
        <f t="shared" si="18"/>
        <v>0</v>
      </c>
      <c r="AZ78" s="149">
        <f t="array" ref="AZ78">IF($AY$9=0,0,MMULT($AH78:$AM78, AY$3:AY$8)/$AY$9)</f>
        <v>0</v>
      </c>
      <c r="BA78" s="149">
        <f t="array" ref="BA78">IF($AZ$9=0,0,MMULT($AH78:$AM78, AZ$3:AZ$8)/$AZ$9)</f>
        <v>0</v>
      </c>
      <c r="BB78" s="149">
        <f t="array" ref="BB78">IF($BA$9=0,0,MMULT($AH78:$AM78, BA$3:BA$8)/$BA$9)</f>
        <v>0</v>
      </c>
      <c r="BC78" s="149">
        <f t="array" ref="BC78">IF($BB$9=0,0,MMULT($AH78:$AM78, BB$3:BB$8)/$BB$9)</f>
        <v>0.6</v>
      </c>
      <c r="BD78" s="149">
        <f t="array" ref="BD78">IF($BC$9=0,0,MMULT($AH78:$AM78, BC$3:BC$8)/$BC$9)</f>
        <v>0.7951111111</v>
      </c>
      <c r="BE78" s="149">
        <f t="shared" si="19"/>
        <v>0.8888888889</v>
      </c>
      <c r="BF78" s="149">
        <f t="shared" si="20"/>
        <v>0.8888888889</v>
      </c>
      <c r="BG78" s="148" t="str">
        <f t="shared" si="21"/>
        <v>#REF!</v>
      </c>
      <c r="BH78" s="148">
        <f>IF(OR(CSE4098A_Spring2026_Grade!$I68="W (Withdrawn)", CSE4098A_Spring2026_Grade!$I68="I (Incomplete)"), 0, IF(AV78&gt;=55%, 1, 0))</f>
        <v>1</v>
      </c>
      <c r="BI78" s="148" t="str">
        <f t="shared" ref="BI78:BN78" si="208">IF(OR(GradeSheet!$M73="W (Withdrawn)", GradeSheet!$M73="I (Incomplete)"), 0, IF(AW78&gt;=55%, 1, 0))</f>
        <v>#REF!</v>
      </c>
      <c r="BJ78" s="148" t="str">
        <f t="shared" si="208"/>
        <v>#REF!</v>
      </c>
      <c r="BK78" s="148" t="str">
        <f t="shared" si="208"/>
        <v>#REF!</v>
      </c>
      <c r="BL78" s="148" t="str">
        <f t="shared" si="208"/>
        <v>#REF!</v>
      </c>
      <c r="BM78" s="148" t="str">
        <f t="shared" si="208"/>
        <v>#REF!</v>
      </c>
      <c r="BN78" s="148" t="str">
        <f t="shared" si="208"/>
        <v>#REF!</v>
      </c>
      <c r="BO78" s="148">
        <f>IF(OR(CSE4098A_Spring2026_Grade!$I68="W (Withdrawn)", CSE4098A_Spring2026_Grade!$I68="I (Incomplete)"), 0, IF(BC78&gt;=55%, 1, 0))</f>
        <v>1</v>
      </c>
      <c r="BP78" s="148">
        <f>IF(OR(CSE4098A_Spring2026_Grade!$I68="W (Withdrawn)", CSE4098A_Spring2026_Grade!$I68="I (Incomplete)"), 0, IF(BD78&gt;=55%, 1, 0))</f>
        <v>1</v>
      </c>
      <c r="BQ78" s="148">
        <f>IF(OR(CSE4098A_Spring2026_Grade!$I68="W (Withdrawn)", CSE4098A_Spring2026_Grade!$I68="I (Incomplete)"), 0, IF(BE78&gt;=55%, 1, 0))</f>
        <v>1</v>
      </c>
      <c r="BR78" s="148">
        <f>IF(OR(CSE4098A_Spring2026_Grade!$I68="W (Withdrawn)", CSE4098A_Spring2026_Grade!$I68="I (Incomplete)"), 0, IF(BF78&gt;=55%, 1, 0))</f>
        <v>1</v>
      </c>
    </row>
    <row r="79">
      <c r="A79" s="136">
        <v>65.0</v>
      </c>
      <c r="B79" s="137">
        <f>CSE4098A_Spring2026_Grade!B69</f>
        <v>231014083</v>
      </c>
      <c r="C79" s="137" t="str">
        <f>CSE4098A_Spring2026_Grade!C69</f>
        <v>Jannatun Farjana</v>
      </c>
      <c r="D79" s="138">
        <f>'CO_Report Evaluation'!P67</f>
        <v>9.666666667</v>
      </c>
      <c r="E79" s="138">
        <f>'CO_Report Evaluation'!Q67</f>
        <v>2.666666667</v>
      </c>
      <c r="F79" s="138">
        <f>'CO_Report Evaluation'!R67</f>
        <v>2.666666667</v>
      </c>
      <c r="G79" s="139"/>
      <c r="H79" s="139"/>
      <c r="I79" s="140"/>
      <c r="J79" s="138"/>
      <c r="K79" s="141"/>
      <c r="L79" s="141"/>
      <c r="M79" s="141">
        <v>3.0</v>
      </c>
      <c r="N79" s="139"/>
      <c r="O79" s="139"/>
      <c r="P79" s="142"/>
      <c r="Q79" s="143"/>
      <c r="R79" s="143"/>
      <c r="S79" s="143"/>
      <c r="T79" s="141">
        <f>((CSE4098A_Spring2026_Grade!E69)*10)/45</f>
        <v>7.653333333</v>
      </c>
      <c r="U79" s="144"/>
      <c r="V79" s="142"/>
      <c r="W79" s="143"/>
      <c r="X79" s="143"/>
      <c r="Y79" s="143"/>
      <c r="Z79" s="143"/>
      <c r="AA79" s="144"/>
      <c r="AB79" s="145">
        <f t="shared" si="11"/>
        <v>9.666666667</v>
      </c>
      <c r="AC79" s="146">
        <f t="shared" ref="AC79:AE79" si="209">SUM(Q79, W79,E79,K79)</f>
        <v>2.666666667</v>
      </c>
      <c r="AD79" s="146">
        <f t="shared" si="209"/>
        <v>2.666666667</v>
      </c>
      <c r="AE79" s="146">
        <f t="shared" si="209"/>
        <v>3</v>
      </c>
      <c r="AF79" s="146">
        <f t="shared" si="13"/>
        <v>7.653333333</v>
      </c>
      <c r="AG79" s="146">
        <f t="shared" si="14"/>
        <v>0</v>
      </c>
      <c r="AH79" s="147">
        <f t="shared" ref="AH79:AM79" si="210">IF(AB79 = 0, 0, AB79/AB$14)</f>
        <v>0.6444444444</v>
      </c>
      <c r="AI79" s="147">
        <f t="shared" si="210"/>
        <v>0.8888888889</v>
      </c>
      <c r="AJ79" s="147">
        <f t="shared" si="210"/>
        <v>0.8888888889</v>
      </c>
      <c r="AK79" s="147">
        <f t="shared" si="210"/>
        <v>0.6</v>
      </c>
      <c r="AL79" s="147">
        <f t="shared" si="210"/>
        <v>0.7653333333</v>
      </c>
      <c r="AM79" s="147">
        <f t="shared" si="210"/>
        <v>0</v>
      </c>
      <c r="AN79" s="148">
        <f>IF(OR(CSE4098A_Spring2026_Grade!$I69="W (Withdrawn)", CSE4098A_Spring2026_Grade!$I69="I (Incomplete)"), 0, IF(AH79&gt;=55%, 1, 0))</f>
        <v>1</v>
      </c>
      <c r="AO79" s="148">
        <f>IF(OR(CSE4098A_Spring2026_Grade!$I69="W (Withdrawn)", CSE4098A_Spring2026_Grade!I69="I (Incomplete)"), 0, IF(AI79&gt;=55%, 1, 0))</f>
        <v>1</v>
      </c>
      <c r="AP79" s="148">
        <f>IF(OR(CSE4098A_Spring2026_Grade!$I69="W (Withdrawn)", CSE4098A_Spring2026_Grade!$I69="I (Incomplete)"), 0, IF(AJ79&gt;=55%, 1, 0))</f>
        <v>1</v>
      </c>
      <c r="AQ79" s="148">
        <f>IF(OR(CSE4098A_Spring2026_Grade!$I69="W (Withdrawn)", CSE4098A_Spring2026_Grade!$I69="I (Incomplete)"), 0, IF(AK79&gt;=55%, 1, 0))</f>
        <v>1</v>
      </c>
      <c r="AR79" s="148">
        <f>IF(OR(CSE4098A_Spring2026_Grade!$I69="W (Withdrawn)", CSE4098A_Spring2026_Grade!$I69="I (Incomplete)"), 0, IF(AL79&gt;=55%, 1, 0))</f>
        <v>1</v>
      </c>
      <c r="AS79" s="148">
        <f>IF(OR(CSE4098A_Spring2026_Grade!$I69="W (Withdrawn)", CSE4098A_Spring2026_Grade!$I69="I (Incomplete)"), 0, IF(AM79&gt;=55%, 1, 0))</f>
        <v>0</v>
      </c>
      <c r="AT79" s="115"/>
      <c r="AU79" s="149">
        <f t="shared" si="16"/>
        <v>0</v>
      </c>
      <c r="AV79" s="149">
        <f t="shared" si="17"/>
        <v>0.6444444444</v>
      </c>
      <c r="AW79" s="149">
        <f t="array" ref="AW79">IF($AV$9=0,0,MMULT($AH79:$AM79, AV$3:AV$8)/$AV$9)</f>
        <v>0</v>
      </c>
      <c r="AX79" s="149">
        <f t="array" ref="AX79">IF($AW$9=0,0,MMULT($AH79:$AM79, AW$3:AW$8)/$AW$9)</f>
        <v>0</v>
      </c>
      <c r="AY79" s="149">
        <f t="shared" si="18"/>
        <v>0</v>
      </c>
      <c r="AZ79" s="149">
        <f t="array" ref="AZ79">IF($AY$9=0,0,MMULT($AH79:$AM79, AY$3:AY$8)/$AY$9)</f>
        <v>0</v>
      </c>
      <c r="BA79" s="149">
        <f t="array" ref="BA79">IF($AZ$9=0,0,MMULT($AH79:$AM79, AZ$3:AZ$8)/$AZ$9)</f>
        <v>0</v>
      </c>
      <c r="BB79" s="149">
        <f t="array" ref="BB79">IF($BA$9=0,0,MMULT($AH79:$AM79, BA$3:BA$8)/$BA$9)</f>
        <v>0</v>
      </c>
      <c r="BC79" s="149">
        <f t="array" ref="BC79">IF($BB$9=0,0,MMULT($AH79:$AM79, BB$3:BB$8)/$BB$9)</f>
        <v>0.6</v>
      </c>
      <c r="BD79" s="149">
        <f t="array" ref="BD79">IF($BC$9=0,0,MMULT($AH79:$AM79, BC$3:BC$8)/$BC$9)</f>
        <v>0.7653333333</v>
      </c>
      <c r="BE79" s="149">
        <f t="shared" si="19"/>
        <v>0.8888888889</v>
      </c>
      <c r="BF79" s="149">
        <f t="shared" si="20"/>
        <v>0.8888888889</v>
      </c>
      <c r="BG79" s="148" t="str">
        <f t="shared" si="21"/>
        <v>#REF!</v>
      </c>
      <c r="BH79" s="148">
        <f>IF(OR(CSE4098A_Spring2026_Grade!$I69="W (Withdrawn)", CSE4098A_Spring2026_Grade!$I69="I (Incomplete)"), 0, IF(AV79&gt;=55%, 1, 0))</f>
        <v>1</v>
      </c>
      <c r="BI79" s="148" t="str">
        <f t="shared" ref="BI79:BN79" si="211">IF(OR(GradeSheet!$M74="W (Withdrawn)", GradeSheet!$M74="I (Incomplete)"), 0, IF(AW79&gt;=55%, 1, 0))</f>
        <v>#REF!</v>
      </c>
      <c r="BJ79" s="148" t="str">
        <f t="shared" si="211"/>
        <v>#REF!</v>
      </c>
      <c r="BK79" s="148" t="str">
        <f t="shared" si="211"/>
        <v>#REF!</v>
      </c>
      <c r="BL79" s="148" t="str">
        <f t="shared" si="211"/>
        <v>#REF!</v>
      </c>
      <c r="BM79" s="148" t="str">
        <f t="shared" si="211"/>
        <v>#REF!</v>
      </c>
      <c r="BN79" s="148" t="str">
        <f t="shared" si="211"/>
        <v>#REF!</v>
      </c>
      <c r="BO79" s="148">
        <f>IF(OR(CSE4098A_Spring2026_Grade!$I69="W (Withdrawn)", CSE4098A_Spring2026_Grade!$I69="I (Incomplete)"), 0, IF(BC79&gt;=55%, 1, 0))</f>
        <v>1</v>
      </c>
      <c r="BP79" s="148">
        <f>IF(OR(CSE4098A_Spring2026_Grade!$I69="W (Withdrawn)", CSE4098A_Spring2026_Grade!$I69="I (Incomplete)"), 0, IF(BD79&gt;=55%, 1, 0))</f>
        <v>1</v>
      </c>
      <c r="BQ79" s="148">
        <f>IF(OR(CSE4098A_Spring2026_Grade!$I69="W (Withdrawn)", CSE4098A_Spring2026_Grade!$I69="I (Incomplete)"), 0, IF(BE79&gt;=55%, 1, 0))</f>
        <v>1</v>
      </c>
      <c r="BR79" s="148">
        <f>IF(OR(CSE4098A_Spring2026_Grade!$I69="W (Withdrawn)", CSE4098A_Spring2026_Grade!$I69="I (Incomplete)"), 0, IF(BF79&gt;=55%, 1, 0))</f>
        <v>1</v>
      </c>
    </row>
    <row r="80">
      <c r="A80" s="136">
        <v>66.0</v>
      </c>
      <c r="B80" s="137">
        <f>CSE4098A_Spring2026_Grade!B70</f>
        <v>231014077</v>
      </c>
      <c r="C80" s="137" t="str">
        <f>CSE4098A_Spring2026_Grade!C70</f>
        <v>Sumaiya Afrin</v>
      </c>
      <c r="D80" s="138">
        <f>'CO_Report Evaluation'!P68</f>
        <v>9.666666667</v>
      </c>
      <c r="E80" s="138">
        <f>'CO_Report Evaluation'!Q68</f>
        <v>2.666666667</v>
      </c>
      <c r="F80" s="138">
        <f>'CO_Report Evaluation'!R68</f>
        <v>2.666666667</v>
      </c>
      <c r="G80" s="139"/>
      <c r="H80" s="139"/>
      <c r="I80" s="140"/>
      <c r="J80" s="138"/>
      <c r="K80" s="141"/>
      <c r="L80" s="141"/>
      <c r="M80" s="141">
        <v>3.0</v>
      </c>
      <c r="N80" s="139"/>
      <c r="O80" s="139"/>
      <c r="P80" s="142"/>
      <c r="Q80" s="143"/>
      <c r="R80" s="143"/>
      <c r="S80" s="143"/>
      <c r="T80" s="141">
        <f>((CSE4098A_Spring2026_Grade!E70)*10)/45</f>
        <v>7.555555556</v>
      </c>
      <c r="U80" s="144"/>
      <c r="V80" s="142"/>
      <c r="W80" s="143"/>
      <c r="X80" s="143"/>
      <c r="Y80" s="143"/>
      <c r="Z80" s="143"/>
      <c r="AA80" s="144"/>
      <c r="AB80" s="145">
        <f t="shared" si="11"/>
        <v>9.666666667</v>
      </c>
      <c r="AC80" s="146">
        <f t="shared" ref="AC80:AE80" si="212">SUM(Q80, W80,E80,K80)</f>
        <v>2.666666667</v>
      </c>
      <c r="AD80" s="146">
        <f t="shared" si="212"/>
        <v>2.666666667</v>
      </c>
      <c r="AE80" s="146">
        <f t="shared" si="212"/>
        <v>3</v>
      </c>
      <c r="AF80" s="146">
        <f t="shared" si="13"/>
        <v>7.555555556</v>
      </c>
      <c r="AG80" s="146">
        <f t="shared" si="14"/>
        <v>0</v>
      </c>
      <c r="AH80" s="147">
        <f t="shared" ref="AH80:AM80" si="213">IF(AB80 = 0, 0, AB80/AB$14)</f>
        <v>0.6444444444</v>
      </c>
      <c r="AI80" s="147">
        <f t="shared" si="213"/>
        <v>0.8888888889</v>
      </c>
      <c r="AJ80" s="147">
        <f t="shared" si="213"/>
        <v>0.8888888889</v>
      </c>
      <c r="AK80" s="147">
        <f t="shared" si="213"/>
        <v>0.6</v>
      </c>
      <c r="AL80" s="147">
        <f t="shared" si="213"/>
        <v>0.7555555556</v>
      </c>
      <c r="AM80" s="147">
        <f t="shared" si="213"/>
        <v>0</v>
      </c>
      <c r="AN80" s="148">
        <f>IF(OR(CSE4098A_Spring2026_Grade!$I70="W (Withdrawn)", CSE4098A_Spring2026_Grade!$I70="I (Incomplete)"), 0, IF(AH80&gt;=55%, 1, 0))</f>
        <v>1</v>
      </c>
      <c r="AO80" s="148">
        <f>IF(OR(CSE4098A_Spring2026_Grade!$I70="W (Withdrawn)", CSE4098A_Spring2026_Grade!I70="I (Incomplete)"), 0, IF(AI80&gt;=55%, 1, 0))</f>
        <v>1</v>
      </c>
      <c r="AP80" s="148">
        <f>IF(OR(CSE4098A_Spring2026_Grade!$I70="W (Withdrawn)", CSE4098A_Spring2026_Grade!$I70="I (Incomplete)"), 0, IF(AJ80&gt;=55%, 1, 0))</f>
        <v>1</v>
      </c>
      <c r="AQ80" s="148">
        <f>IF(OR(CSE4098A_Spring2026_Grade!$I70="W (Withdrawn)", CSE4098A_Spring2026_Grade!$I70="I (Incomplete)"), 0, IF(AK80&gt;=55%, 1, 0))</f>
        <v>1</v>
      </c>
      <c r="AR80" s="148">
        <f>IF(OR(CSE4098A_Spring2026_Grade!$I70="W (Withdrawn)", CSE4098A_Spring2026_Grade!$I70="I (Incomplete)"), 0, IF(AL80&gt;=55%, 1, 0))</f>
        <v>1</v>
      </c>
      <c r="AS80" s="148">
        <f>IF(OR(CSE4098A_Spring2026_Grade!$I70="W (Withdrawn)", CSE4098A_Spring2026_Grade!$I70="I (Incomplete)"), 0, IF(AM80&gt;=55%, 1, 0))</f>
        <v>0</v>
      </c>
      <c r="AT80" s="115"/>
      <c r="AU80" s="149">
        <f t="shared" si="16"/>
        <v>0</v>
      </c>
      <c r="AV80" s="149">
        <f t="shared" si="17"/>
        <v>0.6444444444</v>
      </c>
      <c r="AW80" s="149">
        <f t="array" ref="AW80">IF($AV$9=0,0,MMULT($AH80:$AM80, AV$3:AV$8)/$AV$9)</f>
        <v>0</v>
      </c>
      <c r="AX80" s="149">
        <f t="array" ref="AX80">IF($AW$9=0,0,MMULT($AH80:$AM80, AW$3:AW$8)/$AW$9)</f>
        <v>0</v>
      </c>
      <c r="AY80" s="149">
        <f t="shared" si="18"/>
        <v>0</v>
      </c>
      <c r="AZ80" s="149">
        <f t="array" ref="AZ80">IF($AY$9=0,0,MMULT($AH80:$AM80, AY$3:AY$8)/$AY$9)</f>
        <v>0</v>
      </c>
      <c r="BA80" s="149">
        <f t="array" ref="BA80">IF($AZ$9=0,0,MMULT($AH80:$AM80, AZ$3:AZ$8)/$AZ$9)</f>
        <v>0</v>
      </c>
      <c r="BB80" s="149">
        <f t="array" ref="BB80">IF($BA$9=0,0,MMULT($AH80:$AM80, BA$3:BA$8)/$BA$9)</f>
        <v>0</v>
      </c>
      <c r="BC80" s="149">
        <f t="array" ref="BC80">IF($BB$9=0,0,MMULT($AH80:$AM80, BB$3:BB$8)/$BB$9)</f>
        <v>0.6</v>
      </c>
      <c r="BD80" s="149">
        <f t="array" ref="BD80">IF($BC$9=0,0,MMULT($AH80:$AM80, BC$3:BC$8)/$BC$9)</f>
        <v>0.7555555556</v>
      </c>
      <c r="BE80" s="149">
        <f t="shared" si="19"/>
        <v>0.8888888889</v>
      </c>
      <c r="BF80" s="149">
        <f t="shared" si="20"/>
        <v>0.8888888889</v>
      </c>
      <c r="BG80" s="148" t="str">
        <f t="shared" si="21"/>
        <v>#REF!</v>
      </c>
      <c r="BH80" s="148">
        <f>IF(OR(CSE4098A_Spring2026_Grade!$I70="W (Withdrawn)", CSE4098A_Spring2026_Grade!$I70="I (Incomplete)"), 0, IF(AV80&gt;=55%, 1, 0))</f>
        <v>1</v>
      </c>
      <c r="BI80" s="148" t="str">
        <f t="shared" ref="BI80:BN80" si="214">IF(OR(GradeSheet!$M75="W (Withdrawn)", GradeSheet!$M75="I (Incomplete)"), 0, IF(AW80&gt;=55%, 1, 0))</f>
        <v>#REF!</v>
      </c>
      <c r="BJ80" s="148" t="str">
        <f t="shared" si="214"/>
        <v>#REF!</v>
      </c>
      <c r="BK80" s="148" t="str">
        <f t="shared" si="214"/>
        <v>#REF!</v>
      </c>
      <c r="BL80" s="148" t="str">
        <f t="shared" si="214"/>
        <v>#REF!</v>
      </c>
      <c r="BM80" s="148" t="str">
        <f t="shared" si="214"/>
        <v>#REF!</v>
      </c>
      <c r="BN80" s="148" t="str">
        <f t="shared" si="214"/>
        <v>#REF!</v>
      </c>
      <c r="BO80" s="148">
        <f>IF(OR(CSE4098A_Spring2026_Grade!$I70="W (Withdrawn)", CSE4098A_Spring2026_Grade!$I70="I (Incomplete)"), 0, IF(BC80&gt;=55%, 1, 0))</f>
        <v>1</v>
      </c>
      <c r="BP80" s="148">
        <f>IF(OR(CSE4098A_Spring2026_Grade!$I70="W (Withdrawn)", CSE4098A_Spring2026_Grade!$I70="I (Incomplete)"), 0, IF(BD80&gt;=55%, 1, 0))</f>
        <v>1</v>
      </c>
      <c r="BQ80" s="148">
        <f>IF(OR(CSE4098A_Spring2026_Grade!$I70="W (Withdrawn)", CSE4098A_Spring2026_Grade!$I70="I (Incomplete)"), 0, IF(BE80&gt;=55%, 1, 0))</f>
        <v>1</v>
      </c>
      <c r="BR80" s="148">
        <f>IF(OR(CSE4098A_Spring2026_Grade!$I70="W (Withdrawn)", CSE4098A_Spring2026_Grade!$I70="I (Incomplete)"), 0, IF(BF80&gt;=55%, 1, 0))</f>
        <v>1</v>
      </c>
    </row>
    <row r="81">
      <c r="A81" s="136">
        <v>67.0</v>
      </c>
      <c r="B81" s="137">
        <f>CSE4098A_Spring2026_Grade!B71</f>
        <v>223014082</v>
      </c>
      <c r="C81" s="137" t="str">
        <f>CSE4098A_Spring2026_Grade!C71</f>
        <v>Tarif-E-Mustafa</v>
      </c>
      <c r="D81" s="138">
        <f>'CO_Report Evaluation'!P69</f>
        <v>13</v>
      </c>
      <c r="E81" s="138">
        <f>'CO_Report Evaluation'!Q69</f>
        <v>2.666666667</v>
      </c>
      <c r="F81" s="138">
        <f>'CO_Report Evaluation'!R69</f>
        <v>2.666666667</v>
      </c>
      <c r="G81" s="139"/>
      <c r="H81" s="139"/>
      <c r="I81" s="140"/>
      <c r="J81" s="138"/>
      <c r="K81" s="141"/>
      <c r="L81" s="141"/>
      <c r="M81" s="141">
        <v>4.0</v>
      </c>
      <c r="N81" s="139"/>
      <c r="O81" s="139"/>
      <c r="P81" s="142"/>
      <c r="Q81" s="143"/>
      <c r="R81" s="143"/>
      <c r="S81" s="143"/>
      <c r="T81" s="141">
        <f>((CSE4098A_Spring2026_Grade!E71)*10)/45</f>
        <v>6.715555556</v>
      </c>
      <c r="U81" s="144"/>
      <c r="V81" s="142"/>
      <c r="W81" s="143"/>
      <c r="X81" s="143"/>
      <c r="Y81" s="143"/>
      <c r="Z81" s="143"/>
      <c r="AA81" s="144"/>
      <c r="AB81" s="145">
        <f t="shared" si="11"/>
        <v>13</v>
      </c>
      <c r="AC81" s="146">
        <f t="shared" ref="AC81:AE81" si="215">SUM(Q81, W81,E81,K81)</f>
        <v>2.666666667</v>
      </c>
      <c r="AD81" s="146">
        <f t="shared" si="215"/>
        <v>2.666666667</v>
      </c>
      <c r="AE81" s="146">
        <f t="shared" si="215"/>
        <v>4</v>
      </c>
      <c r="AF81" s="146">
        <f t="shared" si="13"/>
        <v>6.715555556</v>
      </c>
      <c r="AG81" s="146">
        <f t="shared" si="14"/>
        <v>0</v>
      </c>
      <c r="AH81" s="147">
        <f t="shared" ref="AH81:AM81" si="216">IF(AB81 = 0, 0, AB81/AB$14)</f>
        <v>0.8666666667</v>
      </c>
      <c r="AI81" s="147">
        <f t="shared" si="216"/>
        <v>0.8888888889</v>
      </c>
      <c r="AJ81" s="147">
        <f t="shared" si="216"/>
        <v>0.8888888889</v>
      </c>
      <c r="AK81" s="147">
        <f t="shared" si="216"/>
        <v>0.8</v>
      </c>
      <c r="AL81" s="147">
        <f t="shared" si="216"/>
        <v>0.6715555556</v>
      </c>
      <c r="AM81" s="147">
        <f t="shared" si="216"/>
        <v>0</v>
      </c>
      <c r="AN81" s="148">
        <f>IF(OR(CSE4098A_Spring2026_Grade!$I71="W (Withdrawn)", CSE4098A_Spring2026_Grade!$I71="I (Incomplete)"), 0, IF(AH81&gt;=55%, 1, 0))</f>
        <v>1</v>
      </c>
      <c r="AO81" s="148">
        <f>IF(OR(CSE4098A_Spring2026_Grade!$I71="W (Withdrawn)", CSE4098A_Spring2026_Grade!I71="I (Incomplete)"), 0, IF(AI81&gt;=55%, 1, 0))</f>
        <v>1</v>
      </c>
      <c r="AP81" s="148">
        <f>IF(OR(CSE4098A_Spring2026_Grade!$I71="W (Withdrawn)", CSE4098A_Spring2026_Grade!$I71="I (Incomplete)"), 0, IF(AJ81&gt;=55%, 1, 0))</f>
        <v>1</v>
      </c>
      <c r="AQ81" s="148">
        <f>IF(OR(CSE4098A_Spring2026_Grade!$I71="W (Withdrawn)", CSE4098A_Spring2026_Grade!$I71="I (Incomplete)"), 0, IF(AK81&gt;=55%, 1, 0))</f>
        <v>1</v>
      </c>
      <c r="AR81" s="148">
        <f>IF(OR(CSE4098A_Spring2026_Grade!$I71="W (Withdrawn)", CSE4098A_Spring2026_Grade!$I71="I (Incomplete)"), 0, IF(AL81&gt;=55%, 1, 0))</f>
        <v>1</v>
      </c>
      <c r="AS81" s="148">
        <f>IF(OR(CSE4098A_Spring2026_Grade!$I71="W (Withdrawn)", CSE4098A_Spring2026_Grade!$I71="I (Incomplete)"), 0, IF(AM81&gt;=55%, 1, 0))</f>
        <v>0</v>
      </c>
      <c r="AT81" s="115"/>
      <c r="AU81" s="149">
        <f t="shared" si="16"/>
        <v>0</v>
      </c>
      <c r="AV81" s="149">
        <f t="shared" si="17"/>
        <v>0.8666666667</v>
      </c>
      <c r="AW81" s="149">
        <f t="array" ref="AW81">IF($AV$9=0,0,MMULT($AH81:$AM81, AV$3:AV$8)/$AV$9)</f>
        <v>0</v>
      </c>
      <c r="AX81" s="149">
        <f t="array" ref="AX81">IF($AW$9=0,0,MMULT($AH81:$AM81, AW$3:AW$8)/$AW$9)</f>
        <v>0</v>
      </c>
      <c r="AY81" s="149">
        <f t="shared" si="18"/>
        <v>0</v>
      </c>
      <c r="AZ81" s="149">
        <f t="array" ref="AZ81">IF($AY$9=0,0,MMULT($AH81:$AM81, AY$3:AY$8)/$AY$9)</f>
        <v>0</v>
      </c>
      <c r="BA81" s="149">
        <f t="array" ref="BA81">IF($AZ$9=0,0,MMULT($AH81:$AM81, AZ$3:AZ$8)/$AZ$9)</f>
        <v>0</v>
      </c>
      <c r="BB81" s="149">
        <f t="array" ref="BB81">IF($BA$9=0,0,MMULT($AH81:$AM81, BA$3:BA$8)/$BA$9)</f>
        <v>0</v>
      </c>
      <c r="BC81" s="149">
        <f t="array" ref="BC81">IF($BB$9=0,0,MMULT($AH81:$AM81, BB$3:BB$8)/$BB$9)</f>
        <v>0.8</v>
      </c>
      <c r="BD81" s="149">
        <f t="array" ref="BD81">IF($BC$9=0,0,MMULT($AH81:$AM81, BC$3:BC$8)/$BC$9)</f>
        <v>0.6715555556</v>
      </c>
      <c r="BE81" s="149">
        <f t="shared" si="19"/>
        <v>0.8888888889</v>
      </c>
      <c r="BF81" s="149">
        <f t="shared" si="20"/>
        <v>0.8888888889</v>
      </c>
      <c r="BG81" s="148" t="str">
        <f t="shared" si="21"/>
        <v>#REF!</v>
      </c>
      <c r="BH81" s="148">
        <f>IF(OR(CSE4098A_Spring2026_Grade!$I71="W (Withdrawn)", CSE4098A_Spring2026_Grade!$I71="I (Incomplete)"), 0, IF(AV81&gt;=55%, 1, 0))</f>
        <v>1</v>
      </c>
      <c r="BI81" s="148" t="str">
        <f t="shared" ref="BI81:BN81" si="217">IF(OR(GradeSheet!$M76="W (Withdrawn)", GradeSheet!$M76="I (Incomplete)"), 0, IF(AW81&gt;=55%, 1, 0))</f>
        <v>#REF!</v>
      </c>
      <c r="BJ81" s="148" t="str">
        <f t="shared" si="217"/>
        <v>#REF!</v>
      </c>
      <c r="BK81" s="148" t="str">
        <f t="shared" si="217"/>
        <v>#REF!</v>
      </c>
      <c r="BL81" s="148" t="str">
        <f t="shared" si="217"/>
        <v>#REF!</v>
      </c>
      <c r="BM81" s="148" t="str">
        <f t="shared" si="217"/>
        <v>#REF!</v>
      </c>
      <c r="BN81" s="148" t="str">
        <f t="shared" si="217"/>
        <v>#REF!</v>
      </c>
      <c r="BO81" s="148">
        <f>IF(OR(CSE4098A_Spring2026_Grade!$I71="W (Withdrawn)", CSE4098A_Spring2026_Grade!$I71="I (Incomplete)"), 0, IF(BC81&gt;=55%, 1, 0))</f>
        <v>1</v>
      </c>
      <c r="BP81" s="148">
        <f>IF(OR(CSE4098A_Spring2026_Grade!$I71="W (Withdrawn)", CSE4098A_Spring2026_Grade!$I71="I (Incomplete)"), 0, IF(BD81&gt;=55%, 1, 0))</f>
        <v>1</v>
      </c>
      <c r="BQ81" s="148">
        <f>IF(OR(CSE4098A_Spring2026_Grade!$I71="W (Withdrawn)", CSE4098A_Spring2026_Grade!$I71="I (Incomplete)"), 0, IF(BE81&gt;=55%, 1, 0))</f>
        <v>1</v>
      </c>
      <c r="BR81" s="148">
        <f>IF(OR(CSE4098A_Spring2026_Grade!$I71="W (Withdrawn)", CSE4098A_Spring2026_Grade!$I71="I (Incomplete)"), 0, IF(BF81&gt;=55%, 1, 0))</f>
        <v>1</v>
      </c>
    </row>
    <row r="82">
      <c r="A82" s="136">
        <v>68.0</v>
      </c>
      <c r="B82" s="137">
        <f>CSE4098A_Spring2026_Grade!B72</f>
        <v>231014002</v>
      </c>
      <c r="C82" s="137" t="str">
        <f>CSE4098A_Spring2026_Grade!C72</f>
        <v>Saykot Biswas Shawon</v>
      </c>
      <c r="D82" s="138">
        <f>'CO_Report Evaluation'!P70</f>
        <v>13</v>
      </c>
      <c r="E82" s="138">
        <f>'CO_Report Evaluation'!Q70</f>
        <v>2.666666667</v>
      </c>
      <c r="F82" s="138">
        <f>'CO_Report Evaluation'!R70</f>
        <v>2.666666667</v>
      </c>
      <c r="G82" s="139"/>
      <c r="H82" s="139"/>
      <c r="I82" s="140"/>
      <c r="J82" s="138"/>
      <c r="K82" s="141"/>
      <c r="L82" s="141"/>
      <c r="M82" s="141">
        <v>4.0</v>
      </c>
      <c r="N82" s="139"/>
      <c r="O82" s="139"/>
      <c r="P82" s="142"/>
      <c r="Q82" s="143"/>
      <c r="R82" s="143"/>
      <c r="S82" s="143"/>
      <c r="T82" s="141">
        <f>((CSE4098A_Spring2026_Grade!E72)*10)/45</f>
        <v>6.617777778</v>
      </c>
      <c r="U82" s="144"/>
      <c r="V82" s="142"/>
      <c r="W82" s="143"/>
      <c r="X82" s="143"/>
      <c r="Y82" s="143"/>
      <c r="Z82" s="143"/>
      <c r="AA82" s="144"/>
      <c r="AB82" s="145">
        <f t="shared" si="11"/>
        <v>13</v>
      </c>
      <c r="AC82" s="146">
        <f t="shared" ref="AC82:AE82" si="218">SUM(Q82, W82,E82,K82)</f>
        <v>2.666666667</v>
      </c>
      <c r="AD82" s="146">
        <f t="shared" si="218"/>
        <v>2.666666667</v>
      </c>
      <c r="AE82" s="146">
        <f t="shared" si="218"/>
        <v>4</v>
      </c>
      <c r="AF82" s="146">
        <f t="shared" si="13"/>
        <v>6.617777778</v>
      </c>
      <c r="AG82" s="146">
        <f t="shared" si="14"/>
        <v>0</v>
      </c>
      <c r="AH82" s="147">
        <f t="shared" ref="AH82:AM82" si="219">IF(AB82 = 0, 0, AB82/AB$14)</f>
        <v>0.8666666667</v>
      </c>
      <c r="AI82" s="147">
        <f t="shared" si="219"/>
        <v>0.8888888889</v>
      </c>
      <c r="AJ82" s="147">
        <f t="shared" si="219"/>
        <v>0.8888888889</v>
      </c>
      <c r="AK82" s="147">
        <f t="shared" si="219"/>
        <v>0.8</v>
      </c>
      <c r="AL82" s="147">
        <f t="shared" si="219"/>
        <v>0.6617777778</v>
      </c>
      <c r="AM82" s="147">
        <f t="shared" si="219"/>
        <v>0</v>
      </c>
      <c r="AN82" s="148">
        <f>IF(OR(CSE4098A_Spring2026_Grade!$I72="W (Withdrawn)", CSE4098A_Spring2026_Grade!$I72="I (Incomplete)"), 0, IF(AH82&gt;=55%, 1, 0))</f>
        <v>1</v>
      </c>
      <c r="AO82" s="148">
        <f>IF(OR(CSE4098A_Spring2026_Grade!$I72="W (Withdrawn)", CSE4098A_Spring2026_Grade!I72="I (Incomplete)"), 0, IF(AI82&gt;=55%, 1, 0))</f>
        <v>1</v>
      </c>
      <c r="AP82" s="148">
        <f>IF(OR(CSE4098A_Spring2026_Grade!$I72="W (Withdrawn)", CSE4098A_Spring2026_Grade!$I72="I (Incomplete)"), 0, IF(AJ82&gt;=55%, 1, 0))</f>
        <v>1</v>
      </c>
      <c r="AQ82" s="148">
        <f>IF(OR(CSE4098A_Spring2026_Grade!$I72="W (Withdrawn)", CSE4098A_Spring2026_Grade!$I72="I (Incomplete)"), 0, IF(AK82&gt;=55%, 1, 0))</f>
        <v>1</v>
      </c>
      <c r="AR82" s="148">
        <f>IF(OR(CSE4098A_Spring2026_Grade!$I72="W (Withdrawn)", CSE4098A_Spring2026_Grade!$I72="I (Incomplete)"), 0, IF(AL82&gt;=55%, 1, 0))</f>
        <v>1</v>
      </c>
      <c r="AS82" s="148">
        <f>IF(OR(CSE4098A_Spring2026_Grade!$I72="W (Withdrawn)", CSE4098A_Spring2026_Grade!$I72="I (Incomplete)"), 0, IF(AM82&gt;=55%, 1, 0))</f>
        <v>0</v>
      </c>
      <c r="AT82" s="115"/>
      <c r="AU82" s="149">
        <f t="shared" si="16"/>
        <v>0</v>
      </c>
      <c r="AV82" s="149">
        <f t="shared" si="17"/>
        <v>0.8666666667</v>
      </c>
      <c r="AW82" s="149">
        <f t="array" ref="AW82">IF($AV$9=0,0,MMULT($AH82:$AM82, AV$3:AV$8)/$AV$9)</f>
        <v>0</v>
      </c>
      <c r="AX82" s="149">
        <f t="array" ref="AX82">IF($AW$9=0,0,MMULT($AH82:$AM82, AW$3:AW$8)/$AW$9)</f>
        <v>0</v>
      </c>
      <c r="AY82" s="149">
        <f t="shared" si="18"/>
        <v>0</v>
      </c>
      <c r="AZ82" s="149">
        <f t="array" ref="AZ82">IF($AY$9=0,0,MMULT($AH82:$AM82, AY$3:AY$8)/$AY$9)</f>
        <v>0</v>
      </c>
      <c r="BA82" s="149">
        <f t="array" ref="BA82">IF($AZ$9=0,0,MMULT($AH82:$AM82, AZ$3:AZ$8)/$AZ$9)</f>
        <v>0</v>
      </c>
      <c r="BB82" s="149">
        <f t="array" ref="BB82">IF($BA$9=0,0,MMULT($AH82:$AM82, BA$3:BA$8)/$BA$9)</f>
        <v>0</v>
      </c>
      <c r="BC82" s="149">
        <f t="array" ref="BC82">IF($BB$9=0,0,MMULT($AH82:$AM82, BB$3:BB$8)/$BB$9)</f>
        <v>0.8</v>
      </c>
      <c r="BD82" s="149">
        <f t="array" ref="BD82">IF($BC$9=0,0,MMULT($AH82:$AM82, BC$3:BC$8)/$BC$9)</f>
        <v>0.6617777778</v>
      </c>
      <c r="BE82" s="149">
        <f t="shared" si="19"/>
        <v>0.8888888889</v>
      </c>
      <c r="BF82" s="149">
        <f t="shared" si="20"/>
        <v>0.8888888889</v>
      </c>
      <c r="BG82" s="148" t="str">
        <f t="shared" si="21"/>
        <v>#REF!</v>
      </c>
      <c r="BH82" s="148">
        <f>IF(OR(CSE4098A_Spring2026_Grade!$I72="W (Withdrawn)", CSE4098A_Spring2026_Grade!$I72="I (Incomplete)"), 0, IF(AV82&gt;=55%, 1, 0))</f>
        <v>1</v>
      </c>
      <c r="BI82" s="148" t="str">
        <f t="shared" ref="BI82:BN82" si="220">IF(OR(GradeSheet!$M77="W (Withdrawn)", GradeSheet!$M77="I (Incomplete)"), 0, IF(AW82&gt;=55%, 1, 0))</f>
        <v>#REF!</v>
      </c>
      <c r="BJ82" s="148" t="str">
        <f t="shared" si="220"/>
        <v>#REF!</v>
      </c>
      <c r="BK82" s="148" t="str">
        <f t="shared" si="220"/>
        <v>#REF!</v>
      </c>
      <c r="BL82" s="148" t="str">
        <f t="shared" si="220"/>
        <v>#REF!</v>
      </c>
      <c r="BM82" s="148" t="str">
        <f t="shared" si="220"/>
        <v>#REF!</v>
      </c>
      <c r="BN82" s="148" t="str">
        <f t="shared" si="220"/>
        <v>#REF!</v>
      </c>
      <c r="BO82" s="148">
        <f>IF(OR(CSE4098A_Spring2026_Grade!$I72="W (Withdrawn)", CSE4098A_Spring2026_Grade!$I72="I (Incomplete)"), 0, IF(BC82&gt;=55%, 1, 0))</f>
        <v>1</v>
      </c>
      <c r="BP82" s="148">
        <f>IF(OR(CSE4098A_Spring2026_Grade!$I72="W (Withdrawn)", CSE4098A_Spring2026_Grade!$I72="I (Incomplete)"), 0, IF(BD82&gt;=55%, 1, 0))</f>
        <v>1</v>
      </c>
      <c r="BQ82" s="148">
        <f>IF(OR(CSE4098A_Spring2026_Grade!$I72="W (Withdrawn)", CSE4098A_Spring2026_Grade!$I72="I (Incomplete)"), 0, IF(BE82&gt;=55%, 1, 0))</f>
        <v>1</v>
      </c>
      <c r="BR82" s="148">
        <f>IF(OR(CSE4098A_Spring2026_Grade!$I72="W (Withdrawn)", CSE4098A_Spring2026_Grade!$I72="I (Incomplete)"), 0, IF(BF82&gt;=55%, 1, 0))</f>
        <v>1</v>
      </c>
    </row>
    <row r="83">
      <c r="A83" s="136">
        <v>69.0</v>
      </c>
      <c r="B83" s="137">
        <f>CSE4098A_Spring2026_Grade!B73</f>
        <v>231014047</v>
      </c>
      <c r="C83" s="137" t="str">
        <f>CSE4098A_Spring2026_Grade!C73</f>
        <v>Abu Saleh Md Araf</v>
      </c>
      <c r="D83" s="138">
        <f>'CO_Report Evaluation'!P71</f>
        <v>13</v>
      </c>
      <c r="E83" s="138">
        <f>'CO_Report Evaluation'!Q71</f>
        <v>2.666666667</v>
      </c>
      <c r="F83" s="138">
        <f>'CO_Report Evaluation'!R71</f>
        <v>2.666666667</v>
      </c>
      <c r="G83" s="139"/>
      <c r="H83" s="139"/>
      <c r="I83" s="140"/>
      <c r="J83" s="138"/>
      <c r="K83" s="141"/>
      <c r="L83" s="141"/>
      <c r="M83" s="141">
        <v>2.0</v>
      </c>
      <c r="N83" s="139"/>
      <c r="O83" s="139"/>
      <c r="P83" s="142"/>
      <c r="Q83" s="143"/>
      <c r="R83" s="143"/>
      <c r="S83" s="143"/>
      <c r="T83" s="141">
        <f>((CSE4098A_Spring2026_Grade!E73)*10)/45</f>
        <v>6.913333333</v>
      </c>
      <c r="U83" s="144"/>
      <c r="V83" s="142"/>
      <c r="W83" s="143"/>
      <c r="X83" s="143"/>
      <c r="Y83" s="143"/>
      <c r="Z83" s="143"/>
      <c r="AA83" s="144"/>
      <c r="AB83" s="145">
        <f t="shared" si="11"/>
        <v>13</v>
      </c>
      <c r="AC83" s="146">
        <f t="shared" ref="AC83:AE83" si="221">SUM(Q83, W83,E83,K83)</f>
        <v>2.666666667</v>
      </c>
      <c r="AD83" s="146">
        <f t="shared" si="221"/>
        <v>2.666666667</v>
      </c>
      <c r="AE83" s="146">
        <f t="shared" si="221"/>
        <v>2</v>
      </c>
      <c r="AF83" s="146">
        <f t="shared" si="13"/>
        <v>6.913333333</v>
      </c>
      <c r="AG83" s="146">
        <f t="shared" si="14"/>
        <v>0</v>
      </c>
      <c r="AH83" s="147">
        <f t="shared" ref="AH83:AM83" si="222">IF(AB83 = 0, 0, AB83/AB$14)</f>
        <v>0.8666666667</v>
      </c>
      <c r="AI83" s="147">
        <f t="shared" si="222"/>
        <v>0.8888888889</v>
      </c>
      <c r="AJ83" s="147">
        <f t="shared" si="222"/>
        <v>0.8888888889</v>
      </c>
      <c r="AK83" s="147">
        <f t="shared" si="222"/>
        <v>0.4</v>
      </c>
      <c r="AL83" s="147">
        <f t="shared" si="222"/>
        <v>0.6913333333</v>
      </c>
      <c r="AM83" s="147">
        <f t="shared" si="222"/>
        <v>0</v>
      </c>
      <c r="AN83" s="148">
        <f>IF(OR(CSE4098A_Spring2026_Grade!$I73="W (Withdrawn)", CSE4098A_Spring2026_Grade!$I73="I (Incomplete)"), 0, IF(AH83&gt;=55%, 1, 0))</f>
        <v>1</v>
      </c>
      <c r="AO83" s="148">
        <f>IF(OR(CSE4098A_Spring2026_Grade!$I73="W (Withdrawn)", CSE4098A_Spring2026_Grade!I73="I (Incomplete)"), 0, IF(AI83&gt;=55%, 1, 0))</f>
        <v>1</v>
      </c>
      <c r="AP83" s="148">
        <f>IF(OR(CSE4098A_Spring2026_Grade!$I73="W (Withdrawn)", CSE4098A_Spring2026_Grade!$I73="I (Incomplete)"), 0, IF(AJ83&gt;=55%, 1, 0))</f>
        <v>1</v>
      </c>
      <c r="AQ83" s="148">
        <f>IF(OR(CSE4098A_Spring2026_Grade!$I73="W (Withdrawn)", CSE4098A_Spring2026_Grade!$I73="I (Incomplete)"), 0, IF(AK83&gt;=55%, 1, 0))</f>
        <v>0</v>
      </c>
      <c r="AR83" s="148">
        <f>IF(OR(CSE4098A_Spring2026_Grade!$I73="W (Withdrawn)", CSE4098A_Spring2026_Grade!$I73="I (Incomplete)"), 0, IF(AL83&gt;=55%, 1, 0))</f>
        <v>1</v>
      </c>
      <c r="AS83" s="148">
        <f>IF(OR(CSE4098A_Spring2026_Grade!$I73="W (Withdrawn)", CSE4098A_Spring2026_Grade!$I73="I (Incomplete)"), 0, IF(AM83&gt;=55%, 1, 0))</f>
        <v>0</v>
      </c>
      <c r="AT83" s="115"/>
      <c r="AU83" s="149">
        <f t="shared" si="16"/>
        <v>0</v>
      </c>
      <c r="AV83" s="149">
        <f t="shared" si="17"/>
        <v>0.8666666667</v>
      </c>
      <c r="AW83" s="149">
        <f t="array" ref="AW83">IF($AV$9=0,0,MMULT($AH83:$AM83, AV$3:AV$8)/$AV$9)</f>
        <v>0</v>
      </c>
      <c r="AX83" s="149">
        <f t="array" ref="AX83">IF($AW$9=0,0,MMULT($AH83:$AM83, AW$3:AW$8)/$AW$9)</f>
        <v>0</v>
      </c>
      <c r="AY83" s="149">
        <f t="shared" si="18"/>
        <v>0</v>
      </c>
      <c r="AZ83" s="149">
        <f t="array" ref="AZ83">IF($AY$9=0,0,MMULT($AH83:$AM83, AY$3:AY$8)/$AY$9)</f>
        <v>0</v>
      </c>
      <c r="BA83" s="149">
        <f t="array" ref="BA83">IF($AZ$9=0,0,MMULT($AH83:$AM83, AZ$3:AZ$8)/$AZ$9)</f>
        <v>0</v>
      </c>
      <c r="BB83" s="149">
        <f t="array" ref="BB83">IF($BA$9=0,0,MMULT($AH83:$AM83, BA$3:BA$8)/$BA$9)</f>
        <v>0</v>
      </c>
      <c r="BC83" s="149">
        <f t="array" ref="BC83">IF($BB$9=0,0,MMULT($AH83:$AM83, BB$3:BB$8)/$BB$9)</f>
        <v>0.4</v>
      </c>
      <c r="BD83" s="149">
        <f t="array" ref="BD83">IF($BC$9=0,0,MMULT($AH83:$AM83, BC$3:BC$8)/$BC$9)</f>
        <v>0.6913333333</v>
      </c>
      <c r="BE83" s="149">
        <f t="shared" si="19"/>
        <v>0.8888888889</v>
      </c>
      <c r="BF83" s="149">
        <f t="shared" si="20"/>
        <v>0.8888888889</v>
      </c>
      <c r="BG83" s="148" t="str">
        <f t="shared" si="21"/>
        <v>#REF!</v>
      </c>
      <c r="BH83" s="148">
        <f>IF(OR(CSE4098A_Spring2026_Grade!$I73="W (Withdrawn)", CSE4098A_Spring2026_Grade!$I73="I (Incomplete)"), 0, IF(AV83&gt;=55%, 1, 0))</f>
        <v>1</v>
      </c>
      <c r="BI83" s="148" t="str">
        <f t="shared" ref="BI83:BN83" si="223">IF(OR(GradeSheet!$M78="W (Withdrawn)", GradeSheet!$M78="I (Incomplete)"), 0, IF(AW83&gt;=55%, 1, 0))</f>
        <v>#REF!</v>
      </c>
      <c r="BJ83" s="148" t="str">
        <f t="shared" si="223"/>
        <v>#REF!</v>
      </c>
      <c r="BK83" s="148" t="str">
        <f t="shared" si="223"/>
        <v>#REF!</v>
      </c>
      <c r="BL83" s="148" t="str">
        <f t="shared" si="223"/>
        <v>#REF!</v>
      </c>
      <c r="BM83" s="148" t="str">
        <f t="shared" si="223"/>
        <v>#REF!</v>
      </c>
      <c r="BN83" s="148" t="str">
        <f t="shared" si="223"/>
        <v>#REF!</v>
      </c>
      <c r="BO83" s="148">
        <f>IF(OR(CSE4098A_Spring2026_Grade!$I73="W (Withdrawn)", CSE4098A_Spring2026_Grade!$I73="I (Incomplete)"), 0, IF(BC83&gt;=55%, 1, 0))</f>
        <v>0</v>
      </c>
      <c r="BP83" s="148">
        <f>IF(OR(CSE4098A_Spring2026_Grade!$I73="W (Withdrawn)", CSE4098A_Spring2026_Grade!$I73="I (Incomplete)"), 0, IF(BD83&gt;=55%, 1, 0))</f>
        <v>1</v>
      </c>
      <c r="BQ83" s="148">
        <f>IF(OR(CSE4098A_Spring2026_Grade!$I73="W (Withdrawn)", CSE4098A_Spring2026_Grade!$I73="I (Incomplete)"), 0, IF(BE83&gt;=55%, 1, 0))</f>
        <v>1</v>
      </c>
      <c r="BR83" s="148">
        <f>IF(OR(CSE4098A_Spring2026_Grade!$I73="W (Withdrawn)", CSE4098A_Spring2026_Grade!$I73="I (Incomplete)"), 0, IF(BF83&gt;=55%, 1, 0))</f>
        <v>1</v>
      </c>
    </row>
    <row r="84">
      <c r="A84" s="136">
        <v>70.0</v>
      </c>
      <c r="B84" s="137">
        <f>CSE4098A_Spring2026_Grade!B74</f>
        <v>231014025</v>
      </c>
      <c r="C84" s="137" t="str">
        <f>CSE4098A_Spring2026_Grade!C74</f>
        <v>Sariful Islam Rana</v>
      </c>
      <c r="D84" s="138">
        <f>'CO_Report Evaluation'!P72</f>
        <v>13</v>
      </c>
      <c r="E84" s="138">
        <f>'CO_Report Evaluation'!Q72</f>
        <v>2.666666667</v>
      </c>
      <c r="F84" s="138">
        <f>'CO_Report Evaluation'!R72</f>
        <v>2.666666667</v>
      </c>
      <c r="G84" s="139"/>
      <c r="H84" s="139"/>
      <c r="I84" s="140"/>
      <c r="J84" s="138"/>
      <c r="K84" s="141"/>
      <c r="L84" s="141"/>
      <c r="M84" s="141">
        <v>5.0</v>
      </c>
      <c r="N84" s="139"/>
      <c r="O84" s="139"/>
      <c r="P84" s="142"/>
      <c r="Q84" s="143"/>
      <c r="R84" s="143"/>
      <c r="S84" s="143"/>
      <c r="T84" s="141">
        <f>((CSE4098A_Spring2026_Grade!E74)*10)/45</f>
        <v>6.32</v>
      </c>
      <c r="U84" s="144"/>
      <c r="V84" s="142"/>
      <c r="W84" s="143"/>
      <c r="X84" s="143"/>
      <c r="Y84" s="143"/>
      <c r="Z84" s="143"/>
      <c r="AA84" s="144"/>
      <c r="AB84" s="145">
        <f t="shared" si="11"/>
        <v>13</v>
      </c>
      <c r="AC84" s="146">
        <f t="shared" ref="AC84:AE84" si="224">SUM(Q84, W84,E84,K84)</f>
        <v>2.666666667</v>
      </c>
      <c r="AD84" s="146">
        <f t="shared" si="224"/>
        <v>2.666666667</v>
      </c>
      <c r="AE84" s="146">
        <f t="shared" si="224"/>
        <v>5</v>
      </c>
      <c r="AF84" s="146">
        <f t="shared" si="13"/>
        <v>6.32</v>
      </c>
      <c r="AG84" s="146">
        <f t="shared" si="14"/>
        <v>0</v>
      </c>
      <c r="AH84" s="147">
        <f t="shared" ref="AH84:AM84" si="225">IF(AB84 = 0, 0, AB84/AB$14)</f>
        <v>0.8666666667</v>
      </c>
      <c r="AI84" s="147">
        <f t="shared" si="225"/>
        <v>0.8888888889</v>
      </c>
      <c r="AJ84" s="147">
        <f t="shared" si="225"/>
        <v>0.8888888889</v>
      </c>
      <c r="AK84" s="147">
        <f t="shared" si="225"/>
        <v>1</v>
      </c>
      <c r="AL84" s="147">
        <f t="shared" si="225"/>
        <v>0.632</v>
      </c>
      <c r="AM84" s="147">
        <f t="shared" si="225"/>
        <v>0</v>
      </c>
      <c r="AN84" s="148">
        <f>IF(OR(CSE4098A_Spring2026_Grade!$I74="W (Withdrawn)", CSE4098A_Spring2026_Grade!$I74="I (Incomplete)"), 0, IF(AH84&gt;=55%, 1, 0))</f>
        <v>1</v>
      </c>
      <c r="AO84" s="148">
        <f>IF(OR(CSE4098A_Spring2026_Grade!$I74="W (Withdrawn)", CSE4098A_Spring2026_Grade!I74="I (Incomplete)"), 0, IF(AI84&gt;=55%, 1, 0))</f>
        <v>1</v>
      </c>
      <c r="AP84" s="148">
        <f>IF(OR(CSE4098A_Spring2026_Grade!$I74="W (Withdrawn)", CSE4098A_Spring2026_Grade!$I74="I (Incomplete)"), 0, IF(AJ84&gt;=55%, 1, 0))</f>
        <v>1</v>
      </c>
      <c r="AQ84" s="148">
        <f>IF(OR(CSE4098A_Spring2026_Grade!$I74="W (Withdrawn)", CSE4098A_Spring2026_Grade!$I74="I (Incomplete)"), 0, IF(AK84&gt;=55%, 1, 0))</f>
        <v>1</v>
      </c>
      <c r="AR84" s="148">
        <f>IF(OR(CSE4098A_Spring2026_Grade!$I74="W (Withdrawn)", CSE4098A_Spring2026_Grade!$I74="I (Incomplete)"), 0, IF(AL84&gt;=55%, 1, 0))</f>
        <v>1</v>
      </c>
      <c r="AS84" s="148">
        <f>IF(OR(CSE4098A_Spring2026_Grade!$I74="W (Withdrawn)", CSE4098A_Spring2026_Grade!$I74="I (Incomplete)"), 0, IF(AM84&gt;=55%, 1, 0))</f>
        <v>0</v>
      </c>
      <c r="AT84" s="115"/>
      <c r="AU84" s="149">
        <f t="shared" si="16"/>
        <v>0</v>
      </c>
      <c r="AV84" s="149">
        <f t="shared" si="17"/>
        <v>0.8666666667</v>
      </c>
      <c r="AW84" s="149">
        <f t="array" ref="AW84">IF($AV$9=0,0,MMULT($AH84:$AM84, AV$3:AV$8)/$AV$9)</f>
        <v>0</v>
      </c>
      <c r="AX84" s="149">
        <f t="array" ref="AX84">IF($AW$9=0,0,MMULT($AH84:$AM84, AW$3:AW$8)/$AW$9)</f>
        <v>0</v>
      </c>
      <c r="AY84" s="149">
        <f t="shared" si="18"/>
        <v>0</v>
      </c>
      <c r="AZ84" s="149">
        <f t="array" ref="AZ84">IF($AY$9=0,0,MMULT($AH84:$AM84, AY$3:AY$8)/$AY$9)</f>
        <v>0</v>
      </c>
      <c r="BA84" s="149">
        <f t="array" ref="BA84">IF($AZ$9=0,0,MMULT($AH84:$AM84, AZ$3:AZ$8)/$AZ$9)</f>
        <v>0</v>
      </c>
      <c r="BB84" s="149">
        <f t="array" ref="BB84">IF($BA$9=0,0,MMULT($AH84:$AM84, BA$3:BA$8)/$BA$9)</f>
        <v>0</v>
      </c>
      <c r="BC84" s="149">
        <f t="array" ref="BC84">IF($BB$9=0,0,MMULT($AH84:$AM84, BB$3:BB$8)/$BB$9)</f>
        <v>1</v>
      </c>
      <c r="BD84" s="149">
        <f t="array" ref="BD84">IF($BC$9=0,0,MMULT($AH84:$AM84, BC$3:BC$8)/$BC$9)</f>
        <v>0.632</v>
      </c>
      <c r="BE84" s="149">
        <f t="shared" si="19"/>
        <v>0.8888888889</v>
      </c>
      <c r="BF84" s="149">
        <f t="shared" si="20"/>
        <v>0.8888888889</v>
      </c>
      <c r="BG84" s="148" t="str">
        <f t="shared" si="21"/>
        <v>#REF!</v>
      </c>
      <c r="BH84" s="148">
        <f>IF(OR(CSE4098A_Spring2026_Grade!$I74="W (Withdrawn)", CSE4098A_Spring2026_Grade!$I74="I (Incomplete)"), 0, IF(AV84&gt;=55%, 1, 0))</f>
        <v>1</v>
      </c>
      <c r="BI84" s="148" t="str">
        <f t="shared" ref="BI84:BN84" si="226">IF(OR(GradeSheet!$M79="W (Withdrawn)", GradeSheet!$M79="I (Incomplete)"), 0, IF(AW84&gt;=55%, 1, 0))</f>
        <v>#REF!</v>
      </c>
      <c r="BJ84" s="148" t="str">
        <f t="shared" si="226"/>
        <v>#REF!</v>
      </c>
      <c r="BK84" s="148" t="str">
        <f t="shared" si="226"/>
        <v>#REF!</v>
      </c>
      <c r="BL84" s="148" t="str">
        <f t="shared" si="226"/>
        <v>#REF!</v>
      </c>
      <c r="BM84" s="148" t="str">
        <f t="shared" si="226"/>
        <v>#REF!</v>
      </c>
      <c r="BN84" s="148" t="str">
        <f t="shared" si="226"/>
        <v>#REF!</v>
      </c>
      <c r="BO84" s="148">
        <f>IF(OR(CSE4098A_Spring2026_Grade!$I74="W (Withdrawn)", CSE4098A_Spring2026_Grade!$I74="I (Incomplete)"), 0, IF(BC84&gt;=55%, 1, 0))</f>
        <v>1</v>
      </c>
      <c r="BP84" s="148">
        <f>IF(OR(CSE4098A_Spring2026_Grade!$I74="W (Withdrawn)", CSE4098A_Spring2026_Grade!$I74="I (Incomplete)"), 0, IF(BD84&gt;=55%, 1, 0))</f>
        <v>1</v>
      </c>
      <c r="BQ84" s="148">
        <f>IF(OR(CSE4098A_Spring2026_Grade!$I74="W (Withdrawn)", CSE4098A_Spring2026_Grade!$I74="I (Incomplete)"), 0, IF(BE84&gt;=55%, 1, 0))</f>
        <v>1</v>
      </c>
      <c r="BR84" s="148">
        <f>IF(OR(CSE4098A_Spring2026_Grade!$I74="W (Withdrawn)", CSE4098A_Spring2026_Grade!$I74="I (Incomplete)"), 0, IF(BF84&gt;=55%, 1, 0))</f>
        <v>1</v>
      </c>
    </row>
    <row r="85">
      <c r="A85" s="136">
        <v>71.0</v>
      </c>
      <c r="B85" s="137">
        <f>CSE4098A_Spring2026_Grade!B75</f>
        <v>223014009</v>
      </c>
      <c r="C85" s="137" t="str">
        <f>CSE4098A_Spring2026_Grade!C75</f>
        <v>Farjana Akter Ema</v>
      </c>
      <c r="D85" s="138">
        <f>'CO_Report Evaluation'!P73</f>
        <v>10.33333333</v>
      </c>
      <c r="E85" s="138">
        <f>'CO_Report Evaluation'!Q73</f>
        <v>2.333333333</v>
      </c>
      <c r="F85" s="138">
        <f>'CO_Report Evaluation'!R73</f>
        <v>2.333333333</v>
      </c>
      <c r="G85" s="139"/>
      <c r="H85" s="139"/>
      <c r="I85" s="140"/>
      <c r="J85" s="138"/>
      <c r="K85" s="141"/>
      <c r="L85" s="141"/>
      <c r="M85" s="141">
        <v>5.0</v>
      </c>
      <c r="N85" s="139"/>
      <c r="O85" s="139"/>
      <c r="P85" s="142"/>
      <c r="Q85" s="143"/>
      <c r="R85" s="143"/>
      <c r="S85" s="143"/>
      <c r="T85" s="141">
        <f>((CSE4098A_Spring2026_Grade!E75)*10)/45</f>
        <v>6.444444444</v>
      </c>
      <c r="U85" s="144"/>
      <c r="V85" s="142"/>
      <c r="W85" s="143"/>
      <c r="X85" s="143"/>
      <c r="Y85" s="143"/>
      <c r="Z85" s="143"/>
      <c r="AA85" s="144"/>
      <c r="AB85" s="145">
        <f t="shared" si="11"/>
        <v>10.33333333</v>
      </c>
      <c r="AC85" s="146">
        <f t="shared" ref="AC85:AE85" si="227">SUM(Q85, W85,E85,K85)</f>
        <v>2.333333333</v>
      </c>
      <c r="AD85" s="146">
        <f t="shared" si="227"/>
        <v>2.333333333</v>
      </c>
      <c r="AE85" s="146">
        <f t="shared" si="227"/>
        <v>5</v>
      </c>
      <c r="AF85" s="146">
        <f t="shared" si="13"/>
        <v>6.444444444</v>
      </c>
      <c r="AG85" s="146">
        <f t="shared" si="14"/>
        <v>0</v>
      </c>
      <c r="AH85" s="147">
        <f t="shared" ref="AH85:AM85" si="228">IF(AB85 = 0, 0, AB85/AB$14)</f>
        <v>0.6888888889</v>
      </c>
      <c r="AI85" s="147">
        <f t="shared" si="228"/>
        <v>0.7777777778</v>
      </c>
      <c r="AJ85" s="147">
        <f t="shared" si="228"/>
        <v>0.7777777778</v>
      </c>
      <c r="AK85" s="147">
        <f t="shared" si="228"/>
        <v>1</v>
      </c>
      <c r="AL85" s="147">
        <f t="shared" si="228"/>
        <v>0.6444444444</v>
      </c>
      <c r="AM85" s="147">
        <f t="shared" si="228"/>
        <v>0</v>
      </c>
      <c r="AN85" s="148">
        <f>IF(OR(CSE4098A_Spring2026_Grade!$I75="W (Withdrawn)", CSE4098A_Spring2026_Grade!$I75="I (Incomplete)"), 0, IF(AH85&gt;=55%, 1, 0))</f>
        <v>1</v>
      </c>
      <c r="AO85" s="148">
        <f>IF(OR(CSE4098A_Spring2026_Grade!$I75="W (Withdrawn)", CSE4098A_Spring2026_Grade!I75="I (Incomplete)"), 0, IF(AI85&gt;=55%, 1, 0))</f>
        <v>1</v>
      </c>
      <c r="AP85" s="148">
        <f>IF(OR(CSE4098A_Spring2026_Grade!$I75="W (Withdrawn)", CSE4098A_Spring2026_Grade!$I75="I (Incomplete)"), 0, IF(AJ85&gt;=55%, 1, 0))</f>
        <v>1</v>
      </c>
      <c r="AQ85" s="148">
        <f>IF(OR(CSE4098A_Spring2026_Grade!$I75="W (Withdrawn)", CSE4098A_Spring2026_Grade!$I75="I (Incomplete)"), 0, IF(AK85&gt;=55%, 1, 0))</f>
        <v>1</v>
      </c>
      <c r="AR85" s="148">
        <f>IF(OR(CSE4098A_Spring2026_Grade!$I75="W (Withdrawn)", CSE4098A_Spring2026_Grade!$I75="I (Incomplete)"), 0, IF(AL85&gt;=55%, 1, 0))</f>
        <v>1</v>
      </c>
      <c r="AS85" s="148">
        <f>IF(OR(CSE4098A_Spring2026_Grade!$I75="W (Withdrawn)", CSE4098A_Spring2026_Grade!$I75="I (Incomplete)"), 0, IF(AM85&gt;=55%, 1, 0))</f>
        <v>0</v>
      </c>
      <c r="AT85" s="115"/>
      <c r="AU85" s="149">
        <f t="shared" si="16"/>
        <v>0</v>
      </c>
      <c r="AV85" s="149">
        <f t="shared" si="17"/>
        <v>0.6888888889</v>
      </c>
      <c r="AW85" s="149">
        <f t="array" ref="AW85">IF($AV$9=0,0,MMULT($AH85:$AM85, AV$3:AV$8)/$AV$9)</f>
        <v>0</v>
      </c>
      <c r="AX85" s="149">
        <f t="array" ref="AX85">IF($AW$9=0,0,MMULT($AH85:$AM85, AW$3:AW$8)/$AW$9)</f>
        <v>0</v>
      </c>
      <c r="AY85" s="149">
        <f t="shared" si="18"/>
        <v>0</v>
      </c>
      <c r="AZ85" s="149">
        <f t="array" ref="AZ85">IF($AY$9=0,0,MMULT($AH85:$AM85, AY$3:AY$8)/$AY$9)</f>
        <v>0</v>
      </c>
      <c r="BA85" s="149">
        <f t="array" ref="BA85">IF($AZ$9=0,0,MMULT($AH85:$AM85, AZ$3:AZ$8)/$AZ$9)</f>
        <v>0</v>
      </c>
      <c r="BB85" s="149">
        <f t="array" ref="BB85">IF($BA$9=0,0,MMULT($AH85:$AM85, BA$3:BA$8)/$BA$9)</f>
        <v>0</v>
      </c>
      <c r="BC85" s="149">
        <f t="array" ref="BC85">IF($BB$9=0,0,MMULT($AH85:$AM85, BB$3:BB$8)/$BB$9)</f>
        <v>1</v>
      </c>
      <c r="BD85" s="149">
        <f t="array" ref="BD85">IF($BC$9=0,0,MMULT($AH85:$AM85, BC$3:BC$8)/$BC$9)</f>
        <v>0.6444444444</v>
      </c>
      <c r="BE85" s="149">
        <f t="shared" si="19"/>
        <v>0.7777777778</v>
      </c>
      <c r="BF85" s="149">
        <f t="shared" si="20"/>
        <v>0.7777777778</v>
      </c>
      <c r="BG85" s="148" t="str">
        <f t="shared" si="21"/>
        <v>#REF!</v>
      </c>
      <c r="BH85" s="148">
        <f>IF(OR(CSE4098A_Spring2026_Grade!$I75="W (Withdrawn)", CSE4098A_Spring2026_Grade!$I75="I (Incomplete)"), 0, IF(AV85&gt;=55%, 1, 0))</f>
        <v>1</v>
      </c>
      <c r="BI85" s="148" t="str">
        <f t="shared" ref="BI85:BN85" si="229">IF(OR(GradeSheet!$M80="W (Withdrawn)", GradeSheet!$M80="I (Incomplete)"), 0, IF(AW85&gt;=55%, 1, 0))</f>
        <v>#REF!</v>
      </c>
      <c r="BJ85" s="148" t="str">
        <f t="shared" si="229"/>
        <v>#REF!</v>
      </c>
      <c r="BK85" s="148" t="str">
        <f t="shared" si="229"/>
        <v>#REF!</v>
      </c>
      <c r="BL85" s="148" t="str">
        <f t="shared" si="229"/>
        <v>#REF!</v>
      </c>
      <c r="BM85" s="148" t="str">
        <f t="shared" si="229"/>
        <v>#REF!</v>
      </c>
      <c r="BN85" s="148" t="str">
        <f t="shared" si="229"/>
        <v>#REF!</v>
      </c>
      <c r="BO85" s="148">
        <f>IF(OR(CSE4098A_Spring2026_Grade!$I75="W (Withdrawn)", CSE4098A_Spring2026_Grade!$I75="I (Incomplete)"), 0, IF(BC85&gt;=55%, 1, 0))</f>
        <v>1</v>
      </c>
      <c r="BP85" s="148">
        <f>IF(OR(CSE4098A_Spring2026_Grade!$I75="W (Withdrawn)", CSE4098A_Spring2026_Grade!$I75="I (Incomplete)"), 0, IF(BD85&gt;=55%, 1, 0))</f>
        <v>1</v>
      </c>
      <c r="BQ85" s="148">
        <f>IF(OR(CSE4098A_Spring2026_Grade!$I75="W (Withdrawn)", CSE4098A_Spring2026_Grade!$I75="I (Incomplete)"), 0, IF(BE85&gt;=55%, 1, 0))</f>
        <v>1</v>
      </c>
      <c r="BR85" s="148">
        <f>IF(OR(CSE4098A_Spring2026_Grade!$I75="W (Withdrawn)", CSE4098A_Spring2026_Grade!$I75="I (Incomplete)"), 0, IF(BF85&gt;=55%, 1, 0))</f>
        <v>1</v>
      </c>
    </row>
    <row r="86">
      <c r="A86" s="136">
        <v>72.0</v>
      </c>
      <c r="B86" s="137">
        <f>CSE4098A_Spring2026_Grade!B76</f>
        <v>223014073</v>
      </c>
      <c r="C86" s="137" t="str">
        <f>CSE4098A_Spring2026_Grade!C76</f>
        <v>Pronoy Pal</v>
      </c>
      <c r="D86" s="138">
        <f>'CO_Report Evaluation'!P74</f>
        <v>10.33333333</v>
      </c>
      <c r="E86" s="138">
        <f>'CO_Report Evaluation'!Q74</f>
        <v>2.333333333</v>
      </c>
      <c r="F86" s="138">
        <f>'CO_Report Evaluation'!R74</f>
        <v>2.333333333</v>
      </c>
      <c r="G86" s="139"/>
      <c r="H86" s="139"/>
      <c r="I86" s="140"/>
      <c r="J86" s="138"/>
      <c r="K86" s="141"/>
      <c r="L86" s="141"/>
      <c r="M86" s="141">
        <v>5.0</v>
      </c>
      <c r="N86" s="139"/>
      <c r="O86" s="139"/>
      <c r="P86" s="142"/>
      <c r="Q86" s="143"/>
      <c r="R86" s="143"/>
      <c r="S86" s="143"/>
      <c r="T86" s="141">
        <f>((CSE4098A_Spring2026_Grade!E76)*10)/45</f>
        <v>6.395555556</v>
      </c>
      <c r="U86" s="144"/>
      <c r="V86" s="142"/>
      <c r="W86" s="143"/>
      <c r="X86" s="143"/>
      <c r="Y86" s="143"/>
      <c r="Z86" s="143"/>
      <c r="AA86" s="144"/>
      <c r="AB86" s="145">
        <f t="shared" si="11"/>
        <v>10.33333333</v>
      </c>
      <c r="AC86" s="146">
        <f t="shared" ref="AC86:AE86" si="230">SUM(Q86, W86,E86,K86)</f>
        <v>2.333333333</v>
      </c>
      <c r="AD86" s="146">
        <f t="shared" si="230"/>
        <v>2.333333333</v>
      </c>
      <c r="AE86" s="146">
        <f t="shared" si="230"/>
        <v>5</v>
      </c>
      <c r="AF86" s="146">
        <f t="shared" si="13"/>
        <v>6.395555556</v>
      </c>
      <c r="AG86" s="146">
        <f t="shared" si="14"/>
        <v>0</v>
      </c>
      <c r="AH86" s="147">
        <f t="shared" ref="AH86:AM86" si="231">IF(AB86 = 0, 0, AB86/AB$14)</f>
        <v>0.6888888889</v>
      </c>
      <c r="AI86" s="147">
        <f t="shared" si="231"/>
        <v>0.7777777778</v>
      </c>
      <c r="AJ86" s="147">
        <f t="shared" si="231"/>
        <v>0.7777777778</v>
      </c>
      <c r="AK86" s="147">
        <f t="shared" si="231"/>
        <v>1</v>
      </c>
      <c r="AL86" s="147">
        <f t="shared" si="231"/>
        <v>0.6395555556</v>
      </c>
      <c r="AM86" s="147">
        <f t="shared" si="231"/>
        <v>0</v>
      </c>
      <c r="AN86" s="148">
        <f>IF(OR(CSE4098A_Spring2026_Grade!$I76="W (Withdrawn)", CSE4098A_Spring2026_Grade!$I76="I (Incomplete)"), 0, IF(AH86&gt;=55%, 1, 0))</f>
        <v>1</v>
      </c>
      <c r="AO86" s="148">
        <f>IF(OR(CSE4098A_Spring2026_Grade!$I76="W (Withdrawn)", CSE4098A_Spring2026_Grade!I76="I (Incomplete)"), 0, IF(AI86&gt;=55%, 1, 0))</f>
        <v>1</v>
      </c>
      <c r="AP86" s="148">
        <f>IF(OR(CSE4098A_Spring2026_Grade!$I76="W (Withdrawn)", CSE4098A_Spring2026_Grade!$I76="I (Incomplete)"), 0, IF(AJ86&gt;=55%, 1, 0))</f>
        <v>1</v>
      </c>
      <c r="AQ86" s="148">
        <f>IF(OR(CSE4098A_Spring2026_Grade!$I76="W (Withdrawn)", CSE4098A_Spring2026_Grade!$I76="I (Incomplete)"), 0, IF(AK86&gt;=55%, 1, 0))</f>
        <v>1</v>
      </c>
      <c r="AR86" s="148">
        <f>IF(OR(CSE4098A_Spring2026_Grade!$I76="W (Withdrawn)", CSE4098A_Spring2026_Grade!$I76="I (Incomplete)"), 0, IF(AL86&gt;=55%, 1, 0))</f>
        <v>1</v>
      </c>
      <c r="AS86" s="148">
        <f>IF(OR(CSE4098A_Spring2026_Grade!$I76="W (Withdrawn)", CSE4098A_Spring2026_Grade!$I76="I (Incomplete)"), 0, IF(AM86&gt;=55%, 1, 0))</f>
        <v>0</v>
      </c>
      <c r="AT86" s="115"/>
      <c r="AU86" s="149">
        <f t="shared" si="16"/>
        <v>0</v>
      </c>
      <c r="AV86" s="149">
        <f t="shared" si="17"/>
        <v>0.6888888889</v>
      </c>
      <c r="AW86" s="149">
        <f t="array" ref="AW86">IF($AV$9=0,0,MMULT($AH86:$AM86, AV$3:AV$8)/$AV$9)</f>
        <v>0</v>
      </c>
      <c r="AX86" s="149">
        <f t="array" ref="AX86">IF($AW$9=0,0,MMULT($AH86:$AM86, AW$3:AW$8)/$AW$9)</f>
        <v>0</v>
      </c>
      <c r="AY86" s="149">
        <f t="shared" si="18"/>
        <v>0</v>
      </c>
      <c r="AZ86" s="149">
        <f t="array" ref="AZ86">IF($AY$9=0,0,MMULT($AH86:$AM86, AY$3:AY$8)/$AY$9)</f>
        <v>0</v>
      </c>
      <c r="BA86" s="149">
        <f t="array" ref="BA86">IF($AZ$9=0,0,MMULT($AH86:$AM86, AZ$3:AZ$8)/$AZ$9)</f>
        <v>0</v>
      </c>
      <c r="BB86" s="149">
        <f t="array" ref="BB86">IF($BA$9=0,0,MMULT($AH86:$AM86, BA$3:BA$8)/$BA$9)</f>
        <v>0</v>
      </c>
      <c r="BC86" s="149">
        <f t="array" ref="BC86">IF($BB$9=0,0,MMULT($AH86:$AM86, BB$3:BB$8)/$BB$9)</f>
        <v>1</v>
      </c>
      <c r="BD86" s="149">
        <f t="array" ref="BD86">IF($BC$9=0,0,MMULT($AH86:$AM86, BC$3:BC$8)/$BC$9)</f>
        <v>0.6395555556</v>
      </c>
      <c r="BE86" s="149">
        <f t="shared" si="19"/>
        <v>0.7777777778</v>
      </c>
      <c r="BF86" s="149">
        <f t="shared" si="20"/>
        <v>0.7777777778</v>
      </c>
      <c r="BG86" s="148" t="str">
        <f t="shared" si="21"/>
        <v>#REF!</v>
      </c>
      <c r="BH86" s="148">
        <f>IF(OR(CSE4098A_Spring2026_Grade!$I76="W (Withdrawn)", CSE4098A_Spring2026_Grade!$I76="I (Incomplete)"), 0, IF(AV86&gt;=55%, 1, 0))</f>
        <v>1</v>
      </c>
      <c r="BI86" s="148" t="str">
        <f t="shared" ref="BI86:BN86" si="232">IF(OR(GradeSheet!$M81="W (Withdrawn)", GradeSheet!$M81="I (Incomplete)"), 0, IF(AW86&gt;=55%, 1, 0))</f>
        <v>#REF!</v>
      </c>
      <c r="BJ86" s="148" t="str">
        <f t="shared" si="232"/>
        <v>#REF!</v>
      </c>
      <c r="BK86" s="148" t="str">
        <f t="shared" si="232"/>
        <v>#REF!</v>
      </c>
      <c r="BL86" s="148" t="str">
        <f t="shared" si="232"/>
        <v>#REF!</v>
      </c>
      <c r="BM86" s="148" t="str">
        <f t="shared" si="232"/>
        <v>#REF!</v>
      </c>
      <c r="BN86" s="148" t="str">
        <f t="shared" si="232"/>
        <v>#REF!</v>
      </c>
      <c r="BO86" s="148">
        <f>IF(OR(CSE4098A_Spring2026_Grade!$I76="W (Withdrawn)", CSE4098A_Spring2026_Grade!$I76="I (Incomplete)"), 0, IF(BC86&gt;=55%, 1, 0))</f>
        <v>1</v>
      </c>
      <c r="BP86" s="148">
        <f>IF(OR(CSE4098A_Spring2026_Grade!$I76="W (Withdrawn)", CSE4098A_Spring2026_Grade!$I76="I (Incomplete)"), 0, IF(BD86&gt;=55%, 1, 0))</f>
        <v>1</v>
      </c>
      <c r="BQ86" s="148">
        <f>IF(OR(CSE4098A_Spring2026_Grade!$I76="W (Withdrawn)", CSE4098A_Spring2026_Grade!$I76="I (Incomplete)"), 0, IF(BE86&gt;=55%, 1, 0))</f>
        <v>1</v>
      </c>
      <c r="BR86" s="148">
        <f>IF(OR(CSE4098A_Spring2026_Grade!$I76="W (Withdrawn)", CSE4098A_Spring2026_Grade!$I76="I (Incomplete)"), 0, IF(BF86&gt;=55%, 1, 0))</f>
        <v>1</v>
      </c>
    </row>
    <row r="87">
      <c r="A87" s="136">
        <v>73.0</v>
      </c>
      <c r="B87" s="137">
        <f>CSE4098A_Spring2026_Grade!B77</f>
        <v>223014157</v>
      </c>
      <c r="C87" s="137" t="str">
        <f>CSE4098A_Spring2026_Grade!C77</f>
        <v>Mohammad Talha</v>
      </c>
      <c r="D87" s="138">
        <f>'CO_Report Evaluation'!P75</f>
        <v>10.33333333</v>
      </c>
      <c r="E87" s="138">
        <f>'CO_Report Evaluation'!Q75</f>
        <v>2.333333333</v>
      </c>
      <c r="F87" s="138">
        <f>'CO_Report Evaluation'!R75</f>
        <v>2.333333333</v>
      </c>
      <c r="G87" s="139"/>
      <c r="H87" s="139"/>
      <c r="I87" s="140"/>
      <c r="J87" s="138"/>
      <c r="K87" s="141"/>
      <c r="L87" s="141"/>
      <c r="M87" s="141">
        <v>5.0</v>
      </c>
      <c r="N87" s="139"/>
      <c r="O87" s="139"/>
      <c r="P87" s="142"/>
      <c r="Q87" s="143"/>
      <c r="R87" s="143"/>
      <c r="S87" s="143"/>
      <c r="T87" s="141">
        <f>((CSE4098A_Spring2026_Grade!E77)*10)/45</f>
        <v>6.346666667</v>
      </c>
      <c r="U87" s="144"/>
      <c r="V87" s="142"/>
      <c r="W87" s="143"/>
      <c r="X87" s="143"/>
      <c r="Y87" s="143"/>
      <c r="Z87" s="143"/>
      <c r="AA87" s="144"/>
      <c r="AB87" s="145">
        <f t="shared" si="11"/>
        <v>10.33333333</v>
      </c>
      <c r="AC87" s="146">
        <f t="shared" ref="AC87:AE87" si="233">SUM(Q87, W87,E87,K87)</f>
        <v>2.333333333</v>
      </c>
      <c r="AD87" s="146">
        <f t="shared" si="233"/>
        <v>2.333333333</v>
      </c>
      <c r="AE87" s="146">
        <f t="shared" si="233"/>
        <v>5</v>
      </c>
      <c r="AF87" s="146">
        <f t="shared" si="13"/>
        <v>6.346666667</v>
      </c>
      <c r="AG87" s="146">
        <f t="shared" si="14"/>
        <v>0</v>
      </c>
      <c r="AH87" s="147">
        <f t="shared" ref="AH87:AM87" si="234">IF(AB87 = 0, 0, AB87/AB$14)</f>
        <v>0.6888888889</v>
      </c>
      <c r="AI87" s="147">
        <f t="shared" si="234"/>
        <v>0.7777777778</v>
      </c>
      <c r="AJ87" s="147">
        <f t="shared" si="234"/>
        <v>0.7777777778</v>
      </c>
      <c r="AK87" s="147">
        <f t="shared" si="234"/>
        <v>1</v>
      </c>
      <c r="AL87" s="147">
        <f t="shared" si="234"/>
        <v>0.6346666667</v>
      </c>
      <c r="AM87" s="147">
        <f t="shared" si="234"/>
        <v>0</v>
      </c>
      <c r="AN87" s="148">
        <f>IF(OR(CSE4098A_Spring2026_Grade!$I77="W (Withdrawn)", CSE4098A_Spring2026_Grade!$I77="I (Incomplete)"), 0, IF(AH87&gt;=55%, 1, 0))</f>
        <v>1</v>
      </c>
      <c r="AO87" s="148">
        <f>IF(OR(CSE4098A_Spring2026_Grade!$I77="W (Withdrawn)", CSE4098A_Spring2026_Grade!I77="I (Incomplete)"), 0, IF(AI87&gt;=55%, 1, 0))</f>
        <v>1</v>
      </c>
      <c r="AP87" s="148">
        <f>IF(OR(CSE4098A_Spring2026_Grade!$I77="W (Withdrawn)", CSE4098A_Spring2026_Grade!$I77="I (Incomplete)"), 0, IF(AJ87&gt;=55%, 1, 0))</f>
        <v>1</v>
      </c>
      <c r="AQ87" s="148">
        <f>IF(OR(CSE4098A_Spring2026_Grade!$I77="W (Withdrawn)", CSE4098A_Spring2026_Grade!$I77="I (Incomplete)"), 0, IF(AK87&gt;=55%, 1, 0))</f>
        <v>1</v>
      </c>
      <c r="AR87" s="148">
        <f>IF(OR(CSE4098A_Spring2026_Grade!$I77="W (Withdrawn)", CSE4098A_Spring2026_Grade!$I77="I (Incomplete)"), 0, IF(AL87&gt;=55%, 1, 0))</f>
        <v>1</v>
      </c>
      <c r="AS87" s="148">
        <f>IF(OR(CSE4098A_Spring2026_Grade!$I77="W (Withdrawn)", CSE4098A_Spring2026_Grade!$I77="I (Incomplete)"), 0, IF(AM87&gt;=55%, 1, 0))</f>
        <v>0</v>
      </c>
      <c r="AT87" s="115"/>
      <c r="AU87" s="149">
        <f t="shared" si="16"/>
        <v>0</v>
      </c>
      <c r="AV87" s="149">
        <f t="shared" si="17"/>
        <v>0.6888888889</v>
      </c>
      <c r="AW87" s="149">
        <f t="array" ref="AW87">IF($AV$9=0,0,MMULT($AH87:$AM87, AV$3:AV$8)/$AV$9)</f>
        <v>0</v>
      </c>
      <c r="AX87" s="149">
        <f t="array" ref="AX87">IF($AW$9=0,0,MMULT($AH87:$AM87, AW$3:AW$8)/$AW$9)</f>
        <v>0</v>
      </c>
      <c r="AY87" s="149">
        <f t="shared" si="18"/>
        <v>0</v>
      </c>
      <c r="AZ87" s="149">
        <f t="array" ref="AZ87">IF($AY$9=0,0,MMULT($AH87:$AM87, AY$3:AY$8)/$AY$9)</f>
        <v>0</v>
      </c>
      <c r="BA87" s="149">
        <f t="array" ref="BA87">IF($AZ$9=0,0,MMULT($AH87:$AM87, AZ$3:AZ$8)/$AZ$9)</f>
        <v>0</v>
      </c>
      <c r="BB87" s="149">
        <f t="array" ref="BB87">IF($BA$9=0,0,MMULT($AH87:$AM87, BA$3:BA$8)/$BA$9)</f>
        <v>0</v>
      </c>
      <c r="BC87" s="149">
        <f t="array" ref="BC87">IF($BB$9=0,0,MMULT($AH87:$AM87, BB$3:BB$8)/$BB$9)</f>
        <v>1</v>
      </c>
      <c r="BD87" s="149">
        <f t="array" ref="BD87">IF($BC$9=0,0,MMULT($AH87:$AM87, BC$3:BC$8)/$BC$9)</f>
        <v>0.6346666667</v>
      </c>
      <c r="BE87" s="149">
        <f t="shared" si="19"/>
        <v>0.7777777778</v>
      </c>
      <c r="BF87" s="149">
        <f t="shared" si="20"/>
        <v>0.7777777778</v>
      </c>
      <c r="BG87" s="148" t="str">
        <f t="shared" si="21"/>
        <v>#REF!</v>
      </c>
      <c r="BH87" s="148">
        <f>IF(OR(CSE4098A_Spring2026_Grade!$I77="W (Withdrawn)", CSE4098A_Spring2026_Grade!$I77="I (Incomplete)"), 0, IF(AV87&gt;=55%, 1, 0))</f>
        <v>1</v>
      </c>
      <c r="BI87" s="148" t="str">
        <f t="shared" ref="BI87:BN87" si="235">IF(OR(GradeSheet!$M82="W (Withdrawn)", GradeSheet!$M82="I (Incomplete)"), 0, IF(AW87&gt;=55%, 1, 0))</f>
        <v>#REF!</v>
      </c>
      <c r="BJ87" s="148" t="str">
        <f t="shared" si="235"/>
        <v>#REF!</v>
      </c>
      <c r="BK87" s="148" t="str">
        <f t="shared" si="235"/>
        <v>#REF!</v>
      </c>
      <c r="BL87" s="148" t="str">
        <f t="shared" si="235"/>
        <v>#REF!</v>
      </c>
      <c r="BM87" s="148" t="str">
        <f t="shared" si="235"/>
        <v>#REF!</v>
      </c>
      <c r="BN87" s="148" t="str">
        <f t="shared" si="235"/>
        <v>#REF!</v>
      </c>
      <c r="BO87" s="148">
        <f>IF(OR(CSE4098A_Spring2026_Grade!$I77="W (Withdrawn)", CSE4098A_Spring2026_Grade!$I77="I (Incomplete)"), 0, IF(BC87&gt;=55%, 1, 0))</f>
        <v>1</v>
      </c>
      <c r="BP87" s="148">
        <f>IF(OR(CSE4098A_Spring2026_Grade!$I77="W (Withdrawn)", CSE4098A_Spring2026_Grade!$I77="I (Incomplete)"), 0, IF(BD87&gt;=55%, 1, 0))</f>
        <v>1</v>
      </c>
      <c r="BQ87" s="148">
        <f>IF(OR(CSE4098A_Spring2026_Grade!$I77="W (Withdrawn)", CSE4098A_Spring2026_Grade!$I77="I (Incomplete)"), 0, IF(BE87&gt;=55%, 1, 0))</f>
        <v>1</v>
      </c>
      <c r="BR87" s="148">
        <f>IF(OR(CSE4098A_Spring2026_Grade!$I77="W (Withdrawn)", CSE4098A_Spring2026_Grade!$I77="I (Incomplete)"), 0, IF(BF87&gt;=55%, 1, 0))</f>
        <v>1</v>
      </c>
    </row>
    <row r="88">
      <c r="A88" s="136">
        <v>74.0</v>
      </c>
      <c r="B88" s="137">
        <f>CSE4098A_Spring2026_Grade!B78</f>
        <v>223014022</v>
      </c>
      <c r="C88" s="137" t="str">
        <f>CSE4098A_Spring2026_Grade!C78</f>
        <v>Sumaiya Islam Rouja</v>
      </c>
      <c r="D88" s="138">
        <f>'CO_Report Evaluation'!P76</f>
        <v>10.33333333</v>
      </c>
      <c r="E88" s="138">
        <f>'CO_Report Evaluation'!Q76</f>
        <v>2.333333333</v>
      </c>
      <c r="F88" s="138">
        <f>'CO_Report Evaluation'!R76</f>
        <v>2.333333333</v>
      </c>
      <c r="G88" s="139"/>
      <c r="H88" s="139"/>
      <c r="I88" s="140"/>
      <c r="J88" s="138"/>
      <c r="K88" s="141"/>
      <c r="L88" s="141"/>
      <c r="M88" s="141">
        <v>4.0</v>
      </c>
      <c r="N88" s="139"/>
      <c r="O88" s="139"/>
      <c r="P88" s="142"/>
      <c r="Q88" s="143"/>
      <c r="R88" s="143"/>
      <c r="S88" s="143"/>
      <c r="T88" s="141">
        <f>((CSE4098A_Spring2026_Grade!E78)*10)/45</f>
        <v>6.346666667</v>
      </c>
      <c r="U88" s="144"/>
      <c r="V88" s="142"/>
      <c r="W88" s="143"/>
      <c r="X88" s="143"/>
      <c r="Y88" s="143"/>
      <c r="Z88" s="143"/>
      <c r="AA88" s="144"/>
      <c r="AB88" s="145">
        <f t="shared" si="11"/>
        <v>10.33333333</v>
      </c>
      <c r="AC88" s="146">
        <f t="shared" ref="AC88:AE88" si="236">SUM(Q88, W88,E88,K88)</f>
        <v>2.333333333</v>
      </c>
      <c r="AD88" s="146">
        <f t="shared" si="236"/>
        <v>2.333333333</v>
      </c>
      <c r="AE88" s="146">
        <f t="shared" si="236"/>
        <v>4</v>
      </c>
      <c r="AF88" s="146">
        <f t="shared" si="13"/>
        <v>6.346666667</v>
      </c>
      <c r="AG88" s="146">
        <f t="shared" si="14"/>
        <v>0</v>
      </c>
      <c r="AH88" s="147">
        <f t="shared" ref="AH88:AM88" si="237">IF(AB88 = 0, 0, AB88/AB$14)</f>
        <v>0.6888888889</v>
      </c>
      <c r="AI88" s="147">
        <f t="shared" si="237"/>
        <v>0.7777777778</v>
      </c>
      <c r="AJ88" s="147">
        <f t="shared" si="237"/>
        <v>0.7777777778</v>
      </c>
      <c r="AK88" s="147">
        <f t="shared" si="237"/>
        <v>0.8</v>
      </c>
      <c r="AL88" s="147">
        <f t="shared" si="237"/>
        <v>0.6346666667</v>
      </c>
      <c r="AM88" s="147">
        <f t="shared" si="237"/>
        <v>0</v>
      </c>
      <c r="AN88" s="148">
        <f>IF(OR(CSE4098A_Spring2026_Grade!$I78="W (Withdrawn)", CSE4098A_Spring2026_Grade!$I78="I (Incomplete)"), 0, IF(AH88&gt;=55%, 1, 0))</f>
        <v>1</v>
      </c>
      <c r="AO88" s="148">
        <f>IF(OR(CSE4098A_Spring2026_Grade!$I78="W (Withdrawn)", CSE4098A_Spring2026_Grade!I78="I (Incomplete)"), 0, IF(AI88&gt;=55%, 1, 0))</f>
        <v>1</v>
      </c>
      <c r="AP88" s="148">
        <f>IF(OR(CSE4098A_Spring2026_Grade!$I78="W (Withdrawn)", CSE4098A_Spring2026_Grade!$I78="I (Incomplete)"), 0, IF(AJ88&gt;=55%, 1, 0))</f>
        <v>1</v>
      </c>
      <c r="AQ88" s="148">
        <f>IF(OR(CSE4098A_Spring2026_Grade!$I78="W (Withdrawn)", CSE4098A_Spring2026_Grade!$I78="I (Incomplete)"), 0, IF(AK88&gt;=55%, 1, 0))</f>
        <v>1</v>
      </c>
      <c r="AR88" s="148">
        <f>IF(OR(CSE4098A_Spring2026_Grade!$I78="W (Withdrawn)", CSE4098A_Spring2026_Grade!$I78="I (Incomplete)"), 0, IF(AL88&gt;=55%, 1, 0))</f>
        <v>1</v>
      </c>
      <c r="AS88" s="148">
        <f>IF(OR(CSE4098A_Spring2026_Grade!$I78="W (Withdrawn)", CSE4098A_Spring2026_Grade!$I78="I (Incomplete)"), 0, IF(AM88&gt;=55%, 1, 0))</f>
        <v>0</v>
      </c>
      <c r="AT88" s="115"/>
      <c r="AU88" s="149">
        <f t="shared" si="16"/>
        <v>0</v>
      </c>
      <c r="AV88" s="149">
        <f t="shared" si="17"/>
        <v>0.6888888889</v>
      </c>
      <c r="AW88" s="149">
        <f t="array" ref="AW88">IF($AV$9=0,0,MMULT($AH88:$AM88, AV$3:AV$8)/$AV$9)</f>
        <v>0</v>
      </c>
      <c r="AX88" s="149">
        <f t="array" ref="AX88">IF($AW$9=0,0,MMULT($AH88:$AM88, AW$3:AW$8)/$AW$9)</f>
        <v>0</v>
      </c>
      <c r="AY88" s="149">
        <f t="shared" si="18"/>
        <v>0</v>
      </c>
      <c r="AZ88" s="149">
        <f t="array" ref="AZ88">IF($AY$9=0,0,MMULT($AH88:$AM88, AY$3:AY$8)/$AY$9)</f>
        <v>0</v>
      </c>
      <c r="BA88" s="149">
        <f t="array" ref="BA88">IF($AZ$9=0,0,MMULT($AH88:$AM88, AZ$3:AZ$8)/$AZ$9)</f>
        <v>0</v>
      </c>
      <c r="BB88" s="149">
        <f t="array" ref="BB88">IF($BA$9=0,0,MMULT($AH88:$AM88, BA$3:BA$8)/$BA$9)</f>
        <v>0</v>
      </c>
      <c r="BC88" s="149">
        <f t="array" ref="BC88">IF($BB$9=0,0,MMULT($AH88:$AM88, BB$3:BB$8)/$BB$9)</f>
        <v>0.8</v>
      </c>
      <c r="BD88" s="149">
        <f t="array" ref="BD88">IF($BC$9=0,0,MMULT($AH88:$AM88, BC$3:BC$8)/$BC$9)</f>
        <v>0.6346666667</v>
      </c>
      <c r="BE88" s="149">
        <f t="shared" si="19"/>
        <v>0.7777777778</v>
      </c>
      <c r="BF88" s="149">
        <f t="shared" si="20"/>
        <v>0.7777777778</v>
      </c>
      <c r="BG88" s="148" t="str">
        <f t="shared" si="21"/>
        <v>#REF!</v>
      </c>
      <c r="BH88" s="148">
        <f>IF(OR(CSE4098A_Spring2026_Grade!$I78="W (Withdrawn)", CSE4098A_Spring2026_Grade!$I78="I (Incomplete)"), 0, IF(AV88&gt;=55%, 1, 0))</f>
        <v>1</v>
      </c>
      <c r="BI88" s="148" t="str">
        <f t="shared" ref="BI88:BN88" si="238">IF(OR(GradeSheet!$M83="W (Withdrawn)", GradeSheet!$M83="I (Incomplete)"), 0, IF(AW88&gt;=55%, 1, 0))</f>
        <v>#REF!</v>
      </c>
      <c r="BJ88" s="148" t="str">
        <f t="shared" si="238"/>
        <v>#REF!</v>
      </c>
      <c r="BK88" s="148" t="str">
        <f t="shared" si="238"/>
        <v>#REF!</v>
      </c>
      <c r="BL88" s="148" t="str">
        <f t="shared" si="238"/>
        <v>#REF!</v>
      </c>
      <c r="BM88" s="148" t="str">
        <f t="shared" si="238"/>
        <v>#REF!</v>
      </c>
      <c r="BN88" s="148" t="str">
        <f t="shared" si="238"/>
        <v>#REF!</v>
      </c>
      <c r="BO88" s="148">
        <f>IF(OR(CSE4098A_Spring2026_Grade!$I78="W (Withdrawn)", CSE4098A_Spring2026_Grade!$I78="I (Incomplete)"), 0, IF(BC88&gt;=55%, 1, 0))</f>
        <v>1</v>
      </c>
      <c r="BP88" s="148">
        <f>IF(OR(CSE4098A_Spring2026_Grade!$I78="W (Withdrawn)", CSE4098A_Spring2026_Grade!$I78="I (Incomplete)"), 0, IF(BD88&gt;=55%, 1, 0))</f>
        <v>1</v>
      </c>
      <c r="BQ88" s="148">
        <f>IF(OR(CSE4098A_Spring2026_Grade!$I78="W (Withdrawn)", CSE4098A_Spring2026_Grade!$I78="I (Incomplete)"), 0, IF(BE88&gt;=55%, 1, 0))</f>
        <v>1</v>
      </c>
      <c r="BR88" s="148">
        <f>IF(OR(CSE4098A_Spring2026_Grade!$I78="W (Withdrawn)", CSE4098A_Spring2026_Grade!$I78="I (Incomplete)"), 0, IF(BF88&gt;=55%, 1, 0))</f>
        <v>1</v>
      </c>
    </row>
    <row r="89">
      <c r="A89" s="136">
        <v>75.0</v>
      </c>
      <c r="B89" s="137">
        <f>CSE4098A_Spring2026_Grade!B79</f>
        <v>223014117</v>
      </c>
      <c r="C89" s="137" t="str">
        <f>CSE4098A_Spring2026_Grade!C79</f>
        <v>Sudipto Acharjee Dhrubo</v>
      </c>
      <c r="D89" s="138">
        <f>'CO_Report Evaluation'!P77</f>
        <v>10.33333333</v>
      </c>
      <c r="E89" s="138">
        <f>'CO_Report Evaluation'!Q77</f>
        <v>2.333333333</v>
      </c>
      <c r="F89" s="138">
        <f>'CO_Report Evaluation'!R77</f>
        <v>2.333333333</v>
      </c>
      <c r="G89" s="139"/>
      <c r="H89" s="139"/>
      <c r="I89" s="140"/>
      <c r="J89" s="138"/>
      <c r="K89" s="141"/>
      <c r="L89" s="141"/>
      <c r="M89" s="141">
        <v>4.0</v>
      </c>
      <c r="N89" s="139"/>
      <c r="O89" s="139"/>
      <c r="P89" s="142"/>
      <c r="Q89" s="143"/>
      <c r="R89" s="143"/>
      <c r="S89" s="143"/>
      <c r="T89" s="141">
        <f>((CSE4098A_Spring2026_Grade!E79)*10)/45</f>
        <v>6.42</v>
      </c>
      <c r="U89" s="144"/>
      <c r="V89" s="142"/>
      <c r="W89" s="143"/>
      <c r="X89" s="143"/>
      <c r="Y89" s="143"/>
      <c r="Z89" s="143"/>
      <c r="AA89" s="144"/>
      <c r="AB89" s="145">
        <f t="shared" si="11"/>
        <v>10.33333333</v>
      </c>
      <c r="AC89" s="146">
        <f t="shared" ref="AC89:AE89" si="239">SUM(Q89, W89,E89,K89)</f>
        <v>2.333333333</v>
      </c>
      <c r="AD89" s="146">
        <f t="shared" si="239"/>
        <v>2.333333333</v>
      </c>
      <c r="AE89" s="146">
        <f t="shared" si="239"/>
        <v>4</v>
      </c>
      <c r="AF89" s="146">
        <f t="shared" si="13"/>
        <v>6.42</v>
      </c>
      <c r="AG89" s="146">
        <f t="shared" si="14"/>
        <v>0</v>
      </c>
      <c r="AH89" s="147">
        <f t="shared" ref="AH89:AM89" si="240">IF(AB89 = 0, 0, AB89/AB$14)</f>
        <v>0.6888888889</v>
      </c>
      <c r="AI89" s="147">
        <f t="shared" si="240"/>
        <v>0.7777777778</v>
      </c>
      <c r="AJ89" s="147">
        <f t="shared" si="240"/>
        <v>0.7777777778</v>
      </c>
      <c r="AK89" s="147">
        <f t="shared" si="240"/>
        <v>0.8</v>
      </c>
      <c r="AL89" s="147">
        <f t="shared" si="240"/>
        <v>0.642</v>
      </c>
      <c r="AM89" s="147">
        <f t="shared" si="240"/>
        <v>0</v>
      </c>
      <c r="AN89" s="148">
        <f>IF(OR(CSE4098A_Spring2026_Grade!$I79="W (Withdrawn)", CSE4098A_Spring2026_Grade!$I79="I (Incomplete)"), 0, IF(AH89&gt;=55%, 1, 0))</f>
        <v>1</v>
      </c>
      <c r="AO89" s="148">
        <f>IF(OR(CSE4098A_Spring2026_Grade!$I79="W (Withdrawn)", CSE4098A_Spring2026_Grade!I79="I (Incomplete)"), 0, IF(AI89&gt;=55%, 1, 0))</f>
        <v>1</v>
      </c>
      <c r="AP89" s="148">
        <f>IF(OR(CSE4098A_Spring2026_Grade!$I79="W (Withdrawn)", CSE4098A_Spring2026_Grade!$I79="I (Incomplete)"), 0, IF(AJ89&gt;=55%, 1, 0))</f>
        <v>1</v>
      </c>
      <c r="AQ89" s="148">
        <f>IF(OR(CSE4098A_Spring2026_Grade!$I79="W (Withdrawn)", CSE4098A_Spring2026_Grade!$I79="I (Incomplete)"), 0, IF(AK89&gt;=55%, 1, 0))</f>
        <v>1</v>
      </c>
      <c r="AR89" s="148">
        <f>IF(OR(CSE4098A_Spring2026_Grade!$I79="W (Withdrawn)", CSE4098A_Spring2026_Grade!$I79="I (Incomplete)"), 0, IF(AL89&gt;=55%, 1, 0))</f>
        <v>1</v>
      </c>
      <c r="AS89" s="148">
        <f>IF(OR(CSE4098A_Spring2026_Grade!$I79="W (Withdrawn)", CSE4098A_Spring2026_Grade!$I79="I (Incomplete)"), 0, IF(AM89&gt;=55%, 1, 0))</f>
        <v>0</v>
      </c>
      <c r="AT89" s="115"/>
      <c r="AU89" s="149">
        <f t="shared" si="16"/>
        <v>0</v>
      </c>
      <c r="AV89" s="149">
        <f t="shared" si="17"/>
        <v>0.6888888889</v>
      </c>
      <c r="AW89" s="149">
        <f t="array" ref="AW89">IF($AV$9=0,0,MMULT($AH89:$AM89, AV$3:AV$8)/$AV$9)</f>
        <v>0</v>
      </c>
      <c r="AX89" s="149">
        <f t="array" ref="AX89">IF($AW$9=0,0,MMULT($AH89:$AM89, AW$3:AW$8)/$AW$9)</f>
        <v>0</v>
      </c>
      <c r="AY89" s="149">
        <f t="shared" si="18"/>
        <v>0</v>
      </c>
      <c r="AZ89" s="149">
        <f t="array" ref="AZ89">IF($AY$9=0,0,MMULT($AH89:$AM89, AY$3:AY$8)/$AY$9)</f>
        <v>0</v>
      </c>
      <c r="BA89" s="149">
        <f t="array" ref="BA89">IF($AZ$9=0,0,MMULT($AH89:$AM89, AZ$3:AZ$8)/$AZ$9)</f>
        <v>0</v>
      </c>
      <c r="BB89" s="149">
        <f t="array" ref="BB89">IF($BA$9=0,0,MMULT($AH89:$AM89, BA$3:BA$8)/$BA$9)</f>
        <v>0</v>
      </c>
      <c r="BC89" s="149">
        <f t="array" ref="BC89">IF($BB$9=0,0,MMULT($AH89:$AM89, BB$3:BB$8)/$BB$9)</f>
        <v>0.8</v>
      </c>
      <c r="BD89" s="149">
        <f t="array" ref="BD89">IF($BC$9=0,0,MMULT($AH89:$AM89, BC$3:BC$8)/$BC$9)</f>
        <v>0.642</v>
      </c>
      <c r="BE89" s="149">
        <f t="shared" si="19"/>
        <v>0.7777777778</v>
      </c>
      <c r="BF89" s="149">
        <f t="shared" si="20"/>
        <v>0.7777777778</v>
      </c>
      <c r="BG89" s="148" t="str">
        <f t="shared" si="21"/>
        <v>#REF!</v>
      </c>
      <c r="BH89" s="148">
        <f>IF(OR(CSE4098A_Spring2026_Grade!$I79="W (Withdrawn)", CSE4098A_Spring2026_Grade!$I79="I (Incomplete)"), 0, IF(AV89&gt;=55%, 1, 0))</f>
        <v>1</v>
      </c>
      <c r="BI89" s="148" t="str">
        <f t="shared" ref="BI89:BN89" si="241">IF(OR(GradeSheet!$M84="W (Withdrawn)", GradeSheet!$M84="I (Incomplete)"), 0, IF(AW89&gt;=55%, 1, 0))</f>
        <v>#REF!</v>
      </c>
      <c r="BJ89" s="148" t="str">
        <f t="shared" si="241"/>
        <v>#REF!</v>
      </c>
      <c r="BK89" s="148" t="str">
        <f t="shared" si="241"/>
        <v>#REF!</v>
      </c>
      <c r="BL89" s="148" t="str">
        <f t="shared" si="241"/>
        <v>#REF!</v>
      </c>
      <c r="BM89" s="148" t="str">
        <f t="shared" si="241"/>
        <v>#REF!</v>
      </c>
      <c r="BN89" s="148" t="str">
        <f t="shared" si="241"/>
        <v>#REF!</v>
      </c>
      <c r="BO89" s="148">
        <f>IF(OR(CSE4098A_Spring2026_Grade!$I79="W (Withdrawn)", CSE4098A_Spring2026_Grade!$I79="I (Incomplete)"), 0, IF(BC89&gt;=55%, 1, 0))</f>
        <v>1</v>
      </c>
      <c r="BP89" s="148">
        <f>IF(OR(CSE4098A_Spring2026_Grade!$I79="W (Withdrawn)", CSE4098A_Spring2026_Grade!$I79="I (Incomplete)"), 0, IF(BD89&gt;=55%, 1, 0))</f>
        <v>1</v>
      </c>
      <c r="BQ89" s="148">
        <f>IF(OR(CSE4098A_Spring2026_Grade!$I79="W (Withdrawn)", CSE4098A_Spring2026_Grade!$I79="I (Incomplete)"), 0, IF(BE89&gt;=55%, 1, 0))</f>
        <v>1</v>
      </c>
      <c r="BR89" s="148">
        <f>IF(OR(CSE4098A_Spring2026_Grade!$I79="W (Withdrawn)", CSE4098A_Spring2026_Grade!$I79="I (Incomplete)"), 0, IF(BF89&gt;=55%, 1, 0))</f>
        <v>1</v>
      </c>
    </row>
    <row r="90">
      <c r="A90" s="136">
        <v>76.0</v>
      </c>
      <c r="B90" s="137">
        <f>CSE4098A_Spring2026_Grade!B80</f>
        <v>223014005</v>
      </c>
      <c r="C90" s="137" t="str">
        <f>CSE4098A_Spring2026_Grade!C80</f>
        <v>Md. Mahmudul Hasan Mohot</v>
      </c>
      <c r="D90" s="138">
        <f>'CO_Report Evaluation'!P78</f>
        <v>10.66666667</v>
      </c>
      <c r="E90" s="138">
        <f>'CO_Report Evaluation'!Q78</f>
        <v>2.666666667</v>
      </c>
      <c r="F90" s="138">
        <f>'CO_Report Evaluation'!R78</f>
        <v>3</v>
      </c>
      <c r="G90" s="139"/>
      <c r="H90" s="139"/>
      <c r="I90" s="140"/>
      <c r="J90" s="138"/>
      <c r="K90" s="141"/>
      <c r="L90" s="141"/>
      <c r="M90" s="141">
        <v>4.0</v>
      </c>
      <c r="N90" s="139"/>
      <c r="O90" s="139"/>
      <c r="P90" s="142"/>
      <c r="Q90" s="143"/>
      <c r="R90" s="143"/>
      <c r="S90" s="143"/>
      <c r="T90" s="141">
        <f>((CSE4098A_Spring2026_Grade!E80)*10)/45</f>
        <v>6.173333333</v>
      </c>
      <c r="U90" s="144"/>
      <c r="V90" s="142"/>
      <c r="W90" s="143"/>
      <c r="X90" s="143"/>
      <c r="Y90" s="143"/>
      <c r="Z90" s="143"/>
      <c r="AA90" s="144"/>
      <c r="AB90" s="145">
        <f t="shared" si="11"/>
        <v>10.66666667</v>
      </c>
      <c r="AC90" s="146">
        <f t="shared" ref="AC90:AE90" si="242">SUM(Q90, W90,E90,K90)</f>
        <v>2.666666667</v>
      </c>
      <c r="AD90" s="146">
        <f t="shared" si="242"/>
        <v>3</v>
      </c>
      <c r="AE90" s="146">
        <f t="shared" si="242"/>
        <v>4</v>
      </c>
      <c r="AF90" s="146">
        <f t="shared" si="13"/>
        <v>6.173333333</v>
      </c>
      <c r="AG90" s="146">
        <f t="shared" si="14"/>
        <v>0</v>
      </c>
      <c r="AH90" s="147">
        <f t="shared" ref="AH90:AM90" si="243">IF(AB90 = 0, 0, AB90/AB$14)</f>
        <v>0.7111111111</v>
      </c>
      <c r="AI90" s="147">
        <f t="shared" si="243"/>
        <v>0.8888888889</v>
      </c>
      <c r="AJ90" s="147">
        <f t="shared" si="243"/>
        <v>1</v>
      </c>
      <c r="AK90" s="147">
        <f t="shared" si="243"/>
        <v>0.8</v>
      </c>
      <c r="AL90" s="147">
        <f t="shared" si="243"/>
        <v>0.6173333333</v>
      </c>
      <c r="AM90" s="147">
        <f t="shared" si="243"/>
        <v>0</v>
      </c>
      <c r="AN90" s="148">
        <f>IF(OR(CSE4098A_Spring2026_Grade!$I80="W (Withdrawn)", CSE4098A_Spring2026_Grade!$I80="I (Incomplete)"), 0, IF(AH90&gt;=55%, 1, 0))</f>
        <v>1</v>
      </c>
      <c r="AO90" s="148">
        <f>IF(OR(CSE4098A_Spring2026_Grade!$I80="W (Withdrawn)", CSE4098A_Spring2026_Grade!I80="I (Incomplete)"), 0, IF(AI90&gt;=55%, 1, 0))</f>
        <v>1</v>
      </c>
      <c r="AP90" s="148">
        <f>IF(OR(CSE4098A_Spring2026_Grade!$I80="W (Withdrawn)", CSE4098A_Spring2026_Grade!$I80="I (Incomplete)"), 0, IF(AJ90&gt;=55%, 1, 0))</f>
        <v>1</v>
      </c>
      <c r="AQ90" s="148">
        <f>IF(OR(CSE4098A_Spring2026_Grade!$I80="W (Withdrawn)", CSE4098A_Spring2026_Grade!$I80="I (Incomplete)"), 0, IF(AK90&gt;=55%, 1, 0))</f>
        <v>1</v>
      </c>
      <c r="AR90" s="148">
        <f>IF(OR(CSE4098A_Spring2026_Grade!$I80="W (Withdrawn)", CSE4098A_Spring2026_Grade!$I80="I (Incomplete)"), 0, IF(AL90&gt;=55%, 1, 0))</f>
        <v>1</v>
      </c>
      <c r="AS90" s="148">
        <f>IF(OR(CSE4098A_Spring2026_Grade!$I80="W (Withdrawn)", CSE4098A_Spring2026_Grade!$I80="I (Incomplete)"), 0, IF(AM90&gt;=55%, 1, 0))</f>
        <v>0</v>
      </c>
      <c r="AT90" s="115"/>
      <c r="AU90" s="149">
        <f t="shared" si="16"/>
        <v>0</v>
      </c>
      <c r="AV90" s="149">
        <f t="shared" si="17"/>
        <v>0.7111111111</v>
      </c>
      <c r="AW90" s="149">
        <f t="array" ref="AW90">IF($AV$9=0,0,MMULT($AH90:$AM90, AV$3:AV$8)/$AV$9)</f>
        <v>0</v>
      </c>
      <c r="AX90" s="149">
        <f t="array" ref="AX90">IF($AW$9=0,0,MMULT($AH90:$AM90, AW$3:AW$8)/$AW$9)</f>
        <v>0</v>
      </c>
      <c r="AY90" s="149">
        <f t="shared" si="18"/>
        <v>0</v>
      </c>
      <c r="AZ90" s="149">
        <f t="array" ref="AZ90">IF($AY$9=0,0,MMULT($AH90:$AM90, AY$3:AY$8)/$AY$9)</f>
        <v>0</v>
      </c>
      <c r="BA90" s="149">
        <f t="array" ref="BA90">IF($AZ$9=0,0,MMULT($AH90:$AM90, AZ$3:AZ$8)/$AZ$9)</f>
        <v>0</v>
      </c>
      <c r="BB90" s="149">
        <f t="array" ref="BB90">IF($BA$9=0,0,MMULT($AH90:$AM90, BA$3:BA$8)/$BA$9)</f>
        <v>0</v>
      </c>
      <c r="BC90" s="149">
        <f t="array" ref="BC90">IF($BB$9=0,0,MMULT($AH90:$AM90, BB$3:BB$8)/$BB$9)</f>
        <v>0.8</v>
      </c>
      <c r="BD90" s="149">
        <f t="array" ref="BD90">IF($BC$9=0,0,MMULT($AH90:$AM90, BC$3:BC$8)/$BC$9)</f>
        <v>0.6173333333</v>
      </c>
      <c r="BE90" s="149">
        <f t="shared" si="19"/>
        <v>1</v>
      </c>
      <c r="BF90" s="149">
        <f t="shared" si="20"/>
        <v>0.8888888889</v>
      </c>
      <c r="BG90" s="148" t="str">
        <f t="shared" si="21"/>
        <v>#REF!</v>
      </c>
      <c r="BH90" s="148">
        <f>IF(OR(CSE4098A_Spring2026_Grade!$I80="W (Withdrawn)", CSE4098A_Spring2026_Grade!$I80="I (Incomplete)"), 0, IF(AV90&gt;=55%, 1, 0))</f>
        <v>1</v>
      </c>
      <c r="BI90" s="148" t="str">
        <f t="shared" ref="BI90:BN90" si="244">IF(OR(GradeSheet!$M85="W (Withdrawn)", GradeSheet!$M85="I (Incomplete)"), 0, IF(AW90&gt;=55%, 1, 0))</f>
        <v>#REF!</v>
      </c>
      <c r="BJ90" s="148" t="str">
        <f t="shared" si="244"/>
        <v>#REF!</v>
      </c>
      <c r="BK90" s="148" t="str">
        <f t="shared" si="244"/>
        <v>#REF!</v>
      </c>
      <c r="BL90" s="148" t="str">
        <f t="shared" si="244"/>
        <v>#REF!</v>
      </c>
      <c r="BM90" s="148" t="str">
        <f t="shared" si="244"/>
        <v>#REF!</v>
      </c>
      <c r="BN90" s="148" t="str">
        <f t="shared" si="244"/>
        <v>#REF!</v>
      </c>
      <c r="BO90" s="148">
        <f>IF(OR(CSE4098A_Spring2026_Grade!$I80="W (Withdrawn)", CSE4098A_Spring2026_Grade!$I80="I (Incomplete)"), 0, IF(BC90&gt;=55%, 1, 0))</f>
        <v>1</v>
      </c>
      <c r="BP90" s="148">
        <f>IF(OR(CSE4098A_Spring2026_Grade!$I80="W (Withdrawn)", CSE4098A_Spring2026_Grade!$I80="I (Incomplete)"), 0, IF(BD90&gt;=55%, 1, 0))</f>
        <v>1</v>
      </c>
      <c r="BQ90" s="148">
        <f>IF(OR(CSE4098A_Spring2026_Grade!$I80="W (Withdrawn)", CSE4098A_Spring2026_Grade!$I80="I (Incomplete)"), 0, IF(BE90&gt;=55%, 1, 0))</f>
        <v>1</v>
      </c>
      <c r="BR90" s="148">
        <f>IF(OR(CSE4098A_Spring2026_Grade!$I80="W (Withdrawn)", CSE4098A_Spring2026_Grade!$I80="I (Incomplete)"), 0, IF(BF90&gt;=55%, 1, 0))</f>
        <v>1</v>
      </c>
    </row>
    <row r="91">
      <c r="A91" s="136">
        <v>77.0</v>
      </c>
      <c r="B91" s="137">
        <f>CSE4098A_Spring2026_Grade!B81</f>
        <v>223014080</v>
      </c>
      <c r="C91" s="137" t="str">
        <f>CSE4098A_Spring2026_Grade!C81</f>
        <v>Refa Rayhana</v>
      </c>
      <c r="D91" s="138">
        <f>'CO_Report Evaluation'!P79</f>
        <v>10.66666667</v>
      </c>
      <c r="E91" s="138">
        <f>'CO_Report Evaluation'!Q79</f>
        <v>2.666666667</v>
      </c>
      <c r="F91" s="138">
        <f>'CO_Report Evaluation'!R79</f>
        <v>3</v>
      </c>
      <c r="G91" s="139"/>
      <c r="H91" s="139"/>
      <c r="I91" s="140"/>
      <c r="J91" s="138"/>
      <c r="K91" s="141"/>
      <c r="L91" s="141"/>
      <c r="M91" s="141">
        <v>4.0</v>
      </c>
      <c r="N91" s="139"/>
      <c r="O91" s="139"/>
      <c r="P91" s="142"/>
      <c r="Q91" s="143"/>
      <c r="R91" s="143"/>
      <c r="S91" s="143"/>
      <c r="T91" s="141">
        <f>((CSE4098A_Spring2026_Grade!E81)*10)/45</f>
        <v>6.197777778</v>
      </c>
      <c r="U91" s="144"/>
      <c r="V91" s="142"/>
      <c r="W91" s="143"/>
      <c r="X91" s="143"/>
      <c r="Y91" s="143"/>
      <c r="Z91" s="143"/>
      <c r="AA91" s="144"/>
      <c r="AB91" s="145">
        <f t="shared" si="11"/>
        <v>10.66666667</v>
      </c>
      <c r="AC91" s="146">
        <f t="shared" ref="AC91:AE91" si="245">SUM(Q91, W91,E91,K91)</f>
        <v>2.666666667</v>
      </c>
      <c r="AD91" s="146">
        <f t="shared" si="245"/>
        <v>3</v>
      </c>
      <c r="AE91" s="146">
        <f t="shared" si="245"/>
        <v>4</v>
      </c>
      <c r="AF91" s="146">
        <f t="shared" si="13"/>
        <v>6.197777778</v>
      </c>
      <c r="AG91" s="146">
        <f t="shared" si="14"/>
        <v>0</v>
      </c>
      <c r="AH91" s="147">
        <f t="shared" ref="AH91:AM91" si="246">IF(AB91 = 0, 0, AB91/AB$14)</f>
        <v>0.7111111111</v>
      </c>
      <c r="AI91" s="147">
        <f t="shared" si="246"/>
        <v>0.8888888889</v>
      </c>
      <c r="AJ91" s="147">
        <f t="shared" si="246"/>
        <v>1</v>
      </c>
      <c r="AK91" s="147">
        <f t="shared" si="246"/>
        <v>0.8</v>
      </c>
      <c r="AL91" s="147">
        <f t="shared" si="246"/>
        <v>0.6197777778</v>
      </c>
      <c r="AM91" s="147">
        <f t="shared" si="246"/>
        <v>0</v>
      </c>
      <c r="AN91" s="148">
        <f>IF(OR(CSE4098A_Spring2026_Grade!$I81="W (Withdrawn)", CSE4098A_Spring2026_Grade!$I81="I (Incomplete)"), 0, IF(AH91&gt;=55%, 1, 0))</f>
        <v>1</v>
      </c>
      <c r="AO91" s="148">
        <f>IF(OR(CSE4098A_Spring2026_Grade!$I81="W (Withdrawn)", CSE4098A_Spring2026_Grade!I81="I (Incomplete)"), 0, IF(AI91&gt;=55%, 1, 0))</f>
        <v>1</v>
      </c>
      <c r="AP91" s="148">
        <f>IF(OR(CSE4098A_Spring2026_Grade!$I81="W (Withdrawn)", CSE4098A_Spring2026_Grade!$I81="I (Incomplete)"), 0, IF(AJ91&gt;=55%, 1, 0))</f>
        <v>1</v>
      </c>
      <c r="AQ91" s="148">
        <f>IF(OR(CSE4098A_Spring2026_Grade!$I81="W (Withdrawn)", CSE4098A_Spring2026_Grade!$I81="I (Incomplete)"), 0, IF(AK91&gt;=55%, 1, 0))</f>
        <v>1</v>
      </c>
      <c r="AR91" s="148">
        <f>IF(OR(CSE4098A_Spring2026_Grade!$I81="W (Withdrawn)", CSE4098A_Spring2026_Grade!$I81="I (Incomplete)"), 0, IF(AL91&gt;=55%, 1, 0))</f>
        <v>1</v>
      </c>
      <c r="AS91" s="148">
        <f>IF(OR(CSE4098A_Spring2026_Grade!$I81="W (Withdrawn)", CSE4098A_Spring2026_Grade!$I81="I (Incomplete)"), 0, IF(AM91&gt;=55%, 1, 0))</f>
        <v>0</v>
      </c>
      <c r="AT91" s="115"/>
      <c r="AU91" s="149">
        <f t="shared" si="16"/>
        <v>0</v>
      </c>
      <c r="AV91" s="149">
        <f t="shared" si="17"/>
        <v>0.7111111111</v>
      </c>
      <c r="AW91" s="149">
        <f t="array" ref="AW91">IF($AV$9=0,0,MMULT($AH91:$AM91, AV$3:AV$8)/$AV$9)</f>
        <v>0</v>
      </c>
      <c r="AX91" s="149">
        <f t="array" ref="AX91">IF($AW$9=0,0,MMULT($AH91:$AM91, AW$3:AW$8)/$AW$9)</f>
        <v>0</v>
      </c>
      <c r="AY91" s="149">
        <f t="shared" si="18"/>
        <v>0</v>
      </c>
      <c r="AZ91" s="149">
        <f t="array" ref="AZ91">IF($AY$9=0,0,MMULT($AH91:$AM91, AY$3:AY$8)/$AY$9)</f>
        <v>0</v>
      </c>
      <c r="BA91" s="149">
        <f t="array" ref="BA91">IF($AZ$9=0,0,MMULT($AH91:$AM91, AZ$3:AZ$8)/$AZ$9)</f>
        <v>0</v>
      </c>
      <c r="BB91" s="149">
        <f t="array" ref="BB91">IF($BA$9=0,0,MMULT($AH91:$AM91, BA$3:BA$8)/$BA$9)</f>
        <v>0</v>
      </c>
      <c r="BC91" s="149">
        <f t="array" ref="BC91">IF($BB$9=0,0,MMULT($AH91:$AM91, BB$3:BB$8)/$BB$9)</f>
        <v>0.8</v>
      </c>
      <c r="BD91" s="149">
        <f t="array" ref="BD91">IF($BC$9=0,0,MMULT($AH91:$AM91, BC$3:BC$8)/$BC$9)</f>
        <v>0.6197777778</v>
      </c>
      <c r="BE91" s="149">
        <f t="shared" si="19"/>
        <v>1</v>
      </c>
      <c r="BF91" s="149">
        <f t="shared" si="20"/>
        <v>0.8888888889</v>
      </c>
      <c r="BG91" s="148" t="str">
        <f t="shared" si="21"/>
        <v>#REF!</v>
      </c>
      <c r="BH91" s="148">
        <f>IF(OR(CSE4098A_Spring2026_Grade!$I81="W (Withdrawn)", CSE4098A_Spring2026_Grade!$I81="I (Incomplete)"), 0, IF(AV91&gt;=55%, 1, 0))</f>
        <v>1</v>
      </c>
      <c r="BI91" s="148" t="str">
        <f t="shared" ref="BI91:BN91" si="247">IF(OR(GradeSheet!$M86="W (Withdrawn)", GradeSheet!$M86="I (Incomplete)"), 0, IF(AW91&gt;=55%, 1, 0))</f>
        <v>#REF!</v>
      </c>
      <c r="BJ91" s="148" t="str">
        <f t="shared" si="247"/>
        <v>#REF!</v>
      </c>
      <c r="BK91" s="148" t="str">
        <f t="shared" si="247"/>
        <v>#REF!</v>
      </c>
      <c r="BL91" s="148" t="str">
        <f t="shared" si="247"/>
        <v>#REF!</v>
      </c>
      <c r="BM91" s="148" t="str">
        <f t="shared" si="247"/>
        <v>#REF!</v>
      </c>
      <c r="BN91" s="148" t="str">
        <f t="shared" si="247"/>
        <v>#REF!</v>
      </c>
      <c r="BO91" s="148">
        <f>IF(OR(CSE4098A_Spring2026_Grade!$I81="W (Withdrawn)", CSE4098A_Spring2026_Grade!$I81="I (Incomplete)"), 0, IF(BC91&gt;=55%, 1, 0))</f>
        <v>1</v>
      </c>
      <c r="BP91" s="148">
        <f>IF(OR(CSE4098A_Spring2026_Grade!$I81="W (Withdrawn)", CSE4098A_Spring2026_Grade!$I81="I (Incomplete)"), 0, IF(BD91&gt;=55%, 1, 0))</f>
        <v>1</v>
      </c>
      <c r="BQ91" s="148">
        <f>IF(OR(CSE4098A_Spring2026_Grade!$I81="W (Withdrawn)", CSE4098A_Spring2026_Grade!$I81="I (Incomplete)"), 0, IF(BE91&gt;=55%, 1, 0))</f>
        <v>1</v>
      </c>
      <c r="BR91" s="148">
        <f>IF(OR(CSE4098A_Spring2026_Grade!$I81="W (Withdrawn)", CSE4098A_Spring2026_Grade!$I81="I (Incomplete)"), 0, IF(BF91&gt;=55%, 1, 0))</f>
        <v>1</v>
      </c>
    </row>
    <row r="92">
      <c r="A92" s="136">
        <v>78.0</v>
      </c>
      <c r="B92" s="137">
        <f>CSE4098A_Spring2026_Grade!B82</f>
        <v>223014123</v>
      </c>
      <c r="C92" s="137" t="str">
        <f>CSE4098A_Spring2026_Grade!C82</f>
        <v>Md. Emon Hossain</v>
      </c>
      <c r="D92" s="138">
        <f>'CO_Report Evaluation'!P80</f>
        <v>10.66666667</v>
      </c>
      <c r="E92" s="138">
        <f>'CO_Report Evaluation'!Q80</f>
        <v>2.666666667</v>
      </c>
      <c r="F92" s="138">
        <f>'CO_Report Evaluation'!R80</f>
        <v>3</v>
      </c>
      <c r="G92" s="139"/>
      <c r="H92" s="139"/>
      <c r="I92" s="140"/>
      <c r="J92" s="138"/>
      <c r="K92" s="141"/>
      <c r="L92" s="141"/>
      <c r="M92" s="141">
        <v>4.0</v>
      </c>
      <c r="N92" s="139"/>
      <c r="O92" s="139"/>
      <c r="P92" s="142"/>
      <c r="Q92" s="143"/>
      <c r="R92" s="143"/>
      <c r="S92" s="143"/>
      <c r="T92" s="141">
        <f>((CSE4098A_Spring2026_Grade!E82)*10)/45</f>
        <v>6.124444444</v>
      </c>
      <c r="U92" s="144"/>
      <c r="V92" s="142"/>
      <c r="W92" s="143"/>
      <c r="X92" s="143"/>
      <c r="Y92" s="143"/>
      <c r="Z92" s="143"/>
      <c r="AA92" s="144"/>
      <c r="AB92" s="145">
        <f t="shared" si="11"/>
        <v>10.66666667</v>
      </c>
      <c r="AC92" s="146">
        <f t="shared" ref="AC92:AE92" si="248">SUM(Q92, W92,E92,K92)</f>
        <v>2.666666667</v>
      </c>
      <c r="AD92" s="146">
        <f t="shared" si="248"/>
        <v>3</v>
      </c>
      <c r="AE92" s="146">
        <f t="shared" si="248"/>
        <v>4</v>
      </c>
      <c r="AF92" s="146">
        <f t="shared" si="13"/>
        <v>6.124444444</v>
      </c>
      <c r="AG92" s="146">
        <f t="shared" si="14"/>
        <v>0</v>
      </c>
      <c r="AH92" s="147">
        <f t="shared" ref="AH92:AM92" si="249">IF(AB92 = 0, 0, AB92/AB$14)</f>
        <v>0.7111111111</v>
      </c>
      <c r="AI92" s="147">
        <f t="shared" si="249"/>
        <v>0.8888888889</v>
      </c>
      <c r="AJ92" s="147">
        <f t="shared" si="249"/>
        <v>1</v>
      </c>
      <c r="AK92" s="147">
        <f t="shared" si="249"/>
        <v>0.8</v>
      </c>
      <c r="AL92" s="147">
        <f t="shared" si="249"/>
        <v>0.6124444444</v>
      </c>
      <c r="AM92" s="147">
        <f t="shared" si="249"/>
        <v>0</v>
      </c>
      <c r="AN92" s="148">
        <f>IF(OR(CSE4098A_Spring2026_Grade!$I82="W (Withdrawn)", CSE4098A_Spring2026_Grade!$I82="I (Incomplete)"), 0, IF(AH92&gt;=55%, 1, 0))</f>
        <v>1</v>
      </c>
      <c r="AO92" s="148">
        <f>IF(OR(CSE4098A_Spring2026_Grade!$I82="W (Withdrawn)", CSE4098A_Spring2026_Grade!I82="I (Incomplete)"), 0, IF(AI92&gt;=55%, 1, 0))</f>
        <v>1</v>
      </c>
      <c r="AP92" s="148">
        <f>IF(OR(CSE4098A_Spring2026_Grade!$I82="W (Withdrawn)", CSE4098A_Spring2026_Grade!$I82="I (Incomplete)"), 0, IF(AJ92&gt;=55%, 1, 0))</f>
        <v>1</v>
      </c>
      <c r="AQ92" s="148">
        <f>IF(OR(CSE4098A_Spring2026_Grade!$I82="W (Withdrawn)", CSE4098A_Spring2026_Grade!$I82="I (Incomplete)"), 0, IF(AK92&gt;=55%, 1, 0))</f>
        <v>1</v>
      </c>
      <c r="AR92" s="148">
        <f>IF(OR(CSE4098A_Spring2026_Grade!$I82="W (Withdrawn)", CSE4098A_Spring2026_Grade!$I82="I (Incomplete)"), 0, IF(AL92&gt;=55%, 1, 0))</f>
        <v>1</v>
      </c>
      <c r="AS92" s="148">
        <f>IF(OR(CSE4098A_Spring2026_Grade!$I82="W (Withdrawn)", CSE4098A_Spring2026_Grade!$I82="I (Incomplete)"), 0, IF(AM92&gt;=55%, 1, 0))</f>
        <v>0</v>
      </c>
      <c r="AT92" s="115"/>
      <c r="AU92" s="149">
        <f t="shared" si="16"/>
        <v>0</v>
      </c>
      <c r="AV92" s="149">
        <f t="shared" si="17"/>
        <v>0.7111111111</v>
      </c>
      <c r="AW92" s="149">
        <f t="array" ref="AW92">IF($AV$9=0,0,MMULT($AH92:$AM92, AV$3:AV$8)/$AV$9)</f>
        <v>0</v>
      </c>
      <c r="AX92" s="149">
        <f t="array" ref="AX92">IF($AW$9=0,0,MMULT($AH92:$AM92, AW$3:AW$8)/$AW$9)</f>
        <v>0</v>
      </c>
      <c r="AY92" s="149">
        <f t="shared" si="18"/>
        <v>0</v>
      </c>
      <c r="AZ92" s="149">
        <f t="array" ref="AZ92">IF($AY$9=0,0,MMULT($AH92:$AM92, AY$3:AY$8)/$AY$9)</f>
        <v>0</v>
      </c>
      <c r="BA92" s="149">
        <f t="array" ref="BA92">IF($AZ$9=0,0,MMULT($AH92:$AM92, AZ$3:AZ$8)/$AZ$9)</f>
        <v>0</v>
      </c>
      <c r="BB92" s="149">
        <f t="array" ref="BB92">IF($BA$9=0,0,MMULT($AH92:$AM92, BA$3:BA$8)/$BA$9)</f>
        <v>0</v>
      </c>
      <c r="BC92" s="149">
        <f t="array" ref="BC92">IF($BB$9=0,0,MMULT($AH92:$AM92, BB$3:BB$8)/$BB$9)</f>
        <v>0.8</v>
      </c>
      <c r="BD92" s="149">
        <f t="array" ref="BD92">IF($BC$9=0,0,MMULT($AH92:$AM92, BC$3:BC$8)/$BC$9)</f>
        <v>0.6124444444</v>
      </c>
      <c r="BE92" s="149">
        <f t="shared" si="19"/>
        <v>1</v>
      </c>
      <c r="BF92" s="149">
        <f t="shared" si="20"/>
        <v>0.8888888889</v>
      </c>
      <c r="BG92" s="148" t="str">
        <f t="shared" si="21"/>
        <v>#REF!</v>
      </c>
      <c r="BH92" s="148">
        <f>IF(OR(CSE4098A_Spring2026_Grade!$I82="W (Withdrawn)", CSE4098A_Spring2026_Grade!$I82="I (Incomplete)"), 0, IF(AV92&gt;=55%, 1, 0))</f>
        <v>1</v>
      </c>
      <c r="BI92" s="148" t="str">
        <f t="shared" ref="BI92:BN92" si="250">IF(OR(GradeSheet!$M87="W (Withdrawn)", GradeSheet!$M87="I (Incomplete)"), 0, IF(AW92&gt;=55%, 1, 0))</f>
        <v>#REF!</v>
      </c>
      <c r="BJ92" s="148" t="str">
        <f t="shared" si="250"/>
        <v>#REF!</v>
      </c>
      <c r="BK92" s="148" t="str">
        <f t="shared" si="250"/>
        <v>#REF!</v>
      </c>
      <c r="BL92" s="148" t="str">
        <f t="shared" si="250"/>
        <v>#REF!</v>
      </c>
      <c r="BM92" s="148" t="str">
        <f t="shared" si="250"/>
        <v>#REF!</v>
      </c>
      <c r="BN92" s="148" t="str">
        <f t="shared" si="250"/>
        <v>#REF!</v>
      </c>
      <c r="BO92" s="148">
        <f>IF(OR(CSE4098A_Spring2026_Grade!$I82="W (Withdrawn)", CSE4098A_Spring2026_Grade!$I82="I (Incomplete)"), 0, IF(BC92&gt;=55%, 1, 0))</f>
        <v>1</v>
      </c>
      <c r="BP92" s="148">
        <f>IF(OR(CSE4098A_Spring2026_Grade!$I82="W (Withdrawn)", CSE4098A_Spring2026_Grade!$I82="I (Incomplete)"), 0, IF(BD92&gt;=55%, 1, 0))</f>
        <v>1</v>
      </c>
      <c r="BQ92" s="148">
        <f>IF(OR(CSE4098A_Spring2026_Grade!$I82="W (Withdrawn)", CSE4098A_Spring2026_Grade!$I82="I (Incomplete)"), 0, IF(BE92&gt;=55%, 1, 0))</f>
        <v>1</v>
      </c>
      <c r="BR92" s="148">
        <f>IF(OR(CSE4098A_Spring2026_Grade!$I82="W (Withdrawn)", CSE4098A_Spring2026_Grade!$I82="I (Incomplete)"), 0, IF(BF92&gt;=55%, 1, 0))</f>
        <v>1</v>
      </c>
    </row>
    <row r="93">
      <c r="A93" s="136">
        <v>79.0</v>
      </c>
      <c r="B93" s="137">
        <f>CSE4098A_Spring2026_Grade!B83</f>
        <v>223014187</v>
      </c>
      <c r="C93" s="137" t="str">
        <f>CSE4098A_Spring2026_Grade!C83</f>
        <v>Mohammad Asif Abrar Sayim</v>
      </c>
      <c r="D93" s="138">
        <f>'CO_Report Evaluation'!P81</f>
        <v>10.66666667</v>
      </c>
      <c r="E93" s="138">
        <f>'CO_Report Evaluation'!Q81</f>
        <v>2.666666667</v>
      </c>
      <c r="F93" s="138">
        <f>'CO_Report Evaluation'!R81</f>
        <v>3</v>
      </c>
      <c r="G93" s="139"/>
      <c r="H93" s="139"/>
      <c r="I93" s="140"/>
      <c r="J93" s="138"/>
      <c r="K93" s="141"/>
      <c r="L93" s="141"/>
      <c r="M93" s="141">
        <v>4.0</v>
      </c>
      <c r="N93" s="139"/>
      <c r="O93" s="139"/>
      <c r="P93" s="142"/>
      <c r="Q93" s="143"/>
      <c r="R93" s="143"/>
      <c r="S93" s="143"/>
      <c r="T93" s="141">
        <f>((CSE4098A_Spring2026_Grade!E83)*10)/45</f>
        <v>6.32</v>
      </c>
      <c r="U93" s="144"/>
      <c r="V93" s="142"/>
      <c r="W93" s="143"/>
      <c r="X93" s="143"/>
      <c r="Y93" s="143"/>
      <c r="Z93" s="143"/>
      <c r="AA93" s="144"/>
      <c r="AB93" s="145">
        <f t="shared" si="11"/>
        <v>10.66666667</v>
      </c>
      <c r="AC93" s="146">
        <f t="shared" ref="AC93:AE93" si="251">SUM(Q93, W93,E93,K93)</f>
        <v>2.666666667</v>
      </c>
      <c r="AD93" s="146">
        <f t="shared" si="251"/>
        <v>3</v>
      </c>
      <c r="AE93" s="146">
        <f t="shared" si="251"/>
        <v>4</v>
      </c>
      <c r="AF93" s="146">
        <f t="shared" si="13"/>
        <v>6.32</v>
      </c>
      <c r="AG93" s="146">
        <f t="shared" si="14"/>
        <v>0</v>
      </c>
      <c r="AH93" s="147">
        <f t="shared" ref="AH93:AM93" si="252">IF(AB93 = 0, 0, AB93/AB$14)</f>
        <v>0.7111111111</v>
      </c>
      <c r="AI93" s="147">
        <f t="shared" si="252"/>
        <v>0.8888888889</v>
      </c>
      <c r="AJ93" s="147">
        <f t="shared" si="252"/>
        <v>1</v>
      </c>
      <c r="AK93" s="147">
        <f t="shared" si="252"/>
        <v>0.8</v>
      </c>
      <c r="AL93" s="147">
        <f t="shared" si="252"/>
        <v>0.632</v>
      </c>
      <c r="AM93" s="147">
        <f t="shared" si="252"/>
        <v>0</v>
      </c>
      <c r="AN93" s="148">
        <f>IF(OR(CSE4098A_Spring2026_Grade!$I83="W (Withdrawn)", CSE4098A_Spring2026_Grade!$I83="I (Incomplete)"), 0, IF(AH93&gt;=55%, 1, 0))</f>
        <v>1</v>
      </c>
      <c r="AO93" s="148">
        <f>IF(OR(CSE4098A_Spring2026_Grade!$I83="W (Withdrawn)", CSE4098A_Spring2026_Grade!I83="I (Incomplete)"), 0, IF(AI93&gt;=55%, 1, 0))</f>
        <v>1</v>
      </c>
      <c r="AP93" s="148">
        <f>IF(OR(CSE4098A_Spring2026_Grade!$I83="W (Withdrawn)", CSE4098A_Spring2026_Grade!$I83="I (Incomplete)"), 0, IF(AJ93&gt;=55%, 1, 0))</f>
        <v>1</v>
      </c>
      <c r="AQ93" s="148">
        <f>IF(OR(CSE4098A_Spring2026_Grade!$I83="W (Withdrawn)", CSE4098A_Spring2026_Grade!$I83="I (Incomplete)"), 0, IF(AK93&gt;=55%, 1, 0))</f>
        <v>1</v>
      </c>
      <c r="AR93" s="148">
        <f>IF(OR(CSE4098A_Spring2026_Grade!$I83="W (Withdrawn)", CSE4098A_Spring2026_Grade!$I83="I (Incomplete)"), 0, IF(AL93&gt;=55%, 1, 0))</f>
        <v>1</v>
      </c>
      <c r="AS93" s="148">
        <f>IF(OR(CSE4098A_Spring2026_Grade!$I83="W (Withdrawn)", CSE4098A_Spring2026_Grade!$I83="I (Incomplete)"), 0, IF(AM93&gt;=55%, 1, 0))</f>
        <v>0</v>
      </c>
      <c r="AT93" s="115"/>
      <c r="AU93" s="149">
        <f t="shared" si="16"/>
        <v>0</v>
      </c>
      <c r="AV93" s="149">
        <f t="shared" si="17"/>
        <v>0.7111111111</v>
      </c>
      <c r="AW93" s="149">
        <f t="array" ref="AW93">IF($AV$9=0,0,MMULT($AH93:$AM93, AV$3:AV$8)/$AV$9)</f>
        <v>0</v>
      </c>
      <c r="AX93" s="149">
        <f t="array" ref="AX93">IF($AW$9=0,0,MMULT($AH93:$AM93, AW$3:AW$8)/$AW$9)</f>
        <v>0</v>
      </c>
      <c r="AY93" s="149">
        <f t="shared" si="18"/>
        <v>0</v>
      </c>
      <c r="AZ93" s="149">
        <f t="array" ref="AZ93">IF($AY$9=0,0,MMULT($AH93:$AM93, AY$3:AY$8)/$AY$9)</f>
        <v>0</v>
      </c>
      <c r="BA93" s="149">
        <f t="array" ref="BA93">IF($AZ$9=0,0,MMULT($AH93:$AM93, AZ$3:AZ$8)/$AZ$9)</f>
        <v>0</v>
      </c>
      <c r="BB93" s="149">
        <f t="array" ref="BB93">IF($BA$9=0,0,MMULT($AH93:$AM93, BA$3:BA$8)/$BA$9)</f>
        <v>0</v>
      </c>
      <c r="BC93" s="149">
        <f t="array" ref="BC93">IF($BB$9=0,0,MMULT($AH93:$AM93, BB$3:BB$8)/$BB$9)</f>
        <v>0.8</v>
      </c>
      <c r="BD93" s="149">
        <f t="array" ref="BD93">IF($BC$9=0,0,MMULT($AH93:$AM93, BC$3:BC$8)/$BC$9)</f>
        <v>0.632</v>
      </c>
      <c r="BE93" s="149">
        <f t="shared" si="19"/>
        <v>1</v>
      </c>
      <c r="BF93" s="149">
        <f t="shared" si="20"/>
        <v>0.8888888889</v>
      </c>
      <c r="BG93" s="148" t="str">
        <f t="shared" si="21"/>
        <v>#REF!</v>
      </c>
      <c r="BH93" s="148">
        <f>IF(OR(CSE4098A_Spring2026_Grade!$I83="W (Withdrawn)", CSE4098A_Spring2026_Grade!$I83="I (Incomplete)"), 0, IF(AV93&gt;=55%, 1, 0))</f>
        <v>1</v>
      </c>
      <c r="BI93" s="148" t="str">
        <f t="shared" ref="BI93:BN93" si="253">IF(OR(GradeSheet!$M88="W (Withdrawn)", GradeSheet!$M88="I (Incomplete)"), 0, IF(AW93&gt;=55%, 1, 0))</f>
        <v>#REF!</v>
      </c>
      <c r="BJ93" s="148" t="str">
        <f t="shared" si="253"/>
        <v>#REF!</v>
      </c>
      <c r="BK93" s="148" t="str">
        <f t="shared" si="253"/>
        <v>#REF!</v>
      </c>
      <c r="BL93" s="148" t="str">
        <f t="shared" si="253"/>
        <v>#REF!</v>
      </c>
      <c r="BM93" s="148" t="str">
        <f t="shared" si="253"/>
        <v>#REF!</v>
      </c>
      <c r="BN93" s="148" t="str">
        <f t="shared" si="253"/>
        <v>#REF!</v>
      </c>
      <c r="BO93" s="148">
        <f>IF(OR(CSE4098A_Spring2026_Grade!$I83="W (Withdrawn)", CSE4098A_Spring2026_Grade!$I83="I (Incomplete)"), 0, IF(BC93&gt;=55%, 1, 0))</f>
        <v>1</v>
      </c>
      <c r="BP93" s="148">
        <f>IF(OR(CSE4098A_Spring2026_Grade!$I83="W (Withdrawn)", CSE4098A_Spring2026_Grade!$I83="I (Incomplete)"), 0, IF(BD93&gt;=55%, 1, 0))</f>
        <v>1</v>
      </c>
      <c r="BQ93" s="148">
        <f>IF(OR(CSE4098A_Spring2026_Grade!$I83="W (Withdrawn)", CSE4098A_Spring2026_Grade!$I83="I (Incomplete)"), 0, IF(BE93&gt;=55%, 1, 0))</f>
        <v>1</v>
      </c>
      <c r="BR93" s="148">
        <f>IF(OR(CSE4098A_Spring2026_Grade!$I83="W (Withdrawn)", CSE4098A_Spring2026_Grade!$I83="I (Incomplete)"), 0, IF(BF93&gt;=55%, 1, 0))</f>
        <v>1</v>
      </c>
    </row>
    <row r="94">
      <c r="A94" s="136">
        <v>80.0</v>
      </c>
      <c r="B94" s="137">
        <f>CSE4098A_Spring2026_Grade!B84</f>
        <v>231014107</v>
      </c>
      <c r="C94" s="137" t="str">
        <f>CSE4098A_Spring2026_Grade!C84</f>
        <v>Tahmina Akter Ritu</v>
      </c>
      <c r="D94" s="138">
        <f>'CO_Report Evaluation'!P82</f>
        <v>12.66666667</v>
      </c>
      <c r="E94" s="138">
        <f>'CO_Report Evaluation'!Q82</f>
        <v>2.666666667</v>
      </c>
      <c r="F94" s="138">
        <f>'CO_Report Evaluation'!R82</f>
        <v>3</v>
      </c>
      <c r="G94" s="139"/>
      <c r="H94" s="139"/>
      <c r="I94" s="140"/>
      <c r="J94" s="138"/>
      <c r="K94" s="141"/>
      <c r="L94" s="141"/>
      <c r="M94" s="141">
        <v>4.0</v>
      </c>
      <c r="N94" s="139"/>
      <c r="O94" s="139"/>
      <c r="P94" s="142"/>
      <c r="Q94" s="143"/>
      <c r="R94" s="143"/>
      <c r="S94" s="143"/>
      <c r="T94" s="141">
        <f>((CSE4098A_Spring2026_Grade!E84)*10)/45</f>
        <v>8.937777778</v>
      </c>
      <c r="U94" s="144"/>
      <c r="V94" s="142"/>
      <c r="W94" s="143"/>
      <c r="X94" s="143"/>
      <c r="Y94" s="143"/>
      <c r="Z94" s="143"/>
      <c r="AA94" s="144"/>
      <c r="AB94" s="145">
        <f t="shared" si="11"/>
        <v>12.66666667</v>
      </c>
      <c r="AC94" s="146">
        <f t="shared" ref="AC94:AE94" si="254">SUM(Q94, W94,E94,K94)</f>
        <v>2.666666667</v>
      </c>
      <c r="AD94" s="146">
        <f t="shared" si="254"/>
        <v>3</v>
      </c>
      <c r="AE94" s="146">
        <f t="shared" si="254"/>
        <v>4</v>
      </c>
      <c r="AF94" s="146">
        <f t="shared" si="13"/>
        <v>8.937777778</v>
      </c>
      <c r="AG94" s="146">
        <f t="shared" si="14"/>
        <v>0</v>
      </c>
      <c r="AH94" s="147">
        <f t="shared" ref="AH94:AM94" si="255">IF(AB94 = 0, 0, AB94/AB$14)</f>
        <v>0.8444444444</v>
      </c>
      <c r="AI94" s="147">
        <f t="shared" si="255"/>
        <v>0.8888888889</v>
      </c>
      <c r="AJ94" s="147">
        <f t="shared" si="255"/>
        <v>1</v>
      </c>
      <c r="AK94" s="147">
        <f t="shared" si="255"/>
        <v>0.8</v>
      </c>
      <c r="AL94" s="147">
        <f t="shared" si="255"/>
        <v>0.8937777778</v>
      </c>
      <c r="AM94" s="147">
        <f t="shared" si="255"/>
        <v>0</v>
      </c>
      <c r="AN94" s="148">
        <f>IF(OR(CSE4098A_Spring2026_Grade!$I84="W (Withdrawn)", CSE4098A_Spring2026_Grade!$I84="I (Incomplete)"), 0, IF(AH94&gt;=55%, 1, 0))</f>
        <v>1</v>
      </c>
      <c r="AO94" s="148">
        <f>IF(OR(CSE4098A_Spring2026_Grade!$I84="W (Withdrawn)", CSE4098A_Spring2026_Grade!I84="I (Incomplete)"), 0, IF(AI94&gt;=55%, 1, 0))</f>
        <v>1</v>
      </c>
      <c r="AP94" s="148">
        <f>IF(OR(CSE4098A_Spring2026_Grade!$I84="W (Withdrawn)", CSE4098A_Spring2026_Grade!$I84="I (Incomplete)"), 0, IF(AJ94&gt;=55%, 1, 0))</f>
        <v>1</v>
      </c>
      <c r="AQ94" s="148">
        <f>IF(OR(CSE4098A_Spring2026_Grade!$I84="W (Withdrawn)", CSE4098A_Spring2026_Grade!$I84="I (Incomplete)"), 0, IF(AK94&gt;=55%, 1, 0))</f>
        <v>1</v>
      </c>
      <c r="AR94" s="148">
        <f>IF(OR(CSE4098A_Spring2026_Grade!$I84="W (Withdrawn)", CSE4098A_Spring2026_Grade!$I84="I (Incomplete)"), 0, IF(AL94&gt;=55%, 1, 0))</f>
        <v>1</v>
      </c>
      <c r="AS94" s="148">
        <f>IF(OR(CSE4098A_Spring2026_Grade!$I84="W (Withdrawn)", CSE4098A_Spring2026_Grade!$I84="I (Incomplete)"), 0, IF(AM94&gt;=55%, 1, 0))</f>
        <v>0</v>
      </c>
      <c r="AT94" s="115"/>
      <c r="AU94" s="149">
        <f t="shared" si="16"/>
        <v>0</v>
      </c>
      <c r="AV94" s="149">
        <f t="shared" si="17"/>
        <v>0.8444444444</v>
      </c>
      <c r="AW94" s="149">
        <f t="array" ref="AW94">IF($AV$9=0,0,MMULT($AH94:$AM94, AV$3:AV$8)/$AV$9)</f>
        <v>0</v>
      </c>
      <c r="AX94" s="149">
        <f t="array" ref="AX94">IF($AW$9=0,0,MMULT($AH94:$AM94, AW$3:AW$8)/$AW$9)</f>
        <v>0</v>
      </c>
      <c r="AY94" s="149">
        <f t="shared" si="18"/>
        <v>0</v>
      </c>
      <c r="AZ94" s="149">
        <f t="array" ref="AZ94">IF($AY$9=0,0,MMULT($AH94:$AM94, AY$3:AY$8)/$AY$9)</f>
        <v>0</v>
      </c>
      <c r="BA94" s="149">
        <f t="array" ref="BA94">IF($AZ$9=0,0,MMULT($AH94:$AM94, AZ$3:AZ$8)/$AZ$9)</f>
        <v>0</v>
      </c>
      <c r="BB94" s="149">
        <f t="array" ref="BB94">IF($BA$9=0,0,MMULT($AH94:$AM94, BA$3:BA$8)/$BA$9)</f>
        <v>0</v>
      </c>
      <c r="BC94" s="149">
        <f t="array" ref="BC94">IF($BB$9=0,0,MMULT($AH94:$AM94, BB$3:BB$8)/$BB$9)</f>
        <v>0.8</v>
      </c>
      <c r="BD94" s="149">
        <f t="array" ref="BD94">IF($BC$9=0,0,MMULT($AH94:$AM94, BC$3:BC$8)/$BC$9)</f>
        <v>0.8937777778</v>
      </c>
      <c r="BE94" s="149">
        <f t="shared" si="19"/>
        <v>1</v>
      </c>
      <c r="BF94" s="149">
        <f t="shared" si="20"/>
        <v>0.8888888889</v>
      </c>
      <c r="BG94" s="148" t="str">
        <f t="shared" si="21"/>
        <v>#REF!</v>
      </c>
      <c r="BH94" s="148">
        <f>IF(OR(CSE4098A_Spring2026_Grade!$I84="W (Withdrawn)", CSE4098A_Spring2026_Grade!$I84="I (Incomplete)"), 0, IF(AV94&gt;=55%, 1, 0))</f>
        <v>1</v>
      </c>
      <c r="BI94" s="148" t="str">
        <f t="shared" ref="BI94:BN94" si="256">IF(OR(GradeSheet!$M89="W (Withdrawn)", GradeSheet!$M89="I (Incomplete)"), 0, IF(AW94&gt;=55%, 1, 0))</f>
        <v>#REF!</v>
      </c>
      <c r="BJ94" s="148" t="str">
        <f t="shared" si="256"/>
        <v>#REF!</v>
      </c>
      <c r="BK94" s="148" t="str">
        <f t="shared" si="256"/>
        <v>#REF!</v>
      </c>
      <c r="BL94" s="148" t="str">
        <f t="shared" si="256"/>
        <v>#REF!</v>
      </c>
      <c r="BM94" s="148" t="str">
        <f t="shared" si="256"/>
        <v>#REF!</v>
      </c>
      <c r="BN94" s="148" t="str">
        <f t="shared" si="256"/>
        <v>#REF!</v>
      </c>
      <c r="BO94" s="148">
        <f>IF(OR(CSE4098A_Spring2026_Grade!$I84="W (Withdrawn)", CSE4098A_Spring2026_Grade!$I84="I (Incomplete)"), 0, IF(BC94&gt;=55%, 1, 0))</f>
        <v>1</v>
      </c>
      <c r="BP94" s="148">
        <f>IF(OR(CSE4098A_Spring2026_Grade!$I84="W (Withdrawn)", CSE4098A_Spring2026_Grade!$I84="I (Incomplete)"), 0, IF(BD94&gt;=55%, 1, 0))</f>
        <v>1</v>
      </c>
      <c r="BQ94" s="148">
        <f>IF(OR(CSE4098A_Spring2026_Grade!$I84="W (Withdrawn)", CSE4098A_Spring2026_Grade!$I84="I (Incomplete)"), 0, IF(BE94&gt;=55%, 1, 0))</f>
        <v>1</v>
      </c>
      <c r="BR94" s="148">
        <f>IF(OR(CSE4098A_Spring2026_Grade!$I84="W (Withdrawn)", CSE4098A_Spring2026_Grade!$I84="I (Incomplete)"), 0, IF(BF94&gt;=55%, 1, 0))</f>
        <v>1</v>
      </c>
    </row>
    <row r="95">
      <c r="A95" s="136">
        <v>81.0</v>
      </c>
      <c r="B95" s="137">
        <f>CSE4098A_Spring2026_Grade!B85</f>
        <v>231014108</v>
      </c>
      <c r="C95" s="137" t="str">
        <f>CSE4098A_Spring2026_Grade!C85</f>
        <v>Jahra Amin Misty</v>
      </c>
      <c r="D95" s="138">
        <f>'CO_Report Evaluation'!P83</f>
        <v>12.66666667</v>
      </c>
      <c r="E95" s="138">
        <f>'CO_Report Evaluation'!Q83</f>
        <v>2.666666667</v>
      </c>
      <c r="F95" s="138">
        <f>'CO_Report Evaluation'!R83</f>
        <v>3</v>
      </c>
      <c r="G95" s="139"/>
      <c r="H95" s="139"/>
      <c r="I95" s="140"/>
      <c r="J95" s="138"/>
      <c r="K95" s="141"/>
      <c r="L95" s="141"/>
      <c r="M95" s="141">
        <v>4.0</v>
      </c>
      <c r="N95" s="139"/>
      <c r="O95" s="139"/>
      <c r="P95" s="142"/>
      <c r="Q95" s="143"/>
      <c r="R95" s="143"/>
      <c r="S95" s="143"/>
      <c r="T95" s="141">
        <f>((CSE4098A_Spring2026_Grade!E85)*10)/45</f>
        <v>8.395555556</v>
      </c>
      <c r="U95" s="144"/>
      <c r="V95" s="142"/>
      <c r="W95" s="143"/>
      <c r="X95" s="143"/>
      <c r="Y95" s="143"/>
      <c r="Z95" s="143"/>
      <c r="AA95" s="144"/>
      <c r="AB95" s="145">
        <f t="shared" si="11"/>
        <v>12.66666667</v>
      </c>
      <c r="AC95" s="146">
        <f t="shared" ref="AC95:AE95" si="257">SUM(Q95, W95,E95,K95)</f>
        <v>2.666666667</v>
      </c>
      <c r="AD95" s="146">
        <f t="shared" si="257"/>
        <v>3</v>
      </c>
      <c r="AE95" s="146">
        <f t="shared" si="257"/>
        <v>4</v>
      </c>
      <c r="AF95" s="146">
        <f t="shared" si="13"/>
        <v>8.395555556</v>
      </c>
      <c r="AG95" s="146">
        <f t="shared" si="14"/>
        <v>0</v>
      </c>
      <c r="AH95" s="147">
        <f t="shared" ref="AH95:AM95" si="258">IF(AB95 = 0, 0, AB95/AB$14)</f>
        <v>0.8444444444</v>
      </c>
      <c r="AI95" s="147">
        <f t="shared" si="258"/>
        <v>0.8888888889</v>
      </c>
      <c r="AJ95" s="147">
        <f t="shared" si="258"/>
        <v>1</v>
      </c>
      <c r="AK95" s="147">
        <f t="shared" si="258"/>
        <v>0.8</v>
      </c>
      <c r="AL95" s="147">
        <f t="shared" si="258"/>
        <v>0.8395555556</v>
      </c>
      <c r="AM95" s="147">
        <f t="shared" si="258"/>
        <v>0</v>
      </c>
      <c r="AN95" s="148">
        <f>IF(OR(CSE4098A_Spring2026_Grade!$I85="W (Withdrawn)", CSE4098A_Spring2026_Grade!$I85="I (Incomplete)"), 0, IF(AH95&gt;=55%, 1, 0))</f>
        <v>1</v>
      </c>
      <c r="AO95" s="148">
        <f>IF(OR(CSE4098A_Spring2026_Grade!$I85="W (Withdrawn)", CSE4098A_Spring2026_Grade!I85="I (Incomplete)"), 0, IF(AI95&gt;=55%, 1, 0))</f>
        <v>1</v>
      </c>
      <c r="AP95" s="148">
        <f>IF(OR(CSE4098A_Spring2026_Grade!$I85="W (Withdrawn)", CSE4098A_Spring2026_Grade!$I85="I (Incomplete)"), 0, IF(AJ95&gt;=55%, 1, 0))</f>
        <v>1</v>
      </c>
      <c r="AQ95" s="148">
        <f>IF(OR(CSE4098A_Spring2026_Grade!$I85="W (Withdrawn)", CSE4098A_Spring2026_Grade!$I85="I (Incomplete)"), 0, IF(AK95&gt;=55%, 1, 0))</f>
        <v>1</v>
      </c>
      <c r="AR95" s="148">
        <f>IF(OR(CSE4098A_Spring2026_Grade!$I85="W (Withdrawn)", CSE4098A_Spring2026_Grade!$I85="I (Incomplete)"), 0, IF(AL95&gt;=55%, 1, 0))</f>
        <v>1</v>
      </c>
      <c r="AS95" s="148">
        <f>IF(OR(CSE4098A_Spring2026_Grade!$I85="W (Withdrawn)", CSE4098A_Spring2026_Grade!$I85="I (Incomplete)"), 0, IF(AM95&gt;=55%, 1, 0))</f>
        <v>0</v>
      </c>
      <c r="AT95" s="115"/>
      <c r="AU95" s="149">
        <f t="shared" si="16"/>
        <v>0</v>
      </c>
      <c r="AV95" s="149">
        <f t="shared" si="17"/>
        <v>0.8444444444</v>
      </c>
      <c r="AW95" s="149">
        <f t="array" ref="AW95">IF($AV$9=0,0,MMULT($AH95:$AM95, AV$3:AV$8)/$AV$9)</f>
        <v>0</v>
      </c>
      <c r="AX95" s="149">
        <f t="array" ref="AX95">IF($AW$9=0,0,MMULT($AH95:$AM95, AW$3:AW$8)/$AW$9)</f>
        <v>0</v>
      </c>
      <c r="AY95" s="149">
        <f t="shared" si="18"/>
        <v>0</v>
      </c>
      <c r="AZ95" s="149">
        <f t="array" ref="AZ95">IF($AY$9=0,0,MMULT($AH95:$AM95, AY$3:AY$8)/$AY$9)</f>
        <v>0</v>
      </c>
      <c r="BA95" s="149">
        <f t="array" ref="BA95">IF($AZ$9=0,0,MMULT($AH95:$AM95, AZ$3:AZ$8)/$AZ$9)</f>
        <v>0</v>
      </c>
      <c r="BB95" s="149">
        <f t="array" ref="BB95">IF($BA$9=0,0,MMULT($AH95:$AM95, BA$3:BA$8)/$BA$9)</f>
        <v>0</v>
      </c>
      <c r="BC95" s="149">
        <f t="array" ref="BC95">IF($BB$9=0,0,MMULT($AH95:$AM95, BB$3:BB$8)/$BB$9)</f>
        <v>0.8</v>
      </c>
      <c r="BD95" s="149">
        <f t="array" ref="BD95">IF($BC$9=0,0,MMULT($AH95:$AM95, BC$3:BC$8)/$BC$9)</f>
        <v>0.8395555556</v>
      </c>
      <c r="BE95" s="149">
        <f t="shared" si="19"/>
        <v>1</v>
      </c>
      <c r="BF95" s="149">
        <f t="shared" si="20"/>
        <v>0.8888888889</v>
      </c>
      <c r="BG95" s="148" t="str">
        <f t="shared" si="21"/>
        <v>#REF!</v>
      </c>
      <c r="BH95" s="148">
        <f>IF(OR(CSE4098A_Spring2026_Grade!$I85="W (Withdrawn)", CSE4098A_Spring2026_Grade!$I85="I (Incomplete)"), 0, IF(AV95&gt;=55%, 1, 0))</f>
        <v>1</v>
      </c>
      <c r="BI95" s="148" t="str">
        <f t="shared" ref="BI95:BN95" si="259">IF(OR(GradeSheet!$M90="W (Withdrawn)", GradeSheet!$M90="I (Incomplete)"), 0, IF(AW95&gt;=55%, 1, 0))</f>
        <v>#REF!</v>
      </c>
      <c r="BJ95" s="148" t="str">
        <f t="shared" si="259"/>
        <v>#REF!</v>
      </c>
      <c r="BK95" s="148" t="str">
        <f t="shared" si="259"/>
        <v>#REF!</v>
      </c>
      <c r="BL95" s="148" t="str">
        <f t="shared" si="259"/>
        <v>#REF!</v>
      </c>
      <c r="BM95" s="148" t="str">
        <f t="shared" si="259"/>
        <v>#REF!</v>
      </c>
      <c r="BN95" s="148" t="str">
        <f t="shared" si="259"/>
        <v>#REF!</v>
      </c>
      <c r="BO95" s="148">
        <f>IF(OR(CSE4098A_Spring2026_Grade!$I85="W (Withdrawn)", CSE4098A_Spring2026_Grade!$I85="I (Incomplete)"), 0, IF(BC95&gt;=55%, 1, 0))</f>
        <v>1</v>
      </c>
      <c r="BP95" s="148">
        <f>IF(OR(CSE4098A_Spring2026_Grade!$I85="W (Withdrawn)", CSE4098A_Spring2026_Grade!$I85="I (Incomplete)"), 0, IF(BD95&gt;=55%, 1, 0))</f>
        <v>1</v>
      </c>
      <c r="BQ95" s="148">
        <f>IF(OR(CSE4098A_Spring2026_Grade!$I85="W (Withdrawn)", CSE4098A_Spring2026_Grade!$I85="I (Incomplete)"), 0, IF(BE95&gt;=55%, 1, 0))</f>
        <v>1</v>
      </c>
      <c r="BR95" s="148">
        <f>IF(OR(CSE4098A_Spring2026_Grade!$I85="W (Withdrawn)", CSE4098A_Spring2026_Grade!$I85="I (Incomplete)"), 0, IF(BF95&gt;=55%, 1, 0))</f>
        <v>1</v>
      </c>
    </row>
    <row r="96">
      <c r="A96" s="136">
        <v>82.0</v>
      </c>
      <c r="B96" s="137">
        <f>CSE4098A_Spring2026_Grade!B86</f>
        <v>223014098</v>
      </c>
      <c r="C96" s="137" t="str">
        <f>CSE4098A_Spring2026_Grade!C86</f>
        <v>Humayara Kabir Upoma</v>
      </c>
      <c r="D96" s="138">
        <f>'CO_Report Evaluation'!P84</f>
        <v>12.66666667</v>
      </c>
      <c r="E96" s="138">
        <f>'CO_Report Evaluation'!Q84</f>
        <v>2.666666667</v>
      </c>
      <c r="F96" s="138">
        <f>'CO_Report Evaluation'!R84</f>
        <v>3</v>
      </c>
      <c r="G96" s="139"/>
      <c r="H96" s="139"/>
      <c r="I96" s="140"/>
      <c r="J96" s="138"/>
      <c r="K96" s="141"/>
      <c r="L96" s="141"/>
      <c r="M96" s="141">
        <v>4.0</v>
      </c>
      <c r="N96" s="139"/>
      <c r="O96" s="139"/>
      <c r="P96" s="142"/>
      <c r="Q96" s="143"/>
      <c r="R96" s="143"/>
      <c r="S96" s="143"/>
      <c r="T96" s="141">
        <f>((CSE4098A_Spring2026_Grade!E86)*10)/45</f>
        <v>7.902222222</v>
      </c>
      <c r="U96" s="144"/>
      <c r="V96" s="142"/>
      <c r="W96" s="143"/>
      <c r="X96" s="143"/>
      <c r="Y96" s="143"/>
      <c r="Z96" s="143"/>
      <c r="AA96" s="144"/>
      <c r="AB96" s="145">
        <f t="shared" si="11"/>
        <v>12.66666667</v>
      </c>
      <c r="AC96" s="146">
        <f t="shared" ref="AC96:AE96" si="260">SUM(Q96, W96,E96,K96)</f>
        <v>2.666666667</v>
      </c>
      <c r="AD96" s="146">
        <f t="shared" si="260"/>
        <v>3</v>
      </c>
      <c r="AE96" s="146">
        <f t="shared" si="260"/>
        <v>4</v>
      </c>
      <c r="AF96" s="146">
        <f t="shared" si="13"/>
        <v>7.902222222</v>
      </c>
      <c r="AG96" s="146">
        <f t="shared" si="14"/>
        <v>0</v>
      </c>
      <c r="AH96" s="147">
        <f t="shared" ref="AH96:AM96" si="261">IF(AB96 = 0, 0, AB96/AB$14)</f>
        <v>0.8444444444</v>
      </c>
      <c r="AI96" s="147">
        <f t="shared" si="261"/>
        <v>0.8888888889</v>
      </c>
      <c r="AJ96" s="147">
        <f t="shared" si="261"/>
        <v>1</v>
      </c>
      <c r="AK96" s="147">
        <f t="shared" si="261"/>
        <v>0.8</v>
      </c>
      <c r="AL96" s="147">
        <f t="shared" si="261"/>
        <v>0.7902222222</v>
      </c>
      <c r="AM96" s="147">
        <f t="shared" si="261"/>
        <v>0</v>
      </c>
      <c r="AN96" s="148">
        <f>IF(OR(CSE4098A_Spring2026_Grade!$I86="W (Withdrawn)", CSE4098A_Spring2026_Grade!$I86="I (Incomplete)"), 0, IF(AH96&gt;=55%, 1, 0))</f>
        <v>1</v>
      </c>
      <c r="AO96" s="148">
        <f>IF(OR(CSE4098A_Spring2026_Grade!$I86="W (Withdrawn)", CSE4098A_Spring2026_Grade!I86="I (Incomplete)"), 0, IF(AI96&gt;=55%, 1, 0))</f>
        <v>1</v>
      </c>
      <c r="AP96" s="148">
        <f>IF(OR(CSE4098A_Spring2026_Grade!$I86="W (Withdrawn)", CSE4098A_Spring2026_Grade!$I86="I (Incomplete)"), 0, IF(AJ96&gt;=55%, 1, 0))</f>
        <v>1</v>
      </c>
      <c r="AQ96" s="148">
        <f>IF(OR(CSE4098A_Spring2026_Grade!$I86="W (Withdrawn)", CSE4098A_Spring2026_Grade!$I86="I (Incomplete)"), 0, IF(AK96&gt;=55%, 1, 0))</f>
        <v>1</v>
      </c>
      <c r="AR96" s="148">
        <f>IF(OR(CSE4098A_Spring2026_Grade!$I86="W (Withdrawn)", CSE4098A_Spring2026_Grade!$I86="I (Incomplete)"), 0, IF(AL96&gt;=55%, 1, 0))</f>
        <v>1</v>
      </c>
      <c r="AS96" s="148">
        <f>IF(OR(CSE4098A_Spring2026_Grade!$I86="W (Withdrawn)", CSE4098A_Spring2026_Grade!$I86="I (Incomplete)"), 0, IF(AM96&gt;=55%, 1, 0))</f>
        <v>0</v>
      </c>
      <c r="AT96" s="115"/>
      <c r="AU96" s="149">
        <f t="shared" si="16"/>
        <v>0</v>
      </c>
      <c r="AV96" s="149">
        <f t="shared" si="17"/>
        <v>0.8444444444</v>
      </c>
      <c r="AW96" s="149">
        <f t="array" ref="AW96">IF($AV$9=0,0,MMULT($AH96:$AM96, AV$3:AV$8)/$AV$9)</f>
        <v>0</v>
      </c>
      <c r="AX96" s="149">
        <f t="array" ref="AX96">IF($AW$9=0,0,MMULT($AH96:$AM96, AW$3:AW$8)/$AW$9)</f>
        <v>0</v>
      </c>
      <c r="AY96" s="149">
        <f t="shared" si="18"/>
        <v>0</v>
      </c>
      <c r="AZ96" s="149">
        <f t="array" ref="AZ96">IF($AY$9=0,0,MMULT($AH96:$AM96, AY$3:AY$8)/$AY$9)</f>
        <v>0</v>
      </c>
      <c r="BA96" s="149">
        <f t="array" ref="BA96">IF($AZ$9=0,0,MMULT($AH96:$AM96, AZ$3:AZ$8)/$AZ$9)</f>
        <v>0</v>
      </c>
      <c r="BB96" s="149">
        <f t="array" ref="BB96">IF($BA$9=0,0,MMULT($AH96:$AM96, BA$3:BA$8)/$BA$9)</f>
        <v>0</v>
      </c>
      <c r="BC96" s="149">
        <f t="array" ref="BC96">IF($BB$9=0,0,MMULT($AH96:$AM96, BB$3:BB$8)/$BB$9)</f>
        <v>0.8</v>
      </c>
      <c r="BD96" s="149">
        <f t="array" ref="BD96">IF($BC$9=0,0,MMULT($AH96:$AM96, BC$3:BC$8)/$BC$9)</f>
        <v>0.7902222222</v>
      </c>
      <c r="BE96" s="149">
        <f t="shared" si="19"/>
        <v>1</v>
      </c>
      <c r="BF96" s="149">
        <f t="shared" si="20"/>
        <v>0.8888888889</v>
      </c>
      <c r="BG96" s="148" t="str">
        <f t="shared" si="21"/>
        <v>#REF!</v>
      </c>
      <c r="BH96" s="148">
        <f>IF(OR(CSE4098A_Spring2026_Grade!$I86="W (Withdrawn)", CSE4098A_Spring2026_Grade!$I86="I (Incomplete)"), 0, IF(AV96&gt;=55%, 1, 0))</f>
        <v>1</v>
      </c>
      <c r="BI96" s="148" t="str">
        <f t="shared" ref="BI96:BN96" si="262">IF(OR(GradeSheet!$M91="W (Withdrawn)", GradeSheet!$M91="I (Incomplete)"), 0, IF(AW96&gt;=55%, 1, 0))</f>
        <v>#REF!</v>
      </c>
      <c r="BJ96" s="148" t="str">
        <f t="shared" si="262"/>
        <v>#REF!</v>
      </c>
      <c r="BK96" s="148" t="str">
        <f t="shared" si="262"/>
        <v>#REF!</v>
      </c>
      <c r="BL96" s="148" t="str">
        <f t="shared" si="262"/>
        <v>#REF!</v>
      </c>
      <c r="BM96" s="148" t="str">
        <f t="shared" si="262"/>
        <v>#REF!</v>
      </c>
      <c r="BN96" s="148" t="str">
        <f t="shared" si="262"/>
        <v>#REF!</v>
      </c>
      <c r="BO96" s="148">
        <f>IF(OR(CSE4098A_Spring2026_Grade!$I86="W (Withdrawn)", CSE4098A_Spring2026_Grade!$I86="I (Incomplete)"), 0, IF(BC96&gt;=55%, 1, 0))</f>
        <v>1</v>
      </c>
      <c r="BP96" s="148">
        <f>IF(OR(CSE4098A_Spring2026_Grade!$I86="W (Withdrawn)", CSE4098A_Spring2026_Grade!$I86="I (Incomplete)"), 0, IF(BD96&gt;=55%, 1, 0))</f>
        <v>1</v>
      </c>
      <c r="BQ96" s="148">
        <f>IF(OR(CSE4098A_Spring2026_Grade!$I86="W (Withdrawn)", CSE4098A_Spring2026_Grade!$I86="I (Incomplete)"), 0, IF(BE96&gt;=55%, 1, 0))</f>
        <v>1</v>
      </c>
      <c r="BR96" s="148">
        <f>IF(OR(CSE4098A_Spring2026_Grade!$I86="W (Withdrawn)", CSE4098A_Spring2026_Grade!$I86="I (Incomplete)"), 0, IF(BF96&gt;=55%, 1, 0))</f>
        <v>1</v>
      </c>
    </row>
    <row r="97">
      <c r="A97" s="136">
        <v>83.0</v>
      </c>
      <c r="B97" s="137">
        <f>CSE4098A_Spring2026_Grade!B87</f>
        <v>231014028</v>
      </c>
      <c r="C97" s="137" t="str">
        <f>CSE4098A_Spring2026_Grade!C87</f>
        <v>Maimuna Islam</v>
      </c>
      <c r="D97" s="138">
        <f>'CO_Report Evaluation'!P85</f>
        <v>12.66666667</v>
      </c>
      <c r="E97" s="138">
        <f>'CO_Report Evaluation'!Q85</f>
        <v>2.666666667</v>
      </c>
      <c r="F97" s="138">
        <f>'CO_Report Evaluation'!R85</f>
        <v>3</v>
      </c>
      <c r="G97" s="139"/>
      <c r="H97" s="139"/>
      <c r="I97" s="140"/>
      <c r="J97" s="138"/>
      <c r="K97" s="141"/>
      <c r="L97" s="141"/>
      <c r="M97" s="141">
        <v>4.0</v>
      </c>
      <c r="N97" s="139"/>
      <c r="O97" s="139"/>
      <c r="P97" s="142"/>
      <c r="Q97" s="143"/>
      <c r="R97" s="143"/>
      <c r="S97" s="143"/>
      <c r="T97" s="141">
        <f>((CSE4098A_Spring2026_Grade!E87)*10)/45</f>
        <v>8.197777778</v>
      </c>
      <c r="U97" s="144"/>
      <c r="V97" s="142"/>
      <c r="W97" s="143"/>
      <c r="X97" s="143"/>
      <c r="Y97" s="143"/>
      <c r="Z97" s="143"/>
      <c r="AA97" s="144"/>
      <c r="AB97" s="145">
        <f t="shared" si="11"/>
        <v>12.66666667</v>
      </c>
      <c r="AC97" s="146">
        <f t="shared" ref="AC97:AE97" si="263">SUM(Q97, W97,E97,K97)</f>
        <v>2.666666667</v>
      </c>
      <c r="AD97" s="146">
        <f t="shared" si="263"/>
        <v>3</v>
      </c>
      <c r="AE97" s="146">
        <f t="shared" si="263"/>
        <v>4</v>
      </c>
      <c r="AF97" s="146">
        <f t="shared" si="13"/>
        <v>8.197777778</v>
      </c>
      <c r="AG97" s="146">
        <f t="shared" si="14"/>
        <v>0</v>
      </c>
      <c r="AH97" s="147">
        <f t="shared" ref="AH97:AM97" si="264">IF(AB97 = 0, 0, AB97/AB$14)</f>
        <v>0.8444444444</v>
      </c>
      <c r="AI97" s="147">
        <f t="shared" si="264"/>
        <v>0.8888888889</v>
      </c>
      <c r="AJ97" s="147">
        <f t="shared" si="264"/>
        <v>1</v>
      </c>
      <c r="AK97" s="147">
        <f t="shared" si="264"/>
        <v>0.8</v>
      </c>
      <c r="AL97" s="147">
        <f t="shared" si="264"/>
        <v>0.8197777778</v>
      </c>
      <c r="AM97" s="147">
        <f t="shared" si="264"/>
        <v>0</v>
      </c>
      <c r="AN97" s="148">
        <f>IF(OR(CSE4098A_Spring2026_Grade!$I87="W (Withdrawn)", CSE4098A_Spring2026_Grade!$I87="I (Incomplete)"), 0, IF(AH97&gt;=55%, 1, 0))</f>
        <v>1</v>
      </c>
      <c r="AO97" s="148">
        <f>IF(OR(CSE4098A_Spring2026_Grade!$I87="W (Withdrawn)", CSE4098A_Spring2026_Grade!I87="I (Incomplete)"), 0, IF(AI97&gt;=55%, 1, 0))</f>
        <v>1</v>
      </c>
      <c r="AP97" s="148">
        <f>IF(OR(CSE4098A_Spring2026_Grade!$I87="W (Withdrawn)", CSE4098A_Spring2026_Grade!$I87="I (Incomplete)"), 0, IF(AJ97&gt;=55%, 1, 0))</f>
        <v>1</v>
      </c>
      <c r="AQ97" s="148">
        <f>IF(OR(CSE4098A_Spring2026_Grade!$I87="W (Withdrawn)", CSE4098A_Spring2026_Grade!$I87="I (Incomplete)"), 0, IF(AK97&gt;=55%, 1, 0))</f>
        <v>1</v>
      </c>
      <c r="AR97" s="148">
        <f>IF(OR(CSE4098A_Spring2026_Grade!$I87="W (Withdrawn)", CSE4098A_Spring2026_Grade!$I87="I (Incomplete)"), 0, IF(AL97&gt;=55%, 1, 0))</f>
        <v>1</v>
      </c>
      <c r="AS97" s="148">
        <f>IF(OR(CSE4098A_Spring2026_Grade!$I87="W (Withdrawn)", CSE4098A_Spring2026_Grade!$I87="I (Incomplete)"), 0, IF(AM97&gt;=55%, 1, 0))</f>
        <v>0</v>
      </c>
      <c r="AT97" s="115"/>
      <c r="AU97" s="149">
        <f t="shared" si="16"/>
        <v>0</v>
      </c>
      <c r="AV97" s="149">
        <f t="shared" si="17"/>
        <v>0.8444444444</v>
      </c>
      <c r="AW97" s="149">
        <f t="array" ref="AW97">IF($AV$9=0,0,MMULT($AH97:$AM97, AV$3:AV$8)/$AV$9)</f>
        <v>0</v>
      </c>
      <c r="AX97" s="149">
        <f t="array" ref="AX97">IF($AW$9=0,0,MMULT($AH97:$AM97, AW$3:AW$8)/$AW$9)</f>
        <v>0</v>
      </c>
      <c r="AY97" s="149">
        <f t="shared" si="18"/>
        <v>0</v>
      </c>
      <c r="AZ97" s="149">
        <f t="array" ref="AZ97">IF($AY$9=0,0,MMULT($AH97:$AM97, AY$3:AY$8)/$AY$9)</f>
        <v>0</v>
      </c>
      <c r="BA97" s="149">
        <f t="array" ref="BA97">IF($AZ$9=0,0,MMULT($AH97:$AM97, AZ$3:AZ$8)/$AZ$9)</f>
        <v>0</v>
      </c>
      <c r="BB97" s="149">
        <f t="array" ref="BB97">IF($BA$9=0,0,MMULT($AH97:$AM97, BA$3:BA$8)/$BA$9)</f>
        <v>0</v>
      </c>
      <c r="BC97" s="149">
        <f t="array" ref="BC97">IF($BB$9=0,0,MMULT($AH97:$AM97, BB$3:BB$8)/$BB$9)</f>
        <v>0.8</v>
      </c>
      <c r="BD97" s="149">
        <f t="array" ref="BD97">IF($BC$9=0,0,MMULT($AH97:$AM97, BC$3:BC$8)/$BC$9)</f>
        <v>0.8197777778</v>
      </c>
      <c r="BE97" s="149">
        <f t="shared" si="19"/>
        <v>1</v>
      </c>
      <c r="BF97" s="149">
        <f t="shared" si="20"/>
        <v>0.8888888889</v>
      </c>
      <c r="BG97" s="148" t="str">
        <f t="shared" si="21"/>
        <v>#REF!</v>
      </c>
      <c r="BH97" s="148">
        <f>IF(OR(CSE4098A_Spring2026_Grade!$I87="W (Withdrawn)", CSE4098A_Spring2026_Grade!$I87="I (Incomplete)"), 0, IF(AV97&gt;=55%, 1, 0))</f>
        <v>1</v>
      </c>
      <c r="BI97" s="148" t="str">
        <f t="shared" ref="BI97:BN97" si="265">IF(OR(GradeSheet!$M92="W (Withdrawn)", GradeSheet!$M92="I (Incomplete)"), 0, IF(AW97&gt;=55%, 1, 0))</f>
        <v>#REF!</v>
      </c>
      <c r="BJ97" s="148" t="str">
        <f t="shared" si="265"/>
        <v>#REF!</v>
      </c>
      <c r="BK97" s="148" t="str">
        <f t="shared" si="265"/>
        <v>#REF!</v>
      </c>
      <c r="BL97" s="148" t="str">
        <f t="shared" si="265"/>
        <v>#REF!</v>
      </c>
      <c r="BM97" s="148" t="str">
        <f t="shared" si="265"/>
        <v>#REF!</v>
      </c>
      <c r="BN97" s="148" t="str">
        <f t="shared" si="265"/>
        <v>#REF!</v>
      </c>
      <c r="BO97" s="148">
        <f>IF(OR(CSE4098A_Spring2026_Grade!$I87="W (Withdrawn)", CSE4098A_Spring2026_Grade!$I87="I (Incomplete)"), 0, IF(BC97&gt;=55%, 1, 0))</f>
        <v>1</v>
      </c>
      <c r="BP97" s="148">
        <f>IF(OR(CSE4098A_Spring2026_Grade!$I87="W (Withdrawn)", CSE4098A_Spring2026_Grade!$I87="I (Incomplete)"), 0, IF(BD97&gt;=55%, 1, 0))</f>
        <v>1</v>
      </c>
      <c r="BQ97" s="148">
        <f>IF(OR(CSE4098A_Spring2026_Grade!$I87="W (Withdrawn)", CSE4098A_Spring2026_Grade!$I87="I (Incomplete)"), 0, IF(BE97&gt;=55%, 1, 0))</f>
        <v>1</v>
      </c>
      <c r="BR97" s="148">
        <f>IF(OR(CSE4098A_Spring2026_Grade!$I87="W (Withdrawn)", CSE4098A_Spring2026_Grade!$I87="I (Incomplete)"), 0, IF(BF97&gt;=55%, 1, 0))</f>
        <v>1</v>
      </c>
    </row>
    <row r="98">
      <c r="A98" s="151">
        <f>COUNTA(A15:A97)</f>
        <v>83</v>
      </c>
      <c r="B98" s="152" t="s">
        <v>180</v>
      </c>
      <c r="C98" s="93"/>
      <c r="D98" s="153">
        <f t="shared" ref="D98:AG98" si="266">AVERAGE(D15:D97)</f>
        <v>10.29718876</v>
      </c>
      <c r="E98" s="154">
        <f t="shared" si="266"/>
        <v>2.152610442</v>
      </c>
      <c r="F98" s="154">
        <f t="shared" si="266"/>
        <v>2.124497992</v>
      </c>
      <c r="G98" s="154" t="str">
        <f t="shared" si="266"/>
        <v>#DIV/0!</v>
      </c>
      <c r="H98" s="154" t="str">
        <f t="shared" si="266"/>
        <v>#DIV/0!</v>
      </c>
      <c r="I98" s="154" t="str">
        <f t="shared" si="266"/>
        <v>#DIV/0!</v>
      </c>
      <c r="J98" s="153" t="str">
        <f t="shared" si="266"/>
        <v>#DIV/0!</v>
      </c>
      <c r="K98" s="154" t="str">
        <f t="shared" si="266"/>
        <v>#DIV/0!</v>
      </c>
      <c r="L98" s="154" t="str">
        <f t="shared" si="266"/>
        <v>#DIV/0!</v>
      </c>
      <c r="M98" s="154">
        <f t="shared" si="266"/>
        <v>4.036144578</v>
      </c>
      <c r="N98" s="154" t="str">
        <f t="shared" si="266"/>
        <v>#DIV/0!</v>
      </c>
      <c r="O98" s="154" t="str">
        <f t="shared" si="266"/>
        <v>#DIV/0!</v>
      </c>
      <c r="P98" s="154" t="str">
        <f t="shared" si="266"/>
        <v>#DIV/0!</v>
      </c>
      <c r="Q98" s="154" t="str">
        <f t="shared" si="266"/>
        <v>#DIV/0!</v>
      </c>
      <c r="R98" s="154" t="str">
        <f t="shared" si="266"/>
        <v>#DIV/0!</v>
      </c>
      <c r="S98" s="154" t="str">
        <f t="shared" si="266"/>
        <v>#DIV/0!</v>
      </c>
      <c r="T98" s="154">
        <f t="shared" si="266"/>
        <v>7.577751004</v>
      </c>
      <c r="U98" s="154" t="str">
        <f t="shared" si="266"/>
        <v>#DIV/0!</v>
      </c>
      <c r="V98" s="154" t="str">
        <f t="shared" si="266"/>
        <v>#DIV/0!</v>
      </c>
      <c r="W98" s="154" t="str">
        <f t="shared" si="266"/>
        <v>#DIV/0!</v>
      </c>
      <c r="X98" s="154" t="str">
        <f t="shared" si="266"/>
        <v>#DIV/0!</v>
      </c>
      <c r="Y98" s="154" t="str">
        <f t="shared" si="266"/>
        <v>#DIV/0!</v>
      </c>
      <c r="Z98" s="154" t="str">
        <f t="shared" si="266"/>
        <v>#DIV/0!</v>
      </c>
      <c r="AA98" s="154" t="str">
        <f t="shared" si="266"/>
        <v>#DIV/0!</v>
      </c>
      <c r="AB98" s="153">
        <f t="shared" si="266"/>
        <v>10.29718876</v>
      </c>
      <c r="AC98" s="153">
        <f t="shared" si="266"/>
        <v>2.152610442</v>
      </c>
      <c r="AD98" s="153">
        <f t="shared" si="266"/>
        <v>2.124497992</v>
      </c>
      <c r="AE98" s="153">
        <f t="shared" si="266"/>
        <v>4.036144578</v>
      </c>
      <c r="AF98" s="153">
        <f t="shared" si="266"/>
        <v>7.577751004</v>
      </c>
      <c r="AG98" s="153">
        <f t="shared" si="266"/>
        <v>0</v>
      </c>
      <c r="AH98" s="125">
        <f>(SUMIFS(AH15:AH97,CSE4098A_Spring2026_Grade!I5:CSE4098A_Spring2026_Grade!I87,"&lt;&gt;W (Withdrawn)",CSE4098A_Spring2026_Grade!I5:CSE4098A_Spring2026_Grade!I87,"&lt;&gt;I (Incomplete)"))/($A$98-0-0)</f>
        <v>0.6864792503</v>
      </c>
      <c r="AI98" s="125">
        <f>(SUMIFS(AI15:AI97,
CSE4098A_Spring2026_Grade!I5:CSE4098A_Spring2026_Grade!I87,"&lt;&gt;W (Withdrawn)",
CSE4098A_Spring2026_Grade!I5:CSE4098A_Spring2026_Grade!I87,"&lt;&gt;I (Incomplete)"))
/($A$98-0-0)</f>
        <v>0.7175368139</v>
      </c>
      <c r="AJ98" s="125">
        <f>(SUMIFS(AJ15:AJ97,
CSE4098A_Spring2026_Grade!I5:CSE4098A_Spring2026_Grade!I87,"&lt;&gt;W (Withdrawn)",
CSE4098A_Spring2026_Grade!I5:CSE4098A_Spring2026_Grade!I87,"&lt;&gt;I (Incomplete)"))
/($A$98-0-0)</f>
        <v>0.7081659973</v>
      </c>
      <c r="AK98" s="125">
        <f>(SUMIFS(AK15:AK97,
CSE4098A_Spring2026_Grade!I5:CSE4098A_Spring2026_Grade!I87,"&lt;&gt;W (Withdrawn)",
CSE4098A_Spring2026_Grade!I5:CSE4098A_Spring2026_Grade!I87,"&lt;&gt;I (Incomplete)"))
/($A$98-0-0)</f>
        <v>0.8072289157</v>
      </c>
      <c r="AL98" s="125">
        <f>(SUMIFS(AL15:AL97,
CSE4098A_Spring2026_Grade!I5:CSE4098A_Spring2026_Grade!I87,"&lt;&gt;W (Withdrawn)",
CSE4098A_Spring2026_Grade!I5:CSE4098A_Spring2026_Grade!I87,"&lt;&gt;I (Incomplete)"))
/($A$98-0-0)</f>
        <v>0.7577751004</v>
      </c>
      <c r="AM98" s="125">
        <f>(SUMIFS(AM15:AM97,
CSE4098A_Spring2026_Grade!I5:CSE4098A_Spring2026_Grade!I87,"&lt;&gt;W (Withdrawn)",
CSE4098A_Spring2026_Grade!I5:CSE4098A_Spring2026_Grade!I87,"&lt;&gt;I (Incomplete)"))
/($A$98-0-0)</f>
        <v>0</v>
      </c>
      <c r="AN98" s="124">
        <f t="shared" ref="AN98:AS98" si="267">SUM(AN15:AN97)</f>
        <v>67</v>
      </c>
      <c r="AO98" s="124">
        <f t="shared" si="267"/>
        <v>67</v>
      </c>
      <c r="AP98" s="124">
        <f t="shared" si="267"/>
        <v>67</v>
      </c>
      <c r="AQ98" s="124">
        <f t="shared" si="267"/>
        <v>75</v>
      </c>
      <c r="AR98" s="124">
        <f t="shared" si="267"/>
        <v>80</v>
      </c>
      <c r="AS98" s="124">
        <f t="shared" si="267"/>
        <v>0</v>
      </c>
      <c r="AT98" s="115"/>
      <c r="AU98" s="125" t="str">
        <f>(SUMIFS(AU15:AU55,GradeSheet!M10:GradeSheet!#REF!,"&lt;&gt;W (Withdrawn)",GradeSheet!M10:GradeSheet!#REF!,"&lt;&gt;I (Incomplete)"))/($A$56-GradeSheet!$H$64-GradeSheet!$H$65)</f>
        <v>#ERROR!</v>
      </c>
      <c r="AV98" s="125">
        <f>(SUMIFS(AH$15:AH$97,
CSE4098A_Spring2026_Grade!$I$5:$I$87,"&lt;&gt;W (Withdrawn)",
CSE4098A_Spring2026_Grade!$I$5:$I$87,"&lt;&gt;I (Incomplete)"))
/($A$98-0-0)</f>
        <v>0.6864792503</v>
      </c>
      <c r="AW98" s="125" t="str">
        <f>(SUMIFS(AW15:AW55,GradeSheet!O10:GradeSheet!#REF!,"&lt;&gt;W (Withdrawn)",GradeSheet!O10:GradeSheet!#REF!,"&lt;&gt;I (Incomplete)"))/($A$56-GradeSheet!$H$64-GradeSheet!$H$65)</f>
        <v>#ERROR!</v>
      </c>
      <c r="AX98" s="125" t="str">
        <f>(SUMIFS(AX15:AX55,GradeSheet!P10:GradeSheet!#REF!,"&lt;&gt;W (Withdrawn)",GradeSheet!P10:GradeSheet!#REF!,"&lt;&gt;I (Incomplete)"))/($A$56-GradeSheet!$H$64-GradeSheet!$H$65)</f>
        <v>#ERROR!</v>
      </c>
      <c r="AY98" s="125" t="str">
        <f>(SUMIFS(AY15:AY55,GradeSheet!Q10:GradeSheet!#REF!,"&lt;&gt;W (Withdrawn)",GradeSheet!Q10:GradeSheet!#REF!,"&lt;&gt;I (Incomplete)"))/($A$56-GradeSheet!$H$64-GradeSheet!$H$65)</f>
        <v>#ERROR!</v>
      </c>
      <c r="AZ98" s="125" t="str">
        <f>(SUMIFS(AZ15:AZ55,GradeSheet!R10:GradeSheet!#REF!,"&lt;&gt;W (Withdrawn)",GradeSheet!R10:GradeSheet!#REF!,"&lt;&gt;I (Incomplete)"))/($A$56-GradeSheet!$H$64-GradeSheet!$H$65)</f>
        <v>#ERROR!</v>
      </c>
      <c r="BA98" s="125" t="str">
        <f>(SUMIFS(BA15:BA55,GradeSheet!S10:GradeSheet!#REF!,"&lt;&gt;W (Withdrawn)",GradeSheet!S10:GradeSheet!#REF!,"&lt;&gt;I (Incomplete)"))/($A$56-GradeSheet!$H$64-GradeSheet!$H$65)</f>
        <v>#ERROR!</v>
      </c>
      <c r="BB98" s="125" t="str">
        <f>(SUMIFS(BB15:BB55,GradeSheet!T10:GradeSheet!#REF!,"&lt;&gt;W (Withdrawn)",GradeSheet!T10:GradeSheet!#REF!,"&lt;&gt;I (Incomplete)"))/($A$56-GradeSheet!$H$64-GradeSheet!$H$65)</f>
        <v>#ERROR!</v>
      </c>
      <c r="BC98" s="125">
        <f>(SUMIFS(BC$15:BC$97,
CSE4098A_Spring2026_Grade!$I$5:$I$87,"&lt;&gt;W (Withdrawn)",
CSE4098A_Spring2026_Grade!$I$5:$I$87,"&lt;&gt;I (Incomplete)"))
/($A$98-0-0)</f>
        <v>0.8072289157</v>
      </c>
      <c r="BD98" s="125">
        <f>(SUMIFS(BD$15:BD$97,
CSE4098A_Spring2026_Grade!$I$5:$I$87,"&lt;&gt;W (Withdrawn)",
CSE4098A_Spring2026_Grade!$I$5:$I$87,"&lt;&gt;I (Incomplete)"))
/($A$98-0-0)</f>
        <v>0.7577751004</v>
      </c>
      <c r="BE98" s="125">
        <f>(SUMIFS(BE$15:BE$97,
CSE4098A_Spring2026_Grade!$I$5:$I$87,"&lt;&gt;W (Withdrawn)",
CSE4098A_Spring2026_Grade!$I$5:$I$87,"&lt;&gt;I (Incomplete)"))
/($A$98-0-0)</f>
        <v>0.7081659973</v>
      </c>
      <c r="BF98" s="125">
        <f>(SUMIFS(BF$15:BF$97,
CSE4098A_Spring2026_Grade!$I$5:$I$87,"&lt;&gt;W (Withdrawn)",
CSE4098A_Spring2026_Grade!$I$5:$I$87,"&lt;&gt;I (Incomplete)"))
/($A$98-0-0)</f>
        <v>0.7175368139</v>
      </c>
      <c r="BG98" s="124" t="str">
        <f t="shared" ref="BG98:BR98" si="268">SUM(BG15:BG97)</f>
        <v>#REF!</v>
      </c>
      <c r="BH98" s="120">
        <f t="shared" si="268"/>
        <v>67</v>
      </c>
      <c r="BI98" s="120" t="str">
        <f t="shared" si="268"/>
        <v>#REF!</v>
      </c>
      <c r="BJ98" s="120" t="str">
        <f t="shared" si="268"/>
        <v>#REF!</v>
      </c>
      <c r="BK98" s="120" t="str">
        <f t="shared" si="268"/>
        <v>#REF!</v>
      </c>
      <c r="BL98" s="120" t="str">
        <f t="shared" si="268"/>
        <v>#REF!</v>
      </c>
      <c r="BM98" s="120" t="str">
        <f t="shared" si="268"/>
        <v>#REF!</v>
      </c>
      <c r="BN98" s="120" t="str">
        <f t="shared" si="268"/>
        <v>#REF!</v>
      </c>
      <c r="BO98" s="120">
        <f t="shared" si="268"/>
        <v>75</v>
      </c>
      <c r="BP98" s="120">
        <f t="shared" si="268"/>
        <v>80</v>
      </c>
      <c r="BQ98" s="120">
        <f t="shared" si="268"/>
        <v>67</v>
      </c>
      <c r="BR98" s="155">
        <f t="shared" si="268"/>
        <v>67</v>
      </c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</row>
    <row r="103">
      <c r="A103" s="44"/>
      <c r="B103" s="156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157"/>
      <c r="AI103" s="157"/>
      <c r="AJ103" s="157"/>
      <c r="AK103" s="157"/>
      <c r="AL103" s="157"/>
      <c r="AM103" s="157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</row>
    <row r="104">
      <c r="A104" s="44"/>
      <c r="B104" s="156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157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</row>
    <row r="105">
      <c r="A105" s="44"/>
      <c r="B105" s="156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157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157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157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  <c r="BR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  <c r="BP552" s="44"/>
      <c r="BQ552" s="44"/>
      <c r="BR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  <c r="BP553" s="44"/>
      <c r="BQ553" s="44"/>
      <c r="BR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  <c r="BP554" s="44"/>
      <c r="BQ554" s="44"/>
      <c r="BR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  <c r="BP555" s="44"/>
      <c r="BQ555" s="44"/>
      <c r="BR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  <c r="BR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  <c r="BP557" s="44"/>
      <c r="BQ557" s="44"/>
      <c r="BR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  <c r="BP558" s="44"/>
      <c r="BQ558" s="44"/>
      <c r="BR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  <c r="BP559" s="44"/>
      <c r="BQ559" s="44"/>
      <c r="BR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  <c r="BP560" s="44"/>
      <c r="BQ560" s="44"/>
      <c r="BR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  <c r="BR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  <c r="BR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  <c r="BR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  <c r="BR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  <c r="BR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  <c r="BR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  <c r="BR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  <c r="BR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  <c r="BR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  <c r="BR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  <c r="BR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  <c r="BR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  <c r="BR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  <c r="BR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  <c r="BR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  <c r="BR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  <c r="BR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  <c r="BR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  <c r="BR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  <c r="BR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  <c r="BR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  <c r="BR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  <c r="BR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  <c r="BR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  <c r="BR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  <c r="BR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  <c r="BP609" s="44"/>
      <c r="BQ609" s="44"/>
      <c r="BR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  <c r="BR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  <c r="BR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  <c r="BR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  <c r="BR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  <c r="BR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  <c r="BR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  <c r="BR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  <c r="BR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  <c r="BR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  <c r="BR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  <c r="BR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  <c r="BR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  <c r="BR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  <c r="BR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  <c r="BR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  <c r="BR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  <c r="BR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  <c r="BR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  <c r="BR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  <c r="BR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  <c r="BR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  <c r="BR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  <c r="BR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  <c r="BR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  <c r="BR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  <c r="BP673" s="44"/>
      <c r="BQ673" s="44"/>
      <c r="BR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  <c r="BP674" s="44"/>
      <c r="BQ674" s="44"/>
      <c r="BR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  <c r="BP675" s="44"/>
      <c r="BQ675" s="44"/>
      <c r="BR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  <c r="BP676" s="44"/>
      <c r="BQ676" s="44"/>
      <c r="BR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  <c r="BP677" s="44"/>
      <c r="BQ677" s="44"/>
      <c r="BR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  <c r="BP678" s="44"/>
      <c r="BQ678" s="44"/>
      <c r="BR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  <c r="BP679" s="44"/>
      <c r="BQ679" s="44"/>
      <c r="BR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  <c r="BP680" s="44"/>
      <c r="BQ680" s="44"/>
      <c r="BR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  <c r="BP681" s="44"/>
      <c r="BQ681" s="44"/>
      <c r="BR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  <c r="BP682" s="44"/>
      <c r="BQ682" s="44"/>
      <c r="BR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  <c r="BP683" s="44"/>
      <c r="BQ683" s="44"/>
      <c r="BR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  <c r="BP684" s="44"/>
      <c r="BQ684" s="44"/>
      <c r="BR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  <c r="BP685" s="44"/>
      <c r="BQ685" s="44"/>
      <c r="BR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  <c r="BP686" s="44"/>
      <c r="BQ686" s="44"/>
      <c r="BR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  <c r="BP687" s="44"/>
      <c r="BQ687" s="44"/>
      <c r="BR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  <c r="BP688" s="44"/>
      <c r="BQ688" s="44"/>
      <c r="BR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  <c r="BP689" s="44"/>
      <c r="BQ689" s="44"/>
      <c r="BR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  <c r="BP704" s="44"/>
      <c r="BQ704" s="44"/>
      <c r="BR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  <c r="BR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  <c r="BR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  <c r="BR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  <c r="BR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  <c r="BR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  <c r="BR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  <c r="BR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  <c r="BR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  <c r="BR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  <c r="BR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  <c r="BR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  <c r="BR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  <c r="BR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  <c r="BR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  <c r="BR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  <c r="BR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  <c r="BR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  <c r="BR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  <c r="BR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  <c r="BR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  <c r="BR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  <c r="BR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  <c r="BR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  <c r="BR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  <c r="BR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  <c r="BP742" s="44"/>
      <c r="BQ742" s="44"/>
      <c r="BR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  <c r="BP743" s="44"/>
      <c r="BQ743" s="44"/>
      <c r="BR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  <c r="BP744" s="44"/>
      <c r="BQ744" s="44"/>
      <c r="BR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  <c r="BP745" s="44"/>
      <c r="BQ745" s="44"/>
      <c r="BR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  <c r="BP746" s="44"/>
      <c r="BQ746" s="44"/>
      <c r="BR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  <c r="BP747" s="44"/>
      <c r="BQ747" s="44"/>
      <c r="BR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  <c r="BP748" s="44"/>
      <c r="BQ748" s="44"/>
      <c r="BR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  <c r="BP749" s="44"/>
      <c r="BQ749" s="44"/>
      <c r="BR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  <c r="BP750" s="44"/>
      <c r="BQ750" s="44"/>
      <c r="BR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  <c r="BP751" s="44"/>
      <c r="BQ751" s="44"/>
      <c r="BR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  <c r="BP752" s="44"/>
      <c r="BQ752" s="44"/>
      <c r="BR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  <c r="BR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  <c r="BR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  <c r="BR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  <c r="BR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  <c r="BR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  <c r="BR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  <c r="BR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  <c r="BR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  <c r="BR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  <c r="BR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  <c r="BR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  <c r="BR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  <c r="BR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  <c r="BR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  <c r="BR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  <c r="BR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  <c r="BR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  <c r="BR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  <c r="BP792" s="44"/>
      <c r="BQ792" s="44"/>
      <c r="BR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  <c r="BR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  <c r="BR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  <c r="BR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  <c r="BR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  <c r="BR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  <c r="BR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  <c r="BR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  <c r="BR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  <c r="BR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  <c r="BR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  <c r="BR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  <c r="BR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  <c r="BR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  <c r="BR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  <c r="BR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  <c r="BR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  <c r="BR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  <c r="BR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  <c r="BR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  <c r="BR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  <c r="BR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  <c r="BR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  <c r="BR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  <c r="BR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  <c r="BR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  <c r="BR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  <c r="BR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  <c r="BR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  <c r="BR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  <c r="BR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  <c r="BR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  <c r="BR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  <c r="BR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  <c r="BR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  <c r="BR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  <c r="BR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  <c r="BR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  <c r="BR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  <c r="BR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  <c r="BR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  <c r="BR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  <c r="BR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  <c r="BR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  <c r="BR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  <c r="BR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  <c r="BR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  <c r="BR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  <c r="BR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  <c r="BR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  <c r="BR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  <c r="BR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  <c r="BR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  <c r="BR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  <c r="BR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  <c r="BR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  <c r="BR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  <c r="BR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  <c r="BR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  <c r="BR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  <c r="BR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  <c r="BR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  <c r="BR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  <c r="BR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  <c r="BR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  <c r="BR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  <c r="BR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  <c r="BR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  <c r="BR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  <c r="BR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  <c r="BR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  <c r="BR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  <c r="BR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  <c r="BR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  <c r="BR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  <c r="BP913" s="44"/>
      <c r="BQ913" s="44"/>
      <c r="BR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  <c r="BP914" s="44"/>
      <c r="BQ914" s="44"/>
      <c r="BR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  <c r="BP915" s="44"/>
      <c r="BQ915" s="44"/>
      <c r="BR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  <c r="BP916" s="44"/>
      <c r="BQ916" s="44"/>
      <c r="BR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  <c r="BP917" s="44"/>
      <c r="BQ917" s="44"/>
      <c r="BR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  <c r="BP918" s="44"/>
      <c r="BQ918" s="44"/>
      <c r="BR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  <c r="BP919" s="44"/>
      <c r="BQ919" s="44"/>
      <c r="BR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  <c r="BP920" s="44"/>
      <c r="BQ920" s="44"/>
      <c r="BR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  <c r="BP921" s="44"/>
      <c r="BQ921" s="44"/>
      <c r="BR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  <c r="BR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  <c r="BR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  <c r="BR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  <c r="BR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  <c r="BR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  <c r="BR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  <c r="BR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  <c r="BR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  <c r="BR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  <c r="BR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  <c r="BR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  <c r="BR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  <c r="BR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  <c r="BR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  <c r="BR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  <c r="BR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  <c r="BR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  <c r="BR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  <c r="BR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  <c r="BP980" s="44"/>
      <c r="BQ980" s="44"/>
      <c r="BR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  <c r="BP981" s="44"/>
      <c r="BQ981" s="44"/>
      <c r="BR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  <c r="BP982" s="44"/>
      <c r="BQ982" s="44"/>
      <c r="BR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  <c r="BP983" s="44"/>
      <c r="BQ983" s="44"/>
      <c r="BR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  <c r="BP984" s="44"/>
      <c r="BQ984" s="44"/>
      <c r="BR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44"/>
      <c r="BP985" s="44"/>
      <c r="BQ985" s="44"/>
      <c r="BR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44"/>
      <c r="BP986" s="44"/>
      <c r="BQ986" s="44"/>
      <c r="BR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44"/>
      <c r="BP987" s="44"/>
      <c r="BQ987" s="44"/>
      <c r="BR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44"/>
      <c r="BP988" s="44"/>
      <c r="BQ988" s="44"/>
      <c r="BR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44"/>
      <c r="BP989" s="44"/>
      <c r="BQ989" s="44"/>
      <c r="BR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44"/>
      <c r="BP990" s="44"/>
      <c r="BQ990" s="44"/>
      <c r="BR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44"/>
      <c r="BP991" s="44"/>
      <c r="BQ991" s="44"/>
      <c r="BR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44"/>
      <c r="BP992" s="44"/>
      <c r="BQ992" s="44"/>
      <c r="BR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  <c r="BP993" s="44"/>
      <c r="BQ993" s="44"/>
      <c r="BR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44"/>
      <c r="BP994" s="44"/>
      <c r="BQ994" s="44"/>
      <c r="BR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44"/>
      <c r="BP995" s="44"/>
      <c r="BQ995" s="44"/>
      <c r="BR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  <c r="BP996" s="44"/>
      <c r="BQ996" s="44"/>
      <c r="BR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  <c r="BP997" s="44"/>
      <c r="BQ997" s="44"/>
      <c r="BR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  <c r="BR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  <c r="BR1002" s="44"/>
    </row>
    <row r="100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  <c r="BR1003" s="44"/>
    </row>
    <row r="1004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  <c r="BR1004" s="44"/>
    </row>
    <row r="1005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  <c r="BR1005" s="44"/>
    </row>
    <row r="1006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44"/>
      <c r="BP1006" s="44"/>
      <c r="BQ1006" s="44"/>
      <c r="BR1006" s="44"/>
    </row>
    <row r="1007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  <c r="BR1007" s="44"/>
    </row>
    <row r="1008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  <c r="AS1008" s="44"/>
      <c r="AT1008" s="44"/>
      <c r="AU1008" s="44"/>
      <c r="AV1008" s="44"/>
      <c r="AW1008" s="44"/>
      <c r="AX1008" s="44"/>
      <c r="AY1008" s="44"/>
      <c r="AZ1008" s="44"/>
      <c r="BA1008" s="44"/>
      <c r="BB1008" s="44"/>
      <c r="BC1008" s="44"/>
      <c r="BD1008" s="44"/>
      <c r="BE1008" s="44"/>
      <c r="BF1008" s="44"/>
      <c r="BG1008" s="44"/>
      <c r="BH1008" s="44"/>
      <c r="BI1008" s="44"/>
      <c r="BJ1008" s="44"/>
      <c r="BK1008" s="44"/>
      <c r="BL1008" s="44"/>
      <c r="BM1008" s="44"/>
      <c r="BN1008" s="44"/>
      <c r="BO1008" s="44"/>
      <c r="BP1008" s="44"/>
      <c r="BQ1008" s="44"/>
      <c r="BR1008" s="44"/>
    </row>
    <row r="1009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AR1009" s="44"/>
      <c r="AS1009" s="44"/>
      <c r="AT1009" s="44"/>
      <c r="AU1009" s="44"/>
      <c r="AV1009" s="44"/>
      <c r="AW1009" s="44"/>
      <c r="AX1009" s="44"/>
      <c r="AY1009" s="44"/>
      <c r="AZ1009" s="44"/>
      <c r="BA1009" s="44"/>
      <c r="BB1009" s="44"/>
      <c r="BC1009" s="44"/>
      <c r="BD1009" s="44"/>
      <c r="BE1009" s="44"/>
      <c r="BF1009" s="44"/>
      <c r="BG1009" s="44"/>
      <c r="BH1009" s="44"/>
      <c r="BI1009" s="44"/>
      <c r="BJ1009" s="44"/>
      <c r="BK1009" s="44"/>
      <c r="BL1009" s="44"/>
      <c r="BM1009" s="44"/>
      <c r="BN1009" s="44"/>
      <c r="BO1009" s="44"/>
      <c r="BP1009" s="44"/>
      <c r="BQ1009" s="44"/>
      <c r="BR1009" s="44"/>
    </row>
    <row r="1010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</row>
    <row r="1011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</row>
    <row r="1012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</row>
    <row r="101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</row>
    <row r="1014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</row>
    <row r="1015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</row>
    <row r="1016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</row>
    <row r="1017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</row>
    <row r="1018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</row>
    <row r="1019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</row>
    <row r="1020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  <c r="AS1020" s="44"/>
      <c r="AT1020" s="44"/>
      <c r="AU1020" s="44"/>
      <c r="AV1020" s="44"/>
      <c r="AW1020" s="44"/>
      <c r="AX1020" s="44"/>
      <c r="AY1020" s="44"/>
      <c r="AZ1020" s="44"/>
      <c r="BA1020" s="44"/>
      <c r="BB1020" s="44"/>
      <c r="BC1020" s="44"/>
      <c r="BD1020" s="44"/>
      <c r="BE1020" s="44"/>
      <c r="BF1020" s="44"/>
      <c r="BG1020" s="44"/>
      <c r="BH1020" s="44"/>
      <c r="BI1020" s="44"/>
      <c r="BJ1020" s="44"/>
      <c r="BK1020" s="44"/>
      <c r="BL1020" s="44"/>
      <c r="BM1020" s="44"/>
      <c r="BN1020" s="44"/>
      <c r="BO1020" s="44"/>
      <c r="BP1020" s="44"/>
      <c r="BQ1020" s="44"/>
      <c r="BR1020" s="44"/>
    </row>
    <row r="1021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AR1021" s="44"/>
      <c r="AS1021" s="44"/>
      <c r="AT1021" s="44"/>
      <c r="AU1021" s="44"/>
      <c r="AV1021" s="44"/>
      <c r="AW1021" s="44"/>
      <c r="AX1021" s="44"/>
      <c r="AY1021" s="44"/>
      <c r="AZ1021" s="44"/>
      <c r="BA1021" s="44"/>
      <c r="BB1021" s="44"/>
      <c r="BC1021" s="44"/>
      <c r="BD1021" s="44"/>
      <c r="BE1021" s="44"/>
      <c r="BF1021" s="44"/>
      <c r="BG1021" s="44"/>
      <c r="BH1021" s="44"/>
      <c r="BI1021" s="44"/>
      <c r="BJ1021" s="44"/>
      <c r="BK1021" s="44"/>
      <c r="BL1021" s="44"/>
      <c r="BM1021" s="44"/>
      <c r="BN1021" s="44"/>
      <c r="BO1021" s="44"/>
      <c r="BP1021" s="44"/>
      <c r="BQ1021" s="44"/>
      <c r="BR1021" s="44"/>
    </row>
    <row r="1022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44"/>
      <c r="AS1022" s="44"/>
      <c r="AT1022" s="44"/>
      <c r="AU1022" s="44"/>
      <c r="AV1022" s="44"/>
      <c r="AW1022" s="44"/>
      <c r="AX1022" s="44"/>
      <c r="AY1022" s="44"/>
      <c r="AZ1022" s="44"/>
      <c r="BA1022" s="44"/>
      <c r="BB1022" s="44"/>
      <c r="BC1022" s="44"/>
      <c r="BD1022" s="44"/>
      <c r="BE1022" s="44"/>
      <c r="BF1022" s="44"/>
      <c r="BG1022" s="44"/>
      <c r="BH1022" s="44"/>
      <c r="BI1022" s="44"/>
      <c r="BJ1022" s="44"/>
      <c r="BK1022" s="44"/>
      <c r="BL1022" s="44"/>
      <c r="BM1022" s="44"/>
      <c r="BN1022" s="44"/>
      <c r="BO1022" s="44"/>
      <c r="BP1022" s="44"/>
      <c r="BQ1022" s="44"/>
      <c r="BR1022" s="44"/>
    </row>
    <row r="1023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44"/>
      <c r="AS1023" s="44"/>
      <c r="AT1023" s="44"/>
      <c r="AU1023" s="44"/>
      <c r="AV1023" s="44"/>
      <c r="AW1023" s="44"/>
      <c r="AX1023" s="44"/>
      <c r="AY1023" s="44"/>
      <c r="AZ1023" s="44"/>
      <c r="BA1023" s="44"/>
      <c r="BB1023" s="44"/>
      <c r="BC1023" s="44"/>
      <c r="BD1023" s="44"/>
      <c r="BE1023" s="44"/>
      <c r="BF1023" s="44"/>
      <c r="BG1023" s="44"/>
      <c r="BH1023" s="44"/>
      <c r="BI1023" s="44"/>
      <c r="BJ1023" s="44"/>
      <c r="BK1023" s="44"/>
      <c r="BL1023" s="44"/>
      <c r="BM1023" s="44"/>
      <c r="BN1023" s="44"/>
      <c r="BO1023" s="44"/>
      <c r="BP1023" s="44"/>
      <c r="BQ1023" s="44"/>
      <c r="BR1023" s="44"/>
    </row>
    <row r="1024">
      <c r="A1024" s="44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AR1024" s="44"/>
      <c r="AS1024" s="44"/>
      <c r="AT1024" s="44"/>
      <c r="AU1024" s="44"/>
      <c r="AV1024" s="44"/>
      <c r="AW1024" s="44"/>
      <c r="AX1024" s="44"/>
      <c r="AY1024" s="44"/>
      <c r="AZ1024" s="44"/>
      <c r="BA1024" s="44"/>
      <c r="BB1024" s="44"/>
      <c r="BC1024" s="44"/>
      <c r="BD1024" s="44"/>
      <c r="BE1024" s="44"/>
      <c r="BF1024" s="44"/>
      <c r="BG1024" s="44"/>
      <c r="BH1024" s="44"/>
      <c r="BI1024" s="44"/>
      <c r="BJ1024" s="44"/>
      <c r="BK1024" s="44"/>
      <c r="BL1024" s="44"/>
      <c r="BM1024" s="44"/>
      <c r="BN1024" s="44"/>
      <c r="BO1024" s="44"/>
      <c r="BP1024" s="44"/>
      <c r="BQ1024" s="44"/>
      <c r="BR1024" s="44"/>
    </row>
    <row r="1025">
      <c r="A1025" s="44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AR1025" s="44"/>
      <c r="AS1025" s="44"/>
      <c r="AT1025" s="44"/>
      <c r="AU1025" s="44"/>
      <c r="AV1025" s="44"/>
      <c r="AW1025" s="44"/>
      <c r="AX1025" s="44"/>
      <c r="AY1025" s="44"/>
      <c r="AZ1025" s="44"/>
      <c r="BA1025" s="44"/>
      <c r="BB1025" s="44"/>
      <c r="BC1025" s="44"/>
      <c r="BD1025" s="44"/>
      <c r="BE1025" s="44"/>
      <c r="BF1025" s="44"/>
      <c r="BG1025" s="44"/>
      <c r="BH1025" s="44"/>
      <c r="BI1025" s="44"/>
      <c r="BJ1025" s="44"/>
      <c r="BK1025" s="44"/>
      <c r="BL1025" s="44"/>
      <c r="BM1025" s="44"/>
      <c r="BN1025" s="44"/>
      <c r="BO1025" s="44"/>
      <c r="BP1025" s="44"/>
      <c r="BQ1025" s="44"/>
      <c r="BR1025" s="44"/>
    </row>
    <row r="1026">
      <c r="A1026" s="44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  <c r="AS1026" s="44"/>
      <c r="AT1026" s="44"/>
      <c r="AU1026" s="44"/>
      <c r="AV1026" s="44"/>
      <c r="AW1026" s="44"/>
      <c r="AX1026" s="44"/>
      <c r="AY1026" s="44"/>
      <c r="AZ1026" s="44"/>
      <c r="BA1026" s="44"/>
      <c r="BB1026" s="44"/>
      <c r="BC1026" s="44"/>
      <c r="BD1026" s="44"/>
      <c r="BE1026" s="44"/>
      <c r="BF1026" s="44"/>
      <c r="BG1026" s="44"/>
      <c r="BH1026" s="44"/>
      <c r="BI1026" s="44"/>
      <c r="BJ1026" s="44"/>
      <c r="BK1026" s="44"/>
      <c r="BL1026" s="44"/>
      <c r="BM1026" s="44"/>
      <c r="BN1026" s="44"/>
      <c r="BO1026" s="44"/>
      <c r="BP1026" s="44"/>
      <c r="BQ1026" s="44"/>
      <c r="BR1026" s="44"/>
    </row>
    <row r="1027">
      <c r="A1027" s="44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AR1027" s="44"/>
      <c r="AS1027" s="44"/>
      <c r="AT1027" s="44"/>
      <c r="AU1027" s="44"/>
      <c r="AV1027" s="44"/>
      <c r="AW1027" s="44"/>
      <c r="AX1027" s="44"/>
      <c r="AY1027" s="44"/>
      <c r="AZ1027" s="44"/>
      <c r="BA1027" s="44"/>
      <c r="BB1027" s="44"/>
      <c r="BC1027" s="44"/>
      <c r="BD1027" s="44"/>
      <c r="BE1027" s="44"/>
      <c r="BF1027" s="44"/>
      <c r="BG1027" s="44"/>
      <c r="BH1027" s="44"/>
      <c r="BI1027" s="44"/>
      <c r="BJ1027" s="44"/>
      <c r="BK1027" s="44"/>
      <c r="BL1027" s="44"/>
      <c r="BM1027" s="44"/>
      <c r="BN1027" s="44"/>
      <c r="BO1027" s="44"/>
      <c r="BP1027" s="44"/>
      <c r="BQ1027" s="44"/>
      <c r="BR1027" s="44"/>
    </row>
    <row r="1028">
      <c r="A1028" s="44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  <c r="AS1028" s="44"/>
      <c r="AT1028" s="44"/>
      <c r="AU1028" s="44"/>
      <c r="AV1028" s="44"/>
      <c r="AW1028" s="44"/>
      <c r="AX1028" s="44"/>
      <c r="AY1028" s="44"/>
      <c r="AZ1028" s="44"/>
      <c r="BA1028" s="44"/>
      <c r="BB1028" s="44"/>
      <c r="BC1028" s="44"/>
      <c r="BD1028" s="44"/>
      <c r="BE1028" s="44"/>
      <c r="BF1028" s="44"/>
      <c r="BG1028" s="44"/>
      <c r="BH1028" s="44"/>
      <c r="BI1028" s="44"/>
      <c r="BJ1028" s="44"/>
      <c r="BK1028" s="44"/>
      <c r="BL1028" s="44"/>
      <c r="BM1028" s="44"/>
      <c r="BN1028" s="44"/>
      <c r="BO1028" s="44"/>
      <c r="BP1028" s="44"/>
      <c r="BQ1028" s="44"/>
      <c r="BR1028" s="44"/>
    </row>
    <row r="1029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  <c r="AS1029" s="44"/>
      <c r="AT1029" s="44"/>
      <c r="AU1029" s="44"/>
      <c r="AV1029" s="44"/>
      <c r="AW1029" s="44"/>
      <c r="AX1029" s="44"/>
      <c r="AY1029" s="44"/>
      <c r="AZ1029" s="44"/>
      <c r="BA1029" s="44"/>
      <c r="BB1029" s="44"/>
      <c r="BC1029" s="44"/>
      <c r="BD1029" s="44"/>
      <c r="BE1029" s="44"/>
      <c r="BF1029" s="44"/>
      <c r="BG1029" s="44"/>
      <c r="BH1029" s="44"/>
      <c r="BI1029" s="44"/>
      <c r="BJ1029" s="44"/>
      <c r="BK1029" s="44"/>
      <c r="BL1029" s="44"/>
      <c r="BM1029" s="44"/>
      <c r="BN1029" s="44"/>
      <c r="BO1029" s="44"/>
      <c r="BP1029" s="44"/>
      <c r="BQ1029" s="44"/>
      <c r="BR1029" s="44"/>
    </row>
    <row r="1030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  <c r="AS1030" s="44"/>
      <c r="AT1030" s="44"/>
      <c r="AU1030" s="44"/>
      <c r="AV1030" s="44"/>
      <c r="AW1030" s="44"/>
      <c r="AX1030" s="44"/>
      <c r="AY1030" s="44"/>
      <c r="AZ1030" s="44"/>
      <c r="BA1030" s="44"/>
      <c r="BB1030" s="44"/>
      <c r="BC1030" s="44"/>
      <c r="BD1030" s="44"/>
      <c r="BE1030" s="44"/>
      <c r="BF1030" s="44"/>
      <c r="BG1030" s="44"/>
      <c r="BH1030" s="44"/>
      <c r="BI1030" s="44"/>
      <c r="BJ1030" s="44"/>
      <c r="BK1030" s="44"/>
      <c r="BL1030" s="44"/>
      <c r="BM1030" s="44"/>
      <c r="BN1030" s="44"/>
      <c r="BO1030" s="44"/>
      <c r="BP1030" s="44"/>
      <c r="BQ1030" s="44"/>
      <c r="BR1030" s="44"/>
    </row>
    <row r="1031">
      <c r="A1031" s="44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AR1031" s="44"/>
      <c r="AS1031" s="44"/>
      <c r="AT1031" s="44"/>
      <c r="AU1031" s="44"/>
      <c r="AV1031" s="44"/>
      <c r="AW1031" s="44"/>
      <c r="AX1031" s="44"/>
      <c r="AY1031" s="44"/>
      <c r="AZ1031" s="44"/>
      <c r="BA1031" s="44"/>
      <c r="BB1031" s="44"/>
      <c r="BC1031" s="44"/>
      <c r="BD1031" s="44"/>
      <c r="BE1031" s="44"/>
      <c r="BF1031" s="44"/>
      <c r="BG1031" s="44"/>
      <c r="BH1031" s="44"/>
      <c r="BI1031" s="44"/>
      <c r="BJ1031" s="44"/>
      <c r="BK1031" s="44"/>
      <c r="BL1031" s="44"/>
      <c r="BM1031" s="44"/>
      <c r="BN1031" s="44"/>
      <c r="BO1031" s="44"/>
      <c r="BP1031" s="44"/>
      <c r="BQ1031" s="44"/>
      <c r="BR1031" s="44"/>
    </row>
    <row r="1032">
      <c r="A1032" s="44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44"/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44"/>
      <c r="BJ1032" s="44"/>
      <c r="BK1032" s="44"/>
      <c r="BL1032" s="44"/>
      <c r="BM1032" s="44"/>
      <c r="BN1032" s="44"/>
      <c r="BO1032" s="44"/>
      <c r="BP1032" s="44"/>
      <c r="BQ1032" s="44"/>
      <c r="BR1032" s="44"/>
    </row>
    <row r="1033">
      <c r="A1033" s="44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  <c r="AS1033" s="44"/>
      <c r="AT1033" s="44"/>
      <c r="AU1033" s="44"/>
      <c r="AV1033" s="44"/>
      <c r="AW1033" s="44"/>
      <c r="AX1033" s="44"/>
      <c r="AY1033" s="44"/>
      <c r="AZ1033" s="44"/>
      <c r="BA1033" s="44"/>
      <c r="BB1033" s="44"/>
      <c r="BC1033" s="44"/>
      <c r="BD1033" s="44"/>
      <c r="BE1033" s="44"/>
      <c r="BF1033" s="44"/>
      <c r="BG1033" s="44"/>
      <c r="BH1033" s="44"/>
      <c r="BI1033" s="44"/>
      <c r="BJ1033" s="44"/>
      <c r="BK1033" s="44"/>
      <c r="BL1033" s="44"/>
      <c r="BM1033" s="44"/>
      <c r="BN1033" s="44"/>
      <c r="BO1033" s="44"/>
      <c r="BP1033" s="44"/>
      <c r="BQ1033" s="44"/>
      <c r="BR1033" s="44"/>
    </row>
    <row r="1034">
      <c r="A1034" s="44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  <c r="AS1034" s="44"/>
      <c r="AT1034" s="44"/>
      <c r="AU1034" s="44"/>
      <c r="AV1034" s="44"/>
      <c r="AW1034" s="44"/>
      <c r="AX1034" s="44"/>
      <c r="AY1034" s="44"/>
      <c r="AZ1034" s="44"/>
      <c r="BA1034" s="44"/>
      <c r="BB1034" s="44"/>
      <c r="BC1034" s="44"/>
      <c r="BD1034" s="44"/>
      <c r="BE1034" s="44"/>
      <c r="BF1034" s="44"/>
      <c r="BG1034" s="44"/>
      <c r="BH1034" s="44"/>
      <c r="BI1034" s="44"/>
      <c r="BJ1034" s="44"/>
      <c r="BK1034" s="44"/>
      <c r="BL1034" s="44"/>
      <c r="BM1034" s="44"/>
      <c r="BN1034" s="44"/>
      <c r="BO1034" s="44"/>
      <c r="BP1034" s="44"/>
      <c r="BQ1034" s="44"/>
      <c r="BR1034" s="44"/>
    </row>
    <row r="1035">
      <c r="A1035" s="44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AR1035" s="44"/>
      <c r="AS1035" s="44"/>
      <c r="AT1035" s="44"/>
      <c r="AU1035" s="44"/>
      <c r="AV1035" s="44"/>
      <c r="AW1035" s="44"/>
      <c r="AX1035" s="44"/>
      <c r="AY1035" s="44"/>
      <c r="AZ1035" s="44"/>
      <c r="BA1035" s="44"/>
      <c r="BB1035" s="44"/>
      <c r="BC1035" s="44"/>
      <c r="BD1035" s="44"/>
      <c r="BE1035" s="44"/>
      <c r="BF1035" s="44"/>
      <c r="BG1035" s="44"/>
      <c r="BH1035" s="44"/>
      <c r="BI1035" s="44"/>
      <c r="BJ1035" s="44"/>
      <c r="BK1035" s="44"/>
      <c r="BL1035" s="44"/>
      <c r="BM1035" s="44"/>
      <c r="BN1035" s="44"/>
      <c r="BO1035" s="44"/>
      <c r="BP1035" s="44"/>
      <c r="BQ1035" s="44"/>
      <c r="BR1035" s="44"/>
    </row>
    <row r="1036">
      <c r="A1036" s="44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44"/>
      <c r="AU1036" s="44"/>
      <c r="AV1036" s="44"/>
      <c r="AW1036" s="44"/>
      <c r="AX1036" s="44"/>
      <c r="AY1036" s="44"/>
      <c r="AZ1036" s="44"/>
      <c r="BA1036" s="44"/>
      <c r="BB1036" s="44"/>
      <c r="BC1036" s="44"/>
      <c r="BD1036" s="44"/>
      <c r="BE1036" s="44"/>
      <c r="BF1036" s="44"/>
      <c r="BG1036" s="44"/>
      <c r="BH1036" s="44"/>
      <c r="BI1036" s="44"/>
      <c r="BJ1036" s="44"/>
      <c r="BK1036" s="44"/>
      <c r="BL1036" s="44"/>
      <c r="BM1036" s="44"/>
      <c r="BN1036" s="44"/>
      <c r="BO1036" s="44"/>
      <c r="BP1036" s="44"/>
      <c r="BQ1036" s="44"/>
      <c r="BR1036" s="44"/>
    </row>
    <row r="1037">
      <c r="A1037" s="44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  <c r="AS1037" s="44"/>
      <c r="AT1037" s="44"/>
      <c r="AU1037" s="44"/>
      <c r="AV1037" s="44"/>
      <c r="AW1037" s="44"/>
      <c r="AX1037" s="44"/>
      <c r="AY1037" s="44"/>
      <c r="AZ1037" s="44"/>
      <c r="BA1037" s="44"/>
      <c r="BB1037" s="44"/>
      <c r="BC1037" s="44"/>
      <c r="BD1037" s="44"/>
      <c r="BE1037" s="44"/>
      <c r="BF1037" s="44"/>
      <c r="BG1037" s="44"/>
      <c r="BH1037" s="44"/>
      <c r="BI1037" s="44"/>
      <c r="BJ1037" s="44"/>
      <c r="BK1037" s="44"/>
      <c r="BL1037" s="44"/>
      <c r="BM1037" s="44"/>
      <c r="BN1037" s="44"/>
      <c r="BO1037" s="44"/>
      <c r="BP1037" s="44"/>
      <c r="BQ1037" s="44"/>
      <c r="BR1037" s="44"/>
    </row>
    <row r="1038">
      <c r="A1038" s="44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4"/>
      <c r="BN1038" s="44"/>
      <c r="BO1038" s="44"/>
      <c r="BP1038" s="44"/>
      <c r="BQ1038" s="44"/>
      <c r="BR1038" s="44"/>
    </row>
    <row r="1039">
      <c r="A1039" s="44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  <c r="AS1039" s="44"/>
      <c r="AT1039" s="44"/>
      <c r="AU1039" s="44"/>
      <c r="AV1039" s="44"/>
      <c r="AW1039" s="44"/>
      <c r="AX1039" s="44"/>
      <c r="AY1039" s="44"/>
      <c r="AZ1039" s="44"/>
      <c r="BA1039" s="44"/>
      <c r="BB1039" s="44"/>
      <c r="BC1039" s="44"/>
      <c r="BD1039" s="44"/>
      <c r="BE1039" s="44"/>
      <c r="BF1039" s="44"/>
      <c r="BG1039" s="44"/>
      <c r="BH1039" s="44"/>
      <c r="BI1039" s="44"/>
      <c r="BJ1039" s="44"/>
      <c r="BK1039" s="44"/>
      <c r="BL1039" s="44"/>
      <c r="BM1039" s="44"/>
      <c r="BN1039" s="44"/>
      <c r="BO1039" s="44"/>
      <c r="BP1039" s="44"/>
      <c r="BQ1039" s="44"/>
      <c r="BR1039" s="44"/>
    </row>
    <row r="1040">
      <c r="A1040" s="44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44"/>
      <c r="BI1040" s="44"/>
      <c r="BJ1040" s="44"/>
      <c r="BK1040" s="44"/>
      <c r="BL1040" s="44"/>
      <c r="BM1040" s="44"/>
      <c r="BN1040" s="44"/>
      <c r="BO1040" s="44"/>
      <c r="BP1040" s="44"/>
      <c r="BQ1040" s="44"/>
      <c r="BR1040" s="44"/>
    </row>
    <row r="1041">
      <c r="A1041" s="44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4"/>
      <c r="BN1041" s="44"/>
      <c r="BO1041" s="44"/>
      <c r="BP1041" s="44"/>
      <c r="BQ1041" s="44"/>
      <c r="BR1041" s="44"/>
    </row>
    <row r="1042">
      <c r="A1042" s="44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44"/>
      <c r="BP1042" s="44"/>
      <c r="BQ1042" s="44"/>
      <c r="BR1042" s="44"/>
    </row>
    <row r="1043">
      <c r="A1043" s="44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44"/>
      <c r="BP1043" s="44"/>
      <c r="BQ1043" s="44"/>
      <c r="BR1043" s="44"/>
    </row>
    <row r="1044">
      <c r="A1044" s="44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4"/>
      <c r="BN1044" s="44"/>
      <c r="BO1044" s="44"/>
      <c r="BP1044" s="44"/>
      <c r="BQ1044" s="44"/>
      <c r="BR1044" s="44"/>
    </row>
    <row r="1045">
      <c r="A1045" s="44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44"/>
      <c r="BI1045" s="44"/>
      <c r="BJ1045" s="44"/>
      <c r="BK1045" s="44"/>
      <c r="BL1045" s="44"/>
      <c r="BM1045" s="44"/>
      <c r="BN1045" s="44"/>
      <c r="BO1045" s="44"/>
      <c r="BP1045" s="44"/>
      <c r="BQ1045" s="44"/>
      <c r="BR1045" s="44"/>
    </row>
    <row r="1046">
      <c r="A1046" s="44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/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44"/>
      <c r="BJ1046" s="44"/>
      <c r="BK1046" s="44"/>
      <c r="BL1046" s="44"/>
      <c r="BM1046" s="44"/>
      <c r="BN1046" s="44"/>
      <c r="BO1046" s="44"/>
      <c r="BP1046" s="44"/>
      <c r="BQ1046" s="44"/>
      <c r="BR1046" s="44"/>
    </row>
    <row r="1047">
      <c r="A1047" s="44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44"/>
      <c r="BJ1047" s="44"/>
      <c r="BK1047" s="44"/>
      <c r="BL1047" s="44"/>
      <c r="BM1047" s="44"/>
      <c r="BN1047" s="44"/>
      <c r="BO1047" s="44"/>
      <c r="BP1047" s="44"/>
      <c r="BQ1047" s="44"/>
      <c r="BR1047" s="44"/>
    </row>
    <row r="1048">
      <c r="A1048" s="44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  <c r="AS1048" s="44"/>
      <c r="AT1048" s="44"/>
      <c r="AU1048" s="44"/>
      <c r="AV1048" s="44"/>
      <c r="AW1048" s="44"/>
      <c r="AX1048" s="44"/>
      <c r="AY1048" s="44"/>
      <c r="AZ1048" s="44"/>
      <c r="BA1048" s="44"/>
      <c r="BB1048" s="44"/>
      <c r="BC1048" s="44"/>
      <c r="BD1048" s="44"/>
      <c r="BE1048" s="44"/>
      <c r="BF1048" s="44"/>
      <c r="BG1048" s="44"/>
      <c r="BH1048" s="44"/>
      <c r="BI1048" s="44"/>
      <c r="BJ1048" s="44"/>
      <c r="BK1048" s="44"/>
      <c r="BL1048" s="44"/>
      <c r="BM1048" s="44"/>
      <c r="BN1048" s="44"/>
      <c r="BO1048" s="44"/>
      <c r="BP1048" s="44"/>
      <c r="BQ1048" s="44"/>
      <c r="BR1048" s="44"/>
    </row>
    <row r="1049">
      <c r="A1049" s="44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  <c r="AS1049" s="44"/>
      <c r="AT1049" s="44"/>
      <c r="AU1049" s="44"/>
      <c r="AV1049" s="44"/>
      <c r="AW1049" s="44"/>
      <c r="AX1049" s="44"/>
      <c r="AY1049" s="44"/>
      <c r="AZ1049" s="44"/>
      <c r="BA1049" s="44"/>
      <c r="BB1049" s="44"/>
      <c r="BC1049" s="44"/>
      <c r="BD1049" s="44"/>
      <c r="BE1049" s="44"/>
      <c r="BF1049" s="44"/>
      <c r="BG1049" s="44"/>
      <c r="BH1049" s="44"/>
      <c r="BI1049" s="44"/>
      <c r="BJ1049" s="44"/>
      <c r="BK1049" s="44"/>
      <c r="BL1049" s="44"/>
      <c r="BM1049" s="44"/>
      <c r="BN1049" s="44"/>
      <c r="BO1049" s="44"/>
      <c r="BP1049" s="44"/>
      <c r="BQ1049" s="44"/>
      <c r="BR1049" s="44"/>
    </row>
    <row r="1050">
      <c r="A1050" s="44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</row>
    <row r="1051">
      <c r="A1051" s="44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</row>
    <row r="1052">
      <c r="A1052" s="44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</row>
  </sheetData>
  <mergeCells count="20">
    <mergeCell ref="P12:U12"/>
    <mergeCell ref="V12:AA12"/>
    <mergeCell ref="B98:C98"/>
    <mergeCell ref="B103:C103"/>
    <mergeCell ref="B104:C104"/>
    <mergeCell ref="B105:C105"/>
    <mergeCell ref="AB12:AG12"/>
    <mergeCell ref="AH12:AM12"/>
    <mergeCell ref="AN12:AS12"/>
    <mergeCell ref="AU12:BF12"/>
    <mergeCell ref="AN14:AS14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5.63"/>
    <col customWidth="1" min="2" max="2" width="12.25"/>
    <col customWidth="1" min="3" max="3" width="16.88"/>
    <col customWidth="1" min="4" max="4" width="24.5"/>
  </cols>
  <sheetData>
    <row r="1">
      <c r="A1" s="158" t="s">
        <v>181</v>
      </c>
      <c r="B1" s="92"/>
      <c r="C1" s="92"/>
      <c r="D1" s="93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159" t="s">
        <v>182</v>
      </c>
      <c r="B2" s="160" t="s">
        <v>183</v>
      </c>
      <c r="C2" s="160" t="s">
        <v>184</v>
      </c>
      <c r="D2" s="161">
        <v>1.0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159" t="s">
        <v>185</v>
      </c>
      <c r="B3" s="160" t="s">
        <v>186</v>
      </c>
      <c r="C3" s="162" t="s">
        <v>187</v>
      </c>
      <c r="D3" s="163" t="s">
        <v>2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59" t="s">
        <v>188</v>
      </c>
      <c r="B4" s="164">
        <v>1.0</v>
      </c>
      <c r="C4" s="165" t="s">
        <v>189</v>
      </c>
      <c r="D4" s="166">
        <f>CSE4098A_Spring2026_Grade!$H$103</f>
        <v>83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167" t="s">
        <v>190</v>
      </c>
      <c r="B6" s="168"/>
      <c r="C6" s="169" t="s">
        <v>191</v>
      </c>
      <c r="D6" s="170" t="s">
        <v>174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171" t="s">
        <v>146</v>
      </c>
      <c r="B7" s="172"/>
      <c r="C7" s="173" t="s">
        <v>192</v>
      </c>
      <c r="D7" s="174">
        <f>'CO_PO_Attainment_Analysis '!AN98/(CSE4098A_Spring2026_Grade!$H$103-0-0)</f>
        <v>0.8072289157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167" t="s">
        <v>147</v>
      </c>
      <c r="B8" s="92"/>
      <c r="C8" s="175"/>
      <c r="D8" s="174">
        <f>'CO_PO_Attainment_Analysis '!AO98/(CSE4098A_Spring2026_Grade!$H$103-0-0)</f>
        <v>0.8072289157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171" t="s">
        <v>148</v>
      </c>
      <c r="B9" s="172"/>
      <c r="C9" s="175"/>
      <c r="D9" s="174">
        <f>'CO_PO_Attainment_Analysis '!AP98/(CSE4098A_Spring2026_Grade!$H$103-0-0)</f>
        <v>0.8072289157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71" t="s">
        <v>149</v>
      </c>
      <c r="B10" s="172"/>
      <c r="C10" s="175"/>
      <c r="D10" s="174">
        <f>'CO_PO_Attainment_Analysis '!AQ98/(CSE4098A_Spring2026_Grade!$H$103-0-0)</f>
        <v>0.9036144578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171" t="s">
        <v>150</v>
      </c>
      <c r="B11" s="172"/>
      <c r="C11" s="175"/>
      <c r="D11" s="174">
        <f>'CO_PO_Attainment_Analysis '!AR98/(CSE4098A_Spring2026_Grade!$H$103-0-0)</f>
        <v>0.9638554217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71"/>
      <c r="B12" s="172"/>
      <c r="C12" s="176"/>
      <c r="D12" s="17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77" t="s">
        <v>193</v>
      </c>
      <c r="B14" s="178"/>
      <c r="C14" s="178"/>
      <c r="D14" s="178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179" t="s">
        <v>194</v>
      </c>
      <c r="B15" s="180"/>
      <c r="C15" s="180"/>
      <c r="D15" s="40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81"/>
      <c r="B16" s="180"/>
      <c r="C16" s="180"/>
      <c r="D16" s="40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182"/>
      <c r="B17" s="183"/>
      <c r="C17" s="183"/>
      <c r="D17" s="18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81"/>
      <c r="B18" s="180"/>
      <c r="C18" s="180"/>
      <c r="D18" s="40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185"/>
      <c r="B19" s="183"/>
      <c r="C19" s="183"/>
      <c r="D19" s="18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81"/>
      <c r="B20" s="180"/>
      <c r="C20" s="180"/>
      <c r="D20" s="40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185"/>
      <c r="B21" s="183"/>
      <c r="C21" s="183"/>
      <c r="D21" s="18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181"/>
      <c r="B22" s="180"/>
      <c r="C22" s="180"/>
      <c r="D22" s="40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186"/>
      <c r="B23" s="180"/>
      <c r="C23" s="180"/>
      <c r="D23" s="40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186"/>
      <c r="B24" s="180"/>
      <c r="C24" s="180"/>
      <c r="D24" s="4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186"/>
      <c r="B25" s="180"/>
      <c r="C25" s="180"/>
      <c r="D25" s="4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4"/>
      <c r="C26" s="44"/>
      <c r="D26" s="187" t="s">
        <v>195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188" t="s">
        <v>196</v>
      </c>
      <c r="B33" s="189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188" t="s">
        <v>197</v>
      </c>
      <c r="B34" s="190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188" t="s">
        <v>198</v>
      </c>
      <c r="B35" s="19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19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115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8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4:D24"/>
    <mergeCell ref="A25:D25"/>
    <mergeCell ref="A14:D14"/>
    <mergeCell ref="A15:D15"/>
    <mergeCell ref="A16:D16"/>
    <mergeCell ref="A18:D18"/>
    <mergeCell ref="A20:D20"/>
    <mergeCell ref="A22:D22"/>
    <mergeCell ref="A23:D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.38"/>
    <col customWidth="1" min="3" max="3" width="29.13"/>
    <col customWidth="1" min="6" max="6" width="12.88"/>
  </cols>
  <sheetData>
    <row r="1">
      <c r="D1" s="192" t="s">
        <v>199</v>
      </c>
      <c r="G1" s="193"/>
      <c r="H1" s="192" t="s">
        <v>200</v>
      </c>
      <c r="K1" s="194"/>
      <c r="L1" s="192" t="s">
        <v>201</v>
      </c>
      <c r="O1" s="195"/>
      <c r="P1" s="196" t="s">
        <v>202</v>
      </c>
    </row>
    <row r="2">
      <c r="A2" s="197" t="s">
        <v>176</v>
      </c>
      <c r="B2" s="197" t="s">
        <v>4</v>
      </c>
      <c r="C2" s="197" t="s">
        <v>5</v>
      </c>
      <c r="D2" s="198" t="s">
        <v>146</v>
      </c>
      <c r="E2" s="198" t="s">
        <v>147</v>
      </c>
      <c r="F2" s="198" t="s">
        <v>148</v>
      </c>
      <c r="G2" s="198"/>
      <c r="H2" s="198" t="s">
        <v>146</v>
      </c>
      <c r="I2" s="198" t="s">
        <v>147</v>
      </c>
      <c r="J2" s="198" t="s">
        <v>148</v>
      </c>
      <c r="L2" s="198" t="s">
        <v>146</v>
      </c>
      <c r="M2" s="198" t="s">
        <v>147</v>
      </c>
      <c r="N2" s="198" t="s">
        <v>148</v>
      </c>
      <c r="P2" s="198" t="s">
        <v>146</v>
      </c>
      <c r="Q2" s="198" t="s">
        <v>147</v>
      </c>
      <c r="R2" s="198" t="s">
        <v>148</v>
      </c>
    </row>
    <row r="3">
      <c r="A3" s="198">
        <v>1.0</v>
      </c>
      <c r="B3" s="199">
        <f>CSE4098A_Spring2026_Grade!B5</f>
        <v>231014004</v>
      </c>
      <c r="C3" s="199" t="str">
        <f>CSE4098A_Spring2026_Grade!C5</f>
        <v>Bushra Nusyba Chowdhury</v>
      </c>
      <c r="D3" s="200">
        <v>12.0</v>
      </c>
      <c r="E3" s="200">
        <v>2.0</v>
      </c>
      <c r="F3" s="200">
        <v>2.0</v>
      </c>
      <c r="H3" s="200">
        <v>13.0</v>
      </c>
      <c r="I3" s="200">
        <v>3.0</v>
      </c>
      <c r="J3" s="200">
        <v>2.0</v>
      </c>
      <c r="L3" s="200">
        <v>13.0</v>
      </c>
      <c r="M3" s="200">
        <v>3.0</v>
      </c>
      <c r="N3" s="200">
        <v>3.0</v>
      </c>
      <c r="P3" s="199">
        <f t="shared" ref="P3:R3" si="1">(D3+H3+L3)/3</f>
        <v>12.66666667</v>
      </c>
      <c r="Q3" s="199">
        <f t="shared" si="1"/>
        <v>2.666666667</v>
      </c>
      <c r="R3" s="199">
        <f t="shared" si="1"/>
        <v>2.333333333</v>
      </c>
    </row>
    <row r="4">
      <c r="A4" s="198">
        <v>2.0</v>
      </c>
      <c r="B4" s="199">
        <f>CSE4098A_Spring2026_Grade!B6</f>
        <v>231014146</v>
      </c>
      <c r="C4" s="199" t="str">
        <f>CSE4098A_Spring2026_Grade!C6</f>
        <v>Tasneem Ahmed</v>
      </c>
      <c r="D4" s="200">
        <v>12.0</v>
      </c>
      <c r="E4" s="200">
        <v>2.0</v>
      </c>
      <c r="F4" s="200">
        <v>2.0</v>
      </c>
      <c r="H4" s="200">
        <v>13.0</v>
      </c>
      <c r="I4" s="200">
        <v>3.0</v>
      </c>
      <c r="J4" s="200">
        <v>2.0</v>
      </c>
      <c r="L4" s="200">
        <v>13.0</v>
      </c>
      <c r="M4" s="200">
        <v>3.0</v>
      </c>
      <c r="N4" s="200">
        <v>3.0</v>
      </c>
      <c r="P4" s="199">
        <f t="shared" ref="P4:R4" si="2">(D4+H4+L4)/3</f>
        <v>12.66666667</v>
      </c>
      <c r="Q4" s="199">
        <f t="shared" si="2"/>
        <v>2.666666667</v>
      </c>
      <c r="R4" s="199">
        <f t="shared" si="2"/>
        <v>2.333333333</v>
      </c>
    </row>
    <row r="5">
      <c r="A5" s="198">
        <v>3.0</v>
      </c>
      <c r="B5" s="199">
        <f>CSE4098A_Spring2026_Grade!B7</f>
        <v>231014006</v>
      </c>
      <c r="C5" s="199" t="str">
        <f>CSE4098A_Spring2026_Grade!C7</f>
        <v>Ibnul Haque Chowdhury</v>
      </c>
      <c r="D5" s="200">
        <v>12.0</v>
      </c>
      <c r="E5" s="200">
        <v>2.0</v>
      </c>
      <c r="F5" s="200">
        <v>2.0</v>
      </c>
      <c r="H5" s="200">
        <v>13.0</v>
      </c>
      <c r="I5" s="200">
        <v>3.0</v>
      </c>
      <c r="J5" s="200">
        <v>2.0</v>
      </c>
      <c r="L5" s="200">
        <v>13.0</v>
      </c>
      <c r="M5" s="200">
        <v>3.0</v>
      </c>
      <c r="N5" s="200">
        <v>3.0</v>
      </c>
      <c r="P5" s="199">
        <f t="shared" ref="P5:R5" si="3">(D5+H5+L5)/3</f>
        <v>12.66666667</v>
      </c>
      <c r="Q5" s="199">
        <f t="shared" si="3"/>
        <v>2.666666667</v>
      </c>
      <c r="R5" s="199">
        <f t="shared" si="3"/>
        <v>2.333333333</v>
      </c>
    </row>
    <row r="6">
      <c r="A6" s="198">
        <v>4.0</v>
      </c>
      <c r="B6" s="199">
        <f>CSE4098A_Spring2026_Grade!B8</f>
        <v>231014022</v>
      </c>
      <c r="C6" s="199" t="str">
        <f>CSE4098A_Spring2026_Grade!C8</f>
        <v>Rafsan Islam</v>
      </c>
      <c r="D6" s="200">
        <v>12.0</v>
      </c>
      <c r="E6" s="200">
        <v>2.0</v>
      </c>
      <c r="F6" s="200">
        <v>2.0</v>
      </c>
      <c r="H6" s="200">
        <v>13.0</v>
      </c>
      <c r="I6" s="200">
        <v>3.0</v>
      </c>
      <c r="J6" s="200">
        <v>2.0</v>
      </c>
      <c r="L6" s="200">
        <v>13.0</v>
      </c>
      <c r="M6" s="200">
        <v>3.0</v>
      </c>
      <c r="N6" s="200">
        <v>3.0</v>
      </c>
      <c r="P6" s="199">
        <f t="shared" ref="P6:R6" si="4">(D6+H6+L6)/3</f>
        <v>12.66666667</v>
      </c>
      <c r="Q6" s="199">
        <f t="shared" si="4"/>
        <v>2.666666667</v>
      </c>
      <c r="R6" s="199">
        <f t="shared" si="4"/>
        <v>2.333333333</v>
      </c>
    </row>
    <row r="7">
      <c r="A7" s="198">
        <v>5.0</v>
      </c>
      <c r="B7" s="199">
        <f>CSE4098A_Spring2026_Grade!B9</f>
        <v>231014042</v>
      </c>
      <c r="C7" s="199" t="str">
        <f>CSE4098A_Spring2026_Grade!C9</f>
        <v>Abir Akbar</v>
      </c>
      <c r="D7" s="200">
        <v>12.0</v>
      </c>
      <c r="E7" s="200">
        <v>2.0</v>
      </c>
      <c r="F7" s="200">
        <v>2.0</v>
      </c>
      <c r="H7" s="200">
        <v>13.0</v>
      </c>
      <c r="I7" s="200">
        <v>3.0</v>
      </c>
      <c r="J7" s="200">
        <v>2.0</v>
      </c>
      <c r="L7" s="200">
        <v>13.0</v>
      </c>
      <c r="M7" s="200">
        <v>3.0</v>
      </c>
      <c r="N7" s="200">
        <v>3.0</v>
      </c>
      <c r="P7" s="199">
        <f t="shared" ref="P7:R7" si="5">(D7+H7+L7)/3</f>
        <v>12.66666667</v>
      </c>
      <c r="Q7" s="199">
        <f t="shared" si="5"/>
        <v>2.666666667</v>
      </c>
      <c r="R7" s="199">
        <f t="shared" si="5"/>
        <v>2.333333333</v>
      </c>
    </row>
    <row r="8">
      <c r="A8" s="198">
        <v>6.0</v>
      </c>
      <c r="B8" s="199">
        <f>CSE4098A_Spring2026_Grade!B10</f>
        <v>232014128</v>
      </c>
      <c r="C8" s="199" t="str">
        <f>CSE4098A_Spring2026_Grade!C10</f>
        <v>Tonmoy Talukder</v>
      </c>
      <c r="D8" s="200">
        <v>12.0</v>
      </c>
      <c r="E8" s="200">
        <v>3.0</v>
      </c>
      <c r="F8" s="200">
        <v>2.0</v>
      </c>
      <c r="H8" s="200">
        <v>12.0</v>
      </c>
      <c r="I8" s="200">
        <v>3.0</v>
      </c>
      <c r="J8" s="200">
        <v>3.0</v>
      </c>
      <c r="L8" s="200">
        <v>14.0</v>
      </c>
      <c r="M8" s="200">
        <v>2.0</v>
      </c>
      <c r="N8" s="200">
        <v>3.0</v>
      </c>
      <c r="P8" s="199">
        <f t="shared" ref="P8:R8" si="6">(D8+H8+L8)/3</f>
        <v>12.66666667</v>
      </c>
      <c r="Q8" s="199">
        <f t="shared" si="6"/>
        <v>2.666666667</v>
      </c>
      <c r="R8" s="199">
        <f t="shared" si="6"/>
        <v>2.666666667</v>
      </c>
    </row>
    <row r="9">
      <c r="A9" s="198">
        <v>7.0</v>
      </c>
      <c r="B9" s="199">
        <f>CSE4098A_Spring2026_Grade!B11</f>
        <v>231014001</v>
      </c>
      <c r="C9" s="199" t="str">
        <f>CSE4098A_Spring2026_Grade!C11</f>
        <v>Md. Aminul Islam Rupak</v>
      </c>
      <c r="D9" s="200">
        <v>12.0</v>
      </c>
      <c r="E9" s="200">
        <v>3.0</v>
      </c>
      <c r="F9" s="200">
        <v>2.0</v>
      </c>
      <c r="H9" s="200">
        <v>12.0</v>
      </c>
      <c r="I9" s="200">
        <v>3.0</v>
      </c>
      <c r="J9" s="200">
        <v>3.0</v>
      </c>
      <c r="L9" s="200">
        <v>14.0</v>
      </c>
      <c r="M9" s="200">
        <v>2.0</v>
      </c>
      <c r="N9" s="200">
        <v>3.0</v>
      </c>
      <c r="P9" s="199">
        <f t="shared" ref="P9:R9" si="7">(D9+H9+L9)/3</f>
        <v>12.66666667</v>
      </c>
      <c r="Q9" s="199">
        <f t="shared" si="7"/>
        <v>2.666666667</v>
      </c>
      <c r="R9" s="199">
        <f t="shared" si="7"/>
        <v>2.666666667</v>
      </c>
    </row>
    <row r="10">
      <c r="A10" s="198">
        <v>8.0</v>
      </c>
      <c r="B10" s="199">
        <f>CSE4098A_Spring2026_Grade!B12</f>
        <v>223014100</v>
      </c>
      <c r="C10" s="199" t="str">
        <f>CSE4098A_Spring2026_Grade!C12</f>
        <v>Jannatul Tazree</v>
      </c>
      <c r="D10" s="200">
        <v>12.0</v>
      </c>
      <c r="E10" s="200">
        <v>3.0</v>
      </c>
      <c r="F10" s="200">
        <v>2.0</v>
      </c>
      <c r="H10" s="200">
        <v>12.0</v>
      </c>
      <c r="I10" s="200">
        <v>3.0</v>
      </c>
      <c r="J10" s="200">
        <v>3.0</v>
      </c>
      <c r="L10" s="200">
        <v>14.0</v>
      </c>
      <c r="M10" s="200">
        <v>2.0</v>
      </c>
      <c r="N10" s="200">
        <v>3.0</v>
      </c>
      <c r="P10" s="199">
        <f t="shared" ref="P10:R10" si="8">(D10+H10+L10)/3</f>
        <v>12.66666667</v>
      </c>
      <c r="Q10" s="199">
        <f t="shared" si="8"/>
        <v>2.666666667</v>
      </c>
      <c r="R10" s="199">
        <f t="shared" si="8"/>
        <v>2.666666667</v>
      </c>
    </row>
    <row r="11">
      <c r="A11" s="198">
        <v>9.0</v>
      </c>
      <c r="B11" s="199">
        <f>CSE4098A_Spring2026_Grade!B13</f>
        <v>232014003</v>
      </c>
      <c r="C11" s="199" t="str">
        <f>CSE4098A_Spring2026_Grade!C13</f>
        <v>Tasin Bin Mortoza</v>
      </c>
      <c r="D11" s="200">
        <v>12.0</v>
      </c>
      <c r="E11" s="200">
        <v>3.0</v>
      </c>
      <c r="F11" s="200">
        <v>2.0</v>
      </c>
      <c r="H11" s="200">
        <v>12.0</v>
      </c>
      <c r="I11" s="200">
        <v>3.0</v>
      </c>
      <c r="J11" s="200">
        <v>3.0</v>
      </c>
      <c r="L11" s="200">
        <v>14.0</v>
      </c>
      <c r="M11" s="200">
        <v>2.0</v>
      </c>
      <c r="N11" s="200">
        <v>3.0</v>
      </c>
      <c r="P11" s="199">
        <f t="shared" ref="P11:R11" si="9">(D11+H11+L11)/3</f>
        <v>12.66666667</v>
      </c>
      <c r="Q11" s="199">
        <f t="shared" si="9"/>
        <v>2.666666667</v>
      </c>
      <c r="R11" s="199">
        <f t="shared" si="9"/>
        <v>2.666666667</v>
      </c>
    </row>
    <row r="12">
      <c r="A12" s="198">
        <v>10.0</v>
      </c>
      <c r="B12" s="199">
        <f>CSE4098A_Spring2026_Grade!B14</f>
        <v>223014084</v>
      </c>
      <c r="C12" s="199" t="str">
        <f>CSE4098A_Spring2026_Grade!C14</f>
        <v>Mirza Mostafa Abrar</v>
      </c>
      <c r="D12" s="200">
        <v>14.0</v>
      </c>
      <c r="E12" s="200">
        <v>3.0</v>
      </c>
      <c r="F12" s="200">
        <v>2.0</v>
      </c>
      <c r="H12" s="200">
        <v>12.0</v>
      </c>
      <c r="I12" s="200">
        <v>1.0</v>
      </c>
      <c r="J12" s="200">
        <v>3.0</v>
      </c>
      <c r="L12" s="200">
        <v>12.0</v>
      </c>
      <c r="M12" s="200">
        <v>2.0</v>
      </c>
      <c r="N12" s="200">
        <v>3.0</v>
      </c>
      <c r="P12" s="199">
        <f t="shared" ref="P12:R12" si="10">(D12+H12+L12)/3</f>
        <v>12.66666667</v>
      </c>
      <c r="Q12" s="199">
        <f t="shared" si="10"/>
        <v>2</v>
      </c>
      <c r="R12" s="199">
        <f t="shared" si="10"/>
        <v>2.666666667</v>
      </c>
    </row>
    <row r="13">
      <c r="A13" s="198">
        <v>11.0</v>
      </c>
      <c r="B13" s="199">
        <f>CSE4098A_Spring2026_Grade!B15</f>
        <v>223014075</v>
      </c>
      <c r="C13" s="199" t="str">
        <f>CSE4098A_Spring2026_Grade!C15</f>
        <v>S M Rahnuma Apshara</v>
      </c>
      <c r="D13" s="200">
        <v>14.0</v>
      </c>
      <c r="E13" s="200">
        <v>3.0</v>
      </c>
      <c r="F13" s="200">
        <v>2.0</v>
      </c>
      <c r="H13" s="200">
        <v>12.0</v>
      </c>
      <c r="I13" s="200">
        <v>1.0</v>
      </c>
      <c r="J13" s="200">
        <v>3.0</v>
      </c>
      <c r="L13" s="200">
        <v>12.0</v>
      </c>
      <c r="M13" s="200">
        <v>2.0</v>
      </c>
      <c r="N13" s="200">
        <v>3.0</v>
      </c>
      <c r="P13" s="199">
        <f t="shared" ref="P13:R13" si="11">(D13+H13+L13)/3</f>
        <v>12.66666667</v>
      </c>
      <c r="Q13" s="199">
        <f t="shared" si="11"/>
        <v>2</v>
      </c>
      <c r="R13" s="199">
        <f t="shared" si="11"/>
        <v>2.666666667</v>
      </c>
    </row>
    <row r="14">
      <c r="A14" s="198">
        <v>12.0</v>
      </c>
      <c r="B14" s="199">
        <f>CSE4098A_Spring2026_Grade!B16</f>
        <v>223014108</v>
      </c>
      <c r="C14" s="199" t="str">
        <f>CSE4098A_Spring2026_Grade!C16</f>
        <v>Israt Islam</v>
      </c>
      <c r="D14" s="200">
        <v>14.0</v>
      </c>
      <c r="E14" s="200">
        <v>3.0</v>
      </c>
      <c r="F14" s="200">
        <v>2.0</v>
      </c>
      <c r="H14" s="200">
        <v>12.0</v>
      </c>
      <c r="I14" s="200">
        <v>1.0</v>
      </c>
      <c r="J14" s="200">
        <v>3.0</v>
      </c>
      <c r="L14" s="200">
        <v>12.0</v>
      </c>
      <c r="M14" s="200">
        <v>2.0</v>
      </c>
      <c r="N14" s="200">
        <v>3.0</v>
      </c>
      <c r="P14" s="199">
        <f t="shared" ref="P14:R14" si="12">(D14+H14+L14)/3</f>
        <v>12.66666667</v>
      </c>
      <c r="Q14" s="199">
        <f t="shared" si="12"/>
        <v>2</v>
      </c>
      <c r="R14" s="199">
        <f t="shared" si="12"/>
        <v>2.666666667</v>
      </c>
    </row>
    <row r="15">
      <c r="A15" s="198">
        <v>13.0</v>
      </c>
      <c r="B15" s="199">
        <f>CSE4098A_Spring2026_Grade!B17</f>
        <v>223014090</v>
      </c>
      <c r="C15" s="199" t="str">
        <f>CSE4098A_Spring2026_Grade!C17</f>
        <v>Shatabdee Chanda Shruti</v>
      </c>
      <c r="D15" s="200">
        <v>14.0</v>
      </c>
      <c r="E15" s="200">
        <v>3.0</v>
      </c>
      <c r="F15" s="200">
        <v>2.0</v>
      </c>
      <c r="H15" s="200">
        <v>12.0</v>
      </c>
      <c r="I15" s="200">
        <v>1.0</v>
      </c>
      <c r="J15" s="200">
        <v>3.0</v>
      </c>
      <c r="L15" s="200">
        <v>12.0</v>
      </c>
      <c r="M15" s="200">
        <v>2.0</v>
      </c>
      <c r="N15" s="200">
        <v>3.0</v>
      </c>
      <c r="P15" s="199">
        <f t="shared" ref="P15:R15" si="13">(D15+H15+L15)/3</f>
        <v>12.66666667</v>
      </c>
      <c r="Q15" s="199">
        <f t="shared" si="13"/>
        <v>2</v>
      </c>
      <c r="R15" s="199">
        <f t="shared" si="13"/>
        <v>2.666666667</v>
      </c>
    </row>
    <row r="16">
      <c r="A16" s="198">
        <v>14.0</v>
      </c>
      <c r="B16" s="199">
        <f>CSE4098A_Spring2026_Grade!B18</f>
        <v>223014024</v>
      </c>
      <c r="C16" s="199" t="str">
        <f>CSE4098A_Spring2026_Grade!C18</f>
        <v>Piyas Sarkar</v>
      </c>
      <c r="D16" s="200">
        <v>13.0</v>
      </c>
      <c r="E16" s="200">
        <v>3.0</v>
      </c>
      <c r="F16" s="200">
        <v>3.0</v>
      </c>
      <c r="H16" s="200">
        <v>13.0</v>
      </c>
      <c r="I16" s="200">
        <v>3.0</v>
      </c>
      <c r="J16" s="200">
        <v>3.0</v>
      </c>
      <c r="L16" s="200">
        <v>11.0</v>
      </c>
      <c r="M16" s="200">
        <v>2.0</v>
      </c>
      <c r="N16" s="200">
        <v>2.0</v>
      </c>
      <c r="P16" s="199">
        <f t="shared" ref="P16:R16" si="14">(D16+H16+L16)/3</f>
        <v>12.33333333</v>
      </c>
      <c r="Q16" s="199">
        <f t="shared" si="14"/>
        <v>2.666666667</v>
      </c>
      <c r="R16" s="199">
        <f t="shared" si="14"/>
        <v>2.666666667</v>
      </c>
    </row>
    <row r="17">
      <c r="A17" s="198">
        <v>15.0</v>
      </c>
      <c r="B17" s="199">
        <f>CSE4098A_Spring2026_Grade!B19</f>
        <v>223014112</v>
      </c>
      <c r="C17" s="199" t="str">
        <f>CSE4098A_Spring2026_Grade!C19</f>
        <v>Md. Mahmuduzzaman Mollah Rabbee</v>
      </c>
      <c r="D17" s="200">
        <v>13.0</v>
      </c>
      <c r="E17" s="200">
        <v>3.0</v>
      </c>
      <c r="F17" s="200">
        <v>3.0</v>
      </c>
      <c r="H17" s="200">
        <v>13.0</v>
      </c>
      <c r="I17" s="200">
        <v>3.0</v>
      </c>
      <c r="J17" s="200">
        <v>3.0</v>
      </c>
      <c r="L17" s="200">
        <v>11.0</v>
      </c>
      <c r="M17" s="200">
        <v>2.0</v>
      </c>
      <c r="N17" s="200">
        <v>2.0</v>
      </c>
      <c r="P17" s="199">
        <f t="shared" ref="P17:R17" si="15">(D17+H17+L17)/3</f>
        <v>12.33333333</v>
      </c>
      <c r="Q17" s="199">
        <f t="shared" si="15"/>
        <v>2.666666667</v>
      </c>
      <c r="R17" s="199">
        <f t="shared" si="15"/>
        <v>2.666666667</v>
      </c>
    </row>
    <row r="18">
      <c r="A18" s="198">
        <v>16.0</v>
      </c>
      <c r="B18" s="199">
        <f>CSE4098A_Spring2026_Grade!B20</f>
        <v>231014136</v>
      </c>
      <c r="C18" s="199" t="str">
        <f>CSE4098A_Spring2026_Grade!C20</f>
        <v>Md. Tasdiqur Rahman Khan</v>
      </c>
      <c r="D18" s="200">
        <v>13.0</v>
      </c>
      <c r="E18" s="200">
        <v>3.0</v>
      </c>
      <c r="F18" s="200">
        <v>3.0</v>
      </c>
      <c r="H18" s="200">
        <v>13.0</v>
      </c>
      <c r="I18" s="200">
        <v>3.0</v>
      </c>
      <c r="J18" s="200">
        <v>3.0</v>
      </c>
      <c r="L18" s="200">
        <v>11.0</v>
      </c>
      <c r="M18" s="200">
        <v>2.0</v>
      </c>
      <c r="N18" s="200">
        <v>2.0</v>
      </c>
      <c r="P18" s="199">
        <f t="shared" ref="P18:R18" si="16">(D18+H18+L18)/3</f>
        <v>12.33333333</v>
      </c>
      <c r="Q18" s="199">
        <f t="shared" si="16"/>
        <v>2.666666667</v>
      </c>
      <c r="R18" s="199">
        <f t="shared" si="16"/>
        <v>2.666666667</v>
      </c>
    </row>
    <row r="19">
      <c r="A19" s="198">
        <v>17.0</v>
      </c>
      <c r="B19" s="199">
        <f>CSE4098A_Spring2026_Grade!B21</f>
        <v>223014206</v>
      </c>
      <c r="C19" s="199" t="str">
        <f>CSE4098A_Spring2026_Grade!C21</f>
        <v>Rafia Haque Arpita</v>
      </c>
      <c r="D19" s="200">
        <v>13.0</v>
      </c>
      <c r="E19" s="200">
        <v>3.0</v>
      </c>
      <c r="F19" s="200">
        <v>3.0</v>
      </c>
      <c r="H19" s="200">
        <v>13.0</v>
      </c>
      <c r="I19" s="200">
        <v>3.0</v>
      </c>
      <c r="J19" s="200">
        <v>3.0</v>
      </c>
      <c r="L19" s="200">
        <v>11.0</v>
      </c>
      <c r="M19" s="200">
        <v>2.0</v>
      </c>
      <c r="N19" s="200">
        <v>2.0</v>
      </c>
      <c r="P19" s="199">
        <f t="shared" ref="P19:R19" si="17">(D19+H19+L19)/3</f>
        <v>12.33333333</v>
      </c>
      <c r="Q19" s="199">
        <f t="shared" si="17"/>
        <v>2.666666667</v>
      </c>
      <c r="R19" s="199">
        <f t="shared" si="17"/>
        <v>2.666666667</v>
      </c>
    </row>
    <row r="20">
      <c r="A20" s="198">
        <v>18.0</v>
      </c>
      <c r="B20" s="199">
        <f>CSE4098A_Spring2026_Grade!B22</f>
        <v>231014010</v>
      </c>
      <c r="C20" s="199" t="str">
        <f>CSE4098A_Spring2026_Grade!C22</f>
        <v>Mahmudul Islam Shajib</v>
      </c>
      <c r="D20" s="200">
        <v>12.0</v>
      </c>
      <c r="E20" s="200">
        <v>3.0</v>
      </c>
      <c r="F20" s="200">
        <v>2.0</v>
      </c>
      <c r="H20" s="200">
        <v>15.0</v>
      </c>
      <c r="I20" s="200">
        <v>3.0</v>
      </c>
      <c r="J20" s="200">
        <v>3.0</v>
      </c>
      <c r="L20" s="200">
        <v>13.0</v>
      </c>
      <c r="M20" s="200">
        <v>3.0</v>
      </c>
      <c r="N20" s="200">
        <v>2.0</v>
      </c>
      <c r="P20" s="199">
        <f t="shared" ref="P20:R20" si="18">(D20+H20+L20)/3</f>
        <v>13.33333333</v>
      </c>
      <c r="Q20" s="199">
        <f t="shared" si="18"/>
        <v>3</v>
      </c>
      <c r="R20" s="199">
        <f t="shared" si="18"/>
        <v>2.333333333</v>
      </c>
    </row>
    <row r="21">
      <c r="A21" s="198">
        <v>19.0</v>
      </c>
      <c r="B21" s="199">
        <f>CSE4098A_Spring2026_Grade!B23</f>
        <v>231014082</v>
      </c>
      <c r="C21" s="199" t="str">
        <f>CSE4098A_Spring2026_Grade!C23</f>
        <v>Mst. Fahmida Jesmin</v>
      </c>
      <c r="D21" s="200">
        <v>12.0</v>
      </c>
      <c r="E21" s="200">
        <v>3.0</v>
      </c>
      <c r="F21" s="200">
        <v>2.0</v>
      </c>
      <c r="H21" s="200">
        <v>15.0</v>
      </c>
      <c r="I21" s="200">
        <v>3.0</v>
      </c>
      <c r="J21" s="200">
        <v>3.0</v>
      </c>
      <c r="L21" s="200">
        <v>13.0</v>
      </c>
      <c r="M21" s="200">
        <v>3.0</v>
      </c>
      <c r="N21" s="200">
        <v>2.0</v>
      </c>
      <c r="P21" s="199">
        <f t="shared" ref="P21:R21" si="19">(D21+H21+L21)/3</f>
        <v>13.33333333</v>
      </c>
      <c r="Q21" s="199">
        <f t="shared" si="19"/>
        <v>3</v>
      </c>
      <c r="R21" s="199">
        <f t="shared" si="19"/>
        <v>2.333333333</v>
      </c>
    </row>
    <row r="22">
      <c r="A22" s="198">
        <v>20.0</v>
      </c>
      <c r="B22" s="199">
        <f>CSE4098A_Spring2026_Grade!B24</f>
        <v>231014133</v>
      </c>
      <c r="C22" s="199" t="str">
        <f>CSE4098A_Spring2026_Grade!C24</f>
        <v>Md. Eakramul Karim Tarik</v>
      </c>
      <c r="D22" s="200">
        <v>12.0</v>
      </c>
      <c r="E22" s="200">
        <v>3.0</v>
      </c>
      <c r="F22" s="200">
        <v>2.0</v>
      </c>
      <c r="H22" s="200">
        <v>15.0</v>
      </c>
      <c r="I22" s="200">
        <v>3.0</v>
      </c>
      <c r="J22" s="200">
        <v>3.0</v>
      </c>
      <c r="L22" s="200">
        <v>13.0</v>
      </c>
      <c r="M22" s="200">
        <v>3.0</v>
      </c>
      <c r="N22" s="200">
        <v>2.0</v>
      </c>
      <c r="P22" s="199">
        <f t="shared" ref="P22:R22" si="20">(D22+H22+L22)/3</f>
        <v>13.33333333</v>
      </c>
      <c r="Q22" s="199">
        <f t="shared" si="20"/>
        <v>3</v>
      </c>
      <c r="R22" s="199">
        <f t="shared" si="20"/>
        <v>2.333333333</v>
      </c>
    </row>
    <row r="23">
      <c r="A23" s="198">
        <v>21.0</v>
      </c>
      <c r="B23" s="199">
        <f>CSE4098A_Spring2026_Grade!B25</f>
        <v>231014120</v>
      </c>
      <c r="C23" s="199" t="str">
        <f>CSE4098A_Spring2026_Grade!C25</f>
        <v>Md. Abir Hosen</v>
      </c>
      <c r="D23" s="200">
        <v>14.0</v>
      </c>
      <c r="E23" s="200">
        <v>3.0</v>
      </c>
      <c r="F23" s="200">
        <v>2.0</v>
      </c>
      <c r="H23" s="200">
        <v>10.0</v>
      </c>
      <c r="I23" s="200">
        <v>2.0</v>
      </c>
      <c r="J23" s="200">
        <v>0.0</v>
      </c>
      <c r="L23" s="200">
        <v>14.0</v>
      </c>
      <c r="M23" s="200">
        <v>3.0</v>
      </c>
      <c r="N23" s="200">
        <v>3.0</v>
      </c>
      <c r="P23" s="199">
        <f t="shared" ref="P23:R23" si="21">(D23+H23+L23)/3</f>
        <v>12.66666667</v>
      </c>
      <c r="Q23" s="199">
        <f t="shared" si="21"/>
        <v>2.666666667</v>
      </c>
      <c r="R23" s="199">
        <f t="shared" si="21"/>
        <v>1.666666667</v>
      </c>
    </row>
    <row r="24">
      <c r="A24" s="198">
        <v>22.0</v>
      </c>
      <c r="B24" s="199">
        <f>CSE4098A_Spring2026_Grade!B26</f>
        <v>231014096</v>
      </c>
      <c r="C24" s="199" t="str">
        <f>CSE4098A_Spring2026_Grade!C26</f>
        <v>Md. Rahat Hawlader</v>
      </c>
      <c r="D24" s="200">
        <v>14.0</v>
      </c>
      <c r="E24" s="200">
        <v>3.0</v>
      </c>
      <c r="F24" s="200">
        <v>2.0</v>
      </c>
      <c r="H24" s="200">
        <v>10.0</v>
      </c>
      <c r="I24" s="200">
        <v>2.0</v>
      </c>
      <c r="J24" s="200">
        <v>0.0</v>
      </c>
      <c r="L24" s="200">
        <v>14.0</v>
      </c>
      <c r="M24" s="200">
        <v>3.0</v>
      </c>
      <c r="N24" s="200">
        <v>3.0</v>
      </c>
      <c r="P24" s="199">
        <f t="shared" ref="P24:R24" si="22">(D24+H24+L24)/3</f>
        <v>12.66666667</v>
      </c>
      <c r="Q24" s="199">
        <f t="shared" si="22"/>
        <v>2.666666667</v>
      </c>
      <c r="R24" s="199">
        <f t="shared" si="22"/>
        <v>1.666666667</v>
      </c>
    </row>
    <row r="25">
      <c r="A25" s="198">
        <v>23.0</v>
      </c>
      <c r="B25" s="199">
        <f>CSE4098A_Spring2026_Grade!B27</f>
        <v>231014014</v>
      </c>
      <c r="C25" s="199" t="str">
        <f>CSE4098A_Spring2026_Grade!C27</f>
        <v>Shahriar Alam Sazzad</v>
      </c>
      <c r="D25" s="200">
        <v>14.0</v>
      </c>
      <c r="E25" s="200">
        <v>3.0</v>
      </c>
      <c r="F25" s="200">
        <v>2.0</v>
      </c>
      <c r="H25" s="200">
        <v>10.0</v>
      </c>
      <c r="I25" s="200">
        <v>2.0</v>
      </c>
      <c r="J25" s="200">
        <v>0.0</v>
      </c>
      <c r="L25" s="200">
        <v>14.0</v>
      </c>
      <c r="M25" s="200">
        <v>3.0</v>
      </c>
      <c r="N25" s="200">
        <v>3.0</v>
      </c>
      <c r="P25" s="199">
        <f t="shared" ref="P25:R25" si="23">(D25+H25+L25)/3</f>
        <v>12.66666667</v>
      </c>
      <c r="Q25" s="199">
        <f t="shared" si="23"/>
        <v>2.666666667</v>
      </c>
      <c r="R25" s="199">
        <f t="shared" si="23"/>
        <v>1.666666667</v>
      </c>
    </row>
    <row r="26">
      <c r="A26" s="198">
        <v>24.0</v>
      </c>
      <c r="B26" s="199">
        <f>CSE4098A_Spring2026_Grade!B28</f>
        <v>231014018</v>
      </c>
      <c r="C26" s="199" t="str">
        <f>CSE4098A_Spring2026_Grade!C28</f>
        <v>Zubaida Akter Prova</v>
      </c>
      <c r="D26" s="200">
        <v>14.0</v>
      </c>
      <c r="E26" s="200">
        <v>3.0</v>
      </c>
      <c r="F26" s="200">
        <v>2.0</v>
      </c>
      <c r="H26" s="200">
        <v>10.0</v>
      </c>
      <c r="I26" s="200">
        <v>2.0</v>
      </c>
      <c r="J26" s="200">
        <v>0.0</v>
      </c>
      <c r="L26" s="200">
        <v>14.0</v>
      </c>
      <c r="M26" s="200">
        <v>3.0</v>
      </c>
      <c r="N26" s="200">
        <v>3.0</v>
      </c>
      <c r="P26" s="199">
        <f t="shared" ref="P26:R26" si="24">(D26+H26+L26)/3</f>
        <v>12.66666667</v>
      </c>
      <c r="Q26" s="199">
        <f t="shared" si="24"/>
        <v>2.666666667</v>
      </c>
      <c r="R26" s="199">
        <f t="shared" si="24"/>
        <v>1.666666667</v>
      </c>
    </row>
    <row r="27">
      <c r="A27" s="198">
        <v>25.0</v>
      </c>
      <c r="B27" s="199">
        <f>CSE4098A_Spring2026_Grade!B29</f>
        <v>231014052</v>
      </c>
      <c r="C27" s="199" t="str">
        <f>CSE4098A_Spring2026_Grade!C29</f>
        <v>Md. Shaidur Rahman</v>
      </c>
      <c r="D27" s="200">
        <v>9.0</v>
      </c>
      <c r="E27" s="200">
        <v>1.0</v>
      </c>
      <c r="F27" s="200">
        <v>1.0</v>
      </c>
      <c r="H27" s="200">
        <v>6.0</v>
      </c>
      <c r="I27" s="200">
        <v>1.0</v>
      </c>
      <c r="J27" s="200">
        <v>1.0</v>
      </c>
      <c r="L27" s="200">
        <v>6.0</v>
      </c>
      <c r="M27" s="200">
        <v>1.0</v>
      </c>
      <c r="N27" s="200">
        <v>1.0</v>
      </c>
      <c r="P27" s="199">
        <f t="shared" ref="P27:R27" si="25">(D27+H27+L27)/3</f>
        <v>7</v>
      </c>
      <c r="Q27" s="199">
        <f t="shared" si="25"/>
        <v>1</v>
      </c>
      <c r="R27" s="199">
        <f t="shared" si="25"/>
        <v>1</v>
      </c>
    </row>
    <row r="28">
      <c r="A28" s="198">
        <v>26.0</v>
      </c>
      <c r="B28" s="199">
        <f>CSE4098A_Spring2026_Grade!B30</f>
        <v>231014131</v>
      </c>
      <c r="C28" s="199" t="str">
        <f>CSE4098A_Spring2026_Grade!C30</f>
        <v>Sumia Sharmin Sinthia</v>
      </c>
      <c r="D28" s="200">
        <v>9.0</v>
      </c>
      <c r="E28" s="200">
        <v>1.0</v>
      </c>
      <c r="F28" s="200">
        <v>1.0</v>
      </c>
      <c r="H28" s="200">
        <v>6.0</v>
      </c>
      <c r="I28" s="200">
        <v>1.0</v>
      </c>
      <c r="J28" s="200">
        <v>1.0</v>
      </c>
      <c r="L28" s="200">
        <v>6.0</v>
      </c>
      <c r="M28" s="200">
        <v>1.0</v>
      </c>
      <c r="N28" s="200">
        <v>1.0</v>
      </c>
      <c r="P28" s="199">
        <f t="shared" ref="P28:R28" si="26">(D28+H28+L28)/3</f>
        <v>7</v>
      </c>
      <c r="Q28" s="199">
        <f t="shared" si="26"/>
        <v>1</v>
      </c>
      <c r="R28" s="199">
        <f t="shared" si="26"/>
        <v>1</v>
      </c>
    </row>
    <row r="29">
      <c r="A29" s="198">
        <v>27.0</v>
      </c>
      <c r="B29" s="199">
        <f>CSE4098A_Spring2026_Grade!B31</f>
        <v>221014109</v>
      </c>
      <c r="C29" s="199" t="str">
        <f>CSE4098A_Spring2026_Grade!C31</f>
        <v>Maharun Nessa Akhi</v>
      </c>
      <c r="D29" s="200">
        <v>9.0</v>
      </c>
      <c r="E29" s="200">
        <v>1.0</v>
      </c>
      <c r="F29" s="200">
        <v>1.0</v>
      </c>
      <c r="H29" s="200">
        <v>6.0</v>
      </c>
      <c r="I29" s="200">
        <v>1.0</v>
      </c>
      <c r="J29" s="200">
        <v>1.0</v>
      </c>
      <c r="L29" s="200">
        <v>6.0</v>
      </c>
      <c r="M29" s="200">
        <v>1.0</v>
      </c>
      <c r="N29" s="200">
        <v>1.0</v>
      </c>
      <c r="P29" s="199">
        <f t="shared" ref="P29:R29" si="27">(D29+H29+L29)/3</f>
        <v>7</v>
      </c>
      <c r="Q29" s="199">
        <f t="shared" si="27"/>
        <v>1</v>
      </c>
      <c r="R29" s="199">
        <f t="shared" si="27"/>
        <v>1</v>
      </c>
    </row>
    <row r="30">
      <c r="A30" s="198">
        <v>28.0</v>
      </c>
      <c r="B30" s="199">
        <f>CSE4098A_Spring2026_Grade!B32</f>
        <v>223014088</v>
      </c>
      <c r="C30" s="199" t="str">
        <f>CSE4098A_Spring2026_Grade!C32</f>
        <v>Md. Sakib Ishrak</v>
      </c>
      <c r="D30" s="200">
        <v>9.0</v>
      </c>
      <c r="E30" s="200">
        <v>1.0</v>
      </c>
      <c r="F30" s="200">
        <v>1.0</v>
      </c>
      <c r="H30" s="200">
        <v>6.0</v>
      </c>
      <c r="I30" s="200">
        <v>1.0</v>
      </c>
      <c r="J30" s="200">
        <v>1.0</v>
      </c>
      <c r="L30" s="200">
        <v>6.0</v>
      </c>
      <c r="M30" s="200">
        <v>1.0</v>
      </c>
      <c r="N30" s="200">
        <v>1.0</v>
      </c>
      <c r="P30" s="199">
        <f t="shared" ref="P30:R30" si="28">(D30+H30+L30)/3</f>
        <v>7</v>
      </c>
      <c r="Q30" s="199">
        <f t="shared" si="28"/>
        <v>1</v>
      </c>
      <c r="R30" s="199">
        <f t="shared" si="28"/>
        <v>1</v>
      </c>
    </row>
    <row r="31">
      <c r="A31" s="198">
        <v>29.0</v>
      </c>
      <c r="B31" s="199">
        <f>CSE4098A_Spring2026_Grade!B33</f>
        <v>231014017</v>
      </c>
      <c r="C31" s="199" t="str">
        <f>CSE4098A_Spring2026_Grade!C33</f>
        <v>Md. Jahid Ahamed Jihad</v>
      </c>
      <c r="D31" s="200">
        <v>13.0</v>
      </c>
      <c r="E31" s="200">
        <v>3.0</v>
      </c>
      <c r="F31" s="200">
        <v>3.0</v>
      </c>
      <c r="H31" s="200">
        <v>10.0</v>
      </c>
      <c r="I31" s="200">
        <v>2.0</v>
      </c>
      <c r="J31" s="200">
        <v>2.0</v>
      </c>
      <c r="L31" s="200">
        <v>13.0</v>
      </c>
      <c r="M31" s="200">
        <v>3.0</v>
      </c>
      <c r="N31" s="200">
        <v>3.0</v>
      </c>
      <c r="P31" s="199">
        <f t="shared" ref="P31:R31" si="29">(D31+H31+L31)/3</f>
        <v>12</v>
      </c>
      <c r="Q31" s="199">
        <f t="shared" si="29"/>
        <v>2.666666667</v>
      </c>
      <c r="R31" s="199">
        <f t="shared" si="29"/>
        <v>2.666666667</v>
      </c>
    </row>
    <row r="32">
      <c r="A32" s="198">
        <v>30.0</v>
      </c>
      <c r="B32" s="199">
        <f>CSE4098A_Spring2026_Grade!B34</f>
        <v>231014115</v>
      </c>
      <c r="C32" s="199" t="str">
        <f>CSE4098A_Spring2026_Grade!C34</f>
        <v>Iftiker Jahid Moyshun</v>
      </c>
      <c r="D32" s="200">
        <v>13.0</v>
      </c>
      <c r="E32" s="200">
        <v>3.0</v>
      </c>
      <c r="F32" s="200">
        <v>3.0</v>
      </c>
      <c r="H32" s="200">
        <v>10.0</v>
      </c>
      <c r="I32" s="200">
        <v>2.0</v>
      </c>
      <c r="J32" s="200">
        <v>2.0</v>
      </c>
      <c r="L32" s="200">
        <v>13.0</v>
      </c>
      <c r="M32" s="200">
        <v>3.0</v>
      </c>
      <c r="N32" s="200">
        <v>3.0</v>
      </c>
      <c r="P32" s="199">
        <f t="shared" ref="P32:R32" si="30">(D32+H32+L32)/3</f>
        <v>12</v>
      </c>
      <c r="Q32" s="199">
        <f t="shared" si="30"/>
        <v>2.666666667</v>
      </c>
      <c r="R32" s="199">
        <f t="shared" si="30"/>
        <v>2.666666667</v>
      </c>
    </row>
    <row r="33">
      <c r="A33" s="198">
        <v>31.0</v>
      </c>
      <c r="B33" s="199">
        <f>CSE4098A_Spring2026_Grade!B35</f>
        <v>231014151</v>
      </c>
      <c r="C33" s="199" t="str">
        <f>CSE4098A_Spring2026_Grade!C35</f>
        <v>Hasan Uddin Chowdhury</v>
      </c>
      <c r="D33" s="200">
        <v>13.0</v>
      </c>
      <c r="E33" s="200">
        <v>3.0</v>
      </c>
      <c r="F33" s="200">
        <v>3.0</v>
      </c>
      <c r="H33" s="200">
        <v>10.0</v>
      </c>
      <c r="I33" s="200">
        <v>2.0</v>
      </c>
      <c r="J33" s="200">
        <v>2.0</v>
      </c>
      <c r="L33" s="200">
        <v>13.0</v>
      </c>
      <c r="M33" s="200">
        <v>3.0</v>
      </c>
      <c r="N33" s="200">
        <v>3.0</v>
      </c>
      <c r="P33" s="199">
        <f t="shared" ref="P33:R33" si="31">(D33+H33+L33)/3</f>
        <v>12</v>
      </c>
      <c r="Q33" s="199">
        <f t="shared" si="31"/>
        <v>2.666666667</v>
      </c>
      <c r="R33" s="199">
        <f t="shared" si="31"/>
        <v>2.666666667</v>
      </c>
    </row>
    <row r="34">
      <c r="A34" s="198">
        <v>32.0</v>
      </c>
      <c r="B34" s="199">
        <f>CSE4098A_Spring2026_Grade!B36</f>
        <v>231014003</v>
      </c>
      <c r="C34" s="199" t="str">
        <f>CSE4098A_Spring2026_Grade!C36</f>
        <v>Md. Arfan Alam</v>
      </c>
      <c r="D34" s="200">
        <v>13.0</v>
      </c>
      <c r="E34" s="200">
        <v>3.0</v>
      </c>
      <c r="F34" s="200">
        <v>3.0</v>
      </c>
      <c r="H34" s="200">
        <v>10.0</v>
      </c>
      <c r="I34" s="200">
        <v>2.0</v>
      </c>
      <c r="J34" s="200">
        <v>2.0</v>
      </c>
      <c r="L34" s="200">
        <v>13.0</v>
      </c>
      <c r="M34" s="200">
        <v>3.0</v>
      </c>
      <c r="N34" s="200">
        <v>3.0</v>
      </c>
      <c r="P34" s="199">
        <f t="shared" ref="P34:R34" si="32">(D34+H34+L34)/3</f>
        <v>12</v>
      </c>
      <c r="Q34" s="199">
        <f t="shared" si="32"/>
        <v>2.666666667</v>
      </c>
      <c r="R34" s="199">
        <f t="shared" si="32"/>
        <v>2.666666667</v>
      </c>
    </row>
    <row r="35">
      <c r="A35" s="198">
        <v>33.0</v>
      </c>
      <c r="B35" s="199">
        <f>CSE4098A_Spring2026_Grade!B37</f>
        <v>231014147</v>
      </c>
      <c r="C35" s="199" t="str">
        <f>CSE4098A_Spring2026_Grade!C37</f>
        <v>Asif Ahmed</v>
      </c>
      <c r="D35" s="200">
        <v>13.0</v>
      </c>
      <c r="E35" s="200">
        <v>3.0</v>
      </c>
      <c r="F35" s="200">
        <v>3.0</v>
      </c>
      <c r="H35" s="200">
        <v>10.0</v>
      </c>
      <c r="I35" s="200">
        <v>2.0</v>
      </c>
      <c r="J35" s="200">
        <v>2.0</v>
      </c>
      <c r="L35" s="200">
        <v>13.0</v>
      </c>
      <c r="M35" s="200">
        <v>3.0</v>
      </c>
      <c r="N35" s="200">
        <v>3.0</v>
      </c>
      <c r="P35" s="199">
        <f t="shared" ref="P35:R35" si="33">(D35+H35+L35)/3</f>
        <v>12</v>
      </c>
      <c r="Q35" s="199">
        <f t="shared" si="33"/>
        <v>2.666666667</v>
      </c>
      <c r="R35" s="199">
        <f t="shared" si="33"/>
        <v>2.666666667</v>
      </c>
    </row>
    <row r="36">
      <c r="A36" s="198">
        <v>34.0</v>
      </c>
      <c r="B36" s="199">
        <f>CSE4098A_Spring2026_Grade!B38</f>
        <v>213014010</v>
      </c>
      <c r="C36" s="199" t="str">
        <f>CSE4098A_Spring2026_Grade!C38</f>
        <v>Mozahedur Nur Nishanul Niloy</v>
      </c>
      <c r="D36" s="200">
        <v>7.0</v>
      </c>
      <c r="E36" s="200">
        <v>1.0</v>
      </c>
      <c r="F36" s="200">
        <v>1.0</v>
      </c>
      <c r="H36" s="200">
        <v>8.0</v>
      </c>
      <c r="I36" s="200">
        <v>1.0</v>
      </c>
      <c r="J36" s="200">
        <v>1.0</v>
      </c>
      <c r="L36" s="200">
        <v>12.0</v>
      </c>
      <c r="M36" s="200">
        <v>3.0</v>
      </c>
      <c r="N36" s="200">
        <v>3.0</v>
      </c>
      <c r="P36" s="199">
        <f t="shared" ref="P36:R36" si="34">(D36+H36+L36)/3</f>
        <v>9</v>
      </c>
      <c r="Q36" s="199">
        <f t="shared" si="34"/>
        <v>1.666666667</v>
      </c>
      <c r="R36" s="199">
        <f t="shared" si="34"/>
        <v>1.666666667</v>
      </c>
    </row>
    <row r="37">
      <c r="A37" s="198">
        <v>35.0</v>
      </c>
      <c r="B37" s="199">
        <f>CSE4098A_Spring2026_Grade!B39</f>
        <v>221014096</v>
      </c>
      <c r="C37" s="199" t="str">
        <f>CSE4098A_Spring2026_Grade!C39</f>
        <v>Md. Nasimuzzaman Setu</v>
      </c>
      <c r="D37" s="200">
        <v>7.0</v>
      </c>
      <c r="E37" s="200">
        <v>1.0</v>
      </c>
      <c r="F37" s="200">
        <v>1.0</v>
      </c>
      <c r="H37" s="200">
        <v>8.0</v>
      </c>
      <c r="I37" s="200">
        <v>1.0</v>
      </c>
      <c r="J37" s="200">
        <v>1.0</v>
      </c>
      <c r="L37" s="200">
        <v>12.0</v>
      </c>
      <c r="M37" s="200">
        <v>3.0</v>
      </c>
      <c r="N37" s="200">
        <v>3.0</v>
      </c>
      <c r="P37" s="199">
        <f t="shared" ref="P37:R37" si="35">(D37+H37+L37)/3</f>
        <v>9</v>
      </c>
      <c r="Q37" s="199">
        <f t="shared" si="35"/>
        <v>1.666666667</v>
      </c>
      <c r="R37" s="199">
        <f t="shared" si="35"/>
        <v>1.666666667</v>
      </c>
    </row>
    <row r="38">
      <c r="A38" s="198">
        <v>36.0</v>
      </c>
      <c r="B38" s="199">
        <f>CSE4098A_Spring2026_Grade!B40</f>
        <v>221014061</v>
      </c>
      <c r="C38" s="199" t="str">
        <f>CSE4098A_Spring2026_Grade!C40</f>
        <v>Mirazul Islam Turag</v>
      </c>
      <c r="D38" s="200">
        <v>7.0</v>
      </c>
      <c r="E38" s="200">
        <v>1.0</v>
      </c>
      <c r="F38" s="200">
        <v>1.0</v>
      </c>
      <c r="H38" s="200">
        <v>8.0</v>
      </c>
      <c r="I38" s="200">
        <v>1.0</v>
      </c>
      <c r="J38" s="200">
        <v>1.0</v>
      </c>
      <c r="L38" s="200">
        <v>12.0</v>
      </c>
      <c r="M38" s="200">
        <v>3.0</v>
      </c>
      <c r="N38" s="200">
        <v>3.0</v>
      </c>
      <c r="P38" s="199">
        <f t="shared" ref="P38:R38" si="36">(D38+H38+L38)/3</f>
        <v>9</v>
      </c>
      <c r="Q38" s="199">
        <f t="shared" si="36"/>
        <v>1.666666667</v>
      </c>
      <c r="R38" s="199">
        <f t="shared" si="36"/>
        <v>1.666666667</v>
      </c>
    </row>
    <row r="39">
      <c r="A39" s="198">
        <v>37.0</v>
      </c>
      <c r="B39" s="199">
        <f>CSE4098A_Spring2026_Grade!B41</f>
        <v>221014087</v>
      </c>
      <c r="C39" s="199" t="str">
        <f>CSE4098A_Spring2026_Grade!C41</f>
        <v>Shahriar Al Shihab</v>
      </c>
      <c r="D39" s="200">
        <v>7.0</v>
      </c>
      <c r="E39" s="200">
        <v>1.0</v>
      </c>
      <c r="F39" s="200">
        <v>1.0</v>
      </c>
      <c r="H39" s="200">
        <v>8.0</v>
      </c>
      <c r="I39" s="200">
        <v>1.0</v>
      </c>
      <c r="J39" s="200">
        <v>1.0</v>
      </c>
      <c r="L39" s="200">
        <v>12.0</v>
      </c>
      <c r="M39" s="200">
        <v>3.0</v>
      </c>
      <c r="N39" s="200">
        <v>3.0</v>
      </c>
      <c r="P39" s="199">
        <f t="shared" ref="P39:R39" si="37">(D39+H39+L39)/3</f>
        <v>9</v>
      </c>
      <c r="Q39" s="199">
        <f t="shared" si="37"/>
        <v>1.666666667</v>
      </c>
      <c r="R39" s="199">
        <f t="shared" si="37"/>
        <v>1.666666667</v>
      </c>
    </row>
    <row r="40">
      <c r="A40" s="198">
        <v>38.0</v>
      </c>
      <c r="B40" s="199">
        <f>CSE4098A_Spring2026_Grade!B42</f>
        <v>212014010</v>
      </c>
      <c r="C40" s="199" t="str">
        <f>CSE4098A_Spring2026_Grade!C42</f>
        <v>Md. Ayman Hasan</v>
      </c>
      <c r="D40" s="200">
        <v>5.0</v>
      </c>
      <c r="E40" s="200">
        <v>1.0</v>
      </c>
      <c r="F40" s="200">
        <v>1.0</v>
      </c>
      <c r="H40" s="200">
        <v>9.0</v>
      </c>
      <c r="I40" s="200">
        <v>2.0</v>
      </c>
      <c r="J40" s="200">
        <v>2.0</v>
      </c>
      <c r="L40" s="200">
        <v>13.0</v>
      </c>
      <c r="M40" s="200">
        <v>3.0</v>
      </c>
      <c r="N40" s="200">
        <v>3.0</v>
      </c>
      <c r="P40" s="199">
        <f t="shared" ref="P40:R40" si="38">(D40+H40+L40)/3</f>
        <v>9</v>
      </c>
      <c r="Q40" s="199">
        <f t="shared" si="38"/>
        <v>2</v>
      </c>
      <c r="R40" s="199">
        <f t="shared" si="38"/>
        <v>2</v>
      </c>
    </row>
    <row r="41">
      <c r="A41" s="198">
        <v>39.0</v>
      </c>
      <c r="B41" s="199">
        <f>CSE4098A_Spring2026_Grade!B43</f>
        <v>213014056</v>
      </c>
      <c r="C41" s="199" t="str">
        <f>CSE4098A_Spring2026_Grade!C43</f>
        <v>Shovon Dip Karmaker</v>
      </c>
      <c r="D41" s="200">
        <v>5.0</v>
      </c>
      <c r="E41" s="200">
        <v>1.0</v>
      </c>
      <c r="F41" s="200">
        <v>1.0</v>
      </c>
      <c r="H41" s="200">
        <v>9.0</v>
      </c>
      <c r="I41" s="200">
        <v>2.0</v>
      </c>
      <c r="J41" s="200">
        <v>2.0</v>
      </c>
      <c r="L41" s="200">
        <v>13.0</v>
      </c>
      <c r="M41" s="200">
        <v>3.0</v>
      </c>
      <c r="N41" s="200">
        <v>3.0</v>
      </c>
      <c r="P41" s="199">
        <f t="shared" ref="P41:R41" si="39">(D41+H41+L41)/3</f>
        <v>9</v>
      </c>
      <c r="Q41" s="199">
        <f t="shared" si="39"/>
        <v>2</v>
      </c>
      <c r="R41" s="199">
        <f t="shared" si="39"/>
        <v>2</v>
      </c>
    </row>
    <row r="42">
      <c r="A42" s="198">
        <v>40.0</v>
      </c>
      <c r="B42" s="199">
        <f>CSE4098A_Spring2026_Grade!B44</f>
        <v>212014022</v>
      </c>
      <c r="C42" s="199" t="str">
        <f>CSE4098A_Spring2026_Grade!C44</f>
        <v>Tahsin Aftab Khan</v>
      </c>
      <c r="D42" s="200">
        <v>5.0</v>
      </c>
      <c r="E42" s="200">
        <v>1.0</v>
      </c>
      <c r="F42" s="200">
        <v>1.0</v>
      </c>
      <c r="H42" s="200">
        <v>9.0</v>
      </c>
      <c r="I42" s="200">
        <v>2.0</v>
      </c>
      <c r="J42" s="200">
        <v>2.0</v>
      </c>
      <c r="L42" s="200">
        <v>13.0</v>
      </c>
      <c r="M42" s="200">
        <v>3.0</v>
      </c>
      <c r="N42" s="200">
        <v>3.0</v>
      </c>
      <c r="P42" s="199">
        <f t="shared" ref="P42:R42" si="40">(D42+H42+L42)/3</f>
        <v>9</v>
      </c>
      <c r="Q42" s="199">
        <f t="shared" si="40"/>
        <v>2</v>
      </c>
      <c r="R42" s="199">
        <f t="shared" si="40"/>
        <v>2</v>
      </c>
    </row>
    <row r="43">
      <c r="A43" s="198">
        <v>41.0</v>
      </c>
      <c r="B43" s="199">
        <f>CSE4098A_Spring2026_Grade!B45</f>
        <v>213014040</v>
      </c>
      <c r="C43" s="199" t="str">
        <f>CSE4098A_Spring2026_Grade!C45</f>
        <v>Towhid Hossain Alvi</v>
      </c>
      <c r="D43" s="200">
        <v>5.0</v>
      </c>
      <c r="E43" s="200">
        <v>1.0</v>
      </c>
      <c r="F43" s="200">
        <v>1.0</v>
      </c>
      <c r="H43" s="200">
        <v>9.0</v>
      </c>
      <c r="I43" s="200">
        <v>2.0</v>
      </c>
      <c r="J43" s="200">
        <v>2.0</v>
      </c>
      <c r="L43" s="200">
        <v>13.0</v>
      </c>
      <c r="M43" s="200">
        <v>3.0</v>
      </c>
      <c r="N43" s="200">
        <v>3.0</v>
      </c>
      <c r="P43" s="199">
        <f t="shared" ref="P43:R43" si="41">(D43+H43+L43)/3</f>
        <v>9</v>
      </c>
      <c r="Q43" s="199">
        <f t="shared" si="41"/>
        <v>2</v>
      </c>
      <c r="R43" s="199">
        <f t="shared" si="41"/>
        <v>2</v>
      </c>
    </row>
    <row r="44">
      <c r="A44" s="198">
        <v>42.0</v>
      </c>
      <c r="B44" s="199">
        <f>CSE4098A_Spring2026_Grade!B46</f>
        <v>213014058</v>
      </c>
      <c r="C44" s="199" t="str">
        <f>CSE4098A_Spring2026_Grade!C46</f>
        <v>Samina Akter</v>
      </c>
      <c r="D44" s="200">
        <v>5.0</v>
      </c>
      <c r="E44" s="200">
        <v>1.0</v>
      </c>
      <c r="F44" s="200">
        <v>1.0</v>
      </c>
      <c r="H44" s="200">
        <v>9.0</v>
      </c>
      <c r="I44" s="200">
        <v>2.0</v>
      </c>
      <c r="J44" s="200">
        <v>2.0</v>
      </c>
      <c r="L44" s="200">
        <v>13.0</v>
      </c>
      <c r="M44" s="200">
        <v>3.0</v>
      </c>
      <c r="N44" s="200">
        <v>3.0</v>
      </c>
      <c r="P44" s="199">
        <f t="shared" ref="P44:R44" si="42">(D44+H44+L44)/3</f>
        <v>9</v>
      </c>
      <c r="Q44" s="199">
        <f t="shared" si="42"/>
        <v>2</v>
      </c>
      <c r="R44" s="199">
        <f t="shared" si="42"/>
        <v>2</v>
      </c>
    </row>
    <row r="45">
      <c r="A45" s="198">
        <v>43.0</v>
      </c>
      <c r="B45" s="199">
        <f>CSE4098A_Spring2026_Grade!B47</f>
        <v>232014048</v>
      </c>
      <c r="C45" s="199" t="str">
        <f>CSE4098A_Spring2026_Grade!C47</f>
        <v>Md. Shayan Alam</v>
      </c>
      <c r="D45" s="200">
        <v>15.0</v>
      </c>
      <c r="E45" s="200">
        <v>3.0</v>
      </c>
      <c r="F45" s="200">
        <v>2.0</v>
      </c>
      <c r="H45" s="200">
        <v>13.0</v>
      </c>
      <c r="I45" s="200">
        <v>3.0</v>
      </c>
      <c r="J45" s="200">
        <v>3.0</v>
      </c>
      <c r="L45" s="199"/>
      <c r="M45" s="199"/>
      <c r="N45" s="199"/>
      <c r="P45" s="199">
        <f t="shared" ref="P45:R45" si="43">(D45+H45+L45)/3</f>
        <v>9.333333333</v>
      </c>
      <c r="Q45" s="199">
        <f t="shared" si="43"/>
        <v>2</v>
      </c>
      <c r="R45" s="199">
        <f t="shared" si="43"/>
        <v>1.666666667</v>
      </c>
    </row>
    <row r="46">
      <c r="A46" s="198">
        <v>44.0</v>
      </c>
      <c r="B46" s="199">
        <f>CSE4098A_Spring2026_Grade!B48</f>
        <v>223014077</v>
      </c>
      <c r="C46" s="199" t="str">
        <f>CSE4098A_Spring2026_Grade!C48</f>
        <v>Mir Hussain Murtaza</v>
      </c>
      <c r="D46" s="200">
        <v>15.0</v>
      </c>
      <c r="E46" s="200">
        <v>3.0</v>
      </c>
      <c r="F46" s="200">
        <v>2.0</v>
      </c>
      <c r="H46" s="200">
        <v>13.0</v>
      </c>
      <c r="I46" s="200">
        <v>3.0</v>
      </c>
      <c r="J46" s="200">
        <v>3.0</v>
      </c>
      <c r="L46" s="199"/>
      <c r="M46" s="199"/>
      <c r="N46" s="199"/>
      <c r="P46" s="199">
        <f t="shared" ref="P46:R46" si="44">(D46+H46+L46)/3</f>
        <v>9.333333333</v>
      </c>
      <c r="Q46" s="199">
        <f t="shared" si="44"/>
        <v>2</v>
      </c>
      <c r="R46" s="199">
        <f t="shared" si="44"/>
        <v>1.666666667</v>
      </c>
    </row>
    <row r="47">
      <c r="A47" s="198">
        <v>45.0</v>
      </c>
      <c r="B47" s="199">
        <f>CSE4098A_Spring2026_Grade!B49</f>
        <v>232014033</v>
      </c>
      <c r="C47" s="199" t="str">
        <f>CSE4098A_Spring2026_Grade!C49</f>
        <v>Morium Rahman</v>
      </c>
      <c r="D47" s="200">
        <v>15.0</v>
      </c>
      <c r="E47" s="200">
        <v>3.0</v>
      </c>
      <c r="F47" s="200">
        <v>2.0</v>
      </c>
      <c r="H47" s="200">
        <v>13.0</v>
      </c>
      <c r="I47" s="200">
        <v>3.0</v>
      </c>
      <c r="J47" s="200">
        <v>3.0</v>
      </c>
      <c r="L47" s="199"/>
      <c r="M47" s="199"/>
      <c r="N47" s="199"/>
      <c r="P47" s="199">
        <f t="shared" ref="P47:R47" si="45">(D47+H47+L47)/3</f>
        <v>9.333333333</v>
      </c>
      <c r="Q47" s="199">
        <f t="shared" si="45"/>
        <v>2</v>
      </c>
      <c r="R47" s="199">
        <f t="shared" si="45"/>
        <v>1.666666667</v>
      </c>
    </row>
    <row r="48">
      <c r="A48" s="198">
        <v>46.0</v>
      </c>
      <c r="B48" s="199">
        <f>CSE4098A_Spring2026_Grade!B50</f>
        <v>232014102</v>
      </c>
      <c r="C48" s="199" t="str">
        <f>CSE4098A_Spring2026_Grade!C50</f>
        <v>Sabikun Nahar Zaria</v>
      </c>
      <c r="D48" s="200">
        <v>15.0</v>
      </c>
      <c r="E48" s="200">
        <v>3.0</v>
      </c>
      <c r="F48" s="200">
        <v>2.0</v>
      </c>
      <c r="H48" s="200">
        <v>13.0</v>
      </c>
      <c r="I48" s="200">
        <v>3.0</v>
      </c>
      <c r="J48" s="200">
        <v>3.0</v>
      </c>
      <c r="L48" s="199"/>
      <c r="M48" s="199"/>
      <c r="N48" s="199"/>
      <c r="P48" s="199">
        <f t="shared" ref="P48:R48" si="46">(D48+H48+L48)/3</f>
        <v>9.333333333</v>
      </c>
      <c r="Q48" s="199">
        <f t="shared" si="46"/>
        <v>2</v>
      </c>
      <c r="R48" s="199">
        <f t="shared" si="46"/>
        <v>1.666666667</v>
      </c>
    </row>
    <row r="49">
      <c r="A49" s="198">
        <v>47.0</v>
      </c>
      <c r="B49" s="199">
        <f>CSE4098A_Spring2026_Grade!B51</f>
        <v>232014040</v>
      </c>
      <c r="C49" s="199" t="str">
        <f>CSE4098A_Spring2026_Grade!C51</f>
        <v>Sima Akter Tithe</v>
      </c>
      <c r="D49" s="199"/>
      <c r="E49" s="199"/>
      <c r="F49" s="199"/>
      <c r="H49" s="200">
        <v>12.0</v>
      </c>
      <c r="I49" s="200">
        <v>2.0</v>
      </c>
      <c r="J49" s="200">
        <v>3.0</v>
      </c>
      <c r="L49" s="199"/>
      <c r="M49" s="199"/>
      <c r="N49" s="199"/>
      <c r="P49" s="199">
        <f t="shared" ref="P49:R49" si="47">(D49+H49+L49)/3</f>
        <v>4</v>
      </c>
      <c r="Q49" s="199">
        <f t="shared" si="47"/>
        <v>0.6666666667</v>
      </c>
      <c r="R49" s="199">
        <f t="shared" si="47"/>
        <v>1</v>
      </c>
    </row>
    <row r="50">
      <c r="A50" s="198">
        <v>48.0</v>
      </c>
      <c r="B50" s="199">
        <f>CSE4098A_Spring2026_Grade!B52</f>
        <v>232014027</v>
      </c>
      <c r="C50" s="199" t="str">
        <f>CSE4098A_Spring2026_Grade!C52</f>
        <v>Muskan Gouri</v>
      </c>
      <c r="D50" s="199"/>
      <c r="E50" s="199"/>
      <c r="F50" s="199"/>
      <c r="H50" s="200">
        <v>12.0</v>
      </c>
      <c r="I50" s="200">
        <v>2.0</v>
      </c>
      <c r="J50" s="200">
        <v>3.0</v>
      </c>
      <c r="L50" s="199"/>
      <c r="M50" s="199"/>
      <c r="N50" s="199"/>
      <c r="P50" s="199">
        <f t="shared" ref="P50:R50" si="48">(D50+H50+L50)/3</f>
        <v>4</v>
      </c>
      <c r="Q50" s="199">
        <f t="shared" si="48"/>
        <v>0.6666666667</v>
      </c>
      <c r="R50" s="199">
        <f t="shared" si="48"/>
        <v>1</v>
      </c>
    </row>
    <row r="51">
      <c r="A51" s="198">
        <v>49.0</v>
      </c>
      <c r="B51" s="199">
        <f>CSE4098A_Spring2026_Grade!B53</f>
        <v>213014024</v>
      </c>
      <c r="C51" s="199" t="str">
        <f>CSE4098A_Spring2026_Grade!C53</f>
        <v>Minhaz Hossen</v>
      </c>
      <c r="D51" s="199"/>
      <c r="E51" s="199"/>
      <c r="F51" s="199"/>
      <c r="H51" s="200">
        <v>12.0</v>
      </c>
      <c r="I51" s="200">
        <v>2.0</v>
      </c>
      <c r="J51" s="200">
        <v>3.0</v>
      </c>
      <c r="L51" s="199"/>
      <c r="M51" s="199"/>
      <c r="N51" s="199"/>
      <c r="P51" s="199">
        <f t="shared" ref="P51:R51" si="49">(D51+H51+L51)/3</f>
        <v>4</v>
      </c>
      <c r="Q51" s="199">
        <f t="shared" si="49"/>
        <v>0.6666666667</v>
      </c>
      <c r="R51" s="199">
        <f t="shared" si="49"/>
        <v>1</v>
      </c>
    </row>
    <row r="52">
      <c r="A52" s="198">
        <v>50.0</v>
      </c>
      <c r="B52" s="199">
        <f>CSE4098A_Spring2026_Grade!B54</f>
        <v>221014137</v>
      </c>
      <c r="C52" s="199" t="str">
        <f>CSE4098A_Spring2026_Grade!C54</f>
        <v>Prisom Halder</v>
      </c>
      <c r="D52" s="199"/>
      <c r="E52" s="199"/>
      <c r="F52" s="199"/>
      <c r="H52" s="200">
        <v>12.0</v>
      </c>
      <c r="I52" s="200">
        <v>2.0</v>
      </c>
      <c r="J52" s="200">
        <v>3.0</v>
      </c>
      <c r="L52" s="199"/>
      <c r="M52" s="199"/>
      <c r="N52" s="199"/>
      <c r="P52" s="199">
        <f t="shared" ref="P52:R52" si="50">(D52+H52+L52)/3</f>
        <v>4</v>
      </c>
      <c r="Q52" s="199">
        <f t="shared" si="50"/>
        <v>0.6666666667</v>
      </c>
      <c r="R52" s="199">
        <f t="shared" si="50"/>
        <v>1</v>
      </c>
    </row>
    <row r="53">
      <c r="A53" s="198">
        <v>51.0</v>
      </c>
      <c r="B53" s="199">
        <f>CSE4098A_Spring2026_Grade!B55</f>
        <v>223014125</v>
      </c>
      <c r="C53" s="199" t="str">
        <f>CSE4098A_Spring2026_Grade!C55</f>
        <v>Fatima Wohabee</v>
      </c>
      <c r="D53" s="200">
        <v>8.0</v>
      </c>
      <c r="E53" s="200">
        <v>2.0</v>
      </c>
      <c r="F53" s="200">
        <v>2.0</v>
      </c>
      <c r="H53" s="200">
        <v>10.0</v>
      </c>
      <c r="I53" s="200">
        <v>2.0</v>
      </c>
      <c r="J53" s="200">
        <v>2.0</v>
      </c>
      <c r="L53" s="199"/>
      <c r="M53" s="199"/>
      <c r="N53" s="199"/>
      <c r="P53" s="199">
        <f t="shared" ref="P53:R53" si="51">(D53+H53+L53)/3</f>
        <v>6</v>
      </c>
      <c r="Q53" s="199">
        <f t="shared" si="51"/>
        <v>1.333333333</v>
      </c>
      <c r="R53" s="199">
        <f t="shared" si="51"/>
        <v>1.333333333</v>
      </c>
    </row>
    <row r="54">
      <c r="A54" s="198">
        <v>52.0</v>
      </c>
      <c r="B54" s="199">
        <f>CSE4098A_Spring2026_Grade!B56</f>
        <v>231014008</v>
      </c>
      <c r="C54" s="199" t="str">
        <f>CSE4098A_Spring2026_Grade!C56</f>
        <v>Tasnim Taher</v>
      </c>
      <c r="D54" s="200">
        <v>8.0</v>
      </c>
      <c r="E54" s="200">
        <v>2.0</v>
      </c>
      <c r="F54" s="200">
        <v>2.0</v>
      </c>
      <c r="H54" s="200">
        <v>10.0</v>
      </c>
      <c r="I54" s="200">
        <v>2.0</v>
      </c>
      <c r="J54" s="200">
        <v>2.0</v>
      </c>
      <c r="L54" s="199"/>
      <c r="M54" s="199"/>
      <c r="N54" s="199"/>
      <c r="P54" s="199">
        <f t="shared" ref="P54:R54" si="52">(D54+H54+L54)/3</f>
        <v>6</v>
      </c>
      <c r="Q54" s="199">
        <f t="shared" si="52"/>
        <v>1.333333333</v>
      </c>
      <c r="R54" s="199">
        <f t="shared" si="52"/>
        <v>1.333333333</v>
      </c>
    </row>
    <row r="55">
      <c r="A55" s="198">
        <v>53.0</v>
      </c>
      <c r="B55" s="199">
        <f>CSE4098A_Spring2026_Grade!B57</f>
        <v>223014064</v>
      </c>
      <c r="C55" s="199" t="str">
        <f>CSE4098A_Spring2026_Grade!C57</f>
        <v>Israt Zahan Ifa</v>
      </c>
      <c r="D55" s="200">
        <v>8.0</v>
      </c>
      <c r="E55" s="200">
        <v>2.0</v>
      </c>
      <c r="F55" s="200">
        <v>2.0</v>
      </c>
      <c r="H55" s="200">
        <v>10.0</v>
      </c>
      <c r="I55" s="200">
        <v>2.0</v>
      </c>
      <c r="J55" s="200">
        <v>2.0</v>
      </c>
      <c r="L55" s="199"/>
      <c r="M55" s="199"/>
      <c r="N55" s="199"/>
      <c r="P55" s="199">
        <f t="shared" ref="P55:R55" si="53">(D55+H55+L55)/3</f>
        <v>6</v>
      </c>
      <c r="Q55" s="199">
        <f t="shared" si="53"/>
        <v>1.333333333</v>
      </c>
      <c r="R55" s="199">
        <f t="shared" si="53"/>
        <v>1.333333333</v>
      </c>
    </row>
    <row r="56">
      <c r="A56" s="198">
        <v>54.0</v>
      </c>
      <c r="B56" s="199">
        <f>CSE4098A_Spring2026_Grade!B58</f>
        <v>231014123</v>
      </c>
      <c r="C56" s="199" t="str">
        <f>CSE4098A_Spring2026_Grade!C58</f>
        <v>Rakib Rahman</v>
      </c>
      <c r="D56" s="200">
        <v>8.0</v>
      </c>
      <c r="E56" s="200">
        <v>2.0</v>
      </c>
      <c r="F56" s="200">
        <v>2.0</v>
      </c>
      <c r="H56" s="200">
        <v>10.0</v>
      </c>
      <c r="I56" s="200">
        <v>2.0</v>
      </c>
      <c r="J56" s="200">
        <v>2.0</v>
      </c>
      <c r="L56" s="199"/>
      <c r="M56" s="199"/>
      <c r="N56" s="199"/>
      <c r="P56" s="199">
        <f t="shared" ref="P56:R56" si="54">(D56+H56+L56)/3</f>
        <v>6</v>
      </c>
      <c r="Q56" s="199">
        <f t="shared" si="54"/>
        <v>1.333333333</v>
      </c>
      <c r="R56" s="199">
        <f t="shared" si="54"/>
        <v>1.333333333</v>
      </c>
    </row>
    <row r="57">
      <c r="A57" s="198">
        <v>55.0</v>
      </c>
      <c r="B57" s="199">
        <f>CSE4098A_Spring2026_Grade!B59</f>
        <v>223014141</v>
      </c>
      <c r="C57" s="199" t="str">
        <f>CSE4098A_Spring2026_Grade!C59</f>
        <v>Yasin Khandakar</v>
      </c>
      <c r="D57" s="199"/>
      <c r="E57" s="199"/>
      <c r="F57" s="199"/>
      <c r="H57" s="200">
        <v>10.0</v>
      </c>
      <c r="I57" s="200">
        <v>2.0</v>
      </c>
      <c r="J57" s="200">
        <v>2.0</v>
      </c>
      <c r="L57" s="200">
        <v>7.0</v>
      </c>
      <c r="M57" s="200">
        <v>1.0</v>
      </c>
      <c r="N57" s="200">
        <v>1.0</v>
      </c>
      <c r="P57" s="199">
        <f t="shared" ref="P57:R57" si="55">(D57+H57+L57)/3</f>
        <v>5.666666667</v>
      </c>
      <c r="Q57" s="199">
        <f t="shared" si="55"/>
        <v>1</v>
      </c>
      <c r="R57" s="199">
        <f t="shared" si="55"/>
        <v>1</v>
      </c>
    </row>
    <row r="58">
      <c r="A58" s="198">
        <v>56.0</v>
      </c>
      <c r="B58" s="199">
        <f>CSE4098A_Spring2026_Grade!B60</f>
        <v>223014002</v>
      </c>
      <c r="C58" s="199" t="str">
        <f>CSE4098A_Spring2026_Grade!C60</f>
        <v>Sanjida Siddique</v>
      </c>
      <c r="D58" s="199"/>
      <c r="E58" s="199"/>
      <c r="F58" s="199"/>
      <c r="H58" s="200">
        <v>10.0</v>
      </c>
      <c r="I58" s="200">
        <v>2.0</v>
      </c>
      <c r="J58" s="200">
        <v>2.0</v>
      </c>
      <c r="L58" s="200">
        <v>7.0</v>
      </c>
      <c r="M58" s="200">
        <v>1.0</v>
      </c>
      <c r="N58" s="200">
        <v>1.0</v>
      </c>
      <c r="P58" s="199">
        <f t="shared" ref="P58:R58" si="56">(D58+H58+L58)/3</f>
        <v>5.666666667</v>
      </c>
      <c r="Q58" s="199">
        <f t="shared" si="56"/>
        <v>1</v>
      </c>
      <c r="R58" s="199">
        <f t="shared" si="56"/>
        <v>1</v>
      </c>
    </row>
    <row r="59">
      <c r="A59" s="198">
        <v>57.0</v>
      </c>
      <c r="B59" s="199">
        <f>CSE4098A_Spring2026_Grade!B61</f>
        <v>221014059</v>
      </c>
      <c r="C59" s="199" t="str">
        <f>CSE4098A_Spring2026_Grade!C61</f>
        <v>Shakila Rahman Sudha</v>
      </c>
      <c r="D59" s="199"/>
      <c r="E59" s="199"/>
      <c r="F59" s="199"/>
      <c r="H59" s="200">
        <v>10.0</v>
      </c>
      <c r="I59" s="200">
        <v>2.0</v>
      </c>
      <c r="J59" s="200">
        <v>2.0</v>
      </c>
      <c r="L59" s="200">
        <v>7.0</v>
      </c>
      <c r="M59" s="200">
        <v>1.0</v>
      </c>
      <c r="N59" s="200">
        <v>1.0</v>
      </c>
      <c r="P59" s="199">
        <f t="shared" ref="P59:R59" si="57">(D59+H59+L59)/3</f>
        <v>5.666666667</v>
      </c>
      <c r="Q59" s="199">
        <f t="shared" si="57"/>
        <v>1</v>
      </c>
      <c r="R59" s="199">
        <f t="shared" si="57"/>
        <v>1</v>
      </c>
    </row>
    <row r="60">
      <c r="A60" s="198">
        <v>58.0</v>
      </c>
      <c r="B60" s="199">
        <f>CSE4098A_Spring2026_Grade!B62</f>
        <v>222014061</v>
      </c>
      <c r="C60" s="199" t="str">
        <f>CSE4098A_Spring2026_Grade!C62</f>
        <v>Rafsan Jani Siam</v>
      </c>
      <c r="D60" s="199"/>
      <c r="E60" s="199"/>
      <c r="F60" s="199"/>
      <c r="H60" s="200">
        <v>10.0</v>
      </c>
      <c r="I60" s="200">
        <v>2.0</v>
      </c>
      <c r="J60" s="200">
        <v>2.0</v>
      </c>
      <c r="L60" s="200">
        <v>7.0</v>
      </c>
      <c r="M60" s="200">
        <v>1.0</v>
      </c>
      <c r="N60" s="200">
        <v>1.0</v>
      </c>
      <c r="P60" s="199">
        <f t="shared" ref="P60:R60" si="58">(D60+H60+L60)/3</f>
        <v>5.666666667</v>
      </c>
      <c r="Q60" s="199">
        <f t="shared" si="58"/>
        <v>1</v>
      </c>
      <c r="R60" s="199">
        <f t="shared" si="58"/>
        <v>1</v>
      </c>
    </row>
    <row r="61">
      <c r="A61" s="198">
        <v>59.0</v>
      </c>
      <c r="B61" s="199">
        <f>CSE4098A_Spring2026_Grade!B63</f>
        <v>222014014</v>
      </c>
      <c r="C61" s="199" t="str">
        <f>CSE4098A_Spring2026_Grade!C63</f>
        <v>Bahadur Zamn Shezan</v>
      </c>
      <c r="D61" s="200">
        <v>10.0</v>
      </c>
      <c r="E61" s="200">
        <v>2.0</v>
      </c>
      <c r="F61" s="200">
        <v>2.0</v>
      </c>
      <c r="H61" s="200">
        <v>10.0</v>
      </c>
      <c r="I61" s="200">
        <v>1.0</v>
      </c>
      <c r="J61" s="200">
        <v>1.0</v>
      </c>
      <c r="L61" s="200">
        <v>14.0</v>
      </c>
      <c r="M61" s="200">
        <v>3.0</v>
      </c>
      <c r="N61" s="200">
        <v>3.0</v>
      </c>
      <c r="P61" s="199">
        <f t="shared" ref="P61:R61" si="59">(D61+H61+L61)/3</f>
        <v>11.33333333</v>
      </c>
      <c r="Q61" s="199">
        <f t="shared" si="59"/>
        <v>2</v>
      </c>
      <c r="R61" s="199">
        <f t="shared" si="59"/>
        <v>2</v>
      </c>
    </row>
    <row r="62">
      <c r="A62" s="198">
        <v>60.0</v>
      </c>
      <c r="B62" s="199">
        <f>CSE4098A_Spring2026_Grade!B64</f>
        <v>222014004</v>
      </c>
      <c r="C62" s="199" t="str">
        <f>CSE4098A_Spring2026_Grade!C64</f>
        <v>Ratul Hasan Polok</v>
      </c>
      <c r="D62" s="200">
        <v>10.0</v>
      </c>
      <c r="E62" s="200">
        <v>2.0</v>
      </c>
      <c r="F62" s="200">
        <v>2.0</v>
      </c>
      <c r="H62" s="200">
        <v>10.0</v>
      </c>
      <c r="I62" s="200">
        <v>1.0</v>
      </c>
      <c r="J62" s="200">
        <v>1.0</v>
      </c>
      <c r="L62" s="200">
        <v>14.0</v>
      </c>
      <c r="M62" s="200">
        <v>3.0</v>
      </c>
      <c r="N62" s="200">
        <v>3.0</v>
      </c>
      <c r="P62" s="199">
        <f t="shared" ref="P62:R62" si="60">(D62+H62+L62)/3</f>
        <v>11.33333333</v>
      </c>
      <c r="Q62" s="199">
        <f t="shared" si="60"/>
        <v>2</v>
      </c>
      <c r="R62" s="199">
        <f t="shared" si="60"/>
        <v>2</v>
      </c>
    </row>
    <row r="63">
      <c r="A63" s="198">
        <v>61.0</v>
      </c>
      <c r="B63" s="199">
        <f>CSE4098A_Spring2026_Grade!B65</f>
        <v>232014059</v>
      </c>
      <c r="C63" s="199" t="str">
        <f>CSE4098A_Spring2026_Grade!C65</f>
        <v>Tasfia Hasan Tushin</v>
      </c>
      <c r="D63" s="200">
        <v>10.0</v>
      </c>
      <c r="E63" s="200">
        <v>2.0</v>
      </c>
      <c r="F63" s="200">
        <v>2.0</v>
      </c>
      <c r="H63" s="200">
        <v>10.0</v>
      </c>
      <c r="I63" s="200">
        <v>1.0</v>
      </c>
      <c r="J63" s="200">
        <v>1.0</v>
      </c>
      <c r="L63" s="200">
        <v>14.0</v>
      </c>
      <c r="M63" s="200">
        <v>3.0</v>
      </c>
      <c r="N63" s="200">
        <v>3.0</v>
      </c>
      <c r="P63" s="199">
        <f t="shared" ref="P63:R63" si="61">(D63+H63+L63)/3</f>
        <v>11.33333333</v>
      </c>
      <c r="Q63" s="199">
        <f t="shared" si="61"/>
        <v>2</v>
      </c>
      <c r="R63" s="199">
        <f t="shared" si="61"/>
        <v>2</v>
      </c>
    </row>
    <row r="64">
      <c r="A64" s="198">
        <v>62.0</v>
      </c>
      <c r="B64" s="199">
        <f>CSE4098A_Spring2026_Grade!B66</f>
        <v>232014130</v>
      </c>
      <c r="C64" s="199" t="str">
        <f>CSE4098A_Spring2026_Grade!C66</f>
        <v>Thamina Hossen</v>
      </c>
      <c r="D64" s="200">
        <v>10.0</v>
      </c>
      <c r="E64" s="200">
        <v>2.0</v>
      </c>
      <c r="F64" s="200">
        <v>2.0</v>
      </c>
      <c r="H64" s="200">
        <v>10.0</v>
      </c>
      <c r="I64" s="200">
        <v>1.0</v>
      </c>
      <c r="J64" s="200">
        <v>1.0</v>
      </c>
      <c r="L64" s="200">
        <v>14.0</v>
      </c>
      <c r="M64" s="200">
        <v>3.0</v>
      </c>
      <c r="N64" s="200">
        <v>3.0</v>
      </c>
      <c r="P64" s="199">
        <f t="shared" ref="P64:R64" si="62">(D64+H64+L64)/3</f>
        <v>11.33333333</v>
      </c>
      <c r="Q64" s="199">
        <f t="shared" si="62"/>
        <v>2</v>
      </c>
      <c r="R64" s="199">
        <f t="shared" si="62"/>
        <v>2</v>
      </c>
    </row>
    <row r="65">
      <c r="A65" s="198">
        <v>63.0</v>
      </c>
      <c r="B65" s="199">
        <f>CSE4098A_Spring2026_Grade!B67</f>
        <v>231014084</v>
      </c>
      <c r="C65" s="199" t="str">
        <f>CSE4098A_Spring2026_Grade!C67</f>
        <v>Tanzila Tasnim Rahman</v>
      </c>
      <c r="D65" s="200">
        <v>10.0</v>
      </c>
      <c r="E65" s="200">
        <v>3.0</v>
      </c>
      <c r="F65" s="200">
        <v>3.0</v>
      </c>
      <c r="H65" s="200">
        <v>9.0</v>
      </c>
      <c r="I65" s="200">
        <v>3.0</v>
      </c>
      <c r="J65" s="200">
        <v>3.0</v>
      </c>
      <c r="L65" s="200">
        <v>10.0</v>
      </c>
      <c r="M65" s="200">
        <v>2.0</v>
      </c>
      <c r="N65" s="200">
        <v>2.0</v>
      </c>
      <c r="P65" s="199">
        <f t="shared" ref="P65:R65" si="63">(D65+H65+L65)/3</f>
        <v>9.666666667</v>
      </c>
      <c r="Q65" s="199">
        <f t="shared" si="63"/>
        <v>2.666666667</v>
      </c>
      <c r="R65" s="199">
        <f t="shared" si="63"/>
        <v>2.666666667</v>
      </c>
    </row>
    <row r="66">
      <c r="A66" s="198">
        <v>64.0</v>
      </c>
      <c r="B66" s="199">
        <f>CSE4098A_Spring2026_Grade!B68</f>
        <v>231014029</v>
      </c>
      <c r="C66" s="199" t="str">
        <f>CSE4098A_Spring2026_Grade!C68</f>
        <v>Sadia Sharmin</v>
      </c>
      <c r="D66" s="200">
        <v>10.0</v>
      </c>
      <c r="E66" s="200">
        <v>3.0</v>
      </c>
      <c r="F66" s="200">
        <v>3.0</v>
      </c>
      <c r="H66" s="201">
        <v>9.0</v>
      </c>
      <c r="I66" s="201">
        <v>3.0</v>
      </c>
      <c r="J66" s="201">
        <v>3.0</v>
      </c>
      <c r="L66" s="201">
        <v>10.0</v>
      </c>
      <c r="M66" s="201">
        <v>2.0</v>
      </c>
      <c r="N66" s="201">
        <v>2.0</v>
      </c>
      <c r="P66" s="199">
        <f t="shared" ref="P66:R66" si="64">(D66+H66+L66)/3</f>
        <v>9.666666667</v>
      </c>
      <c r="Q66" s="199">
        <f t="shared" si="64"/>
        <v>2.666666667</v>
      </c>
      <c r="R66" s="199">
        <f t="shared" si="64"/>
        <v>2.666666667</v>
      </c>
    </row>
    <row r="67">
      <c r="A67" s="198">
        <v>65.0</v>
      </c>
      <c r="B67" s="199">
        <f>CSE4098A_Spring2026_Grade!B69</f>
        <v>231014083</v>
      </c>
      <c r="C67" s="199" t="str">
        <f>CSE4098A_Spring2026_Grade!C69</f>
        <v>Jannatun Farjana</v>
      </c>
      <c r="D67" s="200">
        <v>10.0</v>
      </c>
      <c r="E67" s="200">
        <v>3.0</v>
      </c>
      <c r="F67" s="200">
        <v>3.0</v>
      </c>
      <c r="H67" s="201">
        <v>9.0</v>
      </c>
      <c r="I67" s="201">
        <v>3.0</v>
      </c>
      <c r="J67" s="201">
        <v>3.0</v>
      </c>
      <c r="L67" s="201">
        <v>10.0</v>
      </c>
      <c r="M67" s="201">
        <v>2.0</v>
      </c>
      <c r="N67" s="201">
        <v>2.0</v>
      </c>
      <c r="P67" s="199">
        <f t="shared" ref="P67:R67" si="65">(D67+H67+L67)/3</f>
        <v>9.666666667</v>
      </c>
      <c r="Q67" s="199">
        <f t="shared" si="65"/>
        <v>2.666666667</v>
      </c>
      <c r="R67" s="199">
        <f t="shared" si="65"/>
        <v>2.666666667</v>
      </c>
    </row>
    <row r="68">
      <c r="A68" s="198">
        <v>66.0</v>
      </c>
      <c r="B68" s="199">
        <f>CSE4098A_Spring2026_Grade!B70</f>
        <v>231014077</v>
      </c>
      <c r="C68" s="199" t="str">
        <f>CSE4098A_Spring2026_Grade!C70</f>
        <v>Sumaiya Afrin</v>
      </c>
      <c r="D68" s="200">
        <v>10.0</v>
      </c>
      <c r="E68" s="200">
        <v>3.0</v>
      </c>
      <c r="F68" s="200">
        <v>3.0</v>
      </c>
      <c r="H68" s="201">
        <v>9.0</v>
      </c>
      <c r="I68" s="201">
        <v>3.0</v>
      </c>
      <c r="J68" s="201">
        <v>3.0</v>
      </c>
      <c r="L68" s="201">
        <v>10.0</v>
      </c>
      <c r="M68" s="201">
        <v>2.0</v>
      </c>
      <c r="N68" s="201">
        <v>2.0</v>
      </c>
      <c r="P68" s="199">
        <f t="shared" ref="P68:R68" si="66">(D68+H68+L68)/3</f>
        <v>9.666666667</v>
      </c>
      <c r="Q68" s="199">
        <f t="shared" si="66"/>
        <v>2.666666667</v>
      </c>
      <c r="R68" s="199">
        <f t="shared" si="66"/>
        <v>2.666666667</v>
      </c>
    </row>
    <row r="69">
      <c r="A69" s="198">
        <v>67.0</v>
      </c>
      <c r="B69" s="199">
        <f>CSE4098A_Spring2026_Grade!B71</f>
        <v>223014082</v>
      </c>
      <c r="C69" s="199" t="str">
        <f>CSE4098A_Spring2026_Grade!C71</f>
        <v>Tarif-E-Mustafa</v>
      </c>
      <c r="D69" s="201">
        <v>14.0</v>
      </c>
      <c r="E69" s="201">
        <v>3.0</v>
      </c>
      <c r="F69" s="201">
        <v>3.0</v>
      </c>
      <c r="H69" s="201">
        <v>12.0</v>
      </c>
      <c r="I69" s="201">
        <v>2.0</v>
      </c>
      <c r="J69" s="201">
        <v>2.0</v>
      </c>
      <c r="L69" s="201">
        <v>13.0</v>
      </c>
      <c r="M69" s="201">
        <v>3.0</v>
      </c>
      <c r="N69" s="201">
        <v>3.0</v>
      </c>
      <c r="P69" s="199">
        <f t="shared" ref="P69:R69" si="67">(D69+H69+L69)/3</f>
        <v>13</v>
      </c>
      <c r="Q69" s="199">
        <f t="shared" si="67"/>
        <v>2.666666667</v>
      </c>
      <c r="R69" s="199">
        <f t="shared" si="67"/>
        <v>2.666666667</v>
      </c>
    </row>
    <row r="70">
      <c r="A70" s="198">
        <v>68.0</v>
      </c>
      <c r="B70" s="199">
        <f>CSE4098A_Spring2026_Grade!B72</f>
        <v>231014002</v>
      </c>
      <c r="C70" s="199" t="str">
        <f>CSE4098A_Spring2026_Grade!C72</f>
        <v>Saykot Biswas Shawon</v>
      </c>
      <c r="D70" s="201">
        <v>14.0</v>
      </c>
      <c r="E70" s="201">
        <v>3.0</v>
      </c>
      <c r="F70" s="201">
        <v>3.0</v>
      </c>
      <c r="H70" s="201">
        <v>12.0</v>
      </c>
      <c r="I70" s="201">
        <v>2.0</v>
      </c>
      <c r="J70" s="201">
        <v>2.0</v>
      </c>
      <c r="L70" s="201">
        <v>13.0</v>
      </c>
      <c r="M70" s="201">
        <v>3.0</v>
      </c>
      <c r="N70" s="201">
        <v>3.0</v>
      </c>
      <c r="P70" s="199">
        <f t="shared" ref="P70:R70" si="68">(D70+H70+L70)/3</f>
        <v>13</v>
      </c>
      <c r="Q70" s="199">
        <f t="shared" si="68"/>
        <v>2.666666667</v>
      </c>
      <c r="R70" s="199">
        <f t="shared" si="68"/>
        <v>2.666666667</v>
      </c>
    </row>
    <row r="71">
      <c r="A71" s="198">
        <v>69.0</v>
      </c>
      <c r="B71" s="199">
        <f>CSE4098A_Spring2026_Grade!B73</f>
        <v>231014047</v>
      </c>
      <c r="C71" s="199" t="str">
        <f>CSE4098A_Spring2026_Grade!C73</f>
        <v>Abu Saleh Md Araf</v>
      </c>
      <c r="D71" s="201">
        <v>14.0</v>
      </c>
      <c r="E71" s="201">
        <v>3.0</v>
      </c>
      <c r="F71" s="201">
        <v>3.0</v>
      </c>
      <c r="H71" s="201">
        <v>12.0</v>
      </c>
      <c r="I71" s="201">
        <v>2.0</v>
      </c>
      <c r="J71" s="201">
        <v>2.0</v>
      </c>
      <c r="L71" s="201">
        <v>13.0</v>
      </c>
      <c r="M71" s="201">
        <v>3.0</v>
      </c>
      <c r="N71" s="201">
        <v>3.0</v>
      </c>
      <c r="P71" s="199">
        <f t="shared" ref="P71:R71" si="69">(D71+H71+L71)/3</f>
        <v>13</v>
      </c>
      <c r="Q71" s="199">
        <f t="shared" si="69"/>
        <v>2.666666667</v>
      </c>
      <c r="R71" s="199">
        <f t="shared" si="69"/>
        <v>2.666666667</v>
      </c>
    </row>
    <row r="72">
      <c r="A72" s="198">
        <v>70.0</v>
      </c>
      <c r="B72" s="199">
        <f>CSE4098A_Spring2026_Grade!B74</f>
        <v>231014025</v>
      </c>
      <c r="C72" s="199" t="str">
        <f>CSE4098A_Spring2026_Grade!C74</f>
        <v>Sariful Islam Rana</v>
      </c>
      <c r="D72" s="201">
        <v>14.0</v>
      </c>
      <c r="E72" s="201">
        <v>3.0</v>
      </c>
      <c r="F72" s="201">
        <v>3.0</v>
      </c>
      <c r="H72" s="201">
        <v>12.0</v>
      </c>
      <c r="I72" s="201">
        <v>2.0</v>
      </c>
      <c r="J72" s="201">
        <v>2.0</v>
      </c>
      <c r="L72" s="201">
        <v>13.0</v>
      </c>
      <c r="M72" s="201">
        <v>3.0</v>
      </c>
      <c r="N72" s="201">
        <v>3.0</v>
      </c>
      <c r="P72" s="199">
        <f t="shared" ref="P72:R72" si="70">(D72+H72+L72)/3</f>
        <v>13</v>
      </c>
      <c r="Q72" s="199">
        <f t="shared" si="70"/>
        <v>2.666666667</v>
      </c>
      <c r="R72" s="199">
        <f t="shared" si="70"/>
        <v>2.666666667</v>
      </c>
    </row>
    <row r="73">
      <c r="A73" s="198">
        <v>71.0</v>
      </c>
      <c r="B73" s="199">
        <f>CSE4098A_Spring2026_Grade!B75</f>
        <v>223014009</v>
      </c>
      <c r="C73" s="199" t="str">
        <f>CSE4098A_Spring2026_Grade!C75</f>
        <v>Farjana Akter Ema</v>
      </c>
      <c r="D73" s="201">
        <v>10.0</v>
      </c>
      <c r="E73" s="201">
        <v>2.0</v>
      </c>
      <c r="F73" s="201">
        <v>2.0</v>
      </c>
      <c r="H73" s="201">
        <v>10.0</v>
      </c>
      <c r="I73" s="201">
        <v>2.0</v>
      </c>
      <c r="J73" s="201">
        <v>2.0</v>
      </c>
      <c r="L73" s="201">
        <v>11.0</v>
      </c>
      <c r="M73" s="201">
        <v>3.0</v>
      </c>
      <c r="N73" s="201">
        <v>3.0</v>
      </c>
      <c r="P73" s="199">
        <f t="shared" ref="P73:R73" si="71">(D73+H73+L73)/3</f>
        <v>10.33333333</v>
      </c>
      <c r="Q73" s="199">
        <f t="shared" si="71"/>
        <v>2.333333333</v>
      </c>
      <c r="R73" s="199">
        <f t="shared" si="71"/>
        <v>2.333333333</v>
      </c>
    </row>
    <row r="74">
      <c r="A74" s="198">
        <v>72.0</v>
      </c>
      <c r="B74" s="199">
        <f>CSE4098A_Spring2026_Grade!B76</f>
        <v>223014073</v>
      </c>
      <c r="C74" s="199" t="str">
        <f>CSE4098A_Spring2026_Grade!C76</f>
        <v>Pronoy Pal</v>
      </c>
      <c r="D74" s="201">
        <v>10.0</v>
      </c>
      <c r="E74" s="201">
        <v>2.0</v>
      </c>
      <c r="F74" s="201">
        <v>2.0</v>
      </c>
      <c r="H74" s="201">
        <v>10.0</v>
      </c>
      <c r="I74" s="201">
        <v>2.0</v>
      </c>
      <c r="J74" s="201">
        <v>2.0</v>
      </c>
      <c r="L74" s="201">
        <v>11.0</v>
      </c>
      <c r="M74" s="201">
        <v>3.0</v>
      </c>
      <c r="N74" s="201">
        <v>3.0</v>
      </c>
      <c r="P74" s="199">
        <f t="shared" ref="P74:R74" si="72">(D74+H74+L74)/3</f>
        <v>10.33333333</v>
      </c>
      <c r="Q74" s="199">
        <f t="shared" si="72"/>
        <v>2.333333333</v>
      </c>
      <c r="R74" s="199">
        <f t="shared" si="72"/>
        <v>2.333333333</v>
      </c>
    </row>
    <row r="75">
      <c r="A75" s="198">
        <v>73.0</v>
      </c>
      <c r="B75" s="199">
        <f>CSE4098A_Spring2026_Grade!B77</f>
        <v>223014157</v>
      </c>
      <c r="C75" s="199" t="str">
        <f>CSE4098A_Spring2026_Grade!C77</f>
        <v>Mohammad Talha</v>
      </c>
      <c r="D75" s="201">
        <v>10.0</v>
      </c>
      <c r="E75" s="201">
        <v>2.0</v>
      </c>
      <c r="F75" s="201">
        <v>2.0</v>
      </c>
      <c r="H75" s="201">
        <v>10.0</v>
      </c>
      <c r="I75" s="201">
        <v>2.0</v>
      </c>
      <c r="J75" s="201">
        <v>2.0</v>
      </c>
      <c r="L75" s="201">
        <v>11.0</v>
      </c>
      <c r="M75" s="201">
        <v>3.0</v>
      </c>
      <c r="N75" s="201">
        <v>3.0</v>
      </c>
      <c r="P75" s="199">
        <f t="shared" ref="P75:R75" si="73">(D75+H75+L75)/3</f>
        <v>10.33333333</v>
      </c>
      <c r="Q75" s="199">
        <f t="shared" si="73"/>
        <v>2.333333333</v>
      </c>
      <c r="R75" s="199">
        <f t="shared" si="73"/>
        <v>2.333333333</v>
      </c>
    </row>
    <row r="76">
      <c r="A76" s="198">
        <v>74.0</v>
      </c>
      <c r="B76" s="199">
        <f>CSE4098A_Spring2026_Grade!B78</f>
        <v>223014022</v>
      </c>
      <c r="C76" s="199" t="str">
        <f>CSE4098A_Spring2026_Grade!C78</f>
        <v>Sumaiya Islam Rouja</v>
      </c>
      <c r="D76" s="201">
        <v>10.0</v>
      </c>
      <c r="E76" s="201">
        <v>2.0</v>
      </c>
      <c r="F76" s="201">
        <v>2.0</v>
      </c>
      <c r="H76" s="201">
        <v>10.0</v>
      </c>
      <c r="I76" s="201">
        <v>2.0</v>
      </c>
      <c r="J76" s="201">
        <v>2.0</v>
      </c>
      <c r="L76" s="201">
        <v>11.0</v>
      </c>
      <c r="M76" s="201">
        <v>3.0</v>
      </c>
      <c r="N76" s="201">
        <v>3.0</v>
      </c>
      <c r="P76" s="199">
        <f t="shared" ref="P76:R76" si="74">(D76+H76+L76)/3</f>
        <v>10.33333333</v>
      </c>
      <c r="Q76" s="199">
        <f t="shared" si="74"/>
        <v>2.333333333</v>
      </c>
      <c r="R76" s="199">
        <f t="shared" si="74"/>
        <v>2.333333333</v>
      </c>
    </row>
    <row r="77">
      <c r="A77" s="198">
        <v>75.0</v>
      </c>
      <c r="B77" s="199">
        <f>CSE4098A_Spring2026_Grade!B79</f>
        <v>223014117</v>
      </c>
      <c r="C77" s="199" t="str">
        <f>CSE4098A_Spring2026_Grade!C79</f>
        <v>Sudipto Acharjee Dhrubo</v>
      </c>
      <c r="D77" s="201">
        <v>10.0</v>
      </c>
      <c r="E77" s="201">
        <v>2.0</v>
      </c>
      <c r="F77" s="201">
        <v>2.0</v>
      </c>
      <c r="H77" s="201">
        <v>10.0</v>
      </c>
      <c r="I77" s="201">
        <v>2.0</v>
      </c>
      <c r="J77" s="201">
        <v>2.0</v>
      </c>
      <c r="L77" s="201">
        <v>11.0</v>
      </c>
      <c r="M77" s="201">
        <v>3.0</v>
      </c>
      <c r="N77" s="201">
        <v>3.0</v>
      </c>
      <c r="P77" s="199">
        <f t="shared" ref="P77:R77" si="75">(D77+H77+L77)/3</f>
        <v>10.33333333</v>
      </c>
      <c r="Q77" s="199">
        <f t="shared" si="75"/>
        <v>2.333333333</v>
      </c>
      <c r="R77" s="199">
        <f t="shared" si="75"/>
        <v>2.333333333</v>
      </c>
    </row>
    <row r="78">
      <c r="A78" s="198">
        <v>76.0</v>
      </c>
      <c r="B78" s="199">
        <f>CSE4098A_Spring2026_Grade!B80</f>
        <v>223014005</v>
      </c>
      <c r="C78" s="199" t="str">
        <f>CSE4098A_Spring2026_Grade!C80</f>
        <v>Md. Mahmudul Hasan Mohot</v>
      </c>
      <c r="D78" s="201">
        <v>12.0</v>
      </c>
      <c r="E78" s="201">
        <v>3.0</v>
      </c>
      <c r="F78" s="201">
        <v>3.0</v>
      </c>
      <c r="H78" s="201">
        <v>10.0</v>
      </c>
      <c r="I78" s="201">
        <v>3.0</v>
      </c>
      <c r="J78" s="201">
        <v>3.0</v>
      </c>
      <c r="L78" s="201">
        <v>10.0</v>
      </c>
      <c r="M78" s="201">
        <v>2.0</v>
      </c>
      <c r="N78" s="201">
        <v>3.0</v>
      </c>
      <c r="P78" s="199">
        <f t="shared" ref="P78:R78" si="76">(D78+H78+L78)/3</f>
        <v>10.66666667</v>
      </c>
      <c r="Q78" s="199">
        <f t="shared" si="76"/>
        <v>2.666666667</v>
      </c>
      <c r="R78" s="199">
        <f t="shared" si="76"/>
        <v>3</v>
      </c>
    </row>
    <row r="79">
      <c r="A79" s="198">
        <v>77.0</v>
      </c>
      <c r="B79" s="199">
        <f>CSE4098A_Spring2026_Grade!B81</f>
        <v>223014080</v>
      </c>
      <c r="C79" s="199" t="str">
        <f>CSE4098A_Spring2026_Grade!C81</f>
        <v>Refa Rayhana</v>
      </c>
      <c r="D79" s="201">
        <v>12.0</v>
      </c>
      <c r="E79" s="201">
        <v>3.0</v>
      </c>
      <c r="F79" s="201">
        <v>3.0</v>
      </c>
      <c r="H79" s="201">
        <v>10.0</v>
      </c>
      <c r="I79" s="201">
        <v>3.0</v>
      </c>
      <c r="J79" s="201">
        <v>3.0</v>
      </c>
      <c r="L79" s="201">
        <v>10.0</v>
      </c>
      <c r="M79" s="201">
        <v>2.0</v>
      </c>
      <c r="N79" s="201">
        <v>3.0</v>
      </c>
      <c r="P79" s="199">
        <f t="shared" ref="P79:R79" si="77">(D79+H79+L79)/3</f>
        <v>10.66666667</v>
      </c>
      <c r="Q79" s="199">
        <f t="shared" si="77"/>
        <v>2.666666667</v>
      </c>
      <c r="R79" s="199">
        <f t="shared" si="77"/>
        <v>3</v>
      </c>
    </row>
    <row r="80">
      <c r="A80" s="198">
        <v>78.0</v>
      </c>
      <c r="B80" s="199">
        <f>CSE4098A_Spring2026_Grade!B82</f>
        <v>223014123</v>
      </c>
      <c r="C80" s="199" t="str">
        <f>CSE4098A_Spring2026_Grade!C82</f>
        <v>Md. Emon Hossain</v>
      </c>
      <c r="D80" s="201">
        <v>12.0</v>
      </c>
      <c r="E80" s="201">
        <v>3.0</v>
      </c>
      <c r="F80" s="201">
        <v>3.0</v>
      </c>
      <c r="H80" s="201">
        <v>10.0</v>
      </c>
      <c r="I80" s="201">
        <v>3.0</v>
      </c>
      <c r="J80" s="201">
        <v>3.0</v>
      </c>
      <c r="L80" s="201">
        <v>10.0</v>
      </c>
      <c r="M80" s="201">
        <v>2.0</v>
      </c>
      <c r="N80" s="201">
        <v>3.0</v>
      </c>
      <c r="P80" s="199">
        <f t="shared" ref="P80:R80" si="78">(D80+H80+L80)/3</f>
        <v>10.66666667</v>
      </c>
      <c r="Q80" s="199">
        <f t="shared" si="78"/>
        <v>2.666666667</v>
      </c>
      <c r="R80" s="199">
        <f t="shared" si="78"/>
        <v>3</v>
      </c>
    </row>
    <row r="81">
      <c r="A81" s="198">
        <v>79.0</v>
      </c>
      <c r="B81" s="199">
        <f>CSE4098A_Spring2026_Grade!B83</f>
        <v>223014187</v>
      </c>
      <c r="C81" s="199" t="str">
        <f>CSE4098A_Spring2026_Grade!C83</f>
        <v>Mohammad Asif Abrar Sayim</v>
      </c>
      <c r="D81" s="201">
        <v>12.0</v>
      </c>
      <c r="E81" s="201">
        <v>3.0</v>
      </c>
      <c r="F81" s="201">
        <v>3.0</v>
      </c>
      <c r="H81" s="201">
        <v>10.0</v>
      </c>
      <c r="I81" s="201">
        <v>3.0</v>
      </c>
      <c r="J81" s="201">
        <v>3.0</v>
      </c>
      <c r="L81" s="201">
        <v>10.0</v>
      </c>
      <c r="M81" s="201">
        <v>2.0</v>
      </c>
      <c r="N81" s="201">
        <v>3.0</v>
      </c>
      <c r="P81" s="199">
        <f t="shared" ref="P81:R81" si="79">(D81+H81+L81)/3</f>
        <v>10.66666667</v>
      </c>
      <c r="Q81" s="199">
        <f t="shared" si="79"/>
        <v>2.666666667</v>
      </c>
      <c r="R81" s="199">
        <f t="shared" si="79"/>
        <v>3</v>
      </c>
    </row>
    <row r="82">
      <c r="A82" s="198">
        <v>80.0</v>
      </c>
      <c r="B82" s="199">
        <f>CSE4098A_Spring2026_Grade!B84</f>
        <v>231014107</v>
      </c>
      <c r="C82" s="199" t="str">
        <f>CSE4098A_Spring2026_Grade!C84</f>
        <v>Tahmina Akter Ritu</v>
      </c>
      <c r="D82" s="201">
        <v>13.0</v>
      </c>
      <c r="E82" s="201">
        <v>3.0</v>
      </c>
      <c r="F82" s="201">
        <v>3.0</v>
      </c>
      <c r="H82" s="201">
        <v>12.0</v>
      </c>
      <c r="I82" s="201">
        <v>2.0</v>
      </c>
      <c r="J82" s="201">
        <v>3.0</v>
      </c>
      <c r="L82" s="201">
        <v>13.0</v>
      </c>
      <c r="M82" s="201">
        <v>3.0</v>
      </c>
      <c r="N82" s="201">
        <v>3.0</v>
      </c>
      <c r="P82" s="199">
        <f t="shared" ref="P82:R82" si="80">(D82+H82+L82)/3</f>
        <v>12.66666667</v>
      </c>
      <c r="Q82" s="199">
        <f t="shared" si="80"/>
        <v>2.666666667</v>
      </c>
      <c r="R82" s="199">
        <f t="shared" si="80"/>
        <v>3</v>
      </c>
    </row>
    <row r="83">
      <c r="A83" s="198">
        <v>81.0</v>
      </c>
      <c r="B83" s="199">
        <f>CSE4098A_Spring2026_Grade!B85</f>
        <v>231014108</v>
      </c>
      <c r="C83" s="199" t="str">
        <f>CSE4098A_Spring2026_Grade!C85</f>
        <v>Jahra Amin Misty</v>
      </c>
      <c r="D83" s="201">
        <v>13.0</v>
      </c>
      <c r="E83" s="201">
        <v>3.0</v>
      </c>
      <c r="F83" s="201">
        <v>3.0</v>
      </c>
      <c r="H83" s="201">
        <v>12.0</v>
      </c>
      <c r="I83" s="201">
        <v>2.0</v>
      </c>
      <c r="J83" s="201">
        <v>3.0</v>
      </c>
      <c r="L83" s="201">
        <v>13.0</v>
      </c>
      <c r="M83" s="201">
        <v>3.0</v>
      </c>
      <c r="N83" s="201">
        <v>3.0</v>
      </c>
      <c r="P83" s="199">
        <f t="shared" ref="P83:R83" si="81">(D83+H83+L83)/3</f>
        <v>12.66666667</v>
      </c>
      <c r="Q83" s="199">
        <f t="shared" si="81"/>
        <v>2.666666667</v>
      </c>
      <c r="R83" s="199">
        <f t="shared" si="81"/>
        <v>3</v>
      </c>
    </row>
    <row r="84">
      <c r="A84" s="198">
        <v>82.0</v>
      </c>
      <c r="B84" s="199">
        <f>CSE4098A_Spring2026_Grade!B86</f>
        <v>223014098</v>
      </c>
      <c r="C84" s="199" t="str">
        <f>CSE4098A_Spring2026_Grade!C86</f>
        <v>Humayara Kabir Upoma</v>
      </c>
      <c r="D84" s="201">
        <v>13.0</v>
      </c>
      <c r="E84" s="201">
        <v>3.0</v>
      </c>
      <c r="F84" s="201">
        <v>3.0</v>
      </c>
      <c r="H84" s="201">
        <v>12.0</v>
      </c>
      <c r="I84" s="201">
        <v>2.0</v>
      </c>
      <c r="J84" s="201">
        <v>3.0</v>
      </c>
      <c r="L84" s="201">
        <v>13.0</v>
      </c>
      <c r="M84" s="201">
        <v>3.0</v>
      </c>
      <c r="N84" s="201">
        <v>3.0</v>
      </c>
      <c r="P84" s="199">
        <f t="shared" ref="P84:R84" si="82">(D84+H84+L84)/3</f>
        <v>12.66666667</v>
      </c>
      <c r="Q84" s="199">
        <f t="shared" si="82"/>
        <v>2.666666667</v>
      </c>
      <c r="R84" s="199">
        <f t="shared" si="82"/>
        <v>3</v>
      </c>
    </row>
    <row r="85">
      <c r="A85" s="198">
        <v>83.0</v>
      </c>
      <c r="B85" s="199">
        <f>CSE4098A_Spring2026_Grade!B87</f>
        <v>231014028</v>
      </c>
      <c r="C85" s="199" t="str">
        <f>CSE4098A_Spring2026_Grade!C87</f>
        <v>Maimuna Islam</v>
      </c>
      <c r="D85" s="201">
        <v>13.0</v>
      </c>
      <c r="E85" s="201">
        <v>3.0</v>
      </c>
      <c r="F85" s="201">
        <v>3.0</v>
      </c>
      <c r="H85" s="201">
        <v>12.0</v>
      </c>
      <c r="I85" s="201">
        <v>2.0</v>
      </c>
      <c r="J85" s="201">
        <v>3.0</v>
      </c>
      <c r="L85" s="201">
        <v>13.0</v>
      </c>
      <c r="M85" s="201">
        <v>3.0</v>
      </c>
      <c r="N85" s="201">
        <v>3.0</v>
      </c>
      <c r="P85" s="199">
        <f t="shared" ref="P85:R85" si="83">(D85+H85+L85)/3</f>
        <v>12.66666667</v>
      </c>
      <c r="Q85" s="199">
        <f t="shared" si="83"/>
        <v>2.666666667</v>
      </c>
      <c r="R85" s="199">
        <f t="shared" si="83"/>
        <v>3</v>
      </c>
    </row>
    <row r="86">
      <c r="P86" s="199">
        <f t="shared" ref="P86:R86" si="84">(D86+H86+L86)/3</f>
        <v>0</v>
      </c>
      <c r="Q86" s="199">
        <f t="shared" si="84"/>
        <v>0</v>
      </c>
      <c r="R86" s="199">
        <f t="shared" si="84"/>
        <v>0</v>
      </c>
    </row>
  </sheetData>
  <mergeCells count="4">
    <mergeCell ref="D1:F1"/>
    <mergeCell ref="H1:J1"/>
    <mergeCell ref="L1:N1"/>
    <mergeCell ref="P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25"/>
    <col customWidth="1" min="2" max="2" width="12.0"/>
    <col customWidth="1" min="3" max="3" width="26.75"/>
    <col customWidth="1" min="4" max="4" width="11.13"/>
    <col customWidth="1" min="5" max="5" width="13.75"/>
    <col customWidth="1" min="6" max="9" width="8.0"/>
    <col customWidth="1" min="10" max="10" width="7.88"/>
    <col customWidth="1" min="11" max="11" width="8.75"/>
    <col customWidth="1" min="12" max="12" width="8.0"/>
    <col customWidth="1" min="13" max="13" width="7.88"/>
    <col customWidth="1" min="14" max="15" width="8.25"/>
    <col customWidth="1" min="16" max="16" width="6.75"/>
    <col customWidth="1" min="17" max="23" width="8.38"/>
    <col customWidth="1" min="24" max="26" width="9.13"/>
    <col customWidth="1" min="27" max="27" width="12.13"/>
    <col customWidth="1" min="28" max="28" width="19.75"/>
    <col customWidth="1" min="29" max="48" width="14.25"/>
  </cols>
  <sheetData>
    <row r="1" ht="24.75" customHeight="1">
      <c r="A1" s="3" t="s">
        <v>203</v>
      </c>
    </row>
    <row r="2" ht="22.5" customHeight="1">
      <c r="A2" s="202" t="s">
        <v>1</v>
      </c>
    </row>
    <row r="3" ht="15.0" customHeight="1">
      <c r="A3" s="43"/>
      <c r="B3" s="203"/>
      <c r="C3" s="204" t="s">
        <v>2</v>
      </c>
      <c r="D3" s="205" t="s">
        <v>201</v>
      </c>
      <c r="E3" s="40"/>
      <c r="F3" s="206"/>
      <c r="G3" s="207" t="s">
        <v>204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08"/>
    </row>
    <row r="4" ht="41.25" customHeight="1">
      <c r="A4" s="5" t="s">
        <v>3</v>
      </c>
      <c r="B4" s="5" t="s">
        <v>4</v>
      </c>
      <c r="C4" s="6" t="s">
        <v>5</v>
      </c>
      <c r="D4" s="7" t="s">
        <v>205</v>
      </c>
      <c r="E4" s="7" t="s">
        <v>206</v>
      </c>
      <c r="F4" s="209" t="s">
        <v>15</v>
      </c>
      <c r="G4" s="210" t="s">
        <v>43</v>
      </c>
      <c r="H4" s="210" t="s">
        <v>73</v>
      </c>
      <c r="I4" s="210" t="s">
        <v>207</v>
      </c>
      <c r="J4" s="210" t="s">
        <v>33</v>
      </c>
      <c r="K4" s="211" t="s">
        <v>22</v>
      </c>
      <c r="L4" s="210" t="s">
        <v>101</v>
      </c>
      <c r="M4" s="212" t="s">
        <v>208</v>
      </c>
      <c r="N4" s="212" t="s">
        <v>89</v>
      </c>
      <c r="O4" s="210" t="s">
        <v>209</v>
      </c>
      <c r="P4" s="210" t="s">
        <v>210</v>
      </c>
      <c r="Q4" s="210" t="s">
        <v>211</v>
      </c>
      <c r="R4" s="209" t="s">
        <v>212</v>
      </c>
      <c r="S4" s="210" t="s">
        <v>125</v>
      </c>
      <c r="T4" s="210" t="s">
        <v>61</v>
      </c>
      <c r="U4" s="210" t="s">
        <v>107</v>
      </c>
      <c r="V4" s="210" t="s">
        <v>213</v>
      </c>
      <c r="W4" s="210" t="s">
        <v>95</v>
      </c>
      <c r="X4" s="209" t="s">
        <v>214</v>
      </c>
      <c r="Y4" s="209" t="s">
        <v>215</v>
      </c>
      <c r="Z4" s="210" t="s">
        <v>49</v>
      </c>
      <c r="AA4" s="9" t="s">
        <v>216</v>
      </c>
      <c r="AB4" s="7" t="s">
        <v>217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ht="18.75" customHeight="1">
      <c r="A5" s="11">
        <v>1.0</v>
      </c>
      <c r="B5" s="213">
        <f>CSE4098A_Spring2026_Grade!B5</f>
        <v>231014004</v>
      </c>
      <c r="C5" s="213" t="str">
        <f>CSE4098A_Spring2026_Grade!C5</f>
        <v>Bushra Nusyba Chowdhury</v>
      </c>
      <c r="D5" s="26">
        <v>30.0</v>
      </c>
      <c r="E5" s="214">
        <f t="shared" ref="E5:E87" si="1">ROUND((40*D5)/33,2)</f>
        <v>36.36</v>
      </c>
      <c r="F5" s="11"/>
      <c r="G5" s="11"/>
      <c r="H5" s="11"/>
      <c r="I5" s="11"/>
      <c r="J5" s="215">
        <v>27.0</v>
      </c>
      <c r="K5" s="16">
        <v>24.0</v>
      </c>
      <c r="L5" s="11"/>
      <c r="M5" s="216"/>
      <c r="N5" s="21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7">
        <f t="shared" ref="AA5:AA87" si="2">ROUND((40*AVERAGE(G5:Z5))/33,2)</f>
        <v>30.91</v>
      </c>
      <c r="AB5" s="217">
        <f t="shared" ref="AB5:AB87" si="3">ROUND((E5*60%+AA5*40%),2)</f>
        <v>34.18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</row>
    <row r="6" ht="18.75" customHeight="1">
      <c r="A6" s="11">
        <v>2.0</v>
      </c>
      <c r="B6" s="213">
        <f>CSE4098A_Spring2026_Grade!B6</f>
        <v>231014146</v>
      </c>
      <c r="C6" s="213" t="str">
        <f>CSE4098A_Spring2026_Grade!C6</f>
        <v>Tasneem Ahmed</v>
      </c>
      <c r="D6" s="26">
        <v>30.0</v>
      </c>
      <c r="E6" s="214">
        <f t="shared" si="1"/>
        <v>36.36</v>
      </c>
      <c r="F6" s="11"/>
      <c r="G6" s="11"/>
      <c r="H6" s="11"/>
      <c r="I6" s="11"/>
      <c r="J6" s="215">
        <v>27.0</v>
      </c>
      <c r="K6" s="16">
        <v>24.0</v>
      </c>
      <c r="L6" s="11"/>
      <c r="M6" s="216"/>
      <c r="N6" s="21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7">
        <f t="shared" si="2"/>
        <v>30.91</v>
      </c>
      <c r="AB6" s="217">
        <f t="shared" si="3"/>
        <v>34.18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</row>
    <row r="7" ht="18.75" customHeight="1">
      <c r="A7" s="11">
        <v>3.0</v>
      </c>
      <c r="B7" s="213">
        <f>CSE4098A_Spring2026_Grade!B7</f>
        <v>231014006</v>
      </c>
      <c r="C7" s="213" t="str">
        <f>CSE4098A_Spring2026_Grade!C7</f>
        <v>Ibnul Haque Chowdhury</v>
      </c>
      <c r="D7" s="26">
        <v>30.0</v>
      </c>
      <c r="E7" s="214">
        <f t="shared" si="1"/>
        <v>36.36</v>
      </c>
      <c r="F7" s="11"/>
      <c r="G7" s="11"/>
      <c r="H7" s="11"/>
      <c r="I7" s="11"/>
      <c r="J7" s="215">
        <v>27.0</v>
      </c>
      <c r="K7" s="16">
        <v>24.0</v>
      </c>
      <c r="L7" s="11"/>
      <c r="M7" s="216"/>
      <c r="N7" s="216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7">
        <f t="shared" si="2"/>
        <v>30.91</v>
      </c>
      <c r="AB7" s="217">
        <f t="shared" si="3"/>
        <v>34.18</v>
      </c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</row>
    <row r="8" ht="18.75" customHeight="1">
      <c r="A8" s="11">
        <v>4.0</v>
      </c>
      <c r="B8" s="213">
        <f>CSE4098A_Spring2026_Grade!B8</f>
        <v>231014022</v>
      </c>
      <c r="C8" s="213" t="str">
        <f>CSE4098A_Spring2026_Grade!C8</f>
        <v>Rafsan Islam</v>
      </c>
      <c r="D8" s="26">
        <v>30.0</v>
      </c>
      <c r="E8" s="214">
        <f t="shared" si="1"/>
        <v>36.36</v>
      </c>
      <c r="F8" s="11"/>
      <c r="G8" s="11"/>
      <c r="H8" s="11"/>
      <c r="I8" s="11"/>
      <c r="J8" s="215">
        <v>27.0</v>
      </c>
      <c r="K8" s="16">
        <v>24.0</v>
      </c>
      <c r="L8" s="11"/>
      <c r="M8" s="216"/>
      <c r="N8" s="216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7">
        <f t="shared" si="2"/>
        <v>30.91</v>
      </c>
      <c r="AB8" s="217">
        <f t="shared" si="3"/>
        <v>34.18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</row>
    <row r="9" ht="18.75" customHeight="1">
      <c r="A9" s="11">
        <v>5.0</v>
      </c>
      <c r="B9" s="213">
        <f>CSE4098A_Spring2026_Grade!B9</f>
        <v>231014042</v>
      </c>
      <c r="C9" s="213" t="str">
        <f>CSE4098A_Spring2026_Grade!C9</f>
        <v>Abir Akbar</v>
      </c>
      <c r="D9" s="26">
        <v>30.0</v>
      </c>
      <c r="E9" s="214">
        <f t="shared" si="1"/>
        <v>36.36</v>
      </c>
      <c r="F9" s="11"/>
      <c r="G9" s="11"/>
      <c r="H9" s="11"/>
      <c r="I9" s="11"/>
      <c r="J9" s="215">
        <v>27.0</v>
      </c>
      <c r="K9" s="16">
        <v>24.0</v>
      </c>
      <c r="L9" s="11"/>
      <c r="M9" s="216"/>
      <c r="N9" s="216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7">
        <f t="shared" si="2"/>
        <v>30.91</v>
      </c>
      <c r="AB9" s="217">
        <f t="shared" si="3"/>
        <v>34.18</v>
      </c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</row>
    <row r="10" ht="18.75" customHeight="1">
      <c r="A10" s="11">
        <v>6.0</v>
      </c>
      <c r="B10" s="213">
        <f>CSE4098A_Spring2026_Grade!B10</f>
        <v>232014128</v>
      </c>
      <c r="C10" s="213" t="str">
        <f>CSE4098A_Spring2026_Grade!C10</f>
        <v>Tonmoy Talukder</v>
      </c>
      <c r="D10" s="16">
        <v>30.0</v>
      </c>
      <c r="E10" s="214">
        <f t="shared" si="1"/>
        <v>36.36</v>
      </c>
      <c r="F10" s="16">
        <v>27.0</v>
      </c>
      <c r="G10" s="11"/>
      <c r="H10" s="11"/>
      <c r="I10" s="16">
        <v>28.0</v>
      </c>
      <c r="J10" s="218"/>
      <c r="K10" s="11"/>
      <c r="L10" s="11"/>
      <c r="M10" s="216"/>
      <c r="N10" s="216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7">
        <f t="shared" si="2"/>
        <v>33.94</v>
      </c>
      <c r="AB10" s="217">
        <f t="shared" si="3"/>
        <v>35.39</v>
      </c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</row>
    <row r="11" ht="18.75" customHeight="1">
      <c r="A11" s="11">
        <v>7.0</v>
      </c>
      <c r="B11" s="213">
        <f>CSE4098A_Spring2026_Grade!B11</f>
        <v>231014001</v>
      </c>
      <c r="C11" s="213" t="str">
        <f>CSE4098A_Spring2026_Grade!C11</f>
        <v>Md. Aminul Islam Rupak</v>
      </c>
      <c r="D11" s="16">
        <v>30.0</v>
      </c>
      <c r="E11" s="214">
        <f t="shared" si="1"/>
        <v>36.36</v>
      </c>
      <c r="F11" s="16">
        <v>27.0</v>
      </c>
      <c r="G11" s="11"/>
      <c r="H11" s="11"/>
      <c r="I11" s="16">
        <v>28.0</v>
      </c>
      <c r="J11" s="218"/>
      <c r="K11" s="11"/>
      <c r="L11" s="11"/>
      <c r="M11" s="216"/>
      <c r="N11" s="216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7">
        <f t="shared" si="2"/>
        <v>33.94</v>
      </c>
      <c r="AB11" s="217">
        <f t="shared" si="3"/>
        <v>35.39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</row>
    <row r="12" ht="18.75" customHeight="1">
      <c r="A12" s="11">
        <v>8.0</v>
      </c>
      <c r="B12" s="213">
        <f>CSE4098A_Spring2026_Grade!B12</f>
        <v>223014100</v>
      </c>
      <c r="C12" s="213" t="str">
        <f>CSE4098A_Spring2026_Grade!C12</f>
        <v>Jannatul Tazree</v>
      </c>
      <c r="D12" s="16">
        <v>30.0</v>
      </c>
      <c r="E12" s="214">
        <f t="shared" si="1"/>
        <v>36.36</v>
      </c>
      <c r="F12" s="16">
        <v>27.0</v>
      </c>
      <c r="G12" s="11"/>
      <c r="H12" s="11"/>
      <c r="I12" s="16">
        <v>28.0</v>
      </c>
      <c r="J12" s="218"/>
      <c r="K12" s="11"/>
      <c r="L12" s="11"/>
      <c r="M12" s="216"/>
      <c r="N12" s="216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>
        <f t="shared" si="2"/>
        <v>33.94</v>
      </c>
      <c r="AB12" s="217">
        <f t="shared" si="3"/>
        <v>35.39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</row>
    <row r="13" ht="18.75" customHeight="1">
      <c r="A13" s="11">
        <v>9.0</v>
      </c>
      <c r="B13" s="213">
        <f>CSE4098A_Spring2026_Grade!B13</f>
        <v>232014003</v>
      </c>
      <c r="C13" s="213" t="str">
        <f>CSE4098A_Spring2026_Grade!C13</f>
        <v>Tasin Bin Mortoza</v>
      </c>
      <c r="D13" s="16">
        <v>30.0</v>
      </c>
      <c r="E13" s="214">
        <f t="shared" si="1"/>
        <v>36.36</v>
      </c>
      <c r="F13" s="16">
        <v>27.0</v>
      </c>
      <c r="G13" s="11"/>
      <c r="H13" s="11"/>
      <c r="I13" s="16">
        <v>28.0</v>
      </c>
      <c r="J13" s="218"/>
      <c r="K13" s="11"/>
      <c r="L13" s="11"/>
      <c r="M13" s="216"/>
      <c r="N13" s="216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>
        <f t="shared" si="2"/>
        <v>33.94</v>
      </c>
      <c r="AB13" s="217">
        <f t="shared" si="3"/>
        <v>35.39</v>
      </c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</row>
    <row r="14" ht="18.75" customHeight="1">
      <c r="A14" s="11">
        <v>10.0</v>
      </c>
      <c r="B14" s="213">
        <f>CSE4098A_Spring2026_Grade!B14</f>
        <v>223014084</v>
      </c>
      <c r="C14" s="213" t="str">
        <f>CSE4098A_Spring2026_Grade!C14</f>
        <v>Mirza Mostafa Abrar</v>
      </c>
      <c r="D14" s="219">
        <v>28.0</v>
      </c>
      <c r="E14" s="214">
        <f t="shared" si="1"/>
        <v>33.94</v>
      </c>
      <c r="F14" s="11"/>
      <c r="G14" s="16">
        <v>28.0</v>
      </c>
      <c r="H14" s="11"/>
      <c r="I14" s="11"/>
      <c r="J14" s="11"/>
      <c r="K14" s="11"/>
      <c r="L14" s="11"/>
      <c r="M14" s="216"/>
      <c r="N14" s="216"/>
      <c r="O14" s="16">
        <v>30.0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>
        <f t="shared" si="2"/>
        <v>35.15</v>
      </c>
      <c r="AB14" s="217">
        <f t="shared" si="3"/>
        <v>34.42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</row>
    <row r="15" ht="18.75" customHeight="1">
      <c r="A15" s="11">
        <v>11.0</v>
      </c>
      <c r="B15" s="213">
        <f>CSE4098A_Spring2026_Grade!B15</f>
        <v>223014075</v>
      </c>
      <c r="C15" s="213" t="str">
        <f>CSE4098A_Spring2026_Grade!C15</f>
        <v>S M Rahnuma Apshara</v>
      </c>
      <c r="D15" s="219">
        <v>28.0</v>
      </c>
      <c r="E15" s="214">
        <f t="shared" si="1"/>
        <v>33.94</v>
      </c>
      <c r="F15" s="11"/>
      <c r="G15" s="16">
        <v>28.0</v>
      </c>
      <c r="H15" s="11"/>
      <c r="I15" s="11"/>
      <c r="J15" s="11"/>
      <c r="K15" s="11"/>
      <c r="L15" s="11"/>
      <c r="M15" s="216"/>
      <c r="N15" s="216"/>
      <c r="O15" s="16">
        <v>30.0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7">
        <f t="shared" si="2"/>
        <v>35.15</v>
      </c>
      <c r="AB15" s="217">
        <f t="shared" si="3"/>
        <v>34.42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</row>
    <row r="16" ht="18.75" customHeight="1">
      <c r="A16" s="11">
        <v>12.0</v>
      </c>
      <c r="B16" s="213">
        <f>CSE4098A_Spring2026_Grade!B16</f>
        <v>223014108</v>
      </c>
      <c r="C16" s="213" t="str">
        <f>CSE4098A_Spring2026_Grade!C16</f>
        <v>Israt Islam</v>
      </c>
      <c r="D16" s="219">
        <v>28.0</v>
      </c>
      <c r="E16" s="214">
        <f t="shared" si="1"/>
        <v>33.94</v>
      </c>
      <c r="F16" s="11"/>
      <c r="G16" s="16">
        <v>28.0</v>
      </c>
      <c r="H16" s="11"/>
      <c r="I16" s="11"/>
      <c r="J16" s="11"/>
      <c r="K16" s="11"/>
      <c r="L16" s="11"/>
      <c r="M16" s="11"/>
      <c r="N16" s="11"/>
      <c r="O16" s="16">
        <v>30.0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>
        <f t="shared" si="2"/>
        <v>35.15</v>
      </c>
      <c r="AB16" s="217">
        <f t="shared" si="3"/>
        <v>34.42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</row>
    <row r="17" ht="18.75" customHeight="1">
      <c r="A17" s="11">
        <v>13.0</v>
      </c>
      <c r="B17" s="213">
        <f>CSE4098A_Spring2026_Grade!B17</f>
        <v>223014090</v>
      </c>
      <c r="C17" s="213" t="str">
        <f>CSE4098A_Spring2026_Grade!C17</f>
        <v>Shatabdee Chanda Shruti</v>
      </c>
      <c r="D17" s="219">
        <v>28.0</v>
      </c>
      <c r="E17" s="214">
        <f t="shared" si="1"/>
        <v>33.94</v>
      </c>
      <c r="F17" s="11"/>
      <c r="G17" s="16">
        <v>28.0</v>
      </c>
      <c r="H17" s="11"/>
      <c r="I17" s="11"/>
      <c r="J17" s="11"/>
      <c r="K17" s="11"/>
      <c r="L17" s="11"/>
      <c r="M17" s="11"/>
      <c r="N17" s="11"/>
      <c r="O17" s="16">
        <v>30.0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7">
        <f t="shared" si="2"/>
        <v>35.15</v>
      </c>
      <c r="AB17" s="217">
        <f t="shared" si="3"/>
        <v>34.42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</row>
    <row r="18" ht="12.75" customHeight="1">
      <c r="A18" s="11">
        <v>14.0</v>
      </c>
      <c r="B18" s="213">
        <f>CSE4098A_Spring2026_Grade!B18</f>
        <v>223014024</v>
      </c>
      <c r="C18" s="213" t="str">
        <f>CSE4098A_Spring2026_Grade!C18</f>
        <v>Piyas Sarkar</v>
      </c>
      <c r="D18" s="219">
        <v>24.0</v>
      </c>
      <c r="E18" s="214">
        <f t="shared" si="1"/>
        <v>29.09</v>
      </c>
      <c r="F18" s="11"/>
      <c r="G18" s="16">
        <v>31.0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6">
        <v>28.0</v>
      </c>
      <c r="Y18" s="11"/>
      <c r="Z18" s="11"/>
      <c r="AA18" s="17">
        <f t="shared" si="2"/>
        <v>35.76</v>
      </c>
      <c r="AB18" s="217">
        <f t="shared" si="3"/>
        <v>31.76</v>
      </c>
    </row>
    <row r="19" ht="12.75" customHeight="1">
      <c r="A19" s="11">
        <v>15.0</v>
      </c>
      <c r="B19" s="213">
        <f>CSE4098A_Spring2026_Grade!B19</f>
        <v>223014112</v>
      </c>
      <c r="C19" s="213" t="str">
        <f>CSE4098A_Spring2026_Grade!C19</f>
        <v>Md. Mahmuduzzaman Mollah Rabbee</v>
      </c>
      <c r="D19" s="219">
        <v>24.0</v>
      </c>
      <c r="E19" s="214">
        <f t="shared" si="1"/>
        <v>29.09</v>
      </c>
      <c r="F19" s="11"/>
      <c r="G19" s="16">
        <v>31.0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6">
        <v>28.0</v>
      </c>
      <c r="Y19" s="11"/>
      <c r="Z19" s="11"/>
      <c r="AA19" s="17">
        <f t="shared" si="2"/>
        <v>35.76</v>
      </c>
      <c r="AB19" s="217">
        <f t="shared" si="3"/>
        <v>31.76</v>
      </c>
    </row>
    <row r="20" ht="12.75" customHeight="1">
      <c r="A20" s="11">
        <v>16.0</v>
      </c>
      <c r="B20" s="213">
        <f>CSE4098A_Spring2026_Grade!B20</f>
        <v>231014136</v>
      </c>
      <c r="C20" s="213" t="str">
        <f>CSE4098A_Spring2026_Grade!C20</f>
        <v>Md. Tasdiqur Rahman Khan</v>
      </c>
      <c r="D20" s="219">
        <v>24.0</v>
      </c>
      <c r="E20" s="214">
        <f t="shared" si="1"/>
        <v>29.09</v>
      </c>
      <c r="F20" s="11"/>
      <c r="G20" s="16">
        <v>31.0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6">
        <v>28.0</v>
      </c>
      <c r="Y20" s="11"/>
      <c r="Z20" s="11"/>
      <c r="AA20" s="17">
        <f t="shared" si="2"/>
        <v>35.76</v>
      </c>
      <c r="AB20" s="217">
        <f t="shared" si="3"/>
        <v>31.76</v>
      </c>
    </row>
    <row r="21" ht="12.75" customHeight="1">
      <c r="A21" s="11">
        <v>17.0</v>
      </c>
      <c r="B21" s="213">
        <f>CSE4098A_Spring2026_Grade!B21</f>
        <v>223014206</v>
      </c>
      <c r="C21" s="213" t="str">
        <f>CSE4098A_Spring2026_Grade!C21</f>
        <v>Rafia Haque Arpita</v>
      </c>
      <c r="D21" s="219">
        <v>24.0</v>
      </c>
      <c r="E21" s="214">
        <f t="shared" si="1"/>
        <v>29.09</v>
      </c>
      <c r="F21" s="11"/>
      <c r="G21" s="16">
        <v>31.0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6">
        <v>28.0</v>
      </c>
      <c r="Y21" s="11"/>
      <c r="Z21" s="11"/>
      <c r="AA21" s="17">
        <f t="shared" si="2"/>
        <v>35.76</v>
      </c>
      <c r="AB21" s="217">
        <f t="shared" si="3"/>
        <v>31.76</v>
      </c>
    </row>
    <row r="22" ht="12.75" customHeight="1">
      <c r="A22" s="11">
        <v>18.0</v>
      </c>
      <c r="B22" s="213">
        <f>CSE4098A_Spring2026_Grade!B22</f>
        <v>231014010</v>
      </c>
      <c r="C22" s="213" t="str">
        <f>CSE4098A_Spring2026_Grade!C22</f>
        <v>Mahmudul Islam Shajib</v>
      </c>
      <c r="D22" s="219">
        <v>26.0</v>
      </c>
      <c r="E22" s="214">
        <f t="shared" si="1"/>
        <v>31.52</v>
      </c>
      <c r="F22" s="11"/>
      <c r="G22" s="11"/>
      <c r="H22" s="11"/>
      <c r="I22" s="16">
        <v>31.0</v>
      </c>
      <c r="J22" s="11"/>
      <c r="K22" s="11"/>
      <c r="L22" s="11"/>
      <c r="M22" s="11"/>
      <c r="N22" s="11"/>
      <c r="O22" s="16">
        <v>28.0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>
        <f t="shared" si="2"/>
        <v>35.76</v>
      </c>
      <c r="AB22" s="217">
        <f t="shared" si="3"/>
        <v>33.22</v>
      </c>
    </row>
    <row r="23" ht="12.75" customHeight="1">
      <c r="A23" s="11">
        <v>19.0</v>
      </c>
      <c r="B23" s="213">
        <f>CSE4098A_Spring2026_Grade!B23</f>
        <v>231014082</v>
      </c>
      <c r="C23" s="213" t="str">
        <f>CSE4098A_Spring2026_Grade!C23</f>
        <v>Mst. Fahmida Jesmin</v>
      </c>
      <c r="D23" s="24">
        <v>26.0</v>
      </c>
      <c r="E23" s="214">
        <f t="shared" si="1"/>
        <v>31.52</v>
      </c>
      <c r="F23" s="11"/>
      <c r="G23" s="11"/>
      <c r="H23" s="11"/>
      <c r="I23" s="16">
        <v>31.0</v>
      </c>
      <c r="J23" s="11"/>
      <c r="K23" s="11"/>
      <c r="L23" s="11"/>
      <c r="M23" s="11"/>
      <c r="N23" s="11"/>
      <c r="O23" s="16">
        <v>28.0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7">
        <f t="shared" si="2"/>
        <v>35.76</v>
      </c>
      <c r="AB23" s="217">
        <f t="shared" si="3"/>
        <v>33.22</v>
      </c>
    </row>
    <row r="24" ht="12.75" customHeight="1">
      <c r="A24" s="11">
        <v>20.0</v>
      </c>
      <c r="B24" s="213">
        <f>CSE4098A_Spring2026_Grade!B24</f>
        <v>231014133</v>
      </c>
      <c r="C24" s="213" t="str">
        <f>CSE4098A_Spring2026_Grade!C24</f>
        <v>Md. Eakramul Karim Tarik</v>
      </c>
      <c r="D24" s="16">
        <v>26.0</v>
      </c>
      <c r="E24" s="214">
        <f t="shared" si="1"/>
        <v>31.52</v>
      </c>
      <c r="F24" s="11"/>
      <c r="G24" s="11"/>
      <c r="H24" s="11"/>
      <c r="I24" s="16">
        <v>31.0</v>
      </c>
      <c r="J24" s="11"/>
      <c r="K24" s="11"/>
      <c r="L24" s="11"/>
      <c r="M24" s="11"/>
      <c r="N24" s="11"/>
      <c r="O24" s="16">
        <v>28.0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>
        <f t="shared" si="2"/>
        <v>35.76</v>
      </c>
      <c r="AB24" s="217">
        <f t="shared" si="3"/>
        <v>33.22</v>
      </c>
    </row>
    <row r="25" ht="12.75" customHeight="1">
      <c r="A25" s="11">
        <v>21.0</v>
      </c>
      <c r="B25" s="213">
        <f>CSE4098A_Spring2026_Grade!B25</f>
        <v>231014120</v>
      </c>
      <c r="C25" s="213" t="str">
        <f>CSE4098A_Spring2026_Grade!C25</f>
        <v>Md. Abir Hosen</v>
      </c>
      <c r="D25" s="16">
        <v>32.0</v>
      </c>
      <c r="E25" s="214">
        <f t="shared" si="1"/>
        <v>38.79</v>
      </c>
      <c r="F25" s="11"/>
      <c r="G25" s="11"/>
      <c r="H25" s="11"/>
      <c r="I25" s="11"/>
      <c r="J25" s="11"/>
      <c r="K25" s="11"/>
      <c r="L25" s="11"/>
      <c r="M25" s="11"/>
      <c r="N25" s="11"/>
      <c r="O25" s="16">
        <v>31.0</v>
      </c>
      <c r="P25" s="11"/>
      <c r="Q25" s="11"/>
      <c r="R25" s="11"/>
      <c r="S25" s="11"/>
      <c r="T25" s="11"/>
      <c r="U25" s="11"/>
      <c r="V25" s="11"/>
      <c r="W25" s="11"/>
      <c r="X25" s="16">
        <v>20.0</v>
      </c>
      <c r="Y25" s="11"/>
      <c r="Z25" s="11"/>
      <c r="AA25" s="17">
        <f t="shared" si="2"/>
        <v>30.91</v>
      </c>
      <c r="AB25" s="217">
        <f t="shared" si="3"/>
        <v>35.64</v>
      </c>
    </row>
    <row r="26" ht="12.75" customHeight="1">
      <c r="A26" s="11">
        <v>22.0</v>
      </c>
      <c r="B26" s="213">
        <f>CSE4098A_Spring2026_Grade!B26</f>
        <v>231014096</v>
      </c>
      <c r="C26" s="213" t="str">
        <f>CSE4098A_Spring2026_Grade!C26</f>
        <v>Md. Rahat Hawlader</v>
      </c>
      <c r="D26" s="220">
        <v>32.0</v>
      </c>
      <c r="E26" s="214">
        <f t="shared" si="1"/>
        <v>38.79</v>
      </c>
      <c r="F26" s="11"/>
      <c r="G26" s="11"/>
      <c r="H26" s="11"/>
      <c r="I26" s="11"/>
      <c r="J26" s="11"/>
      <c r="K26" s="11"/>
      <c r="L26" s="11"/>
      <c r="M26" s="11"/>
      <c r="N26" s="11"/>
      <c r="O26" s="16">
        <v>31.0</v>
      </c>
      <c r="P26" s="11"/>
      <c r="Q26" s="11"/>
      <c r="R26" s="11"/>
      <c r="S26" s="11"/>
      <c r="T26" s="11"/>
      <c r="U26" s="11"/>
      <c r="V26" s="11"/>
      <c r="W26" s="11"/>
      <c r="X26" s="16">
        <v>20.0</v>
      </c>
      <c r="Y26" s="11"/>
      <c r="Z26" s="11"/>
      <c r="AA26" s="17">
        <f t="shared" si="2"/>
        <v>30.91</v>
      </c>
      <c r="AB26" s="217">
        <f t="shared" si="3"/>
        <v>35.64</v>
      </c>
    </row>
    <row r="27" ht="12.75" customHeight="1">
      <c r="A27" s="11">
        <v>23.0</v>
      </c>
      <c r="B27" s="213">
        <f>CSE4098A_Spring2026_Grade!B27</f>
        <v>231014014</v>
      </c>
      <c r="C27" s="213" t="str">
        <f>CSE4098A_Spring2026_Grade!C27</f>
        <v>Shahriar Alam Sazzad</v>
      </c>
      <c r="D27" s="220">
        <v>32.0</v>
      </c>
      <c r="E27" s="214">
        <f t="shared" si="1"/>
        <v>38.79</v>
      </c>
      <c r="F27" s="11"/>
      <c r="G27" s="11"/>
      <c r="H27" s="11"/>
      <c r="I27" s="11"/>
      <c r="J27" s="11"/>
      <c r="K27" s="11"/>
      <c r="L27" s="11"/>
      <c r="M27" s="11"/>
      <c r="N27" s="11"/>
      <c r="O27" s="16">
        <v>31.0</v>
      </c>
      <c r="P27" s="11"/>
      <c r="Q27" s="11"/>
      <c r="R27" s="11"/>
      <c r="S27" s="11"/>
      <c r="T27" s="11"/>
      <c r="U27" s="11"/>
      <c r="V27" s="11"/>
      <c r="W27" s="11"/>
      <c r="X27" s="16">
        <v>20.0</v>
      </c>
      <c r="Y27" s="11"/>
      <c r="Z27" s="11"/>
      <c r="AA27" s="17">
        <f t="shared" si="2"/>
        <v>30.91</v>
      </c>
      <c r="AB27" s="217">
        <f t="shared" si="3"/>
        <v>35.64</v>
      </c>
    </row>
    <row r="28" ht="12.75" customHeight="1">
      <c r="A28" s="11">
        <v>24.0</v>
      </c>
      <c r="B28" s="213">
        <f>CSE4098A_Spring2026_Grade!B28</f>
        <v>231014018</v>
      </c>
      <c r="C28" s="213" t="str">
        <f>CSE4098A_Spring2026_Grade!C28</f>
        <v>Zubaida Akter Prova</v>
      </c>
      <c r="D28" s="220">
        <v>32.0</v>
      </c>
      <c r="E28" s="214">
        <f t="shared" si="1"/>
        <v>38.79</v>
      </c>
      <c r="F28" s="11"/>
      <c r="G28" s="11"/>
      <c r="H28" s="11"/>
      <c r="I28" s="11"/>
      <c r="J28" s="11"/>
      <c r="K28" s="11"/>
      <c r="L28" s="11"/>
      <c r="M28" s="11"/>
      <c r="N28" s="11"/>
      <c r="O28" s="16">
        <v>31.0</v>
      </c>
      <c r="P28" s="11"/>
      <c r="Q28" s="11"/>
      <c r="R28" s="11"/>
      <c r="S28" s="11"/>
      <c r="T28" s="11"/>
      <c r="U28" s="11"/>
      <c r="V28" s="11"/>
      <c r="W28" s="11"/>
      <c r="X28" s="16">
        <v>20.0</v>
      </c>
      <c r="Y28" s="11"/>
      <c r="Z28" s="11"/>
      <c r="AA28" s="17">
        <f t="shared" si="2"/>
        <v>30.91</v>
      </c>
      <c r="AB28" s="217">
        <f t="shared" si="3"/>
        <v>35.64</v>
      </c>
    </row>
    <row r="29" ht="12.75" customHeight="1">
      <c r="A29" s="11">
        <v>25.0</v>
      </c>
      <c r="B29" s="213">
        <f>CSE4098A_Spring2026_Grade!B29</f>
        <v>231014052</v>
      </c>
      <c r="C29" s="213" t="str">
        <f>CSE4098A_Spring2026_Grade!C29</f>
        <v>Md. Shaidur Rahman</v>
      </c>
      <c r="D29" s="220">
        <v>25.0</v>
      </c>
      <c r="E29" s="214">
        <f t="shared" si="1"/>
        <v>30.3</v>
      </c>
      <c r="F29" s="11"/>
      <c r="G29" s="11"/>
      <c r="H29" s="11"/>
      <c r="I29" s="11"/>
      <c r="J29" s="221"/>
      <c r="K29" s="11"/>
      <c r="L29" s="11"/>
      <c r="M29" s="11"/>
      <c r="N29" s="11"/>
      <c r="O29" s="11"/>
      <c r="P29" s="16">
        <v>16.0</v>
      </c>
      <c r="Q29" s="11"/>
      <c r="R29" s="11"/>
      <c r="S29" s="11"/>
      <c r="T29" s="11"/>
      <c r="U29" s="11"/>
      <c r="V29" s="16">
        <v>15.0</v>
      </c>
      <c r="W29" s="11"/>
      <c r="X29" s="11"/>
      <c r="Y29" s="11"/>
      <c r="Z29" s="11"/>
      <c r="AA29" s="17">
        <f t="shared" si="2"/>
        <v>18.79</v>
      </c>
      <c r="AB29" s="217">
        <f t="shared" si="3"/>
        <v>25.7</v>
      </c>
    </row>
    <row r="30" ht="12.75" customHeight="1">
      <c r="A30" s="11">
        <v>26.0</v>
      </c>
      <c r="B30" s="213">
        <f>CSE4098A_Spring2026_Grade!B30</f>
        <v>231014131</v>
      </c>
      <c r="C30" s="213" t="str">
        <f>CSE4098A_Spring2026_Grade!C30</f>
        <v>Sumia Sharmin Sinthia</v>
      </c>
      <c r="D30" s="220">
        <v>25.0</v>
      </c>
      <c r="E30" s="214">
        <f t="shared" si="1"/>
        <v>30.3</v>
      </c>
      <c r="F30" s="11"/>
      <c r="G30" s="11"/>
      <c r="H30" s="11"/>
      <c r="I30" s="11"/>
      <c r="J30" s="221"/>
      <c r="K30" s="11"/>
      <c r="L30" s="11"/>
      <c r="M30" s="11"/>
      <c r="N30" s="11"/>
      <c r="O30" s="11"/>
      <c r="P30" s="16">
        <v>16.0</v>
      </c>
      <c r="Q30" s="11"/>
      <c r="R30" s="11"/>
      <c r="S30" s="11"/>
      <c r="T30" s="11"/>
      <c r="U30" s="11"/>
      <c r="V30" s="16">
        <v>15.0</v>
      </c>
      <c r="W30" s="11"/>
      <c r="X30" s="11"/>
      <c r="Y30" s="11"/>
      <c r="Z30" s="11"/>
      <c r="AA30" s="17">
        <f t="shared" si="2"/>
        <v>18.79</v>
      </c>
      <c r="AB30" s="217">
        <f t="shared" si="3"/>
        <v>25.7</v>
      </c>
    </row>
    <row r="31" ht="12.75" customHeight="1">
      <c r="A31" s="11">
        <v>27.0</v>
      </c>
      <c r="B31" s="213">
        <f>CSE4098A_Spring2026_Grade!B31</f>
        <v>221014109</v>
      </c>
      <c r="C31" s="213" t="str">
        <f>CSE4098A_Spring2026_Grade!C31</f>
        <v>Maharun Nessa Akhi</v>
      </c>
      <c r="D31" s="220">
        <v>25.0</v>
      </c>
      <c r="E31" s="214">
        <f t="shared" si="1"/>
        <v>30.3</v>
      </c>
      <c r="F31" s="11"/>
      <c r="G31" s="11"/>
      <c r="H31" s="11"/>
      <c r="I31" s="11"/>
      <c r="J31" s="221"/>
      <c r="K31" s="11"/>
      <c r="L31" s="11"/>
      <c r="M31" s="11"/>
      <c r="N31" s="11"/>
      <c r="O31" s="11"/>
      <c r="P31" s="16">
        <v>16.0</v>
      </c>
      <c r="Q31" s="11"/>
      <c r="R31" s="11"/>
      <c r="S31" s="11"/>
      <c r="T31" s="11"/>
      <c r="U31" s="11"/>
      <c r="V31" s="16">
        <v>15.0</v>
      </c>
      <c r="W31" s="11"/>
      <c r="X31" s="11"/>
      <c r="Y31" s="11"/>
      <c r="Z31" s="11"/>
      <c r="AA31" s="17">
        <f t="shared" si="2"/>
        <v>18.79</v>
      </c>
      <c r="AB31" s="217">
        <f t="shared" si="3"/>
        <v>25.7</v>
      </c>
    </row>
    <row r="32" ht="12.75" customHeight="1">
      <c r="A32" s="11">
        <v>28.0</v>
      </c>
      <c r="B32" s="213">
        <f>CSE4098A_Spring2026_Grade!B32</f>
        <v>223014088</v>
      </c>
      <c r="C32" s="213" t="str">
        <f>CSE4098A_Spring2026_Grade!C32</f>
        <v>Md. Sakib Ishrak</v>
      </c>
      <c r="D32" s="220">
        <v>25.0</v>
      </c>
      <c r="E32" s="214">
        <f t="shared" si="1"/>
        <v>30.3</v>
      </c>
      <c r="F32" s="11"/>
      <c r="G32" s="11"/>
      <c r="H32" s="11"/>
      <c r="I32" s="11"/>
      <c r="J32" s="221"/>
      <c r="K32" s="11"/>
      <c r="L32" s="11"/>
      <c r="M32" s="11"/>
      <c r="N32" s="11"/>
      <c r="O32" s="11"/>
      <c r="P32" s="16">
        <v>16.0</v>
      </c>
      <c r="Q32" s="11"/>
      <c r="R32" s="11"/>
      <c r="S32" s="11"/>
      <c r="T32" s="11"/>
      <c r="U32" s="11"/>
      <c r="V32" s="16">
        <v>15.0</v>
      </c>
      <c r="W32" s="11"/>
      <c r="X32" s="11"/>
      <c r="Y32" s="11"/>
      <c r="Z32" s="11"/>
      <c r="AA32" s="17">
        <f t="shared" si="2"/>
        <v>18.79</v>
      </c>
      <c r="AB32" s="217">
        <f t="shared" si="3"/>
        <v>25.7</v>
      </c>
    </row>
    <row r="33" ht="12.75" customHeight="1">
      <c r="A33" s="11">
        <v>29.0</v>
      </c>
      <c r="B33" s="213">
        <f>CSE4098A_Spring2026_Grade!B33</f>
        <v>231014017</v>
      </c>
      <c r="C33" s="213" t="str">
        <f>CSE4098A_Spring2026_Grade!C33</f>
        <v>Md. Jahid Ahamed Jihad</v>
      </c>
      <c r="D33" s="220">
        <v>29.0</v>
      </c>
      <c r="E33" s="214">
        <f t="shared" si="1"/>
        <v>35.15</v>
      </c>
      <c r="F33" s="11"/>
      <c r="G33" s="11"/>
      <c r="H33" s="11"/>
      <c r="I33" s="11"/>
      <c r="J33" s="221"/>
      <c r="K33" s="11"/>
      <c r="L33" s="11"/>
      <c r="M33" s="16">
        <v>22.0</v>
      </c>
      <c r="N33" s="11"/>
      <c r="O33" s="11"/>
      <c r="P33" s="11"/>
      <c r="Q33" s="11"/>
      <c r="R33" s="11"/>
      <c r="S33" s="11"/>
      <c r="T33" s="11"/>
      <c r="U33" s="11"/>
      <c r="V33" s="11"/>
      <c r="W33" s="16">
        <v>30.0</v>
      </c>
      <c r="X33" s="11"/>
      <c r="Y33" s="11"/>
      <c r="Z33" s="11"/>
      <c r="AA33" s="17">
        <f t="shared" si="2"/>
        <v>31.52</v>
      </c>
      <c r="AB33" s="217">
        <f t="shared" si="3"/>
        <v>33.7</v>
      </c>
    </row>
    <row r="34" ht="12.75" customHeight="1">
      <c r="A34" s="11">
        <v>30.0</v>
      </c>
      <c r="B34" s="213">
        <f>CSE4098A_Spring2026_Grade!B34</f>
        <v>231014115</v>
      </c>
      <c r="C34" s="213" t="str">
        <f>CSE4098A_Spring2026_Grade!C34</f>
        <v>Iftiker Jahid Moyshun</v>
      </c>
      <c r="D34" s="220">
        <v>29.0</v>
      </c>
      <c r="E34" s="214">
        <f t="shared" si="1"/>
        <v>35.15</v>
      </c>
      <c r="F34" s="11"/>
      <c r="G34" s="11"/>
      <c r="H34" s="11"/>
      <c r="I34" s="11"/>
      <c r="J34" s="11"/>
      <c r="K34" s="11"/>
      <c r="L34" s="11"/>
      <c r="M34" s="16">
        <v>22.0</v>
      </c>
      <c r="N34" s="11"/>
      <c r="O34" s="11"/>
      <c r="P34" s="11"/>
      <c r="Q34" s="11"/>
      <c r="R34" s="11"/>
      <c r="S34" s="11"/>
      <c r="T34" s="11"/>
      <c r="U34" s="11"/>
      <c r="V34" s="11"/>
      <c r="W34" s="16">
        <v>30.0</v>
      </c>
      <c r="X34" s="11"/>
      <c r="Y34" s="11"/>
      <c r="Z34" s="11"/>
      <c r="AA34" s="17">
        <f t="shared" si="2"/>
        <v>31.52</v>
      </c>
      <c r="AB34" s="217">
        <f t="shared" si="3"/>
        <v>33.7</v>
      </c>
    </row>
    <row r="35" ht="12.75" customHeight="1">
      <c r="A35" s="11">
        <v>31.0</v>
      </c>
      <c r="B35" s="213">
        <f>CSE4098A_Spring2026_Grade!B35</f>
        <v>231014151</v>
      </c>
      <c r="C35" s="213" t="str">
        <f>CSE4098A_Spring2026_Grade!C35</f>
        <v>Hasan Uddin Chowdhury</v>
      </c>
      <c r="D35" s="220">
        <v>29.0</v>
      </c>
      <c r="E35" s="214">
        <f t="shared" si="1"/>
        <v>35.15</v>
      </c>
      <c r="F35" s="11"/>
      <c r="G35" s="11"/>
      <c r="H35" s="11"/>
      <c r="I35" s="11"/>
      <c r="J35" s="11"/>
      <c r="K35" s="11"/>
      <c r="L35" s="11"/>
      <c r="M35" s="16">
        <v>22.0</v>
      </c>
      <c r="N35" s="11"/>
      <c r="O35" s="11"/>
      <c r="P35" s="11"/>
      <c r="Q35" s="11"/>
      <c r="R35" s="11"/>
      <c r="S35" s="11"/>
      <c r="T35" s="11"/>
      <c r="U35" s="11"/>
      <c r="V35" s="11"/>
      <c r="W35" s="16">
        <v>30.0</v>
      </c>
      <c r="X35" s="11"/>
      <c r="Y35" s="11"/>
      <c r="Z35" s="11"/>
      <c r="AA35" s="17">
        <f t="shared" si="2"/>
        <v>31.52</v>
      </c>
      <c r="AB35" s="217">
        <f t="shared" si="3"/>
        <v>33.7</v>
      </c>
    </row>
    <row r="36" ht="12.75" customHeight="1">
      <c r="A36" s="11">
        <v>32.0</v>
      </c>
      <c r="B36" s="213">
        <f>CSE4098A_Spring2026_Grade!B36</f>
        <v>231014003</v>
      </c>
      <c r="C36" s="213" t="str">
        <f>CSE4098A_Spring2026_Grade!C36</f>
        <v>Md. Arfan Alam</v>
      </c>
      <c r="D36" s="16">
        <v>29.0</v>
      </c>
      <c r="E36" s="214">
        <f t="shared" si="1"/>
        <v>35.15</v>
      </c>
      <c r="F36" s="11"/>
      <c r="G36" s="11"/>
      <c r="H36" s="11"/>
      <c r="I36" s="11"/>
      <c r="J36" s="11"/>
      <c r="K36" s="11"/>
      <c r="L36" s="11"/>
      <c r="M36" s="16">
        <v>22.0</v>
      </c>
      <c r="N36" s="11"/>
      <c r="O36" s="11"/>
      <c r="P36" s="11"/>
      <c r="Q36" s="11"/>
      <c r="R36" s="11"/>
      <c r="S36" s="11"/>
      <c r="T36" s="11"/>
      <c r="U36" s="11"/>
      <c r="V36" s="11"/>
      <c r="W36" s="16">
        <v>30.0</v>
      </c>
      <c r="X36" s="11"/>
      <c r="Y36" s="11"/>
      <c r="Z36" s="11"/>
      <c r="AA36" s="17">
        <f t="shared" si="2"/>
        <v>31.52</v>
      </c>
      <c r="AB36" s="217">
        <f t="shared" si="3"/>
        <v>33.7</v>
      </c>
    </row>
    <row r="37" ht="12.75" customHeight="1">
      <c r="A37" s="11">
        <v>33.0</v>
      </c>
      <c r="B37" s="213">
        <f>CSE4098A_Spring2026_Grade!B37</f>
        <v>231014147</v>
      </c>
      <c r="C37" s="213" t="str">
        <f>CSE4098A_Spring2026_Grade!C37</f>
        <v>Asif Ahmed</v>
      </c>
      <c r="D37" s="16">
        <v>29.0</v>
      </c>
      <c r="E37" s="214">
        <f t="shared" si="1"/>
        <v>35.15</v>
      </c>
      <c r="F37" s="11"/>
      <c r="G37" s="11"/>
      <c r="H37" s="11"/>
      <c r="I37" s="11"/>
      <c r="J37" s="11"/>
      <c r="K37" s="11"/>
      <c r="L37" s="11"/>
      <c r="M37" s="16">
        <v>22.0</v>
      </c>
      <c r="N37" s="11"/>
      <c r="O37" s="11"/>
      <c r="P37" s="11"/>
      <c r="Q37" s="11"/>
      <c r="R37" s="11"/>
      <c r="S37" s="11"/>
      <c r="T37" s="11"/>
      <c r="U37" s="11"/>
      <c r="V37" s="11"/>
      <c r="W37" s="16">
        <v>30.0</v>
      </c>
      <c r="X37" s="11"/>
      <c r="Y37" s="11"/>
      <c r="Z37" s="11"/>
      <c r="AA37" s="17">
        <f t="shared" si="2"/>
        <v>31.52</v>
      </c>
      <c r="AB37" s="217">
        <f t="shared" si="3"/>
        <v>33.7</v>
      </c>
    </row>
    <row r="38" ht="12.75" customHeight="1">
      <c r="A38" s="11">
        <v>34.0</v>
      </c>
      <c r="B38" s="213">
        <f>CSE4098A_Spring2026_Grade!B38</f>
        <v>213014010</v>
      </c>
      <c r="C38" s="213" t="str">
        <f>CSE4098A_Spring2026_Grade!C38</f>
        <v>Mozahedur Nur Nishanul Niloy</v>
      </c>
      <c r="D38" s="16">
        <v>30.0</v>
      </c>
      <c r="E38" s="214">
        <f t="shared" si="1"/>
        <v>36.36</v>
      </c>
      <c r="F38" s="222"/>
      <c r="G38" s="222"/>
      <c r="H38" s="222"/>
      <c r="I38" s="222"/>
      <c r="J38" s="222"/>
      <c r="K38" s="11"/>
      <c r="L38" s="222"/>
      <c r="M38" s="222"/>
      <c r="N38" s="222"/>
      <c r="O38" s="222"/>
      <c r="P38" s="222"/>
      <c r="Q38" s="222"/>
      <c r="R38" s="222"/>
      <c r="S38" s="11"/>
      <c r="T38" s="222"/>
      <c r="U38" s="222"/>
      <c r="V38" s="222"/>
      <c r="W38" s="222"/>
      <c r="X38" s="223"/>
      <c r="Y38" s="223">
        <v>17.0</v>
      </c>
      <c r="Z38" s="223">
        <v>18.0</v>
      </c>
      <c r="AA38" s="17">
        <f t="shared" si="2"/>
        <v>21.21</v>
      </c>
      <c r="AB38" s="217">
        <f t="shared" si="3"/>
        <v>30.3</v>
      </c>
    </row>
    <row r="39" ht="12.75" customHeight="1">
      <c r="A39" s="11">
        <v>35.0</v>
      </c>
      <c r="B39" s="213">
        <f>CSE4098A_Spring2026_Grade!B39</f>
        <v>221014096</v>
      </c>
      <c r="C39" s="213" t="str">
        <f>CSE4098A_Spring2026_Grade!C39</f>
        <v>Md. Nasimuzzaman Setu</v>
      </c>
      <c r="D39" s="16">
        <v>30.0</v>
      </c>
      <c r="E39" s="214">
        <f t="shared" si="1"/>
        <v>36.36</v>
      </c>
      <c r="F39" s="224"/>
      <c r="G39" s="224"/>
      <c r="H39" s="224"/>
      <c r="I39" s="224"/>
      <c r="J39" s="224"/>
      <c r="K39" s="11"/>
      <c r="L39" s="224"/>
      <c r="M39" s="224"/>
      <c r="N39" s="224"/>
      <c r="O39" s="224"/>
      <c r="P39" s="224"/>
      <c r="Q39" s="11"/>
      <c r="R39" s="11"/>
      <c r="S39" s="11"/>
      <c r="T39" s="224"/>
      <c r="U39" s="11"/>
      <c r="V39" s="225"/>
      <c r="W39" s="224"/>
      <c r="X39" s="226"/>
      <c r="Y39" s="226">
        <v>17.0</v>
      </c>
      <c r="Z39" s="226">
        <v>18.0</v>
      </c>
      <c r="AA39" s="17">
        <f t="shared" si="2"/>
        <v>21.21</v>
      </c>
      <c r="AB39" s="217">
        <f t="shared" si="3"/>
        <v>30.3</v>
      </c>
    </row>
    <row r="40" ht="12.75" customHeight="1">
      <c r="A40" s="11">
        <v>36.0</v>
      </c>
      <c r="B40" s="213">
        <f>CSE4098A_Spring2026_Grade!B40</f>
        <v>221014061</v>
      </c>
      <c r="C40" s="213" t="str">
        <f>CSE4098A_Spring2026_Grade!C40</f>
        <v>Mirazul Islam Turag</v>
      </c>
      <c r="D40" s="16">
        <v>30.0</v>
      </c>
      <c r="E40" s="214">
        <f t="shared" si="1"/>
        <v>36.36</v>
      </c>
      <c r="F40" s="224"/>
      <c r="G40" s="224"/>
      <c r="H40" s="224"/>
      <c r="I40" s="224"/>
      <c r="J40" s="224"/>
      <c r="K40" s="11"/>
      <c r="L40" s="224"/>
      <c r="M40" s="224"/>
      <c r="N40" s="224"/>
      <c r="O40" s="224"/>
      <c r="P40" s="224"/>
      <c r="Q40" s="11"/>
      <c r="R40" s="11"/>
      <c r="S40" s="11"/>
      <c r="T40" s="224"/>
      <c r="U40" s="224"/>
      <c r="V40" s="225"/>
      <c r="W40" s="224"/>
      <c r="X40" s="226"/>
      <c r="Y40" s="226">
        <v>17.0</v>
      </c>
      <c r="Z40" s="226">
        <v>18.0</v>
      </c>
      <c r="AA40" s="17">
        <f t="shared" si="2"/>
        <v>21.21</v>
      </c>
      <c r="AB40" s="217">
        <f t="shared" si="3"/>
        <v>30.3</v>
      </c>
      <c r="AE40" s="11"/>
    </row>
    <row r="41" ht="12.75" customHeight="1">
      <c r="A41" s="11">
        <v>37.0</v>
      </c>
      <c r="B41" s="213">
        <f>CSE4098A_Spring2026_Grade!B41</f>
        <v>221014087</v>
      </c>
      <c r="C41" s="213" t="str">
        <f>CSE4098A_Spring2026_Grade!C41</f>
        <v>Shahriar Al Shihab</v>
      </c>
      <c r="D41" s="16">
        <v>30.0</v>
      </c>
      <c r="E41" s="214">
        <f t="shared" si="1"/>
        <v>36.36</v>
      </c>
      <c r="F41" s="224"/>
      <c r="G41" s="224"/>
      <c r="H41" s="224"/>
      <c r="I41" s="224"/>
      <c r="J41" s="224"/>
      <c r="K41" s="11"/>
      <c r="L41" s="224"/>
      <c r="M41" s="224"/>
      <c r="N41" s="224"/>
      <c r="O41" s="224"/>
      <c r="P41" s="224"/>
      <c r="Q41" s="11"/>
      <c r="R41" s="11"/>
      <c r="S41" s="11"/>
      <c r="T41" s="224"/>
      <c r="U41" s="224"/>
      <c r="V41" s="225"/>
      <c r="W41" s="224"/>
      <c r="X41" s="226"/>
      <c r="Y41" s="226">
        <v>17.0</v>
      </c>
      <c r="Z41" s="226">
        <v>18.0</v>
      </c>
      <c r="AA41" s="17">
        <f t="shared" si="2"/>
        <v>21.21</v>
      </c>
      <c r="AB41" s="217">
        <f t="shared" si="3"/>
        <v>30.3</v>
      </c>
    </row>
    <row r="42" ht="12.75" customHeight="1">
      <c r="A42" s="11">
        <v>38.0</v>
      </c>
      <c r="B42" s="213">
        <f>CSE4098A_Spring2026_Grade!B42</f>
        <v>212014010</v>
      </c>
      <c r="C42" s="213" t="str">
        <f>CSE4098A_Spring2026_Grade!C42</f>
        <v>Md. Ayman Hasan</v>
      </c>
      <c r="D42" s="16">
        <v>31.0</v>
      </c>
      <c r="E42" s="214">
        <f t="shared" si="1"/>
        <v>37.58</v>
      </c>
      <c r="F42" s="224"/>
      <c r="G42" s="224"/>
      <c r="H42" s="224"/>
      <c r="I42" s="224"/>
      <c r="J42" s="224"/>
      <c r="K42" s="11"/>
      <c r="L42" s="224"/>
      <c r="M42" s="224"/>
      <c r="N42" s="11"/>
      <c r="O42" s="11"/>
      <c r="P42" s="224"/>
      <c r="Q42" s="11"/>
      <c r="R42" s="11"/>
      <c r="S42" s="11"/>
      <c r="T42" s="224"/>
      <c r="U42" s="224"/>
      <c r="V42" s="16">
        <v>22.0</v>
      </c>
      <c r="W42" s="11"/>
      <c r="X42" s="16"/>
      <c r="Y42" s="16">
        <v>14.0</v>
      </c>
      <c r="Z42" s="11"/>
      <c r="AA42" s="17">
        <f t="shared" si="2"/>
        <v>21.82</v>
      </c>
      <c r="AB42" s="217">
        <f t="shared" si="3"/>
        <v>31.28</v>
      </c>
    </row>
    <row r="43" ht="12.75" customHeight="1">
      <c r="A43" s="11">
        <v>39.0</v>
      </c>
      <c r="B43" s="213">
        <f>CSE4098A_Spring2026_Grade!B43</f>
        <v>213014056</v>
      </c>
      <c r="C43" s="213" t="str">
        <f>CSE4098A_Spring2026_Grade!C43</f>
        <v>Shovon Dip Karmaker</v>
      </c>
      <c r="D43" s="16">
        <v>31.0</v>
      </c>
      <c r="E43" s="214">
        <f t="shared" si="1"/>
        <v>37.58</v>
      </c>
      <c r="F43" s="224"/>
      <c r="G43" s="224"/>
      <c r="H43" s="224"/>
      <c r="I43" s="224"/>
      <c r="J43" s="224"/>
      <c r="K43" s="11"/>
      <c r="L43" s="11"/>
      <c r="M43" s="224"/>
      <c r="N43" s="224"/>
      <c r="O43" s="224"/>
      <c r="P43" s="224"/>
      <c r="Q43" s="11"/>
      <c r="R43" s="11"/>
      <c r="S43" s="11"/>
      <c r="T43" s="224"/>
      <c r="U43" s="224"/>
      <c r="V43" s="16">
        <v>22.0</v>
      </c>
      <c r="W43" s="11"/>
      <c r="X43" s="16"/>
      <c r="Y43" s="16">
        <v>14.0</v>
      </c>
      <c r="Z43" s="11"/>
      <c r="AA43" s="17">
        <f t="shared" si="2"/>
        <v>21.82</v>
      </c>
      <c r="AB43" s="217">
        <f t="shared" si="3"/>
        <v>31.28</v>
      </c>
    </row>
    <row r="44" ht="12.75" customHeight="1">
      <c r="A44" s="11">
        <v>40.0</v>
      </c>
      <c r="B44" s="213">
        <f>CSE4098A_Spring2026_Grade!B44</f>
        <v>212014022</v>
      </c>
      <c r="C44" s="213" t="str">
        <f>CSE4098A_Spring2026_Grade!C44</f>
        <v>Tahsin Aftab Khan</v>
      </c>
      <c r="D44" s="16">
        <v>31.0</v>
      </c>
      <c r="E44" s="214">
        <f t="shared" si="1"/>
        <v>37.58</v>
      </c>
      <c r="F44" s="224"/>
      <c r="G44" s="224"/>
      <c r="H44" s="224"/>
      <c r="I44" s="224"/>
      <c r="J44" s="224"/>
      <c r="K44" s="11"/>
      <c r="L44" s="11"/>
      <c r="M44" s="224"/>
      <c r="N44" s="224"/>
      <c r="O44" s="224"/>
      <c r="P44" s="224"/>
      <c r="Q44" s="224"/>
      <c r="R44" s="224"/>
      <c r="S44" s="224"/>
      <c r="T44" s="224"/>
      <c r="U44" s="224"/>
      <c r="V44" s="16">
        <v>22.0</v>
      </c>
      <c r="W44" s="11"/>
      <c r="X44" s="16"/>
      <c r="Y44" s="16">
        <v>14.0</v>
      </c>
      <c r="Z44" s="11"/>
      <c r="AA44" s="17">
        <f t="shared" si="2"/>
        <v>21.82</v>
      </c>
      <c r="AB44" s="217">
        <f t="shared" si="3"/>
        <v>31.28</v>
      </c>
    </row>
    <row r="45" ht="12.75" customHeight="1">
      <c r="A45" s="11">
        <v>41.0</v>
      </c>
      <c r="B45" s="213">
        <f>CSE4098A_Spring2026_Grade!B45</f>
        <v>213014040</v>
      </c>
      <c r="C45" s="213" t="str">
        <f>CSE4098A_Spring2026_Grade!C45</f>
        <v>Towhid Hossain Alvi</v>
      </c>
      <c r="D45" s="16">
        <v>31.0</v>
      </c>
      <c r="E45" s="214">
        <f t="shared" si="1"/>
        <v>37.58</v>
      </c>
      <c r="F45" s="224"/>
      <c r="G45" s="224"/>
      <c r="H45" s="224"/>
      <c r="I45" s="224"/>
      <c r="J45" s="224"/>
      <c r="K45" s="11"/>
      <c r="L45" s="11"/>
      <c r="M45" s="224"/>
      <c r="N45" s="224"/>
      <c r="O45" s="224"/>
      <c r="P45" s="224"/>
      <c r="Q45" s="224"/>
      <c r="R45" s="224"/>
      <c r="S45" s="224"/>
      <c r="T45" s="224"/>
      <c r="U45" s="224"/>
      <c r="V45" s="16">
        <v>22.0</v>
      </c>
      <c r="W45" s="11"/>
      <c r="X45" s="16"/>
      <c r="Y45" s="16">
        <v>14.0</v>
      </c>
      <c r="Z45" s="11"/>
      <c r="AA45" s="17">
        <f t="shared" si="2"/>
        <v>21.82</v>
      </c>
      <c r="AB45" s="217">
        <f t="shared" si="3"/>
        <v>31.28</v>
      </c>
    </row>
    <row r="46" ht="12.75" customHeight="1">
      <c r="A46" s="11">
        <v>42.0</v>
      </c>
      <c r="B46" s="213">
        <f>CSE4098A_Spring2026_Grade!B46</f>
        <v>213014058</v>
      </c>
      <c r="C46" s="213" t="str">
        <f>CSE4098A_Spring2026_Grade!C46</f>
        <v>Samina Akter</v>
      </c>
      <c r="D46" s="16">
        <v>31.0</v>
      </c>
      <c r="E46" s="214">
        <f t="shared" si="1"/>
        <v>37.58</v>
      </c>
      <c r="F46" s="224"/>
      <c r="G46" s="224"/>
      <c r="H46" s="224"/>
      <c r="I46" s="224"/>
      <c r="J46" s="224"/>
      <c r="K46" s="11"/>
      <c r="L46" s="11"/>
      <c r="M46" s="224"/>
      <c r="N46" s="224"/>
      <c r="O46" s="224"/>
      <c r="P46" s="224"/>
      <c r="Q46" s="224"/>
      <c r="R46" s="224"/>
      <c r="S46" s="224"/>
      <c r="T46" s="224"/>
      <c r="U46" s="224"/>
      <c r="V46" s="16">
        <v>22.0</v>
      </c>
      <c r="W46" s="11"/>
      <c r="X46" s="16"/>
      <c r="Y46" s="16">
        <v>14.0</v>
      </c>
      <c r="Z46" s="11"/>
      <c r="AA46" s="17">
        <f t="shared" si="2"/>
        <v>21.82</v>
      </c>
      <c r="AB46" s="217">
        <f t="shared" si="3"/>
        <v>31.28</v>
      </c>
    </row>
    <row r="47" ht="12.75" customHeight="1">
      <c r="A47" s="11">
        <v>43.0</v>
      </c>
      <c r="B47" s="213">
        <f>CSE4098A_Spring2026_Grade!B47</f>
        <v>232014048</v>
      </c>
      <c r="C47" s="213" t="str">
        <f>CSE4098A_Spring2026_Grade!C47</f>
        <v>Md. Shayan Alam</v>
      </c>
      <c r="D47" s="227">
        <v>31.0</v>
      </c>
      <c r="E47" s="214">
        <f t="shared" si="1"/>
        <v>37.58</v>
      </c>
      <c r="F47" s="224"/>
      <c r="G47" s="224"/>
      <c r="H47" s="224"/>
      <c r="I47" s="224"/>
      <c r="J47" s="224"/>
      <c r="K47" s="11"/>
      <c r="L47" s="16">
        <v>31.0</v>
      </c>
      <c r="M47" s="224"/>
      <c r="N47" s="224"/>
      <c r="O47" s="224"/>
      <c r="P47" s="224"/>
      <c r="Q47" s="224"/>
      <c r="R47" s="226"/>
      <c r="S47" s="226">
        <v>29.0</v>
      </c>
      <c r="T47" s="224"/>
      <c r="U47" s="224"/>
      <c r="V47" s="11"/>
      <c r="W47" s="11"/>
      <c r="X47" s="11"/>
      <c r="Y47" s="11"/>
      <c r="Z47" s="11"/>
      <c r="AA47" s="17">
        <f t="shared" si="2"/>
        <v>36.36</v>
      </c>
      <c r="AB47" s="217">
        <f t="shared" si="3"/>
        <v>37.09</v>
      </c>
    </row>
    <row r="48" ht="12.75" customHeight="1">
      <c r="A48" s="11">
        <v>44.0</v>
      </c>
      <c r="B48" s="213">
        <f>CSE4098A_Spring2026_Grade!B48</f>
        <v>223014077</v>
      </c>
      <c r="C48" s="213" t="str">
        <f>CSE4098A_Spring2026_Grade!C48</f>
        <v>Mir Hussain Murtaza</v>
      </c>
      <c r="D48" s="227">
        <v>31.0</v>
      </c>
      <c r="E48" s="214">
        <f t="shared" si="1"/>
        <v>37.58</v>
      </c>
      <c r="F48" s="224"/>
      <c r="G48" s="224"/>
      <c r="H48" s="224"/>
      <c r="I48" s="224"/>
      <c r="J48" s="224"/>
      <c r="K48" s="11"/>
      <c r="L48" s="16">
        <v>31.0</v>
      </c>
      <c r="M48" s="224"/>
      <c r="N48" s="224"/>
      <c r="O48" s="224"/>
      <c r="P48" s="224"/>
      <c r="Q48" s="224"/>
      <c r="R48" s="226"/>
      <c r="S48" s="226">
        <v>29.0</v>
      </c>
      <c r="T48" s="224"/>
      <c r="U48" s="224"/>
      <c r="V48" s="11"/>
      <c r="W48" s="11"/>
      <c r="X48" s="11"/>
      <c r="Y48" s="11"/>
      <c r="Z48" s="11"/>
      <c r="AA48" s="17">
        <f t="shared" si="2"/>
        <v>36.36</v>
      </c>
      <c r="AB48" s="217">
        <f t="shared" si="3"/>
        <v>37.09</v>
      </c>
    </row>
    <row r="49" ht="12.75" customHeight="1">
      <c r="A49" s="11">
        <v>45.0</v>
      </c>
      <c r="B49" s="213">
        <f>CSE4098A_Spring2026_Grade!B49</f>
        <v>232014033</v>
      </c>
      <c r="C49" s="213" t="str">
        <f>CSE4098A_Spring2026_Grade!C49</f>
        <v>Morium Rahman</v>
      </c>
      <c r="D49" s="227">
        <v>31.0</v>
      </c>
      <c r="E49" s="214">
        <f t="shared" si="1"/>
        <v>37.58</v>
      </c>
      <c r="F49" s="224"/>
      <c r="G49" s="224"/>
      <c r="H49" s="224"/>
      <c r="I49" s="224"/>
      <c r="J49" s="224"/>
      <c r="K49" s="11"/>
      <c r="L49" s="16">
        <v>31.0</v>
      </c>
      <c r="M49" s="224"/>
      <c r="N49" s="224"/>
      <c r="O49" s="224"/>
      <c r="P49" s="224"/>
      <c r="Q49" s="224"/>
      <c r="R49" s="226"/>
      <c r="S49" s="226">
        <v>29.0</v>
      </c>
      <c r="T49" s="224"/>
      <c r="U49" s="224"/>
      <c r="V49" s="11"/>
      <c r="W49" s="11"/>
      <c r="X49" s="11"/>
      <c r="Y49" s="11"/>
      <c r="Z49" s="11"/>
      <c r="AA49" s="17">
        <f t="shared" si="2"/>
        <v>36.36</v>
      </c>
      <c r="AB49" s="217">
        <f t="shared" si="3"/>
        <v>37.09</v>
      </c>
    </row>
    <row r="50" ht="12.75" customHeight="1">
      <c r="A50" s="11">
        <v>46.0</v>
      </c>
      <c r="B50" s="213">
        <f>CSE4098A_Spring2026_Grade!B50</f>
        <v>232014102</v>
      </c>
      <c r="C50" s="213" t="str">
        <f>CSE4098A_Spring2026_Grade!C50</f>
        <v>Sabikun Nahar Zaria</v>
      </c>
      <c r="D50" s="227">
        <v>31.0</v>
      </c>
      <c r="E50" s="214">
        <f t="shared" si="1"/>
        <v>37.58</v>
      </c>
      <c r="F50" s="224"/>
      <c r="G50" s="224"/>
      <c r="H50" s="224"/>
      <c r="I50" s="224"/>
      <c r="J50" s="224"/>
      <c r="K50" s="11"/>
      <c r="L50" s="16">
        <v>31.0</v>
      </c>
      <c r="M50" s="224"/>
      <c r="N50" s="224"/>
      <c r="O50" s="224"/>
      <c r="P50" s="224"/>
      <c r="Q50" s="224"/>
      <c r="R50" s="226"/>
      <c r="S50" s="226">
        <v>29.0</v>
      </c>
      <c r="T50" s="224"/>
      <c r="U50" s="224"/>
      <c r="V50" s="11"/>
      <c r="W50" s="11"/>
      <c r="X50" s="11"/>
      <c r="Y50" s="11"/>
      <c r="Z50" s="11"/>
      <c r="AA50" s="17">
        <f t="shared" si="2"/>
        <v>36.36</v>
      </c>
      <c r="AB50" s="217">
        <f t="shared" si="3"/>
        <v>37.09</v>
      </c>
    </row>
    <row r="51" ht="12.75" customHeight="1">
      <c r="A51" s="11">
        <v>47.0</v>
      </c>
      <c r="B51" s="213">
        <f>CSE4098A_Spring2026_Grade!B51</f>
        <v>232014040</v>
      </c>
      <c r="C51" s="213" t="str">
        <f>CSE4098A_Spring2026_Grade!C51</f>
        <v>Sima Akter Tithe</v>
      </c>
      <c r="D51" s="227">
        <v>30.0</v>
      </c>
      <c r="E51" s="214">
        <f t="shared" si="1"/>
        <v>36.36</v>
      </c>
      <c r="F51" s="224"/>
      <c r="G51" s="224"/>
      <c r="H51" s="224"/>
      <c r="I51" s="224"/>
      <c r="J51" s="224"/>
      <c r="K51" s="11"/>
      <c r="L51" s="11"/>
      <c r="M51" s="224"/>
      <c r="N51" s="226">
        <v>33.0</v>
      </c>
      <c r="O51" s="224"/>
      <c r="P51" s="224"/>
      <c r="Q51" s="224"/>
      <c r="R51" s="224"/>
      <c r="S51" s="224"/>
      <c r="T51" s="224"/>
      <c r="U51" s="226">
        <v>28.0</v>
      </c>
      <c r="V51" s="11"/>
      <c r="W51" s="11"/>
      <c r="X51" s="11"/>
      <c r="Y51" s="11"/>
      <c r="Z51" s="11"/>
      <c r="AA51" s="17">
        <f t="shared" si="2"/>
        <v>36.97</v>
      </c>
      <c r="AB51" s="217">
        <f t="shared" si="3"/>
        <v>36.6</v>
      </c>
    </row>
    <row r="52" ht="12.75" customHeight="1">
      <c r="A52" s="11">
        <v>48.0</v>
      </c>
      <c r="B52" s="213">
        <f>CSE4098A_Spring2026_Grade!B52</f>
        <v>232014027</v>
      </c>
      <c r="C52" s="213" t="str">
        <f>CSE4098A_Spring2026_Grade!C52</f>
        <v>Muskan Gouri</v>
      </c>
      <c r="D52" s="227">
        <v>30.0</v>
      </c>
      <c r="E52" s="214">
        <f t="shared" si="1"/>
        <v>36.36</v>
      </c>
      <c r="F52" s="224"/>
      <c r="G52" s="224"/>
      <c r="H52" s="224"/>
      <c r="I52" s="224"/>
      <c r="J52" s="224"/>
      <c r="K52" s="11"/>
      <c r="L52" s="11"/>
      <c r="M52" s="224"/>
      <c r="N52" s="226">
        <v>33.0</v>
      </c>
      <c r="O52" s="224"/>
      <c r="P52" s="224"/>
      <c r="Q52" s="224"/>
      <c r="R52" s="224"/>
      <c r="S52" s="224"/>
      <c r="T52" s="224"/>
      <c r="U52" s="226">
        <v>28.0</v>
      </c>
      <c r="V52" s="11"/>
      <c r="W52" s="11"/>
      <c r="X52" s="11"/>
      <c r="Y52" s="11"/>
      <c r="Z52" s="11"/>
      <c r="AA52" s="17">
        <f t="shared" si="2"/>
        <v>36.97</v>
      </c>
      <c r="AB52" s="217">
        <f t="shared" si="3"/>
        <v>36.6</v>
      </c>
    </row>
    <row r="53" ht="12.75" customHeight="1">
      <c r="A53" s="11">
        <v>49.0</v>
      </c>
      <c r="B53" s="213">
        <f>CSE4098A_Spring2026_Grade!B53</f>
        <v>213014024</v>
      </c>
      <c r="C53" s="213" t="str">
        <f>CSE4098A_Spring2026_Grade!C53</f>
        <v>Minhaz Hossen</v>
      </c>
      <c r="D53" s="227">
        <v>30.0</v>
      </c>
      <c r="E53" s="214">
        <f t="shared" si="1"/>
        <v>36.36</v>
      </c>
      <c r="F53" s="224"/>
      <c r="G53" s="224"/>
      <c r="H53" s="224"/>
      <c r="I53" s="224"/>
      <c r="J53" s="224"/>
      <c r="K53" s="11"/>
      <c r="L53" s="11"/>
      <c r="M53" s="224"/>
      <c r="N53" s="226">
        <v>33.0</v>
      </c>
      <c r="O53" s="224"/>
      <c r="P53" s="224"/>
      <c r="Q53" s="224"/>
      <c r="R53" s="224"/>
      <c r="S53" s="224"/>
      <c r="T53" s="224"/>
      <c r="U53" s="226">
        <v>28.0</v>
      </c>
      <c r="V53" s="11"/>
      <c r="W53" s="11"/>
      <c r="X53" s="11"/>
      <c r="Y53" s="11"/>
      <c r="Z53" s="11"/>
      <c r="AA53" s="17">
        <f t="shared" si="2"/>
        <v>36.97</v>
      </c>
      <c r="AB53" s="217">
        <f t="shared" si="3"/>
        <v>36.6</v>
      </c>
    </row>
    <row r="54" ht="12.75" customHeight="1">
      <c r="A54" s="11">
        <v>50.0</v>
      </c>
      <c r="B54" s="213">
        <f>CSE4098A_Spring2026_Grade!B54</f>
        <v>221014137</v>
      </c>
      <c r="C54" s="213" t="str">
        <f>CSE4098A_Spring2026_Grade!C54</f>
        <v>Prisom Halder</v>
      </c>
      <c r="D54" s="227">
        <v>30.0</v>
      </c>
      <c r="E54" s="214">
        <f t="shared" si="1"/>
        <v>36.36</v>
      </c>
      <c r="F54" s="224"/>
      <c r="G54" s="224"/>
      <c r="H54" s="224"/>
      <c r="I54" s="224"/>
      <c r="J54" s="224"/>
      <c r="K54" s="11"/>
      <c r="L54" s="11"/>
      <c r="M54" s="224"/>
      <c r="N54" s="226">
        <v>33.0</v>
      </c>
      <c r="O54" s="224"/>
      <c r="P54" s="224"/>
      <c r="Q54" s="224"/>
      <c r="R54" s="224"/>
      <c r="S54" s="224"/>
      <c r="T54" s="224"/>
      <c r="U54" s="226">
        <v>28.0</v>
      </c>
      <c r="V54" s="11"/>
      <c r="W54" s="11"/>
      <c r="X54" s="11"/>
      <c r="Y54" s="11"/>
      <c r="Z54" s="11"/>
      <c r="AA54" s="17">
        <f t="shared" si="2"/>
        <v>36.97</v>
      </c>
      <c r="AB54" s="217">
        <f t="shared" si="3"/>
        <v>36.6</v>
      </c>
    </row>
    <row r="55" ht="12.75" customHeight="1">
      <c r="A55" s="11">
        <v>51.0</v>
      </c>
      <c r="B55" s="213">
        <f>CSE4098A_Spring2026_Grade!B55</f>
        <v>223014125</v>
      </c>
      <c r="C55" s="213" t="str">
        <f>CSE4098A_Spring2026_Grade!C55</f>
        <v>Fatima Wohabee</v>
      </c>
      <c r="D55" s="227">
        <v>25.0</v>
      </c>
      <c r="E55" s="214">
        <f t="shared" si="1"/>
        <v>30.3</v>
      </c>
      <c r="F55" s="224"/>
      <c r="G55" s="224"/>
      <c r="H55" s="224"/>
      <c r="I55" s="224"/>
      <c r="J55" s="224"/>
      <c r="K55" s="11"/>
      <c r="L55" s="16">
        <v>20.0</v>
      </c>
      <c r="M55" s="224"/>
      <c r="N55" s="224"/>
      <c r="O55" s="224"/>
      <c r="P55" s="224"/>
      <c r="Q55" s="224"/>
      <c r="R55" s="226">
        <v>24.0</v>
      </c>
      <c r="S55" s="224"/>
      <c r="T55" s="224"/>
      <c r="U55" s="224"/>
      <c r="V55" s="11"/>
      <c r="W55" s="11"/>
      <c r="X55" s="11"/>
      <c r="Y55" s="11"/>
      <c r="Z55" s="11"/>
      <c r="AA55" s="17">
        <f t="shared" si="2"/>
        <v>26.67</v>
      </c>
      <c r="AB55" s="217">
        <f t="shared" si="3"/>
        <v>28.85</v>
      </c>
    </row>
    <row r="56" ht="12.75" customHeight="1">
      <c r="A56" s="11">
        <v>52.0</v>
      </c>
      <c r="B56" s="213">
        <f>CSE4098A_Spring2026_Grade!B56</f>
        <v>231014008</v>
      </c>
      <c r="C56" s="213" t="str">
        <f>CSE4098A_Spring2026_Grade!C56</f>
        <v>Tasnim Taher</v>
      </c>
      <c r="D56" s="227">
        <v>25.0</v>
      </c>
      <c r="E56" s="214">
        <f t="shared" si="1"/>
        <v>30.3</v>
      </c>
      <c r="F56" s="224"/>
      <c r="G56" s="224"/>
      <c r="H56" s="224"/>
      <c r="I56" s="224"/>
      <c r="J56" s="224"/>
      <c r="K56" s="11"/>
      <c r="L56" s="16">
        <v>20.0</v>
      </c>
      <c r="M56" s="224"/>
      <c r="N56" s="224"/>
      <c r="O56" s="224"/>
      <c r="P56" s="224"/>
      <c r="Q56" s="224"/>
      <c r="R56" s="226">
        <v>24.0</v>
      </c>
      <c r="S56" s="224"/>
      <c r="T56" s="224"/>
      <c r="U56" s="224"/>
      <c r="V56" s="11"/>
      <c r="W56" s="11"/>
      <c r="X56" s="11"/>
      <c r="Y56" s="11"/>
      <c r="Z56" s="11"/>
      <c r="AA56" s="17">
        <f t="shared" si="2"/>
        <v>26.67</v>
      </c>
      <c r="AB56" s="217">
        <f t="shared" si="3"/>
        <v>28.85</v>
      </c>
    </row>
    <row r="57" ht="12.75" customHeight="1">
      <c r="A57" s="11">
        <v>53.0</v>
      </c>
      <c r="B57" s="213">
        <f>CSE4098A_Spring2026_Grade!B57</f>
        <v>223014064</v>
      </c>
      <c r="C57" s="213" t="str">
        <f>CSE4098A_Spring2026_Grade!C57</f>
        <v>Israt Zahan Ifa</v>
      </c>
      <c r="D57" s="227">
        <v>25.0</v>
      </c>
      <c r="E57" s="214">
        <f t="shared" si="1"/>
        <v>30.3</v>
      </c>
      <c r="F57" s="224"/>
      <c r="G57" s="224"/>
      <c r="H57" s="224"/>
      <c r="I57" s="224"/>
      <c r="J57" s="224"/>
      <c r="K57" s="11"/>
      <c r="L57" s="16">
        <v>20.0</v>
      </c>
      <c r="M57" s="224"/>
      <c r="N57" s="224"/>
      <c r="O57" s="224"/>
      <c r="P57" s="224"/>
      <c r="Q57" s="224"/>
      <c r="R57" s="226">
        <v>24.0</v>
      </c>
      <c r="S57" s="224"/>
      <c r="T57" s="224"/>
      <c r="U57" s="224"/>
      <c r="V57" s="11"/>
      <c r="W57" s="11"/>
      <c r="X57" s="11"/>
      <c r="Y57" s="11"/>
      <c r="Z57" s="11"/>
      <c r="AA57" s="17">
        <f t="shared" si="2"/>
        <v>26.67</v>
      </c>
      <c r="AB57" s="217">
        <f t="shared" si="3"/>
        <v>28.85</v>
      </c>
    </row>
    <row r="58" ht="12.75" customHeight="1">
      <c r="A58" s="11">
        <v>54.0</v>
      </c>
      <c r="B58" s="213">
        <f>CSE4098A_Spring2026_Grade!B58</f>
        <v>231014123</v>
      </c>
      <c r="C58" s="213" t="str">
        <f>CSE4098A_Spring2026_Grade!C58</f>
        <v>Rakib Rahman</v>
      </c>
      <c r="D58" s="227">
        <v>25.0</v>
      </c>
      <c r="E58" s="214">
        <f t="shared" si="1"/>
        <v>30.3</v>
      </c>
      <c r="F58" s="224"/>
      <c r="G58" s="224"/>
      <c r="H58" s="224"/>
      <c r="I58" s="224"/>
      <c r="J58" s="224"/>
      <c r="K58" s="11"/>
      <c r="L58" s="16">
        <v>20.0</v>
      </c>
      <c r="M58" s="224"/>
      <c r="N58" s="224"/>
      <c r="O58" s="224"/>
      <c r="P58" s="224"/>
      <c r="Q58" s="224"/>
      <c r="R58" s="226">
        <v>24.0</v>
      </c>
      <c r="S58" s="224"/>
      <c r="T58" s="224"/>
      <c r="U58" s="224"/>
      <c r="V58" s="11"/>
      <c r="W58" s="11"/>
      <c r="X58" s="11"/>
      <c r="Y58" s="11"/>
      <c r="Z58" s="11"/>
      <c r="AA58" s="17">
        <f t="shared" si="2"/>
        <v>26.67</v>
      </c>
      <c r="AB58" s="217">
        <f t="shared" si="3"/>
        <v>28.85</v>
      </c>
    </row>
    <row r="59" ht="12.75" customHeight="1">
      <c r="A59" s="11">
        <v>55.0</v>
      </c>
      <c r="B59" s="213">
        <f>CSE4098A_Spring2026_Grade!B59</f>
        <v>223014141</v>
      </c>
      <c r="C59" s="213" t="str">
        <f>CSE4098A_Spring2026_Grade!C59</f>
        <v>Yasin Khandakar</v>
      </c>
      <c r="D59" s="16">
        <v>18.0</v>
      </c>
      <c r="E59" s="214">
        <f t="shared" si="1"/>
        <v>21.82</v>
      </c>
      <c r="F59" s="224"/>
      <c r="G59" s="224"/>
      <c r="H59" s="228">
        <v>22.0</v>
      </c>
      <c r="I59" s="224"/>
      <c r="J59" s="224"/>
      <c r="K59" s="11"/>
      <c r="L59" s="16">
        <v>22.0</v>
      </c>
      <c r="M59" s="224"/>
      <c r="N59" s="224"/>
      <c r="O59" s="224"/>
      <c r="P59" s="224"/>
      <c r="Q59" s="224"/>
      <c r="R59" s="224"/>
      <c r="S59" s="224"/>
      <c r="T59" s="224"/>
      <c r="U59" s="224"/>
      <c r="V59" s="11"/>
      <c r="W59" s="11"/>
      <c r="X59" s="11"/>
      <c r="Y59" s="11"/>
      <c r="Z59" s="11"/>
      <c r="AA59" s="17">
        <f t="shared" si="2"/>
        <v>26.67</v>
      </c>
      <c r="AB59" s="217">
        <f t="shared" si="3"/>
        <v>23.76</v>
      </c>
    </row>
    <row r="60" ht="12.75" customHeight="1">
      <c r="A60" s="11">
        <v>56.0</v>
      </c>
      <c r="B60" s="213">
        <f>CSE4098A_Spring2026_Grade!B60</f>
        <v>223014002</v>
      </c>
      <c r="C60" s="213" t="str">
        <f>CSE4098A_Spring2026_Grade!C60</f>
        <v>Sanjida Siddique</v>
      </c>
      <c r="D60" s="16">
        <v>18.0</v>
      </c>
      <c r="E60" s="214">
        <f t="shared" si="1"/>
        <v>21.82</v>
      </c>
      <c r="F60" s="224"/>
      <c r="G60" s="224"/>
      <c r="H60" s="228">
        <v>22.0</v>
      </c>
      <c r="I60" s="224"/>
      <c r="J60" s="224"/>
      <c r="K60" s="11"/>
      <c r="L60" s="16">
        <v>22.0</v>
      </c>
      <c r="M60" s="224"/>
      <c r="N60" s="224"/>
      <c r="O60" s="224"/>
      <c r="P60" s="224"/>
      <c r="Q60" s="224"/>
      <c r="R60" s="224"/>
      <c r="S60" s="224"/>
      <c r="T60" s="224"/>
      <c r="U60" s="224"/>
      <c r="V60" s="11"/>
      <c r="W60" s="11"/>
      <c r="X60" s="11"/>
      <c r="Y60" s="11"/>
      <c r="Z60" s="11"/>
      <c r="AA60" s="17">
        <f t="shared" si="2"/>
        <v>26.67</v>
      </c>
      <c r="AB60" s="217">
        <f t="shared" si="3"/>
        <v>23.76</v>
      </c>
    </row>
    <row r="61" ht="12.75" customHeight="1">
      <c r="A61" s="11">
        <v>57.0</v>
      </c>
      <c r="B61" s="213">
        <f>CSE4098A_Spring2026_Grade!B61</f>
        <v>221014059</v>
      </c>
      <c r="C61" s="213" t="str">
        <f>CSE4098A_Spring2026_Grade!C61</f>
        <v>Shakila Rahman Sudha</v>
      </c>
      <c r="D61" s="16">
        <v>18.0</v>
      </c>
      <c r="E61" s="214">
        <f t="shared" si="1"/>
        <v>21.82</v>
      </c>
      <c r="F61" s="224"/>
      <c r="G61" s="224"/>
      <c r="H61" s="228">
        <v>22.0</v>
      </c>
      <c r="I61" s="224"/>
      <c r="J61" s="224"/>
      <c r="K61" s="11"/>
      <c r="L61" s="16">
        <v>22.0</v>
      </c>
      <c r="M61" s="224"/>
      <c r="N61" s="224"/>
      <c r="O61" s="224"/>
      <c r="P61" s="224"/>
      <c r="Q61" s="224"/>
      <c r="R61" s="224"/>
      <c r="S61" s="224"/>
      <c r="T61" s="224"/>
      <c r="U61" s="224"/>
      <c r="V61" s="11"/>
      <c r="W61" s="11"/>
      <c r="X61" s="11"/>
      <c r="Y61" s="11"/>
      <c r="Z61" s="11"/>
      <c r="AA61" s="17">
        <f t="shared" si="2"/>
        <v>26.67</v>
      </c>
      <c r="AB61" s="217">
        <f t="shared" si="3"/>
        <v>23.76</v>
      </c>
    </row>
    <row r="62" ht="12.75" customHeight="1">
      <c r="A62" s="11">
        <v>58.0</v>
      </c>
      <c r="B62" s="213">
        <f>CSE4098A_Spring2026_Grade!B62</f>
        <v>222014061</v>
      </c>
      <c r="C62" s="213" t="str">
        <f>CSE4098A_Spring2026_Grade!C62</f>
        <v>Rafsan Jani Siam</v>
      </c>
      <c r="D62" s="16">
        <v>18.0</v>
      </c>
      <c r="E62" s="214">
        <f t="shared" si="1"/>
        <v>21.82</v>
      </c>
      <c r="F62" s="224"/>
      <c r="G62" s="224"/>
      <c r="H62" s="228">
        <v>22.0</v>
      </c>
      <c r="I62" s="224"/>
      <c r="J62" s="224"/>
      <c r="K62" s="11"/>
      <c r="L62" s="16">
        <v>22.0</v>
      </c>
      <c r="M62" s="224"/>
      <c r="N62" s="224"/>
      <c r="O62" s="224"/>
      <c r="P62" s="224"/>
      <c r="Q62" s="224"/>
      <c r="R62" s="224"/>
      <c r="S62" s="224"/>
      <c r="T62" s="224"/>
      <c r="U62" s="224"/>
      <c r="V62" s="11"/>
      <c r="W62" s="11"/>
      <c r="X62" s="11"/>
      <c r="Y62" s="11"/>
      <c r="Z62" s="11"/>
      <c r="AA62" s="17">
        <f t="shared" si="2"/>
        <v>26.67</v>
      </c>
      <c r="AB62" s="217">
        <f t="shared" si="3"/>
        <v>23.76</v>
      </c>
    </row>
    <row r="63" ht="12.75" customHeight="1">
      <c r="A63" s="11">
        <v>59.0</v>
      </c>
      <c r="B63" s="213">
        <f>CSE4098A_Spring2026_Grade!B63</f>
        <v>222014014</v>
      </c>
      <c r="C63" s="213" t="str">
        <f>CSE4098A_Spring2026_Grade!C63</f>
        <v>Bahadur Zamn Shezan</v>
      </c>
      <c r="D63" s="16">
        <v>31.0</v>
      </c>
      <c r="E63" s="214">
        <f t="shared" si="1"/>
        <v>37.58</v>
      </c>
      <c r="F63" s="224"/>
      <c r="G63" s="224"/>
      <c r="H63" s="224"/>
      <c r="I63" s="224"/>
      <c r="J63" s="224"/>
      <c r="K63" s="11"/>
      <c r="L63" s="11"/>
      <c r="M63" s="226">
        <v>22.0</v>
      </c>
      <c r="N63" s="224"/>
      <c r="O63" s="224"/>
      <c r="P63" s="224"/>
      <c r="Q63" s="224"/>
      <c r="R63" s="224"/>
      <c r="S63" s="224"/>
      <c r="T63" s="224"/>
      <c r="U63" s="224"/>
      <c r="V63" s="11"/>
      <c r="W63" s="11"/>
      <c r="X63" s="16"/>
      <c r="Y63" s="16">
        <v>20.0</v>
      </c>
      <c r="Z63" s="11"/>
      <c r="AA63" s="17">
        <f t="shared" si="2"/>
        <v>25.45</v>
      </c>
      <c r="AB63" s="217">
        <f t="shared" si="3"/>
        <v>32.73</v>
      </c>
    </row>
    <row r="64" ht="12.75" customHeight="1">
      <c r="A64" s="11">
        <v>60.0</v>
      </c>
      <c r="B64" s="213">
        <f>CSE4098A_Spring2026_Grade!B64</f>
        <v>222014004</v>
      </c>
      <c r="C64" s="213" t="str">
        <f>CSE4098A_Spring2026_Grade!C64</f>
        <v>Ratul Hasan Polok</v>
      </c>
      <c r="D64" s="16">
        <v>31.0</v>
      </c>
      <c r="E64" s="214">
        <f t="shared" si="1"/>
        <v>37.58</v>
      </c>
      <c r="F64" s="224"/>
      <c r="G64" s="224"/>
      <c r="H64" s="224"/>
      <c r="I64" s="224"/>
      <c r="J64" s="224"/>
      <c r="K64" s="11"/>
      <c r="L64" s="11"/>
      <c r="M64" s="226">
        <v>22.0</v>
      </c>
      <c r="N64" s="224"/>
      <c r="O64" s="224"/>
      <c r="P64" s="224"/>
      <c r="Q64" s="224"/>
      <c r="R64" s="224"/>
      <c r="S64" s="224"/>
      <c r="T64" s="224"/>
      <c r="U64" s="224"/>
      <c r="V64" s="11"/>
      <c r="W64" s="11"/>
      <c r="X64" s="16"/>
      <c r="Y64" s="16">
        <v>20.0</v>
      </c>
      <c r="Z64" s="11"/>
      <c r="AA64" s="17">
        <f t="shared" si="2"/>
        <v>25.45</v>
      </c>
      <c r="AB64" s="217">
        <f t="shared" si="3"/>
        <v>32.73</v>
      </c>
    </row>
    <row r="65" ht="12.75" customHeight="1">
      <c r="A65" s="11">
        <v>61.0</v>
      </c>
      <c r="B65" s="213">
        <f>CSE4098A_Spring2026_Grade!B65</f>
        <v>232014059</v>
      </c>
      <c r="C65" s="213" t="str">
        <f>CSE4098A_Spring2026_Grade!C65</f>
        <v>Tasfia Hasan Tushin</v>
      </c>
      <c r="D65" s="16">
        <v>31.0</v>
      </c>
      <c r="E65" s="214">
        <f t="shared" si="1"/>
        <v>37.58</v>
      </c>
      <c r="F65" s="224"/>
      <c r="G65" s="224"/>
      <c r="H65" s="224"/>
      <c r="I65" s="224"/>
      <c r="J65" s="224"/>
      <c r="K65" s="11"/>
      <c r="L65" s="11"/>
      <c r="M65" s="226">
        <v>22.0</v>
      </c>
      <c r="N65" s="224"/>
      <c r="O65" s="224"/>
      <c r="P65" s="224"/>
      <c r="Q65" s="224"/>
      <c r="R65" s="224"/>
      <c r="S65" s="224"/>
      <c r="T65" s="11"/>
      <c r="U65" s="11"/>
      <c r="V65" s="11"/>
      <c r="W65" s="11"/>
      <c r="X65" s="16"/>
      <c r="Y65" s="16">
        <v>20.0</v>
      </c>
      <c r="Z65" s="11"/>
      <c r="AA65" s="17">
        <f t="shared" si="2"/>
        <v>25.45</v>
      </c>
      <c r="AB65" s="217">
        <f t="shared" si="3"/>
        <v>32.73</v>
      </c>
    </row>
    <row r="66" ht="12.75" customHeight="1">
      <c r="A66" s="11">
        <v>62.0</v>
      </c>
      <c r="B66" s="213">
        <f>CSE4098A_Spring2026_Grade!B66</f>
        <v>232014130</v>
      </c>
      <c r="C66" s="213" t="str">
        <f>CSE4098A_Spring2026_Grade!C66</f>
        <v>Thamina Hossen</v>
      </c>
      <c r="D66" s="16">
        <v>31.0</v>
      </c>
      <c r="E66" s="214">
        <f t="shared" si="1"/>
        <v>37.58</v>
      </c>
      <c r="F66" s="224"/>
      <c r="G66" s="224"/>
      <c r="H66" s="224"/>
      <c r="I66" s="224"/>
      <c r="J66" s="224"/>
      <c r="K66" s="11"/>
      <c r="L66" s="11"/>
      <c r="M66" s="226">
        <v>22.0</v>
      </c>
      <c r="N66" s="224"/>
      <c r="O66" s="224"/>
      <c r="P66" s="224"/>
      <c r="Q66" s="224"/>
      <c r="R66" s="224"/>
      <c r="S66" s="224"/>
      <c r="T66" s="11"/>
      <c r="U66" s="11"/>
      <c r="V66" s="11"/>
      <c r="W66" s="11"/>
      <c r="X66" s="16"/>
      <c r="Y66" s="16">
        <v>20.0</v>
      </c>
      <c r="Z66" s="11"/>
      <c r="AA66" s="17">
        <f t="shared" si="2"/>
        <v>25.45</v>
      </c>
      <c r="AB66" s="217">
        <f t="shared" si="3"/>
        <v>32.73</v>
      </c>
    </row>
    <row r="67" ht="12.75" customHeight="1">
      <c r="A67" s="11">
        <v>63.0</v>
      </c>
      <c r="B67" s="213">
        <f>CSE4098A_Spring2026_Grade!B67</f>
        <v>231014084</v>
      </c>
      <c r="C67" s="213" t="str">
        <f>CSE4098A_Spring2026_Grade!C67</f>
        <v>Tanzila Tasnim Rahman</v>
      </c>
      <c r="D67" s="229">
        <v>22.0</v>
      </c>
      <c r="E67" s="214">
        <f t="shared" si="1"/>
        <v>26.67</v>
      </c>
      <c r="F67" s="224"/>
      <c r="G67" s="224"/>
      <c r="H67" s="224"/>
      <c r="I67" s="224"/>
      <c r="J67" s="224"/>
      <c r="K67" s="224"/>
      <c r="L67" s="224"/>
      <c r="M67" s="224"/>
      <c r="N67" s="226">
        <v>27.0</v>
      </c>
      <c r="O67" s="224"/>
      <c r="P67" s="224"/>
      <c r="Q67" s="224"/>
      <c r="R67" s="226">
        <v>25.0</v>
      </c>
      <c r="S67" s="224"/>
      <c r="T67" s="11"/>
      <c r="U67" s="11"/>
      <c r="V67" s="224"/>
      <c r="W67" s="224"/>
      <c r="X67" s="224"/>
      <c r="Y67" s="224"/>
      <c r="Z67" s="224"/>
      <c r="AA67" s="17">
        <f t="shared" si="2"/>
        <v>31.52</v>
      </c>
      <c r="AB67" s="217">
        <f t="shared" si="3"/>
        <v>28.61</v>
      </c>
    </row>
    <row r="68" ht="12.75" customHeight="1">
      <c r="A68" s="11">
        <v>64.0</v>
      </c>
      <c r="B68" s="213">
        <f>CSE4098A_Spring2026_Grade!B68</f>
        <v>231014029</v>
      </c>
      <c r="C68" s="213" t="str">
        <f>CSE4098A_Spring2026_Grade!C68</f>
        <v>Sadia Sharmin</v>
      </c>
      <c r="D68" s="230">
        <v>22.0</v>
      </c>
      <c r="E68" s="214">
        <f t="shared" si="1"/>
        <v>26.67</v>
      </c>
      <c r="F68" s="224"/>
      <c r="G68" s="224"/>
      <c r="H68" s="224"/>
      <c r="I68" s="224"/>
      <c r="J68" s="224"/>
      <c r="K68" s="224"/>
      <c r="L68" s="224"/>
      <c r="M68" s="224"/>
      <c r="N68" s="226">
        <v>27.0</v>
      </c>
      <c r="O68" s="224"/>
      <c r="P68" s="224"/>
      <c r="Q68" s="224"/>
      <c r="R68" s="226">
        <v>25.0</v>
      </c>
      <c r="S68" s="224"/>
      <c r="T68" s="11"/>
      <c r="U68" s="11"/>
      <c r="V68" s="224"/>
      <c r="W68" s="224"/>
      <c r="X68" s="224"/>
      <c r="Y68" s="224"/>
      <c r="Z68" s="224"/>
      <c r="AA68" s="17">
        <f t="shared" si="2"/>
        <v>31.52</v>
      </c>
      <c r="AB68" s="217">
        <f t="shared" si="3"/>
        <v>28.61</v>
      </c>
    </row>
    <row r="69" ht="12.75" customHeight="1">
      <c r="A69" s="11">
        <v>65.0</v>
      </c>
      <c r="B69" s="213">
        <f>CSE4098A_Spring2026_Grade!B69</f>
        <v>231014083</v>
      </c>
      <c r="C69" s="213" t="str">
        <f>CSE4098A_Spring2026_Grade!C69</f>
        <v>Jannatun Farjana</v>
      </c>
      <c r="D69" s="230">
        <v>22.0</v>
      </c>
      <c r="E69" s="214">
        <f t="shared" si="1"/>
        <v>26.67</v>
      </c>
      <c r="F69" s="224"/>
      <c r="G69" s="224"/>
      <c r="H69" s="224"/>
      <c r="I69" s="224"/>
      <c r="J69" s="224"/>
      <c r="K69" s="224"/>
      <c r="L69" s="224"/>
      <c r="M69" s="224"/>
      <c r="N69" s="16">
        <v>27.0</v>
      </c>
      <c r="O69" s="11"/>
      <c r="P69" s="224"/>
      <c r="Q69" s="224"/>
      <c r="R69" s="226">
        <v>25.0</v>
      </c>
      <c r="S69" s="224"/>
      <c r="T69" s="11"/>
      <c r="U69" s="11"/>
      <c r="V69" s="224"/>
      <c r="W69" s="224"/>
      <c r="X69" s="224"/>
      <c r="Y69" s="224"/>
      <c r="Z69" s="224"/>
      <c r="AA69" s="17">
        <f t="shared" si="2"/>
        <v>31.52</v>
      </c>
      <c r="AB69" s="217">
        <f t="shared" si="3"/>
        <v>28.61</v>
      </c>
    </row>
    <row r="70" ht="12.75" customHeight="1">
      <c r="A70" s="11">
        <v>66.0</v>
      </c>
      <c r="B70" s="213">
        <f>CSE4098A_Spring2026_Grade!B70</f>
        <v>231014077</v>
      </c>
      <c r="C70" s="213" t="str">
        <f>CSE4098A_Spring2026_Grade!C70</f>
        <v>Sumaiya Afrin</v>
      </c>
      <c r="D70" s="230">
        <v>22.0</v>
      </c>
      <c r="E70" s="214">
        <f t="shared" si="1"/>
        <v>26.67</v>
      </c>
      <c r="F70" s="224"/>
      <c r="G70" s="224"/>
      <c r="H70" s="11"/>
      <c r="I70" s="224"/>
      <c r="J70" s="224"/>
      <c r="K70" s="224"/>
      <c r="L70" s="11"/>
      <c r="M70" s="11"/>
      <c r="N70" s="226">
        <v>27.0</v>
      </c>
      <c r="O70" s="224"/>
      <c r="P70" s="224"/>
      <c r="Q70" s="224"/>
      <c r="R70" s="226">
        <v>25.0</v>
      </c>
      <c r="S70" s="224"/>
      <c r="T70" s="11"/>
      <c r="U70" s="11"/>
      <c r="V70" s="224"/>
      <c r="W70" s="224"/>
      <c r="X70" s="224"/>
      <c r="Y70" s="224"/>
      <c r="Z70" s="224"/>
      <c r="AA70" s="17">
        <f t="shared" si="2"/>
        <v>31.52</v>
      </c>
      <c r="AB70" s="217">
        <f t="shared" si="3"/>
        <v>28.61</v>
      </c>
    </row>
    <row r="71" ht="12.75" customHeight="1">
      <c r="A71" s="11">
        <v>67.0</v>
      </c>
      <c r="B71" s="213">
        <f>CSE4098A_Spring2026_Grade!B71</f>
        <v>223014082</v>
      </c>
      <c r="C71" s="213" t="str">
        <f>CSE4098A_Spring2026_Grade!C71</f>
        <v>Tarif-E-Mustafa</v>
      </c>
      <c r="D71" s="16">
        <v>28.0</v>
      </c>
      <c r="E71" s="214">
        <f t="shared" si="1"/>
        <v>33.94</v>
      </c>
      <c r="F71" s="224"/>
      <c r="G71" s="224"/>
      <c r="H71" s="11"/>
      <c r="I71" s="224"/>
      <c r="J71" s="224"/>
      <c r="K71" s="224"/>
      <c r="L71" s="11"/>
      <c r="M71" s="11"/>
      <c r="N71" s="224"/>
      <c r="O71" s="224"/>
      <c r="P71" s="224"/>
      <c r="Q71" s="224"/>
      <c r="R71" s="226">
        <v>27.0</v>
      </c>
      <c r="S71" s="226">
        <v>30.0</v>
      </c>
      <c r="T71" s="11"/>
      <c r="U71" s="11"/>
      <c r="V71" s="224"/>
      <c r="W71" s="224"/>
      <c r="X71" s="224"/>
      <c r="Y71" s="224"/>
      <c r="Z71" s="224"/>
      <c r="AA71" s="17">
        <f t="shared" si="2"/>
        <v>34.55</v>
      </c>
      <c r="AB71" s="217">
        <f t="shared" si="3"/>
        <v>34.18</v>
      </c>
    </row>
    <row r="72" ht="12.75" customHeight="1">
      <c r="A72" s="11">
        <v>68.0</v>
      </c>
      <c r="B72" s="213">
        <f>CSE4098A_Spring2026_Grade!B72</f>
        <v>231014002</v>
      </c>
      <c r="C72" s="213" t="str">
        <f>CSE4098A_Spring2026_Grade!C72</f>
        <v>Saykot Biswas Shawon</v>
      </c>
      <c r="D72" s="16">
        <v>28.0</v>
      </c>
      <c r="E72" s="214">
        <f t="shared" si="1"/>
        <v>33.94</v>
      </c>
      <c r="F72" s="224"/>
      <c r="G72" s="224"/>
      <c r="H72" s="11"/>
      <c r="I72" s="224"/>
      <c r="J72" s="224"/>
      <c r="K72" s="224"/>
      <c r="L72" s="11"/>
      <c r="M72" s="11"/>
      <c r="N72" s="224"/>
      <c r="O72" s="224"/>
      <c r="P72" s="224"/>
      <c r="Q72" s="224"/>
      <c r="R72" s="226">
        <v>27.0</v>
      </c>
      <c r="S72" s="226">
        <v>30.0</v>
      </c>
      <c r="T72" s="224"/>
      <c r="U72" s="224"/>
      <c r="V72" s="224"/>
      <c r="W72" s="224"/>
      <c r="X72" s="224"/>
      <c r="Y72" s="224"/>
      <c r="Z72" s="224"/>
      <c r="AA72" s="17">
        <f t="shared" si="2"/>
        <v>34.55</v>
      </c>
      <c r="AB72" s="217">
        <f t="shared" si="3"/>
        <v>34.18</v>
      </c>
    </row>
    <row r="73" ht="12.75" customHeight="1">
      <c r="A73" s="11">
        <v>69.0</v>
      </c>
      <c r="B73" s="213">
        <f>CSE4098A_Spring2026_Grade!B73</f>
        <v>231014047</v>
      </c>
      <c r="C73" s="213" t="str">
        <f>CSE4098A_Spring2026_Grade!C73</f>
        <v>Abu Saleh Md Araf</v>
      </c>
      <c r="D73" s="223">
        <v>28.0</v>
      </c>
      <c r="E73" s="214">
        <f t="shared" si="1"/>
        <v>33.94</v>
      </c>
      <c r="F73" s="231"/>
      <c r="G73" s="231"/>
      <c r="H73" s="222"/>
      <c r="I73" s="231"/>
      <c r="J73" s="231"/>
      <c r="K73" s="231"/>
      <c r="L73" s="222"/>
      <c r="M73" s="222"/>
      <c r="N73" s="231"/>
      <c r="O73" s="231"/>
      <c r="P73" s="231"/>
      <c r="Q73" s="231"/>
      <c r="R73" s="232">
        <v>27.0</v>
      </c>
      <c r="S73" s="232">
        <v>30.0</v>
      </c>
      <c r="T73" s="231"/>
      <c r="U73" s="231"/>
      <c r="V73" s="231"/>
      <c r="W73" s="231"/>
      <c r="X73" s="231"/>
      <c r="Y73" s="231"/>
      <c r="Z73" s="231"/>
      <c r="AA73" s="17">
        <f t="shared" si="2"/>
        <v>34.55</v>
      </c>
      <c r="AB73" s="217">
        <f t="shared" si="3"/>
        <v>34.18</v>
      </c>
    </row>
    <row r="74" ht="12.75" customHeight="1">
      <c r="A74" s="11">
        <v>70.0</v>
      </c>
      <c r="B74" s="213">
        <f>CSE4098A_Spring2026_Grade!B74</f>
        <v>231014025</v>
      </c>
      <c r="C74" s="213" t="str">
        <f>CSE4098A_Spring2026_Grade!C74</f>
        <v>Sariful Islam Rana</v>
      </c>
      <c r="D74" s="226">
        <v>28.0</v>
      </c>
      <c r="E74" s="214">
        <f t="shared" si="1"/>
        <v>33.94</v>
      </c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6">
        <v>27.0</v>
      </c>
      <c r="S74" s="226">
        <v>30.0</v>
      </c>
      <c r="T74" s="224"/>
      <c r="U74" s="224"/>
      <c r="V74" s="224"/>
      <c r="W74" s="224"/>
      <c r="X74" s="224"/>
      <c r="Y74" s="224"/>
      <c r="Z74" s="224"/>
      <c r="AA74" s="17">
        <f t="shared" si="2"/>
        <v>34.55</v>
      </c>
      <c r="AB74" s="217">
        <f t="shared" si="3"/>
        <v>34.18</v>
      </c>
    </row>
    <row r="75" ht="12.75" customHeight="1">
      <c r="A75" s="11">
        <v>71.0</v>
      </c>
      <c r="B75" s="213">
        <f>CSE4098A_Spring2026_Grade!B75</f>
        <v>223014009</v>
      </c>
      <c r="C75" s="213" t="str">
        <f>CSE4098A_Spring2026_Grade!C75</f>
        <v>Farjana Akter Ema</v>
      </c>
      <c r="D75" s="226">
        <v>26.0</v>
      </c>
      <c r="E75" s="214">
        <f t="shared" si="1"/>
        <v>31.52</v>
      </c>
      <c r="F75" s="224"/>
      <c r="G75" s="224"/>
      <c r="H75" s="224"/>
      <c r="I75" s="224"/>
      <c r="J75" s="11"/>
      <c r="K75" s="224"/>
      <c r="L75" s="224"/>
      <c r="M75" s="224"/>
      <c r="N75" s="224"/>
      <c r="O75" s="224"/>
      <c r="P75" s="226">
        <v>22.0</v>
      </c>
      <c r="Q75" s="224"/>
      <c r="R75" s="224"/>
      <c r="S75" s="224"/>
      <c r="T75" s="226">
        <v>24.0</v>
      </c>
      <c r="U75" s="224"/>
      <c r="V75" s="224"/>
      <c r="W75" s="224"/>
      <c r="X75" s="224"/>
      <c r="Y75" s="224"/>
      <c r="Z75" s="224"/>
      <c r="AA75" s="17">
        <f t="shared" si="2"/>
        <v>27.88</v>
      </c>
      <c r="AB75" s="217">
        <f t="shared" si="3"/>
        <v>30.06</v>
      </c>
    </row>
    <row r="76" ht="12.75" customHeight="1">
      <c r="A76" s="11">
        <v>72.0</v>
      </c>
      <c r="B76" s="213">
        <f>CSE4098A_Spring2026_Grade!B76</f>
        <v>223014073</v>
      </c>
      <c r="C76" s="213" t="str">
        <f>CSE4098A_Spring2026_Grade!C76</f>
        <v>Pronoy Pal</v>
      </c>
      <c r="D76" s="226">
        <v>26.0</v>
      </c>
      <c r="E76" s="214">
        <f t="shared" si="1"/>
        <v>31.52</v>
      </c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6">
        <v>22.0</v>
      </c>
      <c r="Q76" s="224"/>
      <c r="R76" s="224"/>
      <c r="S76" s="224"/>
      <c r="T76" s="226">
        <v>24.0</v>
      </c>
      <c r="U76" s="224"/>
      <c r="V76" s="224"/>
      <c r="W76" s="224"/>
      <c r="X76" s="224"/>
      <c r="Y76" s="224"/>
      <c r="Z76" s="224"/>
      <c r="AA76" s="17">
        <f t="shared" si="2"/>
        <v>27.88</v>
      </c>
      <c r="AB76" s="217">
        <f t="shared" si="3"/>
        <v>30.06</v>
      </c>
    </row>
    <row r="77" ht="12.75" customHeight="1">
      <c r="A77" s="11">
        <v>73.0</v>
      </c>
      <c r="B77" s="213">
        <f>CSE4098A_Spring2026_Grade!B77</f>
        <v>223014157</v>
      </c>
      <c r="C77" s="213" t="str">
        <f>CSE4098A_Spring2026_Grade!C77</f>
        <v>Mohammad Talha</v>
      </c>
      <c r="D77" s="226">
        <v>26.0</v>
      </c>
      <c r="E77" s="214">
        <f t="shared" si="1"/>
        <v>31.52</v>
      </c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6">
        <v>22.0</v>
      </c>
      <c r="Q77" s="224"/>
      <c r="R77" s="224"/>
      <c r="S77" s="224"/>
      <c r="T77" s="226">
        <v>24.0</v>
      </c>
      <c r="U77" s="224"/>
      <c r="V77" s="224"/>
      <c r="W77" s="224"/>
      <c r="X77" s="224"/>
      <c r="Y77" s="224"/>
      <c r="Z77" s="224"/>
      <c r="AA77" s="17">
        <f t="shared" si="2"/>
        <v>27.88</v>
      </c>
      <c r="AB77" s="217">
        <f t="shared" si="3"/>
        <v>30.06</v>
      </c>
    </row>
    <row r="78" ht="12.75" customHeight="1">
      <c r="A78" s="11">
        <v>74.0</v>
      </c>
      <c r="B78" s="213">
        <f>CSE4098A_Spring2026_Grade!B78</f>
        <v>223014022</v>
      </c>
      <c r="C78" s="213" t="str">
        <f>CSE4098A_Spring2026_Grade!C78</f>
        <v>Sumaiya Islam Rouja</v>
      </c>
      <c r="D78" s="226">
        <v>26.0</v>
      </c>
      <c r="E78" s="214">
        <f t="shared" si="1"/>
        <v>31.52</v>
      </c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6">
        <v>22.0</v>
      </c>
      <c r="Q78" s="224"/>
      <c r="R78" s="224"/>
      <c r="S78" s="224"/>
      <c r="T78" s="226">
        <v>24.0</v>
      </c>
      <c r="U78" s="224"/>
      <c r="V78" s="224"/>
      <c r="W78" s="224"/>
      <c r="X78" s="224"/>
      <c r="Y78" s="224"/>
      <c r="Z78" s="224"/>
      <c r="AA78" s="17">
        <f t="shared" si="2"/>
        <v>27.88</v>
      </c>
      <c r="AB78" s="217">
        <f t="shared" si="3"/>
        <v>30.06</v>
      </c>
    </row>
    <row r="79" ht="12.75" customHeight="1">
      <c r="A79" s="11">
        <v>75.0</v>
      </c>
      <c r="B79" s="213">
        <f>CSE4098A_Spring2026_Grade!B79</f>
        <v>223014117</v>
      </c>
      <c r="C79" s="213" t="str">
        <f>CSE4098A_Spring2026_Grade!C79</f>
        <v>Sudipto Acharjee Dhrubo</v>
      </c>
      <c r="D79" s="226">
        <v>26.0</v>
      </c>
      <c r="E79" s="214">
        <f t="shared" si="1"/>
        <v>31.52</v>
      </c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6">
        <v>22.0</v>
      </c>
      <c r="Q79" s="224"/>
      <c r="R79" s="224"/>
      <c r="S79" s="224"/>
      <c r="T79" s="226">
        <v>24.0</v>
      </c>
      <c r="U79" s="224"/>
      <c r="V79" s="224"/>
      <c r="W79" s="224"/>
      <c r="X79" s="224"/>
      <c r="Y79" s="224"/>
      <c r="Z79" s="224"/>
      <c r="AA79" s="17">
        <f t="shared" si="2"/>
        <v>27.88</v>
      </c>
      <c r="AB79" s="217">
        <f t="shared" si="3"/>
        <v>30.06</v>
      </c>
    </row>
    <row r="80" ht="12.75" customHeight="1">
      <c r="A80" s="11">
        <v>76.0</v>
      </c>
      <c r="B80" s="213">
        <f>CSE4098A_Spring2026_Grade!B80</f>
        <v>223014005</v>
      </c>
      <c r="C80" s="213" t="str">
        <f>CSE4098A_Spring2026_Grade!C80</f>
        <v>Md. Mahmudul Hasan Mohot</v>
      </c>
      <c r="D80" s="226">
        <v>24.0</v>
      </c>
      <c r="E80" s="214">
        <f t="shared" si="1"/>
        <v>29.09</v>
      </c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  <c r="T80" s="226">
        <v>27.0</v>
      </c>
      <c r="U80" s="224"/>
      <c r="V80" s="224"/>
      <c r="W80" s="226">
        <v>28.0</v>
      </c>
      <c r="X80" s="224"/>
      <c r="Y80" s="224"/>
      <c r="Z80" s="224"/>
      <c r="AA80" s="17">
        <f t="shared" si="2"/>
        <v>33.33</v>
      </c>
      <c r="AB80" s="217">
        <f t="shared" si="3"/>
        <v>30.79</v>
      </c>
    </row>
    <row r="81" ht="12.75" customHeight="1">
      <c r="A81" s="11">
        <v>77.0</v>
      </c>
      <c r="B81" s="213">
        <f>CSE4098A_Spring2026_Grade!B81</f>
        <v>223014080</v>
      </c>
      <c r="C81" s="213" t="str">
        <f>CSE4098A_Spring2026_Grade!C81</f>
        <v>Refa Rayhana</v>
      </c>
      <c r="D81" s="226">
        <v>24.0</v>
      </c>
      <c r="E81" s="214">
        <f t="shared" si="1"/>
        <v>29.09</v>
      </c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6">
        <v>27.0</v>
      </c>
      <c r="U81" s="224"/>
      <c r="V81" s="224"/>
      <c r="W81" s="226">
        <v>28.0</v>
      </c>
      <c r="X81" s="224"/>
      <c r="Y81" s="224"/>
      <c r="Z81" s="224"/>
      <c r="AA81" s="17">
        <f t="shared" si="2"/>
        <v>33.33</v>
      </c>
      <c r="AB81" s="217">
        <f t="shared" si="3"/>
        <v>30.79</v>
      </c>
    </row>
    <row r="82" ht="12.75" customHeight="1">
      <c r="A82" s="11">
        <v>78.0</v>
      </c>
      <c r="B82" s="213">
        <f>CSE4098A_Spring2026_Grade!B82</f>
        <v>223014123</v>
      </c>
      <c r="C82" s="213" t="str">
        <f>CSE4098A_Spring2026_Grade!C82</f>
        <v>Md. Emon Hossain</v>
      </c>
      <c r="D82" s="226">
        <v>24.0</v>
      </c>
      <c r="E82" s="214">
        <f t="shared" si="1"/>
        <v>29.09</v>
      </c>
      <c r="F82" s="224"/>
      <c r="G82" s="224"/>
      <c r="H82" s="233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226">
        <v>27.0</v>
      </c>
      <c r="U82" s="224"/>
      <c r="V82" s="224"/>
      <c r="W82" s="226">
        <v>28.0</v>
      </c>
      <c r="X82" s="224"/>
      <c r="Y82" s="224"/>
      <c r="Z82" s="224"/>
      <c r="AA82" s="17">
        <f t="shared" si="2"/>
        <v>33.33</v>
      </c>
      <c r="AB82" s="217">
        <f t="shared" si="3"/>
        <v>30.79</v>
      </c>
    </row>
    <row r="83" ht="12.75" customHeight="1">
      <c r="A83" s="11">
        <v>79.0</v>
      </c>
      <c r="B83" s="213">
        <f>CSE4098A_Spring2026_Grade!B83</f>
        <v>223014187</v>
      </c>
      <c r="C83" s="213" t="str">
        <f>CSE4098A_Spring2026_Grade!C83</f>
        <v>Mohammad Asif Abrar Sayim</v>
      </c>
      <c r="D83" s="226">
        <v>24.0</v>
      </c>
      <c r="E83" s="214">
        <f t="shared" si="1"/>
        <v>29.09</v>
      </c>
      <c r="F83" s="224"/>
      <c r="G83" s="224"/>
      <c r="H83" s="233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/>
      <c r="T83" s="226">
        <v>27.0</v>
      </c>
      <c r="U83" s="224"/>
      <c r="V83" s="224"/>
      <c r="W83" s="226">
        <v>28.0</v>
      </c>
      <c r="X83" s="224"/>
      <c r="Y83" s="224"/>
      <c r="Z83" s="224"/>
      <c r="AA83" s="17">
        <f t="shared" si="2"/>
        <v>33.33</v>
      </c>
      <c r="AB83" s="217">
        <f t="shared" si="3"/>
        <v>30.79</v>
      </c>
    </row>
    <row r="84" ht="12.75" customHeight="1">
      <c r="A84" s="11">
        <v>80.0</v>
      </c>
      <c r="B84" s="213">
        <f>CSE4098A_Spring2026_Grade!B84</f>
        <v>231014107</v>
      </c>
      <c r="C84" s="213" t="str">
        <f>CSE4098A_Spring2026_Grade!C84</f>
        <v>Tahmina Akter Ritu</v>
      </c>
      <c r="D84" s="226">
        <v>29.0</v>
      </c>
      <c r="E84" s="214">
        <f t="shared" si="1"/>
        <v>35.15</v>
      </c>
      <c r="F84" s="224"/>
      <c r="G84" s="224"/>
      <c r="H84" s="233"/>
      <c r="I84" s="224"/>
      <c r="J84" s="224"/>
      <c r="K84" s="224"/>
      <c r="L84" s="224"/>
      <c r="M84" s="224"/>
      <c r="N84" s="226">
        <v>31.0</v>
      </c>
      <c r="O84" s="224"/>
      <c r="P84" s="224"/>
      <c r="Q84" s="224"/>
      <c r="R84" s="224"/>
      <c r="S84" s="224"/>
      <c r="T84" s="224"/>
      <c r="U84" s="226">
        <v>25.0</v>
      </c>
      <c r="V84" s="224"/>
      <c r="W84" s="224"/>
      <c r="X84" s="224"/>
      <c r="Y84" s="224"/>
      <c r="Z84" s="224"/>
      <c r="AA84" s="17">
        <f t="shared" si="2"/>
        <v>33.94</v>
      </c>
      <c r="AB84" s="217">
        <f t="shared" si="3"/>
        <v>34.67</v>
      </c>
    </row>
    <row r="85" ht="12.75" customHeight="1">
      <c r="A85" s="11">
        <v>81.0</v>
      </c>
      <c r="B85" s="213">
        <f>CSE4098A_Spring2026_Grade!B85</f>
        <v>231014108</v>
      </c>
      <c r="C85" s="213" t="str">
        <f>CSE4098A_Spring2026_Grade!C85</f>
        <v>Jahra Amin Misty</v>
      </c>
      <c r="D85" s="226">
        <v>29.0</v>
      </c>
      <c r="E85" s="214">
        <f t="shared" si="1"/>
        <v>35.15</v>
      </c>
      <c r="F85" s="224"/>
      <c r="G85" s="224"/>
      <c r="H85" s="233"/>
      <c r="I85" s="224"/>
      <c r="J85" s="224"/>
      <c r="K85" s="224"/>
      <c r="L85" s="224"/>
      <c r="M85" s="224"/>
      <c r="N85" s="226">
        <v>31.0</v>
      </c>
      <c r="O85" s="224"/>
      <c r="P85" s="224"/>
      <c r="Q85" s="224"/>
      <c r="R85" s="224"/>
      <c r="S85" s="224"/>
      <c r="T85" s="224"/>
      <c r="U85" s="226">
        <v>25.0</v>
      </c>
      <c r="V85" s="224"/>
      <c r="W85" s="224"/>
      <c r="X85" s="224"/>
      <c r="Y85" s="224"/>
      <c r="Z85" s="224"/>
      <c r="AA85" s="17">
        <f t="shared" si="2"/>
        <v>33.94</v>
      </c>
      <c r="AB85" s="217">
        <f t="shared" si="3"/>
        <v>34.67</v>
      </c>
    </row>
    <row r="86" ht="12.75" customHeight="1">
      <c r="A86" s="11">
        <v>82.0</v>
      </c>
      <c r="B86" s="213">
        <f>CSE4098A_Spring2026_Grade!B86</f>
        <v>223014098</v>
      </c>
      <c r="C86" s="213" t="str">
        <f>CSE4098A_Spring2026_Grade!C86</f>
        <v>Humayara Kabir Upoma</v>
      </c>
      <c r="D86" s="226">
        <v>29.0</v>
      </c>
      <c r="E86" s="214">
        <f t="shared" si="1"/>
        <v>35.15</v>
      </c>
      <c r="F86" s="224"/>
      <c r="G86" s="224"/>
      <c r="H86" s="233"/>
      <c r="I86" s="224"/>
      <c r="J86" s="224"/>
      <c r="K86" s="224"/>
      <c r="L86" s="224"/>
      <c r="M86" s="224"/>
      <c r="N86" s="226">
        <v>31.0</v>
      </c>
      <c r="O86" s="224"/>
      <c r="P86" s="224"/>
      <c r="Q86" s="224"/>
      <c r="R86" s="224"/>
      <c r="S86" s="224"/>
      <c r="T86" s="224"/>
      <c r="U86" s="226">
        <v>25.0</v>
      </c>
      <c r="V86" s="224"/>
      <c r="W86" s="224"/>
      <c r="X86" s="224"/>
      <c r="Y86" s="224"/>
      <c r="Z86" s="224"/>
      <c r="AA86" s="17">
        <f t="shared" si="2"/>
        <v>33.94</v>
      </c>
      <c r="AB86" s="217">
        <f t="shared" si="3"/>
        <v>34.67</v>
      </c>
    </row>
    <row r="87" ht="12.75" customHeight="1">
      <c r="A87" s="11">
        <v>83.0</v>
      </c>
      <c r="B87" s="213">
        <f>CSE4098A_Spring2026_Grade!B87</f>
        <v>231014028</v>
      </c>
      <c r="C87" s="213" t="str">
        <f>CSE4098A_Spring2026_Grade!C87</f>
        <v>Maimuna Islam</v>
      </c>
      <c r="D87" s="226">
        <v>29.0</v>
      </c>
      <c r="E87" s="214">
        <f t="shared" si="1"/>
        <v>35.15</v>
      </c>
      <c r="F87" s="224"/>
      <c r="G87" s="224"/>
      <c r="H87" s="224"/>
      <c r="I87" s="224"/>
      <c r="J87" s="224"/>
      <c r="K87" s="224"/>
      <c r="L87" s="224"/>
      <c r="M87" s="224"/>
      <c r="N87" s="226">
        <v>31.0</v>
      </c>
      <c r="O87" s="224"/>
      <c r="P87" s="224"/>
      <c r="Q87" s="224"/>
      <c r="R87" s="224"/>
      <c r="S87" s="224"/>
      <c r="T87" s="224"/>
      <c r="U87" s="226">
        <v>25.0</v>
      </c>
      <c r="V87" s="224"/>
      <c r="W87" s="224"/>
      <c r="X87" s="224"/>
      <c r="Y87" s="224"/>
      <c r="Z87" s="224"/>
      <c r="AA87" s="17">
        <f t="shared" si="2"/>
        <v>33.94</v>
      </c>
      <c r="AB87" s="217">
        <f t="shared" si="3"/>
        <v>34.67</v>
      </c>
    </row>
    <row r="88" ht="12.75" customHeight="1">
      <c r="A88" s="38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</row>
    <row r="89" ht="12.75" customHeight="1">
      <c r="A89" s="38"/>
      <c r="B89" s="36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 ht="12.75" customHeight="1">
      <c r="A90" s="38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</row>
    <row r="91" ht="12.75" customHeight="1">
      <c r="A91" s="38"/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 ht="12.75" customHeight="1">
      <c r="A92" s="38"/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ht="12.75" customHeight="1">
      <c r="A93" s="38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 ht="12.75" customHeight="1">
      <c r="A94" s="38"/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 ht="12.75" customHeight="1">
      <c r="A95" s="38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ht="12.75" customHeight="1">
      <c r="A96" s="38"/>
      <c r="B96" s="36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ht="12.75" customHeight="1">
      <c r="A97" s="38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 ht="12.75" customHeight="1">
      <c r="A98" s="38"/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 ht="12.75" customHeight="1">
      <c r="A99" s="38"/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 ht="12.75" customHeight="1">
      <c r="A100" s="38"/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 ht="12.75" customHeight="1">
      <c r="A101" s="38"/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 ht="12.75" customHeight="1">
      <c r="A102" s="38"/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 ht="12.75" customHeight="1">
      <c r="A103" s="38"/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ht="12.75" customHeight="1">
      <c r="A104" s="38"/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 ht="12.75" customHeight="1">
      <c r="A105" s="38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 ht="12.75" customHeight="1">
      <c r="A106" s="38"/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 ht="12.75" customHeight="1">
      <c r="A107" s="38"/>
      <c r="B107" s="36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ht="12.75" customHeight="1">
      <c r="A108" s="38"/>
      <c r="B108" s="36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ht="12.75" customHeight="1">
      <c r="A109" s="38"/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ht="12.75" customHeight="1">
      <c r="A110" s="38"/>
      <c r="B110" s="36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ht="12.75" customHeight="1">
      <c r="A111" s="38"/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 ht="12.75" customHeight="1">
      <c r="A112" s="38"/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 ht="12.75" customHeight="1">
      <c r="A113" s="38"/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 ht="12.75" customHeight="1">
      <c r="A114" s="38"/>
      <c r="B114" s="36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 ht="12.75" customHeight="1">
      <c r="A115" s="38"/>
      <c r="B115" s="36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ht="12.75" customHeight="1">
      <c r="A116" s="38"/>
      <c r="B116" s="36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 ht="12.75" customHeight="1">
      <c r="A117" s="38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 ht="12.75" customHeight="1">
      <c r="A118" s="38"/>
      <c r="B118" s="36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 ht="12.75" customHeight="1">
      <c r="A119" s="38"/>
      <c r="B119" s="36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 ht="12.75" customHeight="1">
      <c r="A120" s="38"/>
      <c r="B120" s="36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 ht="12.75" customHeight="1">
      <c r="A121" s="38"/>
      <c r="B121" s="36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 ht="12.75" customHeight="1">
      <c r="A122" s="38"/>
      <c r="B122" s="36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ht="12.75" customHeight="1">
      <c r="A123" s="38"/>
      <c r="B123" s="36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 ht="12.75" customHeight="1">
      <c r="A124" s="38"/>
      <c r="B124" s="36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ht="12.75" customHeight="1">
      <c r="A125" s="38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 ht="12.75" customHeight="1">
      <c r="A126" s="38"/>
      <c r="B126" s="36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 ht="12.75" customHeight="1">
      <c r="A127" s="38"/>
      <c r="B127" s="36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 ht="12.75" customHeight="1">
      <c r="A128" s="38"/>
      <c r="B128" s="36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 ht="12.75" customHeight="1">
      <c r="A129" s="38"/>
      <c r="B129" s="36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 ht="12.75" customHeight="1">
      <c r="A130" s="38"/>
      <c r="B130" s="36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 ht="12.75" customHeight="1">
      <c r="A131" s="38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 ht="12.75" customHeight="1">
      <c r="A132" s="38"/>
      <c r="B132" s="36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 ht="12.75" customHeight="1">
      <c r="A133" s="38"/>
      <c r="B133" s="36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 ht="12.75" customHeight="1">
      <c r="A134" s="38"/>
      <c r="B134" s="36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 ht="12.75" customHeight="1">
      <c r="A135" s="38"/>
      <c r="B135" s="36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 ht="12.75" customHeight="1">
      <c r="A136" s="38"/>
      <c r="B136" s="36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 ht="12.75" customHeight="1">
      <c r="A137" s="38"/>
      <c r="B137" s="36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 ht="12.75" customHeight="1">
      <c r="A138" s="38"/>
      <c r="B138" s="36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 ht="12.75" customHeight="1">
      <c r="A139" s="38"/>
      <c r="B139" s="36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 ht="12.75" customHeight="1">
      <c r="A140" s="38"/>
      <c r="B140" s="36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 ht="12.75" customHeight="1">
      <c r="A141" s="38"/>
      <c r="B141" s="36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 ht="12.75" customHeight="1">
      <c r="A142" s="38"/>
      <c r="B142" s="36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ht="12.75" customHeight="1">
      <c r="A143" s="38"/>
      <c r="B143" s="36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 ht="12.75" customHeight="1">
      <c r="A144" s="38"/>
      <c r="B144" s="36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 ht="12.75" customHeight="1">
      <c r="A145" s="38"/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 ht="12.75" customHeight="1">
      <c r="A146" s="38"/>
      <c r="B146" s="36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 ht="12.75" customHeight="1">
      <c r="A147" s="38"/>
      <c r="B147" s="36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 ht="12.75" customHeight="1">
      <c r="A148" s="38"/>
      <c r="B148" s="36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 ht="12.75" customHeight="1">
      <c r="A149" s="38"/>
      <c r="B149" s="36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 ht="12.75" customHeight="1">
      <c r="A150" s="38"/>
      <c r="B150" s="36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 ht="12.75" customHeight="1">
      <c r="A151" s="38"/>
      <c r="B151" s="36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 ht="12.75" customHeight="1">
      <c r="A152" s="38"/>
      <c r="B152" s="36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 ht="12.75" customHeight="1">
      <c r="A153" s="38"/>
      <c r="B153" s="36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ht="12.75" customHeight="1">
      <c r="A154" s="38"/>
      <c r="B154" s="36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 ht="12.75" customHeight="1">
      <c r="A155" s="38"/>
      <c r="B155" s="36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 ht="12.75" customHeight="1">
      <c r="A156" s="38"/>
      <c r="B156" s="36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 ht="12.75" customHeight="1">
      <c r="A157" s="38"/>
      <c r="B157" s="36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ht="12.75" customHeight="1">
      <c r="A158" s="38"/>
      <c r="B158" s="36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 ht="12.75" customHeight="1">
      <c r="A159" s="38"/>
      <c r="B159" s="36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 ht="12.75" customHeight="1">
      <c r="A160" s="38"/>
      <c r="B160" s="36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 ht="12.75" customHeight="1">
      <c r="A161" s="38"/>
      <c r="B161" s="36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 ht="12.75" customHeight="1">
      <c r="A162" s="38"/>
      <c r="B162" s="36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 ht="12.75" customHeight="1">
      <c r="A163" s="38"/>
      <c r="B163" s="36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 ht="12.75" customHeight="1">
      <c r="A164" s="38"/>
      <c r="B164" s="36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 ht="12.75" customHeight="1">
      <c r="A165" s="38"/>
      <c r="B165" s="36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 ht="12.75" customHeight="1">
      <c r="A166" s="38"/>
      <c r="B166" s="36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 ht="12.75" customHeight="1">
      <c r="A167" s="38"/>
      <c r="B167" s="3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ht="12.75" customHeight="1">
      <c r="A168" s="38"/>
      <c r="B168" s="36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ht="12.75" customHeight="1">
      <c r="A169" s="38"/>
      <c r="B169" s="36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ht="12.75" customHeight="1">
      <c r="A170" s="38"/>
      <c r="B170" s="36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ht="12.75" customHeight="1">
      <c r="A171" s="38"/>
      <c r="B171" s="36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ht="12.75" customHeight="1">
      <c r="A172" s="38"/>
      <c r="B172" s="36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ht="12.75" customHeight="1">
      <c r="A173" s="38"/>
      <c r="B173" s="36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ht="12.75" customHeight="1">
      <c r="A174" s="38"/>
      <c r="B174" s="36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ht="12.75" customHeight="1">
      <c r="A175" s="38"/>
      <c r="B175" s="36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ht="12.75" customHeight="1">
      <c r="A176" s="38"/>
      <c r="B176" s="36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ht="12.75" customHeight="1">
      <c r="A177" s="38"/>
      <c r="B177" s="36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ht="12.75" customHeight="1">
      <c r="A178" s="38"/>
      <c r="B178" s="36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ht="12.75" customHeight="1">
      <c r="A179" s="38"/>
      <c r="B179" s="36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ht="12.75" customHeight="1">
      <c r="A180" s="38"/>
      <c r="B180" s="36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ht="12.75" customHeight="1">
      <c r="A181" s="38"/>
      <c r="B181" s="36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ht="12.75" customHeight="1">
      <c r="A182" s="38"/>
      <c r="B182" s="36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ht="12.75" customHeight="1">
      <c r="A183" s="38"/>
      <c r="B183" s="36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ht="12.75" customHeight="1">
      <c r="A184" s="38"/>
      <c r="B184" s="36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ht="12.75" customHeight="1">
      <c r="A185" s="38"/>
      <c r="B185" s="36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ht="12.75" customHeight="1">
      <c r="A186" s="38"/>
      <c r="B186" s="36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ht="12.75" customHeight="1">
      <c r="A187" s="38"/>
      <c r="B187" s="36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ht="12.75" customHeight="1">
      <c r="A188" s="38"/>
      <c r="B188" s="36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ht="12.75" customHeight="1">
      <c r="A189" s="38"/>
      <c r="B189" s="36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ht="12.75" customHeight="1">
      <c r="A190" s="38"/>
      <c r="B190" s="36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ht="12.75" customHeight="1">
      <c r="A191" s="38"/>
      <c r="B191" s="36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ht="12.75" customHeight="1">
      <c r="A192" s="38"/>
      <c r="B192" s="36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ht="12.75" customHeight="1">
      <c r="A193" s="38"/>
      <c r="B193" s="36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ht="12.75" customHeight="1">
      <c r="A194" s="38"/>
      <c r="B194" s="36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ht="12.75" customHeight="1">
      <c r="A195" s="38"/>
      <c r="B195" s="36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ht="12.75" customHeight="1">
      <c r="A196" s="38"/>
      <c r="B196" s="36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ht="12.75" customHeight="1">
      <c r="A197" s="38"/>
      <c r="B197" s="36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ht="12.75" customHeight="1">
      <c r="A198" s="38"/>
      <c r="B198" s="36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ht="12.75" customHeight="1">
      <c r="A199" s="38"/>
      <c r="B199" s="36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ht="12.75" customHeight="1">
      <c r="A200" s="38"/>
      <c r="B200" s="36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ht="12.75" customHeight="1">
      <c r="A201" s="38"/>
      <c r="B201" s="36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ht="12.75" customHeight="1">
      <c r="A202" s="38"/>
      <c r="B202" s="36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ht="12.75" customHeight="1">
      <c r="A203" s="38"/>
      <c r="B203" s="36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ht="12.75" customHeight="1">
      <c r="A204" s="38"/>
      <c r="B204" s="36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ht="12.75" customHeight="1">
      <c r="A205" s="38"/>
      <c r="B205" s="36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ht="12.75" customHeight="1">
      <c r="A206" s="38"/>
      <c r="B206" s="36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ht="12.75" customHeight="1">
      <c r="A207" s="38"/>
      <c r="B207" s="36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ht="12.75" customHeight="1">
      <c r="A208" s="38"/>
      <c r="B208" s="36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ht="12.75" customHeight="1">
      <c r="A209" s="38"/>
      <c r="B209" s="36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ht="12.75" customHeight="1">
      <c r="A210" s="38"/>
      <c r="B210" s="36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ht="12.75" customHeight="1">
      <c r="A211" s="38"/>
      <c r="B211" s="36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ht="12.75" customHeight="1">
      <c r="A212" s="38"/>
      <c r="B212" s="36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ht="12.75" customHeight="1">
      <c r="A213" s="38"/>
      <c r="B213" s="36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ht="12.75" customHeight="1">
      <c r="A214" s="38"/>
      <c r="B214" s="38"/>
      <c r="C214" s="37"/>
      <c r="D214" s="37"/>
      <c r="E214" s="37"/>
      <c r="F214" s="38"/>
      <c r="G214" s="38"/>
      <c r="H214" s="38"/>
      <c r="I214" s="38"/>
      <c r="J214" s="38"/>
      <c r="K214" s="38"/>
      <c r="L214" s="37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</row>
    <row r="215" ht="12.75" customHeight="1">
      <c r="A215" s="38"/>
      <c r="B215" s="38"/>
      <c r="C215" s="37"/>
      <c r="D215" s="37"/>
      <c r="E215" s="37"/>
      <c r="F215" s="38"/>
      <c r="G215" s="38"/>
      <c r="H215" s="38"/>
      <c r="I215" s="38"/>
      <c r="J215" s="38"/>
      <c r="K215" s="38"/>
      <c r="L215" s="37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</row>
    <row r="216" ht="12.75" customHeight="1">
      <c r="A216" s="38"/>
      <c r="B216" s="38"/>
      <c r="C216" s="37"/>
      <c r="D216" s="37"/>
      <c r="E216" s="37"/>
      <c r="F216" s="38"/>
      <c r="G216" s="38"/>
      <c r="H216" s="38"/>
      <c r="I216" s="38"/>
      <c r="J216" s="38"/>
      <c r="K216" s="38"/>
      <c r="L216" s="37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</row>
    <row r="217" ht="12.75" customHeight="1">
      <c r="A217" s="38"/>
      <c r="B217" s="38"/>
      <c r="C217" s="37"/>
      <c r="D217" s="37"/>
      <c r="E217" s="37"/>
      <c r="F217" s="38"/>
      <c r="G217" s="38"/>
      <c r="H217" s="38"/>
      <c r="I217" s="38"/>
      <c r="J217" s="38"/>
      <c r="K217" s="38"/>
      <c r="L217" s="37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</row>
    <row r="218" ht="12.75" customHeight="1">
      <c r="A218" s="38"/>
      <c r="B218" s="38"/>
      <c r="C218" s="37"/>
      <c r="D218" s="37"/>
      <c r="E218" s="37"/>
      <c r="F218" s="38"/>
      <c r="G218" s="38"/>
      <c r="H218" s="38"/>
      <c r="I218" s="38"/>
      <c r="J218" s="38"/>
      <c r="K218" s="38"/>
      <c r="L218" s="37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</row>
    <row r="219" ht="15.75" customHeight="1">
      <c r="A219" s="38"/>
      <c r="B219" s="38"/>
      <c r="C219" s="37"/>
      <c r="D219" s="37"/>
      <c r="E219" s="37"/>
      <c r="F219" s="38"/>
      <c r="G219" s="38"/>
      <c r="H219" s="38"/>
      <c r="I219" s="38"/>
      <c r="J219" s="38"/>
      <c r="K219" s="38"/>
      <c r="L219" s="37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</row>
    <row r="220" ht="15.75" customHeight="1">
      <c r="A220" s="38"/>
      <c r="B220" s="38"/>
      <c r="C220" s="37"/>
      <c r="D220" s="37"/>
      <c r="E220" s="37"/>
      <c r="F220" s="38"/>
      <c r="G220" s="38"/>
      <c r="H220" s="38"/>
      <c r="I220" s="38"/>
      <c r="J220" s="38"/>
      <c r="K220" s="38"/>
      <c r="L220" s="37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</row>
    <row r="221" ht="15.75" customHeight="1">
      <c r="A221" s="38"/>
      <c r="B221" s="38"/>
      <c r="C221" s="37"/>
      <c r="D221" s="37"/>
      <c r="E221" s="37"/>
      <c r="F221" s="38"/>
      <c r="G221" s="38"/>
      <c r="H221" s="38"/>
      <c r="I221" s="38"/>
      <c r="J221" s="38"/>
      <c r="K221" s="38"/>
      <c r="L221" s="37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</row>
    <row r="222" ht="15.75" customHeight="1">
      <c r="A222" s="38"/>
      <c r="B222" s="38"/>
      <c r="C222" s="37"/>
      <c r="D222" s="37"/>
      <c r="E222" s="37"/>
      <c r="F222" s="38"/>
      <c r="G222" s="38"/>
      <c r="H222" s="38"/>
      <c r="I222" s="38"/>
      <c r="J222" s="38"/>
      <c r="K222" s="38"/>
      <c r="L222" s="37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</row>
    <row r="223" ht="15.75" customHeight="1">
      <c r="A223" s="38"/>
      <c r="B223" s="38"/>
      <c r="C223" s="37"/>
      <c r="D223" s="37"/>
      <c r="E223" s="37"/>
      <c r="F223" s="38"/>
      <c r="G223" s="38"/>
      <c r="H223" s="38"/>
      <c r="I223" s="38"/>
      <c r="J223" s="38"/>
      <c r="K223" s="38"/>
      <c r="L223" s="37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</row>
    <row r="224" ht="15.75" customHeight="1">
      <c r="A224" s="38"/>
      <c r="B224" s="38"/>
      <c r="C224" s="37"/>
      <c r="D224" s="37"/>
      <c r="E224" s="37"/>
      <c r="F224" s="38"/>
      <c r="G224" s="38"/>
      <c r="H224" s="38"/>
      <c r="I224" s="38"/>
      <c r="J224" s="38"/>
      <c r="K224" s="38"/>
      <c r="L224" s="37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</row>
    <row r="225" ht="15.75" customHeight="1">
      <c r="A225" s="38"/>
      <c r="B225" s="38"/>
      <c r="C225" s="37"/>
      <c r="D225" s="37"/>
      <c r="E225" s="37"/>
      <c r="F225" s="38"/>
      <c r="G225" s="38"/>
      <c r="H225" s="38"/>
      <c r="I225" s="38"/>
      <c r="J225" s="38"/>
      <c r="K225" s="38"/>
      <c r="L225" s="37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</row>
    <row r="226" ht="15.75" customHeight="1">
      <c r="A226" s="38"/>
      <c r="B226" s="38"/>
      <c r="C226" s="37"/>
      <c r="D226" s="37"/>
      <c r="E226" s="37"/>
      <c r="F226" s="38"/>
      <c r="G226" s="38"/>
      <c r="H226" s="38"/>
      <c r="I226" s="38"/>
      <c r="J226" s="38"/>
      <c r="K226" s="38"/>
      <c r="L226" s="37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</row>
    <row r="227" ht="15.75" customHeight="1">
      <c r="A227" s="38"/>
      <c r="B227" s="38"/>
      <c r="C227" s="37"/>
      <c r="D227" s="37"/>
      <c r="E227" s="37"/>
      <c r="F227" s="38"/>
      <c r="G227" s="38"/>
      <c r="H227" s="38"/>
      <c r="I227" s="38"/>
      <c r="J227" s="38"/>
      <c r="K227" s="38"/>
      <c r="L227" s="37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 ht="15.75" customHeight="1">
      <c r="A228" s="38"/>
      <c r="B228" s="38"/>
      <c r="C228" s="37"/>
      <c r="D228" s="37"/>
      <c r="E228" s="37"/>
      <c r="F228" s="38"/>
      <c r="G228" s="38"/>
      <c r="H228" s="38"/>
      <c r="I228" s="38"/>
      <c r="J228" s="38"/>
      <c r="K228" s="38"/>
      <c r="L228" s="37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</row>
    <row r="229" ht="15.75" customHeight="1">
      <c r="A229" s="38"/>
      <c r="B229" s="38"/>
      <c r="C229" s="37"/>
      <c r="D229" s="37"/>
      <c r="E229" s="37"/>
      <c r="F229" s="38"/>
      <c r="G229" s="38"/>
      <c r="H229" s="38"/>
      <c r="I229" s="38"/>
      <c r="J229" s="38"/>
      <c r="K229" s="38"/>
      <c r="L229" s="37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</row>
    <row r="230" ht="15.75" customHeight="1">
      <c r="A230" s="38"/>
      <c r="B230" s="38"/>
      <c r="C230" s="37"/>
      <c r="D230" s="37"/>
      <c r="E230" s="37"/>
      <c r="F230" s="38"/>
      <c r="G230" s="38"/>
      <c r="H230" s="38"/>
      <c r="I230" s="38"/>
      <c r="J230" s="38"/>
      <c r="K230" s="38"/>
      <c r="L230" s="37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</row>
    <row r="231" ht="15.75" customHeight="1">
      <c r="A231" s="38"/>
      <c r="B231" s="38"/>
      <c r="C231" s="37"/>
      <c r="D231" s="37"/>
      <c r="E231" s="37"/>
      <c r="F231" s="38"/>
      <c r="G231" s="38"/>
      <c r="H231" s="38"/>
      <c r="I231" s="38"/>
      <c r="J231" s="38"/>
      <c r="K231" s="38"/>
      <c r="L231" s="37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</row>
    <row r="232" ht="15.75" customHeight="1">
      <c r="A232" s="38"/>
      <c r="B232" s="38"/>
      <c r="C232" s="37"/>
      <c r="D232" s="37"/>
      <c r="E232" s="37"/>
      <c r="F232" s="38"/>
      <c r="G232" s="38"/>
      <c r="H232" s="38"/>
      <c r="I232" s="38"/>
      <c r="J232" s="38"/>
      <c r="K232" s="38"/>
      <c r="L232" s="37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</row>
    <row r="233" ht="15.75" customHeight="1">
      <c r="A233" s="38"/>
      <c r="B233" s="38"/>
      <c r="C233" s="37"/>
      <c r="D233" s="37"/>
      <c r="E233" s="37"/>
      <c r="F233" s="38"/>
      <c r="G233" s="38"/>
      <c r="H233" s="38"/>
      <c r="I233" s="38"/>
      <c r="J233" s="38"/>
      <c r="K233" s="38"/>
      <c r="L233" s="37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</row>
    <row r="234" ht="15.75" customHeight="1">
      <c r="A234" s="38"/>
      <c r="B234" s="38"/>
      <c r="C234" s="37"/>
      <c r="D234" s="37"/>
      <c r="E234" s="37"/>
      <c r="F234" s="38"/>
      <c r="G234" s="38"/>
      <c r="H234" s="38"/>
      <c r="I234" s="38"/>
      <c r="J234" s="38"/>
      <c r="K234" s="38"/>
      <c r="L234" s="37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</row>
    <row r="235" ht="15.75" customHeight="1">
      <c r="A235" s="38"/>
      <c r="B235" s="38"/>
      <c r="C235" s="37"/>
      <c r="D235" s="37"/>
      <c r="E235" s="37"/>
      <c r="F235" s="38"/>
      <c r="G235" s="38"/>
      <c r="H235" s="38"/>
      <c r="I235" s="38"/>
      <c r="J235" s="38"/>
      <c r="K235" s="38"/>
      <c r="L235" s="37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</row>
    <row r="236">
      <c r="H236" s="21"/>
      <c r="T236" s="21"/>
      <c r="U236" s="21"/>
      <c r="V236" s="21"/>
      <c r="W236" s="21"/>
    </row>
    <row r="237">
      <c r="H237" s="21"/>
      <c r="T237" s="21"/>
      <c r="U237" s="21"/>
      <c r="V237" s="21"/>
      <c r="W237" s="21"/>
    </row>
    <row r="238">
      <c r="H238" s="21"/>
      <c r="T238" s="21"/>
      <c r="U238" s="21"/>
      <c r="V238" s="21"/>
      <c r="W238" s="21"/>
    </row>
    <row r="239">
      <c r="H239" s="21"/>
      <c r="T239" s="21"/>
      <c r="U239" s="21"/>
      <c r="V239" s="21"/>
      <c r="W239" s="21"/>
    </row>
    <row r="240">
      <c r="H240" s="21"/>
      <c r="T240" s="21"/>
      <c r="U240" s="21"/>
      <c r="V240" s="21"/>
      <c r="W240" s="21"/>
    </row>
    <row r="241">
      <c r="H241" s="21"/>
      <c r="T241" s="21"/>
      <c r="U241" s="21"/>
      <c r="V241" s="21"/>
      <c r="W241" s="21"/>
    </row>
    <row r="242">
      <c r="H242" s="21"/>
      <c r="T242" s="21"/>
      <c r="U242" s="21"/>
      <c r="V242" s="21"/>
      <c r="W242" s="21"/>
    </row>
    <row r="243">
      <c r="H243" s="21"/>
      <c r="T243" s="21"/>
      <c r="U243" s="21"/>
      <c r="V243" s="21"/>
      <c r="W243" s="21"/>
    </row>
    <row r="244">
      <c r="H244" s="21"/>
      <c r="T244" s="21"/>
      <c r="U244" s="21"/>
      <c r="V244" s="21"/>
      <c r="W244" s="21"/>
    </row>
    <row r="245">
      <c r="H245" s="21"/>
      <c r="T245" s="21"/>
      <c r="U245" s="21"/>
      <c r="V245" s="21"/>
      <c r="W245" s="21"/>
    </row>
    <row r="246">
      <c r="H246" s="21"/>
      <c r="T246" s="21"/>
      <c r="U246" s="21"/>
      <c r="V246" s="21"/>
      <c r="W246" s="21"/>
    </row>
    <row r="247">
      <c r="H247" s="21"/>
      <c r="T247" s="21"/>
      <c r="U247" s="21"/>
      <c r="V247" s="21"/>
      <c r="W247" s="21"/>
    </row>
    <row r="248">
      <c r="H248" s="21"/>
      <c r="T248" s="21"/>
      <c r="U248" s="21"/>
      <c r="V248" s="21"/>
      <c r="W248" s="21"/>
    </row>
    <row r="249">
      <c r="H249" s="21"/>
      <c r="T249" s="21"/>
      <c r="U249" s="21"/>
      <c r="V249" s="21"/>
      <c r="W249" s="21"/>
    </row>
    <row r="250">
      <c r="H250" s="21"/>
      <c r="T250" s="21"/>
      <c r="U250" s="21"/>
      <c r="V250" s="21"/>
      <c r="W250" s="21"/>
    </row>
    <row r="251">
      <c r="H251" s="21"/>
      <c r="T251" s="21"/>
      <c r="U251" s="21"/>
      <c r="V251" s="21"/>
      <c r="W251" s="21"/>
    </row>
    <row r="252">
      <c r="H252" s="21"/>
      <c r="T252" s="21"/>
      <c r="U252" s="21"/>
      <c r="V252" s="21"/>
      <c r="W252" s="21"/>
    </row>
    <row r="253">
      <c r="H253" s="21"/>
      <c r="T253" s="21"/>
      <c r="U253" s="21"/>
      <c r="V253" s="21"/>
      <c r="W253" s="21"/>
    </row>
    <row r="254">
      <c r="H254" s="21"/>
      <c r="T254" s="21"/>
      <c r="U254" s="21"/>
      <c r="V254" s="21"/>
      <c r="W254" s="21"/>
    </row>
    <row r="255">
      <c r="H255" s="21"/>
      <c r="T255" s="21"/>
      <c r="U255" s="21"/>
      <c r="V255" s="21"/>
      <c r="W255" s="21"/>
    </row>
    <row r="256">
      <c r="H256" s="21"/>
      <c r="T256" s="21"/>
      <c r="U256" s="21"/>
      <c r="V256" s="21"/>
      <c r="W256" s="21"/>
    </row>
    <row r="257">
      <c r="H257" s="21"/>
      <c r="T257" s="21"/>
      <c r="U257" s="21"/>
      <c r="V257" s="21"/>
      <c r="W257" s="21"/>
    </row>
    <row r="258">
      <c r="H258" s="21"/>
      <c r="T258" s="21"/>
      <c r="U258" s="21"/>
      <c r="V258" s="21"/>
      <c r="W258" s="21"/>
    </row>
    <row r="259">
      <c r="H259" s="21"/>
      <c r="T259" s="21"/>
      <c r="U259" s="21"/>
      <c r="V259" s="21"/>
      <c r="W259" s="21"/>
    </row>
    <row r="260">
      <c r="H260" s="21"/>
      <c r="T260" s="21"/>
      <c r="U260" s="21"/>
      <c r="V260" s="21"/>
      <c r="W260" s="21"/>
    </row>
    <row r="261">
      <c r="H261" s="21"/>
      <c r="T261" s="21"/>
      <c r="U261" s="21"/>
      <c r="V261" s="21"/>
      <c r="W261" s="21"/>
    </row>
    <row r="262">
      <c r="H262" s="21"/>
      <c r="T262" s="21"/>
      <c r="U262" s="21"/>
      <c r="V262" s="21"/>
      <c r="W262" s="21"/>
    </row>
    <row r="263">
      <c r="H263" s="21"/>
      <c r="T263" s="21"/>
      <c r="U263" s="21"/>
      <c r="V263" s="21"/>
      <c r="W263" s="21"/>
    </row>
    <row r="264">
      <c r="H264" s="21"/>
      <c r="T264" s="21"/>
      <c r="U264" s="21"/>
      <c r="V264" s="21"/>
      <c r="W264" s="21"/>
    </row>
    <row r="265">
      <c r="H265" s="21"/>
      <c r="T265" s="21"/>
      <c r="U265" s="21"/>
      <c r="V265" s="21"/>
      <c r="W265" s="21"/>
    </row>
    <row r="266">
      <c r="H266" s="21"/>
      <c r="T266" s="21"/>
      <c r="U266" s="21"/>
      <c r="V266" s="21"/>
      <c r="W266" s="21"/>
    </row>
    <row r="267">
      <c r="H267" s="21"/>
      <c r="T267" s="21"/>
      <c r="U267" s="21"/>
      <c r="V267" s="21"/>
      <c r="W267" s="21"/>
    </row>
    <row r="268">
      <c r="H268" s="21"/>
      <c r="T268" s="21"/>
      <c r="U268" s="21"/>
      <c r="V268" s="21"/>
      <c r="W268" s="21"/>
    </row>
    <row r="269">
      <c r="H269" s="21"/>
      <c r="T269" s="21"/>
      <c r="U269" s="21"/>
      <c r="V269" s="21"/>
      <c r="W269" s="21"/>
    </row>
    <row r="270">
      <c r="H270" s="21"/>
      <c r="T270" s="21"/>
      <c r="U270" s="21"/>
      <c r="V270" s="21"/>
      <c r="W270" s="21"/>
    </row>
    <row r="271">
      <c r="H271" s="21"/>
      <c r="T271" s="21"/>
      <c r="U271" s="21"/>
      <c r="V271" s="21"/>
      <c r="W271" s="21"/>
    </row>
    <row r="272">
      <c r="H272" s="21"/>
      <c r="T272" s="21"/>
      <c r="U272" s="21"/>
      <c r="V272" s="21"/>
      <c r="W272" s="21"/>
    </row>
    <row r="273">
      <c r="H273" s="21"/>
      <c r="T273" s="21"/>
      <c r="U273" s="21"/>
      <c r="V273" s="21"/>
      <c r="W273" s="21"/>
    </row>
    <row r="274">
      <c r="H274" s="21"/>
      <c r="T274" s="21"/>
      <c r="U274" s="21"/>
      <c r="V274" s="21"/>
      <c r="W274" s="21"/>
    </row>
    <row r="275">
      <c r="H275" s="21"/>
      <c r="T275" s="21"/>
      <c r="U275" s="21"/>
      <c r="V275" s="21"/>
      <c r="W275" s="21"/>
    </row>
    <row r="276">
      <c r="H276" s="21"/>
      <c r="T276" s="21"/>
      <c r="U276" s="21"/>
      <c r="V276" s="21"/>
      <c r="W276" s="21"/>
    </row>
    <row r="277">
      <c r="H277" s="21"/>
      <c r="T277" s="21"/>
      <c r="U277" s="21"/>
      <c r="V277" s="21"/>
      <c r="W277" s="21"/>
    </row>
    <row r="278">
      <c r="H278" s="21"/>
      <c r="T278" s="21"/>
      <c r="U278" s="21"/>
      <c r="V278" s="21"/>
      <c r="W278" s="21"/>
    </row>
    <row r="279">
      <c r="H279" s="21"/>
      <c r="T279" s="21"/>
      <c r="U279" s="21"/>
      <c r="V279" s="21"/>
      <c r="W279" s="21"/>
    </row>
    <row r="280">
      <c r="H280" s="21"/>
      <c r="T280" s="21"/>
      <c r="U280" s="21"/>
      <c r="V280" s="21"/>
      <c r="W280" s="21"/>
    </row>
    <row r="281">
      <c r="H281" s="21"/>
      <c r="T281" s="21"/>
      <c r="U281" s="21"/>
      <c r="V281" s="21"/>
      <c r="W281" s="21"/>
    </row>
    <row r="282">
      <c r="H282" s="21"/>
      <c r="T282" s="21"/>
      <c r="U282" s="21"/>
      <c r="V282" s="21"/>
      <c r="W282" s="21"/>
    </row>
    <row r="283">
      <c r="H283" s="21"/>
      <c r="T283" s="21"/>
      <c r="U283" s="21"/>
      <c r="V283" s="21"/>
      <c r="W283" s="21"/>
    </row>
    <row r="284">
      <c r="H284" s="21"/>
      <c r="T284" s="21"/>
      <c r="U284" s="21"/>
      <c r="V284" s="21"/>
      <c r="W284" s="21"/>
    </row>
    <row r="285">
      <c r="H285" s="21"/>
      <c r="T285" s="21"/>
      <c r="U285" s="21"/>
      <c r="V285" s="21"/>
      <c r="W285" s="21"/>
    </row>
    <row r="286">
      <c r="H286" s="21"/>
      <c r="T286" s="21"/>
      <c r="U286" s="21"/>
      <c r="V286" s="21"/>
      <c r="W286" s="21"/>
    </row>
    <row r="287">
      <c r="H287" s="21"/>
      <c r="T287" s="21"/>
      <c r="U287" s="21"/>
      <c r="V287" s="21"/>
      <c r="W287" s="21"/>
    </row>
    <row r="288">
      <c r="H288" s="21"/>
      <c r="T288" s="21"/>
      <c r="U288" s="21"/>
      <c r="V288" s="21"/>
      <c r="W288" s="21"/>
    </row>
    <row r="289">
      <c r="H289" s="21"/>
      <c r="T289" s="21"/>
      <c r="U289" s="21"/>
      <c r="V289" s="21"/>
      <c r="W289" s="21"/>
    </row>
    <row r="290">
      <c r="H290" s="21"/>
      <c r="T290" s="21"/>
      <c r="U290" s="21"/>
      <c r="V290" s="21"/>
      <c r="W290" s="21"/>
    </row>
    <row r="291">
      <c r="H291" s="21"/>
      <c r="T291" s="21"/>
      <c r="U291" s="21"/>
      <c r="V291" s="21"/>
      <c r="W291" s="21"/>
    </row>
    <row r="292">
      <c r="H292" s="21"/>
      <c r="T292" s="21"/>
      <c r="U292" s="21"/>
      <c r="V292" s="21"/>
      <c r="W292" s="21"/>
    </row>
    <row r="293">
      <c r="H293" s="21"/>
      <c r="T293" s="21"/>
      <c r="U293" s="21"/>
      <c r="V293" s="21"/>
      <c r="W293" s="21"/>
    </row>
    <row r="294">
      <c r="H294" s="21"/>
      <c r="T294" s="21"/>
      <c r="U294" s="21"/>
      <c r="V294" s="21"/>
      <c r="W294" s="21"/>
    </row>
    <row r="295">
      <c r="H295" s="21"/>
      <c r="T295" s="21"/>
      <c r="U295" s="21"/>
      <c r="V295" s="21"/>
      <c r="W295" s="21"/>
    </row>
    <row r="296">
      <c r="H296" s="21"/>
      <c r="T296" s="21"/>
      <c r="U296" s="21"/>
      <c r="V296" s="21"/>
      <c r="W296" s="21"/>
    </row>
    <row r="297">
      <c r="H297" s="21"/>
      <c r="T297" s="21"/>
      <c r="U297" s="21"/>
      <c r="V297" s="21"/>
      <c r="W297" s="21"/>
    </row>
    <row r="298">
      <c r="H298" s="21"/>
      <c r="T298" s="21"/>
      <c r="U298" s="21"/>
      <c r="V298" s="21"/>
      <c r="W298" s="21"/>
    </row>
    <row r="299">
      <c r="H299" s="21"/>
      <c r="T299" s="21"/>
      <c r="U299" s="21"/>
      <c r="V299" s="21"/>
      <c r="W299" s="21"/>
    </row>
    <row r="300">
      <c r="H300" s="21"/>
      <c r="T300" s="21"/>
      <c r="U300" s="21"/>
      <c r="V300" s="21"/>
      <c r="W300" s="21"/>
    </row>
    <row r="301">
      <c r="H301" s="21"/>
      <c r="T301" s="21"/>
      <c r="U301" s="21"/>
      <c r="V301" s="21"/>
      <c r="W301" s="21"/>
    </row>
    <row r="302">
      <c r="H302" s="21"/>
      <c r="T302" s="21"/>
      <c r="U302" s="21"/>
      <c r="V302" s="21"/>
      <c r="W302" s="21"/>
    </row>
    <row r="303">
      <c r="H303" s="21"/>
      <c r="T303" s="21"/>
      <c r="U303" s="21"/>
      <c r="V303" s="21"/>
      <c r="W303" s="21"/>
    </row>
    <row r="304">
      <c r="H304" s="21"/>
      <c r="T304" s="21"/>
      <c r="U304" s="21"/>
      <c r="V304" s="21"/>
      <c r="W304" s="21"/>
    </row>
    <row r="305">
      <c r="H305" s="21"/>
      <c r="T305" s="21"/>
      <c r="U305" s="21"/>
      <c r="V305" s="21"/>
      <c r="W305" s="21"/>
    </row>
    <row r="306">
      <c r="H306" s="21"/>
      <c r="T306" s="21"/>
      <c r="U306" s="21"/>
      <c r="V306" s="21"/>
      <c r="W306" s="21"/>
    </row>
    <row r="307">
      <c r="H307" s="21"/>
      <c r="T307" s="21"/>
      <c r="U307" s="21"/>
      <c r="V307" s="21"/>
      <c r="W307" s="21"/>
    </row>
    <row r="308">
      <c r="H308" s="21"/>
      <c r="T308" s="21"/>
      <c r="U308" s="21"/>
      <c r="V308" s="21"/>
      <c r="W308" s="21"/>
    </row>
    <row r="309">
      <c r="H309" s="21"/>
      <c r="T309" s="21"/>
      <c r="U309" s="21"/>
      <c r="V309" s="21"/>
      <c r="W309" s="21"/>
    </row>
    <row r="310">
      <c r="H310" s="21"/>
      <c r="T310" s="21"/>
      <c r="U310" s="21"/>
      <c r="V310" s="21"/>
      <c r="W310" s="21"/>
    </row>
    <row r="311">
      <c r="H311" s="21"/>
      <c r="T311" s="21"/>
      <c r="U311" s="21"/>
      <c r="V311" s="21"/>
      <c r="W311" s="21"/>
    </row>
    <row r="312">
      <c r="H312" s="21"/>
      <c r="T312" s="21"/>
      <c r="U312" s="21"/>
      <c r="V312" s="21"/>
      <c r="W312" s="21"/>
    </row>
    <row r="313">
      <c r="H313" s="21"/>
      <c r="T313" s="21"/>
      <c r="U313" s="21"/>
      <c r="V313" s="21"/>
      <c r="W313" s="21"/>
    </row>
    <row r="314">
      <c r="H314" s="21"/>
      <c r="T314" s="21"/>
      <c r="U314" s="21"/>
      <c r="V314" s="21"/>
      <c r="W314" s="21"/>
    </row>
    <row r="315">
      <c r="H315" s="21"/>
      <c r="T315" s="21"/>
      <c r="U315" s="21"/>
      <c r="V315" s="21"/>
      <c r="W315" s="21"/>
    </row>
    <row r="316">
      <c r="H316" s="21"/>
      <c r="T316" s="21"/>
      <c r="U316" s="21"/>
      <c r="V316" s="21"/>
      <c r="W316" s="21"/>
    </row>
    <row r="317">
      <c r="H317" s="21"/>
      <c r="T317" s="21"/>
      <c r="U317" s="21"/>
      <c r="V317" s="21"/>
      <c r="W317" s="21"/>
    </row>
    <row r="318">
      <c r="H318" s="21"/>
      <c r="T318" s="21"/>
      <c r="U318" s="21"/>
      <c r="V318" s="21"/>
      <c r="W318" s="21"/>
    </row>
    <row r="319">
      <c r="H319" s="21"/>
      <c r="T319" s="21"/>
      <c r="U319" s="21"/>
      <c r="V319" s="21"/>
      <c r="W319" s="21"/>
    </row>
    <row r="320">
      <c r="H320" s="21"/>
      <c r="T320" s="21"/>
      <c r="U320" s="21"/>
      <c r="V320" s="21"/>
      <c r="W320" s="21"/>
    </row>
    <row r="321">
      <c r="H321" s="21"/>
      <c r="T321" s="21"/>
      <c r="U321" s="21"/>
      <c r="V321" s="21"/>
      <c r="W321" s="21"/>
    </row>
    <row r="322">
      <c r="H322" s="21"/>
      <c r="T322" s="21"/>
      <c r="U322" s="21"/>
      <c r="V322" s="21"/>
      <c r="W322" s="21"/>
    </row>
    <row r="323">
      <c r="H323" s="21"/>
      <c r="T323" s="21"/>
      <c r="U323" s="21"/>
      <c r="V323" s="21"/>
      <c r="W323" s="21"/>
    </row>
    <row r="324">
      <c r="H324" s="21"/>
      <c r="T324" s="21"/>
      <c r="U324" s="21"/>
      <c r="V324" s="21"/>
      <c r="W324" s="21"/>
    </row>
    <row r="325">
      <c r="H325" s="21"/>
      <c r="T325" s="21"/>
      <c r="U325" s="21"/>
      <c r="V325" s="21"/>
      <c r="W325" s="21"/>
    </row>
    <row r="326">
      <c r="H326" s="21"/>
      <c r="T326" s="21"/>
      <c r="U326" s="21"/>
      <c r="V326" s="21"/>
      <c r="W326" s="21"/>
    </row>
    <row r="327">
      <c r="H327" s="21"/>
      <c r="T327" s="21"/>
      <c r="U327" s="21"/>
      <c r="V327" s="21"/>
      <c r="W327" s="21"/>
    </row>
    <row r="328">
      <c r="H328" s="21"/>
      <c r="T328" s="21"/>
      <c r="U328" s="21"/>
      <c r="V328" s="21"/>
      <c r="W328" s="21"/>
    </row>
    <row r="329">
      <c r="H329" s="21"/>
      <c r="T329" s="21"/>
      <c r="U329" s="21"/>
      <c r="V329" s="21"/>
      <c r="W329" s="21"/>
    </row>
    <row r="330">
      <c r="H330" s="21"/>
      <c r="T330" s="21"/>
      <c r="U330" s="21"/>
      <c r="V330" s="21"/>
      <c r="W330" s="21"/>
    </row>
    <row r="331">
      <c r="H331" s="21"/>
      <c r="T331" s="21"/>
      <c r="U331" s="21"/>
      <c r="V331" s="21"/>
      <c r="W331" s="21"/>
    </row>
    <row r="332">
      <c r="H332" s="21"/>
      <c r="T332" s="21"/>
      <c r="U332" s="21"/>
      <c r="V332" s="21"/>
      <c r="W332" s="21"/>
    </row>
    <row r="333">
      <c r="H333" s="21"/>
      <c r="T333" s="21"/>
      <c r="U333" s="21"/>
      <c r="V333" s="21"/>
      <c r="W333" s="21"/>
    </row>
    <row r="334">
      <c r="H334" s="21"/>
      <c r="T334" s="21"/>
      <c r="U334" s="21"/>
      <c r="V334" s="21"/>
      <c r="W334" s="21"/>
    </row>
    <row r="335">
      <c r="H335" s="21"/>
      <c r="T335" s="21"/>
      <c r="U335" s="21"/>
      <c r="V335" s="21"/>
      <c r="W335" s="21"/>
    </row>
    <row r="336">
      <c r="H336" s="21"/>
      <c r="T336" s="21"/>
      <c r="U336" s="21"/>
      <c r="V336" s="21"/>
      <c r="W336" s="21"/>
    </row>
    <row r="337">
      <c r="H337" s="21"/>
      <c r="T337" s="21"/>
      <c r="U337" s="21"/>
      <c r="V337" s="21"/>
      <c r="W337" s="21"/>
    </row>
    <row r="338">
      <c r="H338" s="21"/>
      <c r="T338" s="21"/>
      <c r="U338" s="21"/>
      <c r="V338" s="21"/>
      <c r="W338" s="21"/>
    </row>
    <row r="339">
      <c r="H339" s="21"/>
      <c r="T339" s="21"/>
      <c r="U339" s="21"/>
      <c r="V339" s="21"/>
      <c r="W339" s="21"/>
    </row>
    <row r="340">
      <c r="H340" s="21"/>
      <c r="T340" s="21"/>
      <c r="U340" s="21"/>
      <c r="V340" s="21"/>
      <c r="W340" s="21"/>
    </row>
    <row r="341">
      <c r="H341" s="21"/>
      <c r="T341" s="21"/>
      <c r="U341" s="21"/>
      <c r="V341" s="21"/>
      <c r="W341" s="21"/>
    </row>
    <row r="342">
      <c r="H342" s="21"/>
      <c r="T342" s="21"/>
      <c r="U342" s="21"/>
      <c r="V342" s="21"/>
      <c r="W342" s="21"/>
    </row>
    <row r="343">
      <c r="H343" s="21"/>
      <c r="T343" s="21"/>
      <c r="U343" s="21"/>
      <c r="V343" s="21"/>
      <c r="W343" s="21"/>
    </row>
    <row r="344">
      <c r="H344" s="21"/>
      <c r="T344" s="21"/>
      <c r="U344" s="21"/>
      <c r="V344" s="21"/>
      <c r="W344" s="21"/>
    </row>
    <row r="345">
      <c r="H345" s="21"/>
      <c r="T345" s="21"/>
      <c r="U345" s="21"/>
      <c r="V345" s="21"/>
      <c r="W345" s="21"/>
    </row>
    <row r="346">
      <c r="H346" s="21"/>
      <c r="T346" s="21"/>
      <c r="U346" s="21"/>
      <c r="V346" s="21"/>
      <c r="W346" s="21"/>
    </row>
    <row r="347">
      <c r="H347" s="21"/>
      <c r="T347" s="21"/>
      <c r="U347" s="21"/>
      <c r="V347" s="21"/>
      <c r="W347" s="21"/>
    </row>
    <row r="348">
      <c r="H348" s="21"/>
      <c r="T348" s="21"/>
      <c r="U348" s="21"/>
      <c r="V348" s="21"/>
      <c r="W348" s="21"/>
    </row>
    <row r="349">
      <c r="H349" s="21"/>
      <c r="T349" s="21"/>
      <c r="U349" s="21"/>
      <c r="V349" s="21"/>
      <c r="W349" s="21"/>
    </row>
    <row r="350">
      <c r="H350" s="21"/>
      <c r="T350" s="21"/>
      <c r="U350" s="21"/>
      <c r="V350" s="21"/>
      <c r="W350" s="21"/>
    </row>
    <row r="351">
      <c r="H351" s="21"/>
      <c r="T351" s="21"/>
      <c r="U351" s="21"/>
      <c r="V351" s="21"/>
      <c r="W351" s="21"/>
    </row>
    <row r="352">
      <c r="H352" s="21"/>
      <c r="T352" s="21"/>
      <c r="U352" s="21"/>
      <c r="V352" s="21"/>
      <c r="W352" s="21"/>
    </row>
    <row r="353">
      <c r="H353" s="21"/>
      <c r="T353" s="21"/>
      <c r="U353" s="21"/>
      <c r="V353" s="21"/>
      <c r="W353" s="21"/>
    </row>
    <row r="354">
      <c r="H354" s="21"/>
      <c r="T354" s="21"/>
      <c r="U354" s="21"/>
      <c r="V354" s="21"/>
      <c r="W354" s="21"/>
    </row>
    <row r="355">
      <c r="H355" s="21"/>
      <c r="T355" s="21"/>
      <c r="U355" s="21"/>
      <c r="V355" s="21"/>
      <c r="W355" s="21"/>
    </row>
    <row r="356">
      <c r="H356" s="21"/>
      <c r="T356" s="21"/>
      <c r="U356" s="21"/>
      <c r="V356" s="21"/>
      <c r="W356" s="21"/>
    </row>
    <row r="357">
      <c r="H357" s="21"/>
      <c r="T357" s="21"/>
      <c r="U357" s="21"/>
      <c r="V357" s="21"/>
      <c r="W357" s="21"/>
    </row>
    <row r="358">
      <c r="H358" s="21"/>
      <c r="T358" s="21"/>
      <c r="U358" s="21"/>
      <c r="V358" s="21"/>
      <c r="W358" s="21"/>
    </row>
    <row r="359">
      <c r="H359" s="21"/>
      <c r="T359" s="21"/>
      <c r="U359" s="21"/>
      <c r="V359" s="21"/>
      <c r="W359" s="21"/>
    </row>
    <row r="360">
      <c r="H360" s="21"/>
      <c r="T360" s="21"/>
      <c r="U360" s="21"/>
      <c r="V360" s="21"/>
      <c r="W360" s="21"/>
    </row>
    <row r="361">
      <c r="H361" s="21"/>
      <c r="T361" s="21"/>
      <c r="U361" s="21"/>
      <c r="V361" s="21"/>
      <c r="W361" s="21"/>
    </row>
    <row r="362">
      <c r="H362" s="21"/>
      <c r="T362" s="21"/>
      <c r="U362" s="21"/>
      <c r="V362" s="21"/>
      <c r="W362" s="21"/>
    </row>
    <row r="363">
      <c r="H363" s="21"/>
      <c r="T363" s="21"/>
      <c r="U363" s="21"/>
      <c r="V363" s="21"/>
      <c r="W363" s="21"/>
    </row>
    <row r="364">
      <c r="H364" s="21"/>
      <c r="T364" s="21"/>
      <c r="U364" s="21"/>
      <c r="V364" s="21"/>
      <c r="W364" s="21"/>
    </row>
    <row r="365">
      <c r="H365" s="21"/>
      <c r="T365" s="21"/>
      <c r="U365" s="21"/>
      <c r="V365" s="21"/>
      <c r="W365" s="21"/>
    </row>
    <row r="366">
      <c r="H366" s="21"/>
      <c r="T366" s="21"/>
      <c r="U366" s="21"/>
      <c r="V366" s="21"/>
      <c r="W366" s="21"/>
    </row>
    <row r="367">
      <c r="H367" s="21"/>
      <c r="T367" s="21"/>
      <c r="U367" s="21"/>
      <c r="V367" s="21"/>
      <c r="W367" s="21"/>
    </row>
    <row r="368">
      <c r="H368" s="21"/>
      <c r="T368" s="21"/>
      <c r="U368" s="21"/>
      <c r="V368" s="21"/>
      <c r="W368" s="21"/>
    </row>
    <row r="369">
      <c r="H369" s="21"/>
      <c r="T369" s="21"/>
      <c r="U369" s="21"/>
      <c r="V369" s="21"/>
      <c r="W369" s="21"/>
    </row>
    <row r="370">
      <c r="H370" s="21"/>
      <c r="T370" s="21"/>
      <c r="U370" s="21"/>
      <c r="V370" s="21"/>
      <c r="W370" s="21"/>
    </row>
    <row r="371">
      <c r="H371" s="21"/>
      <c r="T371" s="21"/>
      <c r="U371" s="21"/>
      <c r="V371" s="21"/>
      <c r="W371" s="21"/>
    </row>
    <row r="372">
      <c r="H372" s="21"/>
      <c r="T372" s="21"/>
      <c r="U372" s="21"/>
      <c r="V372" s="21"/>
      <c r="W372" s="21"/>
    </row>
    <row r="373">
      <c r="H373" s="21"/>
      <c r="T373" s="21"/>
      <c r="U373" s="21"/>
      <c r="V373" s="21"/>
      <c r="W373" s="21"/>
    </row>
    <row r="374">
      <c r="H374" s="21"/>
      <c r="T374" s="21"/>
      <c r="U374" s="21"/>
      <c r="V374" s="21"/>
      <c r="W374" s="21"/>
    </row>
    <row r="375">
      <c r="H375" s="21"/>
      <c r="T375" s="21"/>
      <c r="U375" s="21"/>
      <c r="V375" s="21"/>
      <c r="W375" s="21"/>
    </row>
    <row r="376">
      <c r="H376" s="21"/>
      <c r="T376" s="21"/>
      <c r="U376" s="21"/>
      <c r="V376" s="21"/>
      <c r="W376" s="21"/>
    </row>
    <row r="377">
      <c r="H377" s="21"/>
      <c r="T377" s="21"/>
      <c r="U377" s="21"/>
      <c r="V377" s="21"/>
      <c r="W377" s="21"/>
    </row>
    <row r="378">
      <c r="H378" s="21"/>
      <c r="T378" s="21"/>
      <c r="U378" s="21"/>
      <c r="V378" s="21"/>
      <c r="W378" s="21"/>
    </row>
    <row r="379">
      <c r="H379" s="21"/>
      <c r="T379" s="21"/>
      <c r="U379" s="21"/>
      <c r="V379" s="21"/>
      <c r="W379" s="21"/>
    </row>
    <row r="380">
      <c r="H380" s="21"/>
      <c r="T380" s="21"/>
      <c r="U380" s="21"/>
      <c r="V380" s="21"/>
      <c r="W380" s="21"/>
    </row>
    <row r="381">
      <c r="H381" s="21"/>
      <c r="T381" s="21"/>
      <c r="U381" s="21"/>
      <c r="V381" s="21"/>
      <c r="W381" s="21"/>
    </row>
    <row r="382">
      <c r="H382" s="21"/>
      <c r="T382" s="21"/>
      <c r="U382" s="21"/>
      <c r="V382" s="21"/>
      <c r="W382" s="21"/>
    </row>
    <row r="383">
      <c r="H383" s="21"/>
      <c r="T383" s="21"/>
      <c r="U383" s="21"/>
      <c r="V383" s="21"/>
      <c r="W383" s="21"/>
    </row>
    <row r="384">
      <c r="H384" s="21"/>
      <c r="T384" s="21"/>
      <c r="U384" s="21"/>
      <c r="V384" s="21"/>
      <c r="W384" s="21"/>
    </row>
    <row r="385">
      <c r="H385" s="21"/>
      <c r="T385" s="21"/>
      <c r="U385" s="21"/>
      <c r="V385" s="21"/>
      <c r="W385" s="21"/>
    </row>
    <row r="386">
      <c r="H386" s="21"/>
      <c r="T386" s="21"/>
      <c r="U386" s="21"/>
      <c r="V386" s="21"/>
      <c r="W386" s="21"/>
    </row>
    <row r="387">
      <c r="H387" s="21"/>
      <c r="T387" s="21"/>
      <c r="U387" s="21"/>
      <c r="V387" s="21"/>
      <c r="W387" s="21"/>
    </row>
    <row r="388">
      <c r="H388" s="21"/>
      <c r="T388" s="21"/>
      <c r="U388" s="21"/>
      <c r="V388" s="21"/>
      <c r="W388" s="21"/>
    </row>
    <row r="389">
      <c r="H389" s="21"/>
      <c r="T389" s="21"/>
      <c r="U389" s="21"/>
      <c r="V389" s="21"/>
      <c r="W389" s="21"/>
    </row>
    <row r="390">
      <c r="H390" s="21"/>
      <c r="T390" s="21"/>
      <c r="U390" s="21"/>
      <c r="V390" s="21"/>
      <c r="W390" s="21"/>
    </row>
    <row r="391">
      <c r="H391" s="21"/>
      <c r="T391" s="21"/>
      <c r="U391" s="21"/>
      <c r="V391" s="21"/>
      <c r="W391" s="21"/>
    </row>
    <row r="392">
      <c r="H392" s="21"/>
      <c r="T392" s="21"/>
      <c r="U392" s="21"/>
      <c r="V392" s="21"/>
      <c r="W392" s="21"/>
    </row>
    <row r="393">
      <c r="H393" s="21"/>
      <c r="T393" s="21"/>
      <c r="U393" s="21"/>
      <c r="V393" s="21"/>
      <c r="W393" s="21"/>
    </row>
    <row r="394">
      <c r="H394" s="21"/>
      <c r="T394" s="21"/>
      <c r="U394" s="21"/>
      <c r="V394" s="21"/>
      <c r="W394" s="21"/>
    </row>
    <row r="395">
      <c r="H395" s="21"/>
      <c r="T395" s="21"/>
      <c r="U395" s="21"/>
      <c r="V395" s="21"/>
      <c r="W395" s="21"/>
    </row>
    <row r="396">
      <c r="H396" s="21"/>
      <c r="T396" s="21"/>
      <c r="U396" s="21"/>
      <c r="V396" s="21"/>
      <c r="W396" s="21"/>
    </row>
    <row r="397">
      <c r="H397" s="21"/>
      <c r="T397" s="21"/>
      <c r="U397" s="21"/>
      <c r="V397" s="21"/>
      <c r="W397" s="21"/>
    </row>
    <row r="398">
      <c r="H398" s="21"/>
      <c r="T398" s="21"/>
      <c r="U398" s="21"/>
      <c r="V398" s="21"/>
      <c r="W398" s="21"/>
    </row>
    <row r="399">
      <c r="H399" s="21"/>
      <c r="T399" s="21"/>
      <c r="U399" s="21"/>
      <c r="V399" s="21"/>
      <c r="W399" s="21"/>
    </row>
    <row r="400">
      <c r="H400" s="21"/>
      <c r="T400" s="21"/>
      <c r="U400" s="21"/>
      <c r="V400" s="21"/>
      <c r="W400" s="21"/>
    </row>
    <row r="401">
      <c r="H401" s="21"/>
      <c r="T401" s="21"/>
      <c r="U401" s="21"/>
      <c r="V401" s="21"/>
      <c r="W401" s="21"/>
    </row>
    <row r="402">
      <c r="H402" s="21"/>
      <c r="T402" s="21"/>
      <c r="U402" s="21"/>
      <c r="V402" s="21"/>
      <c r="W402" s="21"/>
    </row>
    <row r="403">
      <c r="H403" s="21"/>
      <c r="T403" s="21"/>
      <c r="U403" s="21"/>
      <c r="V403" s="21"/>
      <c r="W403" s="21"/>
    </row>
    <row r="404">
      <c r="H404" s="21"/>
      <c r="T404" s="21"/>
      <c r="U404" s="21"/>
      <c r="V404" s="21"/>
      <c r="W404" s="21"/>
    </row>
    <row r="405">
      <c r="H405" s="21"/>
      <c r="T405" s="21"/>
      <c r="U405" s="21"/>
      <c r="V405" s="21"/>
      <c r="W405" s="21"/>
    </row>
    <row r="406">
      <c r="H406" s="21"/>
      <c r="T406" s="21"/>
      <c r="U406" s="21"/>
      <c r="V406" s="21"/>
      <c r="W406" s="21"/>
    </row>
    <row r="407">
      <c r="H407" s="21"/>
      <c r="T407" s="21"/>
      <c r="U407" s="21"/>
      <c r="V407" s="21"/>
      <c r="W407" s="21"/>
    </row>
    <row r="408">
      <c r="H408" s="21"/>
      <c r="T408" s="21"/>
      <c r="U408" s="21"/>
      <c r="V408" s="21"/>
      <c r="W408" s="21"/>
    </row>
    <row r="409">
      <c r="H409" s="21"/>
      <c r="T409" s="21"/>
      <c r="U409" s="21"/>
      <c r="V409" s="21"/>
      <c r="W409" s="21"/>
    </row>
    <row r="410">
      <c r="H410" s="21"/>
      <c r="T410" s="21"/>
      <c r="U410" s="21"/>
      <c r="V410" s="21"/>
      <c r="W410" s="21"/>
    </row>
    <row r="411">
      <c r="H411" s="21"/>
      <c r="T411" s="21"/>
      <c r="U411" s="21"/>
      <c r="V411" s="21"/>
      <c r="W411" s="21"/>
    </row>
    <row r="412">
      <c r="H412" s="21"/>
      <c r="T412" s="21"/>
      <c r="U412" s="21"/>
      <c r="V412" s="21"/>
      <c r="W412" s="21"/>
    </row>
    <row r="413">
      <c r="H413" s="21"/>
      <c r="T413" s="21"/>
      <c r="U413" s="21"/>
      <c r="V413" s="21"/>
      <c r="W413" s="21"/>
    </row>
    <row r="414">
      <c r="H414" s="21"/>
      <c r="T414" s="21"/>
      <c r="U414" s="21"/>
      <c r="V414" s="21"/>
      <c r="W414" s="21"/>
    </row>
    <row r="415">
      <c r="H415" s="21"/>
      <c r="T415" s="21"/>
      <c r="U415" s="21"/>
      <c r="V415" s="21"/>
      <c r="W415" s="21"/>
    </row>
    <row r="416">
      <c r="H416" s="21"/>
      <c r="T416" s="21"/>
      <c r="U416" s="21"/>
      <c r="V416" s="21"/>
      <c r="W416" s="21"/>
    </row>
    <row r="417">
      <c r="H417" s="21"/>
      <c r="T417" s="21"/>
      <c r="U417" s="21"/>
      <c r="V417" s="21"/>
      <c r="W417" s="21"/>
    </row>
    <row r="418">
      <c r="H418" s="21"/>
      <c r="T418" s="21"/>
      <c r="U418" s="21"/>
      <c r="V418" s="21"/>
      <c r="W418" s="21"/>
    </row>
    <row r="419">
      <c r="H419" s="21"/>
      <c r="T419" s="21"/>
      <c r="U419" s="21"/>
      <c r="V419" s="21"/>
      <c r="W419" s="21"/>
    </row>
    <row r="420">
      <c r="H420" s="21"/>
      <c r="T420" s="21"/>
      <c r="U420" s="21"/>
      <c r="V420" s="21"/>
      <c r="W420" s="21"/>
    </row>
    <row r="421">
      <c r="H421" s="21"/>
      <c r="T421" s="21"/>
      <c r="U421" s="21"/>
      <c r="V421" s="21"/>
      <c r="W421" s="21"/>
    </row>
    <row r="422">
      <c r="H422" s="21"/>
      <c r="T422" s="21"/>
      <c r="U422" s="21"/>
      <c r="V422" s="21"/>
      <c r="W422" s="21"/>
    </row>
    <row r="423">
      <c r="H423" s="21"/>
      <c r="T423" s="21"/>
      <c r="U423" s="21"/>
      <c r="V423" s="21"/>
      <c r="W423" s="21"/>
    </row>
    <row r="424">
      <c r="H424" s="21"/>
      <c r="T424" s="21"/>
      <c r="U424" s="21"/>
      <c r="V424" s="21"/>
      <c r="W424" s="21"/>
    </row>
    <row r="425">
      <c r="H425" s="21"/>
      <c r="T425" s="21"/>
      <c r="U425" s="21"/>
      <c r="V425" s="21"/>
      <c r="W425" s="21"/>
    </row>
    <row r="426">
      <c r="H426" s="21"/>
      <c r="T426" s="21"/>
      <c r="U426" s="21"/>
      <c r="V426" s="21"/>
      <c r="W426" s="21"/>
    </row>
    <row r="427">
      <c r="H427" s="21"/>
      <c r="T427" s="21"/>
      <c r="U427" s="21"/>
      <c r="V427" s="21"/>
      <c r="W427" s="21"/>
    </row>
    <row r="428">
      <c r="H428" s="21"/>
      <c r="T428" s="21"/>
      <c r="U428" s="21"/>
      <c r="V428" s="21"/>
      <c r="W428" s="21"/>
    </row>
    <row r="429">
      <c r="H429" s="21"/>
      <c r="T429" s="21"/>
      <c r="U429" s="21"/>
      <c r="V429" s="21"/>
      <c r="W429" s="21"/>
    </row>
    <row r="430">
      <c r="H430" s="21"/>
      <c r="T430" s="21"/>
      <c r="U430" s="21"/>
      <c r="V430" s="21"/>
      <c r="W430" s="21"/>
    </row>
    <row r="431">
      <c r="H431" s="21"/>
      <c r="T431" s="21"/>
      <c r="U431" s="21"/>
      <c r="V431" s="21"/>
      <c r="W431" s="21"/>
    </row>
    <row r="432">
      <c r="H432" s="21"/>
      <c r="T432" s="21"/>
      <c r="U432" s="21"/>
      <c r="V432" s="21"/>
      <c r="W432" s="21"/>
    </row>
    <row r="433">
      <c r="H433" s="21"/>
      <c r="T433" s="21"/>
      <c r="U433" s="21"/>
      <c r="V433" s="21"/>
      <c r="W433" s="21"/>
    </row>
    <row r="434">
      <c r="H434" s="21"/>
      <c r="T434" s="21"/>
      <c r="U434" s="21"/>
      <c r="V434" s="21"/>
      <c r="W434" s="21"/>
    </row>
    <row r="435">
      <c r="H435" s="21"/>
      <c r="T435" s="21"/>
      <c r="U435" s="21"/>
      <c r="V435" s="21"/>
      <c r="W435" s="21"/>
    </row>
    <row r="436">
      <c r="H436" s="21"/>
      <c r="T436" s="21"/>
      <c r="U436" s="21"/>
      <c r="V436" s="21"/>
      <c r="W436" s="21"/>
    </row>
    <row r="437">
      <c r="H437" s="21"/>
      <c r="T437" s="21"/>
      <c r="U437" s="21"/>
      <c r="V437" s="21"/>
      <c r="W437" s="21"/>
    </row>
    <row r="438">
      <c r="H438" s="21"/>
      <c r="T438" s="21"/>
      <c r="U438" s="21"/>
      <c r="V438" s="21"/>
      <c r="W438" s="21"/>
    </row>
    <row r="439">
      <c r="H439" s="21"/>
      <c r="T439" s="21"/>
      <c r="U439" s="21"/>
      <c r="V439" s="21"/>
      <c r="W439" s="21"/>
    </row>
    <row r="440">
      <c r="H440" s="21"/>
      <c r="T440" s="21"/>
      <c r="U440" s="21"/>
      <c r="V440" s="21"/>
      <c r="W440" s="21"/>
    </row>
    <row r="441">
      <c r="H441" s="21"/>
      <c r="T441" s="21"/>
      <c r="U441" s="21"/>
      <c r="V441" s="21"/>
      <c r="W441" s="21"/>
    </row>
    <row r="442">
      <c r="H442" s="21"/>
      <c r="T442" s="21"/>
      <c r="U442" s="21"/>
      <c r="V442" s="21"/>
      <c r="W442" s="21"/>
    </row>
    <row r="443">
      <c r="H443" s="21"/>
      <c r="T443" s="21"/>
      <c r="U443" s="21"/>
      <c r="V443" s="21"/>
      <c r="W443" s="21"/>
    </row>
    <row r="444">
      <c r="H444" s="21"/>
      <c r="T444" s="21"/>
      <c r="U444" s="21"/>
      <c r="V444" s="21"/>
      <c r="W444" s="21"/>
    </row>
    <row r="445">
      <c r="H445" s="21"/>
      <c r="T445" s="21"/>
      <c r="U445" s="21"/>
      <c r="V445" s="21"/>
      <c r="W445" s="21"/>
    </row>
    <row r="446">
      <c r="H446" s="21"/>
      <c r="T446" s="21"/>
      <c r="U446" s="21"/>
      <c r="V446" s="21"/>
      <c r="W446" s="21"/>
    </row>
    <row r="447">
      <c r="H447" s="21"/>
      <c r="T447" s="21"/>
      <c r="U447" s="21"/>
      <c r="V447" s="21"/>
      <c r="W447" s="21"/>
    </row>
    <row r="448">
      <c r="H448" s="21"/>
      <c r="T448" s="21"/>
      <c r="U448" s="21"/>
      <c r="V448" s="21"/>
      <c r="W448" s="21"/>
    </row>
    <row r="449">
      <c r="H449" s="21"/>
      <c r="T449" s="21"/>
      <c r="U449" s="21"/>
      <c r="V449" s="21"/>
      <c r="W449" s="21"/>
    </row>
    <row r="450">
      <c r="H450" s="21"/>
      <c r="T450" s="21"/>
      <c r="U450" s="21"/>
      <c r="V450" s="21"/>
      <c r="W450" s="21"/>
    </row>
    <row r="451">
      <c r="H451" s="21"/>
      <c r="T451" s="21"/>
      <c r="U451" s="21"/>
      <c r="V451" s="21"/>
      <c r="W451" s="21"/>
    </row>
    <row r="452">
      <c r="H452" s="21"/>
      <c r="T452" s="21"/>
      <c r="U452" s="21"/>
      <c r="V452" s="21"/>
      <c r="W452" s="21"/>
    </row>
    <row r="453">
      <c r="H453" s="21"/>
      <c r="T453" s="21"/>
      <c r="U453" s="21"/>
      <c r="V453" s="21"/>
      <c r="W453" s="21"/>
    </row>
    <row r="454">
      <c r="H454" s="21"/>
      <c r="T454" s="21"/>
      <c r="U454" s="21"/>
      <c r="V454" s="21"/>
      <c r="W454" s="21"/>
    </row>
    <row r="455">
      <c r="H455" s="21"/>
      <c r="T455" s="21"/>
      <c r="U455" s="21"/>
      <c r="V455" s="21"/>
      <c r="W455" s="21"/>
    </row>
    <row r="456">
      <c r="H456" s="21"/>
      <c r="T456" s="21"/>
      <c r="U456" s="21"/>
      <c r="V456" s="21"/>
      <c r="W456" s="21"/>
    </row>
    <row r="457">
      <c r="H457" s="21"/>
      <c r="T457" s="21"/>
      <c r="U457" s="21"/>
      <c r="V457" s="21"/>
      <c r="W457" s="21"/>
    </row>
    <row r="458">
      <c r="H458" s="21"/>
      <c r="T458" s="21"/>
      <c r="U458" s="21"/>
      <c r="V458" s="21"/>
      <c r="W458" s="21"/>
    </row>
    <row r="459">
      <c r="H459" s="21"/>
      <c r="T459" s="21"/>
      <c r="U459" s="21"/>
      <c r="V459" s="21"/>
      <c r="W459" s="21"/>
    </row>
    <row r="460">
      <c r="H460" s="21"/>
      <c r="T460" s="21"/>
      <c r="U460" s="21"/>
      <c r="V460" s="21"/>
      <c r="W460" s="21"/>
    </row>
    <row r="461">
      <c r="H461" s="21"/>
      <c r="T461" s="21"/>
      <c r="U461" s="21"/>
      <c r="V461" s="21"/>
      <c r="W461" s="21"/>
    </row>
    <row r="462">
      <c r="H462" s="21"/>
      <c r="T462" s="21"/>
      <c r="U462" s="21"/>
      <c r="V462" s="21"/>
      <c r="W462" s="21"/>
    </row>
    <row r="463">
      <c r="H463" s="21"/>
      <c r="T463" s="21"/>
      <c r="U463" s="21"/>
      <c r="V463" s="21"/>
      <c r="W463" s="21"/>
    </row>
    <row r="464">
      <c r="H464" s="21"/>
      <c r="T464" s="21"/>
      <c r="U464" s="21"/>
      <c r="V464" s="21"/>
      <c r="W464" s="21"/>
    </row>
    <row r="465">
      <c r="H465" s="21"/>
      <c r="T465" s="21"/>
      <c r="U465" s="21"/>
      <c r="V465" s="21"/>
      <c r="W465" s="21"/>
    </row>
    <row r="466">
      <c r="H466" s="21"/>
      <c r="T466" s="21"/>
      <c r="U466" s="21"/>
      <c r="V466" s="21"/>
      <c r="W466" s="21"/>
    </row>
    <row r="467">
      <c r="H467" s="21"/>
      <c r="T467" s="21"/>
      <c r="U467" s="21"/>
      <c r="V467" s="21"/>
      <c r="W467" s="21"/>
    </row>
    <row r="468">
      <c r="H468" s="21"/>
      <c r="T468" s="21"/>
      <c r="U468" s="21"/>
      <c r="V468" s="21"/>
      <c r="W468" s="21"/>
    </row>
    <row r="469">
      <c r="H469" s="21"/>
      <c r="T469" s="21"/>
      <c r="U469" s="21"/>
      <c r="V469" s="21"/>
      <c r="W469" s="21"/>
    </row>
    <row r="470">
      <c r="H470" s="21"/>
      <c r="T470" s="21"/>
      <c r="U470" s="21"/>
      <c r="V470" s="21"/>
      <c r="W470" s="21"/>
    </row>
    <row r="471">
      <c r="H471" s="21"/>
      <c r="T471" s="21"/>
      <c r="U471" s="21"/>
      <c r="V471" s="21"/>
      <c r="W471" s="21"/>
    </row>
    <row r="472">
      <c r="H472" s="21"/>
      <c r="T472" s="21"/>
      <c r="U472" s="21"/>
      <c r="V472" s="21"/>
      <c r="W472" s="21"/>
    </row>
    <row r="473">
      <c r="H473" s="21"/>
      <c r="T473" s="21"/>
      <c r="U473" s="21"/>
      <c r="V473" s="21"/>
      <c r="W473" s="21"/>
    </row>
    <row r="474">
      <c r="H474" s="21"/>
      <c r="T474" s="21"/>
      <c r="U474" s="21"/>
      <c r="V474" s="21"/>
      <c r="W474" s="21"/>
    </row>
    <row r="475">
      <c r="H475" s="21"/>
      <c r="T475" s="21"/>
      <c r="U475" s="21"/>
      <c r="V475" s="21"/>
      <c r="W475" s="21"/>
    </row>
    <row r="476">
      <c r="H476" s="21"/>
      <c r="T476" s="21"/>
      <c r="U476" s="21"/>
      <c r="V476" s="21"/>
      <c r="W476" s="21"/>
    </row>
    <row r="477">
      <c r="H477" s="21"/>
      <c r="T477" s="21"/>
      <c r="U477" s="21"/>
      <c r="V477" s="21"/>
      <c r="W477" s="21"/>
    </row>
    <row r="478">
      <c r="H478" s="21"/>
      <c r="T478" s="21"/>
      <c r="U478" s="21"/>
      <c r="V478" s="21"/>
      <c r="W478" s="21"/>
    </row>
    <row r="479">
      <c r="H479" s="21"/>
      <c r="T479" s="21"/>
      <c r="U479" s="21"/>
      <c r="V479" s="21"/>
      <c r="W479" s="21"/>
    </row>
    <row r="480">
      <c r="H480" s="21"/>
      <c r="T480" s="21"/>
      <c r="U480" s="21"/>
      <c r="V480" s="21"/>
      <c r="W480" s="21"/>
    </row>
    <row r="481">
      <c r="H481" s="21"/>
      <c r="T481" s="21"/>
      <c r="U481" s="21"/>
      <c r="V481" s="21"/>
      <c r="W481" s="21"/>
    </row>
    <row r="482">
      <c r="H482" s="21"/>
      <c r="T482" s="21"/>
      <c r="U482" s="21"/>
      <c r="V482" s="21"/>
      <c r="W482" s="21"/>
    </row>
    <row r="483">
      <c r="H483" s="21"/>
      <c r="T483" s="21"/>
      <c r="U483" s="21"/>
      <c r="V483" s="21"/>
      <c r="W483" s="21"/>
    </row>
    <row r="484">
      <c r="H484" s="21"/>
      <c r="T484" s="21"/>
      <c r="U484" s="21"/>
      <c r="V484" s="21"/>
      <c r="W484" s="21"/>
    </row>
    <row r="485">
      <c r="H485" s="21"/>
      <c r="T485" s="21"/>
      <c r="U485" s="21"/>
      <c r="V485" s="21"/>
      <c r="W485" s="21"/>
    </row>
    <row r="486">
      <c r="H486" s="21"/>
      <c r="T486" s="21"/>
      <c r="U486" s="21"/>
      <c r="V486" s="21"/>
      <c r="W486" s="21"/>
    </row>
    <row r="487">
      <c r="H487" s="21"/>
      <c r="T487" s="21"/>
      <c r="U487" s="21"/>
      <c r="V487" s="21"/>
      <c r="W487" s="21"/>
    </row>
    <row r="488">
      <c r="H488" s="21"/>
      <c r="T488" s="21"/>
      <c r="U488" s="21"/>
      <c r="V488" s="21"/>
      <c r="W488" s="21"/>
    </row>
    <row r="489">
      <c r="H489" s="21"/>
      <c r="T489" s="21"/>
      <c r="U489" s="21"/>
      <c r="V489" s="21"/>
      <c r="W489" s="21"/>
    </row>
    <row r="490">
      <c r="H490" s="21"/>
      <c r="T490" s="21"/>
      <c r="U490" s="21"/>
      <c r="V490" s="21"/>
      <c r="W490" s="21"/>
    </row>
    <row r="491">
      <c r="H491" s="21"/>
      <c r="T491" s="21"/>
      <c r="U491" s="21"/>
      <c r="V491" s="21"/>
      <c r="W491" s="21"/>
    </row>
    <row r="492">
      <c r="H492" s="21"/>
      <c r="T492" s="21"/>
      <c r="U492" s="21"/>
      <c r="V492" s="21"/>
      <c r="W492" s="21"/>
    </row>
    <row r="493">
      <c r="H493" s="21"/>
      <c r="T493" s="21"/>
      <c r="U493" s="21"/>
      <c r="V493" s="21"/>
      <c r="W493" s="21"/>
    </row>
    <row r="494">
      <c r="H494" s="21"/>
      <c r="T494" s="21"/>
      <c r="U494" s="21"/>
      <c r="V494" s="21"/>
      <c r="W494" s="21"/>
    </row>
    <row r="495">
      <c r="H495" s="21"/>
      <c r="T495" s="21"/>
      <c r="U495" s="21"/>
      <c r="V495" s="21"/>
      <c r="W495" s="21"/>
    </row>
    <row r="496">
      <c r="H496" s="21"/>
      <c r="T496" s="21"/>
      <c r="U496" s="21"/>
      <c r="V496" s="21"/>
      <c r="W496" s="21"/>
    </row>
    <row r="497">
      <c r="H497" s="21"/>
      <c r="T497" s="21"/>
      <c r="U497" s="21"/>
      <c r="V497" s="21"/>
      <c r="W497" s="21"/>
    </row>
    <row r="498">
      <c r="H498" s="21"/>
      <c r="T498" s="21"/>
      <c r="U498" s="21"/>
      <c r="V498" s="21"/>
      <c r="W498" s="21"/>
    </row>
    <row r="499">
      <c r="H499" s="21"/>
      <c r="T499" s="21"/>
      <c r="U499" s="21"/>
      <c r="V499" s="21"/>
      <c r="W499" s="21"/>
    </row>
    <row r="500">
      <c r="H500" s="21"/>
      <c r="T500" s="21"/>
      <c r="U500" s="21"/>
      <c r="V500" s="21"/>
      <c r="W500" s="21"/>
    </row>
    <row r="501">
      <c r="H501" s="21"/>
      <c r="T501" s="21"/>
      <c r="U501" s="21"/>
      <c r="V501" s="21"/>
      <c r="W501" s="21"/>
    </row>
    <row r="502">
      <c r="H502" s="21"/>
      <c r="T502" s="21"/>
      <c r="U502" s="21"/>
      <c r="V502" s="21"/>
      <c r="W502" s="21"/>
    </row>
    <row r="503">
      <c r="H503" s="21"/>
      <c r="T503" s="21"/>
      <c r="U503" s="21"/>
      <c r="V503" s="21"/>
      <c r="W503" s="21"/>
    </row>
    <row r="504">
      <c r="H504" s="21"/>
      <c r="T504" s="21"/>
      <c r="U504" s="21"/>
      <c r="V504" s="21"/>
      <c r="W504" s="21"/>
    </row>
    <row r="505">
      <c r="H505" s="21"/>
      <c r="T505" s="21"/>
      <c r="U505" s="21"/>
      <c r="V505" s="21"/>
      <c r="W505" s="21"/>
    </row>
    <row r="506">
      <c r="H506" s="21"/>
      <c r="T506" s="21"/>
      <c r="U506" s="21"/>
      <c r="V506" s="21"/>
      <c r="W506" s="21"/>
    </row>
    <row r="507">
      <c r="H507" s="21"/>
      <c r="T507" s="21"/>
      <c r="U507" s="21"/>
      <c r="V507" s="21"/>
      <c r="W507" s="21"/>
    </row>
    <row r="508">
      <c r="H508" s="21"/>
      <c r="T508" s="21"/>
      <c r="U508" s="21"/>
      <c r="V508" s="21"/>
      <c r="W508" s="21"/>
    </row>
    <row r="509">
      <c r="H509" s="21"/>
      <c r="T509" s="21"/>
      <c r="U509" s="21"/>
      <c r="V509" s="21"/>
      <c r="W509" s="21"/>
    </row>
    <row r="510">
      <c r="H510" s="21"/>
      <c r="T510" s="21"/>
      <c r="U510" s="21"/>
      <c r="V510" s="21"/>
      <c r="W510" s="21"/>
    </row>
    <row r="511">
      <c r="H511" s="21"/>
      <c r="T511" s="21"/>
      <c r="U511" s="21"/>
      <c r="V511" s="21"/>
      <c r="W511" s="21"/>
    </row>
    <row r="512">
      <c r="H512" s="21"/>
      <c r="T512" s="21"/>
      <c r="U512" s="21"/>
      <c r="V512" s="21"/>
      <c r="W512" s="21"/>
    </row>
    <row r="513">
      <c r="H513" s="21"/>
      <c r="T513" s="21"/>
      <c r="U513" s="21"/>
      <c r="V513" s="21"/>
      <c r="W513" s="21"/>
    </row>
    <row r="514">
      <c r="H514" s="21"/>
      <c r="T514" s="21"/>
      <c r="U514" s="21"/>
      <c r="V514" s="21"/>
      <c r="W514" s="21"/>
    </row>
    <row r="515">
      <c r="H515" s="21"/>
      <c r="T515" s="21"/>
      <c r="U515" s="21"/>
      <c r="V515" s="21"/>
      <c r="W515" s="21"/>
    </row>
    <row r="516">
      <c r="H516" s="21"/>
      <c r="T516" s="21"/>
      <c r="U516" s="21"/>
      <c r="V516" s="21"/>
      <c r="W516" s="21"/>
    </row>
    <row r="517">
      <c r="H517" s="21"/>
      <c r="T517" s="21"/>
      <c r="U517" s="21"/>
      <c r="V517" s="21"/>
      <c r="W517" s="21"/>
    </row>
    <row r="518">
      <c r="H518" s="21"/>
      <c r="T518" s="21"/>
      <c r="U518" s="21"/>
      <c r="V518" s="21"/>
      <c r="W518" s="21"/>
    </row>
    <row r="519">
      <c r="H519" s="21"/>
      <c r="T519" s="21"/>
      <c r="U519" s="21"/>
      <c r="V519" s="21"/>
      <c r="W519" s="21"/>
    </row>
    <row r="520">
      <c r="H520" s="21"/>
      <c r="T520" s="21"/>
      <c r="U520" s="21"/>
      <c r="V520" s="21"/>
      <c r="W520" s="21"/>
    </row>
    <row r="521">
      <c r="H521" s="21"/>
      <c r="T521" s="21"/>
      <c r="U521" s="21"/>
      <c r="V521" s="21"/>
      <c r="W521" s="21"/>
    </row>
    <row r="522">
      <c r="H522" s="21"/>
      <c r="T522" s="21"/>
      <c r="U522" s="21"/>
      <c r="V522" s="21"/>
      <c r="W522" s="21"/>
    </row>
    <row r="523">
      <c r="H523" s="21"/>
      <c r="T523" s="21"/>
      <c r="U523" s="21"/>
      <c r="V523" s="21"/>
      <c r="W523" s="21"/>
    </row>
    <row r="524">
      <c r="H524" s="21"/>
      <c r="T524" s="21"/>
      <c r="U524" s="21"/>
      <c r="V524" s="21"/>
      <c r="W524" s="21"/>
    </row>
    <row r="525">
      <c r="H525" s="21"/>
      <c r="T525" s="21"/>
      <c r="U525" s="21"/>
      <c r="V525" s="21"/>
      <c r="W525" s="21"/>
    </row>
    <row r="526">
      <c r="H526" s="21"/>
      <c r="T526" s="21"/>
      <c r="U526" s="21"/>
      <c r="V526" s="21"/>
      <c r="W526" s="21"/>
    </row>
    <row r="527">
      <c r="H527" s="21"/>
      <c r="T527" s="21"/>
      <c r="U527" s="21"/>
      <c r="V527" s="21"/>
      <c r="W527" s="21"/>
    </row>
    <row r="528">
      <c r="H528" s="21"/>
      <c r="T528" s="21"/>
      <c r="U528" s="21"/>
      <c r="V528" s="21"/>
      <c r="W528" s="21"/>
    </row>
    <row r="529">
      <c r="H529" s="21"/>
      <c r="T529" s="21"/>
      <c r="U529" s="21"/>
      <c r="V529" s="21"/>
      <c r="W529" s="21"/>
    </row>
    <row r="530">
      <c r="H530" s="21"/>
      <c r="T530" s="21"/>
      <c r="U530" s="21"/>
      <c r="V530" s="21"/>
      <c r="W530" s="21"/>
    </row>
    <row r="531">
      <c r="H531" s="21"/>
      <c r="T531" s="21"/>
      <c r="U531" s="21"/>
      <c r="V531" s="21"/>
      <c r="W531" s="21"/>
    </row>
    <row r="532">
      <c r="H532" s="21"/>
      <c r="T532" s="21"/>
      <c r="U532" s="21"/>
      <c r="V532" s="21"/>
      <c r="W532" s="21"/>
    </row>
    <row r="533">
      <c r="H533" s="21"/>
      <c r="T533" s="21"/>
      <c r="U533" s="21"/>
      <c r="V533" s="21"/>
      <c r="W533" s="21"/>
    </row>
    <row r="534">
      <c r="H534" s="21"/>
      <c r="T534" s="21"/>
      <c r="U534" s="21"/>
      <c r="V534" s="21"/>
      <c r="W534" s="21"/>
    </row>
    <row r="535">
      <c r="H535" s="21"/>
      <c r="T535" s="21"/>
      <c r="U535" s="21"/>
      <c r="V535" s="21"/>
      <c r="W535" s="21"/>
    </row>
    <row r="536">
      <c r="H536" s="21"/>
      <c r="T536" s="21"/>
      <c r="U536" s="21"/>
      <c r="V536" s="21"/>
      <c r="W536" s="21"/>
    </row>
    <row r="537">
      <c r="H537" s="21"/>
      <c r="T537" s="21"/>
      <c r="U537" s="21"/>
      <c r="V537" s="21"/>
      <c r="W537" s="21"/>
    </row>
    <row r="538">
      <c r="H538" s="21"/>
      <c r="T538" s="21"/>
      <c r="U538" s="21"/>
      <c r="V538" s="21"/>
      <c r="W538" s="21"/>
    </row>
    <row r="539">
      <c r="H539" s="21"/>
      <c r="T539" s="21"/>
      <c r="U539" s="21"/>
      <c r="V539" s="21"/>
      <c r="W539" s="21"/>
    </row>
    <row r="540">
      <c r="H540" s="21"/>
      <c r="T540" s="21"/>
      <c r="U540" s="21"/>
      <c r="V540" s="21"/>
      <c r="W540" s="21"/>
    </row>
    <row r="541">
      <c r="H541" s="21"/>
      <c r="T541" s="21"/>
      <c r="U541" s="21"/>
      <c r="V541" s="21"/>
      <c r="W541" s="21"/>
    </row>
    <row r="542">
      <c r="H542" s="21"/>
      <c r="T542" s="21"/>
      <c r="U542" s="21"/>
      <c r="V542" s="21"/>
      <c r="W542" s="21"/>
    </row>
    <row r="543">
      <c r="H543" s="21"/>
      <c r="T543" s="21"/>
      <c r="U543" s="21"/>
      <c r="V543" s="21"/>
      <c r="W543" s="21"/>
    </row>
    <row r="544">
      <c r="H544" s="21"/>
      <c r="T544" s="21"/>
      <c r="U544" s="21"/>
      <c r="V544" s="21"/>
      <c r="W544" s="21"/>
    </row>
    <row r="545">
      <c r="H545" s="21"/>
      <c r="T545" s="21"/>
      <c r="U545" s="21"/>
      <c r="V545" s="21"/>
      <c r="W545" s="21"/>
    </row>
    <row r="546">
      <c r="H546" s="21"/>
      <c r="T546" s="21"/>
      <c r="U546" s="21"/>
      <c r="V546" s="21"/>
      <c r="W546" s="21"/>
    </row>
    <row r="547">
      <c r="H547" s="21"/>
      <c r="T547" s="21"/>
      <c r="U547" s="21"/>
      <c r="V547" s="21"/>
      <c r="W547" s="21"/>
    </row>
    <row r="548">
      <c r="H548" s="21"/>
      <c r="T548" s="21"/>
      <c r="U548" s="21"/>
      <c r="V548" s="21"/>
      <c r="W548" s="21"/>
    </row>
    <row r="549">
      <c r="H549" s="21"/>
      <c r="T549" s="21"/>
      <c r="U549" s="21"/>
      <c r="V549" s="21"/>
      <c r="W549" s="21"/>
    </row>
    <row r="550">
      <c r="H550" s="21"/>
      <c r="T550" s="21"/>
      <c r="U550" s="21"/>
      <c r="V550" s="21"/>
      <c r="W550" s="21"/>
    </row>
    <row r="551">
      <c r="H551" s="21"/>
      <c r="T551" s="21"/>
      <c r="U551" s="21"/>
      <c r="V551" s="21"/>
      <c r="W551" s="21"/>
    </row>
    <row r="552">
      <c r="H552" s="21"/>
      <c r="T552" s="21"/>
      <c r="U552" s="21"/>
      <c r="V552" s="21"/>
      <c r="W552" s="21"/>
    </row>
    <row r="553">
      <c r="H553" s="21"/>
      <c r="T553" s="21"/>
      <c r="U553" s="21"/>
      <c r="V553" s="21"/>
      <c r="W553" s="21"/>
    </row>
    <row r="554">
      <c r="H554" s="21"/>
      <c r="T554" s="21"/>
      <c r="U554" s="21"/>
      <c r="V554" s="21"/>
      <c r="W554" s="21"/>
    </row>
    <row r="555">
      <c r="H555" s="21"/>
      <c r="T555" s="21"/>
      <c r="U555" s="21"/>
      <c r="V555" s="21"/>
      <c r="W555" s="21"/>
    </row>
    <row r="556">
      <c r="H556" s="21"/>
      <c r="T556" s="21"/>
      <c r="U556" s="21"/>
      <c r="V556" s="21"/>
      <c r="W556" s="21"/>
    </row>
    <row r="557">
      <c r="H557" s="21"/>
      <c r="T557" s="21"/>
      <c r="U557" s="21"/>
      <c r="V557" s="21"/>
      <c r="W557" s="21"/>
    </row>
    <row r="558">
      <c r="H558" s="21"/>
      <c r="T558" s="21"/>
      <c r="U558" s="21"/>
      <c r="V558" s="21"/>
      <c r="W558" s="21"/>
    </row>
    <row r="559">
      <c r="H559" s="21"/>
      <c r="T559" s="21"/>
      <c r="U559" s="21"/>
      <c r="V559" s="21"/>
      <c r="W559" s="21"/>
    </row>
    <row r="560">
      <c r="H560" s="21"/>
      <c r="T560" s="21"/>
      <c r="U560" s="21"/>
      <c r="V560" s="21"/>
      <c r="W560" s="21"/>
    </row>
    <row r="561">
      <c r="H561" s="21"/>
      <c r="T561" s="21"/>
      <c r="U561" s="21"/>
      <c r="V561" s="21"/>
      <c r="W561" s="21"/>
    </row>
    <row r="562">
      <c r="H562" s="21"/>
      <c r="T562" s="21"/>
      <c r="U562" s="21"/>
      <c r="V562" s="21"/>
      <c r="W562" s="21"/>
    </row>
    <row r="563">
      <c r="H563" s="21"/>
      <c r="T563" s="21"/>
      <c r="U563" s="21"/>
      <c r="V563" s="21"/>
      <c r="W563" s="21"/>
    </row>
    <row r="564">
      <c r="H564" s="21"/>
      <c r="T564" s="21"/>
      <c r="U564" s="21"/>
      <c r="V564" s="21"/>
      <c r="W564" s="21"/>
    </row>
    <row r="565">
      <c r="H565" s="21"/>
      <c r="T565" s="21"/>
      <c r="U565" s="21"/>
      <c r="V565" s="21"/>
      <c r="W565" s="21"/>
    </row>
    <row r="566">
      <c r="H566" s="21"/>
      <c r="T566" s="21"/>
      <c r="U566" s="21"/>
      <c r="V566" s="21"/>
      <c r="W566" s="21"/>
    </row>
    <row r="567">
      <c r="H567" s="21"/>
      <c r="T567" s="21"/>
      <c r="U567" s="21"/>
      <c r="V567" s="21"/>
      <c r="W567" s="21"/>
    </row>
    <row r="568">
      <c r="H568" s="21"/>
      <c r="T568" s="21"/>
      <c r="U568" s="21"/>
      <c r="V568" s="21"/>
      <c r="W568" s="21"/>
    </row>
    <row r="569">
      <c r="H569" s="21"/>
      <c r="T569" s="21"/>
      <c r="U569" s="21"/>
      <c r="V569" s="21"/>
      <c r="W569" s="21"/>
    </row>
    <row r="570">
      <c r="H570" s="21"/>
      <c r="T570" s="21"/>
      <c r="U570" s="21"/>
      <c r="V570" s="21"/>
      <c r="W570" s="21"/>
    </row>
    <row r="571">
      <c r="H571" s="21"/>
      <c r="T571" s="21"/>
      <c r="U571" s="21"/>
      <c r="V571" s="21"/>
      <c r="W571" s="21"/>
    </row>
    <row r="572">
      <c r="H572" s="21"/>
      <c r="T572" s="21"/>
      <c r="U572" s="21"/>
      <c r="V572" s="21"/>
      <c r="W572" s="21"/>
    </row>
    <row r="573">
      <c r="H573" s="21"/>
      <c r="T573" s="21"/>
      <c r="U573" s="21"/>
      <c r="V573" s="21"/>
      <c r="W573" s="21"/>
    </row>
    <row r="574">
      <c r="H574" s="21"/>
      <c r="T574" s="21"/>
      <c r="U574" s="21"/>
      <c r="V574" s="21"/>
      <c r="W574" s="21"/>
    </row>
    <row r="575">
      <c r="H575" s="21"/>
      <c r="T575" s="21"/>
      <c r="U575" s="21"/>
      <c r="V575" s="21"/>
      <c r="W575" s="21"/>
    </row>
    <row r="576">
      <c r="H576" s="21"/>
      <c r="T576" s="21"/>
      <c r="U576" s="21"/>
      <c r="V576" s="21"/>
      <c r="W576" s="21"/>
    </row>
    <row r="577">
      <c r="H577" s="21"/>
      <c r="T577" s="21"/>
      <c r="U577" s="21"/>
      <c r="V577" s="21"/>
      <c r="W577" s="21"/>
    </row>
    <row r="578">
      <c r="H578" s="21"/>
      <c r="T578" s="21"/>
      <c r="U578" s="21"/>
      <c r="V578" s="21"/>
      <c r="W578" s="21"/>
    </row>
    <row r="579">
      <c r="H579" s="21"/>
      <c r="T579" s="21"/>
      <c r="U579" s="21"/>
      <c r="V579" s="21"/>
      <c r="W579" s="21"/>
    </row>
    <row r="580">
      <c r="H580" s="21"/>
      <c r="T580" s="21"/>
      <c r="U580" s="21"/>
      <c r="V580" s="21"/>
      <c r="W580" s="21"/>
    </row>
    <row r="581">
      <c r="H581" s="21"/>
      <c r="T581" s="21"/>
      <c r="U581" s="21"/>
      <c r="V581" s="21"/>
      <c r="W581" s="21"/>
    </row>
    <row r="582">
      <c r="H582" s="21"/>
      <c r="T582" s="21"/>
      <c r="U582" s="21"/>
      <c r="V582" s="21"/>
      <c r="W582" s="21"/>
    </row>
    <row r="583">
      <c r="H583" s="21"/>
      <c r="T583" s="21"/>
      <c r="U583" s="21"/>
      <c r="V583" s="21"/>
      <c r="W583" s="21"/>
    </row>
    <row r="584">
      <c r="H584" s="21"/>
      <c r="T584" s="21"/>
      <c r="U584" s="21"/>
      <c r="V584" s="21"/>
      <c r="W584" s="21"/>
    </row>
    <row r="585">
      <c r="H585" s="21"/>
      <c r="T585" s="21"/>
      <c r="U585" s="21"/>
      <c r="V585" s="21"/>
      <c r="W585" s="21"/>
    </row>
    <row r="586">
      <c r="H586" s="21"/>
      <c r="T586" s="21"/>
      <c r="U586" s="21"/>
      <c r="V586" s="21"/>
      <c r="W586" s="21"/>
    </row>
    <row r="587">
      <c r="H587" s="21"/>
      <c r="T587" s="21"/>
      <c r="U587" s="21"/>
      <c r="V587" s="21"/>
      <c r="W587" s="21"/>
    </row>
    <row r="588">
      <c r="H588" s="21"/>
      <c r="T588" s="21"/>
      <c r="U588" s="21"/>
      <c r="V588" s="21"/>
      <c r="W588" s="21"/>
    </row>
    <row r="589">
      <c r="H589" s="21"/>
      <c r="T589" s="21"/>
      <c r="U589" s="21"/>
      <c r="V589" s="21"/>
      <c r="W589" s="21"/>
    </row>
    <row r="590">
      <c r="H590" s="21"/>
      <c r="T590" s="21"/>
      <c r="U590" s="21"/>
      <c r="V590" s="21"/>
      <c r="W590" s="21"/>
    </row>
    <row r="591">
      <c r="H591" s="21"/>
      <c r="T591" s="21"/>
      <c r="U591" s="21"/>
      <c r="V591" s="21"/>
      <c r="W591" s="21"/>
    </row>
    <row r="592">
      <c r="H592" s="21"/>
      <c r="T592" s="21"/>
      <c r="U592" s="21"/>
      <c r="V592" s="21"/>
      <c r="W592" s="21"/>
    </row>
    <row r="593">
      <c r="H593" s="21"/>
      <c r="T593" s="21"/>
      <c r="U593" s="21"/>
      <c r="V593" s="21"/>
      <c r="W593" s="21"/>
    </row>
    <row r="594">
      <c r="H594" s="21"/>
      <c r="T594" s="21"/>
      <c r="U594" s="21"/>
      <c r="V594" s="21"/>
      <c r="W594" s="21"/>
    </row>
    <row r="595">
      <c r="H595" s="21"/>
      <c r="T595" s="21"/>
      <c r="U595" s="21"/>
      <c r="V595" s="21"/>
      <c r="W595" s="21"/>
    </row>
    <row r="596">
      <c r="H596" s="21"/>
      <c r="T596" s="21"/>
      <c r="U596" s="21"/>
      <c r="V596" s="21"/>
      <c r="W596" s="21"/>
    </row>
    <row r="597">
      <c r="H597" s="21"/>
      <c r="T597" s="21"/>
      <c r="U597" s="21"/>
      <c r="V597" s="21"/>
      <c r="W597" s="21"/>
    </row>
    <row r="598">
      <c r="H598" s="21"/>
      <c r="T598" s="21"/>
      <c r="U598" s="21"/>
      <c r="V598" s="21"/>
      <c r="W598" s="21"/>
    </row>
    <row r="599">
      <c r="H599" s="21"/>
      <c r="T599" s="21"/>
      <c r="U599" s="21"/>
      <c r="V599" s="21"/>
      <c r="W599" s="21"/>
    </row>
    <row r="600">
      <c r="H600" s="21"/>
      <c r="T600" s="21"/>
      <c r="U600" s="21"/>
      <c r="V600" s="21"/>
      <c r="W600" s="21"/>
    </row>
    <row r="601">
      <c r="H601" s="21"/>
      <c r="T601" s="21"/>
      <c r="U601" s="21"/>
      <c r="V601" s="21"/>
      <c r="W601" s="21"/>
    </row>
    <row r="602">
      <c r="H602" s="21"/>
      <c r="T602" s="21"/>
      <c r="U602" s="21"/>
      <c r="V602" s="21"/>
      <c r="W602" s="21"/>
    </row>
    <row r="603">
      <c r="H603" s="21"/>
      <c r="T603" s="21"/>
      <c r="U603" s="21"/>
      <c r="V603" s="21"/>
      <c r="W603" s="21"/>
    </row>
    <row r="604">
      <c r="H604" s="21"/>
      <c r="T604" s="21"/>
      <c r="U604" s="21"/>
      <c r="V604" s="21"/>
      <c r="W604" s="21"/>
    </row>
    <row r="605">
      <c r="H605" s="21"/>
      <c r="T605" s="21"/>
      <c r="U605" s="21"/>
      <c r="V605" s="21"/>
      <c r="W605" s="21"/>
    </row>
    <row r="606">
      <c r="H606" s="21"/>
      <c r="T606" s="21"/>
      <c r="U606" s="21"/>
      <c r="V606" s="21"/>
      <c r="W606" s="21"/>
    </row>
    <row r="607">
      <c r="H607" s="21"/>
      <c r="T607" s="21"/>
      <c r="U607" s="21"/>
      <c r="V607" s="21"/>
      <c r="W607" s="21"/>
    </row>
    <row r="608">
      <c r="H608" s="21"/>
      <c r="T608" s="21"/>
      <c r="U608" s="21"/>
      <c r="V608" s="21"/>
      <c r="W608" s="21"/>
    </row>
    <row r="609">
      <c r="H609" s="21"/>
      <c r="T609" s="21"/>
      <c r="U609" s="21"/>
      <c r="V609" s="21"/>
      <c r="W609" s="21"/>
    </row>
    <row r="610">
      <c r="H610" s="21"/>
      <c r="T610" s="21"/>
      <c r="U610" s="21"/>
      <c r="V610" s="21"/>
      <c r="W610" s="21"/>
    </row>
    <row r="611">
      <c r="H611" s="21"/>
      <c r="T611" s="21"/>
      <c r="U611" s="21"/>
      <c r="V611" s="21"/>
      <c r="W611" s="21"/>
    </row>
    <row r="612">
      <c r="H612" s="21"/>
      <c r="T612" s="21"/>
      <c r="U612" s="21"/>
      <c r="V612" s="21"/>
      <c r="W612" s="21"/>
    </row>
    <row r="613">
      <c r="H613" s="21"/>
      <c r="T613" s="21"/>
      <c r="U613" s="21"/>
      <c r="V613" s="21"/>
      <c r="W613" s="21"/>
    </row>
    <row r="614">
      <c r="H614" s="21"/>
      <c r="T614" s="21"/>
      <c r="U614" s="21"/>
      <c r="V614" s="21"/>
      <c r="W614" s="21"/>
    </row>
    <row r="615">
      <c r="H615" s="21"/>
      <c r="T615" s="21"/>
      <c r="U615" s="21"/>
      <c r="V615" s="21"/>
      <c r="W615" s="21"/>
    </row>
    <row r="616">
      <c r="H616" s="21"/>
      <c r="T616" s="21"/>
      <c r="U616" s="21"/>
      <c r="V616" s="21"/>
      <c r="W616" s="21"/>
    </row>
    <row r="617">
      <c r="H617" s="21"/>
      <c r="T617" s="21"/>
      <c r="U617" s="21"/>
      <c r="V617" s="21"/>
      <c r="W617" s="21"/>
    </row>
    <row r="618">
      <c r="H618" s="21"/>
      <c r="T618" s="21"/>
      <c r="U618" s="21"/>
      <c r="V618" s="21"/>
      <c r="W618" s="21"/>
    </row>
    <row r="619">
      <c r="H619" s="21"/>
      <c r="T619" s="21"/>
      <c r="U619" s="21"/>
      <c r="V619" s="21"/>
      <c r="W619" s="21"/>
    </row>
    <row r="620">
      <c r="H620" s="21"/>
      <c r="T620" s="21"/>
      <c r="U620" s="21"/>
      <c r="V620" s="21"/>
      <c r="W620" s="21"/>
    </row>
    <row r="621">
      <c r="H621" s="21"/>
      <c r="T621" s="21"/>
      <c r="U621" s="21"/>
      <c r="V621" s="21"/>
      <c r="W621" s="21"/>
    </row>
    <row r="622">
      <c r="H622" s="21"/>
      <c r="T622" s="21"/>
      <c r="U622" s="21"/>
      <c r="V622" s="21"/>
      <c r="W622" s="21"/>
    </row>
    <row r="623">
      <c r="H623" s="21"/>
      <c r="T623" s="21"/>
      <c r="U623" s="21"/>
      <c r="V623" s="21"/>
      <c r="W623" s="21"/>
    </row>
    <row r="624">
      <c r="H624" s="21"/>
      <c r="T624" s="21"/>
      <c r="U624" s="21"/>
      <c r="V624" s="21"/>
      <c r="W624" s="21"/>
    </row>
    <row r="625">
      <c r="H625" s="21"/>
      <c r="T625" s="21"/>
      <c r="U625" s="21"/>
      <c r="V625" s="21"/>
      <c r="W625" s="21"/>
    </row>
    <row r="626">
      <c r="H626" s="21"/>
      <c r="T626" s="21"/>
      <c r="U626" s="21"/>
      <c r="V626" s="21"/>
      <c r="W626" s="21"/>
    </row>
    <row r="627">
      <c r="H627" s="21"/>
      <c r="T627" s="21"/>
      <c r="U627" s="21"/>
      <c r="V627" s="21"/>
      <c r="W627" s="21"/>
    </row>
    <row r="628">
      <c r="H628" s="21"/>
      <c r="T628" s="21"/>
      <c r="U628" s="21"/>
      <c r="V628" s="21"/>
      <c r="W628" s="21"/>
    </row>
    <row r="629">
      <c r="H629" s="21"/>
      <c r="T629" s="21"/>
      <c r="U629" s="21"/>
      <c r="V629" s="21"/>
      <c r="W629" s="21"/>
    </row>
    <row r="630">
      <c r="H630" s="21"/>
      <c r="T630" s="21"/>
      <c r="U630" s="21"/>
      <c r="V630" s="21"/>
      <c r="W630" s="21"/>
    </row>
    <row r="631">
      <c r="H631" s="21"/>
      <c r="T631" s="21"/>
      <c r="U631" s="21"/>
      <c r="V631" s="21"/>
      <c r="W631" s="21"/>
    </row>
    <row r="632">
      <c r="H632" s="21"/>
      <c r="T632" s="21"/>
      <c r="U632" s="21"/>
      <c r="V632" s="21"/>
      <c r="W632" s="21"/>
    </row>
    <row r="633">
      <c r="H633" s="21"/>
      <c r="T633" s="21"/>
      <c r="U633" s="21"/>
      <c r="V633" s="21"/>
      <c r="W633" s="21"/>
    </row>
    <row r="634">
      <c r="H634" s="21"/>
      <c r="T634" s="21"/>
      <c r="U634" s="21"/>
      <c r="V634" s="21"/>
      <c r="W634" s="21"/>
    </row>
    <row r="635">
      <c r="H635" s="21"/>
      <c r="T635" s="21"/>
      <c r="U635" s="21"/>
      <c r="V635" s="21"/>
      <c r="W635" s="21"/>
    </row>
    <row r="636">
      <c r="H636" s="21"/>
      <c r="T636" s="21"/>
      <c r="U636" s="21"/>
      <c r="V636" s="21"/>
      <c r="W636" s="21"/>
    </row>
    <row r="637">
      <c r="H637" s="21"/>
      <c r="T637" s="21"/>
      <c r="U637" s="21"/>
      <c r="V637" s="21"/>
      <c r="W637" s="21"/>
    </row>
    <row r="638">
      <c r="H638" s="21"/>
      <c r="T638" s="21"/>
      <c r="U638" s="21"/>
      <c r="V638" s="21"/>
      <c r="W638" s="21"/>
    </row>
    <row r="639">
      <c r="H639" s="21"/>
      <c r="T639" s="21"/>
      <c r="U639" s="21"/>
      <c r="V639" s="21"/>
      <c r="W639" s="21"/>
    </row>
    <row r="640">
      <c r="H640" s="21"/>
      <c r="T640" s="21"/>
      <c r="U640" s="21"/>
      <c r="V640" s="21"/>
      <c r="W640" s="21"/>
    </row>
    <row r="641">
      <c r="H641" s="21"/>
      <c r="T641" s="21"/>
      <c r="U641" s="21"/>
      <c r="V641" s="21"/>
      <c r="W641" s="21"/>
    </row>
    <row r="642">
      <c r="H642" s="21"/>
      <c r="T642" s="21"/>
      <c r="U642" s="21"/>
      <c r="V642" s="21"/>
      <c r="W642" s="21"/>
    </row>
    <row r="643">
      <c r="H643" s="21"/>
      <c r="T643" s="21"/>
      <c r="U643" s="21"/>
      <c r="V643" s="21"/>
      <c r="W643" s="21"/>
    </row>
    <row r="644">
      <c r="H644" s="21"/>
      <c r="T644" s="21"/>
      <c r="U644" s="21"/>
      <c r="V644" s="21"/>
      <c r="W644" s="21"/>
    </row>
    <row r="645">
      <c r="H645" s="21"/>
      <c r="T645" s="21"/>
      <c r="U645" s="21"/>
      <c r="V645" s="21"/>
      <c r="W645" s="21"/>
    </row>
    <row r="646">
      <c r="H646" s="21"/>
      <c r="T646" s="21"/>
      <c r="U646" s="21"/>
      <c r="V646" s="21"/>
      <c r="W646" s="21"/>
    </row>
    <row r="647">
      <c r="H647" s="21"/>
      <c r="T647" s="21"/>
      <c r="U647" s="21"/>
      <c r="V647" s="21"/>
      <c r="W647" s="21"/>
    </row>
    <row r="648">
      <c r="H648" s="21"/>
      <c r="T648" s="21"/>
      <c r="U648" s="21"/>
      <c r="V648" s="21"/>
      <c r="W648" s="21"/>
    </row>
    <row r="649">
      <c r="H649" s="21"/>
      <c r="T649" s="21"/>
      <c r="U649" s="21"/>
      <c r="V649" s="21"/>
      <c r="W649" s="21"/>
    </row>
    <row r="650">
      <c r="H650" s="21"/>
      <c r="T650" s="21"/>
      <c r="U650" s="21"/>
      <c r="V650" s="21"/>
      <c r="W650" s="21"/>
    </row>
    <row r="651">
      <c r="H651" s="21"/>
      <c r="T651" s="21"/>
      <c r="U651" s="21"/>
      <c r="V651" s="21"/>
      <c r="W651" s="21"/>
    </row>
    <row r="652">
      <c r="H652" s="21"/>
      <c r="T652" s="21"/>
      <c r="U652" s="21"/>
      <c r="V652" s="21"/>
      <c r="W652" s="21"/>
    </row>
    <row r="653">
      <c r="H653" s="21"/>
      <c r="T653" s="21"/>
      <c r="U653" s="21"/>
      <c r="V653" s="21"/>
      <c r="W653" s="21"/>
    </row>
    <row r="654">
      <c r="H654" s="21"/>
      <c r="T654" s="21"/>
      <c r="U654" s="21"/>
      <c r="V654" s="21"/>
      <c r="W654" s="21"/>
    </row>
    <row r="655">
      <c r="H655" s="21"/>
      <c r="T655" s="21"/>
      <c r="U655" s="21"/>
      <c r="V655" s="21"/>
      <c r="W655" s="21"/>
    </row>
    <row r="656">
      <c r="H656" s="21"/>
      <c r="T656" s="21"/>
      <c r="U656" s="21"/>
      <c r="V656" s="21"/>
      <c r="W656" s="21"/>
    </row>
    <row r="657">
      <c r="H657" s="21"/>
      <c r="T657" s="21"/>
      <c r="U657" s="21"/>
      <c r="V657" s="21"/>
      <c r="W657" s="21"/>
    </row>
    <row r="658">
      <c r="H658" s="21"/>
      <c r="T658" s="21"/>
      <c r="U658" s="21"/>
      <c r="V658" s="21"/>
      <c r="W658" s="21"/>
    </row>
    <row r="659">
      <c r="H659" s="21"/>
      <c r="T659" s="21"/>
      <c r="U659" s="21"/>
      <c r="V659" s="21"/>
      <c r="W659" s="21"/>
    </row>
    <row r="660">
      <c r="H660" s="21"/>
      <c r="T660" s="21"/>
      <c r="U660" s="21"/>
      <c r="V660" s="21"/>
      <c r="W660" s="21"/>
    </row>
    <row r="661">
      <c r="H661" s="21"/>
      <c r="T661" s="21"/>
      <c r="U661" s="21"/>
      <c r="V661" s="21"/>
      <c r="W661" s="21"/>
    </row>
    <row r="662">
      <c r="H662" s="21"/>
      <c r="T662" s="21"/>
      <c r="U662" s="21"/>
      <c r="V662" s="21"/>
      <c r="W662" s="21"/>
    </row>
    <row r="663">
      <c r="H663" s="21"/>
      <c r="T663" s="21"/>
      <c r="U663" s="21"/>
      <c r="V663" s="21"/>
      <c r="W663" s="21"/>
    </row>
    <row r="664">
      <c r="H664" s="21"/>
      <c r="T664" s="21"/>
      <c r="U664" s="21"/>
      <c r="V664" s="21"/>
      <c r="W664" s="21"/>
    </row>
    <row r="665">
      <c r="H665" s="21"/>
      <c r="T665" s="21"/>
      <c r="U665" s="21"/>
      <c r="V665" s="21"/>
      <c r="W665" s="21"/>
    </row>
    <row r="666">
      <c r="H666" s="21"/>
      <c r="T666" s="21"/>
      <c r="U666" s="21"/>
      <c r="V666" s="21"/>
      <c r="W666" s="21"/>
    </row>
    <row r="667">
      <c r="H667" s="21"/>
      <c r="T667" s="21"/>
      <c r="U667" s="21"/>
      <c r="V667" s="21"/>
      <c r="W667" s="21"/>
    </row>
    <row r="668">
      <c r="H668" s="21"/>
      <c r="T668" s="21"/>
      <c r="U668" s="21"/>
      <c r="V668" s="21"/>
      <c r="W668" s="21"/>
    </row>
    <row r="669">
      <c r="H669" s="21"/>
      <c r="T669" s="21"/>
      <c r="U669" s="21"/>
      <c r="V669" s="21"/>
      <c r="W669" s="21"/>
    </row>
    <row r="670">
      <c r="H670" s="21"/>
      <c r="T670" s="21"/>
      <c r="U670" s="21"/>
      <c r="V670" s="21"/>
      <c r="W670" s="21"/>
    </row>
    <row r="671">
      <c r="H671" s="21"/>
      <c r="T671" s="21"/>
      <c r="U671" s="21"/>
      <c r="V671" s="21"/>
      <c r="W671" s="21"/>
    </row>
    <row r="672">
      <c r="H672" s="21"/>
      <c r="T672" s="21"/>
      <c r="U672" s="21"/>
      <c r="V672" s="21"/>
      <c r="W672" s="21"/>
    </row>
    <row r="673">
      <c r="H673" s="21"/>
      <c r="T673" s="21"/>
      <c r="U673" s="21"/>
      <c r="V673" s="21"/>
      <c r="W673" s="21"/>
    </row>
    <row r="674">
      <c r="H674" s="21"/>
      <c r="T674" s="21"/>
      <c r="U674" s="21"/>
      <c r="V674" s="21"/>
      <c r="W674" s="21"/>
    </row>
    <row r="675">
      <c r="H675" s="21"/>
      <c r="T675" s="21"/>
      <c r="U675" s="21"/>
      <c r="V675" s="21"/>
      <c r="W675" s="21"/>
    </row>
    <row r="676">
      <c r="H676" s="21"/>
      <c r="T676" s="21"/>
      <c r="U676" s="21"/>
      <c r="V676" s="21"/>
      <c r="W676" s="21"/>
    </row>
    <row r="677">
      <c r="H677" s="21"/>
      <c r="T677" s="21"/>
      <c r="U677" s="21"/>
      <c r="V677" s="21"/>
      <c r="W677" s="21"/>
    </row>
    <row r="678">
      <c r="H678" s="21"/>
      <c r="T678" s="21"/>
      <c r="U678" s="21"/>
      <c r="V678" s="21"/>
      <c r="W678" s="21"/>
    </row>
    <row r="679">
      <c r="H679" s="21"/>
      <c r="T679" s="21"/>
      <c r="U679" s="21"/>
      <c r="V679" s="21"/>
      <c r="W679" s="21"/>
    </row>
    <row r="680">
      <c r="H680" s="21"/>
      <c r="T680" s="21"/>
      <c r="U680" s="21"/>
      <c r="V680" s="21"/>
      <c r="W680" s="21"/>
    </row>
    <row r="681">
      <c r="H681" s="21"/>
      <c r="T681" s="21"/>
      <c r="U681" s="21"/>
      <c r="V681" s="21"/>
      <c r="W681" s="21"/>
    </row>
    <row r="682">
      <c r="H682" s="21"/>
      <c r="T682" s="21"/>
      <c r="U682" s="21"/>
      <c r="V682" s="21"/>
      <c r="W682" s="21"/>
    </row>
    <row r="683">
      <c r="H683" s="21"/>
      <c r="T683" s="21"/>
      <c r="U683" s="21"/>
      <c r="V683" s="21"/>
      <c r="W683" s="21"/>
    </row>
    <row r="684">
      <c r="H684" s="21"/>
      <c r="T684" s="21"/>
      <c r="U684" s="21"/>
      <c r="V684" s="21"/>
      <c r="W684" s="21"/>
    </row>
    <row r="685">
      <c r="H685" s="21"/>
      <c r="T685" s="21"/>
      <c r="U685" s="21"/>
      <c r="V685" s="21"/>
      <c r="W685" s="21"/>
    </row>
    <row r="686">
      <c r="H686" s="21"/>
      <c r="T686" s="21"/>
      <c r="U686" s="21"/>
      <c r="V686" s="21"/>
      <c r="W686" s="21"/>
    </row>
    <row r="687">
      <c r="H687" s="21"/>
      <c r="T687" s="21"/>
      <c r="U687" s="21"/>
      <c r="V687" s="21"/>
      <c r="W687" s="21"/>
    </row>
    <row r="688">
      <c r="H688" s="21"/>
      <c r="T688" s="21"/>
      <c r="U688" s="21"/>
      <c r="V688" s="21"/>
      <c r="W688" s="21"/>
    </row>
    <row r="689">
      <c r="H689" s="21"/>
      <c r="T689" s="21"/>
      <c r="U689" s="21"/>
      <c r="V689" s="21"/>
      <c r="W689" s="21"/>
    </row>
    <row r="690">
      <c r="H690" s="21"/>
      <c r="T690" s="21"/>
      <c r="U690" s="21"/>
      <c r="V690" s="21"/>
      <c r="W690" s="21"/>
    </row>
    <row r="691">
      <c r="H691" s="21"/>
      <c r="T691" s="21"/>
      <c r="U691" s="21"/>
      <c r="V691" s="21"/>
      <c r="W691" s="21"/>
    </row>
    <row r="692">
      <c r="H692" s="21"/>
      <c r="T692" s="21"/>
      <c r="U692" s="21"/>
      <c r="V692" s="21"/>
      <c r="W692" s="21"/>
    </row>
    <row r="693">
      <c r="H693" s="21"/>
      <c r="T693" s="21"/>
      <c r="U693" s="21"/>
      <c r="V693" s="21"/>
      <c r="W693" s="21"/>
    </row>
    <row r="694">
      <c r="H694" s="21"/>
      <c r="T694" s="21"/>
      <c r="U694" s="21"/>
      <c r="V694" s="21"/>
      <c r="W694" s="21"/>
    </row>
    <row r="695">
      <c r="H695" s="21"/>
      <c r="T695" s="21"/>
      <c r="U695" s="21"/>
      <c r="V695" s="21"/>
      <c r="W695" s="21"/>
    </row>
    <row r="696">
      <c r="H696" s="21"/>
      <c r="T696" s="21"/>
      <c r="U696" s="21"/>
      <c r="V696" s="21"/>
      <c r="W696" s="21"/>
    </row>
    <row r="697">
      <c r="H697" s="21"/>
      <c r="T697" s="21"/>
      <c r="U697" s="21"/>
      <c r="V697" s="21"/>
      <c r="W697" s="21"/>
    </row>
    <row r="698">
      <c r="H698" s="21"/>
      <c r="T698" s="21"/>
      <c r="U698" s="21"/>
      <c r="V698" s="21"/>
      <c r="W698" s="21"/>
    </row>
    <row r="699">
      <c r="H699" s="21"/>
      <c r="T699" s="21"/>
      <c r="U699" s="21"/>
      <c r="V699" s="21"/>
      <c r="W699" s="21"/>
    </row>
    <row r="700">
      <c r="H700" s="21"/>
      <c r="T700" s="21"/>
      <c r="U700" s="21"/>
      <c r="V700" s="21"/>
      <c r="W700" s="21"/>
    </row>
    <row r="701">
      <c r="H701" s="21"/>
      <c r="T701" s="21"/>
      <c r="U701" s="21"/>
      <c r="V701" s="21"/>
      <c r="W701" s="21"/>
    </row>
    <row r="702">
      <c r="H702" s="21"/>
      <c r="T702" s="21"/>
      <c r="U702" s="21"/>
      <c r="V702" s="21"/>
      <c r="W702" s="21"/>
    </row>
    <row r="703">
      <c r="H703" s="21"/>
      <c r="T703" s="21"/>
      <c r="U703" s="21"/>
      <c r="V703" s="21"/>
      <c r="W703" s="21"/>
    </row>
    <row r="704">
      <c r="H704" s="21"/>
      <c r="T704" s="21"/>
      <c r="U704" s="21"/>
      <c r="V704" s="21"/>
      <c r="W704" s="21"/>
    </row>
    <row r="705">
      <c r="H705" s="21"/>
      <c r="T705" s="21"/>
      <c r="U705" s="21"/>
      <c r="V705" s="21"/>
      <c r="W705" s="21"/>
    </row>
    <row r="706">
      <c r="H706" s="21"/>
      <c r="T706" s="21"/>
      <c r="U706" s="21"/>
      <c r="V706" s="21"/>
      <c r="W706" s="21"/>
    </row>
    <row r="707">
      <c r="H707" s="21"/>
      <c r="T707" s="21"/>
      <c r="U707" s="21"/>
      <c r="V707" s="21"/>
      <c r="W707" s="21"/>
    </row>
    <row r="708">
      <c r="H708" s="21"/>
      <c r="T708" s="21"/>
      <c r="U708" s="21"/>
      <c r="V708" s="21"/>
      <c r="W708" s="21"/>
    </row>
    <row r="709">
      <c r="H709" s="21"/>
      <c r="T709" s="21"/>
      <c r="U709" s="21"/>
      <c r="V709" s="21"/>
      <c r="W709" s="21"/>
    </row>
    <row r="710">
      <c r="H710" s="21"/>
      <c r="T710" s="21"/>
      <c r="U710" s="21"/>
      <c r="V710" s="21"/>
      <c r="W710" s="21"/>
    </row>
    <row r="711">
      <c r="H711" s="21"/>
      <c r="T711" s="21"/>
      <c r="U711" s="21"/>
      <c r="V711" s="21"/>
      <c r="W711" s="21"/>
    </row>
    <row r="712">
      <c r="H712" s="21"/>
      <c r="T712" s="21"/>
      <c r="U712" s="21"/>
      <c r="V712" s="21"/>
      <c r="W712" s="21"/>
    </row>
    <row r="713">
      <c r="H713" s="21"/>
      <c r="T713" s="21"/>
      <c r="U713" s="21"/>
      <c r="V713" s="21"/>
      <c r="W713" s="21"/>
    </row>
    <row r="714">
      <c r="H714" s="21"/>
      <c r="T714" s="21"/>
      <c r="U714" s="21"/>
      <c r="V714" s="21"/>
      <c r="W714" s="21"/>
    </row>
    <row r="715">
      <c r="H715" s="21"/>
      <c r="T715" s="21"/>
      <c r="U715" s="21"/>
      <c r="V715" s="21"/>
      <c r="W715" s="21"/>
    </row>
    <row r="716">
      <c r="H716" s="21"/>
      <c r="T716" s="21"/>
      <c r="U716" s="21"/>
      <c r="V716" s="21"/>
      <c r="W716" s="21"/>
    </row>
    <row r="717">
      <c r="H717" s="21"/>
      <c r="T717" s="21"/>
      <c r="U717" s="21"/>
      <c r="V717" s="21"/>
      <c r="W717" s="21"/>
    </row>
    <row r="718">
      <c r="H718" s="21"/>
      <c r="T718" s="21"/>
      <c r="U718" s="21"/>
      <c r="V718" s="21"/>
      <c r="W718" s="21"/>
    </row>
    <row r="719">
      <c r="H719" s="21"/>
      <c r="T719" s="21"/>
      <c r="U719" s="21"/>
      <c r="V719" s="21"/>
      <c r="W719" s="21"/>
    </row>
    <row r="720">
      <c r="H720" s="21"/>
      <c r="T720" s="21"/>
      <c r="U720" s="21"/>
      <c r="V720" s="21"/>
      <c r="W720" s="21"/>
    </row>
    <row r="721">
      <c r="H721" s="21"/>
      <c r="T721" s="21"/>
      <c r="U721" s="21"/>
      <c r="V721" s="21"/>
      <c r="W721" s="21"/>
    </row>
    <row r="722">
      <c r="H722" s="21"/>
      <c r="T722" s="21"/>
      <c r="U722" s="21"/>
      <c r="V722" s="21"/>
      <c r="W722" s="21"/>
    </row>
    <row r="723">
      <c r="H723" s="21"/>
      <c r="T723" s="21"/>
      <c r="U723" s="21"/>
      <c r="V723" s="21"/>
      <c r="W723" s="21"/>
    </row>
    <row r="724">
      <c r="H724" s="21"/>
      <c r="T724" s="21"/>
      <c r="U724" s="21"/>
      <c r="V724" s="21"/>
      <c r="W724" s="21"/>
    </row>
    <row r="725">
      <c r="H725" s="21"/>
      <c r="T725" s="21"/>
      <c r="U725" s="21"/>
      <c r="V725" s="21"/>
      <c r="W725" s="21"/>
    </row>
    <row r="726">
      <c r="H726" s="21"/>
      <c r="T726" s="21"/>
      <c r="U726" s="21"/>
      <c r="V726" s="21"/>
      <c r="W726" s="21"/>
    </row>
    <row r="727">
      <c r="H727" s="21"/>
      <c r="T727" s="21"/>
      <c r="U727" s="21"/>
      <c r="V727" s="21"/>
      <c r="W727" s="21"/>
    </row>
    <row r="728">
      <c r="H728" s="21"/>
      <c r="T728" s="21"/>
      <c r="U728" s="21"/>
      <c r="V728" s="21"/>
      <c r="W728" s="21"/>
    </row>
    <row r="729">
      <c r="H729" s="21"/>
      <c r="T729" s="21"/>
      <c r="U729" s="21"/>
      <c r="V729" s="21"/>
      <c r="W729" s="21"/>
    </row>
    <row r="730">
      <c r="H730" s="21"/>
      <c r="T730" s="21"/>
      <c r="U730" s="21"/>
      <c r="V730" s="21"/>
      <c r="W730" s="21"/>
    </row>
    <row r="731">
      <c r="H731" s="21"/>
      <c r="T731" s="21"/>
      <c r="U731" s="21"/>
      <c r="V731" s="21"/>
      <c r="W731" s="21"/>
    </row>
    <row r="732">
      <c r="H732" s="21"/>
      <c r="T732" s="21"/>
      <c r="U732" s="21"/>
      <c r="V732" s="21"/>
      <c r="W732" s="21"/>
    </row>
    <row r="733">
      <c r="H733" s="21"/>
      <c r="T733" s="21"/>
      <c r="U733" s="21"/>
      <c r="V733" s="21"/>
      <c r="W733" s="21"/>
    </row>
    <row r="734">
      <c r="H734" s="21"/>
      <c r="T734" s="21"/>
      <c r="U734" s="21"/>
      <c r="V734" s="21"/>
      <c r="W734" s="21"/>
    </row>
    <row r="735">
      <c r="H735" s="21"/>
      <c r="T735" s="21"/>
      <c r="U735" s="21"/>
      <c r="V735" s="21"/>
      <c r="W735" s="21"/>
    </row>
    <row r="736">
      <c r="H736" s="21"/>
      <c r="T736" s="21"/>
      <c r="U736" s="21"/>
      <c r="V736" s="21"/>
      <c r="W736" s="21"/>
    </row>
    <row r="737">
      <c r="H737" s="21"/>
      <c r="T737" s="21"/>
      <c r="U737" s="21"/>
      <c r="V737" s="21"/>
      <c r="W737" s="21"/>
    </row>
    <row r="738">
      <c r="H738" s="21"/>
      <c r="T738" s="21"/>
      <c r="U738" s="21"/>
      <c r="V738" s="21"/>
      <c r="W738" s="21"/>
    </row>
    <row r="739">
      <c r="H739" s="21"/>
      <c r="T739" s="21"/>
      <c r="U739" s="21"/>
      <c r="V739" s="21"/>
      <c r="W739" s="21"/>
    </row>
    <row r="740">
      <c r="H740" s="21"/>
      <c r="T740" s="21"/>
      <c r="U740" s="21"/>
      <c r="V740" s="21"/>
      <c r="W740" s="21"/>
    </row>
    <row r="741">
      <c r="H741" s="21"/>
      <c r="T741" s="21"/>
      <c r="U741" s="21"/>
      <c r="V741" s="21"/>
      <c r="W741" s="21"/>
    </row>
    <row r="742">
      <c r="H742" s="21"/>
      <c r="T742" s="21"/>
      <c r="U742" s="21"/>
      <c r="V742" s="21"/>
      <c r="W742" s="21"/>
    </row>
    <row r="743">
      <c r="H743" s="21"/>
      <c r="T743" s="21"/>
      <c r="U743" s="21"/>
      <c r="V743" s="21"/>
      <c r="W743" s="21"/>
    </row>
    <row r="744">
      <c r="H744" s="21"/>
      <c r="T744" s="21"/>
      <c r="U744" s="21"/>
      <c r="V744" s="21"/>
      <c r="W744" s="21"/>
    </row>
    <row r="745">
      <c r="H745" s="21"/>
      <c r="T745" s="21"/>
      <c r="U745" s="21"/>
      <c r="V745" s="21"/>
      <c r="W745" s="21"/>
    </row>
    <row r="746">
      <c r="H746" s="21"/>
      <c r="T746" s="21"/>
      <c r="U746" s="21"/>
      <c r="V746" s="21"/>
      <c r="W746" s="21"/>
    </row>
    <row r="747">
      <c r="H747" s="21"/>
      <c r="T747" s="21"/>
      <c r="U747" s="21"/>
      <c r="V747" s="21"/>
      <c r="W747" s="21"/>
    </row>
    <row r="748">
      <c r="H748" s="21"/>
      <c r="T748" s="21"/>
      <c r="U748" s="21"/>
      <c r="V748" s="21"/>
      <c r="W748" s="21"/>
    </row>
    <row r="749">
      <c r="H749" s="21"/>
      <c r="T749" s="21"/>
      <c r="U749" s="21"/>
      <c r="V749" s="21"/>
      <c r="W749" s="21"/>
    </row>
    <row r="750">
      <c r="H750" s="21"/>
      <c r="T750" s="21"/>
      <c r="U750" s="21"/>
      <c r="V750" s="21"/>
      <c r="W750" s="21"/>
    </row>
    <row r="751">
      <c r="H751" s="21"/>
      <c r="T751" s="21"/>
      <c r="U751" s="21"/>
      <c r="V751" s="21"/>
      <c r="W751" s="21"/>
    </row>
    <row r="752">
      <c r="H752" s="21"/>
      <c r="T752" s="21"/>
      <c r="U752" s="21"/>
      <c r="V752" s="21"/>
      <c r="W752" s="21"/>
    </row>
    <row r="753">
      <c r="H753" s="21"/>
      <c r="T753" s="21"/>
      <c r="U753" s="21"/>
      <c r="V753" s="21"/>
      <c r="W753" s="21"/>
    </row>
    <row r="754">
      <c r="H754" s="21"/>
      <c r="T754" s="21"/>
      <c r="U754" s="21"/>
      <c r="V754" s="21"/>
      <c r="W754" s="21"/>
    </row>
    <row r="755">
      <c r="H755" s="21"/>
      <c r="T755" s="21"/>
      <c r="U755" s="21"/>
      <c r="V755" s="21"/>
      <c r="W755" s="21"/>
    </row>
    <row r="756">
      <c r="H756" s="21"/>
      <c r="T756" s="21"/>
      <c r="U756" s="21"/>
      <c r="V756" s="21"/>
      <c r="W756" s="21"/>
    </row>
    <row r="757">
      <c r="H757" s="21"/>
      <c r="T757" s="21"/>
      <c r="U757" s="21"/>
      <c r="V757" s="21"/>
      <c r="W757" s="21"/>
    </row>
    <row r="758">
      <c r="H758" s="21"/>
      <c r="T758" s="21"/>
      <c r="U758" s="21"/>
      <c r="V758" s="21"/>
      <c r="W758" s="21"/>
    </row>
    <row r="759">
      <c r="H759" s="21"/>
      <c r="T759" s="21"/>
      <c r="U759" s="21"/>
      <c r="V759" s="21"/>
      <c r="W759" s="21"/>
    </row>
    <row r="760">
      <c r="H760" s="21"/>
      <c r="T760" s="21"/>
      <c r="U760" s="21"/>
      <c r="V760" s="21"/>
      <c r="W760" s="21"/>
    </row>
    <row r="761">
      <c r="H761" s="21"/>
      <c r="T761" s="21"/>
      <c r="U761" s="21"/>
      <c r="V761" s="21"/>
      <c r="W761" s="21"/>
    </row>
    <row r="762">
      <c r="H762" s="21"/>
      <c r="T762" s="21"/>
      <c r="U762" s="21"/>
      <c r="V762" s="21"/>
      <c r="W762" s="21"/>
    </row>
    <row r="763">
      <c r="H763" s="21"/>
      <c r="T763" s="21"/>
      <c r="U763" s="21"/>
      <c r="V763" s="21"/>
      <c r="W763" s="21"/>
    </row>
    <row r="764">
      <c r="H764" s="21"/>
      <c r="T764" s="21"/>
      <c r="U764" s="21"/>
      <c r="V764" s="21"/>
      <c r="W764" s="21"/>
    </row>
    <row r="765">
      <c r="H765" s="21"/>
      <c r="T765" s="21"/>
      <c r="U765" s="21"/>
      <c r="V765" s="21"/>
      <c r="W765" s="21"/>
    </row>
    <row r="766">
      <c r="H766" s="21"/>
      <c r="T766" s="21"/>
      <c r="U766" s="21"/>
      <c r="V766" s="21"/>
      <c r="W766" s="21"/>
    </row>
    <row r="767">
      <c r="H767" s="21"/>
      <c r="T767" s="21"/>
      <c r="U767" s="21"/>
      <c r="V767" s="21"/>
      <c r="W767" s="21"/>
    </row>
    <row r="768">
      <c r="H768" s="21"/>
      <c r="T768" s="21"/>
      <c r="U768" s="21"/>
      <c r="V768" s="21"/>
      <c r="W768" s="21"/>
    </row>
    <row r="769">
      <c r="H769" s="21"/>
      <c r="T769" s="21"/>
      <c r="U769" s="21"/>
      <c r="V769" s="21"/>
      <c r="W769" s="21"/>
    </row>
    <row r="770">
      <c r="H770" s="21"/>
      <c r="T770" s="21"/>
      <c r="U770" s="21"/>
      <c r="V770" s="21"/>
      <c r="W770" s="21"/>
    </row>
    <row r="771">
      <c r="H771" s="21"/>
      <c r="T771" s="21"/>
      <c r="U771" s="21"/>
      <c r="V771" s="21"/>
      <c r="W771" s="21"/>
    </row>
    <row r="772">
      <c r="H772" s="21"/>
      <c r="T772" s="21"/>
      <c r="U772" s="21"/>
      <c r="V772" s="21"/>
      <c r="W772" s="21"/>
    </row>
    <row r="773">
      <c r="H773" s="21"/>
      <c r="T773" s="21"/>
      <c r="U773" s="21"/>
      <c r="V773" s="21"/>
      <c r="W773" s="21"/>
    </row>
    <row r="774">
      <c r="H774" s="21"/>
      <c r="T774" s="21"/>
      <c r="U774" s="21"/>
      <c r="V774" s="21"/>
      <c r="W774" s="21"/>
    </row>
    <row r="775">
      <c r="H775" s="21"/>
      <c r="T775" s="21"/>
      <c r="U775" s="21"/>
      <c r="V775" s="21"/>
      <c r="W775" s="21"/>
    </row>
    <row r="776">
      <c r="H776" s="21"/>
      <c r="T776" s="21"/>
      <c r="U776" s="21"/>
      <c r="V776" s="21"/>
      <c r="W776" s="21"/>
    </row>
    <row r="777">
      <c r="H777" s="21"/>
      <c r="T777" s="21"/>
      <c r="U777" s="21"/>
      <c r="V777" s="21"/>
      <c r="W777" s="21"/>
    </row>
    <row r="778">
      <c r="H778" s="21"/>
      <c r="T778" s="21"/>
      <c r="U778" s="21"/>
      <c r="V778" s="21"/>
      <c r="W778" s="21"/>
    </row>
    <row r="779">
      <c r="H779" s="21"/>
      <c r="T779" s="21"/>
      <c r="U779" s="21"/>
      <c r="V779" s="21"/>
      <c r="W779" s="21"/>
    </row>
    <row r="780">
      <c r="H780" s="21"/>
      <c r="T780" s="21"/>
      <c r="U780" s="21"/>
      <c r="V780" s="21"/>
      <c r="W780" s="21"/>
    </row>
    <row r="781">
      <c r="H781" s="21"/>
      <c r="T781" s="21"/>
      <c r="U781" s="21"/>
      <c r="V781" s="21"/>
      <c r="W781" s="21"/>
    </row>
    <row r="782">
      <c r="H782" s="21"/>
      <c r="T782" s="21"/>
      <c r="U782" s="21"/>
      <c r="V782" s="21"/>
      <c r="W782" s="21"/>
    </row>
    <row r="783">
      <c r="H783" s="21"/>
      <c r="T783" s="21"/>
      <c r="U783" s="21"/>
      <c r="V783" s="21"/>
      <c r="W783" s="21"/>
    </row>
    <row r="784">
      <c r="H784" s="21"/>
      <c r="T784" s="21"/>
      <c r="U784" s="21"/>
      <c r="V784" s="21"/>
      <c r="W784" s="21"/>
    </row>
    <row r="785">
      <c r="H785" s="21"/>
      <c r="T785" s="21"/>
      <c r="U785" s="21"/>
      <c r="V785" s="21"/>
      <c r="W785" s="21"/>
    </row>
    <row r="786">
      <c r="H786" s="21"/>
      <c r="T786" s="21"/>
      <c r="U786" s="21"/>
      <c r="V786" s="21"/>
      <c r="W786" s="21"/>
    </row>
    <row r="787">
      <c r="H787" s="21"/>
      <c r="T787" s="21"/>
      <c r="U787" s="21"/>
      <c r="V787" s="21"/>
      <c r="W787" s="21"/>
    </row>
    <row r="788">
      <c r="H788" s="21"/>
      <c r="T788" s="21"/>
      <c r="U788" s="21"/>
      <c r="V788" s="21"/>
      <c r="W788" s="21"/>
    </row>
    <row r="789">
      <c r="H789" s="21"/>
      <c r="T789" s="21"/>
      <c r="U789" s="21"/>
      <c r="V789" s="21"/>
      <c r="W789" s="21"/>
    </row>
    <row r="790">
      <c r="H790" s="21"/>
      <c r="T790" s="21"/>
      <c r="U790" s="21"/>
      <c r="V790" s="21"/>
      <c r="W790" s="21"/>
    </row>
    <row r="791">
      <c r="H791" s="21"/>
      <c r="T791" s="21"/>
      <c r="U791" s="21"/>
      <c r="V791" s="21"/>
      <c r="W791" s="21"/>
    </row>
    <row r="792">
      <c r="H792" s="21"/>
      <c r="T792" s="21"/>
      <c r="U792" s="21"/>
      <c r="V792" s="21"/>
      <c r="W792" s="21"/>
    </row>
    <row r="793">
      <c r="H793" s="21"/>
      <c r="T793" s="21"/>
      <c r="U793" s="21"/>
      <c r="V793" s="21"/>
      <c r="W793" s="21"/>
    </row>
    <row r="794">
      <c r="H794" s="21"/>
      <c r="T794" s="21"/>
      <c r="U794" s="21"/>
      <c r="V794" s="21"/>
      <c r="W794" s="21"/>
    </row>
    <row r="795">
      <c r="H795" s="21"/>
      <c r="T795" s="21"/>
      <c r="U795" s="21"/>
      <c r="V795" s="21"/>
      <c r="W795" s="21"/>
    </row>
    <row r="796">
      <c r="H796" s="21"/>
      <c r="T796" s="21"/>
      <c r="U796" s="21"/>
      <c r="V796" s="21"/>
      <c r="W796" s="21"/>
    </row>
    <row r="797">
      <c r="H797" s="21"/>
      <c r="T797" s="21"/>
      <c r="U797" s="21"/>
      <c r="V797" s="21"/>
      <c r="W797" s="21"/>
    </row>
    <row r="798">
      <c r="H798" s="21"/>
      <c r="T798" s="21"/>
      <c r="U798" s="21"/>
      <c r="V798" s="21"/>
      <c r="W798" s="21"/>
    </row>
    <row r="799">
      <c r="H799" s="21"/>
      <c r="T799" s="21"/>
      <c r="U799" s="21"/>
      <c r="V799" s="21"/>
      <c r="W799" s="21"/>
    </row>
    <row r="800">
      <c r="H800" s="21"/>
      <c r="T800" s="21"/>
      <c r="U800" s="21"/>
      <c r="V800" s="21"/>
      <c r="W800" s="21"/>
    </row>
    <row r="801">
      <c r="H801" s="21"/>
      <c r="T801" s="21"/>
      <c r="U801" s="21"/>
      <c r="V801" s="21"/>
      <c r="W801" s="21"/>
    </row>
    <row r="802">
      <c r="H802" s="21"/>
      <c r="T802" s="21"/>
      <c r="U802" s="21"/>
      <c r="V802" s="21"/>
      <c r="W802" s="21"/>
    </row>
    <row r="803">
      <c r="H803" s="21"/>
      <c r="T803" s="21"/>
      <c r="U803" s="21"/>
      <c r="V803" s="21"/>
      <c r="W803" s="21"/>
    </row>
    <row r="804">
      <c r="H804" s="21"/>
      <c r="T804" s="21"/>
      <c r="U804" s="21"/>
      <c r="V804" s="21"/>
      <c r="W804" s="21"/>
    </row>
    <row r="805">
      <c r="H805" s="21"/>
      <c r="T805" s="21"/>
      <c r="U805" s="21"/>
      <c r="V805" s="21"/>
      <c r="W805" s="21"/>
    </row>
    <row r="806">
      <c r="H806" s="21"/>
      <c r="T806" s="21"/>
      <c r="U806" s="21"/>
      <c r="V806" s="21"/>
      <c r="W806" s="21"/>
    </row>
    <row r="807">
      <c r="H807" s="21"/>
      <c r="T807" s="21"/>
      <c r="U807" s="21"/>
      <c r="V807" s="21"/>
      <c r="W807" s="21"/>
    </row>
    <row r="808">
      <c r="H808" s="21"/>
      <c r="T808" s="21"/>
      <c r="U808" s="21"/>
      <c r="V808" s="21"/>
      <c r="W808" s="21"/>
    </row>
    <row r="809">
      <c r="H809" s="21"/>
      <c r="T809" s="21"/>
      <c r="U809" s="21"/>
      <c r="V809" s="21"/>
      <c r="W809" s="21"/>
    </row>
    <row r="810">
      <c r="H810" s="21"/>
      <c r="T810" s="21"/>
      <c r="U810" s="21"/>
      <c r="V810" s="21"/>
      <c r="W810" s="21"/>
    </row>
    <row r="811">
      <c r="H811" s="21"/>
      <c r="T811" s="21"/>
      <c r="U811" s="21"/>
      <c r="V811" s="21"/>
      <c r="W811" s="21"/>
    </row>
    <row r="812">
      <c r="H812" s="21"/>
      <c r="T812" s="21"/>
      <c r="U812" s="21"/>
      <c r="V812" s="21"/>
      <c r="W812" s="21"/>
    </row>
    <row r="813">
      <c r="H813" s="21"/>
      <c r="T813" s="21"/>
      <c r="U813" s="21"/>
      <c r="V813" s="21"/>
      <c r="W813" s="21"/>
    </row>
    <row r="814">
      <c r="H814" s="21"/>
      <c r="T814" s="21"/>
      <c r="U814" s="21"/>
      <c r="V814" s="21"/>
      <c r="W814" s="21"/>
    </row>
    <row r="815">
      <c r="H815" s="21"/>
      <c r="T815" s="21"/>
      <c r="U815" s="21"/>
      <c r="V815" s="21"/>
      <c r="W815" s="21"/>
    </row>
    <row r="816">
      <c r="H816" s="21"/>
      <c r="T816" s="21"/>
      <c r="U816" s="21"/>
      <c r="V816" s="21"/>
      <c r="W816" s="21"/>
    </row>
    <row r="817">
      <c r="H817" s="21"/>
      <c r="T817" s="21"/>
      <c r="U817" s="21"/>
      <c r="V817" s="21"/>
      <c r="W817" s="21"/>
    </row>
    <row r="818">
      <c r="H818" s="21"/>
      <c r="T818" s="21"/>
      <c r="U818" s="21"/>
      <c r="V818" s="21"/>
      <c r="W818" s="21"/>
    </row>
    <row r="819">
      <c r="H819" s="21"/>
      <c r="T819" s="21"/>
      <c r="U819" s="21"/>
      <c r="V819" s="21"/>
      <c r="W819" s="21"/>
    </row>
    <row r="820">
      <c r="H820" s="21"/>
      <c r="T820" s="21"/>
      <c r="U820" s="21"/>
      <c r="V820" s="21"/>
      <c r="W820" s="21"/>
    </row>
    <row r="821">
      <c r="H821" s="21"/>
      <c r="T821" s="21"/>
      <c r="U821" s="21"/>
      <c r="V821" s="21"/>
      <c r="W821" s="21"/>
    </row>
    <row r="822">
      <c r="H822" s="21"/>
      <c r="T822" s="21"/>
      <c r="U822" s="21"/>
      <c r="V822" s="21"/>
      <c r="W822" s="21"/>
    </row>
    <row r="823">
      <c r="H823" s="21"/>
      <c r="T823" s="21"/>
      <c r="U823" s="21"/>
      <c r="V823" s="21"/>
      <c r="W823" s="21"/>
    </row>
    <row r="824">
      <c r="H824" s="21"/>
      <c r="T824" s="21"/>
      <c r="U824" s="21"/>
      <c r="V824" s="21"/>
      <c r="W824" s="21"/>
    </row>
    <row r="825">
      <c r="H825" s="21"/>
      <c r="T825" s="21"/>
      <c r="U825" s="21"/>
      <c r="V825" s="21"/>
      <c r="W825" s="21"/>
    </row>
    <row r="826">
      <c r="H826" s="21"/>
      <c r="T826" s="21"/>
      <c r="U826" s="21"/>
      <c r="V826" s="21"/>
      <c r="W826" s="21"/>
    </row>
    <row r="827">
      <c r="H827" s="21"/>
      <c r="T827" s="21"/>
      <c r="U827" s="21"/>
      <c r="V827" s="21"/>
      <c r="W827" s="21"/>
    </row>
    <row r="828">
      <c r="H828" s="21"/>
      <c r="T828" s="21"/>
      <c r="U828" s="21"/>
      <c r="V828" s="21"/>
      <c r="W828" s="21"/>
    </row>
    <row r="829">
      <c r="H829" s="21"/>
      <c r="T829" s="21"/>
      <c r="U829" s="21"/>
      <c r="V829" s="21"/>
      <c r="W829" s="21"/>
    </row>
    <row r="830">
      <c r="H830" s="21"/>
      <c r="T830" s="21"/>
      <c r="U830" s="21"/>
      <c r="V830" s="21"/>
      <c r="W830" s="21"/>
    </row>
    <row r="831">
      <c r="H831" s="21"/>
      <c r="T831" s="21"/>
      <c r="U831" s="21"/>
      <c r="V831" s="21"/>
      <c r="W831" s="21"/>
    </row>
    <row r="832">
      <c r="H832" s="21"/>
      <c r="T832" s="21"/>
      <c r="U832" s="21"/>
      <c r="V832" s="21"/>
      <c r="W832" s="21"/>
    </row>
    <row r="833">
      <c r="H833" s="21"/>
      <c r="T833" s="21"/>
      <c r="U833" s="21"/>
      <c r="V833" s="21"/>
      <c r="W833" s="21"/>
    </row>
    <row r="834">
      <c r="H834" s="21"/>
      <c r="T834" s="21"/>
      <c r="U834" s="21"/>
      <c r="V834" s="21"/>
      <c r="W834" s="21"/>
    </row>
    <row r="835">
      <c r="H835" s="21"/>
      <c r="T835" s="21"/>
      <c r="U835" s="21"/>
      <c r="V835" s="21"/>
      <c r="W835" s="21"/>
    </row>
    <row r="836">
      <c r="H836" s="21"/>
      <c r="T836" s="21"/>
      <c r="U836" s="21"/>
      <c r="V836" s="21"/>
      <c r="W836" s="21"/>
    </row>
    <row r="837">
      <c r="H837" s="21"/>
      <c r="T837" s="21"/>
      <c r="U837" s="21"/>
      <c r="V837" s="21"/>
      <c r="W837" s="21"/>
    </row>
    <row r="838">
      <c r="H838" s="21"/>
      <c r="T838" s="21"/>
      <c r="U838" s="21"/>
      <c r="V838" s="21"/>
      <c r="W838" s="21"/>
    </row>
    <row r="839">
      <c r="H839" s="21"/>
      <c r="T839" s="21"/>
      <c r="U839" s="21"/>
      <c r="V839" s="21"/>
      <c r="W839" s="21"/>
    </row>
    <row r="840">
      <c r="H840" s="21"/>
      <c r="T840" s="21"/>
      <c r="U840" s="21"/>
      <c r="V840" s="21"/>
      <c r="W840" s="21"/>
    </row>
    <row r="841">
      <c r="H841" s="21"/>
      <c r="T841" s="21"/>
      <c r="U841" s="21"/>
      <c r="V841" s="21"/>
      <c r="W841" s="21"/>
    </row>
    <row r="842">
      <c r="H842" s="21"/>
      <c r="T842" s="21"/>
      <c r="U842" s="21"/>
      <c r="V842" s="21"/>
      <c r="W842" s="21"/>
    </row>
    <row r="843">
      <c r="H843" s="21"/>
      <c r="T843" s="21"/>
      <c r="U843" s="21"/>
      <c r="V843" s="21"/>
      <c r="W843" s="21"/>
    </row>
    <row r="844">
      <c r="H844" s="21"/>
      <c r="T844" s="21"/>
      <c r="U844" s="21"/>
      <c r="V844" s="21"/>
      <c r="W844" s="21"/>
    </row>
    <row r="845">
      <c r="H845" s="21"/>
      <c r="T845" s="21"/>
      <c r="U845" s="21"/>
      <c r="V845" s="21"/>
      <c r="W845" s="21"/>
    </row>
    <row r="846">
      <c r="H846" s="21"/>
      <c r="T846" s="21"/>
      <c r="U846" s="21"/>
      <c r="V846" s="21"/>
      <c r="W846" s="21"/>
    </row>
    <row r="847">
      <c r="H847" s="21"/>
      <c r="T847" s="21"/>
      <c r="U847" s="21"/>
      <c r="V847" s="21"/>
      <c r="W847" s="21"/>
    </row>
    <row r="848">
      <c r="H848" s="21"/>
      <c r="T848" s="21"/>
      <c r="U848" s="21"/>
      <c r="V848" s="21"/>
      <c r="W848" s="21"/>
    </row>
    <row r="849">
      <c r="H849" s="21"/>
      <c r="T849" s="21"/>
      <c r="U849" s="21"/>
      <c r="V849" s="21"/>
      <c r="W849" s="21"/>
    </row>
    <row r="850">
      <c r="H850" s="21"/>
      <c r="T850" s="21"/>
      <c r="U850" s="21"/>
      <c r="V850" s="21"/>
      <c r="W850" s="21"/>
    </row>
    <row r="851">
      <c r="H851" s="21"/>
      <c r="T851" s="21"/>
      <c r="U851" s="21"/>
      <c r="V851" s="21"/>
      <c r="W851" s="21"/>
    </row>
    <row r="852">
      <c r="H852" s="21"/>
      <c r="T852" s="21"/>
      <c r="U852" s="21"/>
      <c r="V852" s="21"/>
      <c r="W852" s="21"/>
    </row>
    <row r="853">
      <c r="H853" s="21"/>
      <c r="T853" s="21"/>
      <c r="U853" s="21"/>
      <c r="V853" s="21"/>
      <c r="W853" s="21"/>
    </row>
    <row r="854">
      <c r="H854" s="21"/>
      <c r="T854" s="21"/>
      <c r="U854" s="21"/>
      <c r="V854" s="21"/>
      <c r="W854" s="21"/>
    </row>
    <row r="855">
      <c r="H855" s="21"/>
      <c r="T855" s="21"/>
      <c r="U855" s="21"/>
      <c r="V855" s="21"/>
      <c r="W855" s="21"/>
    </row>
    <row r="856">
      <c r="H856" s="21"/>
      <c r="T856" s="21"/>
      <c r="U856" s="21"/>
      <c r="V856" s="21"/>
      <c r="W856" s="21"/>
    </row>
    <row r="857">
      <c r="H857" s="21"/>
      <c r="T857" s="21"/>
      <c r="U857" s="21"/>
      <c r="V857" s="21"/>
      <c r="W857" s="21"/>
    </row>
    <row r="858">
      <c r="H858" s="21"/>
      <c r="T858" s="21"/>
      <c r="U858" s="21"/>
      <c r="V858" s="21"/>
      <c r="W858" s="21"/>
    </row>
    <row r="859">
      <c r="H859" s="21"/>
      <c r="T859" s="21"/>
      <c r="U859" s="21"/>
      <c r="V859" s="21"/>
      <c r="W859" s="21"/>
    </row>
    <row r="860">
      <c r="H860" s="21"/>
      <c r="T860" s="21"/>
      <c r="U860" s="21"/>
      <c r="V860" s="21"/>
      <c r="W860" s="21"/>
    </row>
    <row r="861">
      <c r="H861" s="21"/>
      <c r="T861" s="21"/>
      <c r="U861" s="21"/>
      <c r="V861" s="21"/>
      <c r="W861" s="21"/>
    </row>
    <row r="862">
      <c r="H862" s="21"/>
      <c r="T862" s="21"/>
      <c r="U862" s="21"/>
      <c r="V862" s="21"/>
      <c r="W862" s="21"/>
    </row>
    <row r="863">
      <c r="H863" s="21"/>
      <c r="T863" s="21"/>
      <c r="U863" s="21"/>
      <c r="V863" s="21"/>
      <c r="W863" s="21"/>
    </row>
    <row r="864">
      <c r="H864" s="21"/>
      <c r="T864" s="21"/>
      <c r="U864" s="21"/>
      <c r="V864" s="21"/>
      <c r="W864" s="21"/>
    </row>
    <row r="865">
      <c r="H865" s="21"/>
      <c r="T865" s="21"/>
      <c r="U865" s="21"/>
      <c r="V865" s="21"/>
      <c r="W865" s="21"/>
    </row>
    <row r="866">
      <c r="H866" s="21"/>
      <c r="T866" s="21"/>
      <c r="U866" s="21"/>
      <c r="V866" s="21"/>
      <c r="W866" s="21"/>
    </row>
    <row r="867">
      <c r="H867" s="21"/>
      <c r="T867" s="21"/>
      <c r="U867" s="21"/>
      <c r="V867" s="21"/>
      <c r="W867" s="21"/>
    </row>
    <row r="868">
      <c r="H868" s="21"/>
      <c r="T868" s="21"/>
      <c r="U868" s="21"/>
      <c r="V868" s="21"/>
      <c r="W868" s="21"/>
    </row>
    <row r="869">
      <c r="H869" s="21"/>
      <c r="T869" s="21"/>
      <c r="U869" s="21"/>
      <c r="V869" s="21"/>
      <c r="W869" s="21"/>
    </row>
    <row r="870">
      <c r="H870" s="21"/>
      <c r="T870" s="21"/>
      <c r="U870" s="21"/>
      <c r="V870" s="21"/>
      <c r="W870" s="21"/>
    </row>
    <row r="871">
      <c r="H871" s="21"/>
      <c r="T871" s="21"/>
      <c r="U871" s="21"/>
      <c r="V871" s="21"/>
      <c r="W871" s="21"/>
    </row>
    <row r="872">
      <c r="H872" s="21"/>
      <c r="T872" s="21"/>
      <c r="U872" s="21"/>
      <c r="V872" s="21"/>
      <c r="W872" s="21"/>
    </row>
    <row r="873">
      <c r="H873" s="21"/>
      <c r="T873" s="21"/>
      <c r="U873" s="21"/>
      <c r="V873" s="21"/>
      <c r="W873" s="21"/>
    </row>
    <row r="874">
      <c r="H874" s="21"/>
      <c r="T874" s="21"/>
      <c r="U874" s="21"/>
      <c r="V874" s="21"/>
      <c r="W874" s="21"/>
    </row>
    <row r="875">
      <c r="H875" s="21"/>
      <c r="T875" s="21"/>
      <c r="U875" s="21"/>
      <c r="V875" s="21"/>
      <c r="W875" s="21"/>
    </row>
    <row r="876">
      <c r="H876" s="21"/>
      <c r="T876" s="21"/>
      <c r="U876" s="21"/>
      <c r="V876" s="21"/>
      <c r="W876" s="21"/>
    </row>
    <row r="877">
      <c r="H877" s="21"/>
      <c r="T877" s="21"/>
      <c r="U877" s="21"/>
      <c r="V877" s="21"/>
      <c r="W877" s="21"/>
    </row>
    <row r="878">
      <c r="H878" s="21"/>
      <c r="T878" s="21"/>
      <c r="U878" s="21"/>
      <c r="V878" s="21"/>
      <c r="W878" s="21"/>
    </row>
    <row r="879">
      <c r="H879" s="21"/>
      <c r="T879" s="21"/>
      <c r="U879" s="21"/>
      <c r="V879" s="21"/>
      <c r="W879" s="21"/>
    </row>
    <row r="880">
      <c r="H880" s="21"/>
      <c r="T880" s="21"/>
      <c r="U880" s="21"/>
      <c r="V880" s="21"/>
      <c r="W880" s="21"/>
    </row>
    <row r="881">
      <c r="H881" s="21"/>
      <c r="T881" s="21"/>
      <c r="U881" s="21"/>
      <c r="V881" s="21"/>
      <c r="W881" s="21"/>
    </row>
    <row r="882">
      <c r="H882" s="21"/>
      <c r="T882" s="21"/>
      <c r="U882" s="21"/>
      <c r="V882" s="21"/>
      <c r="W882" s="21"/>
    </row>
    <row r="883">
      <c r="H883" s="21"/>
      <c r="T883" s="21"/>
      <c r="U883" s="21"/>
      <c r="V883" s="21"/>
      <c r="W883" s="21"/>
    </row>
    <row r="884">
      <c r="H884" s="21"/>
      <c r="T884" s="21"/>
      <c r="U884" s="21"/>
      <c r="V884" s="21"/>
      <c r="W884" s="21"/>
    </row>
    <row r="885">
      <c r="H885" s="21"/>
      <c r="T885" s="21"/>
      <c r="U885" s="21"/>
      <c r="V885" s="21"/>
      <c r="W885" s="21"/>
    </row>
    <row r="886">
      <c r="H886" s="21"/>
      <c r="T886" s="21"/>
      <c r="U886" s="21"/>
      <c r="V886" s="21"/>
      <c r="W886" s="21"/>
    </row>
    <row r="887">
      <c r="H887" s="21"/>
      <c r="T887" s="21"/>
      <c r="U887" s="21"/>
      <c r="V887" s="21"/>
      <c r="W887" s="21"/>
    </row>
    <row r="888">
      <c r="H888" s="21"/>
      <c r="T888" s="21"/>
      <c r="U888" s="21"/>
      <c r="V888" s="21"/>
      <c r="W888" s="21"/>
    </row>
    <row r="889">
      <c r="H889" s="21"/>
      <c r="T889" s="21"/>
      <c r="U889" s="21"/>
      <c r="V889" s="21"/>
      <c r="W889" s="21"/>
    </row>
    <row r="890">
      <c r="H890" s="21"/>
      <c r="T890" s="21"/>
      <c r="U890" s="21"/>
      <c r="V890" s="21"/>
      <c r="W890" s="21"/>
    </row>
    <row r="891">
      <c r="H891" s="21"/>
      <c r="T891" s="21"/>
      <c r="U891" s="21"/>
      <c r="V891" s="21"/>
      <c r="W891" s="21"/>
    </row>
    <row r="892">
      <c r="H892" s="21"/>
      <c r="T892" s="21"/>
      <c r="U892" s="21"/>
      <c r="V892" s="21"/>
      <c r="W892" s="21"/>
    </row>
    <row r="893">
      <c r="H893" s="21"/>
      <c r="T893" s="21"/>
      <c r="U893" s="21"/>
      <c r="V893" s="21"/>
      <c r="W893" s="21"/>
    </row>
    <row r="894">
      <c r="H894" s="21"/>
      <c r="T894" s="21"/>
      <c r="U894" s="21"/>
      <c r="V894" s="21"/>
      <c r="W894" s="21"/>
    </row>
    <row r="895">
      <c r="H895" s="21"/>
      <c r="T895" s="21"/>
      <c r="U895" s="21"/>
      <c r="V895" s="21"/>
      <c r="W895" s="21"/>
    </row>
    <row r="896">
      <c r="H896" s="21"/>
      <c r="T896" s="21"/>
      <c r="U896" s="21"/>
      <c r="V896" s="21"/>
      <c r="W896" s="21"/>
    </row>
    <row r="897">
      <c r="H897" s="21"/>
      <c r="T897" s="21"/>
      <c r="U897" s="21"/>
      <c r="V897" s="21"/>
      <c r="W897" s="21"/>
    </row>
    <row r="898">
      <c r="H898" s="21"/>
      <c r="T898" s="21"/>
      <c r="U898" s="21"/>
      <c r="V898" s="21"/>
      <c r="W898" s="21"/>
    </row>
    <row r="899">
      <c r="H899" s="21"/>
      <c r="T899" s="21"/>
      <c r="U899" s="21"/>
      <c r="V899" s="21"/>
      <c r="W899" s="21"/>
    </row>
    <row r="900">
      <c r="H900" s="21"/>
      <c r="T900" s="21"/>
      <c r="U900" s="21"/>
      <c r="V900" s="21"/>
      <c r="W900" s="21"/>
    </row>
    <row r="901">
      <c r="H901" s="21"/>
      <c r="T901" s="21"/>
      <c r="U901" s="21"/>
      <c r="V901" s="21"/>
      <c r="W901" s="21"/>
    </row>
    <row r="902">
      <c r="H902" s="21"/>
      <c r="T902" s="21"/>
      <c r="U902" s="21"/>
      <c r="V902" s="21"/>
      <c r="W902" s="21"/>
    </row>
    <row r="903">
      <c r="H903" s="21"/>
      <c r="T903" s="21"/>
      <c r="U903" s="21"/>
      <c r="V903" s="21"/>
      <c r="W903" s="21"/>
    </row>
    <row r="904">
      <c r="H904" s="21"/>
      <c r="T904" s="21"/>
      <c r="U904" s="21"/>
      <c r="V904" s="21"/>
      <c r="W904" s="21"/>
    </row>
    <row r="905">
      <c r="H905" s="21"/>
      <c r="T905" s="21"/>
      <c r="U905" s="21"/>
      <c r="V905" s="21"/>
      <c r="W905" s="21"/>
    </row>
    <row r="906">
      <c r="H906" s="21"/>
      <c r="T906" s="21"/>
      <c r="U906" s="21"/>
      <c r="V906" s="21"/>
      <c r="W906" s="21"/>
    </row>
    <row r="907">
      <c r="H907" s="21"/>
      <c r="T907" s="21"/>
      <c r="U907" s="21"/>
      <c r="V907" s="21"/>
      <c r="W907" s="21"/>
    </row>
    <row r="908">
      <c r="H908" s="21"/>
      <c r="T908" s="21"/>
      <c r="U908" s="21"/>
      <c r="V908" s="21"/>
      <c r="W908" s="21"/>
    </row>
    <row r="909">
      <c r="H909" s="21"/>
      <c r="T909" s="21"/>
      <c r="U909" s="21"/>
      <c r="V909" s="21"/>
      <c r="W909" s="21"/>
    </row>
    <row r="910">
      <c r="H910" s="21"/>
      <c r="T910" s="21"/>
      <c r="U910" s="21"/>
      <c r="V910" s="21"/>
      <c r="W910" s="21"/>
    </row>
    <row r="911">
      <c r="H911" s="21"/>
      <c r="T911" s="21"/>
      <c r="U911" s="21"/>
      <c r="V911" s="21"/>
      <c r="W911" s="21"/>
    </row>
    <row r="912">
      <c r="H912" s="21"/>
      <c r="T912" s="21"/>
      <c r="U912" s="21"/>
      <c r="V912" s="21"/>
      <c r="W912" s="21"/>
    </row>
    <row r="913">
      <c r="H913" s="21"/>
      <c r="T913" s="21"/>
      <c r="U913" s="21"/>
      <c r="V913" s="21"/>
      <c r="W913" s="21"/>
    </row>
    <row r="914">
      <c r="H914" s="21"/>
      <c r="T914" s="21"/>
      <c r="U914" s="21"/>
      <c r="V914" s="21"/>
      <c r="W914" s="21"/>
    </row>
    <row r="915">
      <c r="H915" s="21"/>
      <c r="T915" s="21"/>
      <c r="U915" s="21"/>
      <c r="V915" s="21"/>
      <c r="W915" s="21"/>
    </row>
    <row r="916">
      <c r="H916" s="21"/>
      <c r="T916" s="21"/>
      <c r="U916" s="21"/>
      <c r="V916" s="21"/>
      <c r="W916" s="21"/>
    </row>
    <row r="917">
      <c r="H917" s="21"/>
      <c r="T917" s="21"/>
      <c r="U917" s="21"/>
      <c r="V917" s="21"/>
      <c r="W917" s="21"/>
    </row>
    <row r="918">
      <c r="H918" s="21"/>
      <c r="T918" s="21"/>
      <c r="U918" s="21"/>
      <c r="V918" s="21"/>
      <c r="W918" s="21"/>
    </row>
    <row r="919">
      <c r="H919" s="21"/>
      <c r="T919" s="21"/>
      <c r="U919" s="21"/>
      <c r="V919" s="21"/>
      <c r="W919" s="21"/>
    </row>
    <row r="920">
      <c r="H920" s="21"/>
      <c r="T920" s="21"/>
      <c r="U920" s="21"/>
      <c r="V920" s="21"/>
      <c r="W920" s="21"/>
    </row>
    <row r="921">
      <c r="H921" s="21"/>
      <c r="T921" s="21"/>
      <c r="U921" s="21"/>
      <c r="V921" s="21"/>
      <c r="W921" s="21"/>
    </row>
    <row r="922">
      <c r="H922" s="21"/>
      <c r="T922" s="21"/>
      <c r="U922" s="21"/>
      <c r="V922" s="21"/>
      <c r="W922" s="21"/>
    </row>
    <row r="923">
      <c r="H923" s="21"/>
      <c r="T923" s="21"/>
      <c r="U923" s="21"/>
      <c r="V923" s="21"/>
      <c r="W923" s="21"/>
    </row>
    <row r="924">
      <c r="H924" s="21"/>
      <c r="T924" s="21"/>
      <c r="U924" s="21"/>
      <c r="V924" s="21"/>
      <c r="W924" s="21"/>
    </row>
    <row r="925">
      <c r="H925" s="21"/>
      <c r="T925" s="21"/>
      <c r="U925" s="21"/>
      <c r="V925" s="21"/>
      <c r="W925" s="21"/>
    </row>
    <row r="926">
      <c r="H926" s="21"/>
      <c r="T926" s="21"/>
      <c r="U926" s="21"/>
      <c r="V926" s="21"/>
      <c r="W926" s="21"/>
    </row>
    <row r="927">
      <c r="H927" s="21"/>
      <c r="T927" s="21"/>
      <c r="U927" s="21"/>
      <c r="V927" s="21"/>
      <c r="W927" s="21"/>
    </row>
    <row r="928">
      <c r="H928" s="21"/>
      <c r="T928" s="21"/>
      <c r="U928" s="21"/>
      <c r="V928" s="21"/>
      <c r="W928" s="21"/>
    </row>
    <row r="929">
      <c r="H929" s="21"/>
      <c r="T929" s="21"/>
      <c r="U929" s="21"/>
      <c r="V929" s="21"/>
      <c r="W929" s="21"/>
    </row>
    <row r="930">
      <c r="H930" s="21"/>
      <c r="T930" s="21"/>
      <c r="U930" s="21"/>
      <c r="V930" s="21"/>
      <c r="W930" s="21"/>
    </row>
    <row r="931">
      <c r="H931" s="21"/>
      <c r="T931" s="21"/>
      <c r="U931" s="21"/>
      <c r="V931" s="21"/>
      <c r="W931" s="21"/>
    </row>
    <row r="932">
      <c r="H932" s="21"/>
      <c r="T932" s="21"/>
      <c r="U932" s="21"/>
      <c r="V932" s="21"/>
      <c r="W932" s="21"/>
    </row>
    <row r="933">
      <c r="H933" s="21"/>
      <c r="T933" s="21"/>
      <c r="U933" s="21"/>
      <c r="V933" s="21"/>
      <c r="W933" s="21"/>
    </row>
    <row r="934">
      <c r="H934" s="21"/>
      <c r="T934" s="21"/>
      <c r="U934" s="21"/>
      <c r="V934" s="21"/>
      <c r="W934" s="21"/>
    </row>
    <row r="935">
      <c r="H935" s="21"/>
      <c r="T935" s="21"/>
      <c r="U935" s="21"/>
      <c r="V935" s="21"/>
      <c r="W935" s="21"/>
    </row>
    <row r="936">
      <c r="H936" s="21"/>
      <c r="T936" s="21"/>
      <c r="U936" s="21"/>
      <c r="V936" s="21"/>
      <c r="W936" s="21"/>
    </row>
    <row r="937">
      <c r="H937" s="21"/>
      <c r="T937" s="21"/>
      <c r="U937" s="21"/>
      <c r="V937" s="21"/>
      <c r="W937" s="21"/>
    </row>
    <row r="938">
      <c r="H938" s="21"/>
      <c r="T938" s="21"/>
      <c r="U938" s="21"/>
      <c r="V938" s="21"/>
      <c r="W938" s="21"/>
    </row>
    <row r="939">
      <c r="H939" s="21"/>
      <c r="T939" s="21"/>
      <c r="U939" s="21"/>
      <c r="V939" s="21"/>
      <c r="W939" s="21"/>
    </row>
    <row r="940">
      <c r="H940" s="21"/>
      <c r="T940" s="21"/>
      <c r="U940" s="21"/>
      <c r="V940" s="21"/>
      <c r="W940" s="21"/>
    </row>
    <row r="941">
      <c r="H941" s="21"/>
      <c r="T941" s="21"/>
      <c r="U941" s="21"/>
      <c r="V941" s="21"/>
      <c r="W941" s="21"/>
    </row>
    <row r="942">
      <c r="H942" s="21"/>
      <c r="T942" s="21"/>
      <c r="U942" s="21"/>
      <c r="V942" s="21"/>
      <c r="W942" s="21"/>
    </row>
    <row r="943">
      <c r="H943" s="21"/>
      <c r="T943" s="21"/>
      <c r="U943" s="21"/>
      <c r="V943" s="21"/>
      <c r="W943" s="21"/>
    </row>
    <row r="944">
      <c r="H944" s="21"/>
      <c r="T944" s="21"/>
      <c r="U944" s="21"/>
      <c r="V944" s="21"/>
      <c r="W944" s="21"/>
    </row>
    <row r="945">
      <c r="H945" s="21"/>
      <c r="T945" s="21"/>
      <c r="U945" s="21"/>
      <c r="V945" s="21"/>
      <c r="W945" s="21"/>
    </row>
    <row r="946">
      <c r="H946" s="21"/>
      <c r="T946" s="21"/>
      <c r="U946" s="21"/>
      <c r="V946" s="21"/>
      <c r="W946" s="21"/>
    </row>
    <row r="947">
      <c r="H947" s="21"/>
      <c r="T947" s="21"/>
      <c r="U947" s="21"/>
      <c r="V947" s="21"/>
      <c r="W947" s="21"/>
    </row>
    <row r="948">
      <c r="H948" s="21"/>
      <c r="T948" s="21"/>
      <c r="U948" s="21"/>
      <c r="V948" s="21"/>
      <c r="W948" s="21"/>
    </row>
    <row r="949">
      <c r="H949" s="21"/>
      <c r="T949" s="21"/>
      <c r="U949" s="21"/>
      <c r="V949" s="21"/>
      <c r="W949" s="21"/>
    </row>
    <row r="950">
      <c r="H950" s="21"/>
      <c r="T950" s="21"/>
      <c r="U950" s="21"/>
      <c r="V950" s="21"/>
      <c r="W950" s="21"/>
    </row>
    <row r="951">
      <c r="H951" s="21"/>
      <c r="T951" s="21"/>
      <c r="U951" s="21"/>
      <c r="V951" s="21"/>
      <c r="W951" s="21"/>
    </row>
    <row r="952">
      <c r="H952" s="21"/>
      <c r="T952" s="21"/>
      <c r="U952" s="21"/>
      <c r="V952" s="21"/>
      <c r="W952" s="21"/>
    </row>
    <row r="953">
      <c r="H953" s="21"/>
      <c r="T953" s="21"/>
      <c r="U953" s="21"/>
      <c r="V953" s="21"/>
      <c r="W953" s="21"/>
    </row>
    <row r="954">
      <c r="H954" s="21"/>
      <c r="T954" s="21"/>
      <c r="U954" s="21"/>
      <c r="V954" s="21"/>
      <c r="W954" s="21"/>
    </row>
    <row r="955">
      <c r="H955" s="21"/>
      <c r="T955" s="21"/>
      <c r="U955" s="21"/>
      <c r="V955" s="21"/>
      <c r="W955" s="21"/>
    </row>
    <row r="956">
      <c r="H956" s="21"/>
      <c r="T956" s="21"/>
      <c r="U956" s="21"/>
      <c r="V956" s="21"/>
      <c r="W956" s="21"/>
    </row>
    <row r="957">
      <c r="H957" s="21"/>
      <c r="T957" s="21"/>
      <c r="U957" s="21"/>
      <c r="V957" s="21"/>
      <c r="W957" s="21"/>
    </row>
    <row r="958">
      <c r="H958" s="21"/>
      <c r="T958" s="21"/>
      <c r="U958" s="21"/>
      <c r="V958" s="21"/>
      <c r="W958" s="21"/>
    </row>
    <row r="959">
      <c r="H959" s="21"/>
      <c r="T959" s="21"/>
      <c r="U959" s="21"/>
      <c r="V959" s="21"/>
      <c r="W959" s="21"/>
    </row>
    <row r="960">
      <c r="H960" s="21"/>
      <c r="T960" s="21"/>
      <c r="U960" s="21"/>
      <c r="V960" s="21"/>
      <c r="W960" s="21"/>
    </row>
    <row r="961">
      <c r="H961" s="21"/>
      <c r="T961" s="21"/>
      <c r="U961" s="21"/>
      <c r="V961" s="21"/>
      <c r="W961" s="21"/>
    </row>
    <row r="962">
      <c r="H962" s="21"/>
      <c r="T962" s="21"/>
      <c r="U962" s="21"/>
      <c r="V962" s="21"/>
      <c r="W962" s="21"/>
    </row>
    <row r="963">
      <c r="H963" s="21"/>
      <c r="T963" s="21"/>
      <c r="U963" s="21"/>
      <c r="V963" s="21"/>
      <c r="W963" s="21"/>
    </row>
    <row r="964">
      <c r="H964" s="21"/>
      <c r="T964" s="21"/>
      <c r="U964" s="21"/>
      <c r="V964" s="21"/>
      <c r="W964" s="21"/>
    </row>
    <row r="965">
      <c r="H965" s="21"/>
      <c r="T965" s="21"/>
      <c r="U965" s="21"/>
      <c r="V965" s="21"/>
      <c r="W965" s="21"/>
    </row>
    <row r="966">
      <c r="H966" s="21"/>
      <c r="T966" s="21"/>
      <c r="U966" s="21"/>
      <c r="V966" s="21"/>
      <c r="W966" s="21"/>
    </row>
    <row r="967">
      <c r="H967" s="21"/>
      <c r="T967" s="21"/>
      <c r="U967" s="21"/>
      <c r="V967" s="21"/>
      <c r="W967" s="21"/>
    </row>
    <row r="968">
      <c r="H968" s="21"/>
      <c r="T968" s="21"/>
      <c r="U968" s="21"/>
      <c r="V968" s="21"/>
      <c r="W968" s="21"/>
    </row>
    <row r="969">
      <c r="H969" s="21"/>
      <c r="T969" s="21"/>
      <c r="U969" s="21"/>
      <c r="V969" s="21"/>
      <c r="W969" s="21"/>
    </row>
    <row r="970">
      <c r="H970" s="21"/>
      <c r="T970" s="21"/>
      <c r="U970" s="21"/>
      <c r="V970" s="21"/>
      <c r="W970" s="21"/>
    </row>
    <row r="971">
      <c r="H971" s="21"/>
      <c r="T971" s="21"/>
      <c r="U971" s="21"/>
      <c r="V971" s="21"/>
      <c r="W971" s="21"/>
    </row>
    <row r="972">
      <c r="H972" s="21"/>
      <c r="T972" s="21"/>
      <c r="U972" s="21"/>
      <c r="V972" s="21"/>
      <c r="W972" s="21"/>
    </row>
    <row r="973">
      <c r="H973" s="21"/>
      <c r="T973" s="21"/>
      <c r="U973" s="21"/>
      <c r="V973" s="21"/>
      <c r="W973" s="21"/>
    </row>
    <row r="974">
      <c r="H974" s="21"/>
      <c r="T974" s="21"/>
      <c r="U974" s="21"/>
      <c r="V974" s="21"/>
      <c r="W974" s="21"/>
    </row>
    <row r="975">
      <c r="H975" s="21"/>
      <c r="T975" s="21"/>
      <c r="U975" s="21"/>
      <c r="V975" s="21"/>
      <c r="W975" s="21"/>
    </row>
    <row r="976">
      <c r="H976" s="21"/>
      <c r="T976" s="21"/>
      <c r="U976" s="21"/>
      <c r="V976" s="21"/>
      <c r="W976" s="21"/>
    </row>
    <row r="977">
      <c r="H977" s="21"/>
      <c r="T977" s="21"/>
      <c r="U977" s="21"/>
      <c r="V977" s="21"/>
      <c r="W977" s="21"/>
    </row>
    <row r="978">
      <c r="H978" s="21"/>
      <c r="T978" s="21"/>
      <c r="U978" s="21"/>
      <c r="V978" s="21"/>
      <c r="W978" s="21"/>
    </row>
    <row r="979">
      <c r="H979" s="21"/>
      <c r="T979" s="21"/>
      <c r="U979" s="21"/>
      <c r="V979" s="21"/>
      <c r="W979" s="21"/>
    </row>
    <row r="980">
      <c r="H980" s="21"/>
      <c r="T980" s="21"/>
      <c r="U980" s="21"/>
      <c r="V980" s="21"/>
      <c r="W980" s="21"/>
    </row>
    <row r="981">
      <c r="H981" s="21"/>
      <c r="T981" s="21"/>
      <c r="U981" s="21"/>
      <c r="V981" s="21"/>
      <c r="W981" s="21"/>
    </row>
    <row r="982">
      <c r="H982" s="21"/>
      <c r="T982" s="21"/>
      <c r="U982" s="21"/>
      <c r="V982" s="21"/>
      <c r="W982" s="21"/>
    </row>
    <row r="983">
      <c r="H983" s="21"/>
      <c r="T983" s="21"/>
      <c r="U983" s="21"/>
      <c r="V983" s="21"/>
      <c r="W983" s="21"/>
    </row>
    <row r="984">
      <c r="H984" s="21"/>
      <c r="T984" s="21"/>
      <c r="U984" s="21"/>
      <c r="V984" s="21"/>
      <c r="W984" s="21"/>
    </row>
    <row r="985">
      <c r="H985" s="21"/>
      <c r="T985" s="21"/>
      <c r="U985" s="21"/>
      <c r="V985" s="21"/>
      <c r="W985" s="21"/>
    </row>
    <row r="986">
      <c r="H986" s="21"/>
      <c r="T986" s="21"/>
      <c r="U986" s="21"/>
      <c r="V986" s="21"/>
      <c r="W986" s="21"/>
    </row>
    <row r="987">
      <c r="H987" s="21"/>
      <c r="T987" s="21"/>
      <c r="U987" s="21"/>
      <c r="V987" s="21"/>
      <c r="W987" s="21"/>
    </row>
  </sheetData>
  <mergeCells count="4">
    <mergeCell ref="A1:AB1"/>
    <mergeCell ref="A2:AB2"/>
    <mergeCell ref="D3:E3"/>
    <mergeCell ref="G3:AA3"/>
  </mergeCells>
  <printOptions/>
  <pageMargins bottom="0.75" footer="0.0" header="0.0" left="0.7" right="0.7" top="0.75"/>
  <pageSetup paperSize="9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25"/>
    <col customWidth="1" min="2" max="2" width="12.0"/>
    <col customWidth="1" min="3" max="3" width="31.88"/>
    <col customWidth="1" min="4" max="4" width="16.25"/>
    <col customWidth="1" min="5" max="5" width="13.75"/>
    <col customWidth="1" min="6" max="6" width="8.0"/>
    <col customWidth="1" min="7" max="7" width="7.88"/>
    <col customWidth="1" min="8" max="8" width="8.75"/>
    <col customWidth="1" min="9" max="9" width="8.0"/>
    <col customWidth="1" min="10" max="10" width="7.88"/>
    <col customWidth="1" min="11" max="11" width="8.25"/>
    <col customWidth="1" min="12" max="12" width="6.75"/>
    <col customWidth="1" min="13" max="25" width="8.38"/>
    <col customWidth="1" min="26" max="26" width="12.13"/>
    <col customWidth="1" min="27" max="27" width="19.75"/>
    <col customWidth="1" min="28" max="47" width="14.25"/>
  </cols>
  <sheetData>
    <row r="1" ht="23.25" customHeight="1">
      <c r="A1" s="3" t="s">
        <v>218</v>
      </c>
    </row>
    <row r="2" ht="26.25" customHeight="1">
      <c r="A2" s="202" t="s">
        <v>1</v>
      </c>
    </row>
    <row r="3" ht="32.25" customHeight="1">
      <c r="A3" s="211"/>
      <c r="B3" s="234"/>
      <c r="C3" s="235" t="s">
        <v>2</v>
      </c>
      <c r="D3" s="205" t="s">
        <v>201</v>
      </c>
      <c r="E3" s="40"/>
      <c r="F3" s="236" t="s">
        <v>219</v>
      </c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40"/>
      <c r="AA3" s="237"/>
    </row>
    <row r="4" ht="63.0" customHeight="1">
      <c r="A4" s="8" t="s">
        <v>3</v>
      </c>
      <c r="B4" s="8" t="s">
        <v>4</v>
      </c>
      <c r="C4" s="238" t="s">
        <v>5</v>
      </c>
      <c r="D4" s="239" t="s">
        <v>220</v>
      </c>
      <c r="E4" s="239" t="s">
        <v>221</v>
      </c>
      <c r="F4" s="211" t="s">
        <v>15</v>
      </c>
      <c r="G4" s="211" t="s">
        <v>73</v>
      </c>
      <c r="H4" s="211" t="s">
        <v>33</v>
      </c>
      <c r="I4" s="211" t="s">
        <v>22</v>
      </c>
      <c r="J4" s="211" t="s">
        <v>101</v>
      </c>
      <c r="K4" s="211" t="s">
        <v>208</v>
      </c>
      <c r="L4" s="211" t="s">
        <v>209</v>
      </c>
      <c r="M4" s="211" t="s">
        <v>210</v>
      </c>
      <c r="N4" s="240" t="s">
        <v>43</v>
      </c>
      <c r="O4" s="240" t="s">
        <v>125</v>
      </c>
      <c r="P4" s="241" t="s">
        <v>61</v>
      </c>
      <c r="Q4" s="241" t="s">
        <v>107</v>
      </c>
      <c r="R4" s="241" t="s">
        <v>49</v>
      </c>
      <c r="S4" s="241" t="s">
        <v>207</v>
      </c>
      <c r="T4" s="241" t="s">
        <v>89</v>
      </c>
      <c r="U4" s="242" t="s">
        <v>214</v>
      </c>
      <c r="V4" s="242" t="s">
        <v>215</v>
      </c>
      <c r="W4" s="242" t="s">
        <v>113</v>
      </c>
      <c r="X4" s="242" t="s">
        <v>208</v>
      </c>
      <c r="Y4" s="241" t="s">
        <v>95</v>
      </c>
      <c r="Z4" s="243" t="s">
        <v>222</v>
      </c>
      <c r="AA4" s="239" t="s">
        <v>217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ht="18.75" customHeight="1">
      <c r="A5" s="11">
        <v>1.0</v>
      </c>
      <c r="B5" s="213">
        <f>CSE4098A_Spring2026_Grade!B5</f>
        <v>231014004</v>
      </c>
      <c r="C5" s="213" t="str">
        <f>CSE4098A_Spring2026_Grade!C5</f>
        <v>Bushra Nusyba Chowdhury</v>
      </c>
      <c r="D5" s="33">
        <v>39.0</v>
      </c>
      <c r="E5" s="214">
        <f t="shared" ref="E5:E87" si="1">(50*D5)/45</f>
        <v>43.33333333</v>
      </c>
      <c r="F5" s="41"/>
      <c r="G5" s="41"/>
      <c r="H5" s="33">
        <v>36.0</v>
      </c>
      <c r="I5" s="33">
        <v>42.0</v>
      </c>
      <c r="J5" s="41"/>
      <c r="K5" s="41"/>
      <c r="L5" s="33">
        <v>33.0</v>
      </c>
      <c r="M5" s="41"/>
      <c r="N5" s="244">
        <v>33.0</v>
      </c>
      <c r="O5" s="245"/>
      <c r="P5" s="245"/>
      <c r="Q5" s="245"/>
      <c r="R5" s="245"/>
      <c r="S5" s="244">
        <v>33.0</v>
      </c>
      <c r="T5" s="245"/>
      <c r="U5" s="244">
        <v>27.0</v>
      </c>
      <c r="V5" s="245"/>
      <c r="W5" s="245"/>
      <c r="X5" s="245"/>
      <c r="Y5" s="245"/>
      <c r="Z5" s="246">
        <f t="shared" ref="Z5:Z87" si="2">(50*AVERAGE(F5:Y5))/45</f>
        <v>37.77777778</v>
      </c>
      <c r="AA5" s="247">
        <f t="shared" ref="AA5:AA87" si="3">ROUND((E5*60%+Z5*40%),2)</f>
        <v>41.11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</row>
    <row r="6" ht="18.75" customHeight="1">
      <c r="A6" s="11">
        <v>2.0</v>
      </c>
      <c r="B6" s="213">
        <f>CSE4098A_Spring2026_Grade!B6</f>
        <v>231014146</v>
      </c>
      <c r="C6" s="213" t="str">
        <f>CSE4098A_Spring2026_Grade!C6</f>
        <v>Tasneem Ahmed</v>
      </c>
      <c r="D6" s="33">
        <v>33.0</v>
      </c>
      <c r="E6" s="214">
        <f t="shared" si="1"/>
        <v>36.66666667</v>
      </c>
      <c r="F6" s="41"/>
      <c r="G6" s="41"/>
      <c r="H6" s="33">
        <v>36.0</v>
      </c>
      <c r="I6" s="33">
        <v>41.0</v>
      </c>
      <c r="J6" s="41"/>
      <c r="K6" s="41"/>
      <c r="L6" s="33">
        <v>33.0</v>
      </c>
      <c r="M6" s="41"/>
      <c r="N6" s="244">
        <v>36.0</v>
      </c>
      <c r="O6" s="245"/>
      <c r="P6" s="245"/>
      <c r="Q6" s="245"/>
      <c r="R6" s="245"/>
      <c r="S6" s="244">
        <v>30.0</v>
      </c>
      <c r="T6" s="245"/>
      <c r="U6" s="244">
        <v>24.0</v>
      </c>
      <c r="V6" s="245"/>
      <c r="W6" s="245"/>
      <c r="X6" s="245"/>
      <c r="Y6" s="245"/>
      <c r="Z6" s="246">
        <f t="shared" si="2"/>
        <v>37.03703704</v>
      </c>
      <c r="AA6" s="247">
        <f t="shared" si="3"/>
        <v>36.81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</row>
    <row r="7" ht="18.75" customHeight="1">
      <c r="A7" s="11">
        <v>3.0</v>
      </c>
      <c r="B7" s="213">
        <f>CSE4098A_Spring2026_Grade!B7</f>
        <v>231014006</v>
      </c>
      <c r="C7" s="213" t="str">
        <f>CSE4098A_Spring2026_Grade!C7</f>
        <v>Ibnul Haque Chowdhury</v>
      </c>
      <c r="D7" s="33">
        <v>33.0</v>
      </c>
      <c r="E7" s="214">
        <f t="shared" si="1"/>
        <v>36.66666667</v>
      </c>
      <c r="F7" s="41"/>
      <c r="G7" s="41"/>
      <c r="H7" s="33">
        <v>33.0</v>
      </c>
      <c r="I7" s="33">
        <v>42.0</v>
      </c>
      <c r="J7" s="41"/>
      <c r="K7" s="41"/>
      <c r="L7" s="33">
        <v>33.0</v>
      </c>
      <c r="M7" s="41"/>
      <c r="N7" s="244">
        <v>36.0</v>
      </c>
      <c r="O7" s="245"/>
      <c r="P7" s="245"/>
      <c r="Q7" s="245"/>
      <c r="R7" s="245"/>
      <c r="S7" s="244">
        <v>30.0</v>
      </c>
      <c r="T7" s="245"/>
      <c r="U7" s="244">
        <v>21.0</v>
      </c>
      <c r="V7" s="245"/>
      <c r="W7" s="245"/>
      <c r="X7" s="245"/>
      <c r="Y7" s="245"/>
      <c r="Z7" s="246">
        <f t="shared" si="2"/>
        <v>36.11111111</v>
      </c>
      <c r="AA7" s="247">
        <f t="shared" si="3"/>
        <v>36.44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ht="18.75" customHeight="1">
      <c r="A8" s="11">
        <v>4.0</v>
      </c>
      <c r="B8" s="213">
        <f>CSE4098A_Spring2026_Grade!B8</f>
        <v>231014022</v>
      </c>
      <c r="C8" s="213" t="str">
        <f>CSE4098A_Spring2026_Grade!C8</f>
        <v>Rafsan Islam</v>
      </c>
      <c r="D8" s="33">
        <v>39.0</v>
      </c>
      <c r="E8" s="214">
        <f t="shared" si="1"/>
        <v>43.33333333</v>
      </c>
      <c r="F8" s="41"/>
      <c r="G8" s="41"/>
      <c r="H8" s="33">
        <v>30.0</v>
      </c>
      <c r="I8" s="33">
        <v>41.0</v>
      </c>
      <c r="J8" s="41"/>
      <c r="K8" s="41"/>
      <c r="L8" s="33">
        <v>27.0</v>
      </c>
      <c r="M8" s="41"/>
      <c r="N8" s="244">
        <v>30.0</v>
      </c>
      <c r="O8" s="245"/>
      <c r="P8" s="245"/>
      <c r="Q8" s="245"/>
      <c r="R8" s="245"/>
      <c r="S8" s="244">
        <v>30.0</v>
      </c>
      <c r="T8" s="245"/>
      <c r="U8" s="244">
        <v>27.0</v>
      </c>
      <c r="V8" s="245"/>
      <c r="W8" s="245"/>
      <c r="X8" s="245"/>
      <c r="Y8" s="245"/>
      <c r="Z8" s="246">
        <f t="shared" si="2"/>
        <v>34.25925926</v>
      </c>
      <c r="AA8" s="247">
        <f t="shared" si="3"/>
        <v>39.7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ht="18.75" customHeight="1">
      <c r="A9" s="11">
        <v>5.0</v>
      </c>
      <c r="B9" s="213">
        <f>CSE4098A_Spring2026_Grade!B9</f>
        <v>231014042</v>
      </c>
      <c r="C9" s="213" t="str">
        <f>CSE4098A_Spring2026_Grade!C9</f>
        <v>Abir Akbar</v>
      </c>
      <c r="D9" s="33">
        <v>33.0</v>
      </c>
      <c r="E9" s="214">
        <f t="shared" si="1"/>
        <v>36.66666667</v>
      </c>
      <c r="F9" s="41"/>
      <c r="G9" s="41"/>
      <c r="H9" s="33">
        <v>30.0</v>
      </c>
      <c r="I9" s="33">
        <v>41.0</v>
      </c>
      <c r="J9" s="41"/>
      <c r="K9" s="41"/>
      <c r="L9" s="33">
        <v>33.0</v>
      </c>
      <c r="M9" s="41"/>
      <c r="N9" s="244">
        <v>36.0</v>
      </c>
      <c r="O9" s="245"/>
      <c r="P9" s="245"/>
      <c r="Q9" s="245"/>
      <c r="R9" s="245"/>
      <c r="S9" s="244">
        <v>27.0</v>
      </c>
      <c r="T9" s="245"/>
      <c r="U9" s="244">
        <v>21.0</v>
      </c>
      <c r="V9" s="245"/>
      <c r="W9" s="245"/>
      <c r="X9" s="245"/>
      <c r="Y9" s="245"/>
      <c r="Z9" s="246">
        <f t="shared" si="2"/>
        <v>34.81481481</v>
      </c>
      <c r="AA9" s="247">
        <f t="shared" si="3"/>
        <v>35.93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</row>
    <row r="10" ht="18.75" customHeight="1">
      <c r="A10" s="11">
        <v>6.0</v>
      </c>
      <c r="B10" s="213">
        <f>CSE4098A_Spring2026_Grade!B10</f>
        <v>232014128</v>
      </c>
      <c r="C10" s="213" t="str">
        <f>CSE4098A_Spring2026_Grade!C10</f>
        <v>Tonmoy Talukder</v>
      </c>
      <c r="D10" s="33">
        <v>40.0</v>
      </c>
      <c r="E10" s="214">
        <f t="shared" si="1"/>
        <v>44.44444444</v>
      </c>
      <c r="F10" s="33">
        <v>27.0</v>
      </c>
      <c r="G10" s="41"/>
      <c r="H10" s="33">
        <v>24.0</v>
      </c>
      <c r="I10" s="41"/>
      <c r="J10" s="41"/>
      <c r="K10" s="41"/>
      <c r="L10" s="33">
        <v>24.0</v>
      </c>
      <c r="M10" s="41"/>
      <c r="N10" s="244">
        <v>36.0</v>
      </c>
      <c r="O10" s="245"/>
      <c r="P10" s="245"/>
      <c r="Q10" s="245"/>
      <c r="R10" s="245"/>
      <c r="S10" s="245"/>
      <c r="T10" s="245"/>
      <c r="U10" s="244">
        <v>30.0</v>
      </c>
      <c r="V10" s="245"/>
      <c r="W10" s="245"/>
      <c r="X10" s="245"/>
      <c r="Y10" s="245"/>
      <c r="Z10" s="246">
        <f t="shared" si="2"/>
        <v>31.33333333</v>
      </c>
      <c r="AA10" s="247">
        <f t="shared" si="3"/>
        <v>39.2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</row>
    <row r="11" ht="18.75" customHeight="1">
      <c r="A11" s="11">
        <v>7.0</v>
      </c>
      <c r="B11" s="213">
        <f>CSE4098A_Spring2026_Grade!B11</f>
        <v>231014001</v>
      </c>
      <c r="C11" s="213" t="str">
        <f>CSE4098A_Spring2026_Grade!C11</f>
        <v>Md. Aminul Islam Rupak</v>
      </c>
      <c r="D11" s="33">
        <v>40.0</v>
      </c>
      <c r="E11" s="214">
        <f t="shared" si="1"/>
        <v>44.44444444</v>
      </c>
      <c r="F11" s="33">
        <v>27.0</v>
      </c>
      <c r="G11" s="41"/>
      <c r="H11" s="33">
        <v>27.0</v>
      </c>
      <c r="I11" s="41"/>
      <c r="J11" s="41"/>
      <c r="K11" s="41"/>
      <c r="L11" s="33">
        <v>27.0</v>
      </c>
      <c r="M11" s="41"/>
      <c r="N11" s="244">
        <v>36.0</v>
      </c>
      <c r="O11" s="245"/>
      <c r="P11" s="245"/>
      <c r="Q11" s="245"/>
      <c r="R11" s="245"/>
      <c r="S11" s="245"/>
      <c r="T11" s="245"/>
      <c r="U11" s="244">
        <v>24.0</v>
      </c>
      <c r="V11" s="245"/>
      <c r="W11" s="245"/>
      <c r="X11" s="245"/>
      <c r="Y11" s="245"/>
      <c r="Z11" s="246">
        <f t="shared" si="2"/>
        <v>31.33333333</v>
      </c>
      <c r="AA11" s="247">
        <f t="shared" si="3"/>
        <v>39.2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</row>
    <row r="12" ht="18.75" customHeight="1">
      <c r="A12" s="11">
        <v>8.0</v>
      </c>
      <c r="B12" s="213">
        <f>CSE4098A_Spring2026_Grade!B12</f>
        <v>223014100</v>
      </c>
      <c r="C12" s="213" t="str">
        <f>CSE4098A_Spring2026_Grade!C12</f>
        <v>Jannatul Tazree</v>
      </c>
      <c r="D12" s="33">
        <v>42.0</v>
      </c>
      <c r="E12" s="214">
        <f t="shared" si="1"/>
        <v>46.66666667</v>
      </c>
      <c r="F12" s="33">
        <v>33.0</v>
      </c>
      <c r="G12" s="41"/>
      <c r="H12" s="33">
        <v>36.0</v>
      </c>
      <c r="I12" s="41"/>
      <c r="J12" s="41"/>
      <c r="K12" s="41"/>
      <c r="L12" s="33">
        <v>24.0</v>
      </c>
      <c r="M12" s="41"/>
      <c r="N12" s="244">
        <v>39.0</v>
      </c>
      <c r="O12" s="245"/>
      <c r="P12" s="245"/>
      <c r="Q12" s="245"/>
      <c r="R12" s="245"/>
      <c r="S12" s="245"/>
      <c r="T12" s="245"/>
      <c r="U12" s="244">
        <v>33.0</v>
      </c>
      <c r="V12" s="245"/>
      <c r="W12" s="245"/>
      <c r="X12" s="245"/>
      <c r="Y12" s="245"/>
      <c r="Z12" s="246">
        <f t="shared" si="2"/>
        <v>36.66666667</v>
      </c>
      <c r="AA12" s="247">
        <f t="shared" si="3"/>
        <v>42.67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</row>
    <row r="13" ht="18.75" customHeight="1">
      <c r="A13" s="11">
        <v>9.0</v>
      </c>
      <c r="B13" s="213">
        <f>CSE4098A_Spring2026_Grade!B13</f>
        <v>232014003</v>
      </c>
      <c r="C13" s="213" t="str">
        <f>CSE4098A_Spring2026_Grade!C13</f>
        <v>Tasin Bin Mortoza</v>
      </c>
      <c r="D13" s="33">
        <v>41.0</v>
      </c>
      <c r="E13" s="214">
        <f t="shared" si="1"/>
        <v>45.55555556</v>
      </c>
      <c r="F13" s="33">
        <v>27.0</v>
      </c>
      <c r="G13" s="41"/>
      <c r="H13" s="33">
        <v>30.0</v>
      </c>
      <c r="I13" s="41"/>
      <c r="J13" s="41"/>
      <c r="K13" s="41"/>
      <c r="L13" s="33">
        <v>27.0</v>
      </c>
      <c r="M13" s="41"/>
      <c r="N13" s="244">
        <v>36.0</v>
      </c>
      <c r="O13" s="245"/>
      <c r="P13" s="245"/>
      <c r="Q13" s="245"/>
      <c r="R13" s="245"/>
      <c r="S13" s="245"/>
      <c r="T13" s="245"/>
      <c r="U13" s="244">
        <v>27.0</v>
      </c>
      <c r="V13" s="245"/>
      <c r="W13" s="245"/>
      <c r="X13" s="245"/>
      <c r="Y13" s="245"/>
      <c r="Z13" s="246">
        <f t="shared" si="2"/>
        <v>32.66666667</v>
      </c>
      <c r="AA13" s="247">
        <f t="shared" si="3"/>
        <v>40.4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 ht="18.75" customHeight="1">
      <c r="A14" s="11">
        <v>10.0</v>
      </c>
      <c r="B14" s="213">
        <f>CSE4098A_Spring2026_Grade!B14</f>
        <v>223014084</v>
      </c>
      <c r="C14" s="213" t="str">
        <f>CSE4098A_Spring2026_Grade!C14</f>
        <v>Mirza Mostafa Abrar</v>
      </c>
      <c r="D14" s="33">
        <v>40.0</v>
      </c>
      <c r="E14" s="214">
        <f t="shared" si="1"/>
        <v>44.44444444</v>
      </c>
      <c r="F14" s="41"/>
      <c r="G14" s="41"/>
      <c r="H14" s="33">
        <v>27.0</v>
      </c>
      <c r="I14" s="41"/>
      <c r="J14" s="41"/>
      <c r="K14" s="41"/>
      <c r="L14" s="33">
        <v>39.0</v>
      </c>
      <c r="M14" s="41"/>
      <c r="N14" s="244">
        <v>36.0</v>
      </c>
      <c r="O14" s="245"/>
      <c r="P14" s="245"/>
      <c r="Q14" s="245"/>
      <c r="R14" s="245"/>
      <c r="S14" s="245"/>
      <c r="T14" s="245"/>
      <c r="U14" s="244">
        <v>24.0</v>
      </c>
      <c r="V14" s="245"/>
      <c r="W14" s="245"/>
      <c r="X14" s="245"/>
      <c r="Y14" s="245"/>
      <c r="Z14" s="246">
        <f t="shared" si="2"/>
        <v>35</v>
      </c>
      <c r="AA14" s="247">
        <f t="shared" si="3"/>
        <v>40.67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</row>
    <row r="15" ht="18.75" customHeight="1">
      <c r="A15" s="11">
        <v>11.0</v>
      </c>
      <c r="B15" s="213">
        <f>CSE4098A_Spring2026_Grade!B15</f>
        <v>223014075</v>
      </c>
      <c r="C15" s="213" t="str">
        <f>CSE4098A_Spring2026_Grade!C15</f>
        <v>S M Rahnuma Apshara</v>
      </c>
      <c r="D15" s="33">
        <v>41.0</v>
      </c>
      <c r="E15" s="214">
        <f t="shared" si="1"/>
        <v>45.55555556</v>
      </c>
      <c r="F15" s="41"/>
      <c r="G15" s="41"/>
      <c r="H15" s="33">
        <v>36.0</v>
      </c>
      <c r="I15" s="41"/>
      <c r="J15" s="41"/>
      <c r="K15" s="41"/>
      <c r="L15" s="33">
        <v>42.0</v>
      </c>
      <c r="M15" s="41"/>
      <c r="N15" s="244">
        <v>39.0</v>
      </c>
      <c r="O15" s="245"/>
      <c r="P15" s="245"/>
      <c r="Q15" s="245"/>
      <c r="R15" s="245"/>
      <c r="S15" s="245"/>
      <c r="T15" s="245"/>
      <c r="U15" s="244">
        <v>27.0</v>
      </c>
      <c r="V15" s="245"/>
      <c r="W15" s="245"/>
      <c r="X15" s="245"/>
      <c r="Y15" s="245"/>
      <c r="Z15" s="246">
        <f t="shared" si="2"/>
        <v>40</v>
      </c>
      <c r="AA15" s="247">
        <f t="shared" si="3"/>
        <v>43.33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 ht="18.75" customHeight="1">
      <c r="A16" s="11">
        <v>12.0</v>
      </c>
      <c r="B16" s="213">
        <f>CSE4098A_Spring2026_Grade!B16</f>
        <v>223014108</v>
      </c>
      <c r="C16" s="213" t="str">
        <f>CSE4098A_Spring2026_Grade!C16</f>
        <v>Israt Islam</v>
      </c>
      <c r="D16" s="33">
        <v>41.0</v>
      </c>
      <c r="E16" s="214">
        <f t="shared" si="1"/>
        <v>45.55555556</v>
      </c>
      <c r="F16" s="41"/>
      <c r="G16" s="41"/>
      <c r="H16" s="33">
        <v>30.0</v>
      </c>
      <c r="I16" s="41"/>
      <c r="J16" s="41"/>
      <c r="K16" s="41"/>
      <c r="L16" s="33">
        <v>42.0</v>
      </c>
      <c r="M16" s="41"/>
      <c r="N16" s="244">
        <v>36.0</v>
      </c>
      <c r="O16" s="245"/>
      <c r="P16" s="245"/>
      <c r="Q16" s="245"/>
      <c r="R16" s="245"/>
      <c r="S16" s="245"/>
      <c r="T16" s="245"/>
      <c r="U16" s="244">
        <v>30.0</v>
      </c>
      <c r="V16" s="245"/>
      <c r="W16" s="245"/>
      <c r="X16" s="245"/>
      <c r="Y16" s="245"/>
      <c r="Z16" s="246">
        <f t="shared" si="2"/>
        <v>38.33333333</v>
      </c>
      <c r="AA16" s="247">
        <f t="shared" si="3"/>
        <v>42.67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 ht="18.75" customHeight="1">
      <c r="A17" s="11">
        <v>13.0</v>
      </c>
      <c r="B17" s="213">
        <f>CSE4098A_Spring2026_Grade!B17</f>
        <v>223014090</v>
      </c>
      <c r="C17" s="213" t="str">
        <f>CSE4098A_Spring2026_Grade!C17</f>
        <v>Shatabdee Chanda Shruti</v>
      </c>
      <c r="D17" s="33">
        <v>40.0</v>
      </c>
      <c r="E17" s="214">
        <f t="shared" si="1"/>
        <v>44.44444444</v>
      </c>
      <c r="F17" s="41"/>
      <c r="G17" s="41"/>
      <c r="H17" s="33">
        <v>33.0</v>
      </c>
      <c r="I17" s="41"/>
      <c r="J17" s="41"/>
      <c r="K17" s="41"/>
      <c r="L17" s="33">
        <v>39.0</v>
      </c>
      <c r="M17" s="41"/>
      <c r="N17" s="244">
        <v>36.0</v>
      </c>
      <c r="O17" s="245"/>
      <c r="P17" s="245"/>
      <c r="Q17" s="245"/>
      <c r="R17" s="245"/>
      <c r="S17" s="245"/>
      <c r="T17" s="245"/>
      <c r="U17" s="244">
        <v>30.0</v>
      </c>
      <c r="V17" s="245"/>
      <c r="W17" s="245"/>
      <c r="X17" s="245"/>
      <c r="Y17" s="245"/>
      <c r="Z17" s="246">
        <f t="shared" si="2"/>
        <v>38.33333333</v>
      </c>
      <c r="AA17" s="247">
        <f t="shared" si="3"/>
        <v>42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 ht="18.75" customHeight="1">
      <c r="A18" s="11">
        <v>14.0</v>
      </c>
      <c r="B18" s="213">
        <f>CSE4098A_Spring2026_Grade!B18</f>
        <v>223014024</v>
      </c>
      <c r="C18" s="213" t="str">
        <f>CSE4098A_Spring2026_Grade!C18</f>
        <v>Piyas Sarkar</v>
      </c>
      <c r="D18" s="33">
        <v>27.0</v>
      </c>
      <c r="E18" s="214">
        <f t="shared" si="1"/>
        <v>30</v>
      </c>
      <c r="F18" s="41"/>
      <c r="G18" s="41"/>
      <c r="H18" s="41"/>
      <c r="I18" s="33">
        <v>40.0</v>
      </c>
      <c r="J18" s="41"/>
      <c r="K18" s="41"/>
      <c r="L18" s="33">
        <v>36.0</v>
      </c>
      <c r="M18" s="41"/>
      <c r="N18" s="244">
        <v>36.0</v>
      </c>
      <c r="O18" s="245"/>
      <c r="P18" s="245"/>
      <c r="Q18" s="245"/>
      <c r="R18" s="245"/>
      <c r="S18" s="245"/>
      <c r="T18" s="245"/>
      <c r="U18" s="244">
        <v>36.0</v>
      </c>
      <c r="V18" s="245"/>
      <c r="W18" s="245"/>
      <c r="X18" s="245"/>
      <c r="Y18" s="245"/>
      <c r="Z18" s="246">
        <f t="shared" si="2"/>
        <v>41.11111111</v>
      </c>
      <c r="AA18" s="247">
        <f t="shared" si="3"/>
        <v>34.44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 ht="18.75" customHeight="1">
      <c r="A19" s="11">
        <v>15.0</v>
      </c>
      <c r="B19" s="213">
        <f>CSE4098A_Spring2026_Grade!B19</f>
        <v>223014112</v>
      </c>
      <c r="C19" s="213" t="str">
        <f>CSE4098A_Spring2026_Grade!C19</f>
        <v>Md. Mahmuduzzaman Mollah Rabbee</v>
      </c>
      <c r="D19" s="33">
        <v>24.0</v>
      </c>
      <c r="E19" s="214">
        <f t="shared" si="1"/>
        <v>26.66666667</v>
      </c>
      <c r="F19" s="41"/>
      <c r="G19" s="41"/>
      <c r="H19" s="41"/>
      <c r="I19" s="33">
        <v>40.0</v>
      </c>
      <c r="J19" s="41"/>
      <c r="K19" s="41"/>
      <c r="L19" s="33">
        <v>36.0</v>
      </c>
      <c r="M19" s="41"/>
      <c r="N19" s="244">
        <v>36.0</v>
      </c>
      <c r="O19" s="245"/>
      <c r="P19" s="245"/>
      <c r="Q19" s="245"/>
      <c r="R19" s="245"/>
      <c r="S19" s="245"/>
      <c r="T19" s="245"/>
      <c r="U19" s="244">
        <v>24.0</v>
      </c>
      <c r="V19" s="245"/>
      <c r="W19" s="245"/>
      <c r="X19" s="245"/>
      <c r="Y19" s="245"/>
      <c r="Z19" s="246">
        <f t="shared" si="2"/>
        <v>37.77777778</v>
      </c>
      <c r="AA19" s="247">
        <f t="shared" si="3"/>
        <v>31.11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 ht="18.75" customHeight="1">
      <c r="A20" s="11">
        <v>16.0</v>
      </c>
      <c r="B20" s="213">
        <f>CSE4098A_Spring2026_Grade!B20</f>
        <v>231014136</v>
      </c>
      <c r="C20" s="213" t="str">
        <f>CSE4098A_Spring2026_Grade!C20</f>
        <v>Md. Tasdiqur Rahman Khan</v>
      </c>
      <c r="D20" s="33">
        <v>24.0</v>
      </c>
      <c r="E20" s="214">
        <f t="shared" si="1"/>
        <v>26.66666667</v>
      </c>
      <c r="F20" s="41"/>
      <c r="G20" s="41"/>
      <c r="H20" s="41"/>
      <c r="I20" s="33">
        <v>40.0</v>
      </c>
      <c r="J20" s="41"/>
      <c r="K20" s="41"/>
      <c r="L20" s="33">
        <v>36.0</v>
      </c>
      <c r="M20" s="41"/>
      <c r="N20" s="244">
        <v>36.0</v>
      </c>
      <c r="O20" s="245"/>
      <c r="P20" s="245"/>
      <c r="Q20" s="245"/>
      <c r="R20" s="245"/>
      <c r="S20" s="245"/>
      <c r="T20" s="245"/>
      <c r="U20" s="244">
        <v>24.0</v>
      </c>
      <c r="V20" s="245"/>
      <c r="W20" s="245"/>
      <c r="X20" s="245"/>
      <c r="Y20" s="245"/>
      <c r="Z20" s="246">
        <f t="shared" si="2"/>
        <v>37.77777778</v>
      </c>
      <c r="AA20" s="247">
        <f t="shared" si="3"/>
        <v>31.11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</row>
    <row r="21" ht="18.75" customHeight="1">
      <c r="A21" s="11">
        <v>17.0</v>
      </c>
      <c r="B21" s="213">
        <f>CSE4098A_Spring2026_Grade!B21</f>
        <v>223014206</v>
      </c>
      <c r="C21" s="213" t="str">
        <f>CSE4098A_Spring2026_Grade!C21</f>
        <v>Rafia Haque Arpita</v>
      </c>
      <c r="D21" s="33">
        <v>27.0</v>
      </c>
      <c r="E21" s="214">
        <f t="shared" si="1"/>
        <v>30</v>
      </c>
      <c r="F21" s="41"/>
      <c r="G21" s="41"/>
      <c r="H21" s="41"/>
      <c r="I21" s="33">
        <v>40.0</v>
      </c>
      <c r="J21" s="41"/>
      <c r="K21" s="41"/>
      <c r="L21" s="33">
        <v>36.0</v>
      </c>
      <c r="M21" s="41"/>
      <c r="N21" s="244">
        <v>36.0</v>
      </c>
      <c r="O21" s="245"/>
      <c r="P21" s="245"/>
      <c r="Q21" s="245"/>
      <c r="R21" s="245"/>
      <c r="S21" s="245"/>
      <c r="T21" s="245"/>
      <c r="U21" s="244">
        <v>27.0</v>
      </c>
      <c r="V21" s="245"/>
      <c r="W21" s="245"/>
      <c r="X21" s="245"/>
      <c r="Y21" s="245"/>
      <c r="Z21" s="246">
        <f t="shared" si="2"/>
        <v>38.61111111</v>
      </c>
      <c r="AA21" s="247">
        <f t="shared" si="3"/>
        <v>33.44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 ht="18.75" customHeight="1">
      <c r="A22" s="11">
        <v>18.0</v>
      </c>
      <c r="B22" s="213">
        <f>CSE4098A_Spring2026_Grade!B22</f>
        <v>231014010</v>
      </c>
      <c r="C22" s="213" t="str">
        <f>CSE4098A_Spring2026_Grade!C22</f>
        <v>Mahmudul Islam Shajib</v>
      </c>
      <c r="D22" s="33">
        <v>33.0</v>
      </c>
      <c r="E22" s="214">
        <f t="shared" si="1"/>
        <v>36.66666667</v>
      </c>
      <c r="F22" s="33">
        <v>39.0</v>
      </c>
      <c r="G22" s="41"/>
      <c r="H22" s="41"/>
      <c r="I22" s="33">
        <v>40.0</v>
      </c>
      <c r="J22" s="41"/>
      <c r="K22" s="41"/>
      <c r="L22" s="33">
        <v>33.0</v>
      </c>
      <c r="M22" s="41"/>
      <c r="N22" s="244">
        <v>30.0</v>
      </c>
      <c r="O22" s="245"/>
      <c r="P22" s="245"/>
      <c r="Q22" s="245"/>
      <c r="R22" s="245"/>
      <c r="S22" s="245"/>
      <c r="T22" s="245"/>
      <c r="U22" s="244">
        <v>27.0</v>
      </c>
      <c r="V22" s="245"/>
      <c r="W22" s="245"/>
      <c r="X22" s="245"/>
      <c r="Y22" s="245"/>
      <c r="Z22" s="246">
        <f t="shared" si="2"/>
        <v>37.55555556</v>
      </c>
      <c r="AA22" s="247">
        <f t="shared" si="3"/>
        <v>37.02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</row>
    <row r="23" ht="18.75" customHeight="1">
      <c r="A23" s="11">
        <v>19.0</v>
      </c>
      <c r="B23" s="213">
        <f>CSE4098A_Spring2026_Grade!B23</f>
        <v>231014082</v>
      </c>
      <c r="C23" s="213" t="str">
        <f>CSE4098A_Spring2026_Grade!C23</f>
        <v>Mst. Fahmida Jesmin</v>
      </c>
      <c r="D23" s="33">
        <v>36.0</v>
      </c>
      <c r="E23" s="214">
        <f t="shared" si="1"/>
        <v>40</v>
      </c>
      <c r="F23" s="33">
        <v>39.0</v>
      </c>
      <c r="G23" s="41"/>
      <c r="H23" s="41"/>
      <c r="I23" s="33">
        <v>40.0</v>
      </c>
      <c r="J23" s="41"/>
      <c r="K23" s="41"/>
      <c r="L23" s="33">
        <v>33.0</v>
      </c>
      <c r="M23" s="41"/>
      <c r="N23" s="244">
        <v>33.0</v>
      </c>
      <c r="O23" s="245"/>
      <c r="P23" s="245"/>
      <c r="Q23" s="245"/>
      <c r="R23" s="245"/>
      <c r="S23" s="245"/>
      <c r="T23" s="245"/>
      <c r="U23" s="244">
        <v>27.0</v>
      </c>
      <c r="V23" s="245"/>
      <c r="W23" s="245"/>
      <c r="X23" s="245"/>
      <c r="Y23" s="245"/>
      <c r="Z23" s="246">
        <f t="shared" si="2"/>
        <v>38.22222222</v>
      </c>
      <c r="AA23" s="247">
        <f t="shared" si="3"/>
        <v>39.29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</row>
    <row r="24" ht="18.75" customHeight="1">
      <c r="A24" s="11">
        <v>20.0</v>
      </c>
      <c r="B24" s="213">
        <f>CSE4098A_Spring2026_Grade!B24</f>
        <v>231014133</v>
      </c>
      <c r="C24" s="213" t="str">
        <f>CSE4098A_Spring2026_Grade!C24</f>
        <v>Md. Eakramul Karim Tarik</v>
      </c>
      <c r="D24" s="33">
        <v>33.0</v>
      </c>
      <c r="E24" s="214">
        <f t="shared" si="1"/>
        <v>36.66666667</v>
      </c>
      <c r="F24" s="33">
        <v>39.0</v>
      </c>
      <c r="G24" s="41"/>
      <c r="H24" s="41"/>
      <c r="I24" s="33">
        <v>40.0</v>
      </c>
      <c r="J24" s="41"/>
      <c r="K24" s="41"/>
      <c r="L24" s="33">
        <v>33.0</v>
      </c>
      <c r="M24" s="41"/>
      <c r="N24" s="244">
        <v>30.0</v>
      </c>
      <c r="O24" s="245"/>
      <c r="P24" s="245"/>
      <c r="Q24" s="245"/>
      <c r="R24" s="245"/>
      <c r="S24" s="248"/>
      <c r="T24" s="245"/>
      <c r="U24" s="244">
        <v>27.0</v>
      </c>
      <c r="V24" s="245"/>
      <c r="W24" s="245"/>
      <c r="X24" s="245"/>
      <c r="Y24" s="245"/>
      <c r="Z24" s="246">
        <f t="shared" si="2"/>
        <v>37.55555556</v>
      </c>
      <c r="AA24" s="247">
        <f t="shared" si="3"/>
        <v>37.02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 ht="18.75" customHeight="1">
      <c r="A25" s="11">
        <v>21.0</v>
      </c>
      <c r="B25" s="213">
        <f>CSE4098A_Spring2026_Grade!B25</f>
        <v>231014120</v>
      </c>
      <c r="C25" s="213" t="str">
        <f>CSE4098A_Spring2026_Grade!C25</f>
        <v>Md. Abir Hosen</v>
      </c>
      <c r="D25" s="33">
        <v>39.0</v>
      </c>
      <c r="E25" s="214">
        <f t="shared" si="1"/>
        <v>43.33333333</v>
      </c>
      <c r="F25" s="33">
        <v>30.0</v>
      </c>
      <c r="G25" s="41"/>
      <c r="H25" s="41"/>
      <c r="I25" s="33">
        <v>38.0</v>
      </c>
      <c r="J25" s="41"/>
      <c r="K25" s="41"/>
      <c r="L25" s="33">
        <v>30.0</v>
      </c>
      <c r="M25" s="41"/>
      <c r="N25" s="244"/>
      <c r="O25" s="245"/>
      <c r="P25" s="245"/>
      <c r="Q25" s="245"/>
      <c r="R25" s="245"/>
      <c r="S25" s="249">
        <v>33.0</v>
      </c>
      <c r="T25" s="245"/>
      <c r="U25" s="244">
        <v>30.0</v>
      </c>
      <c r="V25" s="245"/>
      <c r="W25" s="245"/>
      <c r="X25" s="245"/>
      <c r="Y25" s="245"/>
      <c r="Z25" s="246">
        <f t="shared" si="2"/>
        <v>35.77777778</v>
      </c>
      <c r="AA25" s="247">
        <f t="shared" si="3"/>
        <v>40.31</v>
      </c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 ht="18.75" customHeight="1">
      <c r="A26" s="11">
        <v>22.0</v>
      </c>
      <c r="B26" s="213">
        <f>CSE4098A_Spring2026_Grade!B26</f>
        <v>231014096</v>
      </c>
      <c r="C26" s="213" t="str">
        <f>CSE4098A_Spring2026_Grade!C26</f>
        <v>Md. Rahat Hawlader</v>
      </c>
      <c r="D26" s="33">
        <v>39.0</v>
      </c>
      <c r="E26" s="214">
        <f t="shared" si="1"/>
        <v>43.33333333</v>
      </c>
      <c r="F26" s="33">
        <v>30.0</v>
      </c>
      <c r="G26" s="41"/>
      <c r="H26" s="41"/>
      <c r="I26" s="33">
        <v>38.0</v>
      </c>
      <c r="J26" s="41"/>
      <c r="K26" s="41"/>
      <c r="L26" s="33">
        <v>30.0</v>
      </c>
      <c r="M26" s="41"/>
      <c r="N26" s="244"/>
      <c r="O26" s="245"/>
      <c r="P26" s="245"/>
      <c r="Q26" s="245"/>
      <c r="R26" s="245"/>
      <c r="S26" s="249">
        <v>30.0</v>
      </c>
      <c r="T26" s="245"/>
      <c r="U26" s="244">
        <v>30.0</v>
      </c>
      <c r="V26" s="245"/>
      <c r="W26" s="245"/>
      <c r="X26" s="245"/>
      <c r="Y26" s="245"/>
      <c r="Z26" s="246">
        <f t="shared" si="2"/>
        <v>35.11111111</v>
      </c>
      <c r="AA26" s="247">
        <f t="shared" si="3"/>
        <v>40.04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 ht="18.75" customHeight="1">
      <c r="A27" s="11">
        <v>23.0</v>
      </c>
      <c r="B27" s="213">
        <f>CSE4098A_Spring2026_Grade!B27</f>
        <v>231014014</v>
      </c>
      <c r="C27" s="213" t="str">
        <f>CSE4098A_Spring2026_Grade!C27</f>
        <v>Shahriar Alam Sazzad</v>
      </c>
      <c r="D27" s="33">
        <v>36.0</v>
      </c>
      <c r="E27" s="214">
        <f t="shared" si="1"/>
        <v>40</v>
      </c>
      <c r="F27" s="33">
        <v>30.0</v>
      </c>
      <c r="G27" s="41"/>
      <c r="H27" s="41"/>
      <c r="I27" s="33">
        <v>38.0</v>
      </c>
      <c r="J27" s="41"/>
      <c r="K27" s="41"/>
      <c r="L27" s="33">
        <v>30.0</v>
      </c>
      <c r="M27" s="41"/>
      <c r="N27" s="244"/>
      <c r="O27" s="245"/>
      <c r="P27" s="245"/>
      <c r="Q27" s="245"/>
      <c r="R27" s="245"/>
      <c r="S27" s="249">
        <v>33.0</v>
      </c>
      <c r="T27" s="245"/>
      <c r="U27" s="244">
        <v>27.0</v>
      </c>
      <c r="V27" s="245"/>
      <c r="W27" s="245"/>
      <c r="X27" s="245"/>
      <c r="Y27" s="245"/>
      <c r="Z27" s="246">
        <f t="shared" si="2"/>
        <v>35.11111111</v>
      </c>
      <c r="AA27" s="247">
        <f t="shared" si="3"/>
        <v>38.04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 ht="18.75" customHeight="1">
      <c r="A28" s="11">
        <v>24.0</v>
      </c>
      <c r="B28" s="213">
        <f>CSE4098A_Spring2026_Grade!B28</f>
        <v>231014018</v>
      </c>
      <c r="C28" s="213" t="str">
        <f>CSE4098A_Spring2026_Grade!C28</f>
        <v>Zubaida Akter Prova</v>
      </c>
      <c r="D28" s="33">
        <v>36.0</v>
      </c>
      <c r="E28" s="214">
        <f t="shared" si="1"/>
        <v>40</v>
      </c>
      <c r="F28" s="33">
        <v>30.0</v>
      </c>
      <c r="G28" s="41"/>
      <c r="H28" s="41"/>
      <c r="I28" s="33">
        <v>38.0</v>
      </c>
      <c r="J28" s="41"/>
      <c r="K28" s="41"/>
      <c r="L28" s="33">
        <v>30.0</v>
      </c>
      <c r="M28" s="41"/>
      <c r="N28" s="244"/>
      <c r="O28" s="245"/>
      <c r="P28" s="245"/>
      <c r="Q28" s="245"/>
      <c r="R28" s="245"/>
      <c r="S28" s="249">
        <v>24.0</v>
      </c>
      <c r="T28" s="245"/>
      <c r="U28" s="244">
        <v>30.0</v>
      </c>
      <c r="V28" s="245"/>
      <c r="W28" s="245"/>
      <c r="X28" s="245"/>
      <c r="Y28" s="245"/>
      <c r="Z28" s="246">
        <f t="shared" si="2"/>
        <v>33.77777778</v>
      </c>
      <c r="AA28" s="247">
        <f t="shared" si="3"/>
        <v>37.51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 ht="18.75" customHeight="1">
      <c r="A29" s="11">
        <v>25.0</v>
      </c>
      <c r="B29" s="213">
        <f>CSE4098A_Spring2026_Grade!B29</f>
        <v>231014052</v>
      </c>
      <c r="C29" s="213" t="str">
        <f>CSE4098A_Spring2026_Grade!C29</f>
        <v>Md. Shaidur Rahman</v>
      </c>
      <c r="D29" s="33">
        <v>20.0</v>
      </c>
      <c r="E29" s="214">
        <f t="shared" si="1"/>
        <v>22.22222222</v>
      </c>
      <c r="F29" s="41"/>
      <c r="G29" s="41"/>
      <c r="H29" s="41"/>
      <c r="I29" s="41"/>
      <c r="J29" s="250"/>
      <c r="K29" s="41"/>
      <c r="L29" s="41"/>
      <c r="M29" s="41"/>
      <c r="N29" s="245"/>
      <c r="O29" s="245"/>
      <c r="P29" s="244">
        <v>18.0</v>
      </c>
      <c r="Q29" s="245"/>
      <c r="R29" s="245"/>
      <c r="S29" s="245"/>
      <c r="T29" s="245"/>
      <c r="U29" s="245"/>
      <c r="V29" s="244">
        <v>12.0</v>
      </c>
      <c r="W29" s="245"/>
      <c r="X29" s="244"/>
      <c r="Y29" s="244">
        <v>24.0</v>
      </c>
      <c r="Z29" s="246">
        <f t="shared" si="2"/>
        <v>20</v>
      </c>
      <c r="AA29" s="247">
        <f t="shared" si="3"/>
        <v>21.33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ht="18.75" customHeight="1">
      <c r="A30" s="11">
        <v>26.0</v>
      </c>
      <c r="B30" s="213">
        <f>CSE4098A_Spring2026_Grade!B30</f>
        <v>231014131</v>
      </c>
      <c r="C30" s="213" t="str">
        <f>CSE4098A_Spring2026_Grade!C30</f>
        <v>Sumia Sharmin Sinthia</v>
      </c>
      <c r="D30" s="33">
        <v>26.0</v>
      </c>
      <c r="E30" s="214">
        <f t="shared" si="1"/>
        <v>28.88888889</v>
      </c>
      <c r="F30" s="41"/>
      <c r="G30" s="41"/>
      <c r="H30" s="41"/>
      <c r="I30" s="41"/>
      <c r="J30" s="250"/>
      <c r="K30" s="41"/>
      <c r="L30" s="41"/>
      <c r="M30" s="41"/>
      <c r="N30" s="245"/>
      <c r="O30" s="245"/>
      <c r="P30" s="244">
        <v>21.0</v>
      </c>
      <c r="Q30" s="245"/>
      <c r="R30" s="245"/>
      <c r="S30" s="245"/>
      <c r="T30" s="245"/>
      <c r="U30" s="245"/>
      <c r="V30" s="244">
        <v>12.0</v>
      </c>
      <c r="W30" s="245"/>
      <c r="X30" s="244"/>
      <c r="Y30" s="244">
        <v>19.0</v>
      </c>
      <c r="Z30" s="246">
        <f t="shared" si="2"/>
        <v>19.25925926</v>
      </c>
      <c r="AA30" s="247">
        <f t="shared" si="3"/>
        <v>25.04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 ht="18.75" customHeight="1">
      <c r="A31" s="11">
        <v>27.0</v>
      </c>
      <c r="B31" s="213">
        <f>CSE4098A_Spring2026_Grade!B31</f>
        <v>221014109</v>
      </c>
      <c r="C31" s="213" t="str">
        <f>CSE4098A_Spring2026_Grade!C31</f>
        <v>Maharun Nessa Akhi</v>
      </c>
      <c r="D31" s="33">
        <v>21.0</v>
      </c>
      <c r="E31" s="214">
        <f t="shared" si="1"/>
        <v>23.33333333</v>
      </c>
      <c r="F31" s="41"/>
      <c r="G31" s="41"/>
      <c r="H31" s="41"/>
      <c r="I31" s="41"/>
      <c r="J31" s="250"/>
      <c r="K31" s="41"/>
      <c r="L31" s="41"/>
      <c r="M31" s="41"/>
      <c r="N31" s="245"/>
      <c r="O31" s="245"/>
      <c r="P31" s="244">
        <v>18.0</v>
      </c>
      <c r="Q31" s="245"/>
      <c r="R31" s="245"/>
      <c r="S31" s="245"/>
      <c r="T31" s="245"/>
      <c r="U31" s="245"/>
      <c r="V31" s="244">
        <v>12.0</v>
      </c>
      <c r="W31" s="245"/>
      <c r="X31" s="244"/>
      <c r="Y31" s="244">
        <v>22.0</v>
      </c>
      <c r="Z31" s="246">
        <f t="shared" si="2"/>
        <v>19.25925926</v>
      </c>
      <c r="AA31" s="247">
        <f t="shared" si="3"/>
        <v>21.7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ht="18.75" customHeight="1">
      <c r="A32" s="11">
        <v>28.0</v>
      </c>
      <c r="B32" s="213">
        <f>CSE4098A_Spring2026_Grade!B32</f>
        <v>223014088</v>
      </c>
      <c r="C32" s="213" t="str">
        <f>CSE4098A_Spring2026_Grade!C32</f>
        <v>Md. Sakib Ishrak</v>
      </c>
      <c r="D32" s="33">
        <v>21.0</v>
      </c>
      <c r="E32" s="214">
        <f t="shared" si="1"/>
        <v>23.33333333</v>
      </c>
      <c r="F32" s="41"/>
      <c r="G32" s="41"/>
      <c r="H32" s="41"/>
      <c r="I32" s="41"/>
      <c r="J32" s="250"/>
      <c r="K32" s="41"/>
      <c r="L32" s="41"/>
      <c r="M32" s="41"/>
      <c r="N32" s="245"/>
      <c r="O32" s="245"/>
      <c r="P32" s="244">
        <v>18.0</v>
      </c>
      <c r="Q32" s="245"/>
      <c r="R32" s="245"/>
      <c r="S32" s="245"/>
      <c r="T32" s="245"/>
      <c r="U32" s="245"/>
      <c r="V32" s="244">
        <v>12.0</v>
      </c>
      <c r="W32" s="245"/>
      <c r="X32" s="244"/>
      <c r="Y32" s="244">
        <v>18.0</v>
      </c>
      <c r="Z32" s="246">
        <f t="shared" si="2"/>
        <v>17.77777778</v>
      </c>
      <c r="AA32" s="247">
        <f t="shared" si="3"/>
        <v>21.11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 ht="18.75" customHeight="1">
      <c r="A33" s="11">
        <v>29.0</v>
      </c>
      <c r="B33" s="213">
        <f>CSE4098A_Spring2026_Grade!B33</f>
        <v>231014017</v>
      </c>
      <c r="C33" s="213" t="str">
        <f>CSE4098A_Spring2026_Grade!C33</f>
        <v>Md. Jahid Ahamed Jihad</v>
      </c>
      <c r="D33" s="33">
        <v>39.0</v>
      </c>
      <c r="E33" s="214">
        <f t="shared" si="1"/>
        <v>43.33333333</v>
      </c>
      <c r="F33" s="41"/>
      <c r="G33" s="41"/>
      <c r="H33" s="41"/>
      <c r="I33" s="41"/>
      <c r="J33" s="250"/>
      <c r="K33" s="41"/>
      <c r="L33" s="41"/>
      <c r="M33" s="33">
        <v>24.0</v>
      </c>
      <c r="N33" s="245"/>
      <c r="O33" s="245"/>
      <c r="P33" s="244">
        <v>24.0</v>
      </c>
      <c r="Q33" s="245"/>
      <c r="R33" s="245"/>
      <c r="S33" s="245"/>
      <c r="T33" s="245"/>
      <c r="U33" s="245"/>
      <c r="V33" s="244">
        <v>30.0</v>
      </c>
      <c r="W33" s="244">
        <v>24.0</v>
      </c>
      <c r="X33" s="244"/>
      <c r="Y33" s="244">
        <v>21.0</v>
      </c>
      <c r="Z33" s="246">
        <f t="shared" si="2"/>
        <v>27.33333333</v>
      </c>
      <c r="AA33" s="247">
        <f t="shared" si="3"/>
        <v>36.93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 ht="18.75" customHeight="1">
      <c r="A34" s="11">
        <v>30.0</v>
      </c>
      <c r="B34" s="213">
        <f>CSE4098A_Spring2026_Grade!B34</f>
        <v>231014115</v>
      </c>
      <c r="C34" s="213" t="str">
        <f>CSE4098A_Spring2026_Grade!C34</f>
        <v>Iftiker Jahid Moyshun</v>
      </c>
      <c r="D34" s="33">
        <v>36.0</v>
      </c>
      <c r="E34" s="214">
        <f t="shared" si="1"/>
        <v>40</v>
      </c>
      <c r="F34" s="41"/>
      <c r="G34" s="41"/>
      <c r="H34" s="41"/>
      <c r="I34" s="41"/>
      <c r="J34" s="41"/>
      <c r="K34" s="41"/>
      <c r="L34" s="41"/>
      <c r="M34" s="33">
        <v>24.0</v>
      </c>
      <c r="N34" s="245"/>
      <c r="O34" s="245"/>
      <c r="P34" s="244">
        <v>24.0</v>
      </c>
      <c r="Q34" s="245"/>
      <c r="R34" s="245"/>
      <c r="S34" s="245"/>
      <c r="T34" s="245"/>
      <c r="U34" s="245"/>
      <c r="V34" s="244">
        <v>30.0</v>
      </c>
      <c r="W34" s="244">
        <v>24.0</v>
      </c>
      <c r="X34" s="244"/>
      <c r="Y34" s="244">
        <v>22.0</v>
      </c>
      <c r="Z34" s="246">
        <f t="shared" si="2"/>
        <v>27.55555556</v>
      </c>
      <c r="AA34" s="247">
        <f t="shared" si="3"/>
        <v>35.02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</row>
    <row r="35" ht="18.75" customHeight="1">
      <c r="A35" s="11">
        <v>31.0</v>
      </c>
      <c r="B35" s="213">
        <f>CSE4098A_Spring2026_Grade!B35</f>
        <v>231014151</v>
      </c>
      <c r="C35" s="213" t="str">
        <f>CSE4098A_Spring2026_Grade!C35</f>
        <v>Hasan Uddin Chowdhury</v>
      </c>
      <c r="D35" s="33">
        <v>27.0</v>
      </c>
      <c r="E35" s="214">
        <f t="shared" si="1"/>
        <v>30</v>
      </c>
      <c r="F35" s="41"/>
      <c r="G35" s="41"/>
      <c r="H35" s="41"/>
      <c r="I35" s="41"/>
      <c r="J35" s="245"/>
      <c r="K35" s="41"/>
      <c r="L35" s="41"/>
      <c r="M35" s="33">
        <v>24.0</v>
      </c>
      <c r="N35" s="245"/>
      <c r="O35" s="245"/>
      <c r="P35" s="244">
        <v>24.0</v>
      </c>
      <c r="Q35" s="245"/>
      <c r="R35" s="245"/>
      <c r="S35" s="245"/>
      <c r="T35" s="245"/>
      <c r="U35" s="245"/>
      <c r="V35" s="244">
        <v>30.0</v>
      </c>
      <c r="W35" s="244">
        <v>24.0</v>
      </c>
      <c r="X35" s="244"/>
      <c r="Y35" s="244">
        <v>23.0</v>
      </c>
      <c r="Z35" s="246">
        <f t="shared" si="2"/>
        <v>27.77777778</v>
      </c>
      <c r="AA35" s="247">
        <f t="shared" si="3"/>
        <v>29.11</v>
      </c>
      <c r="AB35" s="21"/>
      <c r="AC35" s="4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 ht="18.75" customHeight="1">
      <c r="A36" s="11">
        <v>32.0</v>
      </c>
      <c r="B36" s="213">
        <f>CSE4098A_Spring2026_Grade!B36</f>
        <v>231014003</v>
      </c>
      <c r="C36" s="213" t="str">
        <f>CSE4098A_Spring2026_Grade!C36</f>
        <v>Md. Arfan Alam</v>
      </c>
      <c r="D36" s="33">
        <v>39.0</v>
      </c>
      <c r="E36" s="214">
        <f t="shared" si="1"/>
        <v>43.33333333</v>
      </c>
      <c r="F36" s="41"/>
      <c r="G36" s="41"/>
      <c r="H36" s="41"/>
      <c r="I36" s="41"/>
      <c r="J36" s="245"/>
      <c r="K36" s="41"/>
      <c r="L36" s="41"/>
      <c r="M36" s="33">
        <v>24.0</v>
      </c>
      <c r="N36" s="245"/>
      <c r="O36" s="245"/>
      <c r="P36" s="244">
        <v>24.0</v>
      </c>
      <c r="Q36" s="245"/>
      <c r="R36" s="245"/>
      <c r="S36" s="245"/>
      <c r="T36" s="245"/>
      <c r="U36" s="245"/>
      <c r="V36" s="244">
        <v>30.0</v>
      </c>
      <c r="W36" s="244">
        <v>24.0</v>
      </c>
      <c r="X36" s="244"/>
      <c r="Y36" s="244">
        <v>20.0</v>
      </c>
      <c r="Z36" s="246">
        <f t="shared" si="2"/>
        <v>27.11111111</v>
      </c>
      <c r="AA36" s="247">
        <f t="shared" si="3"/>
        <v>36.84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ht="18.75" customHeight="1">
      <c r="A37" s="11">
        <v>33.0</v>
      </c>
      <c r="B37" s="213">
        <f>CSE4098A_Spring2026_Grade!B37</f>
        <v>231014147</v>
      </c>
      <c r="C37" s="213" t="str">
        <f>CSE4098A_Spring2026_Grade!C37</f>
        <v>Asif Ahmed</v>
      </c>
      <c r="D37" s="33">
        <v>33.0</v>
      </c>
      <c r="E37" s="214">
        <f t="shared" si="1"/>
        <v>36.66666667</v>
      </c>
      <c r="F37" s="41"/>
      <c r="G37" s="41"/>
      <c r="H37" s="41"/>
      <c r="I37" s="41"/>
      <c r="J37" s="245"/>
      <c r="K37" s="41"/>
      <c r="L37" s="41"/>
      <c r="M37" s="33">
        <v>24.0</v>
      </c>
      <c r="N37" s="245"/>
      <c r="O37" s="245"/>
      <c r="P37" s="244">
        <v>24.0</v>
      </c>
      <c r="Q37" s="245"/>
      <c r="R37" s="245"/>
      <c r="S37" s="245"/>
      <c r="T37" s="245"/>
      <c r="U37" s="245"/>
      <c r="V37" s="244">
        <v>30.0</v>
      </c>
      <c r="W37" s="244">
        <v>24.0</v>
      </c>
      <c r="X37" s="244"/>
      <c r="Y37" s="244">
        <v>19.0</v>
      </c>
      <c r="Z37" s="246">
        <f t="shared" si="2"/>
        <v>26.88888889</v>
      </c>
      <c r="AA37" s="247">
        <f t="shared" si="3"/>
        <v>32.76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 ht="18.75" customHeight="1">
      <c r="A38" s="11">
        <v>34.0</v>
      </c>
      <c r="B38" s="213">
        <f>CSE4098A_Spring2026_Grade!B38</f>
        <v>213014010</v>
      </c>
      <c r="C38" s="213" t="str">
        <f>CSE4098A_Spring2026_Grade!C38</f>
        <v>Mozahedur Nur Nishanul Niloy</v>
      </c>
      <c r="D38" s="33">
        <v>27.0</v>
      </c>
      <c r="E38" s="214">
        <f t="shared" si="1"/>
        <v>30</v>
      </c>
      <c r="F38" s="251"/>
      <c r="G38" s="251"/>
      <c r="H38" s="41"/>
      <c r="I38" s="251"/>
      <c r="J38" s="252"/>
      <c r="K38" s="41"/>
      <c r="L38" s="251"/>
      <c r="M38" s="253">
        <v>30.0</v>
      </c>
      <c r="N38" s="252"/>
      <c r="O38" s="252"/>
      <c r="P38" s="252"/>
      <c r="Q38" s="252"/>
      <c r="R38" s="254">
        <v>21.0</v>
      </c>
      <c r="S38" s="252"/>
      <c r="T38" s="252"/>
      <c r="U38" s="252"/>
      <c r="V38" s="254">
        <v>15.0</v>
      </c>
      <c r="W38" s="254">
        <v>18.0</v>
      </c>
      <c r="X38" s="254"/>
      <c r="Y38" s="254">
        <v>26.0</v>
      </c>
      <c r="Z38" s="246">
        <f t="shared" si="2"/>
        <v>24.44444444</v>
      </c>
      <c r="AA38" s="247">
        <f t="shared" si="3"/>
        <v>27.78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 ht="12.75" customHeight="1">
      <c r="A39" s="11">
        <v>35.0</v>
      </c>
      <c r="B39" s="213">
        <f>CSE4098A_Spring2026_Grade!B39</f>
        <v>221014096</v>
      </c>
      <c r="C39" s="213" t="str">
        <f>CSE4098A_Spring2026_Grade!C39</f>
        <v>Md. Nasimuzzaman Setu</v>
      </c>
      <c r="D39" s="33">
        <v>27.0</v>
      </c>
      <c r="E39" s="214">
        <f t="shared" si="1"/>
        <v>30</v>
      </c>
      <c r="F39" s="224"/>
      <c r="G39" s="224"/>
      <c r="H39" s="41"/>
      <c r="I39" s="224"/>
      <c r="J39" s="224"/>
      <c r="K39" s="41"/>
      <c r="L39" s="224"/>
      <c r="M39" s="255">
        <v>30.0</v>
      </c>
      <c r="N39" s="256"/>
      <c r="O39" s="256"/>
      <c r="P39" s="41"/>
      <c r="Q39" s="257"/>
      <c r="R39" s="33">
        <v>21.0</v>
      </c>
      <c r="S39" s="41"/>
      <c r="T39" s="224"/>
      <c r="U39" s="224"/>
      <c r="V39" s="226">
        <v>15.0</v>
      </c>
      <c r="W39" s="226">
        <v>18.0</v>
      </c>
      <c r="X39" s="226"/>
      <c r="Y39" s="226">
        <v>24.0</v>
      </c>
      <c r="Z39" s="246">
        <f t="shared" si="2"/>
        <v>24</v>
      </c>
      <c r="AA39" s="247">
        <f t="shared" si="3"/>
        <v>27.6</v>
      </c>
    </row>
    <row r="40" ht="12.75" customHeight="1">
      <c r="A40" s="11">
        <v>36.0</v>
      </c>
      <c r="B40" s="213">
        <f>CSE4098A_Spring2026_Grade!B40</f>
        <v>221014061</v>
      </c>
      <c r="C40" s="213" t="str">
        <f>CSE4098A_Spring2026_Grade!C40</f>
        <v>Mirazul Islam Turag</v>
      </c>
      <c r="D40" s="33">
        <v>27.0</v>
      </c>
      <c r="E40" s="214">
        <f t="shared" si="1"/>
        <v>30</v>
      </c>
      <c r="F40" s="224"/>
      <c r="G40" s="224"/>
      <c r="H40" s="41"/>
      <c r="I40" s="224"/>
      <c r="J40" s="41"/>
      <c r="K40" s="41"/>
      <c r="L40" s="224"/>
      <c r="M40" s="226">
        <v>30.0</v>
      </c>
      <c r="N40" s="224"/>
      <c r="O40" s="224"/>
      <c r="P40" s="224"/>
      <c r="Q40" s="257"/>
      <c r="R40" s="33">
        <v>21.0</v>
      </c>
      <c r="S40" s="41"/>
      <c r="T40" s="224"/>
      <c r="U40" s="224"/>
      <c r="V40" s="226">
        <v>15.0</v>
      </c>
      <c r="W40" s="226">
        <v>18.0</v>
      </c>
      <c r="X40" s="226"/>
      <c r="Y40" s="226">
        <v>24.0</v>
      </c>
      <c r="Z40" s="246">
        <f t="shared" si="2"/>
        <v>24</v>
      </c>
      <c r="AA40" s="247">
        <f t="shared" si="3"/>
        <v>27.6</v>
      </c>
    </row>
    <row r="41" ht="12.75" customHeight="1">
      <c r="A41" s="11">
        <v>37.0</v>
      </c>
      <c r="B41" s="213">
        <f>CSE4098A_Spring2026_Grade!B41</f>
        <v>221014087</v>
      </c>
      <c r="C41" s="213" t="str">
        <f>CSE4098A_Spring2026_Grade!C41</f>
        <v>Shahriar Al Shihab</v>
      </c>
      <c r="D41" s="33">
        <v>27.0</v>
      </c>
      <c r="E41" s="214">
        <f t="shared" si="1"/>
        <v>30</v>
      </c>
      <c r="F41" s="224"/>
      <c r="G41" s="224"/>
      <c r="H41" s="41"/>
      <c r="I41" s="224"/>
      <c r="J41" s="224"/>
      <c r="K41" s="41"/>
      <c r="L41" s="224"/>
      <c r="M41" s="226">
        <v>30.0</v>
      </c>
      <c r="N41" s="224"/>
      <c r="O41" s="224"/>
      <c r="P41" s="224"/>
      <c r="Q41" s="257"/>
      <c r="R41" s="33">
        <v>21.0</v>
      </c>
      <c r="S41" s="41"/>
      <c r="T41" s="224"/>
      <c r="U41" s="224"/>
      <c r="V41" s="226">
        <v>15.0</v>
      </c>
      <c r="W41" s="226">
        <v>18.0</v>
      </c>
      <c r="X41" s="226"/>
      <c r="Y41" s="226">
        <v>23.0</v>
      </c>
      <c r="Z41" s="246">
        <f t="shared" si="2"/>
        <v>23.77777778</v>
      </c>
      <c r="AA41" s="247">
        <f t="shared" si="3"/>
        <v>27.51</v>
      </c>
    </row>
    <row r="42" ht="12.75" customHeight="1">
      <c r="A42" s="11">
        <v>38.0</v>
      </c>
      <c r="B42" s="213">
        <f>CSE4098A_Spring2026_Grade!B42</f>
        <v>212014010</v>
      </c>
      <c r="C42" s="213" t="str">
        <f>CSE4098A_Spring2026_Grade!C42</f>
        <v>Md. Ayman Hasan</v>
      </c>
      <c r="D42" s="33">
        <v>27.0</v>
      </c>
      <c r="E42" s="214">
        <f t="shared" si="1"/>
        <v>30</v>
      </c>
      <c r="F42" s="224"/>
      <c r="G42" s="224"/>
      <c r="H42" s="41"/>
      <c r="I42" s="224"/>
      <c r="J42" s="224"/>
      <c r="K42" s="41"/>
      <c r="L42" s="224"/>
      <c r="M42" s="226">
        <v>33.0</v>
      </c>
      <c r="N42" s="224"/>
      <c r="O42" s="224"/>
      <c r="P42" s="224"/>
      <c r="Q42" s="257"/>
      <c r="R42" s="33">
        <v>30.0</v>
      </c>
      <c r="S42" s="41"/>
      <c r="T42" s="224"/>
      <c r="U42" s="224"/>
      <c r="V42" s="226">
        <v>12.0</v>
      </c>
      <c r="W42" s="226">
        <v>21.0</v>
      </c>
      <c r="X42" s="226"/>
      <c r="Y42" s="226">
        <v>27.0</v>
      </c>
      <c r="Z42" s="246">
        <f t="shared" si="2"/>
        <v>27.33333333</v>
      </c>
      <c r="AA42" s="247">
        <f t="shared" si="3"/>
        <v>28.93</v>
      </c>
    </row>
    <row r="43" ht="12.75" customHeight="1">
      <c r="A43" s="11">
        <v>39.0</v>
      </c>
      <c r="B43" s="213">
        <f>CSE4098A_Spring2026_Grade!B43</f>
        <v>213014056</v>
      </c>
      <c r="C43" s="213" t="str">
        <f>CSE4098A_Spring2026_Grade!C43</f>
        <v>Shovon Dip Karmaker</v>
      </c>
      <c r="D43" s="33">
        <v>27.0</v>
      </c>
      <c r="E43" s="214">
        <f t="shared" si="1"/>
        <v>30</v>
      </c>
      <c r="F43" s="224"/>
      <c r="G43" s="224"/>
      <c r="H43" s="41"/>
      <c r="I43" s="224"/>
      <c r="J43" s="224"/>
      <c r="K43" s="41"/>
      <c r="L43" s="224"/>
      <c r="M43" s="226">
        <v>33.0</v>
      </c>
      <c r="N43" s="231"/>
      <c r="O43" s="231"/>
      <c r="P43" s="231"/>
      <c r="Q43" s="257"/>
      <c r="R43" s="33">
        <v>30.0</v>
      </c>
      <c r="S43" s="41"/>
      <c r="T43" s="224"/>
      <c r="U43" s="224"/>
      <c r="V43" s="226">
        <v>12.0</v>
      </c>
      <c r="W43" s="226">
        <v>21.0</v>
      </c>
      <c r="X43" s="226"/>
      <c r="Y43" s="226">
        <v>28.0</v>
      </c>
      <c r="Z43" s="246">
        <f t="shared" si="2"/>
        <v>27.55555556</v>
      </c>
      <c r="AA43" s="247">
        <f t="shared" si="3"/>
        <v>29.02</v>
      </c>
    </row>
    <row r="44" ht="12.75" customHeight="1">
      <c r="A44" s="11">
        <v>40.0</v>
      </c>
      <c r="B44" s="213">
        <f>CSE4098A_Spring2026_Grade!B44</f>
        <v>212014022</v>
      </c>
      <c r="C44" s="213" t="str">
        <f>CSE4098A_Spring2026_Grade!C44</f>
        <v>Tahsin Aftab Khan</v>
      </c>
      <c r="D44" s="33">
        <v>27.0</v>
      </c>
      <c r="E44" s="214">
        <f t="shared" si="1"/>
        <v>30</v>
      </c>
      <c r="F44" s="41"/>
      <c r="G44" s="224"/>
      <c r="H44" s="224"/>
      <c r="I44" s="224"/>
      <c r="J44" s="224"/>
      <c r="K44" s="224"/>
      <c r="L44" s="224"/>
      <c r="M44" s="258">
        <v>33.0</v>
      </c>
      <c r="N44" s="259"/>
      <c r="O44" s="259"/>
      <c r="P44" s="251"/>
      <c r="Q44" s="257"/>
      <c r="R44" s="33">
        <v>30.0</v>
      </c>
      <c r="S44" s="41"/>
      <c r="T44" s="224"/>
      <c r="U44" s="224"/>
      <c r="V44" s="226">
        <v>12.0</v>
      </c>
      <c r="W44" s="226">
        <v>21.0</v>
      </c>
      <c r="X44" s="226"/>
      <c r="Y44" s="226">
        <v>30.0</v>
      </c>
      <c r="Z44" s="246">
        <f t="shared" si="2"/>
        <v>28</v>
      </c>
      <c r="AA44" s="247">
        <f t="shared" si="3"/>
        <v>29.2</v>
      </c>
    </row>
    <row r="45" ht="12.75" customHeight="1">
      <c r="A45" s="11">
        <v>41.0</v>
      </c>
      <c r="B45" s="213">
        <f>CSE4098A_Spring2026_Grade!B45</f>
        <v>213014040</v>
      </c>
      <c r="C45" s="213" t="str">
        <f>CSE4098A_Spring2026_Grade!C45</f>
        <v>Towhid Hossain Alvi</v>
      </c>
      <c r="D45" s="33">
        <v>27.0</v>
      </c>
      <c r="E45" s="214">
        <f t="shared" si="1"/>
        <v>30</v>
      </c>
      <c r="F45" s="41"/>
      <c r="G45" s="224"/>
      <c r="H45" s="224"/>
      <c r="I45" s="224"/>
      <c r="J45" s="224"/>
      <c r="K45" s="224"/>
      <c r="L45" s="224"/>
      <c r="M45" s="258">
        <v>33.0</v>
      </c>
      <c r="N45" s="259"/>
      <c r="O45" s="259"/>
      <c r="P45" s="251"/>
      <c r="Q45" s="257"/>
      <c r="R45" s="33">
        <v>30.0</v>
      </c>
      <c r="S45" s="41"/>
      <c r="T45" s="224"/>
      <c r="U45" s="224"/>
      <c r="V45" s="226">
        <v>12.0</v>
      </c>
      <c r="W45" s="226">
        <v>21.0</v>
      </c>
      <c r="X45" s="226"/>
      <c r="Y45" s="226">
        <v>28.0</v>
      </c>
      <c r="Z45" s="246">
        <f t="shared" si="2"/>
        <v>27.55555556</v>
      </c>
      <c r="AA45" s="247">
        <f t="shared" si="3"/>
        <v>29.02</v>
      </c>
    </row>
    <row r="46" ht="12.75" customHeight="1">
      <c r="A46" s="11">
        <v>42.0</v>
      </c>
      <c r="B46" s="213">
        <f>CSE4098A_Spring2026_Grade!B46</f>
        <v>213014058</v>
      </c>
      <c r="C46" s="213" t="str">
        <f>CSE4098A_Spring2026_Grade!C46</f>
        <v>Samina Akter</v>
      </c>
      <c r="D46" s="33">
        <v>27.0</v>
      </c>
      <c r="E46" s="214">
        <f t="shared" si="1"/>
        <v>30</v>
      </c>
      <c r="F46" s="41"/>
      <c r="G46" s="224"/>
      <c r="H46" s="224"/>
      <c r="I46" s="224"/>
      <c r="J46" s="224"/>
      <c r="K46" s="224"/>
      <c r="L46" s="224"/>
      <c r="M46" s="258">
        <v>30.0</v>
      </c>
      <c r="N46" s="259"/>
      <c r="O46" s="259"/>
      <c r="P46" s="251"/>
      <c r="Q46" s="257"/>
      <c r="R46" s="33">
        <v>30.0</v>
      </c>
      <c r="S46" s="41"/>
      <c r="T46" s="224"/>
      <c r="U46" s="224"/>
      <c r="V46" s="226">
        <v>12.0</v>
      </c>
      <c r="W46" s="226">
        <v>21.0</v>
      </c>
      <c r="X46" s="226"/>
      <c r="Y46" s="226">
        <v>27.0</v>
      </c>
      <c r="Z46" s="246">
        <f t="shared" si="2"/>
        <v>26.66666667</v>
      </c>
      <c r="AA46" s="247">
        <f t="shared" si="3"/>
        <v>28.67</v>
      </c>
    </row>
    <row r="47" ht="12.75" customHeight="1">
      <c r="A47" s="11">
        <v>43.0</v>
      </c>
      <c r="B47" s="213">
        <f>CSE4098A_Spring2026_Grade!B47</f>
        <v>232014048</v>
      </c>
      <c r="C47" s="213" t="str">
        <f>CSE4098A_Spring2026_Grade!C47</f>
        <v>Md. Shayan Alam</v>
      </c>
      <c r="D47" s="260">
        <v>39.0</v>
      </c>
      <c r="E47" s="214">
        <f t="shared" si="1"/>
        <v>43.33333333</v>
      </c>
      <c r="F47" s="41"/>
      <c r="G47" s="224"/>
      <c r="H47" s="224"/>
      <c r="I47" s="224"/>
      <c r="J47" s="226">
        <v>39.0</v>
      </c>
      <c r="K47" s="224"/>
      <c r="L47" s="224"/>
      <c r="M47" s="259"/>
      <c r="N47" s="259"/>
      <c r="O47" s="258">
        <v>36.0</v>
      </c>
      <c r="P47" s="251"/>
      <c r="Q47" s="257"/>
      <c r="R47" s="33">
        <v>39.0</v>
      </c>
      <c r="S47" s="41"/>
      <c r="T47" s="224"/>
      <c r="U47" s="224"/>
      <c r="V47" s="224"/>
      <c r="W47" s="224"/>
      <c r="X47" s="224"/>
      <c r="Y47" s="224"/>
      <c r="Z47" s="246">
        <f t="shared" si="2"/>
        <v>42.22222222</v>
      </c>
      <c r="AA47" s="247">
        <f t="shared" si="3"/>
        <v>42.89</v>
      </c>
    </row>
    <row r="48" ht="12.75" customHeight="1">
      <c r="A48" s="11">
        <v>44.0</v>
      </c>
      <c r="B48" s="213">
        <f>CSE4098A_Spring2026_Grade!B48</f>
        <v>223014077</v>
      </c>
      <c r="C48" s="213" t="str">
        <f>CSE4098A_Spring2026_Grade!C48</f>
        <v>Mir Hussain Murtaza</v>
      </c>
      <c r="D48" s="260">
        <v>39.0</v>
      </c>
      <c r="E48" s="214">
        <f t="shared" si="1"/>
        <v>43.33333333</v>
      </c>
      <c r="F48" s="41"/>
      <c r="G48" s="224"/>
      <c r="H48" s="224"/>
      <c r="I48" s="224"/>
      <c r="J48" s="226">
        <v>42.0</v>
      </c>
      <c r="K48" s="224"/>
      <c r="L48" s="224"/>
      <c r="M48" s="259"/>
      <c r="N48" s="259"/>
      <c r="O48" s="258">
        <v>39.0</v>
      </c>
      <c r="P48" s="251"/>
      <c r="Q48" s="257"/>
      <c r="R48" s="33">
        <v>42.0</v>
      </c>
      <c r="S48" s="41"/>
      <c r="T48" s="224"/>
      <c r="U48" s="224"/>
      <c r="V48" s="224"/>
      <c r="W48" s="224"/>
      <c r="X48" s="224"/>
      <c r="Y48" s="224"/>
      <c r="Z48" s="246">
        <f t="shared" si="2"/>
        <v>45.55555556</v>
      </c>
      <c r="AA48" s="247">
        <f t="shared" si="3"/>
        <v>44.22</v>
      </c>
    </row>
    <row r="49" ht="12.75" customHeight="1">
      <c r="A49" s="11">
        <v>45.0</v>
      </c>
      <c r="B49" s="213">
        <f>CSE4098A_Spring2026_Grade!B49</f>
        <v>232014033</v>
      </c>
      <c r="C49" s="213" t="str">
        <f>CSE4098A_Spring2026_Grade!C49</f>
        <v>Morium Rahman</v>
      </c>
      <c r="D49" s="260">
        <v>39.0</v>
      </c>
      <c r="E49" s="214">
        <f t="shared" si="1"/>
        <v>43.33333333</v>
      </c>
      <c r="F49" s="41"/>
      <c r="G49" s="224"/>
      <c r="H49" s="224"/>
      <c r="I49" s="224"/>
      <c r="J49" s="226">
        <v>39.0</v>
      </c>
      <c r="K49" s="224"/>
      <c r="L49" s="224"/>
      <c r="M49" s="259"/>
      <c r="N49" s="259"/>
      <c r="O49" s="258">
        <v>33.0</v>
      </c>
      <c r="P49" s="251"/>
      <c r="Q49" s="257"/>
      <c r="R49" s="33">
        <v>39.0</v>
      </c>
      <c r="S49" s="41"/>
      <c r="T49" s="224"/>
      <c r="U49" s="224"/>
      <c r="V49" s="224"/>
      <c r="W49" s="224"/>
      <c r="X49" s="224"/>
      <c r="Y49" s="224"/>
      <c r="Z49" s="246">
        <f t="shared" si="2"/>
        <v>41.11111111</v>
      </c>
      <c r="AA49" s="247">
        <f t="shared" si="3"/>
        <v>42.44</v>
      </c>
    </row>
    <row r="50" ht="12.75" customHeight="1">
      <c r="A50" s="11">
        <v>46.0</v>
      </c>
      <c r="B50" s="213">
        <f>CSE4098A_Spring2026_Grade!B50</f>
        <v>232014102</v>
      </c>
      <c r="C50" s="213" t="str">
        <f>CSE4098A_Spring2026_Grade!C50</f>
        <v>Sabikun Nahar Zaria</v>
      </c>
      <c r="D50" s="260">
        <v>39.0</v>
      </c>
      <c r="E50" s="214">
        <f t="shared" si="1"/>
        <v>43.33333333</v>
      </c>
      <c r="F50" s="41"/>
      <c r="G50" s="224"/>
      <c r="H50" s="224"/>
      <c r="I50" s="224"/>
      <c r="J50" s="226">
        <v>39.0</v>
      </c>
      <c r="K50" s="224"/>
      <c r="L50" s="224"/>
      <c r="M50" s="259"/>
      <c r="N50" s="259"/>
      <c r="O50" s="258">
        <v>33.0</v>
      </c>
      <c r="P50" s="251"/>
      <c r="Q50" s="257"/>
      <c r="R50" s="33">
        <v>39.0</v>
      </c>
      <c r="S50" s="41"/>
      <c r="T50" s="224"/>
      <c r="U50" s="224"/>
      <c r="V50" s="224"/>
      <c r="W50" s="224"/>
      <c r="X50" s="224"/>
      <c r="Y50" s="224"/>
      <c r="Z50" s="246">
        <f t="shared" si="2"/>
        <v>41.11111111</v>
      </c>
      <c r="AA50" s="247">
        <f t="shared" si="3"/>
        <v>42.44</v>
      </c>
    </row>
    <row r="51" ht="12.75" customHeight="1">
      <c r="A51" s="11">
        <v>47.0</v>
      </c>
      <c r="B51" s="213">
        <f>CSE4098A_Spring2026_Grade!B51</f>
        <v>232014040</v>
      </c>
      <c r="C51" s="213" t="str">
        <f>CSE4098A_Spring2026_Grade!C51</f>
        <v>Sima Akter Tithe</v>
      </c>
      <c r="D51" s="260">
        <v>37.0</v>
      </c>
      <c r="E51" s="214">
        <f t="shared" si="1"/>
        <v>41.11111111</v>
      </c>
      <c r="F51" s="41"/>
      <c r="G51" s="224"/>
      <c r="H51" s="224"/>
      <c r="I51" s="224"/>
      <c r="J51" s="226">
        <v>36.0</v>
      </c>
      <c r="K51" s="224"/>
      <c r="L51" s="224"/>
      <c r="M51" s="259"/>
      <c r="N51" s="259"/>
      <c r="O51" s="258">
        <v>39.0</v>
      </c>
      <c r="P51" s="251"/>
      <c r="Q51" s="261">
        <v>27.0</v>
      </c>
      <c r="R51" s="41"/>
      <c r="S51" s="41"/>
      <c r="T51" s="226">
        <v>42.0</v>
      </c>
      <c r="U51" s="224"/>
      <c r="V51" s="224"/>
      <c r="W51" s="224"/>
      <c r="X51" s="224"/>
      <c r="Y51" s="224"/>
      <c r="Z51" s="246">
        <f t="shared" si="2"/>
        <v>40</v>
      </c>
      <c r="AA51" s="247">
        <f t="shared" si="3"/>
        <v>40.67</v>
      </c>
    </row>
    <row r="52" ht="12.75" customHeight="1">
      <c r="A52" s="11">
        <v>48.0</v>
      </c>
      <c r="B52" s="213">
        <f>CSE4098A_Spring2026_Grade!B52</f>
        <v>232014027</v>
      </c>
      <c r="C52" s="213" t="str">
        <f>CSE4098A_Spring2026_Grade!C52</f>
        <v>Muskan Gouri</v>
      </c>
      <c r="D52" s="260">
        <v>37.0</v>
      </c>
      <c r="E52" s="214">
        <f t="shared" si="1"/>
        <v>41.11111111</v>
      </c>
      <c r="F52" s="41"/>
      <c r="G52" s="224"/>
      <c r="H52" s="224"/>
      <c r="I52" s="224"/>
      <c r="J52" s="226">
        <v>36.0</v>
      </c>
      <c r="K52" s="224"/>
      <c r="L52" s="224"/>
      <c r="M52" s="259"/>
      <c r="N52" s="259"/>
      <c r="O52" s="258">
        <v>39.0</v>
      </c>
      <c r="P52" s="251"/>
      <c r="Q52" s="261">
        <v>27.0</v>
      </c>
      <c r="R52" s="41"/>
      <c r="S52" s="41"/>
      <c r="T52" s="226">
        <v>36.0</v>
      </c>
      <c r="U52" s="224"/>
      <c r="V52" s="224"/>
      <c r="W52" s="224"/>
      <c r="X52" s="224"/>
      <c r="Y52" s="224"/>
      <c r="Z52" s="246">
        <f t="shared" si="2"/>
        <v>38.33333333</v>
      </c>
      <c r="AA52" s="247">
        <f t="shared" si="3"/>
        <v>40</v>
      </c>
    </row>
    <row r="53" ht="12.75" customHeight="1">
      <c r="A53" s="11">
        <v>49.0</v>
      </c>
      <c r="B53" s="213">
        <f>CSE4098A_Spring2026_Grade!B53</f>
        <v>213014024</v>
      </c>
      <c r="C53" s="213" t="str">
        <f>CSE4098A_Spring2026_Grade!C53</f>
        <v>Minhaz Hossen</v>
      </c>
      <c r="D53" s="260">
        <v>37.0</v>
      </c>
      <c r="E53" s="214">
        <f t="shared" si="1"/>
        <v>41.11111111</v>
      </c>
      <c r="F53" s="41"/>
      <c r="G53" s="224"/>
      <c r="H53" s="224"/>
      <c r="I53" s="224"/>
      <c r="J53" s="226">
        <v>33.0</v>
      </c>
      <c r="K53" s="224"/>
      <c r="L53" s="224"/>
      <c r="M53" s="259"/>
      <c r="N53" s="259"/>
      <c r="O53" s="258">
        <v>33.0</v>
      </c>
      <c r="P53" s="251"/>
      <c r="Q53" s="261">
        <v>27.0</v>
      </c>
      <c r="R53" s="41"/>
      <c r="S53" s="41"/>
      <c r="T53" s="226">
        <v>33.0</v>
      </c>
      <c r="U53" s="224"/>
      <c r="V53" s="224"/>
      <c r="W53" s="224"/>
      <c r="X53" s="224"/>
      <c r="Y53" s="224"/>
      <c r="Z53" s="246">
        <f t="shared" si="2"/>
        <v>35</v>
      </c>
      <c r="AA53" s="247">
        <f t="shared" si="3"/>
        <v>38.67</v>
      </c>
    </row>
    <row r="54" ht="12.75" customHeight="1">
      <c r="A54" s="11">
        <v>50.0</v>
      </c>
      <c r="B54" s="213">
        <f>CSE4098A_Spring2026_Grade!B54</f>
        <v>221014137</v>
      </c>
      <c r="C54" s="213" t="str">
        <f>CSE4098A_Spring2026_Grade!C54</f>
        <v>Prisom Halder</v>
      </c>
      <c r="D54" s="260">
        <v>37.0</v>
      </c>
      <c r="E54" s="214">
        <f t="shared" si="1"/>
        <v>41.11111111</v>
      </c>
      <c r="F54" s="41"/>
      <c r="G54" s="224"/>
      <c r="H54" s="224"/>
      <c r="I54" s="224"/>
      <c r="J54" s="226">
        <v>36.0</v>
      </c>
      <c r="K54" s="224"/>
      <c r="L54" s="224"/>
      <c r="M54" s="259"/>
      <c r="N54" s="259"/>
      <c r="O54" s="258">
        <v>33.0</v>
      </c>
      <c r="P54" s="251"/>
      <c r="Q54" s="261">
        <v>27.0</v>
      </c>
      <c r="R54" s="41"/>
      <c r="S54" s="41"/>
      <c r="T54" s="226">
        <v>30.0</v>
      </c>
      <c r="U54" s="224"/>
      <c r="V54" s="224"/>
      <c r="W54" s="224"/>
      <c r="X54" s="224"/>
      <c r="Y54" s="224"/>
      <c r="Z54" s="246">
        <f t="shared" si="2"/>
        <v>35</v>
      </c>
      <c r="AA54" s="247">
        <f t="shared" si="3"/>
        <v>38.67</v>
      </c>
    </row>
    <row r="55" ht="12.75" customHeight="1">
      <c r="A55" s="11">
        <v>51.0</v>
      </c>
      <c r="B55" s="213">
        <f>CSE4098A_Spring2026_Grade!B55</f>
        <v>223014125</v>
      </c>
      <c r="C55" s="213" t="str">
        <f>CSE4098A_Spring2026_Grade!C55</f>
        <v>Fatima Wohabee</v>
      </c>
      <c r="D55" s="260">
        <v>30.0</v>
      </c>
      <c r="E55" s="214">
        <f t="shared" si="1"/>
        <v>33.33333333</v>
      </c>
      <c r="F55" s="41"/>
      <c r="G55" s="224"/>
      <c r="H55" s="224"/>
      <c r="I55" s="224"/>
      <c r="J55" s="226">
        <v>27.0</v>
      </c>
      <c r="K55" s="224"/>
      <c r="L55" s="224"/>
      <c r="M55" s="259"/>
      <c r="N55" s="259"/>
      <c r="O55" s="258">
        <v>33.0</v>
      </c>
      <c r="P55" s="251"/>
      <c r="Q55" s="261">
        <v>15.0</v>
      </c>
      <c r="R55" s="41"/>
      <c r="S55" s="41"/>
      <c r="T55" s="226">
        <v>15.0</v>
      </c>
      <c r="U55" s="224"/>
      <c r="V55" s="224"/>
      <c r="W55" s="224"/>
      <c r="X55" s="224"/>
      <c r="Y55" s="224"/>
      <c r="Z55" s="246">
        <f t="shared" si="2"/>
        <v>25</v>
      </c>
      <c r="AA55" s="247">
        <f t="shared" si="3"/>
        <v>30</v>
      </c>
    </row>
    <row r="56" ht="12.75" customHeight="1">
      <c r="A56" s="11">
        <v>52.0</v>
      </c>
      <c r="B56" s="213">
        <f>CSE4098A_Spring2026_Grade!B56</f>
        <v>231014008</v>
      </c>
      <c r="C56" s="213" t="str">
        <f>CSE4098A_Spring2026_Grade!C56</f>
        <v>Tasnim Taher</v>
      </c>
      <c r="D56" s="260">
        <v>30.0</v>
      </c>
      <c r="E56" s="214">
        <f t="shared" si="1"/>
        <v>33.33333333</v>
      </c>
      <c r="F56" s="41"/>
      <c r="G56" s="224"/>
      <c r="H56" s="224"/>
      <c r="I56" s="224"/>
      <c r="J56" s="226">
        <v>24.0</v>
      </c>
      <c r="K56" s="224"/>
      <c r="L56" s="224"/>
      <c r="M56" s="259"/>
      <c r="N56" s="259"/>
      <c r="O56" s="258">
        <v>30.0</v>
      </c>
      <c r="P56" s="251"/>
      <c r="Q56" s="261">
        <v>15.0</v>
      </c>
      <c r="R56" s="41"/>
      <c r="S56" s="41"/>
      <c r="T56" s="226">
        <v>15.0</v>
      </c>
      <c r="U56" s="224"/>
      <c r="V56" s="224"/>
      <c r="W56" s="224"/>
      <c r="X56" s="224"/>
      <c r="Y56" s="224"/>
      <c r="Z56" s="246">
        <f t="shared" si="2"/>
        <v>23.33333333</v>
      </c>
      <c r="AA56" s="247">
        <f t="shared" si="3"/>
        <v>29.33</v>
      </c>
    </row>
    <row r="57" ht="12.75" customHeight="1">
      <c r="A57" s="11">
        <v>53.0</v>
      </c>
      <c r="B57" s="213">
        <f>CSE4098A_Spring2026_Grade!B57</f>
        <v>223014064</v>
      </c>
      <c r="C57" s="213" t="str">
        <f>CSE4098A_Spring2026_Grade!C57</f>
        <v>Israt Zahan Ifa</v>
      </c>
      <c r="D57" s="260">
        <v>30.0</v>
      </c>
      <c r="E57" s="214">
        <f t="shared" si="1"/>
        <v>33.33333333</v>
      </c>
      <c r="F57" s="41"/>
      <c r="G57" s="224"/>
      <c r="H57" s="224"/>
      <c r="I57" s="224"/>
      <c r="J57" s="226">
        <v>24.0</v>
      </c>
      <c r="K57" s="224"/>
      <c r="L57" s="224"/>
      <c r="M57" s="259"/>
      <c r="N57" s="259"/>
      <c r="O57" s="258">
        <v>30.0</v>
      </c>
      <c r="P57" s="251"/>
      <c r="Q57" s="261">
        <v>15.0</v>
      </c>
      <c r="R57" s="41"/>
      <c r="S57" s="41"/>
      <c r="T57" s="226">
        <v>15.0</v>
      </c>
      <c r="U57" s="224"/>
      <c r="V57" s="224"/>
      <c r="W57" s="224"/>
      <c r="X57" s="224"/>
      <c r="Y57" s="224"/>
      <c r="Z57" s="246">
        <f t="shared" si="2"/>
        <v>23.33333333</v>
      </c>
      <c r="AA57" s="247">
        <f t="shared" si="3"/>
        <v>29.33</v>
      </c>
    </row>
    <row r="58" ht="12.75" customHeight="1">
      <c r="A58" s="11">
        <v>54.0</v>
      </c>
      <c r="B58" s="213">
        <f>CSE4098A_Spring2026_Grade!B58</f>
        <v>231014123</v>
      </c>
      <c r="C58" s="213" t="str">
        <f>CSE4098A_Spring2026_Grade!C58</f>
        <v>Rakib Rahman</v>
      </c>
      <c r="D58" s="260">
        <v>30.0</v>
      </c>
      <c r="E58" s="214">
        <f t="shared" si="1"/>
        <v>33.33333333</v>
      </c>
      <c r="F58" s="41"/>
      <c r="G58" s="224"/>
      <c r="H58" s="224"/>
      <c r="I58" s="224"/>
      <c r="J58" s="226">
        <v>24.0</v>
      </c>
      <c r="K58" s="224"/>
      <c r="L58" s="224"/>
      <c r="M58" s="259"/>
      <c r="N58" s="259"/>
      <c r="O58" s="258">
        <v>30.0</v>
      </c>
      <c r="P58" s="251"/>
      <c r="Q58" s="261">
        <v>15.0</v>
      </c>
      <c r="R58" s="41"/>
      <c r="S58" s="41"/>
      <c r="T58" s="226">
        <v>15.0</v>
      </c>
      <c r="U58" s="224"/>
      <c r="V58" s="224"/>
      <c r="W58" s="224"/>
      <c r="X58" s="224"/>
      <c r="Y58" s="224"/>
      <c r="Z58" s="246">
        <f t="shared" si="2"/>
        <v>23.33333333</v>
      </c>
      <c r="AA58" s="247">
        <f t="shared" si="3"/>
        <v>29.33</v>
      </c>
    </row>
    <row r="59" ht="12.75" customHeight="1">
      <c r="A59" s="11">
        <v>55.0</v>
      </c>
      <c r="B59" s="213">
        <f>CSE4098A_Spring2026_Grade!B59</f>
        <v>223014141</v>
      </c>
      <c r="C59" s="213" t="str">
        <f>CSE4098A_Spring2026_Grade!C59</f>
        <v>Yasin Khandakar</v>
      </c>
      <c r="D59" s="33">
        <v>30.0</v>
      </c>
      <c r="E59" s="214">
        <f t="shared" si="1"/>
        <v>33.33333333</v>
      </c>
      <c r="F59" s="41"/>
      <c r="G59" s="224"/>
      <c r="H59" s="224"/>
      <c r="I59" s="224"/>
      <c r="J59" s="226">
        <v>36.0</v>
      </c>
      <c r="K59" s="224"/>
      <c r="L59" s="224"/>
      <c r="M59" s="259"/>
      <c r="N59" s="259"/>
      <c r="O59" s="258">
        <v>33.0</v>
      </c>
      <c r="P59" s="251"/>
      <c r="Q59" s="261">
        <v>27.0</v>
      </c>
      <c r="R59" s="41"/>
      <c r="S59" s="41"/>
      <c r="T59" s="224"/>
      <c r="U59" s="224"/>
      <c r="V59" s="224"/>
      <c r="W59" s="224"/>
      <c r="X59" s="224"/>
      <c r="Y59" s="224"/>
      <c r="Z59" s="246">
        <f t="shared" si="2"/>
        <v>35.55555556</v>
      </c>
      <c r="AA59" s="247">
        <f t="shared" si="3"/>
        <v>34.22</v>
      </c>
    </row>
    <row r="60" ht="12.75" customHeight="1">
      <c r="A60" s="11">
        <v>56.0</v>
      </c>
      <c r="B60" s="213">
        <f>CSE4098A_Spring2026_Grade!B60</f>
        <v>223014002</v>
      </c>
      <c r="C60" s="213" t="str">
        <f>CSE4098A_Spring2026_Grade!C60</f>
        <v>Sanjida Siddique</v>
      </c>
      <c r="D60" s="33">
        <v>27.0</v>
      </c>
      <c r="E60" s="214">
        <f t="shared" si="1"/>
        <v>30</v>
      </c>
      <c r="F60" s="41"/>
      <c r="G60" s="224"/>
      <c r="H60" s="224"/>
      <c r="I60" s="224"/>
      <c r="J60" s="226">
        <v>33.0</v>
      </c>
      <c r="K60" s="224"/>
      <c r="L60" s="224"/>
      <c r="M60" s="259"/>
      <c r="N60" s="259"/>
      <c r="O60" s="258">
        <v>36.0</v>
      </c>
      <c r="P60" s="251"/>
      <c r="Q60" s="261">
        <v>27.0</v>
      </c>
      <c r="R60" s="41"/>
      <c r="S60" s="41"/>
      <c r="T60" s="224"/>
      <c r="U60" s="224"/>
      <c r="V60" s="224"/>
      <c r="W60" s="224"/>
      <c r="X60" s="224"/>
      <c r="Y60" s="224"/>
      <c r="Z60" s="246">
        <f t="shared" si="2"/>
        <v>35.55555556</v>
      </c>
      <c r="AA60" s="247">
        <f t="shared" si="3"/>
        <v>32.22</v>
      </c>
    </row>
    <row r="61" ht="12.75" customHeight="1">
      <c r="A61" s="11">
        <v>57.0</v>
      </c>
      <c r="B61" s="213">
        <f>CSE4098A_Spring2026_Grade!B61</f>
        <v>221014059</v>
      </c>
      <c r="C61" s="213" t="str">
        <f>CSE4098A_Spring2026_Grade!C61</f>
        <v>Shakila Rahman Sudha</v>
      </c>
      <c r="D61" s="33">
        <v>27.0</v>
      </c>
      <c r="E61" s="214">
        <f t="shared" si="1"/>
        <v>30</v>
      </c>
      <c r="F61" s="41"/>
      <c r="G61" s="224"/>
      <c r="H61" s="224"/>
      <c r="I61" s="224"/>
      <c r="J61" s="226">
        <v>33.0</v>
      </c>
      <c r="K61" s="224"/>
      <c r="L61" s="224"/>
      <c r="M61" s="259"/>
      <c r="N61" s="259"/>
      <c r="O61" s="258">
        <v>33.0</v>
      </c>
      <c r="P61" s="251"/>
      <c r="Q61" s="261">
        <v>27.0</v>
      </c>
      <c r="R61" s="41"/>
      <c r="S61" s="41"/>
      <c r="T61" s="224"/>
      <c r="U61" s="224"/>
      <c r="V61" s="224"/>
      <c r="W61" s="224"/>
      <c r="X61" s="224"/>
      <c r="Y61" s="224"/>
      <c r="Z61" s="246">
        <f t="shared" si="2"/>
        <v>34.44444444</v>
      </c>
      <c r="AA61" s="247">
        <f t="shared" si="3"/>
        <v>31.78</v>
      </c>
    </row>
    <row r="62" ht="12.75" customHeight="1">
      <c r="A62" s="11">
        <v>58.0</v>
      </c>
      <c r="B62" s="213">
        <f>CSE4098A_Spring2026_Grade!B62</f>
        <v>222014061</v>
      </c>
      <c r="C62" s="213" t="str">
        <f>CSE4098A_Spring2026_Grade!C62</f>
        <v>Rafsan Jani Siam</v>
      </c>
      <c r="D62" s="33">
        <v>21.0</v>
      </c>
      <c r="E62" s="214">
        <f t="shared" si="1"/>
        <v>23.33333333</v>
      </c>
      <c r="F62" s="41"/>
      <c r="G62" s="224"/>
      <c r="H62" s="224"/>
      <c r="I62" s="224"/>
      <c r="J62" s="226">
        <v>30.0</v>
      </c>
      <c r="K62" s="224"/>
      <c r="L62" s="224"/>
      <c r="M62" s="259"/>
      <c r="N62" s="259"/>
      <c r="O62" s="258">
        <v>33.0</v>
      </c>
      <c r="P62" s="251"/>
      <c r="Q62" s="261">
        <v>27.0</v>
      </c>
      <c r="R62" s="41"/>
      <c r="S62" s="41"/>
      <c r="T62" s="224"/>
      <c r="U62" s="224"/>
      <c r="V62" s="224"/>
      <c r="W62" s="224"/>
      <c r="X62" s="224"/>
      <c r="Y62" s="224"/>
      <c r="Z62" s="246">
        <f t="shared" si="2"/>
        <v>33.33333333</v>
      </c>
      <c r="AA62" s="247">
        <f t="shared" si="3"/>
        <v>27.33</v>
      </c>
    </row>
    <row r="63" ht="12.75" customHeight="1">
      <c r="A63" s="11">
        <v>59.0</v>
      </c>
      <c r="B63" s="213">
        <f>CSE4098A_Spring2026_Grade!B63</f>
        <v>222014014</v>
      </c>
      <c r="C63" s="213" t="str">
        <f>CSE4098A_Spring2026_Grade!C63</f>
        <v>Bahadur Zamn Shezan</v>
      </c>
      <c r="D63" s="33">
        <v>35.0</v>
      </c>
      <c r="E63" s="214">
        <f t="shared" si="1"/>
        <v>38.88888889</v>
      </c>
      <c r="F63" s="41"/>
      <c r="G63" s="224"/>
      <c r="H63" s="224"/>
      <c r="I63" s="224"/>
      <c r="J63" s="224"/>
      <c r="K63" s="224"/>
      <c r="L63" s="224"/>
      <c r="M63" s="259"/>
      <c r="N63" s="259"/>
      <c r="O63" s="259"/>
      <c r="P63" s="33">
        <v>30.0</v>
      </c>
      <c r="Q63" s="41"/>
      <c r="R63" s="33">
        <v>39.0</v>
      </c>
      <c r="S63" s="41"/>
      <c r="T63" s="224"/>
      <c r="U63" s="224"/>
      <c r="V63" s="226">
        <v>30.0</v>
      </c>
      <c r="W63" s="226">
        <v>30.0</v>
      </c>
      <c r="X63" s="224"/>
      <c r="Y63" s="224"/>
      <c r="Z63" s="246">
        <f t="shared" si="2"/>
        <v>35.83333333</v>
      </c>
      <c r="AA63" s="247">
        <f t="shared" si="3"/>
        <v>37.67</v>
      </c>
    </row>
    <row r="64" ht="12.75" customHeight="1">
      <c r="A64" s="11">
        <v>60.0</v>
      </c>
      <c r="B64" s="213">
        <f>CSE4098A_Spring2026_Grade!B64</f>
        <v>222014004</v>
      </c>
      <c r="C64" s="213" t="str">
        <f>CSE4098A_Spring2026_Grade!C64</f>
        <v>Ratul Hasan Polok</v>
      </c>
      <c r="D64" s="33">
        <v>36.0</v>
      </c>
      <c r="E64" s="214">
        <f t="shared" si="1"/>
        <v>40</v>
      </c>
      <c r="F64" s="41"/>
      <c r="G64" s="224"/>
      <c r="H64" s="224"/>
      <c r="I64" s="224"/>
      <c r="J64" s="224"/>
      <c r="K64" s="224"/>
      <c r="L64" s="224"/>
      <c r="M64" s="259"/>
      <c r="N64" s="259"/>
      <c r="O64" s="259"/>
      <c r="P64" s="33">
        <v>30.0</v>
      </c>
      <c r="Q64" s="41"/>
      <c r="R64" s="33">
        <v>39.0</v>
      </c>
      <c r="S64" s="41"/>
      <c r="T64" s="224"/>
      <c r="U64" s="224"/>
      <c r="V64" s="226">
        <v>30.0</v>
      </c>
      <c r="W64" s="226">
        <v>30.0</v>
      </c>
      <c r="X64" s="224"/>
      <c r="Y64" s="224"/>
      <c r="Z64" s="246">
        <f t="shared" si="2"/>
        <v>35.83333333</v>
      </c>
      <c r="AA64" s="247">
        <f t="shared" si="3"/>
        <v>38.33</v>
      </c>
    </row>
    <row r="65" ht="12.75" customHeight="1">
      <c r="A65" s="11">
        <v>61.0</v>
      </c>
      <c r="B65" s="213">
        <f>CSE4098A_Spring2026_Grade!B65</f>
        <v>232014059</v>
      </c>
      <c r="C65" s="213" t="str">
        <f>CSE4098A_Spring2026_Grade!C65</f>
        <v>Tasfia Hasan Tushin</v>
      </c>
      <c r="D65" s="33">
        <v>39.0</v>
      </c>
      <c r="E65" s="214">
        <f t="shared" si="1"/>
        <v>43.33333333</v>
      </c>
      <c r="F65" s="41"/>
      <c r="G65" s="224"/>
      <c r="H65" s="224"/>
      <c r="I65" s="251"/>
      <c r="J65" s="224"/>
      <c r="K65" s="224"/>
      <c r="L65" s="224"/>
      <c r="M65" s="259"/>
      <c r="N65" s="259"/>
      <c r="O65" s="259"/>
      <c r="P65" s="33">
        <v>36.0</v>
      </c>
      <c r="Q65" s="41"/>
      <c r="R65" s="33">
        <v>42.0</v>
      </c>
      <c r="S65" s="41"/>
      <c r="T65" s="224"/>
      <c r="U65" s="224"/>
      <c r="V65" s="226">
        <v>30.0</v>
      </c>
      <c r="W65" s="226">
        <v>30.0</v>
      </c>
      <c r="X65" s="224"/>
      <c r="Y65" s="224"/>
      <c r="Z65" s="246">
        <f t="shared" si="2"/>
        <v>38.33333333</v>
      </c>
      <c r="AA65" s="247">
        <f t="shared" si="3"/>
        <v>41.33</v>
      </c>
    </row>
    <row r="66" ht="12.75" customHeight="1">
      <c r="A66" s="11">
        <v>62.0</v>
      </c>
      <c r="B66" s="213">
        <f>CSE4098A_Spring2026_Grade!B66</f>
        <v>232014130</v>
      </c>
      <c r="C66" s="213" t="str">
        <f>CSE4098A_Spring2026_Grade!C66</f>
        <v>Thamina Hossen</v>
      </c>
      <c r="D66" s="33">
        <v>40.0</v>
      </c>
      <c r="E66" s="214">
        <f t="shared" si="1"/>
        <v>44.44444444</v>
      </c>
      <c r="F66" s="41"/>
      <c r="G66" s="224"/>
      <c r="H66" s="224"/>
      <c r="I66" s="41"/>
      <c r="J66" s="41"/>
      <c r="K66" s="41"/>
      <c r="L66" s="224"/>
      <c r="M66" s="259"/>
      <c r="N66" s="259"/>
      <c r="O66" s="259"/>
      <c r="P66" s="33">
        <v>36.0</v>
      </c>
      <c r="Q66" s="41"/>
      <c r="R66" s="33">
        <v>42.0</v>
      </c>
      <c r="S66" s="41"/>
      <c r="T66" s="224"/>
      <c r="U66" s="224"/>
      <c r="V66" s="226">
        <v>30.0</v>
      </c>
      <c r="W66" s="226">
        <v>30.0</v>
      </c>
      <c r="X66" s="224"/>
      <c r="Y66" s="224"/>
      <c r="Z66" s="246">
        <f t="shared" si="2"/>
        <v>38.33333333</v>
      </c>
      <c r="AA66" s="247">
        <f t="shared" si="3"/>
        <v>42</v>
      </c>
    </row>
    <row r="67" ht="12.75" customHeight="1">
      <c r="A67" s="11">
        <v>63.0</v>
      </c>
      <c r="B67" s="213">
        <f>CSE4098A_Spring2026_Grade!B67</f>
        <v>231014084</v>
      </c>
      <c r="C67" s="213" t="str">
        <f>CSE4098A_Spring2026_Grade!C67</f>
        <v>Tanzila Tasnim Rahman</v>
      </c>
      <c r="D67" s="33">
        <v>33.0</v>
      </c>
      <c r="E67" s="214">
        <f t="shared" si="1"/>
        <v>36.66666667</v>
      </c>
      <c r="F67" s="224"/>
      <c r="G67" s="224"/>
      <c r="H67" s="41"/>
      <c r="I67" s="41"/>
      <c r="J67" s="41"/>
      <c r="K67" s="41"/>
      <c r="L67" s="41"/>
      <c r="M67" s="224"/>
      <c r="N67" s="224"/>
      <c r="O67" s="226">
        <v>30.0</v>
      </c>
      <c r="P67" s="224"/>
      <c r="Q67" s="226">
        <v>24.0</v>
      </c>
      <c r="R67" s="224"/>
      <c r="S67" s="224"/>
      <c r="T67" s="226">
        <v>21.0</v>
      </c>
      <c r="U67" s="224"/>
      <c r="V67" s="224"/>
      <c r="W67" s="224"/>
      <c r="X67" s="224"/>
      <c r="Y67" s="224"/>
      <c r="Z67" s="246">
        <f t="shared" si="2"/>
        <v>27.77777778</v>
      </c>
      <c r="AA67" s="247">
        <f t="shared" si="3"/>
        <v>33.11</v>
      </c>
    </row>
    <row r="68" ht="12.75" customHeight="1">
      <c r="A68" s="11">
        <v>64.0</v>
      </c>
      <c r="B68" s="213">
        <f>CSE4098A_Spring2026_Grade!B68</f>
        <v>231014029</v>
      </c>
      <c r="C68" s="213" t="str">
        <f>CSE4098A_Spring2026_Grade!C68</f>
        <v>Sadia Sharmin</v>
      </c>
      <c r="D68" s="33">
        <v>33.0</v>
      </c>
      <c r="E68" s="214">
        <f t="shared" si="1"/>
        <v>36.66666667</v>
      </c>
      <c r="F68" s="224"/>
      <c r="G68" s="224"/>
      <c r="H68" s="224"/>
      <c r="I68" s="41"/>
      <c r="J68" s="41"/>
      <c r="K68" s="41"/>
      <c r="L68" s="41"/>
      <c r="M68" s="224"/>
      <c r="N68" s="224"/>
      <c r="O68" s="226">
        <v>36.0</v>
      </c>
      <c r="P68" s="224"/>
      <c r="Q68" s="226">
        <v>24.0</v>
      </c>
      <c r="R68" s="224"/>
      <c r="S68" s="224"/>
      <c r="T68" s="226">
        <v>33.0</v>
      </c>
      <c r="U68" s="224"/>
      <c r="V68" s="224"/>
      <c r="W68" s="224"/>
      <c r="X68" s="224"/>
      <c r="Y68" s="224"/>
      <c r="Z68" s="246">
        <f t="shared" si="2"/>
        <v>34.44444444</v>
      </c>
      <c r="AA68" s="247">
        <f t="shared" si="3"/>
        <v>35.78</v>
      </c>
    </row>
    <row r="69" ht="12.75" customHeight="1">
      <c r="A69" s="11">
        <v>65.0</v>
      </c>
      <c r="B69" s="213">
        <f>CSE4098A_Spring2026_Grade!B69</f>
        <v>231014083</v>
      </c>
      <c r="C69" s="213" t="str">
        <f>CSE4098A_Spring2026_Grade!C69</f>
        <v>Jannatun Farjana</v>
      </c>
      <c r="D69" s="33">
        <v>33.0</v>
      </c>
      <c r="E69" s="214">
        <f t="shared" si="1"/>
        <v>36.66666667</v>
      </c>
      <c r="F69" s="225"/>
      <c r="G69" s="224"/>
      <c r="H69" s="224"/>
      <c r="I69" s="41"/>
      <c r="J69" s="41"/>
      <c r="K69" s="41"/>
      <c r="L69" s="41"/>
      <c r="M69" s="224"/>
      <c r="N69" s="224"/>
      <c r="O69" s="226">
        <v>33.0</v>
      </c>
      <c r="P69" s="224"/>
      <c r="Q69" s="226">
        <v>24.0</v>
      </c>
      <c r="R69" s="224"/>
      <c r="S69" s="224"/>
      <c r="T69" s="226">
        <v>27.0</v>
      </c>
      <c r="U69" s="224"/>
      <c r="V69" s="224"/>
      <c r="W69" s="224"/>
      <c r="X69" s="224"/>
      <c r="Y69" s="224"/>
      <c r="Z69" s="246">
        <f t="shared" si="2"/>
        <v>31.11111111</v>
      </c>
      <c r="AA69" s="247">
        <f t="shared" si="3"/>
        <v>34.44</v>
      </c>
    </row>
    <row r="70" ht="12.75" customHeight="1">
      <c r="A70" s="11">
        <v>66.0</v>
      </c>
      <c r="B70" s="213">
        <f>CSE4098A_Spring2026_Grade!B70</f>
        <v>231014077</v>
      </c>
      <c r="C70" s="213" t="str">
        <f>CSE4098A_Spring2026_Grade!C70</f>
        <v>Sumaiya Afrin</v>
      </c>
      <c r="D70" s="33">
        <v>33.0</v>
      </c>
      <c r="E70" s="214">
        <f t="shared" si="1"/>
        <v>36.66666667</v>
      </c>
      <c r="F70" s="225"/>
      <c r="G70" s="224"/>
      <c r="H70" s="224"/>
      <c r="I70" s="41"/>
      <c r="J70" s="41"/>
      <c r="K70" s="41"/>
      <c r="L70" s="41"/>
      <c r="M70" s="224"/>
      <c r="N70" s="224"/>
      <c r="O70" s="226">
        <v>30.0</v>
      </c>
      <c r="P70" s="224"/>
      <c r="Q70" s="33">
        <v>24.0</v>
      </c>
      <c r="R70" s="41"/>
      <c r="S70" s="41"/>
      <c r="T70" s="33">
        <v>27.0</v>
      </c>
      <c r="U70" s="41"/>
      <c r="V70" s="41"/>
      <c r="W70" s="41"/>
      <c r="X70" s="41"/>
      <c r="Y70" s="41"/>
      <c r="Z70" s="246">
        <f t="shared" si="2"/>
        <v>30</v>
      </c>
      <c r="AA70" s="247">
        <f t="shared" si="3"/>
        <v>34</v>
      </c>
    </row>
    <row r="71" ht="12.75" customHeight="1">
      <c r="A71" s="11">
        <v>67.0</v>
      </c>
      <c r="B71" s="213">
        <f>CSE4098A_Spring2026_Grade!B71</f>
        <v>223014082</v>
      </c>
      <c r="C71" s="213" t="str">
        <f>CSE4098A_Spring2026_Grade!C71</f>
        <v>Tarif-E-Mustafa</v>
      </c>
      <c r="D71" s="33">
        <v>24.0</v>
      </c>
      <c r="E71" s="214">
        <f t="shared" si="1"/>
        <v>26.66666667</v>
      </c>
      <c r="F71" s="225"/>
      <c r="G71" s="224"/>
      <c r="H71" s="224"/>
      <c r="I71" s="41"/>
      <c r="J71" s="33">
        <v>33.0</v>
      </c>
      <c r="K71" s="41"/>
      <c r="L71" s="41"/>
      <c r="M71" s="256"/>
      <c r="N71" s="256"/>
      <c r="O71" s="255">
        <v>33.0</v>
      </c>
      <c r="P71" s="41"/>
      <c r="Q71" s="41"/>
      <c r="R71" s="41"/>
      <c r="S71" s="41"/>
      <c r="T71" s="33">
        <v>30.0</v>
      </c>
      <c r="U71" s="41"/>
      <c r="V71" s="41"/>
      <c r="W71" s="41"/>
      <c r="X71" s="41"/>
      <c r="Y71" s="41"/>
      <c r="Z71" s="246">
        <f t="shared" si="2"/>
        <v>35.55555556</v>
      </c>
      <c r="AA71" s="247">
        <f t="shared" si="3"/>
        <v>30.22</v>
      </c>
    </row>
    <row r="72" ht="12.75" customHeight="1">
      <c r="A72" s="11">
        <v>68.0</v>
      </c>
      <c r="B72" s="213">
        <f>CSE4098A_Spring2026_Grade!B72</f>
        <v>231014002</v>
      </c>
      <c r="C72" s="213" t="str">
        <f>CSE4098A_Spring2026_Grade!C72</f>
        <v>Saykot Biswas Shawon</v>
      </c>
      <c r="D72" s="33">
        <v>24.0</v>
      </c>
      <c r="E72" s="214">
        <f t="shared" si="1"/>
        <v>26.66666667</v>
      </c>
      <c r="F72" s="225"/>
      <c r="G72" s="224"/>
      <c r="H72" s="224"/>
      <c r="I72" s="41"/>
      <c r="J72" s="33">
        <v>30.0</v>
      </c>
      <c r="K72" s="41"/>
      <c r="L72" s="41"/>
      <c r="M72" s="224"/>
      <c r="N72" s="224"/>
      <c r="O72" s="226">
        <v>33.0</v>
      </c>
      <c r="P72" s="224"/>
      <c r="Q72" s="41"/>
      <c r="R72" s="41"/>
      <c r="S72" s="41"/>
      <c r="T72" s="33">
        <v>30.0</v>
      </c>
      <c r="U72" s="41"/>
      <c r="V72" s="41"/>
      <c r="W72" s="41"/>
      <c r="X72" s="41"/>
      <c r="Y72" s="41"/>
      <c r="Z72" s="246">
        <f t="shared" si="2"/>
        <v>34.44444444</v>
      </c>
      <c r="AA72" s="247">
        <f t="shared" si="3"/>
        <v>29.78</v>
      </c>
    </row>
    <row r="73" ht="12.75" customHeight="1">
      <c r="A73" s="11">
        <v>69.0</v>
      </c>
      <c r="B73" s="213">
        <f>CSE4098A_Spring2026_Grade!B73</f>
        <v>231014047</v>
      </c>
      <c r="C73" s="213" t="str">
        <f>CSE4098A_Spring2026_Grade!C73</f>
        <v>Abu Saleh Md Araf</v>
      </c>
      <c r="D73" s="253">
        <v>24.0</v>
      </c>
      <c r="E73" s="214">
        <f t="shared" si="1"/>
        <v>26.66666667</v>
      </c>
      <c r="F73" s="231"/>
      <c r="G73" s="231"/>
      <c r="H73" s="231"/>
      <c r="I73" s="251"/>
      <c r="J73" s="253">
        <v>33.0</v>
      </c>
      <c r="K73" s="251"/>
      <c r="L73" s="251"/>
      <c r="M73" s="231"/>
      <c r="N73" s="231"/>
      <c r="O73" s="232">
        <v>39.0</v>
      </c>
      <c r="P73" s="231"/>
      <c r="Q73" s="251"/>
      <c r="R73" s="251"/>
      <c r="S73" s="251"/>
      <c r="T73" s="253">
        <v>30.0</v>
      </c>
      <c r="U73" s="251"/>
      <c r="V73" s="251"/>
      <c r="W73" s="251"/>
      <c r="X73" s="251"/>
      <c r="Y73" s="251"/>
      <c r="Z73" s="246">
        <f t="shared" si="2"/>
        <v>37.77777778</v>
      </c>
      <c r="AA73" s="247">
        <f t="shared" si="3"/>
        <v>31.11</v>
      </c>
    </row>
    <row r="74" ht="12.75" customHeight="1">
      <c r="A74" s="11">
        <v>70.0</v>
      </c>
      <c r="B74" s="213">
        <f>CSE4098A_Spring2026_Grade!B74</f>
        <v>231014025</v>
      </c>
      <c r="C74" s="213" t="str">
        <f>CSE4098A_Spring2026_Grade!C74</f>
        <v>Sariful Islam Rana</v>
      </c>
      <c r="D74" s="226">
        <v>24.0</v>
      </c>
      <c r="E74" s="214">
        <f t="shared" si="1"/>
        <v>26.66666667</v>
      </c>
      <c r="F74" s="224"/>
      <c r="G74" s="224"/>
      <c r="H74" s="224"/>
      <c r="I74" s="224"/>
      <c r="J74" s="226">
        <v>30.0</v>
      </c>
      <c r="K74" s="224"/>
      <c r="L74" s="224"/>
      <c r="M74" s="224"/>
      <c r="N74" s="224"/>
      <c r="O74" s="226">
        <v>36.0</v>
      </c>
      <c r="P74" s="224"/>
      <c r="Q74" s="224"/>
      <c r="R74" s="224"/>
      <c r="S74" s="224"/>
      <c r="T74" s="226">
        <v>18.0</v>
      </c>
      <c r="U74" s="224"/>
      <c r="V74" s="224"/>
      <c r="W74" s="224"/>
      <c r="X74" s="224"/>
      <c r="Y74" s="224"/>
      <c r="Z74" s="246">
        <f t="shared" si="2"/>
        <v>31.11111111</v>
      </c>
      <c r="AA74" s="247">
        <f t="shared" si="3"/>
        <v>28.44</v>
      </c>
    </row>
    <row r="75" ht="12.75" customHeight="1">
      <c r="A75" s="11">
        <v>71.0</v>
      </c>
      <c r="B75" s="213">
        <f>CSE4098A_Spring2026_Grade!B75</f>
        <v>223014009</v>
      </c>
      <c r="C75" s="213" t="str">
        <f>CSE4098A_Spring2026_Grade!C75</f>
        <v>Farjana Akter Ema</v>
      </c>
      <c r="D75" s="226">
        <v>27.0</v>
      </c>
      <c r="E75" s="214">
        <f t="shared" si="1"/>
        <v>30</v>
      </c>
      <c r="F75" s="224"/>
      <c r="G75" s="224"/>
      <c r="H75" s="224"/>
      <c r="I75" s="224"/>
      <c r="J75" s="224"/>
      <c r="K75" s="224"/>
      <c r="L75" s="224"/>
      <c r="M75" s="224"/>
      <c r="N75" s="224"/>
      <c r="O75" s="224"/>
      <c r="P75" s="226">
        <v>24.0</v>
      </c>
      <c r="Q75" s="224"/>
      <c r="R75" s="226">
        <v>33.0</v>
      </c>
      <c r="S75" s="224"/>
      <c r="T75" s="224"/>
      <c r="U75" s="224"/>
      <c r="V75" s="226">
        <v>18.0</v>
      </c>
      <c r="W75" s="224"/>
      <c r="X75" s="226"/>
      <c r="Y75" s="226">
        <v>24.0</v>
      </c>
      <c r="Z75" s="246">
        <f t="shared" si="2"/>
        <v>27.5</v>
      </c>
      <c r="AA75" s="247">
        <f t="shared" si="3"/>
        <v>29</v>
      </c>
    </row>
    <row r="76" ht="12.75" customHeight="1">
      <c r="A76" s="11">
        <v>72.0</v>
      </c>
      <c r="B76" s="213">
        <f>CSE4098A_Spring2026_Grade!B76</f>
        <v>223014073</v>
      </c>
      <c r="C76" s="213" t="str">
        <f>CSE4098A_Spring2026_Grade!C76</f>
        <v>Pronoy Pal</v>
      </c>
      <c r="D76" s="226">
        <v>27.0</v>
      </c>
      <c r="E76" s="214">
        <f t="shared" si="1"/>
        <v>30</v>
      </c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6">
        <v>21.0</v>
      </c>
      <c r="Q76" s="224"/>
      <c r="R76" s="226">
        <v>33.0</v>
      </c>
      <c r="S76" s="224"/>
      <c r="T76" s="224"/>
      <c r="U76" s="224"/>
      <c r="V76" s="226">
        <v>18.0</v>
      </c>
      <c r="W76" s="224"/>
      <c r="X76" s="226"/>
      <c r="Y76" s="226">
        <v>25.0</v>
      </c>
      <c r="Z76" s="246">
        <f t="shared" si="2"/>
        <v>26.94444444</v>
      </c>
      <c r="AA76" s="247">
        <f t="shared" si="3"/>
        <v>28.78</v>
      </c>
    </row>
    <row r="77" ht="12.75" customHeight="1">
      <c r="A77" s="11">
        <v>73.0</v>
      </c>
      <c r="B77" s="213">
        <f>CSE4098A_Spring2026_Grade!B77</f>
        <v>223014157</v>
      </c>
      <c r="C77" s="213" t="str">
        <f>CSE4098A_Spring2026_Grade!C77</f>
        <v>Mohammad Talha</v>
      </c>
      <c r="D77" s="226">
        <v>27.0</v>
      </c>
      <c r="E77" s="214">
        <f t="shared" si="1"/>
        <v>30</v>
      </c>
      <c r="F77" s="224"/>
      <c r="G77" s="224"/>
      <c r="H77" s="224"/>
      <c r="I77" s="224"/>
      <c r="J77" s="225"/>
      <c r="K77" s="224"/>
      <c r="L77" s="224"/>
      <c r="M77" s="224"/>
      <c r="N77" s="224"/>
      <c r="O77" s="224"/>
      <c r="P77" s="226">
        <v>21.0</v>
      </c>
      <c r="Q77" s="224"/>
      <c r="R77" s="226">
        <v>33.0</v>
      </c>
      <c r="S77" s="224"/>
      <c r="T77" s="224"/>
      <c r="U77" s="224"/>
      <c r="V77" s="226">
        <v>18.0</v>
      </c>
      <c r="W77" s="224"/>
      <c r="X77" s="226"/>
      <c r="Y77" s="226">
        <v>23.0</v>
      </c>
      <c r="Z77" s="246">
        <f t="shared" si="2"/>
        <v>26.38888889</v>
      </c>
      <c r="AA77" s="247">
        <f t="shared" si="3"/>
        <v>28.56</v>
      </c>
    </row>
    <row r="78" ht="12.75" customHeight="1">
      <c r="A78" s="11">
        <v>74.0</v>
      </c>
      <c r="B78" s="213">
        <f>CSE4098A_Spring2026_Grade!B78</f>
        <v>223014022</v>
      </c>
      <c r="C78" s="213" t="str">
        <f>CSE4098A_Spring2026_Grade!C78</f>
        <v>Sumaiya Islam Rouja</v>
      </c>
      <c r="D78" s="226">
        <v>27.0</v>
      </c>
      <c r="E78" s="214">
        <f t="shared" si="1"/>
        <v>30</v>
      </c>
      <c r="F78" s="224"/>
      <c r="G78" s="224"/>
      <c r="H78" s="224"/>
      <c r="I78" s="224"/>
      <c r="J78" s="225"/>
      <c r="K78" s="224"/>
      <c r="L78" s="224"/>
      <c r="M78" s="224"/>
      <c r="N78" s="224"/>
      <c r="O78" s="224"/>
      <c r="P78" s="226">
        <v>21.0</v>
      </c>
      <c r="Q78" s="224"/>
      <c r="R78" s="226">
        <v>33.0</v>
      </c>
      <c r="S78" s="224"/>
      <c r="T78" s="224"/>
      <c r="U78" s="224"/>
      <c r="V78" s="226">
        <v>18.0</v>
      </c>
      <c r="W78" s="224"/>
      <c r="X78" s="226"/>
      <c r="Y78" s="226">
        <v>23.0</v>
      </c>
      <c r="Z78" s="246">
        <f t="shared" si="2"/>
        <v>26.38888889</v>
      </c>
      <c r="AA78" s="247">
        <f t="shared" si="3"/>
        <v>28.56</v>
      </c>
    </row>
    <row r="79" ht="12.75" customHeight="1">
      <c r="A79" s="11">
        <v>75.0</v>
      </c>
      <c r="B79" s="213">
        <f>CSE4098A_Spring2026_Grade!B79</f>
        <v>223014117</v>
      </c>
      <c r="C79" s="213" t="str">
        <f>CSE4098A_Spring2026_Grade!C79</f>
        <v>Sudipto Acharjee Dhrubo</v>
      </c>
      <c r="D79" s="226">
        <v>27.0</v>
      </c>
      <c r="E79" s="214">
        <f t="shared" si="1"/>
        <v>30</v>
      </c>
      <c r="F79" s="224"/>
      <c r="G79" s="224"/>
      <c r="H79" s="224"/>
      <c r="I79" s="224"/>
      <c r="J79" s="225"/>
      <c r="K79" s="224"/>
      <c r="L79" s="224"/>
      <c r="M79" s="224"/>
      <c r="N79" s="224"/>
      <c r="O79" s="224"/>
      <c r="P79" s="226">
        <v>24.0</v>
      </c>
      <c r="Q79" s="224"/>
      <c r="R79" s="226">
        <v>33.0</v>
      </c>
      <c r="S79" s="224"/>
      <c r="T79" s="224"/>
      <c r="U79" s="224"/>
      <c r="V79" s="226">
        <v>18.0</v>
      </c>
      <c r="W79" s="224"/>
      <c r="X79" s="226"/>
      <c r="Y79" s="226">
        <v>23.0</v>
      </c>
      <c r="Z79" s="246">
        <f t="shared" si="2"/>
        <v>27.22222222</v>
      </c>
      <c r="AA79" s="247">
        <f t="shared" si="3"/>
        <v>28.89</v>
      </c>
    </row>
    <row r="80" ht="12.75" customHeight="1">
      <c r="A80" s="11">
        <v>76.0</v>
      </c>
      <c r="B80" s="213">
        <f>CSE4098A_Spring2026_Grade!B80</f>
        <v>223014005</v>
      </c>
      <c r="C80" s="213" t="str">
        <f>CSE4098A_Spring2026_Grade!C80</f>
        <v>Md. Mahmudul Hasan Mohot</v>
      </c>
      <c r="D80" s="226">
        <v>27.0</v>
      </c>
      <c r="E80" s="214">
        <f t="shared" si="1"/>
        <v>30</v>
      </c>
      <c r="F80" s="224"/>
      <c r="G80" s="224"/>
      <c r="H80" s="224"/>
      <c r="I80" s="224"/>
      <c r="J80" s="225"/>
      <c r="K80" s="224"/>
      <c r="L80" s="224"/>
      <c r="M80" s="224"/>
      <c r="N80" s="224"/>
      <c r="O80" s="224"/>
      <c r="P80" s="226">
        <v>27.0</v>
      </c>
      <c r="Q80" s="224"/>
      <c r="R80" s="226">
        <v>15.0</v>
      </c>
      <c r="S80" s="224"/>
      <c r="T80" s="224"/>
      <c r="U80" s="224"/>
      <c r="V80" s="226">
        <v>24.0</v>
      </c>
      <c r="W80" s="224"/>
      <c r="X80" s="226"/>
      <c r="Y80" s="226">
        <v>22.0</v>
      </c>
      <c r="Z80" s="246">
        <f t="shared" si="2"/>
        <v>24.44444444</v>
      </c>
      <c r="AA80" s="247">
        <f t="shared" si="3"/>
        <v>27.78</v>
      </c>
    </row>
    <row r="81" ht="12.75" customHeight="1">
      <c r="A81" s="11">
        <v>77.0</v>
      </c>
      <c r="B81" s="213">
        <f>CSE4098A_Spring2026_Grade!B81</f>
        <v>223014080</v>
      </c>
      <c r="C81" s="213" t="str">
        <f>CSE4098A_Spring2026_Grade!C81</f>
        <v>Refa Rayhana</v>
      </c>
      <c r="D81" s="226">
        <v>27.0</v>
      </c>
      <c r="E81" s="214">
        <f t="shared" si="1"/>
        <v>30</v>
      </c>
      <c r="F81" s="224"/>
      <c r="G81" s="224"/>
      <c r="H81" s="224"/>
      <c r="I81" s="224"/>
      <c r="J81" s="225"/>
      <c r="K81" s="224"/>
      <c r="L81" s="224"/>
      <c r="M81" s="224"/>
      <c r="N81" s="224"/>
      <c r="O81" s="224"/>
      <c r="P81" s="226">
        <v>27.0</v>
      </c>
      <c r="Q81" s="224"/>
      <c r="R81" s="226">
        <v>15.0</v>
      </c>
      <c r="S81" s="224"/>
      <c r="T81" s="224"/>
      <c r="U81" s="224"/>
      <c r="V81" s="226">
        <v>24.0</v>
      </c>
      <c r="W81" s="224"/>
      <c r="X81" s="226"/>
      <c r="Y81" s="226">
        <v>23.0</v>
      </c>
      <c r="Z81" s="246">
        <f t="shared" si="2"/>
        <v>24.72222222</v>
      </c>
      <c r="AA81" s="247">
        <f t="shared" si="3"/>
        <v>27.89</v>
      </c>
    </row>
    <row r="82" ht="12.75" customHeight="1">
      <c r="A82" s="11">
        <v>78.0</v>
      </c>
      <c r="B82" s="213">
        <f>CSE4098A_Spring2026_Grade!B82</f>
        <v>223014123</v>
      </c>
      <c r="C82" s="213" t="str">
        <f>CSE4098A_Spring2026_Grade!C82</f>
        <v>Md. Emon Hossain</v>
      </c>
      <c r="D82" s="226">
        <v>27.0</v>
      </c>
      <c r="E82" s="214">
        <f t="shared" si="1"/>
        <v>30</v>
      </c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6">
        <v>27.0</v>
      </c>
      <c r="Q82" s="224"/>
      <c r="R82" s="226">
        <v>15.0</v>
      </c>
      <c r="S82" s="224"/>
      <c r="T82" s="224"/>
      <c r="U82" s="224"/>
      <c r="V82" s="226">
        <v>24.0</v>
      </c>
      <c r="W82" s="224"/>
      <c r="X82" s="226"/>
      <c r="Y82" s="226">
        <v>20.0</v>
      </c>
      <c r="Z82" s="246">
        <f t="shared" si="2"/>
        <v>23.88888889</v>
      </c>
      <c r="AA82" s="247">
        <f t="shared" si="3"/>
        <v>27.56</v>
      </c>
    </row>
    <row r="83" ht="12.75" customHeight="1">
      <c r="A83" s="11">
        <v>79.0</v>
      </c>
      <c r="B83" s="213">
        <f>CSE4098A_Spring2026_Grade!B83</f>
        <v>223014187</v>
      </c>
      <c r="C83" s="213" t="str">
        <f>CSE4098A_Spring2026_Grade!C83</f>
        <v>Mohammad Asif Abrar Sayim</v>
      </c>
      <c r="D83" s="226">
        <v>27.0</v>
      </c>
      <c r="E83" s="214">
        <f t="shared" si="1"/>
        <v>30</v>
      </c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6">
        <v>30.0</v>
      </c>
      <c r="Q83" s="224"/>
      <c r="R83" s="226">
        <v>15.0</v>
      </c>
      <c r="S83" s="224"/>
      <c r="T83" s="224"/>
      <c r="U83" s="224"/>
      <c r="V83" s="226">
        <v>24.0</v>
      </c>
      <c r="W83" s="224"/>
      <c r="X83" s="226"/>
      <c r="Y83" s="226">
        <v>25.0</v>
      </c>
      <c r="Z83" s="246">
        <f t="shared" si="2"/>
        <v>26.11111111</v>
      </c>
      <c r="AA83" s="247">
        <f t="shared" si="3"/>
        <v>28.44</v>
      </c>
    </row>
    <row r="84" ht="12.75" customHeight="1">
      <c r="A84" s="11">
        <v>80.0</v>
      </c>
      <c r="B84" s="213">
        <f>CSE4098A_Spring2026_Grade!B84</f>
        <v>231014107</v>
      </c>
      <c r="C84" s="213" t="str">
        <f>CSE4098A_Spring2026_Grade!C84</f>
        <v>Tahmina Akter Ritu</v>
      </c>
      <c r="D84" s="226">
        <v>39.0</v>
      </c>
      <c r="E84" s="214">
        <f t="shared" si="1"/>
        <v>43.33333333</v>
      </c>
      <c r="F84" s="224"/>
      <c r="G84" s="224"/>
      <c r="H84" s="224"/>
      <c r="I84" s="224"/>
      <c r="J84" s="226">
        <v>30.0</v>
      </c>
      <c r="K84" s="224"/>
      <c r="L84" s="224"/>
      <c r="M84" s="224"/>
      <c r="N84" s="224"/>
      <c r="O84" s="224"/>
      <c r="P84" s="224"/>
      <c r="Q84" s="226">
        <v>27.0</v>
      </c>
      <c r="R84" s="224"/>
      <c r="S84" s="224"/>
      <c r="T84" s="226">
        <v>39.0</v>
      </c>
      <c r="U84" s="224"/>
      <c r="V84" s="224"/>
      <c r="W84" s="224"/>
      <c r="X84" s="224"/>
      <c r="Y84" s="224"/>
      <c r="Z84" s="246">
        <f t="shared" si="2"/>
        <v>35.55555556</v>
      </c>
      <c r="AA84" s="247">
        <f t="shared" si="3"/>
        <v>40.22</v>
      </c>
    </row>
    <row r="85" ht="12.75" customHeight="1">
      <c r="A85" s="11">
        <v>81.0</v>
      </c>
      <c r="B85" s="213">
        <f>CSE4098A_Spring2026_Grade!B85</f>
        <v>231014108</v>
      </c>
      <c r="C85" s="213" t="str">
        <f>CSE4098A_Spring2026_Grade!C85</f>
        <v>Jahra Amin Misty</v>
      </c>
      <c r="D85" s="226">
        <v>36.0</v>
      </c>
      <c r="E85" s="214">
        <f t="shared" si="1"/>
        <v>40</v>
      </c>
      <c r="F85" s="224"/>
      <c r="G85" s="224"/>
      <c r="H85" s="224"/>
      <c r="I85" s="224"/>
      <c r="J85" s="226">
        <v>33.0</v>
      </c>
      <c r="K85" s="224"/>
      <c r="L85" s="224"/>
      <c r="M85" s="224"/>
      <c r="N85" s="224"/>
      <c r="O85" s="224"/>
      <c r="P85" s="224"/>
      <c r="Q85" s="226">
        <v>27.0</v>
      </c>
      <c r="R85" s="224"/>
      <c r="S85" s="224"/>
      <c r="T85" s="226">
        <v>33.0</v>
      </c>
      <c r="U85" s="224"/>
      <c r="V85" s="224"/>
      <c r="W85" s="224"/>
      <c r="X85" s="224"/>
      <c r="Y85" s="224"/>
      <c r="Z85" s="246">
        <f t="shared" si="2"/>
        <v>34.44444444</v>
      </c>
      <c r="AA85" s="247">
        <f t="shared" si="3"/>
        <v>37.78</v>
      </c>
    </row>
    <row r="86" ht="12.75" customHeight="1">
      <c r="A86" s="11">
        <v>82.0</v>
      </c>
      <c r="B86" s="213">
        <f>CSE4098A_Spring2026_Grade!B86</f>
        <v>223014098</v>
      </c>
      <c r="C86" s="213" t="str">
        <f>CSE4098A_Spring2026_Grade!C86</f>
        <v>Humayara Kabir Upoma</v>
      </c>
      <c r="D86" s="226">
        <v>36.0</v>
      </c>
      <c r="E86" s="214">
        <f t="shared" si="1"/>
        <v>40</v>
      </c>
      <c r="F86" s="224"/>
      <c r="G86" s="224"/>
      <c r="H86" s="224"/>
      <c r="I86" s="224"/>
      <c r="J86" s="226">
        <v>33.0</v>
      </c>
      <c r="K86" s="224"/>
      <c r="L86" s="224"/>
      <c r="M86" s="224"/>
      <c r="N86" s="224"/>
      <c r="O86" s="224"/>
      <c r="P86" s="224"/>
      <c r="Q86" s="226">
        <v>21.0</v>
      </c>
      <c r="R86" s="224"/>
      <c r="S86" s="224"/>
      <c r="T86" s="226">
        <v>24.0</v>
      </c>
      <c r="U86" s="224"/>
      <c r="V86" s="224"/>
      <c r="W86" s="224"/>
      <c r="X86" s="224"/>
      <c r="Y86" s="224"/>
      <c r="Z86" s="246">
        <f t="shared" si="2"/>
        <v>28.88888889</v>
      </c>
      <c r="AA86" s="247">
        <f t="shared" si="3"/>
        <v>35.56</v>
      </c>
    </row>
    <row r="87" ht="12.75" customHeight="1">
      <c r="A87" s="11">
        <v>83.0</v>
      </c>
      <c r="B87" s="213">
        <f>CSE4098A_Spring2026_Grade!B87</f>
        <v>231014028</v>
      </c>
      <c r="C87" s="213" t="str">
        <f>CSE4098A_Spring2026_Grade!C87</f>
        <v>Maimuna Islam</v>
      </c>
      <c r="D87" s="226">
        <v>36.0</v>
      </c>
      <c r="E87" s="214">
        <f t="shared" si="1"/>
        <v>40</v>
      </c>
      <c r="F87" s="224"/>
      <c r="G87" s="224"/>
      <c r="H87" s="224"/>
      <c r="I87" s="224"/>
      <c r="J87" s="226">
        <v>30.0</v>
      </c>
      <c r="K87" s="224"/>
      <c r="L87" s="224"/>
      <c r="M87" s="224"/>
      <c r="N87" s="224"/>
      <c r="O87" s="224"/>
      <c r="P87" s="224"/>
      <c r="Q87" s="226">
        <v>24.0</v>
      </c>
      <c r="R87" s="224"/>
      <c r="S87" s="224"/>
      <c r="T87" s="226">
        <v>33.0</v>
      </c>
      <c r="U87" s="224"/>
      <c r="V87" s="224"/>
      <c r="W87" s="224"/>
      <c r="X87" s="224"/>
      <c r="Y87" s="224"/>
      <c r="Z87" s="246">
        <f t="shared" si="2"/>
        <v>32.22222222</v>
      </c>
      <c r="AA87" s="247">
        <f t="shared" si="3"/>
        <v>36.89</v>
      </c>
    </row>
    <row r="88" ht="12.75" customHeight="1">
      <c r="A88" s="38"/>
      <c r="B88" s="36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ht="12.75" customHeight="1">
      <c r="A89" s="38"/>
      <c r="B89" s="36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ht="12.75" customHeight="1">
      <c r="A90" s="38"/>
      <c r="B90" s="36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ht="12.75" customHeight="1">
      <c r="A91" s="38"/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ht="12.75" customHeight="1">
      <c r="A92" s="38"/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ht="12.75" customHeight="1">
      <c r="A93" s="38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ht="12.75" customHeight="1">
      <c r="A94" s="38"/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ht="12.75" customHeight="1">
      <c r="A95" s="38"/>
      <c r="B95" s="36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ht="12.75" customHeight="1">
      <c r="A96" s="38"/>
      <c r="B96" s="36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ht="12.75" customHeight="1">
      <c r="A97" s="38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ht="12.75" customHeight="1">
      <c r="A98" s="38"/>
      <c r="B98" s="36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ht="12.75" customHeight="1">
      <c r="A99" s="38"/>
      <c r="B99" s="36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ht="12.75" customHeight="1">
      <c r="A100" s="38"/>
      <c r="B100" s="36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ht="12.75" customHeight="1">
      <c r="A101" s="38"/>
      <c r="B101" s="36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ht="12.75" customHeight="1">
      <c r="A102" s="38"/>
      <c r="B102" s="36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ht="12.75" customHeight="1">
      <c r="A103" s="38"/>
      <c r="B103" s="36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ht="12.75" customHeight="1">
      <c r="A104" s="38"/>
      <c r="B104" s="36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ht="12.75" customHeight="1">
      <c r="A105" s="38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ht="12.75" customHeight="1">
      <c r="A106" s="38"/>
      <c r="B106" s="36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ht="12.75" customHeight="1">
      <c r="A107" s="38"/>
      <c r="B107" s="36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ht="12.75" customHeight="1">
      <c r="A108" s="38"/>
      <c r="B108" s="36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ht="12.75" customHeight="1">
      <c r="A109" s="38"/>
      <c r="B109" s="36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ht="12.75" customHeight="1">
      <c r="A110" s="38"/>
      <c r="B110" s="36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ht="12.75" customHeight="1">
      <c r="A111" s="38"/>
      <c r="B111" s="36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ht="12.75" customHeight="1">
      <c r="A112" s="38"/>
      <c r="B112" s="36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ht="12.75" customHeight="1">
      <c r="A113" s="38"/>
      <c r="B113" s="36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ht="12.75" customHeight="1">
      <c r="A114" s="38"/>
      <c r="B114" s="36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ht="12.75" customHeight="1">
      <c r="A115" s="38"/>
      <c r="B115" s="36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ht="12.75" customHeight="1">
      <c r="A116" s="38"/>
      <c r="B116" s="36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ht="12.75" customHeight="1">
      <c r="A117" s="38"/>
      <c r="B117" s="36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ht="12.75" customHeight="1">
      <c r="A118" s="38"/>
      <c r="B118" s="36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ht="12.75" customHeight="1">
      <c r="A119" s="38"/>
      <c r="B119" s="36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ht="12.75" customHeight="1">
      <c r="A120" s="38"/>
      <c r="B120" s="36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ht="12.75" customHeight="1">
      <c r="A121" s="38"/>
      <c r="B121" s="36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ht="12.75" customHeight="1">
      <c r="A122" s="38"/>
      <c r="B122" s="36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ht="12.75" customHeight="1">
      <c r="A123" s="38"/>
      <c r="B123" s="36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ht="12.75" customHeight="1">
      <c r="A124" s="38"/>
      <c r="B124" s="36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ht="12.75" customHeight="1">
      <c r="A125" s="38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ht="12.75" customHeight="1">
      <c r="A126" s="38"/>
      <c r="B126" s="36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ht="12.75" customHeight="1">
      <c r="A127" s="38"/>
      <c r="B127" s="36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ht="12.75" customHeight="1">
      <c r="A128" s="38"/>
      <c r="B128" s="36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ht="12.75" customHeight="1">
      <c r="A129" s="38"/>
      <c r="B129" s="36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ht="12.75" customHeight="1">
      <c r="A130" s="38"/>
      <c r="B130" s="36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ht="12.75" customHeight="1">
      <c r="A131" s="38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ht="12.75" customHeight="1">
      <c r="A132" s="38"/>
      <c r="B132" s="36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ht="12.75" customHeight="1">
      <c r="A133" s="38"/>
      <c r="B133" s="36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ht="12.75" customHeight="1">
      <c r="A134" s="38"/>
      <c r="B134" s="36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ht="12.75" customHeight="1">
      <c r="A135" s="38"/>
      <c r="B135" s="36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ht="12.75" customHeight="1">
      <c r="A136" s="38"/>
      <c r="B136" s="36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ht="12.75" customHeight="1">
      <c r="A137" s="38"/>
      <c r="B137" s="36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ht="12.75" customHeight="1">
      <c r="A138" s="38"/>
      <c r="B138" s="36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ht="12.75" customHeight="1">
      <c r="A139" s="38"/>
      <c r="B139" s="36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ht="12.75" customHeight="1">
      <c r="A140" s="38"/>
      <c r="B140" s="36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ht="12.75" customHeight="1">
      <c r="A141" s="38"/>
      <c r="B141" s="36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ht="12.75" customHeight="1">
      <c r="A142" s="38"/>
      <c r="B142" s="36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ht="12.75" customHeight="1">
      <c r="A143" s="38"/>
      <c r="B143" s="36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ht="12.75" customHeight="1">
      <c r="A144" s="38"/>
      <c r="B144" s="36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ht="12.75" customHeight="1">
      <c r="A145" s="38"/>
      <c r="B145" s="36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ht="12.75" customHeight="1">
      <c r="A146" s="38"/>
      <c r="B146" s="36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ht="12.75" customHeight="1">
      <c r="A147" s="38"/>
      <c r="B147" s="36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ht="12.75" customHeight="1">
      <c r="A148" s="38"/>
      <c r="B148" s="36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ht="12.75" customHeight="1">
      <c r="A149" s="38"/>
      <c r="B149" s="36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ht="12.75" customHeight="1">
      <c r="A150" s="38"/>
      <c r="B150" s="36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ht="12.75" customHeight="1">
      <c r="A151" s="38"/>
      <c r="B151" s="36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ht="12.75" customHeight="1">
      <c r="A152" s="38"/>
      <c r="B152" s="36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ht="12.75" customHeight="1">
      <c r="A153" s="38"/>
      <c r="B153" s="36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ht="12.75" customHeight="1">
      <c r="A154" s="38"/>
      <c r="B154" s="36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ht="12.75" customHeight="1">
      <c r="A155" s="38"/>
      <c r="B155" s="36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ht="12.75" customHeight="1">
      <c r="A156" s="38"/>
      <c r="B156" s="36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ht="12.75" customHeight="1">
      <c r="A157" s="38"/>
      <c r="B157" s="36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ht="12.75" customHeight="1">
      <c r="A158" s="38"/>
      <c r="B158" s="36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ht="12.75" customHeight="1">
      <c r="A159" s="38"/>
      <c r="B159" s="36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ht="12.75" customHeight="1">
      <c r="A160" s="38"/>
      <c r="B160" s="36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ht="12.75" customHeight="1">
      <c r="A161" s="38"/>
      <c r="B161" s="36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ht="12.75" customHeight="1">
      <c r="A162" s="38"/>
      <c r="B162" s="36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ht="12.75" customHeight="1">
      <c r="A163" s="38"/>
      <c r="B163" s="36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ht="12.75" customHeight="1">
      <c r="A164" s="38"/>
      <c r="B164" s="36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ht="12.75" customHeight="1">
      <c r="A165" s="38"/>
      <c r="B165" s="36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ht="12.75" customHeight="1">
      <c r="A166" s="38"/>
      <c r="B166" s="36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ht="12.75" customHeight="1">
      <c r="A167" s="38"/>
      <c r="B167" s="3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ht="12.75" customHeight="1">
      <c r="A168" s="38"/>
      <c r="B168" s="36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ht="12.75" customHeight="1">
      <c r="A169" s="38"/>
      <c r="B169" s="36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ht="12.75" customHeight="1">
      <c r="A170" s="38"/>
      <c r="B170" s="36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ht="12.75" customHeight="1">
      <c r="A171" s="38"/>
      <c r="B171" s="36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ht="12.75" customHeight="1">
      <c r="A172" s="38"/>
      <c r="B172" s="36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ht="12.75" customHeight="1">
      <c r="A173" s="38"/>
      <c r="B173" s="36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ht="12.75" customHeight="1">
      <c r="A174" s="38"/>
      <c r="B174" s="36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ht="12.75" customHeight="1">
      <c r="A175" s="38"/>
      <c r="B175" s="36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ht="12.75" customHeight="1">
      <c r="A176" s="38"/>
      <c r="B176" s="36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ht="12.75" customHeight="1">
      <c r="A177" s="38"/>
      <c r="B177" s="36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ht="12.75" customHeight="1">
      <c r="A178" s="38"/>
      <c r="B178" s="36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ht="12.75" customHeight="1">
      <c r="A179" s="38"/>
      <c r="B179" s="36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ht="12.75" customHeight="1">
      <c r="A180" s="38"/>
      <c r="B180" s="36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ht="12.75" customHeight="1">
      <c r="A181" s="38"/>
      <c r="B181" s="36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ht="12.75" customHeight="1">
      <c r="A182" s="38"/>
      <c r="B182" s="36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ht="12.75" customHeight="1">
      <c r="A183" s="38"/>
      <c r="B183" s="36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ht="12.75" customHeight="1">
      <c r="A184" s="38"/>
      <c r="B184" s="36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ht="12.75" customHeight="1">
      <c r="A185" s="38"/>
      <c r="B185" s="36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ht="12.75" customHeight="1">
      <c r="A186" s="38"/>
      <c r="B186" s="36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ht="12.75" customHeight="1">
      <c r="A187" s="38"/>
      <c r="B187" s="36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ht="12.75" customHeight="1">
      <c r="A188" s="38"/>
      <c r="B188" s="36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ht="12.75" customHeight="1">
      <c r="A189" s="38"/>
      <c r="B189" s="36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ht="12.75" customHeight="1">
      <c r="A190" s="38"/>
      <c r="B190" s="36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ht="12.75" customHeight="1">
      <c r="A191" s="38"/>
      <c r="B191" s="36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ht="12.75" customHeight="1">
      <c r="A192" s="38"/>
      <c r="B192" s="36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ht="12.75" customHeight="1">
      <c r="A193" s="38"/>
      <c r="B193" s="36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ht="12.75" customHeight="1">
      <c r="A194" s="38"/>
      <c r="B194" s="36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ht="12.75" customHeight="1">
      <c r="A195" s="38"/>
      <c r="B195" s="36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ht="12.75" customHeight="1">
      <c r="A196" s="38"/>
      <c r="B196" s="36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ht="12.75" customHeight="1">
      <c r="A197" s="38"/>
      <c r="B197" s="36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ht="12.75" customHeight="1">
      <c r="A198" s="38"/>
      <c r="B198" s="36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ht="12.75" customHeight="1">
      <c r="A199" s="38"/>
      <c r="B199" s="36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ht="12.75" customHeight="1">
      <c r="A200" s="38"/>
      <c r="B200" s="36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ht="12.75" customHeight="1">
      <c r="A201" s="38"/>
      <c r="B201" s="36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ht="12.75" customHeight="1">
      <c r="A202" s="38"/>
      <c r="B202" s="36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ht="12.75" customHeight="1">
      <c r="A203" s="38"/>
      <c r="B203" s="36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ht="12.75" customHeight="1">
      <c r="A204" s="38"/>
      <c r="B204" s="36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ht="12.75" customHeight="1">
      <c r="A205" s="38"/>
      <c r="B205" s="36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ht="12.75" customHeight="1">
      <c r="A206" s="38"/>
      <c r="B206" s="36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ht="12.75" customHeight="1">
      <c r="A207" s="38"/>
      <c r="B207" s="36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ht="12.75" customHeight="1">
      <c r="A208" s="38"/>
      <c r="B208" s="36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ht="12.75" customHeight="1">
      <c r="A209" s="38"/>
      <c r="B209" s="36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ht="12.75" customHeight="1">
      <c r="A210" s="38"/>
      <c r="B210" s="36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ht="12.75" customHeight="1">
      <c r="A211" s="38"/>
      <c r="B211" s="36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ht="12.75" customHeight="1">
      <c r="A212" s="38"/>
      <c r="B212" s="36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ht="12.75" customHeight="1">
      <c r="A213" s="38"/>
      <c r="B213" s="36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ht="12.75" customHeight="1">
      <c r="A214" s="38"/>
      <c r="B214" s="36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ht="12.75" customHeight="1">
      <c r="A215" s="38"/>
      <c r="B215" s="36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ht="12.75" customHeight="1">
      <c r="A216" s="38"/>
      <c r="B216" s="36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ht="12.75" customHeight="1">
      <c r="A217" s="38"/>
      <c r="B217" s="36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ht="12.75" customHeight="1">
      <c r="A218" s="38"/>
      <c r="B218" s="36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ht="12.75" customHeight="1">
      <c r="A219" s="38"/>
      <c r="B219" s="36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ht="12.75" customHeight="1">
      <c r="A220" s="38"/>
      <c r="B220" s="36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ht="12.75" customHeight="1">
      <c r="A221" s="38"/>
      <c r="B221" s="38"/>
      <c r="C221" s="37"/>
      <c r="D221" s="37"/>
      <c r="E221" s="37"/>
      <c r="F221" s="38"/>
      <c r="G221" s="38"/>
      <c r="H221" s="38"/>
      <c r="I221" s="37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ht="12.75" customHeight="1">
      <c r="A222" s="38"/>
      <c r="B222" s="38"/>
      <c r="C222" s="37"/>
      <c r="D222" s="37"/>
      <c r="E222" s="37"/>
      <c r="F222" s="38"/>
      <c r="G222" s="38"/>
      <c r="H222" s="38"/>
      <c r="I222" s="37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ht="12.75" customHeight="1">
      <c r="A223" s="38"/>
      <c r="B223" s="38"/>
      <c r="C223" s="37"/>
      <c r="D223" s="37"/>
      <c r="E223" s="37"/>
      <c r="F223" s="38"/>
      <c r="G223" s="38"/>
      <c r="H223" s="38"/>
      <c r="I223" s="37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ht="12.75" customHeight="1">
      <c r="A224" s="38"/>
      <c r="B224" s="38"/>
      <c r="C224" s="37"/>
      <c r="D224" s="37"/>
      <c r="E224" s="37"/>
      <c r="F224" s="38"/>
      <c r="G224" s="38"/>
      <c r="H224" s="38"/>
      <c r="I224" s="37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ht="12.75" customHeight="1">
      <c r="A225" s="38"/>
      <c r="B225" s="38"/>
      <c r="C225" s="37"/>
      <c r="D225" s="37"/>
      <c r="E225" s="37"/>
      <c r="F225" s="38"/>
      <c r="G225" s="38"/>
      <c r="H225" s="38"/>
      <c r="I225" s="37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ht="15.75" customHeight="1">
      <c r="N226" s="21"/>
      <c r="O226" s="21"/>
      <c r="P226" s="21"/>
      <c r="Q226" s="21"/>
      <c r="R226" s="21"/>
      <c r="S226" s="21"/>
    </row>
    <row r="227" ht="15.75" customHeight="1">
      <c r="N227" s="21"/>
      <c r="O227" s="21"/>
      <c r="P227" s="21"/>
      <c r="Q227" s="21"/>
      <c r="R227" s="21"/>
      <c r="S227" s="21"/>
    </row>
    <row r="228" ht="15.75" customHeight="1">
      <c r="N228" s="21"/>
      <c r="O228" s="21"/>
      <c r="P228" s="21"/>
      <c r="Q228" s="21"/>
      <c r="R228" s="21"/>
      <c r="S228" s="21"/>
    </row>
    <row r="229" ht="15.75" customHeight="1">
      <c r="N229" s="21"/>
      <c r="O229" s="21"/>
      <c r="P229" s="21"/>
      <c r="Q229" s="21"/>
      <c r="R229" s="21"/>
      <c r="S229" s="21"/>
    </row>
    <row r="230" ht="15.75" customHeight="1">
      <c r="N230" s="21"/>
      <c r="O230" s="21"/>
      <c r="P230" s="21"/>
      <c r="Q230" s="21"/>
      <c r="R230" s="21"/>
      <c r="S230" s="21"/>
    </row>
    <row r="231" ht="15.75" customHeight="1">
      <c r="N231" s="21"/>
      <c r="O231" s="21"/>
      <c r="P231" s="21"/>
      <c r="Q231" s="21"/>
      <c r="R231" s="21"/>
      <c r="S231" s="21"/>
    </row>
    <row r="232" ht="15.75" customHeight="1">
      <c r="N232" s="21"/>
      <c r="O232" s="21"/>
      <c r="P232" s="21"/>
      <c r="Q232" s="21"/>
      <c r="R232" s="21"/>
      <c r="S232" s="21"/>
    </row>
    <row r="233" ht="15.75" customHeight="1">
      <c r="N233" s="21"/>
      <c r="O233" s="21"/>
      <c r="P233" s="21"/>
      <c r="Q233" s="21"/>
      <c r="R233" s="21"/>
      <c r="S233" s="21"/>
    </row>
    <row r="234" ht="15.75" customHeight="1">
      <c r="N234" s="21"/>
      <c r="O234" s="21"/>
      <c r="P234" s="21"/>
      <c r="Q234" s="21"/>
      <c r="R234" s="21"/>
      <c r="S234" s="21"/>
    </row>
    <row r="235" ht="15.75" customHeight="1">
      <c r="N235" s="21"/>
      <c r="O235" s="21"/>
      <c r="P235" s="21"/>
      <c r="Q235" s="21"/>
      <c r="R235" s="21"/>
      <c r="S235" s="21"/>
    </row>
    <row r="236" ht="15.75" customHeight="1">
      <c r="N236" s="21"/>
      <c r="O236" s="21"/>
      <c r="P236" s="21"/>
      <c r="Q236" s="21"/>
      <c r="R236" s="21"/>
      <c r="S236" s="21"/>
    </row>
    <row r="237" ht="15.75" customHeight="1">
      <c r="N237" s="21"/>
      <c r="O237" s="21"/>
      <c r="P237" s="21"/>
      <c r="Q237" s="21"/>
      <c r="R237" s="21"/>
      <c r="S237" s="21"/>
    </row>
    <row r="238" ht="15.75" customHeight="1">
      <c r="N238" s="21"/>
      <c r="O238" s="21"/>
      <c r="P238" s="21"/>
      <c r="Q238" s="21"/>
      <c r="R238" s="21"/>
      <c r="S238" s="21"/>
    </row>
    <row r="239" ht="15.75" customHeight="1">
      <c r="N239" s="21"/>
      <c r="O239" s="21"/>
      <c r="P239" s="21"/>
      <c r="Q239" s="21"/>
      <c r="R239" s="21"/>
      <c r="S239" s="21"/>
    </row>
    <row r="240" ht="15.75" customHeight="1">
      <c r="N240" s="21"/>
      <c r="O240" s="21"/>
      <c r="P240" s="21"/>
      <c r="Q240" s="21"/>
      <c r="R240" s="21"/>
      <c r="S240" s="21"/>
    </row>
    <row r="241" ht="15.75" customHeight="1">
      <c r="N241" s="21"/>
      <c r="O241" s="21"/>
      <c r="P241" s="21"/>
      <c r="Q241" s="21"/>
      <c r="R241" s="21"/>
      <c r="S241" s="21"/>
    </row>
    <row r="242" ht="15.75" customHeight="1">
      <c r="N242" s="21"/>
      <c r="O242" s="21"/>
      <c r="P242" s="21"/>
      <c r="Q242" s="21"/>
      <c r="R242" s="21"/>
      <c r="S242" s="21"/>
    </row>
    <row r="243" ht="15.75" customHeight="1">
      <c r="N243" s="21"/>
      <c r="O243" s="21"/>
      <c r="P243" s="21"/>
      <c r="Q243" s="21"/>
      <c r="R243" s="21"/>
      <c r="S243" s="21"/>
    </row>
    <row r="244" ht="15.75" customHeight="1">
      <c r="N244" s="21"/>
      <c r="O244" s="21"/>
      <c r="P244" s="21"/>
      <c r="Q244" s="21"/>
      <c r="R244" s="21"/>
      <c r="S244" s="21"/>
    </row>
    <row r="245" ht="15.75" customHeight="1">
      <c r="N245" s="21"/>
      <c r="O245" s="21"/>
      <c r="P245" s="21"/>
      <c r="Q245" s="21"/>
      <c r="R245" s="21"/>
      <c r="S245" s="21"/>
    </row>
    <row r="246" ht="15.75" customHeight="1">
      <c r="N246" s="21"/>
      <c r="O246" s="21"/>
      <c r="P246" s="21"/>
      <c r="Q246" s="21"/>
      <c r="R246" s="21"/>
      <c r="S246" s="21"/>
    </row>
    <row r="247" ht="15.75" customHeight="1">
      <c r="N247" s="21"/>
      <c r="O247" s="21"/>
      <c r="P247" s="21"/>
      <c r="Q247" s="21"/>
      <c r="R247" s="21"/>
      <c r="S247" s="21"/>
    </row>
    <row r="248" ht="15.75" customHeight="1">
      <c r="N248" s="21"/>
      <c r="O248" s="21"/>
      <c r="P248" s="21"/>
      <c r="Q248" s="21"/>
      <c r="R248" s="21"/>
      <c r="S248" s="21"/>
    </row>
    <row r="249" ht="15.75" customHeight="1">
      <c r="N249" s="21"/>
      <c r="O249" s="21"/>
      <c r="P249" s="21"/>
      <c r="Q249" s="21"/>
      <c r="R249" s="21"/>
      <c r="S249" s="21"/>
    </row>
    <row r="250" ht="15.75" customHeight="1">
      <c r="N250" s="21"/>
      <c r="O250" s="21"/>
      <c r="P250" s="21"/>
      <c r="Q250" s="21"/>
      <c r="R250" s="21"/>
      <c r="S250" s="21"/>
    </row>
    <row r="251" ht="15.75" customHeight="1">
      <c r="N251" s="21"/>
      <c r="O251" s="21"/>
      <c r="P251" s="21"/>
      <c r="Q251" s="21"/>
      <c r="R251" s="21"/>
      <c r="S251" s="21"/>
    </row>
    <row r="252" ht="15.75" customHeight="1">
      <c r="N252" s="21"/>
      <c r="O252" s="21"/>
      <c r="P252" s="21"/>
      <c r="Q252" s="21"/>
      <c r="R252" s="21"/>
      <c r="S252" s="21"/>
    </row>
    <row r="253" ht="15.75" customHeight="1">
      <c r="N253" s="21"/>
      <c r="O253" s="21"/>
      <c r="P253" s="21"/>
      <c r="Q253" s="21"/>
      <c r="R253" s="21"/>
      <c r="S253" s="21"/>
    </row>
    <row r="254" ht="15.75" customHeight="1">
      <c r="N254" s="21"/>
      <c r="O254" s="21"/>
      <c r="P254" s="21"/>
      <c r="Q254" s="21"/>
      <c r="R254" s="21"/>
      <c r="S254" s="21"/>
    </row>
    <row r="255" ht="15.75" customHeight="1">
      <c r="N255" s="21"/>
      <c r="O255" s="21"/>
      <c r="P255" s="21"/>
      <c r="Q255" s="21"/>
      <c r="R255" s="21"/>
      <c r="S255" s="21"/>
    </row>
    <row r="256" ht="15.75" customHeight="1">
      <c r="N256" s="21"/>
      <c r="O256" s="21"/>
      <c r="P256" s="21"/>
      <c r="Q256" s="21"/>
      <c r="R256" s="21"/>
      <c r="S256" s="21"/>
    </row>
    <row r="257" ht="15.75" customHeight="1">
      <c r="N257" s="21"/>
      <c r="O257" s="21"/>
      <c r="P257" s="21"/>
      <c r="Q257" s="21"/>
      <c r="R257" s="21"/>
      <c r="S257" s="21"/>
    </row>
    <row r="258" ht="15.75" customHeight="1">
      <c r="N258" s="21"/>
      <c r="O258" s="21"/>
      <c r="P258" s="21"/>
      <c r="Q258" s="21"/>
      <c r="R258" s="21"/>
      <c r="S258" s="21"/>
    </row>
    <row r="259" ht="15.75" customHeight="1">
      <c r="N259" s="21"/>
      <c r="O259" s="21"/>
      <c r="P259" s="21"/>
      <c r="Q259" s="21"/>
      <c r="R259" s="21"/>
      <c r="S259" s="21"/>
    </row>
    <row r="260" ht="15.75" customHeight="1">
      <c r="N260" s="21"/>
      <c r="O260" s="21"/>
      <c r="P260" s="21"/>
      <c r="Q260" s="21"/>
      <c r="R260" s="21"/>
      <c r="S260" s="21"/>
    </row>
    <row r="261" ht="15.75" customHeight="1">
      <c r="N261" s="21"/>
      <c r="O261" s="21"/>
      <c r="P261" s="21"/>
      <c r="Q261" s="21"/>
      <c r="R261" s="21"/>
      <c r="S261" s="21"/>
    </row>
    <row r="262" ht="15.75" customHeight="1">
      <c r="N262" s="21"/>
      <c r="O262" s="21"/>
      <c r="P262" s="21"/>
      <c r="Q262" s="21"/>
      <c r="R262" s="21"/>
      <c r="S262" s="21"/>
    </row>
    <row r="263" ht="15.75" customHeight="1">
      <c r="N263" s="21"/>
      <c r="O263" s="21"/>
      <c r="P263" s="21"/>
      <c r="Q263" s="21"/>
      <c r="R263" s="21"/>
      <c r="S263" s="21"/>
    </row>
    <row r="264" ht="15.75" customHeight="1">
      <c r="N264" s="21"/>
      <c r="O264" s="21"/>
      <c r="P264" s="21"/>
      <c r="Q264" s="21"/>
      <c r="R264" s="21"/>
      <c r="S264" s="21"/>
    </row>
    <row r="265" ht="15.75" customHeight="1">
      <c r="N265" s="21"/>
      <c r="O265" s="21"/>
      <c r="P265" s="21"/>
      <c r="Q265" s="21"/>
      <c r="R265" s="21"/>
      <c r="S265" s="21"/>
    </row>
    <row r="266" ht="15.75" customHeight="1">
      <c r="N266" s="21"/>
      <c r="O266" s="21"/>
      <c r="P266" s="21"/>
      <c r="Q266" s="21"/>
      <c r="R266" s="21"/>
      <c r="S266" s="21"/>
    </row>
    <row r="267" ht="15.75" customHeight="1">
      <c r="N267" s="21"/>
      <c r="O267" s="21"/>
      <c r="P267" s="21"/>
      <c r="Q267" s="21"/>
      <c r="R267" s="21"/>
      <c r="S267" s="21"/>
    </row>
    <row r="268" ht="15.75" customHeight="1">
      <c r="N268" s="21"/>
      <c r="O268" s="21"/>
      <c r="P268" s="21"/>
      <c r="Q268" s="21"/>
      <c r="R268" s="21"/>
      <c r="S268" s="21"/>
    </row>
    <row r="269" ht="15.75" customHeight="1">
      <c r="N269" s="21"/>
      <c r="O269" s="21"/>
      <c r="P269" s="21"/>
      <c r="Q269" s="21"/>
      <c r="R269" s="21"/>
      <c r="S269" s="21"/>
    </row>
    <row r="270" ht="15.75" customHeight="1">
      <c r="N270" s="21"/>
      <c r="O270" s="21"/>
      <c r="P270" s="21"/>
      <c r="Q270" s="21"/>
      <c r="R270" s="21"/>
      <c r="S270" s="21"/>
    </row>
    <row r="271" ht="15.75" customHeight="1">
      <c r="N271" s="21"/>
      <c r="O271" s="21"/>
      <c r="P271" s="21"/>
      <c r="Q271" s="21"/>
      <c r="R271" s="21"/>
      <c r="S271" s="21"/>
    </row>
    <row r="272" ht="15.75" customHeight="1">
      <c r="N272" s="21"/>
      <c r="O272" s="21"/>
      <c r="P272" s="21"/>
      <c r="Q272" s="21"/>
      <c r="R272" s="21"/>
      <c r="S272" s="21"/>
    </row>
    <row r="273" ht="15.75" customHeight="1">
      <c r="N273" s="21"/>
      <c r="O273" s="21"/>
      <c r="P273" s="21"/>
      <c r="Q273" s="21"/>
      <c r="R273" s="21"/>
      <c r="S273" s="21"/>
    </row>
    <row r="274" ht="15.75" customHeight="1">
      <c r="N274" s="21"/>
      <c r="O274" s="21"/>
      <c r="P274" s="21"/>
      <c r="Q274" s="21"/>
      <c r="R274" s="21"/>
      <c r="S274" s="21"/>
    </row>
    <row r="275" ht="15.75" customHeight="1">
      <c r="N275" s="21"/>
      <c r="O275" s="21"/>
      <c r="P275" s="21"/>
      <c r="Q275" s="21"/>
      <c r="R275" s="21"/>
      <c r="S275" s="21"/>
    </row>
    <row r="276" ht="15.75" customHeight="1">
      <c r="N276" s="21"/>
      <c r="O276" s="21"/>
      <c r="P276" s="21"/>
      <c r="Q276" s="21"/>
      <c r="R276" s="21"/>
      <c r="S276" s="21"/>
    </row>
    <row r="277" ht="15.75" customHeight="1">
      <c r="N277" s="21"/>
      <c r="O277" s="21"/>
      <c r="P277" s="21"/>
      <c r="Q277" s="21"/>
      <c r="R277" s="21"/>
      <c r="S277" s="21"/>
    </row>
    <row r="278" ht="15.75" customHeight="1">
      <c r="N278" s="21"/>
      <c r="O278" s="21"/>
      <c r="P278" s="21"/>
      <c r="Q278" s="21"/>
      <c r="R278" s="21"/>
      <c r="S278" s="21"/>
    </row>
    <row r="279" ht="15.75" customHeight="1">
      <c r="N279" s="21"/>
      <c r="O279" s="21"/>
      <c r="P279" s="21"/>
      <c r="Q279" s="21"/>
      <c r="R279" s="21"/>
      <c r="S279" s="21"/>
    </row>
    <row r="280" ht="15.75" customHeight="1">
      <c r="N280" s="21"/>
      <c r="O280" s="21"/>
      <c r="P280" s="21"/>
      <c r="Q280" s="21"/>
      <c r="R280" s="21"/>
      <c r="S280" s="21"/>
    </row>
    <row r="281" ht="15.75" customHeight="1">
      <c r="N281" s="21"/>
      <c r="O281" s="21"/>
      <c r="P281" s="21"/>
      <c r="Q281" s="21"/>
      <c r="R281" s="21"/>
      <c r="S281" s="21"/>
    </row>
    <row r="282" ht="15.75" customHeight="1">
      <c r="N282" s="21"/>
      <c r="O282" s="21"/>
      <c r="P282" s="21"/>
      <c r="Q282" s="21"/>
      <c r="R282" s="21"/>
      <c r="S282" s="21"/>
    </row>
    <row r="283" ht="15.75" customHeight="1">
      <c r="N283" s="21"/>
      <c r="O283" s="21"/>
      <c r="P283" s="21"/>
      <c r="Q283" s="21"/>
      <c r="R283" s="21"/>
      <c r="S283" s="21"/>
    </row>
    <row r="284" ht="15.75" customHeight="1">
      <c r="N284" s="21"/>
      <c r="O284" s="21"/>
      <c r="P284" s="21"/>
      <c r="Q284" s="21"/>
      <c r="R284" s="21"/>
      <c r="S284" s="21"/>
    </row>
    <row r="285" ht="15.75" customHeight="1">
      <c r="N285" s="21"/>
      <c r="O285" s="21"/>
      <c r="P285" s="21"/>
      <c r="Q285" s="21"/>
      <c r="R285" s="21"/>
      <c r="S285" s="21"/>
    </row>
    <row r="286" ht="15.75" customHeight="1">
      <c r="N286" s="21"/>
      <c r="O286" s="21"/>
      <c r="P286" s="21"/>
      <c r="Q286" s="21"/>
      <c r="R286" s="21"/>
      <c r="S286" s="21"/>
    </row>
    <row r="287" ht="15.75" customHeight="1">
      <c r="N287" s="21"/>
      <c r="O287" s="21"/>
      <c r="P287" s="21"/>
      <c r="Q287" s="21"/>
      <c r="R287" s="21"/>
      <c r="S287" s="21"/>
    </row>
    <row r="288" ht="15.75" customHeight="1">
      <c r="N288" s="21"/>
      <c r="O288" s="21"/>
      <c r="P288" s="21"/>
      <c r="Q288" s="21"/>
      <c r="R288" s="21"/>
      <c r="S288" s="21"/>
    </row>
    <row r="289" ht="15.75" customHeight="1">
      <c r="N289" s="21"/>
      <c r="O289" s="21"/>
      <c r="P289" s="21"/>
      <c r="Q289" s="21"/>
      <c r="R289" s="21"/>
      <c r="S289" s="21"/>
    </row>
    <row r="290" ht="15.75" customHeight="1">
      <c r="N290" s="21"/>
      <c r="O290" s="21"/>
      <c r="P290" s="21"/>
      <c r="Q290" s="21"/>
      <c r="R290" s="21"/>
      <c r="S290" s="21"/>
    </row>
    <row r="291" ht="15.75" customHeight="1">
      <c r="N291" s="21"/>
      <c r="O291" s="21"/>
      <c r="P291" s="21"/>
      <c r="Q291" s="21"/>
      <c r="R291" s="21"/>
      <c r="S291" s="21"/>
    </row>
    <row r="292" ht="15.75" customHeight="1">
      <c r="N292" s="21"/>
      <c r="O292" s="21"/>
      <c r="P292" s="21"/>
      <c r="Q292" s="21"/>
      <c r="R292" s="21"/>
      <c r="S292" s="21"/>
    </row>
    <row r="293" ht="15.75" customHeight="1">
      <c r="N293" s="21"/>
      <c r="O293" s="21"/>
      <c r="P293" s="21"/>
      <c r="Q293" s="21"/>
      <c r="R293" s="21"/>
      <c r="S293" s="21"/>
    </row>
    <row r="294" ht="15.75" customHeight="1">
      <c r="N294" s="21"/>
      <c r="O294" s="21"/>
      <c r="P294" s="21"/>
      <c r="Q294" s="21"/>
      <c r="R294" s="21"/>
      <c r="S294" s="21"/>
    </row>
    <row r="295" ht="15.75" customHeight="1">
      <c r="N295" s="21"/>
      <c r="O295" s="21"/>
      <c r="P295" s="21"/>
      <c r="Q295" s="21"/>
      <c r="R295" s="21"/>
      <c r="S295" s="21"/>
    </row>
    <row r="296" ht="15.75" customHeight="1">
      <c r="N296" s="21"/>
      <c r="O296" s="21"/>
      <c r="P296" s="21"/>
      <c r="Q296" s="21"/>
      <c r="R296" s="21"/>
      <c r="S296" s="21"/>
    </row>
    <row r="297" ht="15.75" customHeight="1">
      <c r="N297" s="21"/>
      <c r="O297" s="21"/>
      <c r="P297" s="21"/>
      <c r="Q297" s="21"/>
      <c r="R297" s="21"/>
      <c r="S297" s="21"/>
    </row>
    <row r="298" ht="15.75" customHeight="1">
      <c r="N298" s="21"/>
      <c r="O298" s="21"/>
      <c r="P298" s="21"/>
      <c r="Q298" s="21"/>
      <c r="R298" s="21"/>
      <c r="S298" s="21"/>
    </row>
    <row r="299" ht="15.75" customHeight="1">
      <c r="N299" s="21"/>
      <c r="O299" s="21"/>
      <c r="P299" s="21"/>
      <c r="Q299" s="21"/>
      <c r="R299" s="21"/>
      <c r="S299" s="21"/>
    </row>
    <row r="300" ht="15.75" customHeight="1">
      <c r="N300" s="21"/>
      <c r="O300" s="21"/>
      <c r="P300" s="21"/>
      <c r="Q300" s="21"/>
      <c r="R300" s="21"/>
      <c r="S300" s="21"/>
    </row>
    <row r="301" ht="15.75" customHeight="1">
      <c r="N301" s="21"/>
      <c r="O301" s="21"/>
      <c r="P301" s="21"/>
      <c r="Q301" s="21"/>
      <c r="R301" s="21"/>
      <c r="S301" s="21"/>
    </row>
    <row r="302" ht="15.75" customHeight="1">
      <c r="N302" s="21"/>
      <c r="O302" s="21"/>
      <c r="P302" s="21"/>
      <c r="Q302" s="21"/>
      <c r="R302" s="21"/>
      <c r="S302" s="21"/>
    </row>
    <row r="303" ht="15.75" customHeight="1">
      <c r="N303" s="21"/>
      <c r="O303" s="21"/>
      <c r="P303" s="21"/>
      <c r="Q303" s="21"/>
      <c r="R303" s="21"/>
      <c r="S303" s="21"/>
    </row>
    <row r="304" ht="15.75" customHeight="1">
      <c r="N304" s="21"/>
      <c r="O304" s="21"/>
      <c r="P304" s="21"/>
      <c r="Q304" s="21"/>
      <c r="R304" s="21"/>
      <c r="S304" s="21"/>
    </row>
    <row r="305" ht="15.75" customHeight="1">
      <c r="N305" s="21"/>
      <c r="O305" s="21"/>
      <c r="P305" s="21"/>
      <c r="Q305" s="21"/>
      <c r="R305" s="21"/>
      <c r="S305" s="21"/>
    </row>
    <row r="306" ht="15.75" customHeight="1">
      <c r="N306" s="21"/>
      <c r="O306" s="21"/>
      <c r="P306" s="21"/>
      <c r="Q306" s="21"/>
      <c r="R306" s="21"/>
      <c r="S306" s="21"/>
    </row>
    <row r="307" ht="15.75" customHeight="1">
      <c r="N307" s="21"/>
      <c r="O307" s="21"/>
      <c r="P307" s="21"/>
      <c r="Q307" s="21"/>
      <c r="R307" s="21"/>
      <c r="S307" s="21"/>
    </row>
    <row r="308" ht="15.75" customHeight="1">
      <c r="N308" s="21"/>
      <c r="O308" s="21"/>
      <c r="P308" s="21"/>
      <c r="Q308" s="21"/>
      <c r="R308" s="21"/>
      <c r="S308" s="21"/>
    </row>
    <row r="309" ht="15.75" customHeight="1">
      <c r="N309" s="21"/>
      <c r="O309" s="21"/>
      <c r="P309" s="21"/>
      <c r="Q309" s="21"/>
      <c r="R309" s="21"/>
      <c r="S309" s="21"/>
    </row>
    <row r="310" ht="15.75" customHeight="1">
      <c r="N310" s="21"/>
      <c r="O310" s="21"/>
      <c r="P310" s="21"/>
      <c r="Q310" s="21"/>
      <c r="R310" s="21"/>
      <c r="S310" s="21"/>
    </row>
    <row r="311" ht="15.75" customHeight="1">
      <c r="N311" s="21"/>
      <c r="O311" s="21"/>
      <c r="P311" s="21"/>
      <c r="Q311" s="21"/>
      <c r="R311" s="21"/>
      <c r="S311" s="21"/>
    </row>
    <row r="312" ht="15.75" customHeight="1">
      <c r="N312" s="21"/>
      <c r="O312" s="21"/>
      <c r="P312" s="21"/>
      <c r="Q312" s="21"/>
      <c r="R312" s="21"/>
      <c r="S312" s="21"/>
    </row>
    <row r="313" ht="15.75" customHeight="1">
      <c r="N313" s="21"/>
      <c r="O313" s="21"/>
      <c r="P313" s="21"/>
      <c r="Q313" s="21"/>
      <c r="R313" s="21"/>
      <c r="S313" s="21"/>
    </row>
    <row r="314" ht="15.75" customHeight="1">
      <c r="N314" s="21"/>
      <c r="O314" s="21"/>
      <c r="P314" s="21"/>
      <c r="Q314" s="21"/>
      <c r="R314" s="21"/>
      <c r="S314" s="21"/>
    </row>
    <row r="315" ht="15.75" customHeight="1">
      <c r="N315" s="21"/>
      <c r="O315" s="21"/>
      <c r="P315" s="21"/>
      <c r="Q315" s="21"/>
      <c r="R315" s="21"/>
      <c r="S315" s="21"/>
    </row>
    <row r="316" ht="15.75" customHeight="1">
      <c r="N316" s="21"/>
      <c r="O316" s="21"/>
      <c r="P316" s="21"/>
      <c r="Q316" s="21"/>
      <c r="R316" s="21"/>
      <c r="S316" s="21"/>
    </row>
    <row r="317" ht="15.75" customHeight="1">
      <c r="N317" s="21"/>
      <c r="O317" s="21"/>
      <c r="P317" s="21"/>
      <c r="Q317" s="21"/>
      <c r="R317" s="21"/>
      <c r="S317" s="21"/>
    </row>
    <row r="318" ht="15.75" customHeight="1">
      <c r="N318" s="21"/>
      <c r="O318" s="21"/>
      <c r="P318" s="21"/>
      <c r="Q318" s="21"/>
      <c r="R318" s="21"/>
      <c r="S318" s="21"/>
    </row>
    <row r="319" ht="15.75" customHeight="1">
      <c r="N319" s="21"/>
      <c r="O319" s="21"/>
      <c r="P319" s="21"/>
      <c r="Q319" s="21"/>
      <c r="R319" s="21"/>
      <c r="S319" s="21"/>
    </row>
    <row r="320" ht="15.75" customHeight="1">
      <c r="N320" s="21"/>
      <c r="O320" s="21"/>
      <c r="P320" s="21"/>
      <c r="Q320" s="21"/>
      <c r="R320" s="21"/>
      <c r="S320" s="21"/>
    </row>
    <row r="321" ht="15.75" customHeight="1">
      <c r="N321" s="21"/>
      <c r="O321" s="21"/>
      <c r="P321" s="21"/>
      <c r="Q321" s="21"/>
      <c r="R321" s="21"/>
      <c r="S321" s="21"/>
    </row>
    <row r="322" ht="15.75" customHeight="1">
      <c r="N322" s="21"/>
      <c r="O322" s="21"/>
      <c r="P322" s="21"/>
      <c r="Q322" s="21"/>
      <c r="R322" s="21"/>
      <c r="S322" s="21"/>
    </row>
    <row r="323" ht="15.75" customHeight="1">
      <c r="N323" s="21"/>
      <c r="O323" s="21"/>
      <c r="P323" s="21"/>
      <c r="Q323" s="21"/>
      <c r="R323" s="21"/>
      <c r="S323" s="21"/>
    </row>
    <row r="324" ht="15.75" customHeight="1">
      <c r="N324" s="21"/>
      <c r="O324" s="21"/>
      <c r="P324" s="21"/>
      <c r="Q324" s="21"/>
      <c r="R324" s="21"/>
      <c r="S324" s="21"/>
    </row>
    <row r="325" ht="15.75" customHeight="1">
      <c r="N325" s="21"/>
      <c r="O325" s="21"/>
      <c r="P325" s="21"/>
      <c r="Q325" s="21"/>
      <c r="R325" s="21"/>
      <c r="S325" s="21"/>
    </row>
    <row r="326" ht="15.75" customHeight="1">
      <c r="N326" s="21"/>
      <c r="O326" s="21"/>
      <c r="P326" s="21"/>
      <c r="Q326" s="21"/>
      <c r="R326" s="21"/>
      <c r="S326" s="21"/>
    </row>
    <row r="327" ht="15.75" customHeight="1">
      <c r="N327" s="21"/>
      <c r="O327" s="21"/>
      <c r="P327" s="21"/>
      <c r="Q327" s="21"/>
      <c r="R327" s="21"/>
      <c r="S327" s="21"/>
    </row>
    <row r="328" ht="15.75" customHeight="1">
      <c r="N328" s="21"/>
      <c r="O328" s="21"/>
      <c r="P328" s="21"/>
      <c r="Q328" s="21"/>
      <c r="R328" s="21"/>
      <c r="S328" s="21"/>
    </row>
    <row r="329" ht="15.75" customHeight="1">
      <c r="N329" s="21"/>
      <c r="O329" s="21"/>
      <c r="P329" s="21"/>
      <c r="Q329" s="21"/>
      <c r="R329" s="21"/>
      <c r="S329" s="21"/>
    </row>
    <row r="330" ht="15.75" customHeight="1">
      <c r="N330" s="21"/>
      <c r="O330" s="21"/>
      <c r="P330" s="21"/>
      <c r="Q330" s="21"/>
      <c r="R330" s="21"/>
      <c r="S330" s="21"/>
    </row>
    <row r="331" ht="15.75" customHeight="1">
      <c r="N331" s="21"/>
      <c r="O331" s="21"/>
      <c r="P331" s="21"/>
      <c r="Q331" s="21"/>
      <c r="R331" s="21"/>
      <c r="S331" s="21"/>
    </row>
    <row r="332" ht="15.75" customHeight="1">
      <c r="N332" s="21"/>
      <c r="O332" s="21"/>
      <c r="P332" s="21"/>
      <c r="Q332" s="21"/>
      <c r="R332" s="21"/>
      <c r="S332" s="21"/>
    </row>
    <row r="333" ht="15.75" customHeight="1">
      <c r="N333" s="21"/>
      <c r="O333" s="21"/>
      <c r="P333" s="21"/>
      <c r="Q333" s="21"/>
      <c r="R333" s="21"/>
      <c r="S333" s="21"/>
    </row>
    <row r="334" ht="15.75" customHeight="1">
      <c r="N334" s="21"/>
      <c r="O334" s="21"/>
      <c r="P334" s="21"/>
      <c r="Q334" s="21"/>
      <c r="R334" s="21"/>
      <c r="S334" s="21"/>
    </row>
    <row r="335" ht="15.75" customHeight="1">
      <c r="N335" s="21"/>
      <c r="O335" s="21"/>
      <c r="P335" s="21"/>
      <c r="Q335" s="21"/>
      <c r="R335" s="21"/>
      <c r="S335" s="21"/>
    </row>
    <row r="336" ht="15.75" customHeight="1">
      <c r="N336" s="21"/>
      <c r="O336" s="21"/>
      <c r="P336" s="21"/>
      <c r="Q336" s="21"/>
      <c r="R336" s="21"/>
      <c r="S336" s="21"/>
    </row>
    <row r="337" ht="15.75" customHeight="1">
      <c r="N337" s="21"/>
      <c r="O337" s="21"/>
      <c r="P337" s="21"/>
      <c r="Q337" s="21"/>
      <c r="R337" s="21"/>
      <c r="S337" s="21"/>
    </row>
    <row r="338" ht="15.75" customHeight="1">
      <c r="N338" s="21"/>
      <c r="O338" s="21"/>
      <c r="P338" s="21"/>
      <c r="Q338" s="21"/>
      <c r="R338" s="21"/>
      <c r="S338" s="21"/>
    </row>
    <row r="339" ht="15.75" customHeight="1">
      <c r="N339" s="21"/>
      <c r="O339" s="21"/>
      <c r="P339" s="21"/>
      <c r="Q339" s="21"/>
      <c r="R339" s="21"/>
      <c r="S339" s="21"/>
    </row>
    <row r="340" ht="15.75" customHeight="1">
      <c r="N340" s="21"/>
      <c r="O340" s="21"/>
      <c r="P340" s="21"/>
      <c r="Q340" s="21"/>
      <c r="R340" s="21"/>
      <c r="S340" s="21"/>
    </row>
    <row r="341" ht="15.75" customHeight="1">
      <c r="N341" s="21"/>
      <c r="O341" s="21"/>
      <c r="P341" s="21"/>
      <c r="Q341" s="21"/>
      <c r="R341" s="21"/>
      <c r="S341" s="21"/>
    </row>
    <row r="342" ht="15.75" customHeight="1">
      <c r="N342" s="21"/>
      <c r="O342" s="21"/>
      <c r="P342" s="21"/>
      <c r="Q342" s="21"/>
      <c r="R342" s="21"/>
      <c r="S342" s="21"/>
    </row>
    <row r="343" ht="15.75" customHeight="1">
      <c r="N343" s="21"/>
      <c r="O343" s="21"/>
      <c r="P343" s="21"/>
      <c r="Q343" s="21"/>
      <c r="R343" s="21"/>
      <c r="S343" s="21"/>
    </row>
    <row r="344" ht="15.75" customHeight="1">
      <c r="N344" s="21"/>
      <c r="O344" s="21"/>
      <c r="P344" s="21"/>
      <c r="Q344" s="21"/>
      <c r="R344" s="21"/>
      <c r="S344" s="21"/>
    </row>
    <row r="345" ht="15.75" customHeight="1">
      <c r="N345" s="21"/>
      <c r="O345" s="21"/>
      <c r="P345" s="21"/>
      <c r="Q345" s="21"/>
      <c r="R345" s="21"/>
      <c r="S345" s="21"/>
    </row>
    <row r="346" ht="15.75" customHeight="1">
      <c r="N346" s="21"/>
      <c r="O346" s="21"/>
      <c r="P346" s="21"/>
      <c r="Q346" s="21"/>
      <c r="R346" s="21"/>
      <c r="S346" s="21"/>
    </row>
    <row r="347" ht="15.75" customHeight="1">
      <c r="N347" s="21"/>
      <c r="O347" s="21"/>
      <c r="P347" s="21"/>
      <c r="Q347" s="21"/>
      <c r="R347" s="21"/>
      <c r="S347" s="21"/>
    </row>
    <row r="348" ht="15.75" customHeight="1">
      <c r="N348" s="21"/>
      <c r="O348" s="21"/>
      <c r="P348" s="21"/>
      <c r="Q348" s="21"/>
      <c r="R348" s="21"/>
      <c r="S348" s="21"/>
    </row>
    <row r="349" ht="15.75" customHeight="1">
      <c r="N349" s="21"/>
      <c r="O349" s="21"/>
      <c r="P349" s="21"/>
      <c r="Q349" s="21"/>
      <c r="R349" s="21"/>
      <c r="S349" s="21"/>
    </row>
    <row r="350" ht="15.75" customHeight="1">
      <c r="N350" s="21"/>
      <c r="O350" s="21"/>
      <c r="P350" s="21"/>
      <c r="Q350" s="21"/>
      <c r="R350" s="21"/>
      <c r="S350" s="21"/>
    </row>
    <row r="351" ht="15.75" customHeight="1">
      <c r="N351" s="21"/>
      <c r="O351" s="21"/>
      <c r="P351" s="21"/>
      <c r="Q351" s="21"/>
      <c r="R351" s="21"/>
      <c r="S351" s="21"/>
    </row>
    <row r="352" ht="15.75" customHeight="1">
      <c r="N352" s="21"/>
      <c r="O352" s="21"/>
      <c r="P352" s="21"/>
      <c r="Q352" s="21"/>
      <c r="R352" s="21"/>
      <c r="S352" s="21"/>
    </row>
    <row r="353" ht="15.75" customHeight="1">
      <c r="N353" s="21"/>
      <c r="O353" s="21"/>
      <c r="P353" s="21"/>
      <c r="Q353" s="21"/>
      <c r="R353" s="21"/>
      <c r="S353" s="21"/>
    </row>
    <row r="354" ht="15.75" customHeight="1">
      <c r="N354" s="21"/>
      <c r="O354" s="21"/>
      <c r="P354" s="21"/>
      <c r="Q354" s="21"/>
      <c r="R354" s="21"/>
      <c r="S354" s="21"/>
    </row>
    <row r="355" ht="15.75" customHeight="1">
      <c r="N355" s="21"/>
      <c r="O355" s="21"/>
      <c r="P355" s="21"/>
      <c r="Q355" s="21"/>
      <c r="R355" s="21"/>
      <c r="S355" s="21"/>
    </row>
    <row r="356" ht="15.75" customHeight="1">
      <c r="N356" s="21"/>
      <c r="O356" s="21"/>
      <c r="P356" s="21"/>
      <c r="Q356" s="21"/>
      <c r="R356" s="21"/>
      <c r="S356" s="21"/>
    </row>
    <row r="357" ht="15.75" customHeight="1">
      <c r="N357" s="21"/>
      <c r="O357" s="21"/>
      <c r="P357" s="21"/>
      <c r="Q357" s="21"/>
      <c r="R357" s="21"/>
      <c r="S357" s="21"/>
    </row>
    <row r="358" ht="15.75" customHeight="1">
      <c r="N358" s="21"/>
      <c r="O358" s="21"/>
      <c r="P358" s="21"/>
      <c r="Q358" s="21"/>
      <c r="R358" s="21"/>
      <c r="S358" s="21"/>
    </row>
    <row r="359" ht="15.75" customHeight="1">
      <c r="N359" s="21"/>
      <c r="O359" s="21"/>
      <c r="P359" s="21"/>
      <c r="Q359" s="21"/>
      <c r="R359" s="21"/>
      <c r="S359" s="21"/>
    </row>
    <row r="360" ht="15.75" customHeight="1">
      <c r="N360" s="21"/>
      <c r="O360" s="21"/>
      <c r="P360" s="21"/>
      <c r="Q360" s="21"/>
      <c r="R360" s="21"/>
      <c r="S360" s="21"/>
    </row>
    <row r="361" ht="15.75" customHeight="1">
      <c r="N361" s="21"/>
      <c r="O361" s="21"/>
      <c r="P361" s="21"/>
      <c r="Q361" s="21"/>
      <c r="R361" s="21"/>
      <c r="S361" s="21"/>
    </row>
    <row r="362" ht="15.75" customHeight="1">
      <c r="N362" s="21"/>
      <c r="O362" s="21"/>
      <c r="P362" s="21"/>
      <c r="Q362" s="21"/>
      <c r="R362" s="21"/>
      <c r="S362" s="21"/>
    </row>
    <row r="363" ht="15.75" customHeight="1">
      <c r="N363" s="21"/>
      <c r="O363" s="21"/>
      <c r="P363" s="21"/>
      <c r="Q363" s="21"/>
      <c r="R363" s="21"/>
      <c r="S363" s="21"/>
    </row>
    <row r="364" ht="15.75" customHeight="1">
      <c r="N364" s="21"/>
      <c r="O364" s="21"/>
      <c r="P364" s="21"/>
      <c r="Q364" s="21"/>
      <c r="R364" s="21"/>
      <c r="S364" s="21"/>
    </row>
    <row r="365" ht="15.75" customHeight="1">
      <c r="N365" s="21"/>
      <c r="O365" s="21"/>
      <c r="P365" s="21"/>
      <c r="Q365" s="21"/>
      <c r="R365" s="21"/>
      <c r="S365" s="21"/>
    </row>
    <row r="366" ht="15.75" customHeight="1">
      <c r="N366" s="21"/>
      <c r="O366" s="21"/>
      <c r="P366" s="21"/>
      <c r="Q366" s="21"/>
      <c r="R366" s="21"/>
      <c r="S366" s="21"/>
    </row>
    <row r="367" ht="15.75" customHeight="1">
      <c r="N367" s="21"/>
      <c r="O367" s="21"/>
      <c r="P367" s="21"/>
      <c r="Q367" s="21"/>
      <c r="R367" s="21"/>
      <c r="S367" s="21"/>
    </row>
    <row r="368" ht="15.75" customHeight="1">
      <c r="N368" s="21"/>
      <c r="O368" s="21"/>
      <c r="P368" s="21"/>
      <c r="Q368" s="21"/>
      <c r="R368" s="21"/>
      <c r="S368" s="21"/>
    </row>
    <row r="369" ht="15.75" customHeight="1">
      <c r="N369" s="21"/>
      <c r="O369" s="21"/>
      <c r="P369" s="21"/>
      <c r="Q369" s="21"/>
      <c r="R369" s="21"/>
      <c r="S369" s="21"/>
    </row>
    <row r="370" ht="15.75" customHeight="1">
      <c r="N370" s="21"/>
      <c r="O370" s="21"/>
      <c r="P370" s="21"/>
      <c r="Q370" s="21"/>
      <c r="R370" s="21"/>
      <c r="S370" s="21"/>
    </row>
    <row r="371" ht="15.75" customHeight="1">
      <c r="N371" s="21"/>
      <c r="O371" s="21"/>
      <c r="P371" s="21"/>
      <c r="Q371" s="21"/>
      <c r="R371" s="21"/>
      <c r="S371" s="21"/>
    </row>
    <row r="372" ht="15.75" customHeight="1">
      <c r="N372" s="21"/>
      <c r="O372" s="21"/>
      <c r="P372" s="21"/>
      <c r="Q372" s="21"/>
      <c r="R372" s="21"/>
      <c r="S372" s="21"/>
    </row>
    <row r="373" ht="15.75" customHeight="1">
      <c r="N373" s="21"/>
      <c r="O373" s="21"/>
      <c r="P373" s="21"/>
      <c r="Q373" s="21"/>
      <c r="R373" s="21"/>
      <c r="S373" s="21"/>
    </row>
    <row r="374" ht="15.75" customHeight="1">
      <c r="N374" s="21"/>
      <c r="O374" s="21"/>
      <c r="P374" s="21"/>
      <c r="Q374" s="21"/>
      <c r="R374" s="21"/>
      <c r="S374" s="21"/>
    </row>
    <row r="375" ht="15.75" customHeight="1">
      <c r="N375" s="21"/>
      <c r="O375" s="21"/>
      <c r="P375" s="21"/>
      <c r="Q375" s="21"/>
      <c r="R375" s="21"/>
      <c r="S375" s="21"/>
    </row>
    <row r="376" ht="15.75" customHeight="1">
      <c r="N376" s="21"/>
      <c r="O376" s="21"/>
      <c r="P376" s="21"/>
      <c r="Q376" s="21"/>
      <c r="R376" s="21"/>
      <c r="S376" s="21"/>
    </row>
    <row r="377" ht="15.75" customHeight="1">
      <c r="N377" s="21"/>
      <c r="O377" s="21"/>
      <c r="P377" s="21"/>
      <c r="Q377" s="21"/>
      <c r="R377" s="21"/>
      <c r="S377" s="21"/>
    </row>
    <row r="378" ht="15.75" customHeight="1">
      <c r="N378" s="21"/>
      <c r="O378" s="21"/>
      <c r="P378" s="21"/>
      <c r="Q378" s="21"/>
      <c r="R378" s="21"/>
      <c r="S378" s="21"/>
    </row>
    <row r="379" ht="15.75" customHeight="1">
      <c r="N379" s="21"/>
      <c r="O379" s="21"/>
      <c r="P379" s="21"/>
      <c r="Q379" s="21"/>
      <c r="R379" s="21"/>
      <c r="S379" s="21"/>
    </row>
    <row r="380" ht="15.75" customHeight="1">
      <c r="N380" s="21"/>
      <c r="O380" s="21"/>
      <c r="P380" s="21"/>
      <c r="Q380" s="21"/>
      <c r="R380" s="21"/>
      <c r="S380" s="21"/>
    </row>
    <row r="381" ht="15.75" customHeight="1">
      <c r="N381" s="21"/>
      <c r="O381" s="21"/>
      <c r="P381" s="21"/>
      <c r="Q381" s="21"/>
      <c r="R381" s="21"/>
      <c r="S381" s="21"/>
    </row>
    <row r="382" ht="15.75" customHeight="1">
      <c r="N382" s="21"/>
      <c r="O382" s="21"/>
      <c r="P382" s="21"/>
      <c r="Q382" s="21"/>
      <c r="R382" s="21"/>
      <c r="S382" s="21"/>
    </row>
    <row r="383" ht="15.75" customHeight="1">
      <c r="N383" s="21"/>
      <c r="O383" s="21"/>
      <c r="P383" s="21"/>
      <c r="Q383" s="21"/>
      <c r="R383" s="21"/>
      <c r="S383" s="21"/>
    </row>
    <row r="384" ht="15.75" customHeight="1">
      <c r="N384" s="21"/>
      <c r="O384" s="21"/>
      <c r="P384" s="21"/>
      <c r="Q384" s="21"/>
      <c r="R384" s="21"/>
      <c r="S384" s="21"/>
    </row>
    <row r="385" ht="15.75" customHeight="1">
      <c r="N385" s="21"/>
      <c r="O385" s="21"/>
      <c r="P385" s="21"/>
      <c r="Q385" s="21"/>
      <c r="R385" s="21"/>
      <c r="S385" s="21"/>
    </row>
    <row r="386" ht="15.75" customHeight="1">
      <c r="N386" s="21"/>
      <c r="O386" s="21"/>
      <c r="P386" s="21"/>
      <c r="Q386" s="21"/>
      <c r="R386" s="21"/>
      <c r="S386" s="21"/>
    </row>
    <row r="387" ht="15.75" customHeight="1">
      <c r="N387" s="21"/>
      <c r="O387" s="21"/>
      <c r="P387" s="21"/>
      <c r="Q387" s="21"/>
      <c r="R387" s="21"/>
      <c r="S387" s="21"/>
    </row>
    <row r="388" ht="15.75" customHeight="1">
      <c r="N388" s="21"/>
      <c r="O388" s="21"/>
      <c r="P388" s="21"/>
      <c r="Q388" s="21"/>
      <c r="R388" s="21"/>
      <c r="S388" s="21"/>
    </row>
    <row r="389" ht="15.75" customHeight="1">
      <c r="N389" s="21"/>
      <c r="O389" s="21"/>
      <c r="P389" s="21"/>
      <c r="Q389" s="21"/>
      <c r="R389" s="21"/>
      <c r="S389" s="21"/>
    </row>
    <row r="390" ht="15.75" customHeight="1">
      <c r="N390" s="21"/>
      <c r="O390" s="21"/>
      <c r="P390" s="21"/>
      <c r="Q390" s="21"/>
      <c r="R390" s="21"/>
      <c r="S390" s="21"/>
    </row>
    <row r="391" ht="15.75" customHeight="1">
      <c r="N391" s="21"/>
      <c r="O391" s="21"/>
      <c r="P391" s="21"/>
      <c r="Q391" s="21"/>
      <c r="R391" s="21"/>
      <c r="S391" s="21"/>
    </row>
    <row r="392" ht="15.75" customHeight="1">
      <c r="N392" s="21"/>
      <c r="O392" s="21"/>
      <c r="P392" s="21"/>
      <c r="Q392" s="21"/>
      <c r="R392" s="21"/>
      <c r="S392" s="21"/>
    </row>
    <row r="393" ht="15.75" customHeight="1">
      <c r="N393" s="21"/>
      <c r="O393" s="21"/>
      <c r="P393" s="21"/>
      <c r="Q393" s="21"/>
      <c r="R393" s="21"/>
      <c r="S393" s="21"/>
    </row>
    <row r="394" ht="15.75" customHeight="1">
      <c r="N394" s="21"/>
      <c r="O394" s="21"/>
      <c r="P394" s="21"/>
      <c r="Q394" s="21"/>
      <c r="R394" s="21"/>
      <c r="S394" s="21"/>
    </row>
    <row r="395" ht="15.75" customHeight="1">
      <c r="N395" s="21"/>
      <c r="O395" s="21"/>
      <c r="P395" s="21"/>
      <c r="Q395" s="21"/>
      <c r="R395" s="21"/>
      <c r="S395" s="21"/>
    </row>
    <row r="396" ht="15.75" customHeight="1">
      <c r="N396" s="21"/>
      <c r="O396" s="21"/>
      <c r="P396" s="21"/>
      <c r="Q396" s="21"/>
      <c r="R396" s="21"/>
      <c r="S396" s="21"/>
    </row>
    <row r="397" ht="15.75" customHeight="1">
      <c r="N397" s="21"/>
      <c r="O397" s="21"/>
      <c r="P397" s="21"/>
      <c r="Q397" s="21"/>
      <c r="R397" s="21"/>
      <c r="S397" s="21"/>
    </row>
    <row r="398" ht="15.75" customHeight="1">
      <c r="N398" s="21"/>
      <c r="O398" s="21"/>
      <c r="P398" s="21"/>
      <c r="Q398" s="21"/>
      <c r="R398" s="21"/>
      <c r="S398" s="21"/>
    </row>
    <row r="399" ht="15.75" customHeight="1">
      <c r="N399" s="21"/>
      <c r="O399" s="21"/>
      <c r="P399" s="21"/>
      <c r="Q399" s="21"/>
      <c r="R399" s="21"/>
      <c r="S399" s="21"/>
    </row>
    <row r="400" ht="15.75" customHeight="1">
      <c r="N400" s="21"/>
      <c r="O400" s="21"/>
      <c r="P400" s="21"/>
      <c r="Q400" s="21"/>
      <c r="R400" s="21"/>
      <c r="S400" s="21"/>
    </row>
    <row r="401" ht="15.75" customHeight="1">
      <c r="N401" s="21"/>
      <c r="O401" s="21"/>
      <c r="P401" s="21"/>
      <c r="Q401" s="21"/>
      <c r="R401" s="21"/>
      <c r="S401" s="21"/>
    </row>
    <row r="402" ht="15.75" customHeight="1">
      <c r="N402" s="21"/>
      <c r="O402" s="21"/>
      <c r="P402" s="21"/>
      <c r="Q402" s="21"/>
      <c r="R402" s="21"/>
      <c r="S402" s="21"/>
    </row>
    <row r="403" ht="15.75" customHeight="1">
      <c r="N403" s="21"/>
      <c r="O403" s="21"/>
      <c r="P403" s="21"/>
      <c r="Q403" s="21"/>
      <c r="R403" s="21"/>
      <c r="S403" s="21"/>
    </row>
    <row r="404" ht="15.75" customHeight="1">
      <c r="N404" s="21"/>
      <c r="O404" s="21"/>
      <c r="P404" s="21"/>
      <c r="Q404" s="21"/>
      <c r="R404" s="21"/>
      <c r="S404" s="21"/>
    </row>
    <row r="405" ht="15.75" customHeight="1">
      <c r="N405" s="21"/>
      <c r="O405" s="21"/>
      <c r="P405" s="21"/>
      <c r="Q405" s="21"/>
      <c r="R405" s="21"/>
      <c r="S405" s="21"/>
    </row>
    <row r="406" ht="15.75" customHeight="1">
      <c r="N406" s="21"/>
      <c r="O406" s="21"/>
      <c r="P406" s="21"/>
      <c r="Q406" s="21"/>
      <c r="R406" s="21"/>
      <c r="S406" s="21"/>
    </row>
    <row r="407" ht="15.75" customHeight="1">
      <c r="N407" s="21"/>
      <c r="O407" s="21"/>
      <c r="P407" s="21"/>
      <c r="Q407" s="21"/>
      <c r="R407" s="21"/>
      <c r="S407" s="21"/>
    </row>
    <row r="408" ht="15.75" customHeight="1">
      <c r="N408" s="21"/>
      <c r="O408" s="21"/>
      <c r="P408" s="21"/>
      <c r="Q408" s="21"/>
      <c r="R408" s="21"/>
      <c r="S408" s="21"/>
    </row>
    <row r="409" ht="15.75" customHeight="1">
      <c r="N409" s="21"/>
      <c r="O409" s="21"/>
      <c r="P409" s="21"/>
      <c r="Q409" s="21"/>
      <c r="R409" s="21"/>
      <c r="S409" s="21"/>
    </row>
    <row r="410" ht="15.75" customHeight="1">
      <c r="N410" s="21"/>
      <c r="O410" s="21"/>
      <c r="P410" s="21"/>
      <c r="Q410" s="21"/>
      <c r="R410" s="21"/>
      <c r="S410" s="21"/>
    </row>
    <row r="411" ht="15.75" customHeight="1">
      <c r="N411" s="21"/>
      <c r="O411" s="21"/>
      <c r="P411" s="21"/>
      <c r="Q411" s="21"/>
      <c r="R411" s="21"/>
      <c r="S411" s="21"/>
    </row>
    <row r="412" ht="15.75" customHeight="1">
      <c r="N412" s="21"/>
      <c r="O412" s="21"/>
      <c r="P412" s="21"/>
      <c r="Q412" s="21"/>
      <c r="R412" s="21"/>
      <c r="S412" s="21"/>
    </row>
    <row r="413" ht="15.75" customHeight="1">
      <c r="N413" s="21"/>
      <c r="O413" s="21"/>
      <c r="P413" s="21"/>
      <c r="Q413" s="21"/>
      <c r="R413" s="21"/>
      <c r="S413" s="21"/>
    </row>
    <row r="414" ht="15.75" customHeight="1">
      <c r="N414" s="21"/>
      <c r="O414" s="21"/>
      <c r="P414" s="21"/>
      <c r="Q414" s="21"/>
      <c r="R414" s="21"/>
      <c r="S414" s="21"/>
    </row>
    <row r="415" ht="15.75" customHeight="1">
      <c r="N415" s="21"/>
      <c r="O415" s="21"/>
      <c r="P415" s="21"/>
      <c r="Q415" s="21"/>
      <c r="R415" s="21"/>
      <c r="S415" s="21"/>
    </row>
    <row r="416" ht="15.75" customHeight="1">
      <c r="N416" s="21"/>
      <c r="O416" s="21"/>
      <c r="P416" s="21"/>
      <c r="Q416" s="21"/>
      <c r="R416" s="21"/>
      <c r="S416" s="21"/>
    </row>
    <row r="417" ht="15.75" customHeight="1">
      <c r="N417" s="21"/>
      <c r="O417" s="21"/>
      <c r="P417" s="21"/>
      <c r="Q417" s="21"/>
      <c r="R417" s="21"/>
      <c r="S417" s="21"/>
    </row>
    <row r="418" ht="15.75" customHeight="1">
      <c r="N418" s="21"/>
      <c r="O418" s="21"/>
      <c r="P418" s="21"/>
      <c r="Q418" s="21"/>
      <c r="R418" s="21"/>
      <c r="S418" s="21"/>
    </row>
    <row r="419" ht="15.75" customHeight="1">
      <c r="N419" s="21"/>
      <c r="O419" s="21"/>
      <c r="P419" s="21"/>
      <c r="Q419" s="21"/>
      <c r="R419" s="21"/>
      <c r="S419" s="21"/>
    </row>
    <row r="420" ht="15.75" customHeight="1">
      <c r="N420" s="21"/>
      <c r="O420" s="21"/>
      <c r="P420" s="21"/>
      <c r="Q420" s="21"/>
      <c r="R420" s="21"/>
      <c r="S420" s="21"/>
    </row>
    <row r="421" ht="15.75" customHeight="1">
      <c r="N421" s="21"/>
      <c r="O421" s="21"/>
      <c r="P421" s="21"/>
      <c r="Q421" s="21"/>
      <c r="R421" s="21"/>
      <c r="S421" s="21"/>
    </row>
    <row r="422" ht="15.75" customHeight="1">
      <c r="N422" s="21"/>
      <c r="O422" s="21"/>
      <c r="P422" s="21"/>
      <c r="Q422" s="21"/>
      <c r="R422" s="21"/>
      <c r="S422" s="21"/>
    </row>
    <row r="423" ht="15.75" customHeight="1">
      <c r="N423" s="21"/>
      <c r="O423" s="21"/>
      <c r="P423" s="21"/>
      <c r="Q423" s="21"/>
      <c r="R423" s="21"/>
      <c r="S423" s="21"/>
    </row>
    <row r="424" ht="15.75" customHeight="1">
      <c r="N424" s="21"/>
      <c r="O424" s="21"/>
      <c r="P424" s="21"/>
      <c r="Q424" s="21"/>
      <c r="R424" s="21"/>
      <c r="S424" s="21"/>
    </row>
    <row r="425" ht="15.75" customHeight="1">
      <c r="N425" s="21"/>
      <c r="O425" s="21"/>
      <c r="P425" s="21"/>
      <c r="Q425" s="21"/>
      <c r="R425" s="21"/>
      <c r="S425" s="21"/>
    </row>
    <row r="426" ht="15.75" customHeight="1">
      <c r="N426" s="21"/>
      <c r="O426" s="21"/>
      <c r="P426" s="21"/>
      <c r="Q426" s="21"/>
      <c r="R426" s="21"/>
      <c r="S426" s="21"/>
    </row>
    <row r="427" ht="15.75" customHeight="1">
      <c r="N427" s="21"/>
      <c r="O427" s="21"/>
      <c r="P427" s="21"/>
      <c r="Q427" s="21"/>
      <c r="R427" s="21"/>
      <c r="S427" s="21"/>
    </row>
    <row r="428" ht="15.75" customHeight="1">
      <c r="N428" s="21"/>
      <c r="O428" s="21"/>
      <c r="P428" s="21"/>
      <c r="Q428" s="21"/>
      <c r="R428" s="21"/>
      <c r="S428" s="21"/>
    </row>
    <row r="429" ht="15.75" customHeight="1">
      <c r="N429" s="21"/>
      <c r="O429" s="21"/>
      <c r="P429" s="21"/>
      <c r="Q429" s="21"/>
      <c r="R429" s="21"/>
      <c r="S429" s="21"/>
    </row>
    <row r="430" ht="15.75" customHeight="1">
      <c r="N430" s="21"/>
      <c r="O430" s="21"/>
      <c r="P430" s="21"/>
      <c r="Q430" s="21"/>
      <c r="R430" s="21"/>
      <c r="S430" s="21"/>
    </row>
    <row r="431" ht="15.75" customHeight="1">
      <c r="N431" s="21"/>
      <c r="O431" s="21"/>
      <c r="P431" s="21"/>
      <c r="Q431" s="21"/>
      <c r="R431" s="21"/>
      <c r="S431" s="21"/>
    </row>
    <row r="432" ht="15.75" customHeight="1">
      <c r="N432" s="21"/>
      <c r="O432" s="21"/>
      <c r="P432" s="21"/>
      <c r="Q432" s="21"/>
      <c r="R432" s="21"/>
      <c r="S432" s="21"/>
    </row>
    <row r="433" ht="15.75" customHeight="1">
      <c r="N433" s="21"/>
      <c r="O433" s="21"/>
      <c r="P433" s="21"/>
      <c r="Q433" s="21"/>
      <c r="R433" s="21"/>
      <c r="S433" s="21"/>
    </row>
    <row r="434" ht="15.75" customHeight="1">
      <c r="N434" s="21"/>
      <c r="O434" s="21"/>
      <c r="P434" s="21"/>
      <c r="Q434" s="21"/>
      <c r="R434" s="21"/>
      <c r="S434" s="21"/>
    </row>
    <row r="435" ht="15.75" customHeight="1">
      <c r="N435" s="21"/>
      <c r="O435" s="21"/>
      <c r="P435" s="21"/>
      <c r="Q435" s="21"/>
      <c r="R435" s="21"/>
      <c r="S435" s="21"/>
    </row>
    <row r="436" ht="15.75" customHeight="1">
      <c r="N436" s="21"/>
      <c r="O436" s="21"/>
      <c r="P436" s="21"/>
      <c r="Q436" s="21"/>
      <c r="R436" s="21"/>
      <c r="S436" s="21"/>
    </row>
    <row r="437" ht="15.75" customHeight="1">
      <c r="N437" s="21"/>
      <c r="O437" s="21"/>
      <c r="P437" s="21"/>
      <c r="Q437" s="21"/>
      <c r="R437" s="21"/>
      <c r="S437" s="21"/>
    </row>
    <row r="438" ht="15.75" customHeight="1">
      <c r="N438" s="21"/>
      <c r="O438" s="21"/>
      <c r="P438" s="21"/>
      <c r="Q438" s="21"/>
      <c r="R438" s="21"/>
      <c r="S438" s="21"/>
    </row>
    <row r="439" ht="15.75" customHeight="1">
      <c r="N439" s="21"/>
      <c r="O439" s="21"/>
      <c r="P439" s="21"/>
      <c r="Q439" s="21"/>
      <c r="R439" s="21"/>
      <c r="S439" s="21"/>
    </row>
    <row r="440" ht="15.75" customHeight="1">
      <c r="N440" s="21"/>
      <c r="O440" s="21"/>
      <c r="P440" s="21"/>
      <c r="Q440" s="21"/>
      <c r="R440" s="21"/>
      <c r="S440" s="21"/>
    </row>
    <row r="441" ht="15.75" customHeight="1">
      <c r="N441" s="21"/>
      <c r="O441" s="21"/>
      <c r="P441" s="21"/>
      <c r="Q441" s="21"/>
      <c r="R441" s="21"/>
      <c r="S441" s="21"/>
    </row>
    <row r="442" ht="15.75" customHeight="1">
      <c r="N442" s="21"/>
      <c r="O442" s="21"/>
      <c r="P442" s="21"/>
      <c r="Q442" s="21"/>
      <c r="R442" s="21"/>
      <c r="S442" s="21"/>
    </row>
    <row r="443" ht="15.75" customHeight="1">
      <c r="N443" s="21"/>
      <c r="O443" s="21"/>
      <c r="P443" s="21"/>
      <c r="Q443" s="21"/>
      <c r="R443" s="21"/>
      <c r="S443" s="21"/>
    </row>
    <row r="444" ht="15.75" customHeight="1">
      <c r="N444" s="21"/>
      <c r="O444" s="21"/>
      <c r="P444" s="21"/>
      <c r="Q444" s="21"/>
      <c r="R444" s="21"/>
      <c r="S444" s="21"/>
    </row>
    <row r="445" ht="15.75" customHeight="1">
      <c r="N445" s="21"/>
      <c r="O445" s="21"/>
      <c r="P445" s="21"/>
      <c r="Q445" s="21"/>
      <c r="R445" s="21"/>
      <c r="S445" s="21"/>
    </row>
    <row r="446" ht="15.75" customHeight="1">
      <c r="N446" s="21"/>
      <c r="O446" s="21"/>
      <c r="P446" s="21"/>
      <c r="Q446" s="21"/>
      <c r="R446" s="21"/>
      <c r="S446" s="21"/>
    </row>
    <row r="447" ht="15.75" customHeight="1">
      <c r="N447" s="21"/>
      <c r="O447" s="21"/>
      <c r="P447" s="21"/>
      <c r="Q447" s="21"/>
      <c r="R447" s="21"/>
      <c r="S447" s="21"/>
    </row>
    <row r="448" ht="15.75" customHeight="1">
      <c r="N448" s="21"/>
      <c r="O448" s="21"/>
      <c r="P448" s="21"/>
      <c r="Q448" s="21"/>
      <c r="R448" s="21"/>
      <c r="S448" s="21"/>
    </row>
    <row r="449" ht="15.75" customHeight="1">
      <c r="N449" s="21"/>
      <c r="O449" s="21"/>
      <c r="P449" s="21"/>
      <c r="Q449" s="21"/>
      <c r="R449" s="21"/>
      <c r="S449" s="21"/>
    </row>
    <row r="450" ht="15.75" customHeight="1">
      <c r="N450" s="21"/>
      <c r="O450" s="21"/>
      <c r="P450" s="21"/>
      <c r="Q450" s="21"/>
      <c r="R450" s="21"/>
      <c r="S450" s="21"/>
    </row>
    <row r="451" ht="15.75" customHeight="1">
      <c r="N451" s="21"/>
      <c r="O451" s="21"/>
      <c r="P451" s="21"/>
      <c r="Q451" s="21"/>
      <c r="R451" s="21"/>
      <c r="S451" s="21"/>
    </row>
    <row r="452" ht="15.75" customHeight="1">
      <c r="N452" s="21"/>
      <c r="O452" s="21"/>
      <c r="P452" s="21"/>
      <c r="Q452" s="21"/>
      <c r="R452" s="21"/>
      <c r="S452" s="21"/>
    </row>
    <row r="453" ht="15.75" customHeight="1">
      <c r="N453" s="21"/>
      <c r="O453" s="21"/>
      <c r="P453" s="21"/>
      <c r="Q453" s="21"/>
      <c r="R453" s="21"/>
      <c r="S453" s="21"/>
    </row>
    <row r="454" ht="15.75" customHeight="1">
      <c r="N454" s="21"/>
      <c r="O454" s="21"/>
      <c r="P454" s="21"/>
      <c r="Q454" s="21"/>
      <c r="R454" s="21"/>
      <c r="S454" s="21"/>
    </row>
    <row r="455" ht="15.75" customHeight="1">
      <c r="N455" s="21"/>
      <c r="O455" s="21"/>
      <c r="P455" s="21"/>
      <c r="Q455" s="21"/>
      <c r="R455" s="21"/>
      <c r="S455" s="21"/>
    </row>
    <row r="456" ht="15.75" customHeight="1">
      <c r="N456" s="21"/>
      <c r="O456" s="21"/>
      <c r="P456" s="21"/>
      <c r="Q456" s="21"/>
      <c r="R456" s="21"/>
      <c r="S456" s="21"/>
    </row>
    <row r="457" ht="15.75" customHeight="1">
      <c r="N457" s="21"/>
      <c r="O457" s="21"/>
      <c r="P457" s="21"/>
      <c r="Q457" s="21"/>
      <c r="R457" s="21"/>
      <c r="S457" s="21"/>
    </row>
    <row r="458" ht="15.75" customHeight="1">
      <c r="N458" s="21"/>
      <c r="O458" s="21"/>
      <c r="P458" s="21"/>
      <c r="Q458" s="21"/>
      <c r="R458" s="21"/>
      <c r="S458" s="21"/>
    </row>
    <row r="459" ht="15.75" customHeight="1">
      <c r="N459" s="21"/>
      <c r="O459" s="21"/>
      <c r="P459" s="21"/>
      <c r="Q459" s="21"/>
      <c r="R459" s="21"/>
      <c r="S459" s="21"/>
    </row>
    <row r="460" ht="15.75" customHeight="1">
      <c r="N460" s="21"/>
      <c r="O460" s="21"/>
      <c r="P460" s="21"/>
      <c r="Q460" s="21"/>
      <c r="R460" s="21"/>
      <c r="S460" s="21"/>
    </row>
    <row r="461" ht="15.75" customHeight="1">
      <c r="N461" s="21"/>
      <c r="O461" s="21"/>
      <c r="P461" s="21"/>
      <c r="Q461" s="21"/>
      <c r="R461" s="21"/>
      <c r="S461" s="21"/>
    </row>
    <row r="462" ht="15.75" customHeight="1">
      <c r="N462" s="21"/>
      <c r="O462" s="21"/>
      <c r="P462" s="21"/>
      <c r="Q462" s="21"/>
      <c r="R462" s="21"/>
      <c r="S462" s="21"/>
    </row>
    <row r="463" ht="15.75" customHeight="1">
      <c r="N463" s="21"/>
      <c r="O463" s="21"/>
      <c r="P463" s="21"/>
      <c r="Q463" s="21"/>
      <c r="R463" s="21"/>
      <c r="S463" s="21"/>
    </row>
    <row r="464" ht="15.75" customHeight="1">
      <c r="N464" s="21"/>
      <c r="O464" s="21"/>
      <c r="P464" s="21"/>
      <c r="Q464" s="21"/>
      <c r="R464" s="21"/>
      <c r="S464" s="21"/>
    </row>
    <row r="465" ht="15.75" customHeight="1">
      <c r="N465" s="21"/>
      <c r="O465" s="21"/>
      <c r="P465" s="21"/>
      <c r="Q465" s="21"/>
      <c r="R465" s="21"/>
      <c r="S465" s="21"/>
    </row>
    <row r="466" ht="15.75" customHeight="1">
      <c r="N466" s="21"/>
      <c r="O466" s="21"/>
      <c r="P466" s="21"/>
      <c r="Q466" s="21"/>
      <c r="R466" s="21"/>
      <c r="S466" s="21"/>
    </row>
    <row r="467" ht="15.75" customHeight="1">
      <c r="N467" s="21"/>
      <c r="O467" s="21"/>
      <c r="P467" s="21"/>
      <c r="Q467" s="21"/>
      <c r="R467" s="21"/>
      <c r="S467" s="21"/>
    </row>
    <row r="468" ht="15.75" customHeight="1">
      <c r="N468" s="21"/>
      <c r="O468" s="21"/>
      <c r="P468" s="21"/>
      <c r="Q468" s="21"/>
      <c r="R468" s="21"/>
      <c r="S468" s="21"/>
    </row>
    <row r="469" ht="15.75" customHeight="1">
      <c r="N469" s="21"/>
      <c r="O469" s="21"/>
      <c r="P469" s="21"/>
      <c r="Q469" s="21"/>
      <c r="R469" s="21"/>
      <c r="S469" s="21"/>
    </row>
    <row r="470" ht="15.75" customHeight="1">
      <c r="N470" s="21"/>
      <c r="O470" s="21"/>
      <c r="P470" s="21"/>
      <c r="Q470" s="21"/>
      <c r="R470" s="21"/>
      <c r="S470" s="21"/>
    </row>
    <row r="471" ht="15.75" customHeight="1">
      <c r="N471" s="21"/>
      <c r="O471" s="21"/>
      <c r="P471" s="21"/>
      <c r="Q471" s="21"/>
      <c r="R471" s="21"/>
      <c r="S471" s="21"/>
    </row>
    <row r="472" ht="15.75" customHeight="1">
      <c r="N472" s="21"/>
      <c r="O472" s="21"/>
      <c r="P472" s="21"/>
      <c r="Q472" s="21"/>
      <c r="R472" s="21"/>
      <c r="S472" s="21"/>
    </row>
    <row r="473" ht="15.75" customHeight="1">
      <c r="N473" s="21"/>
      <c r="O473" s="21"/>
      <c r="P473" s="21"/>
      <c r="Q473" s="21"/>
      <c r="R473" s="21"/>
      <c r="S473" s="21"/>
    </row>
    <row r="474" ht="15.75" customHeight="1">
      <c r="N474" s="21"/>
      <c r="O474" s="21"/>
      <c r="P474" s="21"/>
      <c r="Q474" s="21"/>
      <c r="R474" s="21"/>
      <c r="S474" s="21"/>
    </row>
    <row r="475" ht="15.75" customHeight="1">
      <c r="N475" s="21"/>
      <c r="O475" s="21"/>
      <c r="P475" s="21"/>
      <c r="Q475" s="21"/>
      <c r="R475" s="21"/>
      <c r="S475" s="21"/>
    </row>
    <row r="476" ht="15.75" customHeight="1">
      <c r="N476" s="21"/>
      <c r="O476" s="21"/>
      <c r="P476" s="21"/>
      <c r="Q476" s="21"/>
      <c r="R476" s="21"/>
      <c r="S476" s="21"/>
    </row>
    <row r="477" ht="15.75" customHeight="1">
      <c r="N477" s="21"/>
      <c r="O477" s="21"/>
      <c r="P477" s="21"/>
      <c r="Q477" s="21"/>
      <c r="R477" s="21"/>
      <c r="S477" s="21"/>
    </row>
    <row r="478" ht="15.75" customHeight="1">
      <c r="N478" s="21"/>
      <c r="O478" s="21"/>
      <c r="P478" s="21"/>
      <c r="Q478" s="21"/>
      <c r="R478" s="21"/>
      <c r="S478" s="21"/>
    </row>
    <row r="479" ht="15.75" customHeight="1">
      <c r="N479" s="21"/>
      <c r="O479" s="21"/>
      <c r="P479" s="21"/>
      <c r="Q479" s="21"/>
      <c r="R479" s="21"/>
      <c r="S479" s="21"/>
    </row>
    <row r="480" ht="15.75" customHeight="1">
      <c r="N480" s="21"/>
      <c r="O480" s="21"/>
      <c r="P480" s="21"/>
      <c r="Q480" s="21"/>
      <c r="R480" s="21"/>
      <c r="S480" s="21"/>
    </row>
    <row r="481" ht="15.75" customHeight="1">
      <c r="N481" s="21"/>
      <c r="O481" s="21"/>
      <c r="P481" s="21"/>
      <c r="Q481" s="21"/>
      <c r="R481" s="21"/>
      <c r="S481" s="21"/>
    </row>
    <row r="482" ht="15.75" customHeight="1">
      <c r="N482" s="21"/>
      <c r="O482" s="21"/>
      <c r="P482" s="21"/>
      <c r="Q482" s="21"/>
      <c r="R482" s="21"/>
      <c r="S482" s="21"/>
    </row>
    <row r="483" ht="15.75" customHeight="1">
      <c r="N483" s="21"/>
      <c r="O483" s="21"/>
      <c r="P483" s="21"/>
      <c r="Q483" s="21"/>
      <c r="R483" s="21"/>
      <c r="S483" s="21"/>
    </row>
    <row r="484" ht="15.75" customHeight="1">
      <c r="N484" s="21"/>
      <c r="O484" s="21"/>
      <c r="P484" s="21"/>
      <c r="Q484" s="21"/>
      <c r="R484" s="21"/>
      <c r="S484" s="21"/>
    </row>
    <row r="485" ht="15.75" customHeight="1">
      <c r="N485" s="21"/>
      <c r="O485" s="21"/>
      <c r="P485" s="21"/>
      <c r="Q485" s="21"/>
      <c r="R485" s="21"/>
      <c r="S485" s="21"/>
    </row>
    <row r="486" ht="15.75" customHeight="1">
      <c r="N486" s="21"/>
      <c r="O486" s="21"/>
      <c r="P486" s="21"/>
      <c r="Q486" s="21"/>
      <c r="R486" s="21"/>
      <c r="S486" s="21"/>
    </row>
    <row r="487" ht="15.75" customHeight="1">
      <c r="N487" s="21"/>
      <c r="O487" s="21"/>
      <c r="P487" s="21"/>
      <c r="Q487" s="21"/>
      <c r="R487" s="21"/>
      <c r="S487" s="21"/>
    </row>
    <row r="488" ht="15.75" customHeight="1">
      <c r="N488" s="21"/>
      <c r="O488" s="21"/>
      <c r="P488" s="21"/>
      <c r="Q488" s="21"/>
      <c r="R488" s="21"/>
      <c r="S488" s="21"/>
    </row>
    <row r="489" ht="15.75" customHeight="1">
      <c r="N489" s="21"/>
      <c r="O489" s="21"/>
      <c r="P489" s="21"/>
      <c r="Q489" s="21"/>
      <c r="R489" s="21"/>
      <c r="S489" s="21"/>
    </row>
    <row r="490" ht="15.75" customHeight="1">
      <c r="N490" s="21"/>
      <c r="O490" s="21"/>
      <c r="P490" s="21"/>
      <c r="Q490" s="21"/>
      <c r="R490" s="21"/>
      <c r="S490" s="21"/>
    </row>
    <row r="491" ht="15.75" customHeight="1">
      <c r="N491" s="21"/>
      <c r="O491" s="21"/>
      <c r="P491" s="21"/>
      <c r="Q491" s="21"/>
      <c r="R491" s="21"/>
      <c r="S491" s="21"/>
    </row>
    <row r="492" ht="15.75" customHeight="1">
      <c r="N492" s="21"/>
      <c r="O492" s="21"/>
      <c r="P492" s="21"/>
      <c r="Q492" s="21"/>
      <c r="R492" s="21"/>
      <c r="S492" s="21"/>
    </row>
    <row r="493" ht="15.75" customHeight="1">
      <c r="N493" s="21"/>
      <c r="O493" s="21"/>
      <c r="P493" s="21"/>
      <c r="Q493" s="21"/>
      <c r="R493" s="21"/>
      <c r="S493" s="21"/>
    </row>
    <row r="494" ht="15.75" customHeight="1">
      <c r="N494" s="21"/>
      <c r="O494" s="21"/>
      <c r="P494" s="21"/>
      <c r="Q494" s="21"/>
      <c r="R494" s="21"/>
      <c r="S494" s="21"/>
    </row>
    <row r="495" ht="15.75" customHeight="1">
      <c r="N495" s="21"/>
      <c r="O495" s="21"/>
      <c r="P495" s="21"/>
      <c r="Q495" s="21"/>
      <c r="R495" s="21"/>
      <c r="S495" s="21"/>
    </row>
    <row r="496" ht="15.75" customHeight="1">
      <c r="N496" s="21"/>
      <c r="O496" s="21"/>
      <c r="P496" s="21"/>
      <c r="Q496" s="21"/>
      <c r="R496" s="21"/>
      <c r="S496" s="21"/>
    </row>
    <row r="497" ht="15.75" customHeight="1">
      <c r="N497" s="21"/>
      <c r="O497" s="21"/>
      <c r="P497" s="21"/>
      <c r="Q497" s="21"/>
      <c r="R497" s="21"/>
      <c r="S497" s="21"/>
    </row>
    <row r="498" ht="15.75" customHeight="1">
      <c r="N498" s="21"/>
      <c r="O498" s="21"/>
      <c r="P498" s="21"/>
      <c r="Q498" s="21"/>
      <c r="R498" s="21"/>
      <c r="S498" s="21"/>
    </row>
    <row r="499" ht="15.75" customHeight="1">
      <c r="N499" s="21"/>
      <c r="O499" s="21"/>
      <c r="P499" s="21"/>
      <c r="Q499" s="21"/>
      <c r="R499" s="21"/>
      <c r="S499" s="21"/>
    </row>
    <row r="500" ht="15.75" customHeight="1">
      <c r="N500" s="21"/>
      <c r="O500" s="21"/>
      <c r="P500" s="21"/>
      <c r="Q500" s="21"/>
      <c r="R500" s="21"/>
      <c r="S500" s="21"/>
    </row>
    <row r="501" ht="15.75" customHeight="1">
      <c r="N501" s="21"/>
      <c r="O501" s="21"/>
      <c r="P501" s="21"/>
      <c r="Q501" s="21"/>
      <c r="R501" s="21"/>
      <c r="S501" s="21"/>
    </row>
    <row r="502" ht="15.75" customHeight="1">
      <c r="N502" s="21"/>
      <c r="O502" s="21"/>
      <c r="P502" s="21"/>
      <c r="Q502" s="21"/>
      <c r="R502" s="21"/>
      <c r="S502" s="21"/>
    </row>
    <row r="503" ht="15.75" customHeight="1">
      <c r="N503" s="21"/>
      <c r="O503" s="21"/>
      <c r="P503" s="21"/>
      <c r="Q503" s="21"/>
      <c r="R503" s="21"/>
      <c r="S503" s="21"/>
    </row>
    <row r="504" ht="15.75" customHeight="1">
      <c r="N504" s="21"/>
      <c r="O504" s="21"/>
      <c r="P504" s="21"/>
      <c r="Q504" s="21"/>
      <c r="R504" s="21"/>
      <c r="S504" s="21"/>
    </row>
    <row r="505" ht="15.75" customHeight="1">
      <c r="N505" s="21"/>
      <c r="O505" s="21"/>
      <c r="P505" s="21"/>
      <c r="Q505" s="21"/>
      <c r="R505" s="21"/>
      <c r="S505" s="21"/>
    </row>
    <row r="506" ht="15.75" customHeight="1">
      <c r="N506" s="21"/>
      <c r="O506" s="21"/>
      <c r="P506" s="21"/>
      <c r="Q506" s="21"/>
      <c r="R506" s="21"/>
      <c r="S506" s="21"/>
    </row>
    <row r="507" ht="15.75" customHeight="1">
      <c r="N507" s="21"/>
      <c r="O507" s="21"/>
      <c r="P507" s="21"/>
      <c r="Q507" s="21"/>
      <c r="R507" s="21"/>
      <c r="S507" s="21"/>
    </row>
    <row r="508" ht="15.75" customHeight="1">
      <c r="N508" s="21"/>
      <c r="O508" s="21"/>
      <c r="P508" s="21"/>
      <c r="Q508" s="21"/>
      <c r="R508" s="21"/>
      <c r="S508" s="21"/>
    </row>
    <row r="509" ht="15.75" customHeight="1">
      <c r="N509" s="21"/>
      <c r="O509" s="21"/>
      <c r="P509" s="21"/>
      <c r="Q509" s="21"/>
      <c r="R509" s="21"/>
      <c r="S509" s="21"/>
    </row>
    <row r="510" ht="15.75" customHeight="1">
      <c r="N510" s="21"/>
      <c r="O510" s="21"/>
      <c r="P510" s="21"/>
      <c r="Q510" s="21"/>
      <c r="R510" s="21"/>
      <c r="S510" s="21"/>
    </row>
    <row r="511" ht="15.75" customHeight="1">
      <c r="N511" s="21"/>
      <c r="O511" s="21"/>
      <c r="P511" s="21"/>
      <c r="Q511" s="21"/>
      <c r="R511" s="21"/>
      <c r="S511" s="21"/>
    </row>
    <row r="512" ht="15.75" customHeight="1">
      <c r="N512" s="21"/>
      <c r="O512" s="21"/>
      <c r="P512" s="21"/>
      <c r="Q512" s="21"/>
      <c r="R512" s="21"/>
      <c r="S512" s="21"/>
    </row>
    <row r="513" ht="15.75" customHeight="1">
      <c r="N513" s="21"/>
      <c r="O513" s="21"/>
      <c r="P513" s="21"/>
      <c r="Q513" s="21"/>
      <c r="R513" s="21"/>
      <c r="S513" s="21"/>
    </row>
    <row r="514" ht="15.75" customHeight="1">
      <c r="N514" s="21"/>
      <c r="O514" s="21"/>
      <c r="P514" s="21"/>
      <c r="Q514" s="21"/>
      <c r="R514" s="21"/>
      <c r="S514" s="21"/>
    </row>
    <row r="515" ht="15.75" customHeight="1">
      <c r="N515" s="21"/>
      <c r="O515" s="21"/>
      <c r="P515" s="21"/>
      <c r="Q515" s="21"/>
      <c r="R515" s="21"/>
      <c r="S515" s="21"/>
    </row>
    <row r="516" ht="15.75" customHeight="1">
      <c r="N516" s="21"/>
      <c r="O516" s="21"/>
      <c r="P516" s="21"/>
      <c r="Q516" s="21"/>
      <c r="R516" s="21"/>
      <c r="S516" s="21"/>
    </row>
    <row r="517" ht="15.75" customHeight="1">
      <c r="N517" s="21"/>
      <c r="O517" s="21"/>
      <c r="P517" s="21"/>
      <c r="Q517" s="21"/>
      <c r="R517" s="21"/>
      <c r="S517" s="21"/>
    </row>
    <row r="518" ht="15.75" customHeight="1">
      <c r="N518" s="21"/>
      <c r="O518" s="21"/>
      <c r="P518" s="21"/>
      <c r="Q518" s="21"/>
      <c r="R518" s="21"/>
      <c r="S518" s="21"/>
    </row>
    <row r="519" ht="15.75" customHeight="1">
      <c r="N519" s="21"/>
      <c r="O519" s="21"/>
      <c r="P519" s="21"/>
      <c r="Q519" s="21"/>
      <c r="R519" s="21"/>
      <c r="S519" s="21"/>
    </row>
    <row r="520" ht="15.75" customHeight="1">
      <c r="N520" s="21"/>
      <c r="O520" s="21"/>
      <c r="P520" s="21"/>
      <c r="Q520" s="21"/>
      <c r="R520" s="21"/>
      <c r="S520" s="21"/>
    </row>
    <row r="521" ht="15.75" customHeight="1">
      <c r="N521" s="21"/>
      <c r="O521" s="21"/>
      <c r="P521" s="21"/>
      <c r="Q521" s="21"/>
      <c r="R521" s="21"/>
      <c r="S521" s="21"/>
    </row>
    <row r="522" ht="15.75" customHeight="1">
      <c r="N522" s="21"/>
      <c r="O522" s="21"/>
      <c r="P522" s="21"/>
      <c r="Q522" s="21"/>
      <c r="R522" s="21"/>
      <c r="S522" s="21"/>
    </row>
    <row r="523" ht="15.75" customHeight="1">
      <c r="N523" s="21"/>
      <c r="O523" s="21"/>
      <c r="P523" s="21"/>
      <c r="Q523" s="21"/>
      <c r="R523" s="21"/>
      <c r="S523" s="21"/>
    </row>
    <row r="524" ht="15.75" customHeight="1">
      <c r="N524" s="21"/>
      <c r="O524" s="21"/>
      <c r="P524" s="21"/>
      <c r="Q524" s="21"/>
      <c r="R524" s="21"/>
      <c r="S524" s="21"/>
    </row>
    <row r="525" ht="15.75" customHeight="1">
      <c r="N525" s="21"/>
      <c r="O525" s="21"/>
      <c r="P525" s="21"/>
      <c r="Q525" s="21"/>
      <c r="R525" s="21"/>
      <c r="S525" s="21"/>
    </row>
    <row r="526" ht="15.75" customHeight="1">
      <c r="N526" s="21"/>
      <c r="O526" s="21"/>
      <c r="P526" s="21"/>
      <c r="Q526" s="21"/>
      <c r="R526" s="21"/>
      <c r="S526" s="21"/>
    </row>
    <row r="527" ht="15.75" customHeight="1">
      <c r="N527" s="21"/>
      <c r="O527" s="21"/>
      <c r="P527" s="21"/>
      <c r="Q527" s="21"/>
      <c r="R527" s="21"/>
      <c r="S527" s="21"/>
    </row>
    <row r="528" ht="15.75" customHeight="1">
      <c r="N528" s="21"/>
      <c r="O528" s="21"/>
      <c r="P528" s="21"/>
      <c r="Q528" s="21"/>
      <c r="R528" s="21"/>
      <c r="S528" s="21"/>
    </row>
    <row r="529" ht="15.75" customHeight="1">
      <c r="N529" s="21"/>
      <c r="O529" s="21"/>
      <c r="P529" s="21"/>
      <c r="Q529" s="21"/>
      <c r="R529" s="21"/>
      <c r="S529" s="21"/>
    </row>
    <row r="530" ht="15.75" customHeight="1">
      <c r="N530" s="21"/>
      <c r="O530" s="21"/>
      <c r="P530" s="21"/>
      <c r="Q530" s="21"/>
      <c r="R530" s="21"/>
      <c r="S530" s="21"/>
    </row>
    <row r="531" ht="15.75" customHeight="1">
      <c r="N531" s="21"/>
      <c r="O531" s="21"/>
      <c r="P531" s="21"/>
      <c r="Q531" s="21"/>
      <c r="R531" s="21"/>
      <c r="S531" s="21"/>
    </row>
    <row r="532" ht="15.75" customHeight="1">
      <c r="N532" s="21"/>
      <c r="O532" s="21"/>
      <c r="P532" s="21"/>
      <c r="Q532" s="21"/>
      <c r="R532" s="21"/>
      <c r="S532" s="21"/>
    </row>
    <row r="533" ht="15.75" customHeight="1">
      <c r="N533" s="21"/>
      <c r="O533" s="21"/>
      <c r="P533" s="21"/>
      <c r="Q533" s="21"/>
      <c r="R533" s="21"/>
      <c r="S533" s="21"/>
    </row>
    <row r="534" ht="15.75" customHeight="1">
      <c r="N534" s="21"/>
      <c r="O534" s="21"/>
      <c r="P534" s="21"/>
      <c r="Q534" s="21"/>
      <c r="R534" s="21"/>
      <c r="S534" s="21"/>
    </row>
    <row r="535" ht="15.75" customHeight="1">
      <c r="N535" s="21"/>
      <c r="O535" s="21"/>
      <c r="P535" s="21"/>
      <c r="Q535" s="21"/>
      <c r="R535" s="21"/>
      <c r="S535" s="21"/>
    </row>
    <row r="536" ht="15.75" customHeight="1">
      <c r="N536" s="21"/>
      <c r="O536" s="21"/>
      <c r="P536" s="21"/>
      <c r="Q536" s="21"/>
      <c r="R536" s="21"/>
      <c r="S536" s="21"/>
    </row>
    <row r="537" ht="15.75" customHeight="1">
      <c r="N537" s="21"/>
      <c r="O537" s="21"/>
      <c r="P537" s="21"/>
      <c r="Q537" s="21"/>
      <c r="R537" s="21"/>
      <c r="S537" s="21"/>
    </row>
    <row r="538" ht="15.75" customHeight="1">
      <c r="N538" s="21"/>
      <c r="O538" s="21"/>
      <c r="P538" s="21"/>
      <c r="Q538" s="21"/>
      <c r="R538" s="21"/>
      <c r="S538" s="21"/>
    </row>
    <row r="539" ht="15.75" customHeight="1">
      <c r="N539" s="21"/>
      <c r="O539" s="21"/>
      <c r="P539" s="21"/>
      <c r="Q539" s="21"/>
      <c r="R539" s="21"/>
      <c r="S539" s="21"/>
    </row>
    <row r="540" ht="15.75" customHeight="1">
      <c r="N540" s="21"/>
      <c r="O540" s="21"/>
      <c r="P540" s="21"/>
      <c r="Q540" s="21"/>
      <c r="R540" s="21"/>
      <c r="S540" s="21"/>
    </row>
    <row r="541" ht="15.75" customHeight="1">
      <c r="N541" s="21"/>
      <c r="O541" s="21"/>
      <c r="P541" s="21"/>
      <c r="Q541" s="21"/>
      <c r="R541" s="21"/>
      <c r="S541" s="21"/>
    </row>
    <row r="542" ht="15.75" customHeight="1">
      <c r="N542" s="21"/>
      <c r="O542" s="21"/>
      <c r="P542" s="21"/>
      <c r="Q542" s="21"/>
      <c r="R542" s="21"/>
      <c r="S542" s="21"/>
    </row>
    <row r="543" ht="15.75" customHeight="1">
      <c r="N543" s="21"/>
      <c r="O543" s="21"/>
      <c r="P543" s="21"/>
      <c r="Q543" s="21"/>
      <c r="R543" s="21"/>
      <c r="S543" s="21"/>
    </row>
    <row r="544" ht="15.75" customHeight="1">
      <c r="N544" s="21"/>
      <c r="O544" s="21"/>
      <c r="P544" s="21"/>
      <c r="Q544" s="21"/>
      <c r="R544" s="21"/>
      <c r="S544" s="21"/>
    </row>
    <row r="545" ht="15.75" customHeight="1">
      <c r="N545" s="21"/>
      <c r="O545" s="21"/>
      <c r="P545" s="21"/>
      <c r="Q545" s="21"/>
      <c r="R545" s="21"/>
      <c r="S545" s="21"/>
    </row>
    <row r="546" ht="15.75" customHeight="1">
      <c r="N546" s="21"/>
      <c r="O546" s="21"/>
      <c r="P546" s="21"/>
      <c r="Q546" s="21"/>
      <c r="R546" s="21"/>
      <c r="S546" s="21"/>
    </row>
    <row r="547" ht="15.75" customHeight="1">
      <c r="N547" s="21"/>
      <c r="O547" s="21"/>
      <c r="P547" s="21"/>
      <c r="Q547" s="21"/>
      <c r="R547" s="21"/>
      <c r="S547" s="21"/>
    </row>
    <row r="548" ht="15.75" customHeight="1">
      <c r="N548" s="21"/>
      <c r="O548" s="21"/>
      <c r="P548" s="21"/>
      <c r="Q548" s="21"/>
      <c r="R548" s="21"/>
      <c r="S548" s="21"/>
    </row>
    <row r="549" ht="15.75" customHeight="1">
      <c r="N549" s="21"/>
      <c r="O549" s="21"/>
      <c r="P549" s="21"/>
      <c r="Q549" s="21"/>
      <c r="R549" s="21"/>
      <c r="S549" s="21"/>
    </row>
    <row r="550" ht="15.75" customHeight="1">
      <c r="N550" s="21"/>
      <c r="O550" s="21"/>
      <c r="P550" s="21"/>
      <c r="Q550" s="21"/>
      <c r="R550" s="21"/>
      <c r="S550" s="21"/>
    </row>
    <row r="551" ht="15.75" customHeight="1">
      <c r="N551" s="21"/>
      <c r="O551" s="21"/>
      <c r="P551" s="21"/>
      <c r="Q551" s="21"/>
      <c r="R551" s="21"/>
      <c r="S551" s="21"/>
    </row>
    <row r="552" ht="15.75" customHeight="1">
      <c r="N552" s="21"/>
      <c r="O552" s="21"/>
      <c r="P552" s="21"/>
      <c r="Q552" s="21"/>
      <c r="R552" s="21"/>
      <c r="S552" s="21"/>
    </row>
    <row r="553" ht="15.75" customHeight="1">
      <c r="N553" s="21"/>
      <c r="O553" s="21"/>
      <c r="P553" s="21"/>
      <c r="Q553" s="21"/>
      <c r="R553" s="21"/>
      <c r="S553" s="21"/>
    </row>
    <row r="554" ht="15.75" customHeight="1">
      <c r="N554" s="21"/>
      <c r="O554" s="21"/>
      <c r="P554" s="21"/>
      <c r="Q554" s="21"/>
      <c r="R554" s="21"/>
      <c r="S554" s="21"/>
    </row>
    <row r="555" ht="15.75" customHeight="1">
      <c r="N555" s="21"/>
      <c r="O555" s="21"/>
      <c r="P555" s="21"/>
      <c r="Q555" s="21"/>
      <c r="R555" s="21"/>
      <c r="S555" s="21"/>
    </row>
    <row r="556" ht="15.75" customHeight="1">
      <c r="N556" s="21"/>
      <c r="O556" s="21"/>
      <c r="P556" s="21"/>
      <c r="Q556" s="21"/>
      <c r="R556" s="21"/>
      <c r="S556" s="21"/>
    </row>
    <row r="557" ht="15.75" customHeight="1">
      <c r="N557" s="21"/>
      <c r="O557" s="21"/>
      <c r="P557" s="21"/>
      <c r="Q557" s="21"/>
      <c r="R557" s="21"/>
      <c r="S557" s="21"/>
    </row>
    <row r="558" ht="15.75" customHeight="1">
      <c r="N558" s="21"/>
      <c r="O558" s="21"/>
      <c r="P558" s="21"/>
      <c r="Q558" s="21"/>
      <c r="R558" s="21"/>
      <c r="S558" s="21"/>
    </row>
    <row r="559" ht="15.75" customHeight="1">
      <c r="N559" s="21"/>
      <c r="O559" s="21"/>
      <c r="P559" s="21"/>
      <c r="Q559" s="21"/>
      <c r="R559" s="21"/>
      <c r="S559" s="21"/>
    </row>
    <row r="560" ht="15.75" customHeight="1">
      <c r="N560" s="21"/>
      <c r="O560" s="21"/>
      <c r="P560" s="21"/>
      <c r="Q560" s="21"/>
      <c r="R560" s="21"/>
      <c r="S560" s="21"/>
    </row>
    <row r="561" ht="15.75" customHeight="1">
      <c r="N561" s="21"/>
      <c r="O561" s="21"/>
      <c r="P561" s="21"/>
      <c r="Q561" s="21"/>
      <c r="R561" s="21"/>
      <c r="S561" s="21"/>
    </row>
    <row r="562" ht="15.75" customHeight="1">
      <c r="N562" s="21"/>
      <c r="O562" s="21"/>
      <c r="P562" s="21"/>
      <c r="Q562" s="21"/>
      <c r="R562" s="21"/>
      <c r="S562" s="21"/>
    </row>
    <row r="563" ht="15.75" customHeight="1">
      <c r="N563" s="21"/>
      <c r="O563" s="21"/>
      <c r="P563" s="21"/>
      <c r="Q563" s="21"/>
      <c r="R563" s="21"/>
      <c r="S563" s="21"/>
    </row>
    <row r="564" ht="15.75" customHeight="1">
      <c r="N564" s="21"/>
      <c r="O564" s="21"/>
      <c r="P564" s="21"/>
      <c r="Q564" s="21"/>
      <c r="R564" s="21"/>
      <c r="S564" s="21"/>
    </row>
    <row r="565" ht="15.75" customHeight="1">
      <c r="N565" s="21"/>
      <c r="O565" s="21"/>
      <c r="P565" s="21"/>
      <c r="Q565" s="21"/>
      <c r="R565" s="21"/>
      <c r="S565" s="21"/>
    </row>
    <row r="566" ht="15.75" customHeight="1">
      <c r="N566" s="21"/>
      <c r="O566" s="21"/>
      <c r="P566" s="21"/>
      <c r="Q566" s="21"/>
      <c r="R566" s="21"/>
      <c r="S566" s="21"/>
    </row>
    <row r="567" ht="15.75" customHeight="1">
      <c r="N567" s="21"/>
      <c r="O567" s="21"/>
      <c r="P567" s="21"/>
      <c r="Q567" s="21"/>
      <c r="R567" s="21"/>
      <c r="S567" s="21"/>
    </row>
    <row r="568" ht="15.75" customHeight="1">
      <c r="N568" s="21"/>
      <c r="O568" s="21"/>
      <c r="P568" s="21"/>
      <c r="Q568" s="21"/>
      <c r="R568" s="21"/>
      <c r="S568" s="21"/>
    </row>
    <row r="569" ht="15.75" customHeight="1">
      <c r="N569" s="21"/>
      <c r="O569" s="21"/>
      <c r="P569" s="21"/>
      <c r="Q569" s="21"/>
      <c r="R569" s="21"/>
      <c r="S569" s="21"/>
    </row>
    <row r="570" ht="15.75" customHeight="1">
      <c r="N570" s="21"/>
      <c r="O570" s="21"/>
      <c r="P570" s="21"/>
      <c r="Q570" s="21"/>
      <c r="R570" s="21"/>
      <c r="S570" s="21"/>
    </row>
    <row r="571" ht="15.75" customHeight="1">
      <c r="N571" s="21"/>
      <c r="O571" s="21"/>
      <c r="P571" s="21"/>
      <c r="Q571" s="21"/>
      <c r="R571" s="21"/>
      <c r="S571" s="21"/>
    </row>
    <row r="572" ht="15.75" customHeight="1">
      <c r="N572" s="21"/>
      <c r="O572" s="21"/>
      <c r="P572" s="21"/>
      <c r="Q572" s="21"/>
      <c r="R572" s="21"/>
      <c r="S572" s="21"/>
    </row>
    <row r="573" ht="15.75" customHeight="1">
      <c r="N573" s="21"/>
      <c r="O573" s="21"/>
      <c r="P573" s="21"/>
      <c r="Q573" s="21"/>
      <c r="R573" s="21"/>
      <c r="S573" s="21"/>
    </row>
    <row r="574" ht="15.75" customHeight="1">
      <c r="N574" s="21"/>
      <c r="O574" s="21"/>
      <c r="P574" s="21"/>
      <c r="Q574" s="21"/>
      <c r="R574" s="21"/>
      <c r="S574" s="21"/>
    </row>
    <row r="575" ht="15.75" customHeight="1">
      <c r="N575" s="21"/>
      <c r="O575" s="21"/>
      <c r="P575" s="21"/>
      <c r="Q575" s="21"/>
      <c r="R575" s="21"/>
      <c r="S575" s="21"/>
    </row>
    <row r="576" ht="15.75" customHeight="1">
      <c r="N576" s="21"/>
      <c r="O576" s="21"/>
      <c r="P576" s="21"/>
      <c r="Q576" s="21"/>
      <c r="R576" s="21"/>
      <c r="S576" s="21"/>
    </row>
    <row r="577" ht="15.75" customHeight="1">
      <c r="N577" s="21"/>
      <c r="O577" s="21"/>
      <c r="P577" s="21"/>
      <c r="Q577" s="21"/>
      <c r="R577" s="21"/>
      <c r="S577" s="21"/>
    </row>
    <row r="578" ht="15.75" customHeight="1">
      <c r="N578" s="21"/>
      <c r="O578" s="21"/>
      <c r="P578" s="21"/>
      <c r="Q578" s="21"/>
      <c r="R578" s="21"/>
      <c r="S578" s="21"/>
    </row>
    <row r="579" ht="15.75" customHeight="1">
      <c r="N579" s="21"/>
      <c r="O579" s="21"/>
      <c r="P579" s="21"/>
      <c r="Q579" s="21"/>
      <c r="R579" s="21"/>
      <c r="S579" s="21"/>
    </row>
    <row r="580" ht="15.75" customHeight="1">
      <c r="N580" s="21"/>
      <c r="O580" s="21"/>
      <c r="P580" s="21"/>
      <c r="Q580" s="21"/>
      <c r="R580" s="21"/>
      <c r="S580" s="21"/>
    </row>
    <row r="581" ht="15.75" customHeight="1">
      <c r="N581" s="21"/>
      <c r="O581" s="21"/>
      <c r="P581" s="21"/>
      <c r="Q581" s="21"/>
      <c r="R581" s="21"/>
      <c r="S581" s="21"/>
    </row>
    <row r="582" ht="15.75" customHeight="1">
      <c r="N582" s="21"/>
      <c r="O582" s="21"/>
      <c r="P582" s="21"/>
      <c r="Q582" s="21"/>
      <c r="R582" s="21"/>
      <c r="S582" s="21"/>
    </row>
    <row r="583" ht="15.75" customHeight="1">
      <c r="N583" s="21"/>
      <c r="O583" s="21"/>
      <c r="P583" s="21"/>
      <c r="Q583" s="21"/>
      <c r="R583" s="21"/>
      <c r="S583" s="21"/>
    </row>
    <row r="584" ht="15.75" customHeight="1">
      <c r="N584" s="21"/>
      <c r="O584" s="21"/>
      <c r="P584" s="21"/>
      <c r="Q584" s="21"/>
      <c r="R584" s="21"/>
      <c r="S584" s="21"/>
    </row>
    <row r="585" ht="15.75" customHeight="1">
      <c r="N585" s="21"/>
      <c r="O585" s="21"/>
      <c r="P585" s="21"/>
      <c r="Q585" s="21"/>
      <c r="R585" s="21"/>
      <c r="S585" s="21"/>
    </row>
    <row r="586" ht="15.75" customHeight="1">
      <c r="N586" s="21"/>
      <c r="O586" s="21"/>
      <c r="P586" s="21"/>
      <c r="Q586" s="21"/>
      <c r="R586" s="21"/>
      <c r="S586" s="21"/>
    </row>
    <row r="587" ht="15.75" customHeight="1">
      <c r="N587" s="21"/>
      <c r="O587" s="21"/>
      <c r="P587" s="21"/>
      <c r="Q587" s="21"/>
      <c r="R587" s="21"/>
      <c r="S587" s="21"/>
    </row>
    <row r="588" ht="15.75" customHeight="1">
      <c r="N588" s="21"/>
      <c r="O588" s="21"/>
      <c r="P588" s="21"/>
      <c r="Q588" s="21"/>
      <c r="R588" s="21"/>
      <c r="S588" s="21"/>
    </row>
    <row r="589" ht="15.75" customHeight="1">
      <c r="N589" s="21"/>
      <c r="O589" s="21"/>
      <c r="P589" s="21"/>
      <c r="Q589" s="21"/>
      <c r="R589" s="21"/>
      <c r="S589" s="21"/>
    </row>
    <row r="590" ht="15.75" customHeight="1">
      <c r="N590" s="21"/>
      <c r="O590" s="21"/>
      <c r="P590" s="21"/>
      <c r="Q590" s="21"/>
      <c r="R590" s="21"/>
      <c r="S590" s="21"/>
    </row>
    <row r="591" ht="15.75" customHeight="1">
      <c r="N591" s="21"/>
      <c r="O591" s="21"/>
      <c r="P591" s="21"/>
      <c r="Q591" s="21"/>
      <c r="R591" s="21"/>
      <c r="S591" s="21"/>
    </row>
    <row r="592" ht="15.75" customHeight="1">
      <c r="N592" s="21"/>
      <c r="O592" s="21"/>
      <c r="P592" s="21"/>
      <c r="Q592" s="21"/>
      <c r="R592" s="21"/>
      <c r="S592" s="21"/>
    </row>
    <row r="593" ht="15.75" customHeight="1">
      <c r="N593" s="21"/>
      <c r="O593" s="21"/>
      <c r="P593" s="21"/>
      <c r="Q593" s="21"/>
      <c r="R593" s="21"/>
      <c r="S593" s="21"/>
    </row>
    <row r="594" ht="15.75" customHeight="1">
      <c r="N594" s="21"/>
      <c r="O594" s="21"/>
      <c r="P594" s="21"/>
      <c r="Q594" s="21"/>
      <c r="R594" s="21"/>
      <c r="S594" s="21"/>
    </row>
    <row r="595" ht="15.75" customHeight="1">
      <c r="N595" s="21"/>
      <c r="O595" s="21"/>
      <c r="P595" s="21"/>
      <c r="Q595" s="21"/>
      <c r="R595" s="21"/>
      <c r="S595" s="21"/>
    </row>
    <row r="596" ht="15.75" customHeight="1">
      <c r="N596" s="21"/>
      <c r="O596" s="21"/>
      <c r="P596" s="21"/>
      <c r="Q596" s="21"/>
      <c r="R596" s="21"/>
      <c r="S596" s="21"/>
    </row>
    <row r="597" ht="15.75" customHeight="1">
      <c r="N597" s="21"/>
      <c r="O597" s="21"/>
      <c r="P597" s="21"/>
      <c r="Q597" s="21"/>
      <c r="R597" s="21"/>
      <c r="S597" s="21"/>
    </row>
    <row r="598" ht="15.75" customHeight="1">
      <c r="N598" s="21"/>
      <c r="O598" s="21"/>
      <c r="P598" s="21"/>
      <c r="Q598" s="21"/>
      <c r="R598" s="21"/>
      <c r="S598" s="21"/>
    </row>
    <row r="599" ht="15.75" customHeight="1">
      <c r="N599" s="21"/>
      <c r="O599" s="21"/>
      <c r="P599" s="21"/>
      <c r="Q599" s="21"/>
      <c r="R599" s="21"/>
      <c r="S599" s="21"/>
    </row>
    <row r="600" ht="15.75" customHeight="1">
      <c r="N600" s="21"/>
      <c r="O600" s="21"/>
      <c r="P600" s="21"/>
      <c r="Q600" s="21"/>
      <c r="R600" s="21"/>
      <c r="S600" s="21"/>
    </row>
    <row r="601" ht="15.75" customHeight="1">
      <c r="N601" s="21"/>
      <c r="O601" s="21"/>
      <c r="P601" s="21"/>
      <c r="Q601" s="21"/>
      <c r="R601" s="21"/>
      <c r="S601" s="21"/>
    </row>
    <row r="602" ht="15.75" customHeight="1">
      <c r="N602" s="21"/>
      <c r="O602" s="21"/>
      <c r="P602" s="21"/>
      <c r="Q602" s="21"/>
      <c r="R602" s="21"/>
      <c r="S602" s="21"/>
    </row>
    <row r="603" ht="15.75" customHeight="1">
      <c r="N603" s="21"/>
      <c r="O603" s="21"/>
      <c r="P603" s="21"/>
      <c r="Q603" s="21"/>
      <c r="R603" s="21"/>
      <c r="S603" s="21"/>
    </row>
    <row r="604" ht="15.75" customHeight="1">
      <c r="N604" s="21"/>
      <c r="O604" s="21"/>
      <c r="P604" s="21"/>
      <c r="Q604" s="21"/>
      <c r="R604" s="21"/>
      <c r="S604" s="21"/>
    </row>
    <row r="605" ht="15.75" customHeight="1">
      <c r="N605" s="21"/>
      <c r="O605" s="21"/>
      <c r="P605" s="21"/>
      <c r="Q605" s="21"/>
      <c r="R605" s="21"/>
      <c r="S605" s="21"/>
    </row>
    <row r="606" ht="15.75" customHeight="1">
      <c r="N606" s="21"/>
      <c r="O606" s="21"/>
      <c r="P606" s="21"/>
      <c r="Q606" s="21"/>
      <c r="R606" s="21"/>
      <c r="S606" s="21"/>
    </row>
    <row r="607" ht="15.75" customHeight="1">
      <c r="N607" s="21"/>
      <c r="O607" s="21"/>
      <c r="P607" s="21"/>
      <c r="Q607" s="21"/>
      <c r="R607" s="21"/>
      <c r="S607" s="21"/>
    </row>
    <row r="608" ht="15.75" customHeight="1">
      <c r="N608" s="21"/>
      <c r="O608" s="21"/>
      <c r="P608" s="21"/>
      <c r="Q608" s="21"/>
      <c r="R608" s="21"/>
      <c r="S608" s="21"/>
    </row>
    <row r="609" ht="15.75" customHeight="1">
      <c r="N609" s="21"/>
      <c r="O609" s="21"/>
      <c r="P609" s="21"/>
      <c r="Q609" s="21"/>
      <c r="R609" s="21"/>
      <c r="S609" s="21"/>
    </row>
    <row r="610" ht="15.75" customHeight="1">
      <c r="N610" s="21"/>
      <c r="O610" s="21"/>
      <c r="P610" s="21"/>
      <c r="Q610" s="21"/>
      <c r="R610" s="21"/>
      <c r="S610" s="21"/>
    </row>
    <row r="611" ht="15.75" customHeight="1">
      <c r="N611" s="21"/>
      <c r="O611" s="21"/>
      <c r="P611" s="21"/>
      <c r="Q611" s="21"/>
      <c r="R611" s="21"/>
      <c r="S611" s="21"/>
    </row>
    <row r="612" ht="15.75" customHeight="1">
      <c r="N612" s="21"/>
      <c r="O612" s="21"/>
      <c r="P612" s="21"/>
      <c r="Q612" s="21"/>
      <c r="R612" s="21"/>
      <c r="S612" s="21"/>
    </row>
    <row r="613" ht="15.75" customHeight="1">
      <c r="N613" s="21"/>
      <c r="O613" s="21"/>
      <c r="P613" s="21"/>
      <c r="Q613" s="21"/>
      <c r="R613" s="21"/>
      <c r="S613" s="21"/>
    </row>
    <row r="614" ht="15.75" customHeight="1">
      <c r="N614" s="21"/>
      <c r="O614" s="21"/>
      <c r="P614" s="21"/>
      <c r="Q614" s="21"/>
      <c r="R614" s="21"/>
      <c r="S614" s="21"/>
    </row>
    <row r="615" ht="15.75" customHeight="1">
      <c r="N615" s="21"/>
      <c r="O615" s="21"/>
      <c r="P615" s="21"/>
      <c r="Q615" s="21"/>
      <c r="R615" s="21"/>
      <c r="S615" s="21"/>
    </row>
    <row r="616" ht="15.75" customHeight="1">
      <c r="N616" s="21"/>
      <c r="O616" s="21"/>
      <c r="P616" s="21"/>
      <c r="Q616" s="21"/>
      <c r="R616" s="21"/>
      <c r="S616" s="21"/>
    </row>
    <row r="617" ht="15.75" customHeight="1">
      <c r="N617" s="21"/>
      <c r="O617" s="21"/>
      <c r="P617" s="21"/>
      <c r="Q617" s="21"/>
      <c r="R617" s="21"/>
      <c r="S617" s="21"/>
    </row>
    <row r="618" ht="15.75" customHeight="1">
      <c r="N618" s="21"/>
      <c r="O618" s="21"/>
      <c r="P618" s="21"/>
      <c r="Q618" s="21"/>
      <c r="R618" s="21"/>
      <c r="S618" s="21"/>
    </row>
    <row r="619" ht="15.75" customHeight="1">
      <c r="N619" s="21"/>
      <c r="O619" s="21"/>
      <c r="P619" s="21"/>
      <c r="Q619" s="21"/>
      <c r="R619" s="21"/>
      <c r="S619" s="21"/>
    </row>
    <row r="620" ht="15.75" customHeight="1">
      <c r="N620" s="21"/>
      <c r="O620" s="21"/>
      <c r="P620" s="21"/>
      <c r="Q620" s="21"/>
      <c r="R620" s="21"/>
      <c r="S620" s="21"/>
    </row>
    <row r="621" ht="15.75" customHeight="1">
      <c r="N621" s="21"/>
      <c r="O621" s="21"/>
      <c r="P621" s="21"/>
      <c r="Q621" s="21"/>
      <c r="R621" s="21"/>
      <c r="S621" s="21"/>
    </row>
    <row r="622" ht="15.75" customHeight="1">
      <c r="N622" s="21"/>
      <c r="O622" s="21"/>
      <c r="P622" s="21"/>
      <c r="Q622" s="21"/>
      <c r="R622" s="21"/>
      <c r="S622" s="21"/>
    </row>
    <row r="623" ht="15.75" customHeight="1">
      <c r="N623" s="21"/>
      <c r="O623" s="21"/>
      <c r="P623" s="21"/>
      <c r="Q623" s="21"/>
      <c r="R623" s="21"/>
      <c r="S623" s="21"/>
    </row>
    <row r="624" ht="15.75" customHeight="1">
      <c r="N624" s="21"/>
      <c r="O624" s="21"/>
      <c r="P624" s="21"/>
      <c r="Q624" s="21"/>
      <c r="R624" s="21"/>
      <c r="S624" s="21"/>
    </row>
    <row r="625" ht="15.75" customHeight="1">
      <c r="N625" s="21"/>
      <c r="O625" s="21"/>
      <c r="P625" s="21"/>
      <c r="Q625" s="21"/>
      <c r="R625" s="21"/>
      <c r="S625" s="21"/>
    </row>
    <row r="626" ht="15.75" customHeight="1">
      <c r="N626" s="21"/>
      <c r="O626" s="21"/>
      <c r="P626" s="21"/>
      <c r="Q626" s="21"/>
      <c r="R626" s="21"/>
      <c r="S626" s="21"/>
    </row>
    <row r="627" ht="15.75" customHeight="1">
      <c r="N627" s="21"/>
      <c r="O627" s="21"/>
      <c r="P627" s="21"/>
      <c r="Q627" s="21"/>
      <c r="R627" s="21"/>
      <c r="S627" s="21"/>
    </row>
    <row r="628" ht="15.75" customHeight="1">
      <c r="N628" s="21"/>
      <c r="O628" s="21"/>
      <c r="P628" s="21"/>
      <c r="Q628" s="21"/>
      <c r="R628" s="21"/>
      <c r="S628" s="21"/>
    </row>
    <row r="629" ht="15.75" customHeight="1">
      <c r="N629" s="21"/>
      <c r="O629" s="21"/>
      <c r="P629" s="21"/>
      <c r="Q629" s="21"/>
      <c r="R629" s="21"/>
      <c r="S629" s="21"/>
    </row>
    <row r="630" ht="15.75" customHeight="1">
      <c r="N630" s="21"/>
      <c r="O630" s="21"/>
      <c r="P630" s="21"/>
      <c r="Q630" s="21"/>
      <c r="R630" s="21"/>
      <c r="S630" s="21"/>
    </row>
    <row r="631" ht="15.75" customHeight="1">
      <c r="N631" s="21"/>
      <c r="O631" s="21"/>
      <c r="P631" s="21"/>
      <c r="Q631" s="21"/>
      <c r="R631" s="21"/>
      <c r="S631" s="21"/>
    </row>
    <row r="632" ht="15.75" customHeight="1">
      <c r="N632" s="21"/>
      <c r="O632" s="21"/>
      <c r="P632" s="21"/>
      <c r="Q632" s="21"/>
      <c r="R632" s="21"/>
      <c r="S632" s="21"/>
    </row>
    <row r="633" ht="15.75" customHeight="1">
      <c r="N633" s="21"/>
      <c r="O633" s="21"/>
      <c r="P633" s="21"/>
      <c r="Q633" s="21"/>
      <c r="R633" s="21"/>
      <c r="S633" s="21"/>
    </row>
    <row r="634" ht="15.75" customHeight="1">
      <c r="N634" s="21"/>
      <c r="O634" s="21"/>
      <c r="P634" s="21"/>
      <c r="Q634" s="21"/>
      <c r="R634" s="21"/>
      <c r="S634" s="21"/>
    </row>
    <row r="635" ht="15.75" customHeight="1">
      <c r="N635" s="21"/>
      <c r="O635" s="21"/>
      <c r="P635" s="21"/>
      <c r="Q635" s="21"/>
      <c r="R635" s="21"/>
      <c r="S635" s="21"/>
    </row>
    <row r="636" ht="15.75" customHeight="1">
      <c r="N636" s="21"/>
      <c r="O636" s="21"/>
      <c r="P636" s="21"/>
      <c r="Q636" s="21"/>
      <c r="R636" s="21"/>
      <c r="S636" s="21"/>
    </row>
    <row r="637" ht="15.75" customHeight="1">
      <c r="N637" s="21"/>
      <c r="O637" s="21"/>
      <c r="P637" s="21"/>
      <c r="Q637" s="21"/>
      <c r="R637" s="21"/>
      <c r="S637" s="21"/>
    </row>
    <row r="638" ht="15.75" customHeight="1">
      <c r="N638" s="21"/>
      <c r="O638" s="21"/>
      <c r="P638" s="21"/>
      <c r="Q638" s="21"/>
      <c r="R638" s="21"/>
      <c r="S638" s="21"/>
    </row>
    <row r="639" ht="15.75" customHeight="1">
      <c r="N639" s="21"/>
      <c r="O639" s="21"/>
      <c r="P639" s="21"/>
      <c r="Q639" s="21"/>
      <c r="R639" s="21"/>
      <c r="S639" s="21"/>
    </row>
    <row r="640" ht="15.75" customHeight="1">
      <c r="N640" s="21"/>
      <c r="O640" s="21"/>
      <c r="P640" s="21"/>
      <c r="Q640" s="21"/>
      <c r="R640" s="21"/>
      <c r="S640" s="21"/>
    </row>
    <row r="641" ht="15.75" customHeight="1">
      <c r="N641" s="21"/>
      <c r="O641" s="21"/>
      <c r="P641" s="21"/>
      <c r="Q641" s="21"/>
      <c r="R641" s="21"/>
      <c r="S641" s="21"/>
    </row>
    <row r="642" ht="15.75" customHeight="1">
      <c r="N642" s="21"/>
      <c r="O642" s="21"/>
      <c r="P642" s="21"/>
      <c r="Q642" s="21"/>
      <c r="R642" s="21"/>
      <c r="S642" s="21"/>
    </row>
    <row r="643" ht="15.75" customHeight="1">
      <c r="N643" s="21"/>
      <c r="O643" s="21"/>
      <c r="P643" s="21"/>
      <c r="Q643" s="21"/>
      <c r="R643" s="21"/>
      <c r="S643" s="21"/>
    </row>
    <row r="644" ht="15.75" customHeight="1">
      <c r="N644" s="21"/>
      <c r="O644" s="21"/>
      <c r="P644" s="21"/>
      <c r="Q644" s="21"/>
      <c r="R644" s="21"/>
      <c r="S644" s="21"/>
    </row>
    <row r="645" ht="15.75" customHeight="1">
      <c r="N645" s="21"/>
      <c r="O645" s="21"/>
      <c r="P645" s="21"/>
      <c r="Q645" s="21"/>
      <c r="R645" s="21"/>
      <c r="S645" s="21"/>
    </row>
    <row r="646" ht="15.75" customHeight="1">
      <c r="N646" s="21"/>
      <c r="O646" s="21"/>
      <c r="P646" s="21"/>
      <c r="Q646" s="21"/>
      <c r="R646" s="21"/>
      <c r="S646" s="21"/>
    </row>
    <row r="647" ht="15.75" customHeight="1">
      <c r="N647" s="21"/>
      <c r="O647" s="21"/>
      <c r="P647" s="21"/>
      <c r="Q647" s="21"/>
      <c r="R647" s="21"/>
      <c r="S647" s="21"/>
    </row>
    <row r="648" ht="15.75" customHeight="1">
      <c r="N648" s="21"/>
      <c r="O648" s="21"/>
      <c r="P648" s="21"/>
      <c r="Q648" s="21"/>
      <c r="R648" s="21"/>
      <c r="S648" s="21"/>
    </row>
    <row r="649" ht="15.75" customHeight="1">
      <c r="N649" s="21"/>
      <c r="O649" s="21"/>
      <c r="P649" s="21"/>
      <c r="Q649" s="21"/>
      <c r="R649" s="21"/>
      <c r="S649" s="21"/>
    </row>
    <row r="650" ht="15.75" customHeight="1">
      <c r="N650" s="21"/>
      <c r="O650" s="21"/>
      <c r="P650" s="21"/>
      <c r="Q650" s="21"/>
      <c r="R650" s="21"/>
      <c r="S650" s="21"/>
    </row>
    <row r="651" ht="15.75" customHeight="1">
      <c r="N651" s="21"/>
      <c r="O651" s="21"/>
      <c r="P651" s="21"/>
      <c r="Q651" s="21"/>
      <c r="R651" s="21"/>
      <c r="S651" s="21"/>
    </row>
    <row r="652" ht="15.75" customHeight="1">
      <c r="N652" s="21"/>
      <c r="O652" s="21"/>
      <c r="P652" s="21"/>
      <c r="Q652" s="21"/>
      <c r="R652" s="21"/>
      <c r="S652" s="21"/>
    </row>
    <row r="653" ht="15.75" customHeight="1">
      <c r="N653" s="21"/>
      <c r="O653" s="21"/>
      <c r="P653" s="21"/>
      <c r="Q653" s="21"/>
      <c r="R653" s="21"/>
      <c r="S653" s="21"/>
    </row>
    <row r="654" ht="15.75" customHeight="1">
      <c r="N654" s="21"/>
      <c r="O654" s="21"/>
      <c r="P654" s="21"/>
      <c r="Q654" s="21"/>
      <c r="R654" s="21"/>
      <c r="S654" s="21"/>
    </row>
    <row r="655" ht="15.75" customHeight="1">
      <c r="N655" s="21"/>
      <c r="O655" s="21"/>
      <c r="P655" s="21"/>
      <c r="Q655" s="21"/>
      <c r="R655" s="21"/>
      <c r="S655" s="21"/>
    </row>
    <row r="656" ht="15.75" customHeight="1">
      <c r="N656" s="21"/>
      <c r="O656" s="21"/>
      <c r="P656" s="21"/>
      <c r="Q656" s="21"/>
      <c r="R656" s="21"/>
      <c r="S656" s="21"/>
    </row>
    <row r="657" ht="15.75" customHeight="1">
      <c r="N657" s="21"/>
      <c r="O657" s="21"/>
      <c r="P657" s="21"/>
      <c r="Q657" s="21"/>
      <c r="R657" s="21"/>
      <c r="S657" s="21"/>
    </row>
    <row r="658" ht="15.75" customHeight="1">
      <c r="N658" s="21"/>
      <c r="O658" s="21"/>
      <c r="P658" s="21"/>
      <c r="Q658" s="21"/>
      <c r="R658" s="21"/>
      <c r="S658" s="21"/>
    </row>
    <row r="659" ht="15.75" customHeight="1">
      <c r="N659" s="21"/>
      <c r="O659" s="21"/>
      <c r="P659" s="21"/>
      <c r="Q659" s="21"/>
      <c r="R659" s="21"/>
      <c r="S659" s="21"/>
    </row>
    <row r="660" ht="15.75" customHeight="1">
      <c r="N660" s="21"/>
      <c r="O660" s="21"/>
      <c r="P660" s="21"/>
      <c r="Q660" s="21"/>
      <c r="R660" s="21"/>
      <c r="S660" s="21"/>
    </row>
    <row r="661" ht="15.75" customHeight="1">
      <c r="N661" s="21"/>
      <c r="O661" s="21"/>
      <c r="P661" s="21"/>
      <c r="Q661" s="21"/>
      <c r="R661" s="21"/>
      <c r="S661" s="21"/>
    </row>
    <row r="662" ht="15.75" customHeight="1">
      <c r="N662" s="21"/>
      <c r="O662" s="21"/>
      <c r="P662" s="21"/>
      <c r="Q662" s="21"/>
      <c r="R662" s="21"/>
      <c r="S662" s="21"/>
    </row>
    <row r="663" ht="15.75" customHeight="1">
      <c r="N663" s="21"/>
      <c r="O663" s="21"/>
      <c r="P663" s="21"/>
      <c r="Q663" s="21"/>
      <c r="R663" s="21"/>
      <c r="S663" s="21"/>
    </row>
    <row r="664" ht="15.75" customHeight="1">
      <c r="N664" s="21"/>
      <c r="O664" s="21"/>
      <c r="P664" s="21"/>
      <c r="Q664" s="21"/>
      <c r="R664" s="21"/>
      <c r="S664" s="21"/>
    </row>
    <row r="665" ht="15.75" customHeight="1">
      <c r="N665" s="21"/>
      <c r="O665" s="21"/>
      <c r="P665" s="21"/>
      <c r="Q665" s="21"/>
      <c r="R665" s="21"/>
      <c r="S665" s="21"/>
    </row>
    <row r="666" ht="15.75" customHeight="1">
      <c r="N666" s="21"/>
      <c r="O666" s="21"/>
      <c r="P666" s="21"/>
      <c r="Q666" s="21"/>
      <c r="R666" s="21"/>
      <c r="S666" s="21"/>
    </row>
    <row r="667" ht="15.75" customHeight="1">
      <c r="N667" s="21"/>
      <c r="O667" s="21"/>
      <c r="P667" s="21"/>
      <c r="Q667" s="21"/>
      <c r="R667" s="21"/>
      <c r="S667" s="21"/>
    </row>
    <row r="668" ht="15.75" customHeight="1">
      <c r="N668" s="21"/>
      <c r="O668" s="21"/>
      <c r="P668" s="21"/>
      <c r="Q668" s="21"/>
      <c r="R668" s="21"/>
      <c r="S668" s="21"/>
    </row>
    <row r="669" ht="15.75" customHeight="1">
      <c r="N669" s="21"/>
      <c r="O669" s="21"/>
      <c r="P669" s="21"/>
      <c r="Q669" s="21"/>
      <c r="R669" s="21"/>
      <c r="S669" s="21"/>
    </row>
    <row r="670" ht="15.75" customHeight="1">
      <c r="N670" s="21"/>
      <c r="O670" s="21"/>
      <c r="P670" s="21"/>
      <c r="Q670" s="21"/>
      <c r="R670" s="21"/>
      <c r="S670" s="21"/>
    </row>
    <row r="671" ht="15.75" customHeight="1">
      <c r="N671" s="21"/>
      <c r="O671" s="21"/>
      <c r="P671" s="21"/>
      <c r="Q671" s="21"/>
      <c r="R671" s="21"/>
      <c r="S671" s="21"/>
    </row>
    <row r="672" ht="15.75" customHeight="1">
      <c r="N672" s="21"/>
      <c r="O672" s="21"/>
      <c r="P672" s="21"/>
      <c r="Q672" s="21"/>
      <c r="R672" s="21"/>
      <c r="S672" s="21"/>
    </row>
    <row r="673" ht="15.75" customHeight="1">
      <c r="N673" s="21"/>
      <c r="O673" s="21"/>
      <c r="P673" s="21"/>
      <c r="Q673" s="21"/>
      <c r="R673" s="21"/>
      <c r="S673" s="21"/>
    </row>
    <row r="674" ht="15.75" customHeight="1">
      <c r="N674" s="21"/>
      <c r="O674" s="21"/>
      <c r="P674" s="21"/>
      <c r="Q674" s="21"/>
      <c r="R674" s="21"/>
      <c r="S674" s="21"/>
    </row>
    <row r="675" ht="15.75" customHeight="1">
      <c r="N675" s="21"/>
      <c r="O675" s="21"/>
      <c r="P675" s="21"/>
      <c r="Q675" s="21"/>
      <c r="R675" s="21"/>
      <c r="S675" s="21"/>
    </row>
    <row r="676" ht="15.75" customHeight="1">
      <c r="N676" s="21"/>
      <c r="O676" s="21"/>
      <c r="P676" s="21"/>
      <c r="Q676" s="21"/>
      <c r="R676" s="21"/>
      <c r="S676" s="21"/>
    </row>
    <row r="677" ht="15.75" customHeight="1">
      <c r="N677" s="21"/>
      <c r="O677" s="21"/>
      <c r="P677" s="21"/>
      <c r="Q677" s="21"/>
      <c r="R677" s="21"/>
      <c r="S677" s="21"/>
    </row>
    <row r="678" ht="15.75" customHeight="1">
      <c r="N678" s="21"/>
      <c r="O678" s="21"/>
      <c r="P678" s="21"/>
      <c r="Q678" s="21"/>
      <c r="R678" s="21"/>
      <c r="S678" s="21"/>
    </row>
    <row r="679" ht="15.75" customHeight="1">
      <c r="N679" s="21"/>
      <c r="O679" s="21"/>
      <c r="P679" s="21"/>
      <c r="Q679" s="21"/>
      <c r="R679" s="21"/>
      <c r="S679" s="21"/>
    </row>
    <row r="680" ht="15.75" customHeight="1">
      <c r="N680" s="21"/>
      <c r="O680" s="21"/>
      <c r="P680" s="21"/>
      <c r="Q680" s="21"/>
      <c r="R680" s="21"/>
      <c r="S680" s="21"/>
    </row>
    <row r="681" ht="15.75" customHeight="1">
      <c r="N681" s="21"/>
      <c r="O681" s="21"/>
      <c r="P681" s="21"/>
      <c r="Q681" s="21"/>
      <c r="R681" s="21"/>
      <c r="S681" s="21"/>
    </row>
    <row r="682" ht="15.75" customHeight="1">
      <c r="N682" s="21"/>
      <c r="O682" s="21"/>
      <c r="P682" s="21"/>
      <c r="Q682" s="21"/>
      <c r="R682" s="21"/>
      <c r="S682" s="21"/>
    </row>
    <row r="683" ht="15.75" customHeight="1">
      <c r="N683" s="21"/>
      <c r="O683" s="21"/>
      <c r="P683" s="21"/>
      <c r="Q683" s="21"/>
      <c r="R683" s="21"/>
      <c r="S683" s="21"/>
    </row>
    <row r="684" ht="15.75" customHeight="1">
      <c r="N684" s="21"/>
      <c r="O684" s="21"/>
      <c r="P684" s="21"/>
      <c r="Q684" s="21"/>
      <c r="R684" s="21"/>
      <c r="S684" s="21"/>
    </row>
    <row r="685" ht="15.75" customHeight="1">
      <c r="N685" s="21"/>
      <c r="O685" s="21"/>
      <c r="P685" s="21"/>
      <c r="Q685" s="21"/>
      <c r="R685" s="21"/>
      <c r="S685" s="21"/>
    </row>
    <row r="686" ht="15.75" customHeight="1">
      <c r="N686" s="21"/>
      <c r="O686" s="21"/>
      <c r="P686" s="21"/>
      <c r="Q686" s="21"/>
      <c r="R686" s="21"/>
      <c r="S686" s="21"/>
    </row>
    <row r="687" ht="15.75" customHeight="1">
      <c r="N687" s="21"/>
      <c r="O687" s="21"/>
      <c r="P687" s="21"/>
      <c r="Q687" s="21"/>
      <c r="R687" s="21"/>
      <c r="S687" s="21"/>
    </row>
    <row r="688" ht="15.75" customHeight="1">
      <c r="N688" s="21"/>
      <c r="O688" s="21"/>
      <c r="P688" s="21"/>
      <c r="Q688" s="21"/>
      <c r="R688" s="21"/>
      <c r="S688" s="21"/>
    </row>
    <row r="689" ht="15.75" customHeight="1">
      <c r="N689" s="21"/>
      <c r="O689" s="21"/>
      <c r="P689" s="21"/>
      <c r="Q689" s="21"/>
      <c r="R689" s="21"/>
      <c r="S689" s="21"/>
    </row>
    <row r="690" ht="15.75" customHeight="1">
      <c r="N690" s="21"/>
      <c r="O690" s="21"/>
      <c r="P690" s="21"/>
      <c r="Q690" s="21"/>
      <c r="R690" s="21"/>
      <c r="S690" s="21"/>
    </row>
    <row r="691" ht="15.75" customHeight="1">
      <c r="N691" s="21"/>
      <c r="O691" s="21"/>
      <c r="P691" s="21"/>
      <c r="Q691" s="21"/>
      <c r="R691" s="21"/>
      <c r="S691" s="21"/>
    </row>
    <row r="692" ht="15.75" customHeight="1">
      <c r="N692" s="21"/>
      <c r="O692" s="21"/>
      <c r="P692" s="21"/>
      <c r="Q692" s="21"/>
      <c r="R692" s="21"/>
      <c r="S692" s="21"/>
    </row>
    <row r="693" ht="15.75" customHeight="1">
      <c r="N693" s="21"/>
      <c r="O693" s="21"/>
      <c r="P693" s="21"/>
      <c r="Q693" s="21"/>
      <c r="R693" s="21"/>
      <c r="S693" s="21"/>
    </row>
    <row r="694" ht="15.75" customHeight="1">
      <c r="N694" s="21"/>
      <c r="O694" s="21"/>
      <c r="P694" s="21"/>
      <c r="Q694" s="21"/>
      <c r="R694" s="21"/>
      <c r="S694" s="21"/>
    </row>
    <row r="695" ht="15.75" customHeight="1">
      <c r="N695" s="21"/>
      <c r="O695" s="21"/>
      <c r="P695" s="21"/>
      <c r="Q695" s="21"/>
      <c r="R695" s="21"/>
      <c r="S695" s="21"/>
    </row>
    <row r="696" ht="15.75" customHeight="1">
      <c r="N696" s="21"/>
      <c r="O696" s="21"/>
      <c r="P696" s="21"/>
      <c r="Q696" s="21"/>
      <c r="R696" s="21"/>
      <c r="S696" s="21"/>
    </row>
    <row r="697" ht="15.75" customHeight="1">
      <c r="N697" s="21"/>
      <c r="O697" s="21"/>
      <c r="P697" s="21"/>
      <c r="Q697" s="21"/>
      <c r="R697" s="21"/>
      <c r="S697" s="21"/>
    </row>
    <row r="698" ht="15.75" customHeight="1">
      <c r="N698" s="21"/>
      <c r="O698" s="21"/>
      <c r="P698" s="21"/>
      <c r="Q698" s="21"/>
      <c r="R698" s="21"/>
      <c r="S698" s="21"/>
    </row>
    <row r="699" ht="15.75" customHeight="1">
      <c r="N699" s="21"/>
      <c r="O699" s="21"/>
      <c r="P699" s="21"/>
      <c r="Q699" s="21"/>
      <c r="R699" s="21"/>
      <c r="S699" s="21"/>
    </row>
    <row r="700" ht="15.75" customHeight="1">
      <c r="N700" s="21"/>
      <c r="O700" s="21"/>
      <c r="P700" s="21"/>
      <c r="Q700" s="21"/>
      <c r="R700" s="21"/>
      <c r="S700" s="21"/>
    </row>
    <row r="701" ht="15.75" customHeight="1">
      <c r="N701" s="21"/>
      <c r="O701" s="21"/>
      <c r="P701" s="21"/>
      <c r="Q701" s="21"/>
      <c r="R701" s="21"/>
      <c r="S701" s="21"/>
    </row>
    <row r="702" ht="15.75" customHeight="1">
      <c r="N702" s="21"/>
      <c r="O702" s="21"/>
      <c r="P702" s="21"/>
      <c r="Q702" s="21"/>
      <c r="R702" s="21"/>
      <c r="S702" s="21"/>
    </row>
    <row r="703" ht="15.75" customHeight="1">
      <c r="N703" s="21"/>
      <c r="O703" s="21"/>
      <c r="P703" s="21"/>
      <c r="Q703" s="21"/>
      <c r="R703" s="21"/>
      <c r="S703" s="21"/>
    </row>
    <row r="704" ht="15.75" customHeight="1">
      <c r="N704" s="21"/>
      <c r="O704" s="21"/>
      <c r="P704" s="21"/>
      <c r="Q704" s="21"/>
      <c r="R704" s="21"/>
      <c r="S704" s="21"/>
    </row>
    <row r="705" ht="15.75" customHeight="1">
      <c r="N705" s="21"/>
      <c r="O705" s="21"/>
      <c r="P705" s="21"/>
      <c r="Q705" s="21"/>
      <c r="R705" s="21"/>
      <c r="S705" s="21"/>
    </row>
    <row r="706" ht="15.75" customHeight="1">
      <c r="N706" s="21"/>
      <c r="O706" s="21"/>
      <c r="P706" s="21"/>
      <c r="Q706" s="21"/>
      <c r="R706" s="21"/>
      <c r="S706" s="21"/>
    </row>
    <row r="707" ht="15.75" customHeight="1">
      <c r="N707" s="21"/>
      <c r="O707" s="21"/>
      <c r="P707" s="21"/>
      <c r="Q707" s="21"/>
      <c r="R707" s="21"/>
      <c r="S707" s="21"/>
    </row>
    <row r="708" ht="15.75" customHeight="1">
      <c r="N708" s="21"/>
      <c r="O708" s="21"/>
      <c r="P708" s="21"/>
      <c r="Q708" s="21"/>
      <c r="R708" s="21"/>
      <c r="S708" s="21"/>
    </row>
    <row r="709" ht="15.75" customHeight="1">
      <c r="N709" s="21"/>
      <c r="O709" s="21"/>
      <c r="P709" s="21"/>
      <c r="Q709" s="21"/>
      <c r="R709" s="21"/>
      <c r="S709" s="21"/>
    </row>
    <row r="710" ht="15.75" customHeight="1">
      <c r="N710" s="21"/>
      <c r="O710" s="21"/>
      <c r="P710" s="21"/>
      <c r="Q710" s="21"/>
      <c r="R710" s="21"/>
      <c r="S710" s="21"/>
    </row>
    <row r="711" ht="15.75" customHeight="1">
      <c r="N711" s="21"/>
      <c r="O711" s="21"/>
      <c r="P711" s="21"/>
      <c r="Q711" s="21"/>
      <c r="R711" s="21"/>
      <c r="S711" s="21"/>
    </row>
    <row r="712" ht="15.75" customHeight="1">
      <c r="N712" s="21"/>
      <c r="O712" s="21"/>
      <c r="P712" s="21"/>
      <c r="Q712" s="21"/>
      <c r="R712" s="21"/>
      <c r="S712" s="21"/>
    </row>
    <row r="713" ht="15.75" customHeight="1">
      <c r="N713" s="21"/>
      <c r="O713" s="21"/>
      <c r="P713" s="21"/>
      <c r="Q713" s="21"/>
      <c r="R713" s="21"/>
      <c r="S713" s="21"/>
    </row>
    <row r="714" ht="15.75" customHeight="1">
      <c r="N714" s="21"/>
      <c r="O714" s="21"/>
      <c r="P714" s="21"/>
      <c r="Q714" s="21"/>
      <c r="R714" s="21"/>
      <c r="S714" s="21"/>
    </row>
    <row r="715" ht="15.75" customHeight="1">
      <c r="N715" s="21"/>
      <c r="O715" s="21"/>
      <c r="P715" s="21"/>
      <c r="Q715" s="21"/>
      <c r="R715" s="21"/>
      <c r="S715" s="21"/>
    </row>
    <row r="716" ht="15.75" customHeight="1">
      <c r="N716" s="21"/>
      <c r="O716" s="21"/>
      <c r="P716" s="21"/>
      <c r="Q716" s="21"/>
      <c r="R716" s="21"/>
      <c r="S716" s="21"/>
    </row>
    <row r="717" ht="15.75" customHeight="1">
      <c r="N717" s="21"/>
      <c r="O717" s="21"/>
      <c r="P717" s="21"/>
      <c r="Q717" s="21"/>
      <c r="R717" s="21"/>
      <c r="S717" s="21"/>
    </row>
    <row r="718" ht="15.75" customHeight="1">
      <c r="N718" s="21"/>
      <c r="O718" s="21"/>
      <c r="P718" s="21"/>
      <c r="Q718" s="21"/>
      <c r="R718" s="21"/>
      <c r="S718" s="21"/>
    </row>
    <row r="719" ht="15.75" customHeight="1">
      <c r="N719" s="21"/>
      <c r="O719" s="21"/>
      <c r="P719" s="21"/>
      <c r="Q719" s="21"/>
      <c r="R719" s="21"/>
      <c r="S719" s="21"/>
    </row>
    <row r="720" ht="15.75" customHeight="1">
      <c r="N720" s="21"/>
      <c r="O720" s="21"/>
      <c r="P720" s="21"/>
      <c r="Q720" s="21"/>
      <c r="R720" s="21"/>
      <c r="S720" s="21"/>
    </row>
    <row r="721" ht="15.75" customHeight="1">
      <c r="N721" s="21"/>
      <c r="O721" s="21"/>
      <c r="P721" s="21"/>
      <c r="Q721" s="21"/>
      <c r="R721" s="21"/>
      <c r="S721" s="21"/>
    </row>
    <row r="722" ht="15.75" customHeight="1">
      <c r="N722" s="21"/>
      <c r="O722" s="21"/>
      <c r="P722" s="21"/>
      <c r="Q722" s="21"/>
      <c r="R722" s="21"/>
      <c r="S722" s="21"/>
    </row>
    <row r="723" ht="15.75" customHeight="1">
      <c r="N723" s="21"/>
      <c r="O723" s="21"/>
      <c r="P723" s="21"/>
      <c r="Q723" s="21"/>
      <c r="R723" s="21"/>
      <c r="S723" s="21"/>
    </row>
    <row r="724" ht="15.75" customHeight="1">
      <c r="N724" s="21"/>
      <c r="O724" s="21"/>
      <c r="P724" s="21"/>
      <c r="Q724" s="21"/>
      <c r="R724" s="21"/>
      <c r="S724" s="21"/>
    </row>
    <row r="725" ht="15.75" customHeight="1">
      <c r="N725" s="21"/>
      <c r="O725" s="21"/>
      <c r="P725" s="21"/>
      <c r="Q725" s="21"/>
      <c r="R725" s="21"/>
      <c r="S725" s="21"/>
    </row>
    <row r="726" ht="15.75" customHeight="1">
      <c r="N726" s="21"/>
      <c r="O726" s="21"/>
      <c r="P726" s="21"/>
      <c r="Q726" s="21"/>
      <c r="R726" s="21"/>
      <c r="S726" s="21"/>
    </row>
    <row r="727" ht="15.75" customHeight="1">
      <c r="N727" s="21"/>
      <c r="O727" s="21"/>
      <c r="P727" s="21"/>
      <c r="Q727" s="21"/>
      <c r="R727" s="21"/>
      <c r="S727" s="21"/>
    </row>
    <row r="728" ht="15.75" customHeight="1">
      <c r="N728" s="21"/>
      <c r="O728" s="21"/>
      <c r="P728" s="21"/>
      <c r="Q728" s="21"/>
      <c r="R728" s="21"/>
      <c r="S728" s="21"/>
    </row>
    <row r="729" ht="15.75" customHeight="1">
      <c r="N729" s="21"/>
      <c r="O729" s="21"/>
      <c r="P729" s="21"/>
      <c r="Q729" s="21"/>
      <c r="R729" s="21"/>
      <c r="S729" s="21"/>
    </row>
    <row r="730" ht="15.75" customHeight="1">
      <c r="N730" s="21"/>
      <c r="O730" s="21"/>
      <c r="P730" s="21"/>
      <c r="Q730" s="21"/>
      <c r="R730" s="21"/>
      <c r="S730" s="21"/>
    </row>
    <row r="731" ht="15.75" customHeight="1">
      <c r="N731" s="21"/>
      <c r="O731" s="21"/>
      <c r="P731" s="21"/>
      <c r="Q731" s="21"/>
      <c r="R731" s="21"/>
      <c r="S731" s="21"/>
    </row>
    <row r="732" ht="15.75" customHeight="1">
      <c r="N732" s="21"/>
      <c r="O732" s="21"/>
      <c r="P732" s="21"/>
      <c r="Q732" s="21"/>
      <c r="R732" s="21"/>
      <c r="S732" s="21"/>
    </row>
    <row r="733" ht="15.75" customHeight="1">
      <c r="N733" s="21"/>
      <c r="O733" s="21"/>
      <c r="P733" s="21"/>
      <c r="Q733" s="21"/>
      <c r="R733" s="21"/>
      <c r="S733" s="21"/>
    </row>
    <row r="734" ht="15.75" customHeight="1">
      <c r="N734" s="21"/>
      <c r="O734" s="21"/>
      <c r="P734" s="21"/>
      <c r="Q734" s="21"/>
      <c r="R734" s="21"/>
      <c r="S734" s="21"/>
    </row>
    <row r="735" ht="15.75" customHeight="1">
      <c r="N735" s="21"/>
      <c r="O735" s="21"/>
      <c r="P735" s="21"/>
      <c r="Q735" s="21"/>
      <c r="R735" s="21"/>
      <c r="S735" s="21"/>
    </row>
    <row r="736" ht="15.75" customHeight="1">
      <c r="N736" s="21"/>
      <c r="O736" s="21"/>
      <c r="P736" s="21"/>
      <c r="Q736" s="21"/>
      <c r="R736" s="21"/>
      <c r="S736" s="21"/>
    </row>
    <row r="737" ht="15.75" customHeight="1">
      <c r="N737" s="21"/>
      <c r="O737" s="21"/>
      <c r="P737" s="21"/>
      <c r="Q737" s="21"/>
      <c r="R737" s="21"/>
      <c r="S737" s="21"/>
    </row>
    <row r="738" ht="15.75" customHeight="1">
      <c r="N738" s="21"/>
      <c r="O738" s="21"/>
      <c r="P738" s="21"/>
      <c r="Q738" s="21"/>
      <c r="R738" s="21"/>
      <c r="S738" s="21"/>
    </row>
    <row r="739" ht="15.75" customHeight="1">
      <c r="N739" s="21"/>
      <c r="O739" s="21"/>
      <c r="P739" s="21"/>
      <c r="Q739" s="21"/>
      <c r="R739" s="21"/>
      <c r="S739" s="21"/>
    </row>
    <row r="740" ht="15.75" customHeight="1">
      <c r="N740" s="21"/>
      <c r="O740" s="21"/>
      <c r="P740" s="21"/>
      <c r="Q740" s="21"/>
      <c r="R740" s="21"/>
      <c r="S740" s="21"/>
    </row>
    <row r="741" ht="15.75" customHeight="1">
      <c r="N741" s="21"/>
      <c r="O741" s="21"/>
      <c r="P741" s="21"/>
      <c r="Q741" s="21"/>
      <c r="R741" s="21"/>
      <c r="S741" s="21"/>
    </row>
    <row r="742" ht="15.75" customHeight="1">
      <c r="N742" s="21"/>
      <c r="O742" s="21"/>
      <c r="P742" s="21"/>
      <c r="Q742" s="21"/>
      <c r="R742" s="21"/>
      <c r="S742" s="21"/>
    </row>
    <row r="743" ht="15.75" customHeight="1">
      <c r="N743" s="21"/>
      <c r="O743" s="21"/>
      <c r="P743" s="21"/>
      <c r="Q743" s="21"/>
      <c r="R743" s="21"/>
      <c r="S743" s="21"/>
    </row>
    <row r="744" ht="15.75" customHeight="1">
      <c r="N744" s="21"/>
      <c r="O744" s="21"/>
      <c r="P744" s="21"/>
      <c r="Q744" s="21"/>
      <c r="R744" s="21"/>
      <c r="S744" s="21"/>
    </row>
    <row r="745" ht="15.75" customHeight="1">
      <c r="N745" s="21"/>
      <c r="O745" s="21"/>
      <c r="P745" s="21"/>
      <c r="Q745" s="21"/>
      <c r="R745" s="21"/>
      <c r="S745" s="21"/>
    </row>
    <row r="746" ht="15.75" customHeight="1">
      <c r="N746" s="21"/>
      <c r="O746" s="21"/>
      <c r="P746" s="21"/>
      <c r="Q746" s="21"/>
      <c r="R746" s="21"/>
      <c r="S746" s="21"/>
    </row>
    <row r="747" ht="15.75" customHeight="1">
      <c r="N747" s="21"/>
      <c r="O747" s="21"/>
      <c r="P747" s="21"/>
      <c r="Q747" s="21"/>
      <c r="R747" s="21"/>
      <c r="S747" s="21"/>
    </row>
    <row r="748" ht="15.75" customHeight="1">
      <c r="N748" s="21"/>
      <c r="O748" s="21"/>
      <c r="P748" s="21"/>
      <c r="Q748" s="21"/>
      <c r="R748" s="21"/>
      <c r="S748" s="21"/>
    </row>
    <row r="749" ht="15.75" customHeight="1">
      <c r="N749" s="21"/>
      <c r="O749" s="21"/>
      <c r="P749" s="21"/>
      <c r="Q749" s="21"/>
      <c r="R749" s="21"/>
      <c r="S749" s="21"/>
    </row>
    <row r="750" ht="15.75" customHeight="1">
      <c r="N750" s="21"/>
      <c r="O750" s="21"/>
      <c r="P750" s="21"/>
      <c r="Q750" s="21"/>
      <c r="R750" s="21"/>
      <c r="S750" s="21"/>
    </row>
    <row r="751" ht="15.75" customHeight="1">
      <c r="N751" s="21"/>
      <c r="O751" s="21"/>
      <c r="P751" s="21"/>
      <c r="Q751" s="21"/>
      <c r="R751" s="21"/>
      <c r="S751" s="21"/>
    </row>
    <row r="752" ht="15.75" customHeight="1">
      <c r="N752" s="21"/>
      <c r="O752" s="21"/>
      <c r="P752" s="21"/>
      <c r="Q752" s="21"/>
      <c r="R752" s="21"/>
      <c r="S752" s="21"/>
    </row>
    <row r="753" ht="15.75" customHeight="1">
      <c r="N753" s="21"/>
      <c r="O753" s="21"/>
      <c r="P753" s="21"/>
      <c r="Q753" s="21"/>
      <c r="R753" s="21"/>
      <c r="S753" s="21"/>
    </row>
    <row r="754" ht="15.75" customHeight="1">
      <c r="N754" s="21"/>
      <c r="O754" s="21"/>
      <c r="P754" s="21"/>
      <c r="Q754" s="21"/>
      <c r="R754" s="21"/>
      <c r="S754" s="21"/>
    </row>
    <row r="755" ht="15.75" customHeight="1">
      <c r="N755" s="21"/>
      <c r="O755" s="21"/>
      <c r="P755" s="21"/>
      <c r="Q755" s="21"/>
      <c r="R755" s="21"/>
      <c r="S755" s="21"/>
    </row>
    <row r="756" ht="15.75" customHeight="1">
      <c r="N756" s="21"/>
      <c r="O756" s="21"/>
      <c r="P756" s="21"/>
      <c r="Q756" s="21"/>
      <c r="R756" s="21"/>
      <c r="S756" s="21"/>
    </row>
    <row r="757" ht="15.75" customHeight="1">
      <c r="N757" s="21"/>
      <c r="O757" s="21"/>
      <c r="P757" s="21"/>
      <c r="Q757" s="21"/>
      <c r="R757" s="21"/>
      <c r="S757" s="21"/>
    </row>
    <row r="758" ht="15.75" customHeight="1">
      <c r="N758" s="21"/>
      <c r="O758" s="21"/>
      <c r="P758" s="21"/>
      <c r="Q758" s="21"/>
      <c r="R758" s="21"/>
      <c r="S758" s="21"/>
    </row>
    <row r="759" ht="15.75" customHeight="1">
      <c r="N759" s="21"/>
      <c r="O759" s="21"/>
      <c r="P759" s="21"/>
      <c r="Q759" s="21"/>
      <c r="R759" s="21"/>
      <c r="S759" s="21"/>
    </row>
    <row r="760" ht="15.75" customHeight="1">
      <c r="N760" s="21"/>
      <c r="O760" s="21"/>
      <c r="P760" s="21"/>
      <c r="Q760" s="21"/>
      <c r="R760" s="21"/>
      <c r="S760" s="21"/>
    </row>
    <row r="761" ht="15.75" customHeight="1">
      <c r="N761" s="21"/>
      <c r="O761" s="21"/>
      <c r="P761" s="21"/>
      <c r="Q761" s="21"/>
      <c r="R761" s="21"/>
      <c r="S761" s="21"/>
    </row>
    <row r="762" ht="15.75" customHeight="1">
      <c r="N762" s="21"/>
      <c r="O762" s="21"/>
      <c r="P762" s="21"/>
      <c r="Q762" s="21"/>
      <c r="R762" s="21"/>
      <c r="S762" s="21"/>
    </row>
    <row r="763" ht="15.75" customHeight="1">
      <c r="N763" s="21"/>
      <c r="O763" s="21"/>
      <c r="P763" s="21"/>
      <c r="Q763" s="21"/>
      <c r="R763" s="21"/>
      <c r="S763" s="21"/>
    </row>
    <row r="764" ht="15.75" customHeight="1">
      <c r="N764" s="21"/>
      <c r="O764" s="21"/>
      <c r="P764" s="21"/>
      <c r="Q764" s="21"/>
      <c r="R764" s="21"/>
      <c r="S764" s="21"/>
    </row>
    <row r="765" ht="15.75" customHeight="1">
      <c r="N765" s="21"/>
      <c r="O765" s="21"/>
      <c r="P765" s="21"/>
      <c r="Q765" s="21"/>
      <c r="R765" s="21"/>
      <c r="S765" s="21"/>
    </row>
    <row r="766" ht="15.75" customHeight="1">
      <c r="N766" s="21"/>
      <c r="O766" s="21"/>
      <c r="P766" s="21"/>
      <c r="Q766" s="21"/>
      <c r="R766" s="21"/>
      <c r="S766" s="21"/>
    </row>
    <row r="767" ht="15.75" customHeight="1">
      <c r="N767" s="21"/>
      <c r="O767" s="21"/>
      <c r="P767" s="21"/>
      <c r="Q767" s="21"/>
      <c r="R767" s="21"/>
      <c r="S767" s="21"/>
    </row>
    <row r="768" ht="15.75" customHeight="1">
      <c r="N768" s="21"/>
      <c r="O768" s="21"/>
      <c r="P768" s="21"/>
      <c r="Q768" s="21"/>
      <c r="R768" s="21"/>
      <c r="S768" s="21"/>
    </row>
    <row r="769" ht="15.75" customHeight="1">
      <c r="N769" s="21"/>
      <c r="O769" s="21"/>
      <c r="P769" s="21"/>
      <c r="Q769" s="21"/>
      <c r="R769" s="21"/>
      <c r="S769" s="21"/>
    </row>
    <row r="770" ht="15.75" customHeight="1">
      <c r="N770" s="21"/>
      <c r="O770" s="21"/>
      <c r="P770" s="21"/>
      <c r="Q770" s="21"/>
      <c r="R770" s="21"/>
      <c r="S770" s="21"/>
    </row>
    <row r="771" ht="15.75" customHeight="1">
      <c r="N771" s="21"/>
      <c r="O771" s="21"/>
      <c r="P771" s="21"/>
      <c r="Q771" s="21"/>
      <c r="R771" s="21"/>
      <c r="S771" s="21"/>
    </row>
    <row r="772" ht="15.75" customHeight="1">
      <c r="N772" s="21"/>
      <c r="O772" s="21"/>
      <c r="P772" s="21"/>
      <c r="Q772" s="21"/>
      <c r="R772" s="21"/>
      <c r="S772" s="21"/>
    </row>
    <row r="773" ht="15.75" customHeight="1">
      <c r="N773" s="21"/>
      <c r="O773" s="21"/>
      <c r="P773" s="21"/>
      <c r="Q773" s="21"/>
      <c r="R773" s="21"/>
      <c r="S773" s="21"/>
    </row>
    <row r="774" ht="15.75" customHeight="1">
      <c r="N774" s="21"/>
      <c r="O774" s="21"/>
      <c r="P774" s="21"/>
      <c r="Q774" s="21"/>
      <c r="R774" s="21"/>
      <c r="S774" s="21"/>
    </row>
    <row r="775" ht="15.75" customHeight="1">
      <c r="N775" s="21"/>
      <c r="O775" s="21"/>
      <c r="P775" s="21"/>
      <c r="Q775" s="21"/>
      <c r="R775" s="21"/>
      <c r="S775" s="21"/>
    </row>
    <row r="776" ht="15.75" customHeight="1">
      <c r="N776" s="21"/>
      <c r="O776" s="21"/>
      <c r="P776" s="21"/>
      <c r="Q776" s="21"/>
      <c r="R776" s="21"/>
      <c r="S776" s="21"/>
    </row>
    <row r="777" ht="15.75" customHeight="1">
      <c r="N777" s="21"/>
      <c r="O777" s="21"/>
      <c r="P777" s="21"/>
      <c r="Q777" s="21"/>
      <c r="R777" s="21"/>
      <c r="S777" s="21"/>
    </row>
    <row r="778" ht="15.75" customHeight="1">
      <c r="N778" s="21"/>
      <c r="O778" s="21"/>
      <c r="P778" s="21"/>
      <c r="Q778" s="21"/>
      <c r="R778" s="21"/>
      <c r="S778" s="21"/>
    </row>
    <row r="779" ht="15.75" customHeight="1">
      <c r="N779" s="21"/>
      <c r="O779" s="21"/>
      <c r="P779" s="21"/>
      <c r="Q779" s="21"/>
      <c r="R779" s="21"/>
      <c r="S779" s="21"/>
    </row>
    <row r="780" ht="15.75" customHeight="1">
      <c r="N780" s="21"/>
      <c r="O780" s="21"/>
      <c r="P780" s="21"/>
      <c r="Q780" s="21"/>
      <c r="R780" s="21"/>
      <c r="S780" s="21"/>
    </row>
    <row r="781" ht="15.75" customHeight="1">
      <c r="N781" s="21"/>
      <c r="O781" s="21"/>
      <c r="P781" s="21"/>
      <c r="Q781" s="21"/>
      <c r="R781" s="21"/>
      <c r="S781" s="21"/>
    </row>
    <row r="782" ht="15.75" customHeight="1">
      <c r="N782" s="21"/>
      <c r="O782" s="21"/>
      <c r="P782" s="21"/>
      <c r="Q782" s="21"/>
      <c r="R782" s="21"/>
      <c r="S782" s="21"/>
    </row>
    <row r="783" ht="15.75" customHeight="1">
      <c r="N783" s="21"/>
      <c r="O783" s="21"/>
      <c r="P783" s="21"/>
      <c r="Q783" s="21"/>
      <c r="R783" s="21"/>
      <c r="S783" s="21"/>
    </row>
    <row r="784" ht="15.75" customHeight="1">
      <c r="N784" s="21"/>
      <c r="O784" s="21"/>
      <c r="P784" s="21"/>
      <c r="Q784" s="21"/>
      <c r="R784" s="21"/>
      <c r="S784" s="21"/>
    </row>
    <row r="785" ht="15.75" customHeight="1">
      <c r="N785" s="21"/>
      <c r="O785" s="21"/>
      <c r="P785" s="21"/>
      <c r="Q785" s="21"/>
      <c r="R785" s="21"/>
      <c r="S785" s="21"/>
    </row>
    <row r="786" ht="15.75" customHeight="1">
      <c r="N786" s="21"/>
      <c r="O786" s="21"/>
      <c r="P786" s="21"/>
      <c r="Q786" s="21"/>
      <c r="R786" s="21"/>
      <c r="S786" s="21"/>
    </row>
    <row r="787" ht="15.75" customHeight="1">
      <c r="N787" s="21"/>
      <c r="O787" s="21"/>
      <c r="P787" s="21"/>
      <c r="Q787" s="21"/>
      <c r="R787" s="21"/>
      <c r="S787" s="21"/>
    </row>
    <row r="788" ht="15.75" customHeight="1">
      <c r="N788" s="21"/>
      <c r="O788" s="21"/>
      <c r="P788" s="21"/>
      <c r="Q788" s="21"/>
      <c r="R788" s="21"/>
      <c r="S788" s="21"/>
    </row>
    <row r="789" ht="15.75" customHeight="1">
      <c r="N789" s="21"/>
      <c r="O789" s="21"/>
      <c r="P789" s="21"/>
      <c r="Q789" s="21"/>
      <c r="R789" s="21"/>
      <c r="S789" s="21"/>
    </row>
    <row r="790" ht="15.75" customHeight="1">
      <c r="N790" s="21"/>
      <c r="O790" s="21"/>
      <c r="P790" s="21"/>
      <c r="Q790" s="21"/>
      <c r="R790" s="21"/>
      <c r="S790" s="21"/>
    </row>
    <row r="791" ht="15.75" customHeight="1">
      <c r="N791" s="21"/>
      <c r="O791" s="21"/>
      <c r="P791" s="21"/>
      <c r="Q791" s="21"/>
      <c r="R791" s="21"/>
      <c r="S791" s="21"/>
    </row>
    <row r="792" ht="15.75" customHeight="1">
      <c r="N792" s="21"/>
      <c r="O792" s="21"/>
      <c r="P792" s="21"/>
      <c r="Q792" s="21"/>
      <c r="R792" s="21"/>
      <c r="S792" s="21"/>
    </row>
    <row r="793" ht="15.75" customHeight="1">
      <c r="N793" s="21"/>
      <c r="O793" s="21"/>
      <c r="P793" s="21"/>
      <c r="Q793" s="21"/>
      <c r="R793" s="21"/>
      <c r="S793" s="21"/>
    </row>
    <row r="794" ht="15.75" customHeight="1">
      <c r="N794" s="21"/>
      <c r="O794" s="21"/>
      <c r="P794" s="21"/>
      <c r="Q794" s="21"/>
      <c r="R794" s="21"/>
      <c r="S794" s="21"/>
    </row>
    <row r="795" ht="15.75" customHeight="1">
      <c r="N795" s="21"/>
      <c r="O795" s="21"/>
      <c r="P795" s="21"/>
      <c r="Q795" s="21"/>
      <c r="R795" s="21"/>
      <c r="S795" s="21"/>
    </row>
    <row r="796" ht="15.75" customHeight="1">
      <c r="N796" s="21"/>
      <c r="O796" s="21"/>
      <c r="P796" s="21"/>
      <c r="Q796" s="21"/>
      <c r="R796" s="21"/>
      <c r="S796" s="21"/>
    </row>
    <row r="797" ht="15.75" customHeight="1">
      <c r="N797" s="21"/>
      <c r="O797" s="21"/>
      <c r="P797" s="21"/>
      <c r="Q797" s="21"/>
      <c r="R797" s="21"/>
      <c r="S797" s="21"/>
    </row>
    <row r="798" ht="15.75" customHeight="1">
      <c r="N798" s="21"/>
      <c r="O798" s="21"/>
      <c r="P798" s="21"/>
      <c r="Q798" s="21"/>
      <c r="R798" s="21"/>
      <c r="S798" s="21"/>
    </row>
    <row r="799" ht="15.75" customHeight="1">
      <c r="N799" s="21"/>
      <c r="O799" s="21"/>
      <c r="P799" s="21"/>
      <c r="Q799" s="21"/>
      <c r="R799" s="21"/>
      <c r="S799" s="21"/>
    </row>
    <row r="800" ht="15.75" customHeight="1">
      <c r="N800" s="21"/>
      <c r="O800" s="21"/>
      <c r="P800" s="21"/>
      <c r="Q800" s="21"/>
      <c r="R800" s="21"/>
      <c r="S800" s="21"/>
    </row>
    <row r="801" ht="15.75" customHeight="1">
      <c r="N801" s="21"/>
      <c r="O801" s="21"/>
      <c r="P801" s="21"/>
      <c r="Q801" s="21"/>
      <c r="R801" s="21"/>
      <c r="S801" s="21"/>
    </row>
    <row r="802" ht="15.75" customHeight="1">
      <c r="N802" s="21"/>
      <c r="O802" s="21"/>
      <c r="P802" s="21"/>
      <c r="Q802" s="21"/>
      <c r="R802" s="21"/>
      <c r="S802" s="21"/>
    </row>
    <row r="803" ht="15.75" customHeight="1">
      <c r="N803" s="21"/>
      <c r="O803" s="21"/>
      <c r="P803" s="21"/>
      <c r="Q803" s="21"/>
      <c r="R803" s="21"/>
      <c r="S803" s="21"/>
    </row>
    <row r="804" ht="15.75" customHeight="1">
      <c r="N804" s="21"/>
      <c r="O804" s="21"/>
      <c r="P804" s="21"/>
      <c r="Q804" s="21"/>
      <c r="R804" s="21"/>
      <c r="S804" s="21"/>
    </row>
    <row r="805" ht="15.75" customHeight="1">
      <c r="N805" s="21"/>
      <c r="O805" s="21"/>
      <c r="P805" s="21"/>
      <c r="Q805" s="21"/>
      <c r="R805" s="21"/>
      <c r="S805" s="21"/>
    </row>
    <row r="806" ht="15.75" customHeight="1">
      <c r="N806" s="21"/>
      <c r="O806" s="21"/>
      <c r="P806" s="21"/>
      <c r="Q806" s="21"/>
      <c r="R806" s="21"/>
      <c r="S806" s="21"/>
    </row>
    <row r="807" ht="15.75" customHeight="1">
      <c r="N807" s="21"/>
      <c r="O807" s="21"/>
      <c r="P807" s="21"/>
      <c r="Q807" s="21"/>
      <c r="R807" s="21"/>
      <c r="S807" s="21"/>
    </row>
    <row r="808" ht="15.75" customHeight="1">
      <c r="N808" s="21"/>
      <c r="O808" s="21"/>
      <c r="P808" s="21"/>
      <c r="Q808" s="21"/>
      <c r="R808" s="21"/>
      <c r="S808" s="21"/>
    </row>
    <row r="809" ht="15.75" customHeight="1">
      <c r="N809" s="21"/>
      <c r="O809" s="21"/>
      <c r="P809" s="21"/>
      <c r="Q809" s="21"/>
      <c r="R809" s="21"/>
      <c r="S809" s="21"/>
    </row>
    <row r="810" ht="15.75" customHeight="1">
      <c r="N810" s="21"/>
      <c r="O810" s="21"/>
      <c r="P810" s="21"/>
      <c r="Q810" s="21"/>
      <c r="R810" s="21"/>
      <c r="S810" s="21"/>
    </row>
    <row r="811" ht="15.75" customHeight="1">
      <c r="N811" s="21"/>
      <c r="O811" s="21"/>
      <c r="P811" s="21"/>
      <c r="Q811" s="21"/>
      <c r="R811" s="21"/>
      <c r="S811" s="21"/>
    </row>
    <row r="812" ht="15.75" customHeight="1">
      <c r="N812" s="21"/>
      <c r="O812" s="21"/>
      <c r="P812" s="21"/>
      <c r="Q812" s="21"/>
      <c r="R812" s="21"/>
      <c r="S812" s="21"/>
    </row>
    <row r="813" ht="15.75" customHeight="1">
      <c r="N813" s="21"/>
      <c r="O813" s="21"/>
      <c r="P813" s="21"/>
      <c r="Q813" s="21"/>
      <c r="R813" s="21"/>
      <c r="S813" s="21"/>
    </row>
    <row r="814" ht="15.75" customHeight="1">
      <c r="N814" s="21"/>
      <c r="O814" s="21"/>
      <c r="P814" s="21"/>
      <c r="Q814" s="21"/>
      <c r="R814" s="21"/>
      <c r="S814" s="21"/>
    </row>
    <row r="815" ht="15.75" customHeight="1">
      <c r="N815" s="21"/>
      <c r="O815" s="21"/>
      <c r="P815" s="21"/>
      <c r="Q815" s="21"/>
      <c r="R815" s="21"/>
      <c r="S815" s="21"/>
    </row>
    <row r="816" ht="15.75" customHeight="1">
      <c r="N816" s="21"/>
      <c r="O816" s="21"/>
      <c r="P816" s="21"/>
      <c r="Q816" s="21"/>
      <c r="R816" s="21"/>
      <c r="S816" s="21"/>
    </row>
    <row r="817" ht="15.75" customHeight="1">
      <c r="N817" s="21"/>
      <c r="O817" s="21"/>
      <c r="P817" s="21"/>
      <c r="Q817" s="21"/>
      <c r="R817" s="21"/>
      <c r="S817" s="21"/>
    </row>
    <row r="818" ht="15.75" customHeight="1">
      <c r="N818" s="21"/>
      <c r="O818" s="21"/>
      <c r="P818" s="21"/>
      <c r="Q818" s="21"/>
      <c r="R818" s="21"/>
      <c r="S818" s="21"/>
    </row>
    <row r="819" ht="15.75" customHeight="1">
      <c r="N819" s="21"/>
      <c r="O819" s="21"/>
      <c r="P819" s="21"/>
      <c r="Q819" s="21"/>
      <c r="R819" s="21"/>
      <c r="S819" s="21"/>
    </row>
    <row r="820" ht="15.75" customHeight="1">
      <c r="N820" s="21"/>
      <c r="O820" s="21"/>
      <c r="P820" s="21"/>
      <c r="Q820" s="21"/>
      <c r="R820" s="21"/>
      <c r="S820" s="21"/>
    </row>
    <row r="821" ht="15.75" customHeight="1">
      <c r="N821" s="21"/>
      <c r="O821" s="21"/>
      <c r="P821" s="21"/>
      <c r="Q821" s="21"/>
      <c r="R821" s="21"/>
      <c r="S821" s="21"/>
    </row>
    <row r="822" ht="15.75" customHeight="1">
      <c r="N822" s="21"/>
      <c r="O822" s="21"/>
      <c r="P822" s="21"/>
      <c r="Q822" s="21"/>
      <c r="R822" s="21"/>
      <c r="S822" s="21"/>
    </row>
    <row r="823" ht="15.75" customHeight="1">
      <c r="N823" s="21"/>
      <c r="O823" s="21"/>
      <c r="P823" s="21"/>
      <c r="Q823" s="21"/>
      <c r="R823" s="21"/>
      <c r="S823" s="21"/>
    </row>
    <row r="824" ht="15.75" customHeight="1">
      <c r="N824" s="21"/>
      <c r="O824" s="21"/>
      <c r="P824" s="21"/>
      <c r="Q824" s="21"/>
      <c r="R824" s="21"/>
      <c r="S824" s="21"/>
    </row>
    <row r="825" ht="15.75" customHeight="1">
      <c r="N825" s="21"/>
      <c r="O825" s="21"/>
      <c r="P825" s="21"/>
      <c r="Q825" s="21"/>
      <c r="R825" s="21"/>
      <c r="S825" s="21"/>
    </row>
    <row r="826" ht="15.75" customHeight="1">
      <c r="N826" s="21"/>
      <c r="O826" s="21"/>
      <c r="P826" s="21"/>
      <c r="Q826" s="21"/>
      <c r="R826" s="21"/>
      <c r="S826" s="21"/>
    </row>
    <row r="827" ht="15.75" customHeight="1">
      <c r="N827" s="21"/>
      <c r="O827" s="21"/>
      <c r="P827" s="21"/>
      <c r="Q827" s="21"/>
      <c r="R827" s="21"/>
      <c r="S827" s="21"/>
    </row>
    <row r="828" ht="15.75" customHeight="1">
      <c r="N828" s="21"/>
      <c r="O828" s="21"/>
      <c r="P828" s="21"/>
      <c r="Q828" s="21"/>
      <c r="R828" s="21"/>
      <c r="S828" s="21"/>
    </row>
    <row r="829" ht="15.75" customHeight="1">
      <c r="N829" s="21"/>
      <c r="O829" s="21"/>
      <c r="P829" s="21"/>
      <c r="Q829" s="21"/>
      <c r="R829" s="21"/>
      <c r="S829" s="21"/>
    </row>
    <row r="830" ht="15.75" customHeight="1">
      <c r="N830" s="21"/>
      <c r="O830" s="21"/>
      <c r="P830" s="21"/>
      <c r="Q830" s="21"/>
      <c r="R830" s="21"/>
      <c r="S830" s="21"/>
    </row>
    <row r="831" ht="15.75" customHeight="1">
      <c r="N831" s="21"/>
      <c r="O831" s="21"/>
      <c r="P831" s="21"/>
      <c r="Q831" s="21"/>
      <c r="R831" s="21"/>
      <c r="S831" s="21"/>
    </row>
    <row r="832" ht="15.75" customHeight="1">
      <c r="N832" s="21"/>
      <c r="O832" s="21"/>
      <c r="P832" s="21"/>
      <c r="Q832" s="21"/>
      <c r="R832" s="21"/>
      <c r="S832" s="21"/>
    </row>
    <row r="833" ht="15.75" customHeight="1">
      <c r="N833" s="21"/>
      <c r="O833" s="21"/>
      <c r="P833" s="21"/>
      <c r="Q833" s="21"/>
      <c r="R833" s="21"/>
      <c r="S833" s="21"/>
    </row>
    <row r="834" ht="15.75" customHeight="1">
      <c r="N834" s="21"/>
      <c r="O834" s="21"/>
      <c r="P834" s="21"/>
      <c r="Q834" s="21"/>
      <c r="R834" s="21"/>
      <c r="S834" s="21"/>
    </row>
    <row r="835" ht="15.75" customHeight="1">
      <c r="N835" s="21"/>
      <c r="O835" s="21"/>
      <c r="P835" s="21"/>
      <c r="Q835" s="21"/>
      <c r="R835" s="21"/>
      <c r="S835" s="21"/>
    </row>
    <row r="836" ht="15.75" customHeight="1">
      <c r="N836" s="21"/>
      <c r="O836" s="21"/>
      <c r="P836" s="21"/>
      <c r="Q836" s="21"/>
      <c r="R836" s="21"/>
      <c r="S836" s="21"/>
    </row>
    <row r="837" ht="15.75" customHeight="1">
      <c r="N837" s="21"/>
      <c r="O837" s="21"/>
      <c r="P837" s="21"/>
      <c r="Q837" s="21"/>
      <c r="R837" s="21"/>
      <c r="S837" s="21"/>
    </row>
    <row r="838" ht="15.75" customHeight="1">
      <c r="N838" s="21"/>
      <c r="O838" s="21"/>
      <c r="P838" s="21"/>
      <c r="Q838" s="21"/>
      <c r="R838" s="21"/>
      <c r="S838" s="21"/>
    </row>
    <row r="839" ht="15.75" customHeight="1">
      <c r="N839" s="21"/>
      <c r="O839" s="21"/>
      <c r="P839" s="21"/>
      <c r="Q839" s="21"/>
      <c r="R839" s="21"/>
      <c r="S839" s="21"/>
    </row>
    <row r="840" ht="15.75" customHeight="1">
      <c r="N840" s="21"/>
      <c r="O840" s="21"/>
      <c r="P840" s="21"/>
      <c r="Q840" s="21"/>
      <c r="R840" s="21"/>
      <c r="S840" s="21"/>
    </row>
    <row r="841" ht="15.75" customHeight="1">
      <c r="N841" s="21"/>
      <c r="O841" s="21"/>
      <c r="P841" s="21"/>
      <c r="Q841" s="21"/>
      <c r="R841" s="21"/>
      <c r="S841" s="21"/>
    </row>
    <row r="842" ht="15.75" customHeight="1">
      <c r="N842" s="21"/>
      <c r="O842" s="21"/>
      <c r="P842" s="21"/>
      <c r="Q842" s="21"/>
      <c r="R842" s="21"/>
      <c r="S842" s="21"/>
    </row>
    <row r="843" ht="15.75" customHeight="1">
      <c r="N843" s="21"/>
      <c r="O843" s="21"/>
      <c r="P843" s="21"/>
      <c r="Q843" s="21"/>
      <c r="R843" s="21"/>
      <c r="S843" s="21"/>
    </row>
    <row r="844" ht="15.75" customHeight="1">
      <c r="N844" s="21"/>
      <c r="O844" s="21"/>
      <c r="P844" s="21"/>
      <c r="Q844" s="21"/>
      <c r="R844" s="21"/>
      <c r="S844" s="21"/>
    </row>
    <row r="845" ht="15.75" customHeight="1">
      <c r="N845" s="21"/>
      <c r="O845" s="21"/>
      <c r="P845" s="21"/>
      <c r="Q845" s="21"/>
      <c r="R845" s="21"/>
      <c r="S845" s="21"/>
    </row>
    <row r="846" ht="15.75" customHeight="1">
      <c r="N846" s="21"/>
      <c r="O846" s="21"/>
      <c r="P846" s="21"/>
      <c r="Q846" s="21"/>
      <c r="R846" s="21"/>
      <c r="S846" s="21"/>
    </row>
    <row r="847" ht="15.75" customHeight="1">
      <c r="N847" s="21"/>
      <c r="O847" s="21"/>
      <c r="P847" s="21"/>
      <c r="Q847" s="21"/>
      <c r="R847" s="21"/>
      <c r="S847" s="21"/>
    </row>
    <row r="848" ht="15.75" customHeight="1">
      <c r="N848" s="21"/>
      <c r="O848" s="21"/>
      <c r="P848" s="21"/>
      <c r="Q848" s="21"/>
      <c r="R848" s="21"/>
      <c r="S848" s="21"/>
    </row>
    <row r="849" ht="15.75" customHeight="1">
      <c r="N849" s="21"/>
      <c r="O849" s="21"/>
      <c r="P849" s="21"/>
      <c r="Q849" s="21"/>
      <c r="R849" s="21"/>
      <c r="S849" s="21"/>
    </row>
    <row r="850" ht="15.75" customHeight="1">
      <c r="N850" s="21"/>
      <c r="O850" s="21"/>
      <c r="P850" s="21"/>
      <c r="Q850" s="21"/>
      <c r="R850" s="21"/>
      <c r="S850" s="21"/>
    </row>
    <row r="851" ht="15.75" customHeight="1">
      <c r="N851" s="21"/>
      <c r="O851" s="21"/>
      <c r="P851" s="21"/>
      <c r="Q851" s="21"/>
      <c r="R851" s="21"/>
      <c r="S851" s="21"/>
    </row>
    <row r="852" ht="15.75" customHeight="1">
      <c r="N852" s="21"/>
      <c r="O852" s="21"/>
      <c r="P852" s="21"/>
      <c r="Q852" s="21"/>
      <c r="R852" s="21"/>
      <c r="S852" s="21"/>
    </row>
    <row r="853" ht="15.75" customHeight="1">
      <c r="N853" s="21"/>
      <c r="O853" s="21"/>
      <c r="P853" s="21"/>
      <c r="Q853" s="21"/>
      <c r="R853" s="21"/>
      <c r="S853" s="21"/>
    </row>
    <row r="854" ht="15.75" customHeight="1">
      <c r="N854" s="21"/>
      <c r="O854" s="21"/>
      <c r="P854" s="21"/>
      <c r="Q854" s="21"/>
      <c r="R854" s="21"/>
      <c r="S854" s="21"/>
    </row>
    <row r="855" ht="15.75" customHeight="1">
      <c r="N855" s="21"/>
      <c r="O855" s="21"/>
      <c r="P855" s="21"/>
      <c r="Q855" s="21"/>
      <c r="R855" s="21"/>
      <c r="S855" s="21"/>
    </row>
    <row r="856" ht="15.75" customHeight="1">
      <c r="N856" s="21"/>
      <c r="O856" s="21"/>
      <c r="P856" s="21"/>
      <c r="Q856" s="21"/>
      <c r="R856" s="21"/>
      <c r="S856" s="21"/>
    </row>
    <row r="857" ht="15.75" customHeight="1">
      <c r="N857" s="21"/>
      <c r="O857" s="21"/>
      <c r="P857" s="21"/>
      <c r="Q857" s="21"/>
      <c r="R857" s="21"/>
      <c r="S857" s="21"/>
    </row>
    <row r="858" ht="15.75" customHeight="1">
      <c r="N858" s="21"/>
      <c r="O858" s="21"/>
      <c r="P858" s="21"/>
      <c r="Q858" s="21"/>
      <c r="R858" s="21"/>
      <c r="S858" s="21"/>
    </row>
    <row r="859" ht="15.75" customHeight="1">
      <c r="N859" s="21"/>
      <c r="O859" s="21"/>
      <c r="P859" s="21"/>
      <c r="Q859" s="21"/>
      <c r="R859" s="21"/>
      <c r="S859" s="21"/>
    </row>
    <row r="860" ht="15.75" customHeight="1">
      <c r="N860" s="21"/>
      <c r="O860" s="21"/>
      <c r="P860" s="21"/>
      <c r="Q860" s="21"/>
      <c r="R860" s="21"/>
      <c r="S860" s="21"/>
    </row>
    <row r="861" ht="15.75" customHeight="1">
      <c r="N861" s="21"/>
      <c r="O861" s="21"/>
      <c r="P861" s="21"/>
      <c r="Q861" s="21"/>
      <c r="R861" s="21"/>
      <c r="S861" s="21"/>
    </row>
    <row r="862" ht="15.75" customHeight="1">
      <c r="N862" s="21"/>
      <c r="O862" s="21"/>
      <c r="P862" s="21"/>
      <c r="Q862" s="21"/>
      <c r="R862" s="21"/>
      <c r="S862" s="21"/>
    </row>
    <row r="863" ht="15.75" customHeight="1">
      <c r="N863" s="21"/>
      <c r="O863" s="21"/>
      <c r="P863" s="21"/>
      <c r="Q863" s="21"/>
      <c r="R863" s="21"/>
      <c r="S863" s="21"/>
    </row>
    <row r="864" ht="15.75" customHeight="1">
      <c r="N864" s="21"/>
      <c r="O864" s="21"/>
      <c r="P864" s="21"/>
      <c r="Q864" s="21"/>
      <c r="R864" s="21"/>
      <c r="S864" s="21"/>
    </row>
    <row r="865" ht="15.75" customHeight="1">
      <c r="N865" s="21"/>
      <c r="O865" s="21"/>
      <c r="P865" s="21"/>
      <c r="Q865" s="21"/>
      <c r="R865" s="21"/>
      <c r="S865" s="21"/>
    </row>
    <row r="866" ht="15.75" customHeight="1">
      <c r="N866" s="21"/>
      <c r="O866" s="21"/>
      <c r="P866" s="21"/>
      <c r="Q866" s="21"/>
      <c r="R866" s="21"/>
      <c r="S866" s="21"/>
    </row>
    <row r="867" ht="15.75" customHeight="1">
      <c r="N867" s="21"/>
      <c r="O867" s="21"/>
      <c r="P867" s="21"/>
      <c r="Q867" s="21"/>
      <c r="R867" s="21"/>
      <c r="S867" s="21"/>
    </row>
    <row r="868" ht="15.75" customHeight="1">
      <c r="N868" s="21"/>
      <c r="O868" s="21"/>
      <c r="P868" s="21"/>
      <c r="Q868" s="21"/>
      <c r="R868" s="21"/>
      <c r="S868" s="21"/>
    </row>
    <row r="869" ht="15.75" customHeight="1">
      <c r="N869" s="21"/>
      <c r="O869" s="21"/>
      <c r="P869" s="21"/>
      <c r="Q869" s="21"/>
      <c r="R869" s="21"/>
      <c r="S869" s="21"/>
    </row>
    <row r="870" ht="15.75" customHeight="1">
      <c r="N870" s="21"/>
      <c r="O870" s="21"/>
      <c r="P870" s="21"/>
      <c r="Q870" s="21"/>
      <c r="R870" s="21"/>
      <c r="S870" s="21"/>
    </row>
    <row r="871" ht="15.75" customHeight="1">
      <c r="N871" s="21"/>
      <c r="O871" s="21"/>
      <c r="P871" s="21"/>
      <c r="Q871" s="21"/>
      <c r="R871" s="21"/>
      <c r="S871" s="21"/>
    </row>
    <row r="872" ht="15.75" customHeight="1">
      <c r="N872" s="21"/>
      <c r="O872" s="21"/>
      <c r="P872" s="21"/>
      <c r="Q872" s="21"/>
      <c r="R872" s="21"/>
      <c r="S872" s="21"/>
    </row>
    <row r="873" ht="15.75" customHeight="1">
      <c r="N873" s="21"/>
      <c r="O873" s="21"/>
      <c r="P873" s="21"/>
      <c r="Q873" s="21"/>
      <c r="R873" s="21"/>
      <c r="S873" s="21"/>
    </row>
    <row r="874" ht="15.75" customHeight="1">
      <c r="N874" s="21"/>
      <c r="O874" s="21"/>
      <c r="P874" s="21"/>
      <c r="Q874" s="21"/>
      <c r="R874" s="21"/>
      <c r="S874" s="21"/>
    </row>
    <row r="875" ht="15.75" customHeight="1">
      <c r="N875" s="21"/>
      <c r="O875" s="21"/>
      <c r="P875" s="21"/>
      <c r="Q875" s="21"/>
      <c r="R875" s="21"/>
      <c r="S875" s="21"/>
    </row>
    <row r="876" ht="15.75" customHeight="1">
      <c r="N876" s="21"/>
      <c r="O876" s="21"/>
      <c r="P876" s="21"/>
      <c r="Q876" s="21"/>
      <c r="R876" s="21"/>
      <c r="S876" s="21"/>
    </row>
    <row r="877" ht="15.75" customHeight="1">
      <c r="N877" s="21"/>
      <c r="O877" s="21"/>
      <c r="P877" s="21"/>
      <c r="Q877" s="21"/>
      <c r="R877" s="21"/>
      <c r="S877" s="21"/>
    </row>
    <row r="878" ht="15.75" customHeight="1">
      <c r="N878" s="21"/>
      <c r="O878" s="21"/>
      <c r="P878" s="21"/>
      <c r="Q878" s="21"/>
      <c r="R878" s="21"/>
      <c r="S878" s="21"/>
    </row>
    <row r="879" ht="15.75" customHeight="1">
      <c r="N879" s="21"/>
      <c r="O879" s="21"/>
      <c r="P879" s="21"/>
      <c r="Q879" s="21"/>
      <c r="R879" s="21"/>
      <c r="S879" s="21"/>
    </row>
    <row r="880" ht="15.75" customHeight="1">
      <c r="N880" s="21"/>
      <c r="O880" s="21"/>
      <c r="P880" s="21"/>
      <c r="Q880" s="21"/>
      <c r="R880" s="21"/>
      <c r="S880" s="21"/>
    </row>
    <row r="881" ht="15.75" customHeight="1">
      <c r="N881" s="21"/>
      <c r="O881" s="21"/>
      <c r="P881" s="21"/>
      <c r="Q881" s="21"/>
      <c r="R881" s="21"/>
      <c r="S881" s="21"/>
    </row>
    <row r="882" ht="15.75" customHeight="1">
      <c r="N882" s="21"/>
      <c r="O882" s="21"/>
      <c r="P882" s="21"/>
      <c r="Q882" s="21"/>
      <c r="R882" s="21"/>
      <c r="S882" s="21"/>
    </row>
    <row r="883" ht="15.75" customHeight="1">
      <c r="N883" s="21"/>
      <c r="O883" s="21"/>
      <c r="P883" s="21"/>
      <c r="Q883" s="21"/>
      <c r="R883" s="21"/>
      <c r="S883" s="21"/>
    </row>
    <row r="884" ht="15.75" customHeight="1">
      <c r="N884" s="21"/>
      <c r="O884" s="21"/>
      <c r="P884" s="21"/>
      <c r="Q884" s="21"/>
      <c r="R884" s="21"/>
      <c r="S884" s="21"/>
    </row>
    <row r="885" ht="15.75" customHeight="1">
      <c r="N885" s="21"/>
      <c r="O885" s="21"/>
      <c r="P885" s="21"/>
      <c r="Q885" s="21"/>
      <c r="R885" s="21"/>
      <c r="S885" s="21"/>
    </row>
    <row r="886" ht="15.75" customHeight="1">
      <c r="N886" s="21"/>
      <c r="O886" s="21"/>
      <c r="P886" s="21"/>
      <c r="Q886" s="21"/>
      <c r="R886" s="21"/>
      <c r="S886" s="21"/>
    </row>
    <row r="887" ht="15.75" customHeight="1">
      <c r="N887" s="21"/>
      <c r="O887" s="21"/>
      <c r="P887" s="21"/>
      <c r="Q887" s="21"/>
      <c r="R887" s="21"/>
      <c r="S887" s="21"/>
    </row>
    <row r="888" ht="15.75" customHeight="1">
      <c r="N888" s="21"/>
      <c r="O888" s="21"/>
      <c r="P888" s="21"/>
      <c r="Q888" s="21"/>
      <c r="R888" s="21"/>
      <c r="S888" s="21"/>
    </row>
    <row r="889" ht="15.75" customHeight="1">
      <c r="N889" s="21"/>
      <c r="O889" s="21"/>
      <c r="P889" s="21"/>
      <c r="Q889" s="21"/>
      <c r="R889" s="21"/>
      <c r="S889" s="21"/>
    </row>
    <row r="890" ht="15.75" customHeight="1">
      <c r="N890" s="21"/>
      <c r="O890" s="21"/>
      <c r="P890" s="21"/>
      <c r="Q890" s="21"/>
      <c r="R890" s="21"/>
      <c r="S890" s="21"/>
    </row>
    <row r="891" ht="15.75" customHeight="1">
      <c r="N891" s="21"/>
      <c r="O891" s="21"/>
      <c r="P891" s="21"/>
      <c r="Q891" s="21"/>
      <c r="R891" s="21"/>
      <c r="S891" s="21"/>
    </row>
    <row r="892" ht="15.75" customHeight="1">
      <c r="N892" s="21"/>
      <c r="O892" s="21"/>
      <c r="P892" s="21"/>
      <c r="Q892" s="21"/>
      <c r="R892" s="21"/>
      <c r="S892" s="21"/>
    </row>
    <row r="893" ht="15.75" customHeight="1">
      <c r="N893" s="21"/>
      <c r="O893" s="21"/>
      <c r="P893" s="21"/>
      <c r="Q893" s="21"/>
      <c r="R893" s="21"/>
      <c r="S893" s="21"/>
    </row>
    <row r="894" ht="15.75" customHeight="1">
      <c r="N894" s="21"/>
      <c r="O894" s="21"/>
      <c r="P894" s="21"/>
      <c r="Q894" s="21"/>
      <c r="R894" s="21"/>
      <c r="S894" s="21"/>
    </row>
    <row r="895" ht="15.75" customHeight="1">
      <c r="N895" s="21"/>
      <c r="O895" s="21"/>
      <c r="P895" s="21"/>
      <c r="Q895" s="21"/>
      <c r="R895" s="21"/>
      <c r="S895" s="21"/>
    </row>
    <row r="896" ht="15.75" customHeight="1">
      <c r="N896" s="21"/>
      <c r="O896" s="21"/>
      <c r="P896" s="21"/>
      <c r="Q896" s="21"/>
      <c r="R896" s="21"/>
      <c r="S896" s="21"/>
    </row>
    <row r="897" ht="15.75" customHeight="1">
      <c r="N897" s="21"/>
      <c r="O897" s="21"/>
      <c r="P897" s="21"/>
      <c r="Q897" s="21"/>
      <c r="R897" s="21"/>
      <c r="S897" s="21"/>
    </row>
    <row r="898" ht="15.75" customHeight="1">
      <c r="N898" s="21"/>
      <c r="O898" s="21"/>
      <c r="P898" s="21"/>
      <c r="Q898" s="21"/>
      <c r="R898" s="21"/>
      <c r="S898" s="21"/>
    </row>
    <row r="899" ht="15.75" customHeight="1">
      <c r="N899" s="21"/>
      <c r="O899" s="21"/>
      <c r="P899" s="21"/>
      <c r="Q899" s="21"/>
      <c r="R899" s="21"/>
      <c r="S899" s="21"/>
    </row>
    <row r="900" ht="15.75" customHeight="1">
      <c r="N900" s="21"/>
      <c r="O900" s="21"/>
      <c r="P900" s="21"/>
      <c r="Q900" s="21"/>
      <c r="R900" s="21"/>
      <c r="S900" s="21"/>
    </row>
    <row r="901" ht="15.75" customHeight="1">
      <c r="N901" s="21"/>
      <c r="O901" s="21"/>
      <c r="P901" s="21"/>
      <c r="Q901" s="21"/>
      <c r="R901" s="21"/>
      <c r="S901" s="21"/>
    </row>
    <row r="902" ht="15.75" customHeight="1">
      <c r="N902" s="21"/>
      <c r="O902" s="21"/>
      <c r="P902" s="21"/>
      <c r="Q902" s="21"/>
      <c r="R902" s="21"/>
      <c r="S902" s="21"/>
    </row>
    <row r="903" ht="15.75" customHeight="1">
      <c r="N903" s="21"/>
      <c r="O903" s="21"/>
      <c r="P903" s="21"/>
      <c r="Q903" s="21"/>
      <c r="R903" s="21"/>
      <c r="S903" s="21"/>
    </row>
    <row r="904" ht="15.75" customHeight="1">
      <c r="N904" s="21"/>
      <c r="O904" s="21"/>
      <c r="P904" s="21"/>
      <c r="Q904" s="21"/>
      <c r="R904" s="21"/>
      <c r="S904" s="21"/>
    </row>
    <row r="905" ht="15.75" customHeight="1">
      <c r="N905" s="21"/>
      <c r="O905" s="21"/>
      <c r="P905" s="21"/>
      <c r="Q905" s="21"/>
      <c r="R905" s="21"/>
      <c r="S905" s="21"/>
    </row>
    <row r="906" ht="15.75" customHeight="1">
      <c r="N906" s="21"/>
      <c r="O906" s="21"/>
      <c r="P906" s="21"/>
      <c r="Q906" s="21"/>
      <c r="R906" s="21"/>
      <c r="S906" s="21"/>
    </row>
    <row r="907" ht="15.75" customHeight="1">
      <c r="N907" s="21"/>
      <c r="O907" s="21"/>
      <c r="P907" s="21"/>
      <c r="Q907" s="21"/>
      <c r="R907" s="21"/>
      <c r="S907" s="21"/>
    </row>
    <row r="908" ht="15.75" customHeight="1">
      <c r="N908" s="21"/>
      <c r="O908" s="21"/>
      <c r="P908" s="21"/>
      <c r="Q908" s="21"/>
      <c r="R908" s="21"/>
      <c r="S908" s="21"/>
    </row>
    <row r="909" ht="15.75" customHeight="1">
      <c r="N909" s="21"/>
      <c r="O909" s="21"/>
      <c r="P909" s="21"/>
      <c r="Q909" s="21"/>
      <c r="R909" s="21"/>
      <c r="S909" s="21"/>
    </row>
    <row r="910" ht="15.75" customHeight="1">
      <c r="N910" s="21"/>
      <c r="O910" s="21"/>
      <c r="P910" s="21"/>
      <c r="Q910" s="21"/>
      <c r="R910" s="21"/>
      <c r="S910" s="21"/>
    </row>
    <row r="911" ht="15.75" customHeight="1">
      <c r="N911" s="21"/>
      <c r="O911" s="21"/>
      <c r="P911" s="21"/>
      <c r="Q911" s="21"/>
      <c r="R911" s="21"/>
      <c r="S911" s="21"/>
    </row>
    <row r="912" ht="15.75" customHeight="1">
      <c r="N912" s="21"/>
      <c r="O912" s="21"/>
      <c r="P912" s="21"/>
      <c r="Q912" s="21"/>
      <c r="R912" s="21"/>
      <c r="S912" s="21"/>
    </row>
    <row r="913" ht="15.75" customHeight="1">
      <c r="N913" s="21"/>
      <c r="O913" s="21"/>
      <c r="P913" s="21"/>
      <c r="Q913" s="21"/>
      <c r="R913" s="21"/>
      <c r="S913" s="21"/>
    </row>
    <row r="914" ht="15.75" customHeight="1">
      <c r="N914" s="21"/>
      <c r="O914" s="21"/>
      <c r="P914" s="21"/>
      <c r="Q914" s="21"/>
      <c r="R914" s="21"/>
      <c r="S914" s="21"/>
    </row>
    <row r="915" ht="15.75" customHeight="1">
      <c r="N915" s="21"/>
      <c r="O915" s="21"/>
      <c r="P915" s="21"/>
      <c r="Q915" s="21"/>
      <c r="R915" s="21"/>
      <c r="S915" s="21"/>
    </row>
    <row r="916" ht="15.75" customHeight="1">
      <c r="N916" s="21"/>
      <c r="O916" s="21"/>
      <c r="P916" s="21"/>
      <c r="Q916" s="21"/>
      <c r="R916" s="21"/>
      <c r="S916" s="21"/>
    </row>
    <row r="917" ht="15.75" customHeight="1">
      <c r="N917" s="21"/>
      <c r="O917" s="21"/>
      <c r="P917" s="21"/>
      <c r="Q917" s="21"/>
      <c r="R917" s="21"/>
      <c r="S917" s="21"/>
    </row>
    <row r="918" ht="15.75" customHeight="1">
      <c r="N918" s="21"/>
      <c r="O918" s="21"/>
      <c r="P918" s="21"/>
      <c r="Q918" s="21"/>
      <c r="R918" s="21"/>
      <c r="S918" s="21"/>
    </row>
    <row r="919" ht="15.75" customHeight="1">
      <c r="N919" s="21"/>
      <c r="O919" s="21"/>
      <c r="P919" s="21"/>
      <c r="Q919" s="21"/>
      <c r="R919" s="21"/>
      <c r="S919" s="21"/>
    </row>
    <row r="920" ht="15.75" customHeight="1">
      <c r="N920" s="21"/>
      <c r="O920" s="21"/>
      <c r="P920" s="21"/>
      <c r="Q920" s="21"/>
      <c r="R920" s="21"/>
      <c r="S920" s="21"/>
    </row>
    <row r="921" ht="15.75" customHeight="1">
      <c r="N921" s="21"/>
      <c r="O921" s="21"/>
      <c r="P921" s="21"/>
      <c r="Q921" s="21"/>
      <c r="R921" s="21"/>
      <c r="S921" s="21"/>
    </row>
    <row r="922" ht="15.75" customHeight="1">
      <c r="N922" s="21"/>
      <c r="O922" s="21"/>
      <c r="P922" s="21"/>
      <c r="Q922" s="21"/>
      <c r="R922" s="21"/>
      <c r="S922" s="21"/>
    </row>
    <row r="923" ht="15.75" customHeight="1">
      <c r="N923" s="21"/>
      <c r="O923" s="21"/>
      <c r="P923" s="21"/>
      <c r="Q923" s="21"/>
      <c r="R923" s="21"/>
      <c r="S923" s="21"/>
    </row>
    <row r="924" ht="15.75" customHeight="1">
      <c r="N924" s="21"/>
      <c r="O924" s="21"/>
      <c r="P924" s="21"/>
      <c r="Q924" s="21"/>
      <c r="R924" s="21"/>
      <c r="S924" s="21"/>
    </row>
    <row r="925" ht="15.75" customHeight="1">
      <c r="N925" s="21"/>
      <c r="O925" s="21"/>
      <c r="P925" s="21"/>
      <c r="Q925" s="21"/>
      <c r="R925" s="21"/>
      <c r="S925" s="21"/>
    </row>
    <row r="926" ht="15.75" customHeight="1">
      <c r="N926" s="21"/>
      <c r="O926" s="21"/>
      <c r="P926" s="21"/>
      <c r="Q926" s="21"/>
      <c r="R926" s="21"/>
      <c r="S926" s="21"/>
    </row>
    <row r="927" ht="15.75" customHeight="1">
      <c r="N927" s="21"/>
      <c r="O927" s="21"/>
      <c r="P927" s="21"/>
      <c r="Q927" s="21"/>
      <c r="R927" s="21"/>
      <c r="S927" s="21"/>
    </row>
    <row r="928" ht="15.75" customHeight="1">
      <c r="N928" s="21"/>
      <c r="O928" s="21"/>
      <c r="P928" s="21"/>
      <c r="Q928" s="21"/>
      <c r="R928" s="21"/>
      <c r="S928" s="21"/>
    </row>
    <row r="929" ht="15.75" customHeight="1">
      <c r="N929" s="21"/>
      <c r="O929" s="21"/>
      <c r="P929" s="21"/>
      <c r="Q929" s="21"/>
      <c r="R929" s="21"/>
      <c r="S929" s="21"/>
    </row>
    <row r="930" ht="15.75" customHeight="1">
      <c r="N930" s="21"/>
      <c r="O930" s="21"/>
      <c r="P930" s="21"/>
      <c r="Q930" s="21"/>
      <c r="R930" s="21"/>
      <c r="S930" s="21"/>
    </row>
    <row r="931" ht="15.75" customHeight="1">
      <c r="N931" s="21"/>
      <c r="O931" s="21"/>
      <c r="P931" s="21"/>
      <c r="Q931" s="21"/>
      <c r="R931" s="21"/>
      <c r="S931" s="21"/>
    </row>
    <row r="932" ht="15.75" customHeight="1">
      <c r="N932" s="21"/>
      <c r="O932" s="21"/>
      <c r="P932" s="21"/>
      <c r="Q932" s="21"/>
      <c r="R932" s="21"/>
      <c r="S932" s="21"/>
    </row>
    <row r="933" ht="15.75" customHeight="1">
      <c r="N933" s="21"/>
      <c r="O933" s="21"/>
      <c r="P933" s="21"/>
      <c r="Q933" s="21"/>
      <c r="R933" s="21"/>
      <c r="S933" s="21"/>
    </row>
    <row r="934" ht="15.75" customHeight="1">
      <c r="N934" s="21"/>
      <c r="O934" s="21"/>
      <c r="P934" s="21"/>
      <c r="Q934" s="21"/>
      <c r="R934" s="21"/>
      <c r="S934" s="21"/>
    </row>
    <row r="935" ht="15.75" customHeight="1">
      <c r="N935" s="21"/>
      <c r="O935" s="21"/>
      <c r="P935" s="21"/>
      <c r="Q935" s="21"/>
      <c r="R935" s="21"/>
      <c r="S935" s="21"/>
    </row>
    <row r="936" ht="15.75" customHeight="1">
      <c r="N936" s="21"/>
      <c r="O936" s="21"/>
      <c r="P936" s="21"/>
      <c r="Q936" s="21"/>
      <c r="R936" s="21"/>
      <c r="S936" s="21"/>
    </row>
    <row r="937" ht="15.75" customHeight="1">
      <c r="N937" s="21"/>
      <c r="O937" s="21"/>
      <c r="P937" s="21"/>
      <c r="Q937" s="21"/>
      <c r="R937" s="21"/>
      <c r="S937" s="21"/>
    </row>
    <row r="938" ht="15.75" customHeight="1">
      <c r="N938" s="21"/>
      <c r="O938" s="21"/>
      <c r="P938" s="21"/>
      <c r="Q938" s="21"/>
      <c r="R938" s="21"/>
      <c r="S938" s="21"/>
    </row>
    <row r="939" ht="15.75" customHeight="1">
      <c r="N939" s="21"/>
      <c r="O939" s="21"/>
      <c r="P939" s="21"/>
      <c r="Q939" s="21"/>
      <c r="R939" s="21"/>
      <c r="S939" s="21"/>
    </row>
    <row r="940" ht="15.75" customHeight="1">
      <c r="N940" s="21"/>
      <c r="O940" s="21"/>
      <c r="P940" s="21"/>
      <c r="Q940" s="21"/>
      <c r="R940" s="21"/>
      <c r="S940" s="21"/>
    </row>
    <row r="941" ht="15.75" customHeight="1">
      <c r="N941" s="21"/>
      <c r="O941" s="21"/>
      <c r="P941" s="21"/>
      <c r="Q941" s="21"/>
      <c r="R941" s="21"/>
      <c r="S941" s="21"/>
    </row>
    <row r="942" ht="15.75" customHeight="1">
      <c r="N942" s="21"/>
      <c r="O942" s="21"/>
      <c r="P942" s="21"/>
      <c r="Q942" s="21"/>
      <c r="R942" s="21"/>
      <c r="S942" s="21"/>
    </row>
    <row r="943" ht="15.75" customHeight="1">
      <c r="N943" s="21"/>
      <c r="O943" s="21"/>
      <c r="P943" s="21"/>
      <c r="Q943" s="21"/>
      <c r="R943" s="21"/>
      <c r="S943" s="21"/>
    </row>
    <row r="944" ht="15.75" customHeight="1">
      <c r="N944" s="21"/>
      <c r="O944" s="21"/>
      <c r="P944" s="21"/>
      <c r="Q944" s="21"/>
      <c r="R944" s="21"/>
      <c r="S944" s="21"/>
    </row>
    <row r="945" ht="15.75" customHeight="1">
      <c r="N945" s="21"/>
      <c r="O945" s="21"/>
      <c r="P945" s="21"/>
      <c r="Q945" s="21"/>
      <c r="R945" s="21"/>
      <c r="S945" s="21"/>
    </row>
    <row r="946" ht="15.75" customHeight="1">
      <c r="N946" s="21"/>
      <c r="O946" s="21"/>
      <c r="P946" s="21"/>
      <c r="Q946" s="21"/>
      <c r="R946" s="21"/>
      <c r="S946" s="21"/>
    </row>
    <row r="947" ht="15.75" customHeight="1">
      <c r="N947" s="21"/>
      <c r="O947" s="21"/>
      <c r="P947" s="21"/>
      <c r="Q947" s="21"/>
      <c r="R947" s="21"/>
      <c r="S947" s="21"/>
    </row>
    <row r="948" ht="15.75" customHeight="1">
      <c r="N948" s="21"/>
      <c r="O948" s="21"/>
      <c r="P948" s="21"/>
      <c r="Q948" s="21"/>
      <c r="R948" s="21"/>
      <c r="S948" s="21"/>
    </row>
    <row r="949" ht="15.75" customHeight="1">
      <c r="N949" s="21"/>
      <c r="O949" s="21"/>
      <c r="P949" s="21"/>
      <c r="Q949" s="21"/>
      <c r="R949" s="21"/>
      <c r="S949" s="21"/>
    </row>
    <row r="950" ht="15.75" customHeight="1">
      <c r="N950" s="21"/>
      <c r="O950" s="21"/>
      <c r="P950" s="21"/>
      <c r="Q950" s="21"/>
      <c r="R950" s="21"/>
      <c r="S950" s="21"/>
    </row>
    <row r="951" ht="15.75" customHeight="1">
      <c r="N951" s="21"/>
      <c r="O951" s="21"/>
      <c r="P951" s="21"/>
      <c r="Q951" s="21"/>
      <c r="R951" s="21"/>
      <c r="S951" s="21"/>
    </row>
    <row r="952" ht="15.75" customHeight="1">
      <c r="N952" s="21"/>
      <c r="O952" s="21"/>
      <c r="P952" s="21"/>
      <c r="Q952" s="21"/>
      <c r="R952" s="21"/>
      <c r="S952" s="21"/>
    </row>
    <row r="953" ht="15.75" customHeight="1">
      <c r="N953" s="21"/>
      <c r="O953" s="21"/>
      <c r="P953" s="21"/>
      <c r="Q953" s="21"/>
      <c r="R953" s="21"/>
      <c r="S953" s="21"/>
    </row>
    <row r="954" ht="15.75" customHeight="1">
      <c r="N954" s="21"/>
      <c r="O954" s="21"/>
      <c r="P954" s="21"/>
      <c r="Q954" s="21"/>
      <c r="R954" s="21"/>
      <c r="S954" s="21"/>
    </row>
    <row r="955" ht="15.75" customHeight="1">
      <c r="N955" s="21"/>
      <c r="O955" s="21"/>
      <c r="P955" s="21"/>
      <c r="Q955" s="21"/>
      <c r="R955" s="21"/>
      <c r="S955" s="21"/>
    </row>
    <row r="956" ht="15.75" customHeight="1">
      <c r="N956" s="21"/>
      <c r="O956" s="21"/>
      <c r="P956" s="21"/>
      <c r="Q956" s="21"/>
      <c r="R956" s="21"/>
      <c r="S956" s="21"/>
    </row>
    <row r="957" ht="15.75" customHeight="1">
      <c r="N957" s="21"/>
      <c r="O957" s="21"/>
      <c r="P957" s="21"/>
      <c r="Q957" s="21"/>
      <c r="R957" s="21"/>
      <c r="S957" s="21"/>
    </row>
    <row r="958" ht="15.75" customHeight="1">
      <c r="N958" s="21"/>
      <c r="O958" s="21"/>
      <c r="P958" s="21"/>
      <c r="Q958" s="21"/>
      <c r="R958" s="21"/>
      <c r="S958" s="21"/>
    </row>
    <row r="959" ht="15.75" customHeight="1">
      <c r="N959" s="21"/>
      <c r="O959" s="21"/>
      <c r="P959" s="21"/>
      <c r="Q959" s="21"/>
      <c r="R959" s="21"/>
      <c r="S959" s="21"/>
    </row>
    <row r="960" ht="15.75" customHeight="1">
      <c r="N960" s="21"/>
      <c r="O960" s="21"/>
      <c r="P960" s="21"/>
      <c r="Q960" s="21"/>
      <c r="R960" s="21"/>
      <c r="S960" s="21"/>
    </row>
    <row r="961" ht="15.75" customHeight="1">
      <c r="N961" s="21"/>
      <c r="O961" s="21"/>
      <c r="P961" s="21"/>
      <c r="Q961" s="21"/>
      <c r="R961" s="21"/>
      <c r="S961" s="21"/>
    </row>
    <row r="962" ht="15.75" customHeight="1">
      <c r="N962" s="21"/>
      <c r="O962" s="21"/>
      <c r="P962" s="21"/>
      <c r="Q962" s="21"/>
      <c r="R962" s="21"/>
      <c r="S962" s="21"/>
    </row>
    <row r="963" ht="15.75" customHeight="1">
      <c r="N963" s="21"/>
      <c r="O963" s="21"/>
      <c r="P963" s="21"/>
      <c r="Q963" s="21"/>
      <c r="R963" s="21"/>
      <c r="S963" s="21"/>
    </row>
    <row r="964" ht="15.75" customHeight="1">
      <c r="N964" s="21"/>
      <c r="O964" s="21"/>
      <c r="P964" s="21"/>
      <c r="Q964" s="21"/>
      <c r="R964" s="21"/>
      <c r="S964" s="21"/>
    </row>
    <row r="965" ht="15.75" customHeight="1">
      <c r="N965" s="21"/>
      <c r="O965" s="21"/>
      <c r="P965" s="21"/>
      <c r="Q965" s="21"/>
      <c r="R965" s="21"/>
      <c r="S965" s="21"/>
    </row>
    <row r="966" ht="15.75" customHeight="1">
      <c r="N966" s="21"/>
      <c r="O966" s="21"/>
      <c r="P966" s="21"/>
      <c r="Q966" s="21"/>
      <c r="R966" s="21"/>
      <c r="S966" s="21"/>
    </row>
    <row r="967" ht="15.75" customHeight="1">
      <c r="N967" s="21"/>
      <c r="O967" s="21"/>
      <c r="P967" s="21"/>
      <c r="Q967" s="21"/>
      <c r="R967" s="21"/>
      <c r="S967" s="21"/>
    </row>
    <row r="968" ht="15.75" customHeight="1">
      <c r="N968" s="21"/>
      <c r="O968" s="21"/>
      <c r="P968" s="21"/>
      <c r="Q968" s="21"/>
      <c r="R968" s="21"/>
      <c r="S968" s="21"/>
    </row>
    <row r="969" ht="15.75" customHeight="1">
      <c r="N969" s="21"/>
      <c r="O969" s="21"/>
      <c r="P969" s="21"/>
      <c r="Q969" s="21"/>
      <c r="R969" s="21"/>
      <c r="S969" s="21"/>
    </row>
    <row r="970" ht="15.75" customHeight="1">
      <c r="N970" s="21"/>
      <c r="O970" s="21"/>
      <c r="P970" s="21"/>
      <c r="Q970" s="21"/>
      <c r="R970" s="21"/>
      <c r="S970" s="21"/>
    </row>
    <row r="971" ht="15.75" customHeight="1">
      <c r="N971" s="21"/>
      <c r="O971" s="21"/>
      <c r="P971" s="21"/>
      <c r="Q971" s="21"/>
      <c r="R971" s="21"/>
      <c r="S971" s="21"/>
    </row>
    <row r="972" ht="15.75" customHeight="1">
      <c r="N972" s="21"/>
      <c r="O972" s="21"/>
      <c r="P972" s="21"/>
      <c r="Q972" s="21"/>
      <c r="R972" s="21"/>
      <c r="S972" s="21"/>
    </row>
    <row r="973" ht="15.75" customHeight="1">
      <c r="N973" s="21"/>
      <c r="O973" s="21"/>
      <c r="P973" s="21"/>
      <c r="Q973" s="21"/>
      <c r="R973" s="21"/>
      <c r="S973" s="21"/>
    </row>
    <row r="974" ht="15.75" customHeight="1">
      <c r="N974" s="21"/>
      <c r="O974" s="21"/>
      <c r="P974" s="21"/>
      <c r="Q974" s="21"/>
      <c r="R974" s="21"/>
      <c r="S974" s="21"/>
    </row>
    <row r="975" ht="15.75" customHeight="1">
      <c r="N975" s="21"/>
      <c r="O975" s="21"/>
      <c r="P975" s="21"/>
      <c r="Q975" s="21"/>
      <c r="R975" s="21"/>
      <c r="S975" s="21"/>
    </row>
    <row r="976" ht="15.75" customHeight="1">
      <c r="N976" s="21"/>
      <c r="O976" s="21"/>
      <c r="P976" s="21"/>
      <c r="Q976" s="21"/>
      <c r="R976" s="21"/>
      <c r="S976" s="21"/>
    </row>
    <row r="977" ht="15.75" customHeight="1">
      <c r="N977" s="21"/>
      <c r="O977" s="21"/>
      <c r="P977" s="21"/>
      <c r="Q977" s="21"/>
      <c r="R977" s="21"/>
      <c r="S977" s="21"/>
    </row>
    <row r="978" ht="15.75" customHeight="1">
      <c r="N978" s="21"/>
      <c r="O978" s="21"/>
      <c r="P978" s="21"/>
      <c r="Q978" s="21"/>
      <c r="R978" s="21"/>
      <c r="S978" s="21"/>
    </row>
    <row r="979" ht="15.75" customHeight="1">
      <c r="N979" s="21"/>
      <c r="O979" s="21"/>
      <c r="P979" s="21"/>
      <c r="Q979" s="21"/>
      <c r="R979" s="21"/>
      <c r="S979" s="21"/>
    </row>
    <row r="980" ht="15.75" customHeight="1">
      <c r="N980" s="21"/>
      <c r="O980" s="21"/>
      <c r="P980" s="21"/>
      <c r="Q980" s="21"/>
      <c r="R980" s="21"/>
      <c r="S980" s="21"/>
    </row>
    <row r="981" ht="15.75" customHeight="1">
      <c r="N981" s="21"/>
      <c r="O981" s="21"/>
      <c r="P981" s="21"/>
      <c r="Q981" s="21"/>
      <c r="R981" s="21"/>
      <c r="S981" s="21"/>
    </row>
    <row r="982" ht="15.75" customHeight="1">
      <c r="N982" s="21"/>
      <c r="O982" s="21"/>
      <c r="P982" s="21"/>
      <c r="Q982" s="21"/>
      <c r="R982" s="21"/>
      <c r="S982" s="21"/>
    </row>
    <row r="983" ht="15.75" customHeight="1">
      <c r="N983" s="21"/>
      <c r="O983" s="21"/>
      <c r="P983" s="21"/>
      <c r="Q983" s="21"/>
      <c r="R983" s="21"/>
      <c r="S983" s="21"/>
    </row>
    <row r="984" ht="15.75" customHeight="1">
      <c r="N984" s="21"/>
      <c r="O984" s="21"/>
      <c r="P984" s="21"/>
      <c r="Q984" s="21"/>
      <c r="R984" s="21"/>
      <c r="S984" s="21"/>
    </row>
    <row r="985" ht="15.75" customHeight="1">
      <c r="N985" s="21"/>
      <c r="O985" s="21"/>
      <c r="P985" s="21"/>
      <c r="Q985" s="21"/>
      <c r="R985" s="21"/>
      <c r="S985" s="21"/>
    </row>
    <row r="986" ht="15.75" customHeight="1">
      <c r="N986" s="21"/>
      <c r="O986" s="21"/>
      <c r="P986" s="21"/>
      <c r="Q986" s="21"/>
      <c r="R986" s="21"/>
      <c r="S986" s="21"/>
    </row>
    <row r="987" ht="15.75" customHeight="1">
      <c r="N987" s="21"/>
      <c r="O987" s="21"/>
      <c r="P987" s="21"/>
      <c r="Q987" s="21"/>
      <c r="R987" s="21"/>
      <c r="S987" s="21"/>
    </row>
    <row r="988" ht="15.75" customHeight="1">
      <c r="N988" s="21"/>
      <c r="O988" s="21"/>
      <c r="P988" s="21"/>
      <c r="Q988" s="21"/>
      <c r="R988" s="21"/>
      <c r="S988" s="21"/>
    </row>
    <row r="989" ht="15.75" customHeight="1">
      <c r="N989" s="21"/>
      <c r="O989" s="21"/>
      <c r="P989" s="21"/>
      <c r="Q989" s="21"/>
      <c r="R989" s="21"/>
      <c r="S989" s="21"/>
    </row>
    <row r="990" ht="15.75" customHeight="1">
      <c r="N990" s="21"/>
      <c r="O990" s="21"/>
      <c r="P990" s="21"/>
      <c r="Q990" s="21"/>
      <c r="R990" s="21"/>
      <c r="S990" s="21"/>
    </row>
    <row r="991" ht="15.75" customHeight="1">
      <c r="N991" s="21"/>
      <c r="O991" s="21"/>
      <c r="P991" s="21"/>
      <c r="Q991" s="21"/>
      <c r="R991" s="21"/>
      <c r="S991" s="21"/>
    </row>
    <row r="992" ht="15.75" customHeight="1">
      <c r="N992" s="21"/>
      <c r="O992" s="21"/>
      <c r="P992" s="21"/>
      <c r="Q992" s="21"/>
      <c r="R992" s="21"/>
      <c r="S992" s="21"/>
    </row>
    <row r="993" ht="15.75" customHeight="1">
      <c r="N993" s="21"/>
      <c r="O993" s="21"/>
      <c r="P993" s="21"/>
      <c r="Q993" s="21"/>
      <c r="R993" s="21"/>
      <c r="S993" s="21"/>
    </row>
    <row r="994" ht="15.75" customHeight="1">
      <c r="N994" s="21"/>
      <c r="O994" s="21"/>
      <c r="P994" s="21"/>
      <c r="Q994" s="21"/>
      <c r="R994" s="21"/>
      <c r="S994" s="21"/>
    </row>
    <row r="995" ht="15.75" customHeight="1">
      <c r="N995" s="21"/>
      <c r="O995" s="21"/>
      <c r="P995" s="21"/>
      <c r="Q995" s="21"/>
      <c r="R995" s="21"/>
      <c r="S995" s="21"/>
    </row>
    <row r="996" ht="15.75" customHeight="1">
      <c r="N996" s="21"/>
      <c r="O996" s="21"/>
      <c r="P996" s="21"/>
      <c r="Q996" s="21"/>
      <c r="R996" s="21"/>
      <c r="S996" s="21"/>
    </row>
    <row r="997" ht="15.75" customHeight="1">
      <c r="N997" s="21"/>
      <c r="O997" s="21"/>
      <c r="P997" s="21"/>
      <c r="Q997" s="21"/>
      <c r="R997" s="21"/>
      <c r="S997" s="21"/>
    </row>
  </sheetData>
  <mergeCells count="4">
    <mergeCell ref="A1:AA1"/>
    <mergeCell ref="A2:AA2"/>
    <mergeCell ref="D3:E3"/>
    <mergeCell ref="F3:Z3"/>
  </mergeCells>
  <printOptions/>
  <pageMargins bottom="0.75" footer="0.0" header="0.0" left="0.7" right="0.7" top="0.75"/>
  <pageSetup paperSize="9"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2016-06-01T10:56:26Z</dcterms:created>
  <dc:creator>Shifat</dc:creator>
</cp:coreProperties>
</file>