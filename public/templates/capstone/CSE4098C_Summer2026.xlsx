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OPO Capstone\Summer 26\"/>
    </mc:Choice>
  </mc:AlternateContent>
  <xr:revisionPtr revIDLastSave="0" documentId="13_ncr:1_{3633DBA6-D2E4-4BC1-847C-03E14FD16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E4098C_Summer2026_Grade" sheetId="1" r:id="rId1"/>
    <sheet name="CSE4098C_Summer2026_Report" sheetId="5" r:id="rId2"/>
    <sheet name="CSE4098C_Summer2026_Poster" sheetId="8" r:id="rId3"/>
    <sheet name="CSE4098C_Spring26_Presentation" sheetId="7" r:id="rId4"/>
    <sheet name="CO_PO_Attainment_Analysis" sheetId="2" r:id="rId5"/>
    <sheet name="CO_Report_Evaluation" sheetId="3" r:id="rId6"/>
    <sheet name="Poster Evaluation" sheetId="4" r:id="rId7"/>
    <sheet name="ContinuousQualityAssessment" sheetId="6" r:id="rId8"/>
    <sheet name="Supervisor_Evaluator" sheetId="9" r:id="rId9"/>
  </sheets>
  <definedNames>
    <definedName name="Grades">#REF!</definedName>
    <definedName name="mygrade">#REF!</definedName>
    <definedName name="mygrad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E9a/hFfn6s99P1YO1MC5mTVeGf6jUev/0F80ZQ7Xcbo="/>
    </ext>
  </extLst>
</workbook>
</file>

<file path=xl/calcChain.xml><?xml version="1.0" encoding="utf-8"?>
<calcChain xmlns="http://schemas.openxmlformats.org/spreadsheetml/2006/main">
  <c r="AN32" i="3" l="1"/>
  <c r="AM32" i="3"/>
  <c r="AL32" i="3"/>
  <c r="AK32" i="3"/>
  <c r="AJ32" i="3"/>
  <c r="AI32" i="3"/>
  <c r="AH32" i="3"/>
  <c r="AG32" i="3"/>
  <c r="Z69" i="8" l="1"/>
  <c r="E69" i="8"/>
  <c r="AA69" i="8" s="1"/>
  <c r="Z68" i="8"/>
  <c r="E68" i="8"/>
  <c r="Z67" i="8"/>
  <c r="E67" i="8"/>
  <c r="AA67" i="8" s="1"/>
  <c r="Z66" i="8"/>
  <c r="E66" i="8"/>
  <c r="Z65" i="8"/>
  <c r="E65" i="8"/>
  <c r="AA65" i="8" s="1"/>
  <c r="Z64" i="8"/>
  <c r="E64" i="8"/>
  <c r="Z63" i="8"/>
  <c r="E63" i="8"/>
  <c r="AA63" i="8" s="1"/>
  <c r="Z62" i="8"/>
  <c r="E62" i="8"/>
  <c r="Z61" i="8"/>
  <c r="E61" i="8"/>
  <c r="AA61" i="8" s="1"/>
  <c r="Z60" i="8"/>
  <c r="E60" i="8"/>
  <c r="Z59" i="8"/>
  <c r="E59" i="8"/>
  <c r="AA59" i="8" s="1"/>
  <c r="Z58" i="8"/>
  <c r="E58" i="8"/>
  <c r="Z57" i="8"/>
  <c r="E57" i="8"/>
  <c r="AA57" i="8" s="1"/>
  <c r="Z56" i="8"/>
  <c r="E56" i="8"/>
  <c r="Z55" i="8"/>
  <c r="E55" i="8"/>
  <c r="AA55" i="8" s="1"/>
  <c r="Z54" i="8"/>
  <c r="E54" i="8"/>
  <c r="Z53" i="8"/>
  <c r="E53" i="8"/>
  <c r="AA53" i="8" s="1"/>
  <c r="Z52" i="8"/>
  <c r="E52" i="8"/>
  <c r="Z51" i="8"/>
  <c r="E51" i="8"/>
  <c r="AA51" i="8" s="1"/>
  <c r="Z50" i="8"/>
  <c r="E50" i="8"/>
  <c r="Z49" i="8"/>
  <c r="E49" i="8"/>
  <c r="AA49" i="8" s="1"/>
  <c r="Z48" i="8"/>
  <c r="E48" i="8"/>
  <c r="Z47" i="8"/>
  <c r="E47" i="8"/>
  <c r="AA47" i="8" s="1"/>
  <c r="Z46" i="8"/>
  <c r="E46" i="8"/>
  <c r="Z45" i="8"/>
  <c r="E45" i="8"/>
  <c r="AA45" i="8" s="1"/>
  <c r="Z44" i="8"/>
  <c r="E44" i="8"/>
  <c r="Z43" i="8"/>
  <c r="E43" i="8"/>
  <c r="AA43" i="8" s="1"/>
  <c r="Z42" i="8"/>
  <c r="E42" i="8"/>
  <c r="Z41" i="8"/>
  <c r="E41" i="8"/>
  <c r="AA41" i="8" s="1"/>
  <c r="Z40" i="8"/>
  <c r="E40" i="8"/>
  <c r="Z39" i="8"/>
  <c r="E39" i="8"/>
  <c r="AA39" i="8" s="1"/>
  <c r="Z38" i="8"/>
  <c r="E38" i="8"/>
  <c r="Z37" i="8"/>
  <c r="E37" i="8"/>
  <c r="AA37" i="8" s="1"/>
  <c r="Z36" i="8"/>
  <c r="E36" i="8"/>
  <c r="Z35" i="8"/>
  <c r="E35" i="8"/>
  <c r="AA35" i="8" s="1"/>
  <c r="Z34" i="8"/>
  <c r="E34" i="8"/>
  <c r="Z33" i="8"/>
  <c r="E33" i="8"/>
  <c r="AA33" i="8" s="1"/>
  <c r="Z32" i="8"/>
  <c r="E32" i="8"/>
  <c r="Z31" i="8"/>
  <c r="E31" i="8"/>
  <c r="AA31" i="8" s="1"/>
  <c r="Z30" i="8"/>
  <c r="E30" i="8"/>
  <c r="Z29" i="8"/>
  <c r="E29" i="8"/>
  <c r="AA29" i="8" s="1"/>
  <c r="Z28" i="8"/>
  <c r="E28" i="8"/>
  <c r="Z27" i="8"/>
  <c r="E27" i="8"/>
  <c r="AA27" i="8" s="1"/>
  <c r="Z26" i="8"/>
  <c r="E26" i="8"/>
  <c r="Z25" i="8"/>
  <c r="E25" i="8"/>
  <c r="AA25" i="8" s="1"/>
  <c r="Z24" i="8"/>
  <c r="E24" i="8"/>
  <c r="Z23" i="8"/>
  <c r="E23" i="8"/>
  <c r="AA23" i="8" s="1"/>
  <c r="Z22" i="8"/>
  <c r="E22" i="8"/>
  <c r="Z21" i="8"/>
  <c r="E21" i="8"/>
  <c r="AA21" i="8" s="1"/>
  <c r="Z20" i="8"/>
  <c r="E20" i="8"/>
  <c r="Z19" i="8"/>
  <c r="E19" i="8"/>
  <c r="AA19" i="8" s="1"/>
  <c r="Z18" i="8"/>
  <c r="E18" i="8"/>
  <c r="Z17" i="8"/>
  <c r="E17" i="8"/>
  <c r="AA17" i="8" s="1"/>
  <c r="Z16" i="8"/>
  <c r="E16" i="8"/>
  <c r="Z15" i="8"/>
  <c r="E15" i="8"/>
  <c r="AA15" i="8" s="1"/>
  <c r="Z14" i="8"/>
  <c r="E14" i="8"/>
  <c r="Z13" i="8"/>
  <c r="E13" i="8"/>
  <c r="AA13" i="8" s="1"/>
  <c r="Z12" i="8"/>
  <c r="E12" i="8"/>
  <c r="Z11" i="8"/>
  <c r="E11" i="8"/>
  <c r="AA11" i="8" s="1"/>
  <c r="Z10" i="8"/>
  <c r="E10" i="8"/>
  <c r="Z9" i="8"/>
  <c r="E9" i="8"/>
  <c r="AA9" i="8" s="1"/>
  <c r="Z8" i="8"/>
  <c r="E8" i="8"/>
  <c r="Z7" i="8"/>
  <c r="E7" i="8"/>
  <c r="AA7" i="8" s="1"/>
  <c r="Z6" i="8"/>
  <c r="E6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Z5" i="8"/>
  <c r="E5" i="8"/>
  <c r="AA5" i="8" s="1"/>
  <c r="Y69" i="7"/>
  <c r="E69" i="7"/>
  <c r="Z69" i="7" s="1"/>
  <c r="Y68" i="7"/>
  <c r="E68" i="7"/>
  <c r="Z68" i="7" s="1"/>
  <c r="Y67" i="7"/>
  <c r="E67" i="7"/>
  <c r="Z67" i="7" s="1"/>
  <c r="E67" i="1" s="1"/>
  <c r="N81" i="2" s="1"/>
  <c r="AB81" i="2" s="1"/>
  <c r="Y66" i="7"/>
  <c r="E66" i="7"/>
  <c r="Z66" i="7" s="1"/>
  <c r="E66" i="1" s="1"/>
  <c r="N80" i="2" s="1"/>
  <c r="AB80" i="2" s="1"/>
  <c r="Y65" i="7"/>
  <c r="E65" i="7"/>
  <c r="Y64" i="7"/>
  <c r="E64" i="7"/>
  <c r="Y63" i="7"/>
  <c r="E63" i="7"/>
  <c r="Z63" i="7" s="1"/>
  <c r="E63" i="1" s="1"/>
  <c r="N77" i="2" s="1"/>
  <c r="AB77" i="2" s="1"/>
  <c r="Y62" i="7"/>
  <c r="E62" i="7"/>
  <c r="Y61" i="7"/>
  <c r="E61" i="7"/>
  <c r="Z61" i="7" s="1"/>
  <c r="Y60" i="7"/>
  <c r="E60" i="7"/>
  <c r="Z60" i="7" s="1"/>
  <c r="Y59" i="7"/>
  <c r="E59" i="7"/>
  <c r="Z59" i="7" s="1"/>
  <c r="E59" i="1" s="1"/>
  <c r="N73" i="2" s="1"/>
  <c r="AB73" i="2" s="1"/>
  <c r="Y58" i="7"/>
  <c r="E58" i="7"/>
  <c r="Z58" i="7" s="1"/>
  <c r="E58" i="1" s="1"/>
  <c r="N72" i="2" s="1"/>
  <c r="AB72" i="2" s="1"/>
  <c r="Y57" i="7"/>
  <c r="E57" i="7"/>
  <c r="Y56" i="7"/>
  <c r="E56" i="7"/>
  <c r="Y55" i="7"/>
  <c r="E55" i="7"/>
  <c r="Z55" i="7" s="1"/>
  <c r="E55" i="1" s="1"/>
  <c r="N69" i="2" s="1"/>
  <c r="AB69" i="2" s="1"/>
  <c r="Y54" i="7"/>
  <c r="E54" i="7"/>
  <c r="Z54" i="7" s="1"/>
  <c r="Y53" i="7"/>
  <c r="E53" i="7"/>
  <c r="Z53" i="7" s="1"/>
  <c r="Y52" i="7"/>
  <c r="E52" i="7"/>
  <c r="Z52" i="7" s="1"/>
  <c r="Y51" i="7"/>
  <c r="E51" i="7"/>
  <c r="Z51" i="7" s="1"/>
  <c r="E51" i="1" s="1"/>
  <c r="N65" i="2" s="1"/>
  <c r="AB65" i="2" s="1"/>
  <c r="Y50" i="7"/>
  <c r="E50" i="7"/>
  <c r="Z50" i="7" s="1"/>
  <c r="E50" i="1" s="1"/>
  <c r="N64" i="2" s="1"/>
  <c r="AB64" i="2" s="1"/>
  <c r="Y49" i="7"/>
  <c r="E49" i="7"/>
  <c r="Y48" i="7"/>
  <c r="E48" i="7"/>
  <c r="Y47" i="7"/>
  <c r="E47" i="7"/>
  <c r="Z47" i="7" s="1"/>
  <c r="E47" i="1" s="1"/>
  <c r="N61" i="2" s="1"/>
  <c r="AB61" i="2" s="1"/>
  <c r="Y46" i="7"/>
  <c r="E46" i="7"/>
  <c r="Y45" i="7"/>
  <c r="E45" i="7"/>
  <c r="Z45" i="7" s="1"/>
  <c r="Y44" i="7"/>
  <c r="E44" i="7"/>
  <c r="Z44" i="7" s="1"/>
  <c r="Y43" i="7"/>
  <c r="E43" i="7"/>
  <c r="Z43" i="7" s="1"/>
  <c r="E43" i="1" s="1"/>
  <c r="N57" i="2" s="1"/>
  <c r="AB57" i="2" s="1"/>
  <c r="Y42" i="7"/>
  <c r="E42" i="7"/>
  <c r="Z42" i="7" s="1"/>
  <c r="E42" i="1" s="1"/>
  <c r="N56" i="2" s="1"/>
  <c r="AB56" i="2" s="1"/>
  <c r="Y41" i="7"/>
  <c r="E41" i="7"/>
  <c r="Y40" i="7"/>
  <c r="E40" i="7"/>
  <c r="Y39" i="7"/>
  <c r="E39" i="7"/>
  <c r="Z39" i="7" s="1"/>
  <c r="E39" i="1" s="1"/>
  <c r="N53" i="2" s="1"/>
  <c r="AB53" i="2" s="1"/>
  <c r="Y38" i="7"/>
  <c r="E38" i="7"/>
  <c r="Z38" i="7" s="1"/>
  <c r="Y37" i="7"/>
  <c r="E37" i="7"/>
  <c r="Z37" i="7" s="1"/>
  <c r="Y36" i="7"/>
  <c r="E36" i="7"/>
  <c r="Z36" i="7" s="1"/>
  <c r="Y35" i="7"/>
  <c r="E35" i="7"/>
  <c r="Z35" i="7" s="1"/>
  <c r="E35" i="1" s="1"/>
  <c r="N49" i="2" s="1"/>
  <c r="AB49" i="2" s="1"/>
  <c r="Y34" i="7"/>
  <c r="E34" i="7"/>
  <c r="Z34" i="7" s="1"/>
  <c r="E34" i="1" s="1"/>
  <c r="N48" i="2" s="1"/>
  <c r="AB48" i="2" s="1"/>
  <c r="Y33" i="7"/>
  <c r="E33" i="7"/>
  <c r="Z33" i="7" s="1"/>
  <c r="Y32" i="7"/>
  <c r="E32" i="7"/>
  <c r="Z32" i="7" s="1"/>
  <c r="Y31" i="7"/>
  <c r="E31" i="7"/>
  <c r="Y30" i="7"/>
  <c r="E30" i="7"/>
  <c r="Z30" i="7" s="1"/>
  <c r="E30" i="1" s="1"/>
  <c r="N44" i="2" s="1"/>
  <c r="AB44" i="2" s="1"/>
  <c r="Y29" i="7"/>
  <c r="E29" i="7"/>
  <c r="Y28" i="7"/>
  <c r="E28" i="7"/>
  <c r="Z28" i="7" s="1"/>
  <c r="Y27" i="7"/>
  <c r="E27" i="7"/>
  <c r="Z27" i="7" s="1"/>
  <c r="E27" i="1" s="1"/>
  <c r="N41" i="2" s="1"/>
  <c r="AB41" i="2" s="1"/>
  <c r="Y26" i="7"/>
  <c r="E26" i="7"/>
  <c r="Z26" i="7" s="1"/>
  <c r="E26" i="1" s="1"/>
  <c r="N40" i="2" s="1"/>
  <c r="AB40" i="2" s="1"/>
  <c r="Y25" i="7"/>
  <c r="E25" i="7"/>
  <c r="Z25" i="7" s="1"/>
  <c r="Y24" i="7"/>
  <c r="E24" i="7"/>
  <c r="Z24" i="7" s="1"/>
  <c r="Y23" i="7"/>
  <c r="E23" i="7"/>
  <c r="Y22" i="7"/>
  <c r="E22" i="7"/>
  <c r="Z22" i="7" s="1"/>
  <c r="E22" i="1" s="1"/>
  <c r="N36" i="2" s="1"/>
  <c r="AB36" i="2" s="1"/>
  <c r="Y21" i="7"/>
  <c r="E21" i="7"/>
  <c r="Y20" i="7"/>
  <c r="E20" i="7"/>
  <c r="Z20" i="7" s="1"/>
  <c r="Y19" i="7"/>
  <c r="E19" i="7"/>
  <c r="Z19" i="7" s="1"/>
  <c r="E19" i="1" s="1"/>
  <c r="N33" i="2" s="1"/>
  <c r="AB33" i="2" s="1"/>
  <c r="Y18" i="7"/>
  <c r="E18" i="7"/>
  <c r="Z18" i="7" s="1"/>
  <c r="E18" i="1" s="1"/>
  <c r="N32" i="2" s="1"/>
  <c r="AB32" i="2" s="1"/>
  <c r="Y17" i="7"/>
  <c r="E17" i="7"/>
  <c r="Z17" i="7" s="1"/>
  <c r="Y16" i="7"/>
  <c r="E16" i="7"/>
  <c r="Z16" i="7" s="1"/>
  <c r="Y15" i="7"/>
  <c r="E15" i="7"/>
  <c r="Y14" i="7"/>
  <c r="E14" i="7"/>
  <c r="Z14" i="7" s="1"/>
  <c r="Y13" i="7"/>
  <c r="E13" i="7"/>
  <c r="Y12" i="7"/>
  <c r="E12" i="7"/>
  <c r="Z12" i="7" s="1"/>
  <c r="Y11" i="7"/>
  <c r="E11" i="7"/>
  <c r="Z11" i="7" s="1"/>
  <c r="E11" i="1" s="1"/>
  <c r="N25" i="2" s="1"/>
  <c r="AB25" i="2" s="1"/>
  <c r="Y10" i="7"/>
  <c r="E10" i="7"/>
  <c r="Z10" i="7" s="1"/>
  <c r="Y9" i="7"/>
  <c r="E9" i="7"/>
  <c r="Z9" i="7" s="1"/>
  <c r="Y8" i="7"/>
  <c r="E8" i="7"/>
  <c r="Y7" i="7"/>
  <c r="E7" i="7"/>
  <c r="Z7" i="7" s="1"/>
  <c r="E7" i="1" s="1"/>
  <c r="N21" i="2" s="1"/>
  <c r="AB21" i="2" s="1"/>
  <c r="Y6" i="7"/>
  <c r="E6" i="7"/>
  <c r="Z6" i="7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Y5" i="7"/>
  <c r="E5" i="7"/>
  <c r="Z5" i="7" s="1"/>
  <c r="E5" i="1" s="1"/>
  <c r="N19" i="2" s="1"/>
  <c r="Z69" i="5"/>
  <c r="E69" i="5"/>
  <c r="Z68" i="5"/>
  <c r="E68" i="5"/>
  <c r="AA68" i="5" s="1"/>
  <c r="D68" i="1" s="1"/>
  <c r="Z67" i="5"/>
  <c r="E67" i="5"/>
  <c r="AA67" i="5" s="1"/>
  <c r="Z66" i="5"/>
  <c r="E66" i="5"/>
  <c r="AA66" i="5" s="1"/>
  <c r="D66" i="1" s="1"/>
  <c r="Z65" i="5"/>
  <c r="E65" i="5"/>
  <c r="Z64" i="5"/>
  <c r="E64" i="5"/>
  <c r="AA64" i="5" s="1"/>
  <c r="D64" i="1" s="1"/>
  <c r="Z63" i="5"/>
  <c r="E63" i="5"/>
  <c r="AA63" i="5" s="1"/>
  <c r="Z62" i="5"/>
  <c r="E62" i="5"/>
  <c r="AA62" i="5" s="1"/>
  <c r="D62" i="1" s="1"/>
  <c r="Z61" i="5"/>
  <c r="E61" i="5"/>
  <c r="Z60" i="5"/>
  <c r="E60" i="5"/>
  <c r="AA60" i="5" s="1"/>
  <c r="D60" i="1" s="1"/>
  <c r="Z59" i="5"/>
  <c r="E59" i="5"/>
  <c r="AA59" i="5" s="1"/>
  <c r="Z58" i="5"/>
  <c r="E58" i="5"/>
  <c r="AA58" i="5" s="1"/>
  <c r="D58" i="1" s="1"/>
  <c r="Z57" i="5"/>
  <c r="E57" i="5"/>
  <c r="Z56" i="5"/>
  <c r="E56" i="5"/>
  <c r="AA56" i="5" s="1"/>
  <c r="D56" i="1" s="1"/>
  <c r="Z55" i="5"/>
  <c r="E55" i="5"/>
  <c r="AA55" i="5" s="1"/>
  <c r="Z54" i="5"/>
  <c r="E54" i="5"/>
  <c r="AA54" i="5" s="1"/>
  <c r="D54" i="1" s="1"/>
  <c r="Z53" i="5"/>
  <c r="E53" i="5"/>
  <c r="Z52" i="5"/>
  <c r="E52" i="5"/>
  <c r="AA52" i="5" s="1"/>
  <c r="D52" i="1" s="1"/>
  <c r="Z51" i="5"/>
  <c r="E51" i="5"/>
  <c r="AA51" i="5" s="1"/>
  <c r="Z50" i="5"/>
  <c r="E50" i="5"/>
  <c r="AA50" i="5" s="1"/>
  <c r="D50" i="1" s="1"/>
  <c r="Z49" i="5"/>
  <c r="E49" i="5"/>
  <c r="Z48" i="5"/>
  <c r="E48" i="5"/>
  <c r="AA48" i="5" s="1"/>
  <c r="D48" i="1" s="1"/>
  <c r="Z47" i="5"/>
  <c r="E47" i="5"/>
  <c r="AA47" i="5" s="1"/>
  <c r="Z46" i="5"/>
  <c r="E46" i="5"/>
  <c r="AA46" i="5" s="1"/>
  <c r="D46" i="1" s="1"/>
  <c r="Z45" i="5"/>
  <c r="E45" i="5"/>
  <c r="Z44" i="5"/>
  <c r="E44" i="5"/>
  <c r="AA44" i="5" s="1"/>
  <c r="D44" i="1" s="1"/>
  <c r="Z43" i="5"/>
  <c r="E43" i="5"/>
  <c r="AA43" i="5" s="1"/>
  <c r="Z42" i="5"/>
  <c r="E42" i="5"/>
  <c r="AA42" i="5" s="1"/>
  <c r="D42" i="1" s="1"/>
  <c r="Z41" i="5"/>
  <c r="E41" i="5"/>
  <c r="Z40" i="5"/>
  <c r="E40" i="5"/>
  <c r="AA40" i="5" s="1"/>
  <c r="D40" i="1" s="1"/>
  <c r="Z39" i="5"/>
  <c r="E39" i="5"/>
  <c r="AA39" i="5" s="1"/>
  <c r="Z38" i="5"/>
  <c r="E38" i="5"/>
  <c r="AA38" i="5" s="1"/>
  <c r="D38" i="1" s="1"/>
  <c r="Z37" i="5"/>
  <c r="E37" i="5"/>
  <c r="Z36" i="5"/>
  <c r="E36" i="5"/>
  <c r="AA36" i="5" s="1"/>
  <c r="D36" i="1" s="1"/>
  <c r="Z35" i="5"/>
  <c r="E35" i="5"/>
  <c r="AA35" i="5" s="1"/>
  <c r="Z34" i="5"/>
  <c r="E34" i="5"/>
  <c r="AA34" i="5" s="1"/>
  <c r="D34" i="1" s="1"/>
  <c r="Z33" i="5"/>
  <c r="E33" i="5"/>
  <c r="Z32" i="5"/>
  <c r="E32" i="5"/>
  <c r="AA32" i="5" s="1"/>
  <c r="D32" i="1" s="1"/>
  <c r="Z31" i="5"/>
  <c r="E31" i="5"/>
  <c r="AA31" i="5" s="1"/>
  <c r="Z30" i="5"/>
  <c r="E30" i="5"/>
  <c r="AA30" i="5" s="1"/>
  <c r="D30" i="1" s="1"/>
  <c r="Z29" i="5"/>
  <c r="E29" i="5"/>
  <c r="Z28" i="5"/>
  <c r="E28" i="5"/>
  <c r="AA28" i="5" s="1"/>
  <c r="D28" i="1" s="1"/>
  <c r="Z27" i="5"/>
  <c r="E27" i="5"/>
  <c r="AA27" i="5" s="1"/>
  <c r="Z26" i="5"/>
  <c r="E26" i="5"/>
  <c r="AA26" i="5" s="1"/>
  <c r="D26" i="1" s="1"/>
  <c r="Z25" i="5"/>
  <c r="E25" i="5"/>
  <c r="Z24" i="5"/>
  <c r="E24" i="5"/>
  <c r="Z23" i="5"/>
  <c r="E23" i="5"/>
  <c r="AA23" i="5" s="1"/>
  <c r="Z22" i="5"/>
  <c r="E22" i="5"/>
  <c r="AA22" i="5" s="1"/>
  <c r="D22" i="1" s="1"/>
  <c r="Z21" i="5"/>
  <c r="E21" i="5"/>
  <c r="Z20" i="5"/>
  <c r="E20" i="5"/>
  <c r="Z19" i="5"/>
  <c r="E19" i="5"/>
  <c r="AA19" i="5" s="1"/>
  <c r="Z18" i="5"/>
  <c r="E18" i="5"/>
  <c r="AA18" i="5" s="1"/>
  <c r="D18" i="1" s="1"/>
  <c r="Z17" i="5"/>
  <c r="E17" i="5"/>
  <c r="AA17" i="5" s="1"/>
  <c r="Z16" i="5"/>
  <c r="E16" i="5"/>
  <c r="AA16" i="5" s="1"/>
  <c r="D16" i="1" s="1"/>
  <c r="Z15" i="5"/>
  <c r="E15" i="5"/>
  <c r="AA15" i="5" s="1"/>
  <c r="Z14" i="5"/>
  <c r="E14" i="5"/>
  <c r="AA14" i="5" s="1"/>
  <c r="D14" i="1" s="1"/>
  <c r="Z13" i="5"/>
  <c r="E13" i="5"/>
  <c r="Z12" i="5"/>
  <c r="E12" i="5"/>
  <c r="Z11" i="5"/>
  <c r="E11" i="5"/>
  <c r="AA11" i="5" s="1"/>
  <c r="Z10" i="5"/>
  <c r="E10" i="5"/>
  <c r="AA10" i="5" s="1"/>
  <c r="D10" i="1" s="1"/>
  <c r="Z9" i="5"/>
  <c r="E9" i="5"/>
  <c r="AA9" i="5" s="1"/>
  <c r="Z8" i="5"/>
  <c r="E8" i="5"/>
  <c r="Z7" i="5"/>
  <c r="E7" i="5"/>
  <c r="AA7" i="5" s="1"/>
  <c r="Z6" i="5"/>
  <c r="E6" i="5"/>
  <c r="AA6" i="5" s="1"/>
  <c r="D6" i="1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Z5" i="5"/>
  <c r="E5" i="5"/>
  <c r="AA5" i="5" s="1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I3" i="4"/>
  <c r="AN68" i="3"/>
  <c r="AM68" i="3"/>
  <c r="AL68" i="3"/>
  <c r="AK68" i="3"/>
  <c r="H83" i="2" s="1"/>
  <c r="W83" i="2" s="1"/>
  <c r="AJ68" i="3"/>
  <c r="AI68" i="3"/>
  <c r="AH68" i="3"/>
  <c r="AG68" i="3"/>
  <c r="D83" i="2" s="1"/>
  <c r="S83" i="2" s="1"/>
  <c r="AN67" i="3"/>
  <c r="AM67" i="3"/>
  <c r="AL67" i="3"/>
  <c r="AK67" i="3"/>
  <c r="H82" i="2" s="1"/>
  <c r="W82" i="2" s="1"/>
  <c r="AJ67" i="3"/>
  <c r="AI67" i="3"/>
  <c r="AH67" i="3"/>
  <c r="AG67" i="3"/>
  <c r="D82" i="2" s="1"/>
  <c r="S82" i="2" s="1"/>
  <c r="AN66" i="3"/>
  <c r="AM66" i="3"/>
  <c r="AL66" i="3"/>
  <c r="AK66" i="3"/>
  <c r="H81" i="2" s="1"/>
  <c r="W81" i="2" s="1"/>
  <c r="AJ66" i="3"/>
  <c r="AI66" i="3"/>
  <c r="AH66" i="3"/>
  <c r="AG66" i="3"/>
  <c r="D81" i="2" s="1"/>
  <c r="S81" i="2" s="1"/>
  <c r="AN65" i="3"/>
  <c r="AM65" i="3"/>
  <c r="AL65" i="3"/>
  <c r="AK65" i="3"/>
  <c r="H80" i="2" s="1"/>
  <c r="W80" i="2" s="1"/>
  <c r="AJ65" i="3"/>
  <c r="AI65" i="3"/>
  <c r="AH65" i="3"/>
  <c r="AG65" i="3"/>
  <c r="D80" i="2" s="1"/>
  <c r="S80" i="2" s="1"/>
  <c r="AN64" i="3"/>
  <c r="AM64" i="3"/>
  <c r="AL64" i="3"/>
  <c r="AK64" i="3"/>
  <c r="H79" i="2" s="1"/>
  <c r="W79" i="2" s="1"/>
  <c r="AJ64" i="3"/>
  <c r="AI64" i="3"/>
  <c r="AH64" i="3"/>
  <c r="AG64" i="3"/>
  <c r="D79" i="2" s="1"/>
  <c r="S79" i="2" s="1"/>
  <c r="AN63" i="3"/>
  <c r="AM63" i="3"/>
  <c r="AL63" i="3"/>
  <c r="AK63" i="3"/>
  <c r="H78" i="2" s="1"/>
  <c r="W78" i="2" s="1"/>
  <c r="AJ63" i="3"/>
  <c r="AI63" i="3"/>
  <c r="AH63" i="3"/>
  <c r="AG63" i="3"/>
  <c r="D78" i="2" s="1"/>
  <c r="S78" i="2" s="1"/>
  <c r="AN62" i="3"/>
  <c r="AM62" i="3"/>
  <c r="AL62" i="3"/>
  <c r="AK62" i="3"/>
  <c r="H77" i="2" s="1"/>
  <c r="W77" i="2" s="1"/>
  <c r="AJ62" i="3"/>
  <c r="AI62" i="3"/>
  <c r="AH62" i="3"/>
  <c r="AG62" i="3"/>
  <c r="D77" i="2" s="1"/>
  <c r="S77" i="2" s="1"/>
  <c r="AN61" i="3"/>
  <c r="AM61" i="3"/>
  <c r="AL61" i="3"/>
  <c r="AK61" i="3"/>
  <c r="H76" i="2" s="1"/>
  <c r="W76" i="2" s="1"/>
  <c r="AJ61" i="3"/>
  <c r="AI61" i="3"/>
  <c r="AH61" i="3"/>
  <c r="AG61" i="3"/>
  <c r="D76" i="2" s="1"/>
  <c r="S76" i="2" s="1"/>
  <c r="AN60" i="3"/>
  <c r="AM60" i="3"/>
  <c r="AL60" i="3"/>
  <c r="AK60" i="3"/>
  <c r="H75" i="2" s="1"/>
  <c r="W75" i="2" s="1"/>
  <c r="AJ60" i="3"/>
  <c r="AI60" i="3"/>
  <c r="AH60" i="3"/>
  <c r="AG60" i="3"/>
  <c r="D75" i="2" s="1"/>
  <c r="S75" i="2" s="1"/>
  <c r="AN59" i="3"/>
  <c r="AM59" i="3"/>
  <c r="AL59" i="3"/>
  <c r="AK59" i="3"/>
  <c r="H74" i="2" s="1"/>
  <c r="W74" i="2" s="1"/>
  <c r="AJ59" i="3"/>
  <c r="AI59" i="3"/>
  <c r="AH59" i="3"/>
  <c r="AG59" i="3"/>
  <c r="D74" i="2" s="1"/>
  <c r="S74" i="2" s="1"/>
  <c r="AN58" i="3"/>
  <c r="AM58" i="3"/>
  <c r="AL58" i="3"/>
  <c r="AK58" i="3"/>
  <c r="H73" i="2" s="1"/>
  <c r="W73" i="2" s="1"/>
  <c r="AJ58" i="3"/>
  <c r="AI58" i="3"/>
  <c r="AH58" i="3"/>
  <c r="AG58" i="3"/>
  <c r="D73" i="2" s="1"/>
  <c r="S73" i="2" s="1"/>
  <c r="AN57" i="3"/>
  <c r="AM57" i="3"/>
  <c r="AL57" i="3"/>
  <c r="AK57" i="3"/>
  <c r="H72" i="2" s="1"/>
  <c r="W72" i="2" s="1"/>
  <c r="AJ57" i="3"/>
  <c r="AI57" i="3"/>
  <c r="AH57" i="3"/>
  <c r="AG57" i="3"/>
  <c r="D72" i="2" s="1"/>
  <c r="S72" i="2" s="1"/>
  <c r="AN56" i="3"/>
  <c r="AM56" i="3"/>
  <c r="AL56" i="3"/>
  <c r="AK56" i="3"/>
  <c r="H71" i="2" s="1"/>
  <c r="W71" i="2" s="1"/>
  <c r="AJ56" i="3"/>
  <c r="AI56" i="3"/>
  <c r="AH56" i="3"/>
  <c r="AG56" i="3"/>
  <c r="D71" i="2" s="1"/>
  <c r="S71" i="2" s="1"/>
  <c r="AN55" i="3"/>
  <c r="AM55" i="3"/>
  <c r="AL55" i="3"/>
  <c r="AK55" i="3"/>
  <c r="H70" i="2" s="1"/>
  <c r="W70" i="2" s="1"/>
  <c r="AJ55" i="3"/>
  <c r="AI55" i="3"/>
  <c r="AH55" i="3"/>
  <c r="E70" i="2" s="1"/>
  <c r="T70" i="2" s="1"/>
  <c r="AG55" i="3"/>
  <c r="D70" i="2" s="1"/>
  <c r="S70" i="2" s="1"/>
  <c r="AN54" i="3"/>
  <c r="AM54" i="3"/>
  <c r="AL54" i="3"/>
  <c r="AK54" i="3"/>
  <c r="H69" i="2" s="1"/>
  <c r="W69" i="2" s="1"/>
  <c r="AJ54" i="3"/>
  <c r="AI54" i="3"/>
  <c r="AH54" i="3"/>
  <c r="AG54" i="3"/>
  <c r="D69" i="2" s="1"/>
  <c r="S69" i="2" s="1"/>
  <c r="AN53" i="3"/>
  <c r="AM53" i="3"/>
  <c r="AL53" i="3"/>
  <c r="AK53" i="3"/>
  <c r="H68" i="2" s="1"/>
  <c r="W68" i="2" s="1"/>
  <c r="AJ53" i="3"/>
  <c r="AI53" i="3"/>
  <c r="AH53" i="3"/>
  <c r="AG53" i="3"/>
  <c r="D68" i="2" s="1"/>
  <c r="S68" i="2" s="1"/>
  <c r="AN52" i="3"/>
  <c r="AM52" i="3"/>
  <c r="AL52" i="3"/>
  <c r="AK52" i="3"/>
  <c r="H67" i="2" s="1"/>
  <c r="W67" i="2" s="1"/>
  <c r="AJ52" i="3"/>
  <c r="AI52" i="3"/>
  <c r="AH52" i="3"/>
  <c r="AG52" i="3"/>
  <c r="D67" i="2" s="1"/>
  <c r="S67" i="2" s="1"/>
  <c r="AN51" i="3"/>
  <c r="AM51" i="3"/>
  <c r="AL51" i="3"/>
  <c r="AK51" i="3"/>
  <c r="H66" i="2" s="1"/>
  <c r="W66" i="2" s="1"/>
  <c r="AJ51" i="3"/>
  <c r="AI51" i="3"/>
  <c r="AH51" i="3"/>
  <c r="AG51" i="3"/>
  <c r="D66" i="2" s="1"/>
  <c r="S66" i="2" s="1"/>
  <c r="AN50" i="3"/>
  <c r="AM50" i="3"/>
  <c r="AL50" i="3"/>
  <c r="AK50" i="3"/>
  <c r="H65" i="2" s="1"/>
  <c r="W65" i="2" s="1"/>
  <c r="AJ50" i="3"/>
  <c r="AI50" i="3"/>
  <c r="AH50" i="3"/>
  <c r="AG50" i="3"/>
  <c r="D65" i="2" s="1"/>
  <c r="S65" i="2" s="1"/>
  <c r="AN49" i="3"/>
  <c r="AM49" i="3"/>
  <c r="AL49" i="3"/>
  <c r="AK49" i="3"/>
  <c r="H64" i="2" s="1"/>
  <c r="W64" i="2" s="1"/>
  <c r="AJ49" i="3"/>
  <c r="AI49" i="3"/>
  <c r="AH49" i="3"/>
  <c r="AG49" i="3"/>
  <c r="D64" i="2" s="1"/>
  <c r="S64" i="2" s="1"/>
  <c r="AN48" i="3"/>
  <c r="AM48" i="3"/>
  <c r="AL48" i="3"/>
  <c r="AK48" i="3"/>
  <c r="H63" i="2" s="1"/>
  <c r="W63" i="2" s="1"/>
  <c r="AJ48" i="3"/>
  <c r="AI48" i="3"/>
  <c r="AH48" i="3"/>
  <c r="AG48" i="3"/>
  <c r="D63" i="2" s="1"/>
  <c r="S63" i="2" s="1"/>
  <c r="AN47" i="3"/>
  <c r="AM47" i="3"/>
  <c r="AL47" i="3"/>
  <c r="AK47" i="3"/>
  <c r="H62" i="2" s="1"/>
  <c r="W62" i="2" s="1"/>
  <c r="AJ47" i="3"/>
  <c r="AI47" i="3"/>
  <c r="AH47" i="3"/>
  <c r="AG47" i="3"/>
  <c r="D62" i="2" s="1"/>
  <c r="S62" i="2" s="1"/>
  <c r="AN46" i="3"/>
  <c r="AM46" i="3"/>
  <c r="AL46" i="3"/>
  <c r="I61" i="2" s="1"/>
  <c r="X61" i="2" s="1"/>
  <c r="AK46" i="3"/>
  <c r="H61" i="2" s="1"/>
  <c r="W61" i="2" s="1"/>
  <c r="AJ46" i="3"/>
  <c r="AI46" i="3"/>
  <c r="AH46" i="3"/>
  <c r="AG46" i="3"/>
  <c r="D61" i="2" s="1"/>
  <c r="S61" i="2" s="1"/>
  <c r="AN45" i="3"/>
  <c r="AM45" i="3"/>
  <c r="AL45" i="3"/>
  <c r="AK45" i="3"/>
  <c r="H60" i="2" s="1"/>
  <c r="W60" i="2" s="1"/>
  <c r="AJ45" i="3"/>
  <c r="AI45" i="3"/>
  <c r="AH45" i="3"/>
  <c r="AG45" i="3"/>
  <c r="D60" i="2" s="1"/>
  <c r="S60" i="2" s="1"/>
  <c r="AN44" i="3"/>
  <c r="AM44" i="3"/>
  <c r="AL44" i="3"/>
  <c r="AK44" i="3"/>
  <c r="H59" i="2" s="1"/>
  <c r="W59" i="2" s="1"/>
  <c r="AJ44" i="3"/>
  <c r="AI44" i="3"/>
  <c r="AH44" i="3"/>
  <c r="AG44" i="3"/>
  <c r="D59" i="2" s="1"/>
  <c r="S59" i="2" s="1"/>
  <c r="AN43" i="3"/>
  <c r="AM43" i="3"/>
  <c r="AL43" i="3"/>
  <c r="AK43" i="3"/>
  <c r="H58" i="2" s="1"/>
  <c r="W58" i="2" s="1"/>
  <c r="AJ43" i="3"/>
  <c r="AI43" i="3"/>
  <c r="AH43" i="3"/>
  <c r="AG43" i="3"/>
  <c r="D58" i="2" s="1"/>
  <c r="S58" i="2" s="1"/>
  <c r="AN42" i="3"/>
  <c r="AM42" i="3"/>
  <c r="AL42" i="3"/>
  <c r="AK42" i="3"/>
  <c r="H57" i="2" s="1"/>
  <c r="W57" i="2" s="1"/>
  <c r="AJ42" i="3"/>
  <c r="AI42" i="3"/>
  <c r="AH42" i="3"/>
  <c r="E57" i="2" s="1"/>
  <c r="T57" i="2" s="1"/>
  <c r="AG42" i="3"/>
  <c r="D57" i="2" s="1"/>
  <c r="S57" i="2" s="1"/>
  <c r="AN41" i="3"/>
  <c r="AM41" i="3"/>
  <c r="AL41" i="3"/>
  <c r="AK41" i="3"/>
  <c r="H56" i="2" s="1"/>
  <c r="W56" i="2" s="1"/>
  <c r="AJ41" i="3"/>
  <c r="AI41" i="3"/>
  <c r="AH41" i="3"/>
  <c r="AG41" i="3"/>
  <c r="D56" i="2" s="1"/>
  <c r="S56" i="2" s="1"/>
  <c r="AN40" i="3"/>
  <c r="AM40" i="3"/>
  <c r="AL40" i="3"/>
  <c r="I54" i="2" s="1"/>
  <c r="X54" i="2" s="1"/>
  <c r="AK40" i="3"/>
  <c r="H55" i="2" s="1"/>
  <c r="W55" i="2" s="1"/>
  <c r="AJ40" i="3"/>
  <c r="AI40" i="3"/>
  <c r="AH40" i="3"/>
  <c r="E55" i="2" s="1"/>
  <c r="T55" i="2" s="1"/>
  <c r="AG40" i="3"/>
  <c r="D55" i="2" s="1"/>
  <c r="S55" i="2" s="1"/>
  <c r="AN39" i="3"/>
  <c r="AM39" i="3"/>
  <c r="AL39" i="3"/>
  <c r="AK39" i="3"/>
  <c r="H54" i="2" s="1"/>
  <c r="W54" i="2" s="1"/>
  <c r="AJ39" i="3"/>
  <c r="AI39" i="3"/>
  <c r="AH39" i="3"/>
  <c r="AG39" i="3"/>
  <c r="D54" i="2" s="1"/>
  <c r="S54" i="2" s="1"/>
  <c r="AN38" i="3"/>
  <c r="AM38" i="3"/>
  <c r="AL38" i="3"/>
  <c r="AK38" i="3"/>
  <c r="H52" i="2" s="1"/>
  <c r="W52" i="2" s="1"/>
  <c r="AJ38" i="3"/>
  <c r="AI38" i="3"/>
  <c r="AH38" i="3"/>
  <c r="AG38" i="3"/>
  <c r="D52" i="2" s="1"/>
  <c r="S52" i="2" s="1"/>
  <c r="AN37" i="3"/>
  <c r="AM37" i="3"/>
  <c r="AL37" i="3"/>
  <c r="AK37" i="3"/>
  <c r="AJ37" i="3"/>
  <c r="AI37" i="3"/>
  <c r="AH37" i="3"/>
  <c r="AG37" i="3"/>
  <c r="AN36" i="3"/>
  <c r="AM36" i="3"/>
  <c r="AL36" i="3"/>
  <c r="AK36" i="3"/>
  <c r="H51" i="2" s="1"/>
  <c r="W51" i="2" s="1"/>
  <c r="AJ36" i="3"/>
  <c r="AI36" i="3"/>
  <c r="AH36" i="3"/>
  <c r="AG36" i="3"/>
  <c r="D51" i="2" s="1"/>
  <c r="S51" i="2" s="1"/>
  <c r="AN35" i="3"/>
  <c r="AM35" i="3"/>
  <c r="AL35" i="3"/>
  <c r="AK35" i="3"/>
  <c r="H50" i="2" s="1"/>
  <c r="W50" i="2" s="1"/>
  <c r="AJ35" i="3"/>
  <c r="AI35" i="3"/>
  <c r="AH35" i="3"/>
  <c r="AG35" i="3"/>
  <c r="D50" i="2" s="1"/>
  <c r="S50" i="2" s="1"/>
  <c r="AN34" i="3"/>
  <c r="AM34" i="3"/>
  <c r="AL34" i="3"/>
  <c r="AK34" i="3"/>
  <c r="H49" i="2" s="1"/>
  <c r="W49" i="2" s="1"/>
  <c r="AJ34" i="3"/>
  <c r="AI34" i="3"/>
  <c r="AH34" i="3"/>
  <c r="AG34" i="3"/>
  <c r="D49" i="2" s="1"/>
  <c r="S49" i="2" s="1"/>
  <c r="AN33" i="3"/>
  <c r="AM33" i="3"/>
  <c r="AL33" i="3"/>
  <c r="AK33" i="3"/>
  <c r="H48" i="2" s="1"/>
  <c r="W48" i="2" s="1"/>
  <c r="AJ33" i="3"/>
  <c r="AI33" i="3"/>
  <c r="AH33" i="3"/>
  <c r="AG33" i="3"/>
  <c r="D48" i="2" s="1"/>
  <c r="S48" i="2" s="1"/>
  <c r="J47" i="2"/>
  <c r="Y47" i="2" s="1"/>
  <c r="H47" i="2"/>
  <c r="W47" i="2" s="1"/>
  <c r="G47" i="2"/>
  <c r="V47" i="2" s="1"/>
  <c r="E47" i="2"/>
  <c r="T47" i="2" s="1"/>
  <c r="D47" i="2"/>
  <c r="S47" i="2" s="1"/>
  <c r="AN31" i="3"/>
  <c r="AM31" i="3"/>
  <c r="AL31" i="3"/>
  <c r="AK31" i="3"/>
  <c r="H46" i="2" s="1"/>
  <c r="W46" i="2" s="1"/>
  <c r="AJ31" i="3"/>
  <c r="AI31" i="3"/>
  <c r="AH31" i="3"/>
  <c r="AG31" i="3"/>
  <c r="D46" i="2" s="1"/>
  <c r="S46" i="2" s="1"/>
  <c r="AN30" i="3"/>
  <c r="AM30" i="3"/>
  <c r="AL30" i="3"/>
  <c r="AK30" i="3"/>
  <c r="H45" i="2" s="1"/>
  <c r="W45" i="2" s="1"/>
  <c r="AJ30" i="3"/>
  <c r="AI30" i="3"/>
  <c r="AH30" i="3"/>
  <c r="AG30" i="3"/>
  <c r="D45" i="2" s="1"/>
  <c r="S45" i="2" s="1"/>
  <c r="AN29" i="3"/>
  <c r="AM29" i="3"/>
  <c r="AL29" i="3"/>
  <c r="AK29" i="3"/>
  <c r="H44" i="2" s="1"/>
  <c r="W44" i="2" s="1"/>
  <c r="AJ29" i="3"/>
  <c r="AI29" i="3"/>
  <c r="AH29" i="3"/>
  <c r="AG29" i="3"/>
  <c r="D44" i="2" s="1"/>
  <c r="S44" i="2" s="1"/>
  <c r="AN28" i="3"/>
  <c r="AM28" i="3"/>
  <c r="AL28" i="3"/>
  <c r="I43" i="2" s="1"/>
  <c r="X43" i="2" s="1"/>
  <c r="AK28" i="3"/>
  <c r="H43" i="2" s="1"/>
  <c r="W43" i="2" s="1"/>
  <c r="AJ28" i="3"/>
  <c r="AI28" i="3"/>
  <c r="AH28" i="3"/>
  <c r="AG28" i="3"/>
  <c r="D43" i="2" s="1"/>
  <c r="S43" i="2" s="1"/>
  <c r="AN27" i="3"/>
  <c r="AM27" i="3"/>
  <c r="AL27" i="3"/>
  <c r="AK27" i="3"/>
  <c r="H42" i="2" s="1"/>
  <c r="W42" i="2" s="1"/>
  <c r="AJ27" i="3"/>
  <c r="AI27" i="3"/>
  <c r="AH27" i="3"/>
  <c r="AG27" i="3"/>
  <c r="D42" i="2" s="1"/>
  <c r="S42" i="2" s="1"/>
  <c r="AN26" i="3"/>
  <c r="AM26" i="3"/>
  <c r="AL26" i="3"/>
  <c r="AK26" i="3"/>
  <c r="H41" i="2" s="1"/>
  <c r="W41" i="2" s="1"/>
  <c r="AJ26" i="3"/>
  <c r="AI26" i="3"/>
  <c r="AH26" i="3"/>
  <c r="AG26" i="3"/>
  <c r="D41" i="2" s="1"/>
  <c r="S41" i="2" s="1"/>
  <c r="AN25" i="3"/>
  <c r="AM25" i="3"/>
  <c r="AL25" i="3"/>
  <c r="I40" i="2" s="1"/>
  <c r="X40" i="2" s="1"/>
  <c r="AK25" i="3"/>
  <c r="H40" i="2" s="1"/>
  <c r="W40" i="2" s="1"/>
  <c r="AJ25" i="3"/>
  <c r="AI25" i="3"/>
  <c r="AH25" i="3"/>
  <c r="AG25" i="3"/>
  <c r="AN24" i="3"/>
  <c r="AM24" i="3"/>
  <c r="AL24" i="3"/>
  <c r="AK24" i="3"/>
  <c r="H39" i="2" s="1"/>
  <c r="W39" i="2" s="1"/>
  <c r="AJ24" i="3"/>
  <c r="AI24" i="3"/>
  <c r="AH24" i="3"/>
  <c r="AG24" i="3"/>
  <c r="D39" i="2" s="1"/>
  <c r="S39" i="2" s="1"/>
  <c r="AN23" i="3"/>
  <c r="AM23" i="3"/>
  <c r="AL23" i="3"/>
  <c r="AK23" i="3"/>
  <c r="H38" i="2" s="1"/>
  <c r="W38" i="2" s="1"/>
  <c r="AJ23" i="3"/>
  <c r="AI23" i="3"/>
  <c r="AH23" i="3"/>
  <c r="AG23" i="3"/>
  <c r="D38" i="2" s="1"/>
  <c r="S38" i="2" s="1"/>
  <c r="AN22" i="3"/>
  <c r="AM22" i="3"/>
  <c r="AL22" i="3"/>
  <c r="AK22" i="3"/>
  <c r="H37" i="2" s="1"/>
  <c r="W37" i="2" s="1"/>
  <c r="AJ22" i="3"/>
  <c r="AI22" i="3"/>
  <c r="AH22" i="3"/>
  <c r="AG22" i="3"/>
  <c r="D37" i="2" s="1"/>
  <c r="S37" i="2" s="1"/>
  <c r="AN21" i="3"/>
  <c r="AM21" i="3"/>
  <c r="AL21" i="3"/>
  <c r="AK21" i="3"/>
  <c r="H36" i="2" s="1"/>
  <c r="W36" i="2" s="1"/>
  <c r="AJ21" i="3"/>
  <c r="AI21" i="3"/>
  <c r="AH21" i="3"/>
  <c r="AG21" i="3"/>
  <c r="D36" i="2" s="1"/>
  <c r="S36" i="2" s="1"/>
  <c r="AN20" i="3"/>
  <c r="AM20" i="3"/>
  <c r="AL20" i="3"/>
  <c r="AK20" i="3"/>
  <c r="H35" i="2" s="1"/>
  <c r="W35" i="2" s="1"/>
  <c r="AJ20" i="3"/>
  <c r="AI20" i="3"/>
  <c r="AH20" i="3"/>
  <c r="AG20" i="3"/>
  <c r="D35" i="2" s="1"/>
  <c r="S35" i="2" s="1"/>
  <c r="AN19" i="3"/>
  <c r="AM19" i="3"/>
  <c r="AL19" i="3"/>
  <c r="AK19" i="3"/>
  <c r="H34" i="2" s="1"/>
  <c r="W34" i="2" s="1"/>
  <c r="AJ19" i="3"/>
  <c r="AI19" i="3"/>
  <c r="AH19" i="3"/>
  <c r="AG19" i="3"/>
  <c r="D34" i="2" s="1"/>
  <c r="S34" i="2" s="1"/>
  <c r="AN18" i="3"/>
  <c r="AM18" i="3"/>
  <c r="AL18" i="3"/>
  <c r="AK18" i="3"/>
  <c r="H33" i="2" s="1"/>
  <c r="W33" i="2" s="1"/>
  <c r="AJ18" i="3"/>
  <c r="AI18" i="3"/>
  <c r="AH18" i="3"/>
  <c r="AG18" i="3"/>
  <c r="D33" i="2" s="1"/>
  <c r="S33" i="2" s="1"/>
  <c r="AN17" i="3"/>
  <c r="AM17" i="3"/>
  <c r="AL17" i="3"/>
  <c r="AK17" i="3"/>
  <c r="H32" i="2" s="1"/>
  <c r="W32" i="2" s="1"/>
  <c r="AJ17" i="3"/>
  <c r="AI17" i="3"/>
  <c r="AH17" i="3"/>
  <c r="AG17" i="3"/>
  <c r="D32" i="2" s="1"/>
  <c r="S32" i="2" s="1"/>
  <c r="AN16" i="3"/>
  <c r="AM16" i="3"/>
  <c r="AL16" i="3"/>
  <c r="AK16" i="3"/>
  <c r="H31" i="2" s="1"/>
  <c r="W31" i="2" s="1"/>
  <c r="AJ16" i="3"/>
  <c r="AI16" i="3"/>
  <c r="AH16" i="3"/>
  <c r="AG16" i="3"/>
  <c r="D31" i="2" s="1"/>
  <c r="S31" i="2" s="1"/>
  <c r="AN15" i="3"/>
  <c r="AM15" i="3"/>
  <c r="AL15" i="3"/>
  <c r="AK15" i="3"/>
  <c r="H30" i="2" s="1"/>
  <c r="W30" i="2" s="1"/>
  <c r="AJ15" i="3"/>
  <c r="AI15" i="3"/>
  <c r="AH15" i="3"/>
  <c r="AG15" i="3"/>
  <c r="D30" i="2" s="1"/>
  <c r="S30" i="2" s="1"/>
  <c r="AN14" i="3"/>
  <c r="AM14" i="3"/>
  <c r="AL14" i="3"/>
  <c r="AK14" i="3"/>
  <c r="H29" i="2" s="1"/>
  <c r="W29" i="2" s="1"/>
  <c r="AJ14" i="3"/>
  <c r="AI14" i="3"/>
  <c r="AH14" i="3"/>
  <c r="AG14" i="3"/>
  <c r="D29" i="2" s="1"/>
  <c r="S29" i="2" s="1"/>
  <c r="AN13" i="3"/>
  <c r="AM13" i="3"/>
  <c r="AL13" i="3"/>
  <c r="AK13" i="3"/>
  <c r="H28" i="2" s="1"/>
  <c r="W28" i="2" s="1"/>
  <c r="AJ13" i="3"/>
  <c r="AI13" i="3"/>
  <c r="AH13" i="3"/>
  <c r="AG13" i="3"/>
  <c r="D28" i="2" s="1"/>
  <c r="S28" i="2" s="1"/>
  <c r="AN12" i="3"/>
  <c r="AM12" i="3"/>
  <c r="AL12" i="3"/>
  <c r="AK12" i="3"/>
  <c r="H27" i="2" s="1"/>
  <c r="W27" i="2" s="1"/>
  <c r="AJ12" i="3"/>
  <c r="AI12" i="3"/>
  <c r="AH12" i="3"/>
  <c r="AG12" i="3"/>
  <c r="D27" i="2" s="1"/>
  <c r="S27" i="2" s="1"/>
  <c r="AN11" i="3"/>
  <c r="AM11" i="3"/>
  <c r="AL11" i="3"/>
  <c r="AK11" i="3"/>
  <c r="H26" i="2" s="1"/>
  <c r="W26" i="2" s="1"/>
  <c r="AJ11" i="3"/>
  <c r="AI11" i="3"/>
  <c r="AH11" i="3"/>
  <c r="AG11" i="3"/>
  <c r="D26" i="2" s="1"/>
  <c r="S26" i="2" s="1"/>
  <c r="AN10" i="3"/>
  <c r="AM10" i="3"/>
  <c r="AL10" i="3"/>
  <c r="AK10" i="3"/>
  <c r="H25" i="2" s="1"/>
  <c r="W25" i="2" s="1"/>
  <c r="AJ10" i="3"/>
  <c r="AI10" i="3"/>
  <c r="AH10" i="3"/>
  <c r="AG10" i="3"/>
  <c r="D25" i="2" s="1"/>
  <c r="S25" i="2" s="1"/>
  <c r="AN9" i="3"/>
  <c r="AM9" i="3"/>
  <c r="AL9" i="3"/>
  <c r="AK9" i="3"/>
  <c r="H24" i="2" s="1"/>
  <c r="W24" i="2" s="1"/>
  <c r="AJ9" i="3"/>
  <c r="AI9" i="3"/>
  <c r="AH9" i="3"/>
  <c r="AG9" i="3"/>
  <c r="D24" i="2" s="1"/>
  <c r="S24" i="2" s="1"/>
  <c r="AN8" i="3"/>
  <c r="AM8" i="3"/>
  <c r="AL8" i="3"/>
  <c r="AK8" i="3"/>
  <c r="H23" i="2" s="1"/>
  <c r="W23" i="2" s="1"/>
  <c r="AJ8" i="3"/>
  <c r="AI8" i="3"/>
  <c r="AH8" i="3"/>
  <c r="AG8" i="3"/>
  <c r="D23" i="2" s="1"/>
  <c r="S23" i="2" s="1"/>
  <c r="AN7" i="3"/>
  <c r="AM7" i="3"/>
  <c r="AL7" i="3"/>
  <c r="I22" i="2" s="1"/>
  <c r="X22" i="2" s="1"/>
  <c r="AK7" i="3"/>
  <c r="H22" i="2" s="1"/>
  <c r="W22" i="2" s="1"/>
  <c r="AJ7" i="3"/>
  <c r="AI7" i="3"/>
  <c r="AH7" i="3"/>
  <c r="E22" i="2" s="1"/>
  <c r="T22" i="2" s="1"/>
  <c r="AG7" i="3"/>
  <c r="AN6" i="3"/>
  <c r="AM6" i="3"/>
  <c r="AL6" i="3"/>
  <c r="I21" i="2" s="1"/>
  <c r="X21" i="2" s="1"/>
  <c r="AK6" i="3"/>
  <c r="H21" i="2" s="1"/>
  <c r="W21" i="2" s="1"/>
  <c r="AJ6" i="3"/>
  <c r="AI6" i="3"/>
  <c r="AH6" i="3"/>
  <c r="E21" i="2" s="1"/>
  <c r="T21" i="2" s="1"/>
  <c r="AG6" i="3"/>
  <c r="D21" i="2" s="1"/>
  <c r="S21" i="2" s="1"/>
  <c r="AN5" i="3"/>
  <c r="AM5" i="3"/>
  <c r="AL5" i="3"/>
  <c r="I20" i="2" s="1"/>
  <c r="X20" i="2" s="1"/>
  <c r="AK5" i="3"/>
  <c r="H20" i="2" s="1"/>
  <c r="W20" i="2" s="1"/>
  <c r="AJ5" i="3"/>
  <c r="AI5" i="3"/>
  <c r="AH5" i="3"/>
  <c r="AG5" i="3"/>
  <c r="D20" i="2" s="1"/>
  <c r="S20" i="2" s="1"/>
  <c r="AN4" i="3"/>
  <c r="AM4" i="3"/>
  <c r="AL4" i="3"/>
  <c r="AK4" i="3"/>
  <c r="H19" i="2" s="1"/>
  <c r="AJ4" i="3"/>
  <c r="AI4" i="3"/>
  <c r="AH4" i="3"/>
  <c r="AG4" i="3"/>
  <c r="D19" i="2" s="1"/>
  <c r="S19" i="2" s="1"/>
  <c r="A4" i="3"/>
  <c r="R84" i="2"/>
  <c r="Q84" i="2"/>
  <c r="P84" i="2"/>
  <c r="O84" i="2"/>
  <c r="M84" i="2"/>
  <c r="L83" i="2"/>
  <c r="AA83" i="2" s="1"/>
  <c r="K83" i="2"/>
  <c r="Z83" i="2" s="1"/>
  <c r="J83" i="2"/>
  <c r="Y83" i="2" s="1"/>
  <c r="I83" i="2"/>
  <c r="X83" i="2" s="1"/>
  <c r="G83" i="2"/>
  <c r="V83" i="2" s="1"/>
  <c r="F83" i="2"/>
  <c r="U83" i="2" s="1"/>
  <c r="E83" i="2"/>
  <c r="T83" i="2" s="1"/>
  <c r="L82" i="2"/>
  <c r="AA82" i="2" s="1"/>
  <c r="K82" i="2"/>
  <c r="Z82" i="2" s="1"/>
  <c r="J82" i="2"/>
  <c r="Y82" i="2" s="1"/>
  <c r="I82" i="2"/>
  <c r="X82" i="2" s="1"/>
  <c r="G82" i="2"/>
  <c r="V82" i="2" s="1"/>
  <c r="F82" i="2"/>
  <c r="U82" i="2" s="1"/>
  <c r="E82" i="2"/>
  <c r="T82" i="2" s="1"/>
  <c r="L81" i="2"/>
  <c r="AA81" i="2" s="1"/>
  <c r="K81" i="2"/>
  <c r="Z81" i="2" s="1"/>
  <c r="J81" i="2"/>
  <c r="Y81" i="2" s="1"/>
  <c r="I81" i="2"/>
  <c r="X81" i="2" s="1"/>
  <c r="G81" i="2"/>
  <c r="V81" i="2" s="1"/>
  <c r="F81" i="2"/>
  <c r="U81" i="2" s="1"/>
  <c r="E81" i="2"/>
  <c r="T81" i="2" s="1"/>
  <c r="L80" i="2"/>
  <c r="AA80" i="2" s="1"/>
  <c r="K80" i="2"/>
  <c r="Z80" i="2" s="1"/>
  <c r="J80" i="2"/>
  <c r="Y80" i="2" s="1"/>
  <c r="I80" i="2"/>
  <c r="X80" i="2" s="1"/>
  <c r="G80" i="2"/>
  <c r="V80" i="2" s="1"/>
  <c r="F80" i="2"/>
  <c r="U80" i="2" s="1"/>
  <c r="E80" i="2"/>
  <c r="T80" i="2" s="1"/>
  <c r="L79" i="2"/>
  <c r="AA79" i="2" s="1"/>
  <c r="K79" i="2"/>
  <c r="Z79" i="2" s="1"/>
  <c r="J79" i="2"/>
  <c r="Y79" i="2" s="1"/>
  <c r="I79" i="2"/>
  <c r="X79" i="2" s="1"/>
  <c r="G79" i="2"/>
  <c r="V79" i="2" s="1"/>
  <c r="F79" i="2"/>
  <c r="U79" i="2" s="1"/>
  <c r="E79" i="2"/>
  <c r="T79" i="2" s="1"/>
  <c r="L78" i="2"/>
  <c r="AA78" i="2" s="1"/>
  <c r="K78" i="2"/>
  <c r="Z78" i="2" s="1"/>
  <c r="J78" i="2"/>
  <c r="Y78" i="2" s="1"/>
  <c r="I78" i="2"/>
  <c r="X78" i="2" s="1"/>
  <c r="G78" i="2"/>
  <c r="V78" i="2" s="1"/>
  <c r="F78" i="2"/>
  <c r="U78" i="2" s="1"/>
  <c r="E78" i="2"/>
  <c r="T78" i="2" s="1"/>
  <c r="L77" i="2"/>
  <c r="AA77" i="2" s="1"/>
  <c r="K77" i="2"/>
  <c r="Z77" i="2" s="1"/>
  <c r="J77" i="2"/>
  <c r="Y77" i="2" s="1"/>
  <c r="I77" i="2"/>
  <c r="X77" i="2" s="1"/>
  <c r="G77" i="2"/>
  <c r="V77" i="2" s="1"/>
  <c r="F77" i="2"/>
  <c r="U77" i="2" s="1"/>
  <c r="E77" i="2"/>
  <c r="T77" i="2" s="1"/>
  <c r="L76" i="2"/>
  <c r="AA76" i="2" s="1"/>
  <c r="K76" i="2"/>
  <c r="Z76" i="2" s="1"/>
  <c r="J76" i="2"/>
  <c r="Y76" i="2" s="1"/>
  <c r="I76" i="2"/>
  <c r="X76" i="2" s="1"/>
  <c r="G76" i="2"/>
  <c r="V76" i="2" s="1"/>
  <c r="F76" i="2"/>
  <c r="U76" i="2" s="1"/>
  <c r="E76" i="2"/>
  <c r="T76" i="2" s="1"/>
  <c r="L75" i="2"/>
  <c r="AA75" i="2" s="1"/>
  <c r="K75" i="2"/>
  <c r="Z75" i="2" s="1"/>
  <c r="J75" i="2"/>
  <c r="Y75" i="2" s="1"/>
  <c r="I75" i="2"/>
  <c r="X75" i="2" s="1"/>
  <c r="G75" i="2"/>
  <c r="V75" i="2" s="1"/>
  <c r="F75" i="2"/>
  <c r="U75" i="2" s="1"/>
  <c r="E75" i="2"/>
  <c r="T75" i="2" s="1"/>
  <c r="L74" i="2"/>
  <c r="AA74" i="2" s="1"/>
  <c r="K74" i="2"/>
  <c r="Z74" i="2" s="1"/>
  <c r="J74" i="2"/>
  <c r="Y74" i="2" s="1"/>
  <c r="I74" i="2"/>
  <c r="X74" i="2" s="1"/>
  <c r="G74" i="2"/>
  <c r="V74" i="2" s="1"/>
  <c r="F74" i="2"/>
  <c r="U74" i="2" s="1"/>
  <c r="E74" i="2"/>
  <c r="T74" i="2" s="1"/>
  <c r="L73" i="2"/>
  <c r="AA73" i="2" s="1"/>
  <c r="K73" i="2"/>
  <c r="Z73" i="2" s="1"/>
  <c r="J73" i="2"/>
  <c r="Y73" i="2" s="1"/>
  <c r="I73" i="2"/>
  <c r="X73" i="2" s="1"/>
  <c r="G73" i="2"/>
  <c r="V73" i="2" s="1"/>
  <c r="F73" i="2"/>
  <c r="U73" i="2" s="1"/>
  <c r="E73" i="2"/>
  <c r="T73" i="2" s="1"/>
  <c r="L72" i="2"/>
  <c r="AA72" i="2" s="1"/>
  <c r="K72" i="2"/>
  <c r="Z72" i="2" s="1"/>
  <c r="J72" i="2"/>
  <c r="Y72" i="2" s="1"/>
  <c r="I72" i="2"/>
  <c r="X72" i="2" s="1"/>
  <c r="G72" i="2"/>
  <c r="V72" i="2" s="1"/>
  <c r="F72" i="2"/>
  <c r="U72" i="2" s="1"/>
  <c r="E72" i="2"/>
  <c r="T72" i="2" s="1"/>
  <c r="L71" i="2"/>
  <c r="AA71" i="2" s="1"/>
  <c r="K71" i="2"/>
  <c r="Z71" i="2" s="1"/>
  <c r="J71" i="2"/>
  <c r="Y71" i="2" s="1"/>
  <c r="I71" i="2"/>
  <c r="X71" i="2" s="1"/>
  <c r="G71" i="2"/>
  <c r="V71" i="2" s="1"/>
  <c r="F71" i="2"/>
  <c r="U71" i="2" s="1"/>
  <c r="E71" i="2"/>
  <c r="T71" i="2" s="1"/>
  <c r="L70" i="2"/>
  <c r="AA70" i="2" s="1"/>
  <c r="K70" i="2"/>
  <c r="Z70" i="2" s="1"/>
  <c r="J70" i="2"/>
  <c r="Y70" i="2" s="1"/>
  <c r="I70" i="2"/>
  <c r="X70" i="2" s="1"/>
  <c r="G70" i="2"/>
  <c r="V70" i="2" s="1"/>
  <c r="F70" i="2"/>
  <c r="U70" i="2" s="1"/>
  <c r="L69" i="2"/>
  <c r="AA69" i="2" s="1"/>
  <c r="K69" i="2"/>
  <c r="Z69" i="2" s="1"/>
  <c r="J69" i="2"/>
  <c r="Y69" i="2" s="1"/>
  <c r="I69" i="2"/>
  <c r="X69" i="2" s="1"/>
  <c r="G69" i="2"/>
  <c r="V69" i="2" s="1"/>
  <c r="F69" i="2"/>
  <c r="U69" i="2" s="1"/>
  <c r="E69" i="2"/>
  <c r="T69" i="2" s="1"/>
  <c r="L68" i="2"/>
  <c r="AA68" i="2" s="1"/>
  <c r="K68" i="2"/>
  <c r="Z68" i="2" s="1"/>
  <c r="J68" i="2"/>
  <c r="Y68" i="2" s="1"/>
  <c r="I68" i="2"/>
  <c r="X68" i="2" s="1"/>
  <c r="G68" i="2"/>
  <c r="V68" i="2" s="1"/>
  <c r="F68" i="2"/>
  <c r="U68" i="2" s="1"/>
  <c r="E68" i="2"/>
  <c r="T68" i="2" s="1"/>
  <c r="L67" i="2"/>
  <c r="AA67" i="2" s="1"/>
  <c r="K67" i="2"/>
  <c r="Z67" i="2" s="1"/>
  <c r="J67" i="2"/>
  <c r="Y67" i="2" s="1"/>
  <c r="I67" i="2"/>
  <c r="X67" i="2" s="1"/>
  <c r="G67" i="2"/>
  <c r="V67" i="2" s="1"/>
  <c r="F67" i="2"/>
  <c r="U67" i="2" s="1"/>
  <c r="E67" i="2"/>
  <c r="T67" i="2" s="1"/>
  <c r="L66" i="2"/>
  <c r="AA66" i="2" s="1"/>
  <c r="K66" i="2"/>
  <c r="Z66" i="2" s="1"/>
  <c r="J66" i="2"/>
  <c r="Y66" i="2" s="1"/>
  <c r="I66" i="2"/>
  <c r="X66" i="2" s="1"/>
  <c r="G66" i="2"/>
  <c r="V66" i="2" s="1"/>
  <c r="F66" i="2"/>
  <c r="U66" i="2" s="1"/>
  <c r="E66" i="2"/>
  <c r="T66" i="2" s="1"/>
  <c r="L65" i="2"/>
  <c r="AA65" i="2" s="1"/>
  <c r="K65" i="2"/>
  <c r="Z65" i="2" s="1"/>
  <c r="J65" i="2"/>
  <c r="Y65" i="2" s="1"/>
  <c r="I65" i="2"/>
  <c r="X65" i="2" s="1"/>
  <c r="G65" i="2"/>
  <c r="V65" i="2" s="1"/>
  <c r="F65" i="2"/>
  <c r="U65" i="2" s="1"/>
  <c r="E65" i="2"/>
  <c r="T65" i="2" s="1"/>
  <c r="L64" i="2"/>
  <c r="AA64" i="2" s="1"/>
  <c r="K64" i="2"/>
  <c r="Z64" i="2" s="1"/>
  <c r="J64" i="2"/>
  <c r="Y64" i="2" s="1"/>
  <c r="I64" i="2"/>
  <c r="X64" i="2" s="1"/>
  <c r="G64" i="2"/>
  <c r="V64" i="2" s="1"/>
  <c r="F64" i="2"/>
  <c r="U64" i="2" s="1"/>
  <c r="E64" i="2"/>
  <c r="T64" i="2" s="1"/>
  <c r="L63" i="2"/>
  <c r="AA63" i="2" s="1"/>
  <c r="K63" i="2"/>
  <c r="Z63" i="2" s="1"/>
  <c r="J63" i="2"/>
  <c r="Y63" i="2" s="1"/>
  <c r="I63" i="2"/>
  <c r="X63" i="2" s="1"/>
  <c r="G63" i="2"/>
  <c r="V63" i="2" s="1"/>
  <c r="F63" i="2"/>
  <c r="U63" i="2" s="1"/>
  <c r="E63" i="2"/>
  <c r="T63" i="2" s="1"/>
  <c r="L62" i="2"/>
  <c r="AA62" i="2" s="1"/>
  <c r="K62" i="2"/>
  <c r="Z62" i="2" s="1"/>
  <c r="J62" i="2"/>
  <c r="Y62" i="2" s="1"/>
  <c r="I62" i="2"/>
  <c r="X62" i="2" s="1"/>
  <c r="G62" i="2"/>
  <c r="V62" i="2" s="1"/>
  <c r="F62" i="2"/>
  <c r="U62" i="2" s="1"/>
  <c r="E62" i="2"/>
  <c r="T62" i="2" s="1"/>
  <c r="L61" i="2"/>
  <c r="AA61" i="2" s="1"/>
  <c r="K61" i="2"/>
  <c r="Z61" i="2" s="1"/>
  <c r="J61" i="2"/>
  <c r="Y61" i="2" s="1"/>
  <c r="G61" i="2"/>
  <c r="V61" i="2" s="1"/>
  <c r="F61" i="2"/>
  <c r="U61" i="2" s="1"/>
  <c r="E61" i="2"/>
  <c r="T61" i="2" s="1"/>
  <c r="L60" i="2"/>
  <c r="AA60" i="2" s="1"/>
  <c r="K60" i="2"/>
  <c r="Z60" i="2" s="1"/>
  <c r="J60" i="2"/>
  <c r="Y60" i="2" s="1"/>
  <c r="I60" i="2"/>
  <c r="X60" i="2" s="1"/>
  <c r="G60" i="2"/>
  <c r="V60" i="2" s="1"/>
  <c r="F60" i="2"/>
  <c r="U60" i="2" s="1"/>
  <c r="E60" i="2"/>
  <c r="T60" i="2" s="1"/>
  <c r="L59" i="2"/>
  <c r="AA59" i="2" s="1"/>
  <c r="K59" i="2"/>
  <c r="Z59" i="2" s="1"/>
  <c r="J59" i="2"/>
  <c r="Y59" i="2" s="1"/>
  <c r="I59" i="2"/>
  <c r="X59" i="2" s="1"/>
  <c r="G59" i="2"/>
  <c r="V59" i="2" s="1"/>
  <c r="F59" i="2"/>
  <c r="U59" i="2" s="1"/>
  <c r="E59" i="2"/>
  <c r="T59" i="2" s="1"/>
  <c r="L58" i="2"/>
  <c r="AA58" i="2" s="1"/>
  <c r="K58" i="2"/>
  <c r="Z58" i="2" s="1"/>
  <c r="J58" i="2"/>
  <c r="Y58" i="2" s="1"/>
  <c r="I58" i="2"/>
  <c r="X58" i="2" s="1"/>
  <c r="G58" i="2"/>
  <c r="V58" i="2" s="1"/>
  <c r="F58" i="2"/>
  <c r="U58" i="2" s="1"/>
  <c r="E58" i="2"/>
  <c r="T58" i="2" s="1"/>
  <c r="L57" i="2"/>
  <c r="AA57" i="2" s="1"/>
  <c r="K57" i="2"/>
  <c r="Z57" i="2" s="1"/>
  <c r="J57" i="2"/>
  <c r="Y57" i="2" s="1"/>
  <c r="I57" i="2"/>
  <c r="X57" i="2" s="1"/>
  <c r="G57" i="2"/>
  <c r="V57" i="2" s="1"/>
  <c r="F57" i="2"/>
  <c r="U57" i="2" s="1"/>
  <c r="L56" i="2"/>
  <c r="AA56" i="2" s="1"/>
  <c r="K56" i="2"/>
  <c r="Z56" i="2" s="1"/>
  <c r="J56" i="2"/>
  <c r="Y56" i="2" s="1"/>
  <c r="I56" i="2"/>
  <c r="X56" i="2" s="1"/>
  <c r="G56" i="2"/>
  <c r="V56" i="2" s="1"/>
  <c r="F56" i="2"/>
  <c r="U56" i="2" s="1"/>
  <c r="E56" i="2"/>
  <c r="T56" i="2" s="1"/>
  <c r="L55" i="2"/>
  <c r="AA55" i="2" s="1"/>
  <c r="K55" i="2"/>
  <c r="Z55" i="2" s="1"/>
  <c r="J55" i="2"/>
  <c r="Y55" i="2" s="1"/>
  <c r="G55" i="2"/>
  <c r="V55" i="2" s="1"/>
  <c r="F55" i="2"/>
  <c r="U55" i="2" s="1"/>
  <c r="L54" i="2"/>
  <c r="AA54" i="2" s="1"/>
  <c r="K54" i="2"/>
  <c r="Z54" i="2" s="1"/>
  <c r="J54" i="2"/>
  <c r="Y54" i="2" s="1"/>
  <c r="G54" i="2"/>
  <c r="V54" i="2" s="1"/>
  <c r="F54" i="2"/>
  <c r="U54" i="2" s="1"/>
  <c r="E54" i="2"/>
  <c r="T54" i="2" s="1"/>
  <c r="L53" i="2"/>
  <c r="AA53" i="2" s="1"/>
  <c r="K53" i="2"/>
  <c r="Z53" i="2" s="1"/>
  <c r="J53" i="2"/>
  <c r="Y53" i="2" s="1"/>
  <c r="I53" i="2"/>
  <c r="X53" i="2" s="1"/>
  <c r="G53" i="2"/>
  <c r="V53" i="2" s="1"/>
  <c r="F53" i="2"/>
  <c r="U53" i="2" s="1"/>
  <c r="E53" i="2"/>
  <c r="T53" i="2" s="1"/>
  <c r="L52" i="2"/>
  <c r="AA52" i="2" s="1"/>
  <c r="K52" i="2"/>
  <c r="Z52" i="2" s="1"/>
  <c r="J52" i="2"/>
  <c r="Y52" i="2" s="1"/>
  <c r="I52" i="2"/>
  <c r="X52" i="2" s="1"/>
  <c r="G52" i="2"/>
  <c r="V52" i="2" s="1"/>
  <c r="F52" i="2"/>
  <c r="U52" i="2" s="1"/>
  <c r="E52" i="2"/>
  <c r="T52" i="2" s="1"/>
  <c r="L51" i="2"/>
  <c r="AA51" i="2" s="1"/>
  <c r="K51" i="2"/>
  <c r="Z51" i="2" s="1"/>
  <c r="J51" i="2"/>
  <c r="Y51" i="2" s="1"/>
  <c r="I51" i="2"/>
  <c r="X51" i="2" s="1"/>
  <c r="G51" i="2"/>
  <c r="V51" i="2" s="1"/>
  <c r="F51" i="2"/>
  <c r="U51" i="2" s="1"/>
  <c r="E51" i="2"/>
  <c r="T51" i="2" s="1"/>
  <c r="L50" i="2"/>
  <c r="AA50" i="2" s="1"/>
  <c r="K50" i="2"/>
  <c r="Z50" i="2" s="1"/>
  <c r="J50" i="2"/>
  <c r="Y50" i="2" s="1"/>
  <c r="I50" i="2"/>
  <c r="X50" i="2" s="1"/>
  <c r="G50" i="2"/>
  <c r="V50" i="2" s="1"/>
  <c r="F50" i="2"/>
  <c r="U50" i="2" s="1"/>
  <c r="E50" i="2"/>
  <c r="T50" i="2" s="1"/>
  <c r="L49" i="2"/>
  <c r="AA49" i="2" s="1"/>
  <c r="K49" i="2"/>
  <c r="Z49" i="2" s="1"/>
  <c r="J49" i="2"/>
  <c r="Y49" i="2" s="1"/>
  <c r="I49" i="2"/>
  <c r="X49" i="2" s="1"/>
  <c r="G49" i="2"/>
  <c r="V49" i="2" s="1"/>
  <c r="F49" i="2"/>
  <c r="U49" i="2" s="1"/>
  <c r="E49" i="2"/>
  <c r="T49" i="2" s="1"/>
  <c r="L48" i="2"/>
  <c r="AA48" i="2" s="1"/>
  <c r="K48" i="2"/>
  <c r="Z48" i="2" s="1"/>
  <c r="J48" i="2"/>
  <c r="Y48" i="2" s="1"/>
  <c r="I48" i="2"/>
  <c r="X48" i="2" s="1"/>
  <c r="G48" i="2"/>
  <c r="V48" i="2" s="1"/>
  <c r="F48" i="2"/>
  <c r="U48" i="2" s="1"/>
  <c r="E48" i="2"/>
  <c r="T48" i="2" s="1"/>
  <c r="L47" i="2"/>
  <c r="AA47" i="2" s="1"/>
  <c r="K47" i="2"/>
  <c r="Z47" i="2" s="1"/>
  <c r="I47" i="2"/>
  <c r="X47" i="2" s="1"/>
  <c r="F47" i="2"/>
  <c r="U47" i="2" s="1"/>
  <c r="L46" i="2"/>
  <c r="AA46" i="2" s="1"/>
  <c r="K46" i="2"/>
  <c r="Z46" i="2" s="1"/>
  <c r="J46" i="2"/>
  <c r="Y46" i="2" s="1"/>
  <c r="I46" i="2"/>
  <c r="X46" i="2" s="1"/>
  <c r="G46" i="2"/>
  <c r="V46" i="2" s="1"/>
  <c r="F46" i="2"/>
  <c r="U46" i="2" s="1"/>
  <c r="E46" i="2"/>
  <c r="T46" i="2" s="1"/>
  <c r="L45" i="2"/>
  <c r="AA45" i="2" s="1"/>
  <c r="K45" i="2"/>
  <c r="Z45" i="2" s="1"/>
  <c r="J45" i="2"/>
  <c r="Y45" i="2" s="1"/>
  <c r="I45" i="2"/>
  <c r="X45" i="2" s="1"/>
  <c r="G45" i="2"/>
  <c r="V45" i="2" s="1"/>
  <c r="F45" i="2"/>
  <c r="U45" i="2" s="1"/>
  <c r="E45" i="2"/>
  <c r="T45" i="2" s="1"/>
  <c r="L44" i="2"/>
  <c r="AA44" i="2" s="1"/>
  <c r="K44" i="2"/>
  <c r="Z44" i="2" s="1"/>
  <c r="J44" i="2"/>
  <c r="Y44" i="2" s="1"/>
  <c r="I44" i="2"/>
  <c r="X44" i="2" s="1"/>
  <c r="G44" i="2"/>
  <c r="V44" i="2" s="1"/>
  <c r="F44" i="2"/>
  <c r="U44" i="2" s="1"/>
  <c r="E44" i="2"/>
  <c r="T44" i="2" s="1"/>
  <c r="L43" i="2"/>
  <c r="AA43" i="2" s="1"/>
  <c r="K43" i="2"/>
  <c r="Z43" i="2" s="1"/>
  <c r="J43" i="2"/>
  <c r="Y43" i="2" s="1"/>
  <c r="G43" i="2"/>
  <c r="V43" i="2" s="1"/>
  <c r="F43" i="2"/>
  <c r="U43" i="2" s="1"/>
  <c r="E43" i="2"/>
  <c r="T43" i="2" s="1"/>
  <c r="L42" i="2"/>
  <c r="AA42" i="2" s="1"/>
  <c r="K42" i="2"/>
  <c r="Z42" i="2" s="1"/>
  <c r="J42" i="2"/>
  <c r="Y42" i="2" s="1"/>
  <c r="I42" i="2"/>
  <c r="X42" i="2" s="1"/>
  <c r="G42" i="2"/>
  <c r="V42" i="2" s="1"/>
  <c r="F42" i="2"/>
  <c r="U42" i="2" s="1"/>
  <c r="E42" i="2"/>
  <c r="T42" i="2" s="1"/>
  <c r="L41" i="2"/>
  <c r="AA41" i="2" s="1"/>
  <c r="K41" i="2"/>
  <c r="Z41" i="2" s="1"/>
  <c r="J41" i="2"/>
  <c r="Y41" i="2" s="1"/>
  <c r="I41" i="2"/>
  <c r="X41" i="2" s="1"/>
  <c r="G41" i="2"/>
  <c r="V41" i="2" s="1"/>
  <c r="F41" i="2"/>
  <c r="U41" i="2" s="1"/>
  <c r="E41" i="2"/>
  <c r="T41" i="2" s="1"/>
  <c r="L40" i="2"/>
  <c r="AA40" i="2" s="1"/>
  <c r="K40" i="2"/>
  <c r="Z40" i="2" s="1"/>
  <c r="J40" i="2"/>
  <c r="Y40" i="2" s="1"/>
  <c r="G40" i="2"/>
  <c r="V40" i="2" s="1"/>
  <c r="F40" i="2"/>
  <c r="U40" i="2" s="1"/>
  <c r="E40" i="2"/>
  <c r="T40" i="2" s="1"/>
  <c r="D40" i="2"/>
  <c r="S40" i="2" s="1"/>
  <c r="L39" i="2"/>
  <c r="AA39" i="2" s="1"/>
  <c r="K39" i="2"/>
  <c r="Z39" i="2" s="1"/>
  <c r="J39" i="2"/>
  <c r="Y39" i="2" s="1"/>
  <c r="I39" i="2"/>
  <c r="X39" i="2" s="1"/>
  <c r="G39" i="2"/>
  <c r="V39" i="2" s="1"/>
  <c r="F39" i="2"/>
  <c r="U39" i="2" s="1"/>
  <c r="E39" i="2"/>
  <c r="T39" i="2" s="1"/>
  <c r="L38" i="2"/>
  <c r="AA38" i="2" s="1"/>
  <c r="K38" i="2"/>
  <c r="Z38" i="2" s="1"/>
  <c r="J38" i="2"/>
  <c r="Y38" i="2" s="1"/>
  <c r="I38" i="2"/>
  <c r="X38" i="2" s="1"/>
  <c r="G38" i="2"/>
  <c r="V38" i="2" s="1"/>
  <c r="F38" i="2"/>
  <c r="U38" i="2" s="1"/>
  <c r="E38" i="2"/>
  <c r="T38" i="2" s="1"/>
  <c r="L37" i="2"/>
  <c r="AA37" i="2" s="1"/>
  <c r="K37" i="2"/>
  <c r="Z37" i="2" s="1"/>
  <c r="J37" i="2"/>
  <c r="Y37" i="2" s="1"/>
  <c r="I37" i="2"/>
  <c r="X37" i="2" s="1"/>
  <c r="G37" i="2"/>
  <c r="V37" i="2" s="1"/>
  <c r="F37" i="2"/>
  <c r="U37" i="2" s="1"/>
  <c r="E37" i="2"/>
  <c r="T37" i="2" s="1"/>
  <c r="L36" i="2"/>
  <c r="AA36" i="2" s="1"/>
  <c r="K36" i="2"/>
  <c r="Z36" i="2" s="1"/>
  <c r="J36" i="2"/>
  <c r="Y36" i="2" s="1"/>
  <c r="I36" i="2"/>
  <c r="X36" i="2" s="1"/>
  <c r="G36" i="2"/>
  <c r="V36" i="2" s="1"/>
  <c r="F36" i="2"/>
  <c r="U36" i="2" s="1"/>
  <c r="E36" i="2"/>
  <c r="T36" i="2" s="1"/>
  <c r="L35" i="2"/>
  <c r="AA35" i="2" s="1"/>
  <c r="K35" i="2"/>
  <c r="Z35" i="2" s="1"/>
  <c r="J35" i="2"/>
  <c r="Y35" i="2" s="1"/>
  <c r="I35" i="2"/>
  <c r="X35" i="2" s="1"/>
  <c r="G35" i="2"/>
  <c r="V35" i="2" s="1"/>
  <c r="F35" i="2"/>
  <c r="U35" i="2" s="1"/>
  <c r="E35" i="2"/>
  <c r="T35" i="2" s="1"/>
  <c r="L34" i="2"/>
  <c r="AA34" i="2" s="1"/>
  <c r="K34" i="2"/>
  <c r="Z34" i="2" s="1"/>
  <c r="J34" i="2"/>
  <c r="Y34" i="2" s="1"/>
  <c r="I34" i="2"/>
  <c r="X34" i="2" s="1"/>
  <c r="G34" i="2"/>
  <c r="V34" i="2" s="1"/>
  <c r="F34" i="2"/>
  <c r="U34" i="2" s="1"/>
  <c r="E34" i="2"/>
  <c r="T34" i="2" s="1"/>
  <c r="L33" i="2"/>
  <c r="AA33" i="2" s="1"/>
  <c r="K33" i="2"/>
  <c r="Z33" i="2" s="1"/>
  <c r="J33" i="2"/>
  <c r="Y33" i="2" s="1"/>
  <c r="I33" i="2"/>
  <c r="X33" i="2" s="1"/>
  <c r="G33" i="2"/>
  <c r="V33" i="2" s="1"/>
  <c r="F33" i="2"/>
  <c r="U33" i="2" s="1"/>
  <c r="E33" i="2"/>
  <c r="T33" i="2" s="1"/>
  <c r="L32" i="2"/>
  <c r="AA32" i="2" s="1"/>
  <c r="K32" i="2"/>
  <c r="Z32" i="2" s="1"/>
  <c r="J32" i="2"/>
  <c r="Y32" i="2" s="1"/>
  <c r="I32" i="2"/>
  <c r="X32" i="2" s="1"/>
  <c r="G32" i="2"/>
  <c r="V32" i="2" s="1"/>
  <c r="F32" i="2"/>
  <c r="U32" i="2" s="1"/>
  <c r="E32" i="2"/>
  <c r="T32" i="2" s="1"/>
  <c r="L31" i="2"/>
  <c r="AA31" i="2" s="1"/>
  <c r="K31" i="2"/>
  <c r="Z31" i="2" s="1"/>
  <c r="J31" i="2"/>
  <c r="Y31" i="2" s="1"/>
  <c r="I31" i="2"/>
  <c r="X31" i="2" s="1"/>
  <c r="G31" i="2"/>
  <c r="V31" i="2" s="1"/>
  <c r="F31" i="2"/>
  <c r="U31" i="2" s="1"/>
  <c r="E31" i="2"/>
  <c r="T31" i="2" s="1"/>
  <c r="L30" i="2"/>
  <c r="AA30" i="2" s="1"/>
  <c r="K30" i="2"/>
  <c r="Z30" i="2" s="1"/>
  <c r="J30" i="2"/>
  <c r="Y30" i="2" s="1"/>
  <c r="I30" i="2"/>
  <c r="X30" i="2" s="1"/>
  <c r="G30" i="2"/>
  <c r="V30" i="2" s="1"/>
  <c r="F30" i="2"/>
  <c r="U30" i="2" s="1"/>
  <c r="E30" i="2"/>
  <c r="T30" i="2" s="1"/>
  <c r="L29" i="2"/>
  <c r="AA29" i="2" s="1"/>
  <c r="K29" i="2"/>
  <c r="Z29" i="2" s="1"/>
  <c r="J29" i="2"/>
  <c r="Y29" i="2" s="1"/>
  <c r="I29" i="2"/>
  <c r="X29" i="2" s="1"/>
  <c r="G29" i="2"/>
  <c r="V29" i="2" s="1"/>
  <c r="F29" i="2"/>
  <c r="U29" i="2" s="1"/>
  <c r="E29" i="2"/>
  <c r="T29" i="2" s="1"/>
  <c r="L28" i="2"/>
  <c r="AA28" i="2" s="1"/>
  <c r="K28" i="2"/>
  <c r="Z28" i="2" s="1"/>
  <c r="J28" i="2"/>
  <c r="Y28" i="2" s="1"/>
  <c r="I28" i="2"/>
  <c r="X28" i="2" s="1"/>
  <c r="G28" i="2"/>
  <c r="V28" i="2" s="1"/>
  <c r="F28" i="2"/>
  <c r="U28" i="2" s="1"/>
  <c r="E28" i="2"/>
  <c r="T28" i="2" s="1"/>
  <c r="L27" i="2"/>
  <c r="AA27" i="2" s="1"/>
  <c r="K27" i="2"/>
  <c r="Z27" i="2" s="1"/>
  <c r="J27" i="2"/>
  <c r="Y27" i="2" s="1"/>
  <c r="I27" i="2"/>
  <c r="X27" i="2" s="1"/>
  <c r="G27" i="2"/>
  <c r="V27" i="2" s="1"/>
  <c r="F27" i="2"/>
  <c r="U27" i="2" s="1"/>
  <c r="E27" i="2"/>
  <c r="T27" i="2" s="1"/>
  <c r="L26" i="2"/>
  <c r="AA26" i="2" s="1"/>
  <c r="K26" i="2"/>
  <c r="Z26" i="2" s="1"/>
  <c r="J26" i="2"/>
  <c r="Y26" i="2" s="1"/>
  <c r="I26" i="2"/>
  <c r="X26" i="2" s="1"/>
  <c r="G26" i="2"/>
  <c r="V26" i="2" s="1"/>
  <c r="F26" i="2"/>
  <c r="U26" i="2" s="1"/>
  <c r="E26" i="2"/>
  <c r="T26" i="2" s="1"/>
  <c r="L25" i="2"/>
  <c r="AA25" i="2" s="1"/>
  <c r="K25" i="2"/>
  <c r="Z25" i="2" s="1"/>
  <c r="J25" i="2"/>
  <c r="Y25" i="2" s="1"/>
  <c r="I25" i="2"/>
  <c r="X25" i="2" s="1"/>
  <c r="G25" i="2"/>
  <c r="V25" i="2" s="1"/>
  <c r="F25" i="2"/>
  <c r="U25" i="2" s="1"/>
  <c r="E25" i="2"/>
  <c r="T25" i="2" s="1"/>
  <c r="L24" i="2"/>
  <c r="AA24" i="2" s="1"/>
  <c r="K24" i="2"/>
  <c r="Z24" i="2" s="1"/>
  <c r="J24" i="2"/>
  <c r="Y24" i="2" s="1"/>
  <c r="I24" i="2"/>
  <c r="X24" i="2" s="1"/>
  <c r="G24" i="2"/>
  <c r="V24" i="2" s="1"/>
  <c r="F24" i="2"/>
  <c r="U24" i="2" s="1"/>
  <c r="E24" i="2"/>
  <c r="T24" i="2" s="1"/>
  <c r="L23" i="2"/>
  <c r="AA23" i="2" s="1"/>
  <c r="K23" i="2"/>
  <c r="Z23" i="2" s="1"/>
  <c r="J23" i="2"/>
  <c r="Y23" i="2" s="1"/>
  <c r="I23" i="2"/>
  <c r="X23" i="2" s="1"/>
  <c r="G23" i="2"/>
  <c r="V23" i="2" s="1"/>
  <c r="F23" i="2"/>
  <c r="U23" i="2" s="1"/>
  <c r="E23" i="2"/>
  <c r="T23" i="2" s="1"/>
  <c r="L22" i="2"/>
  <c r="AA22" i="2" s="1"/>
  <c r="K22" i="2"/>
  <c r="Z22" i="2" s="1"/>
  <c r="J22" i="2"/>
  <c r="Y22" i="2" s="1"/>
  <c r="G22" i="2"/>
  <c r="V22" i="2" s="1"/>
  <c r="F22" i="2"/>
  <c r="U22" i="2" s="1"/>
  <c r="D22" i="2"/>
  <c r="S22" i="2" s="1"/>
  <c r="L21" i="2"/>
  <c r="AA21" i="2" s="1"/>
  <c r="K21" i="2"/>
  <c r="Z21" i="2" s="1"/>
  <c r="J21" i="2"/>
  <c r="Y21" i="2" s="1"/>
  <c r="G21" i="2"/>
  <c r="V21" i="2" s="1"/>
  <c r="F21" i="2"/>
  <c r="U21" i="2" s="1"/>
  <c r="L20" i="2"/>
  <c r="AA20" i="2" s="1"/>
  <c r="K20" i="2"/>
  <c r="Z20" i="2" s="1"/>
  <c r="J20" i="2"/>
  <c r="Y20" i="2" s="1"/>
  <c r="G20" i="2"/>
  <c r="V20" i="2" s="1"/>
  <c r="F20" i="2"/>
  <c r="U20" i="2" s="1"/>
  <c r="E20" i="2"/>
  <c r="T20" i="2" s="1"/>
  <c r="A20" i="2"/>
  <c r="A5" i="3" s="1"/>
  <c r="L19" i="2"/>
  <c r="AA19" i="2" s="1"/>
  <c r="K19" i="2"/>
  <c r="J19" i="2"/>
  <c r="I19" i="2"/>
  <c r="G19" i="2"/>
  <c r="F19" i="2"/>
  <c r="U19" i="2" s="1"/>
  <c r="E19" i="2"/>
  <c r="T19" i="2" s="1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S18" i="2" s="1"/>
  <c r="D16" i="2"/>
  <c r="BJ13" i="2"/>
  <c r="BI13" i="2"/>
  <c r="BH13" i="2"/>
  <c r="BG13" i="2"/>
  <c r="BF13" i="2"/>
  <c r="BE13" i="2"/>
  <c r="BD13" i="2"/>
  <c r="BC13" i="2"/>
  <c r="BB13" i="2"/>
  <c r="BA13" i="2"/>
  <c r="AZ13" i="2"/>
  <c r="AY19" i="2" s="1" a="1"/>
  <c r="AY19" i="2" s="1"/>
  <c r="AY13" i="2"/>
  <c r="M7" i="2"/>
  <c r="AB18" i="2" s="1"/>
  <c r="L7" i="2"/>
  <c r="AA18" i="2" s="1"/>
  <c r="K7" i="2"/>
  <c r="Z18" i="2" s="1"/>
  <c r="J7" i="2"/>
  <c r="Y18" i="2" s="1"/>
  <c r="I7" i="2"/>
  <c r="X18" i="2" s="1"/>
  <c r="H7" i="2"/>
  <c r="W18" i="2" s="1"/>
  <c r="G7" i="2"/>
  <c r="V18" i="2" s="1"/>
  <c r="F7" i="2"/>
  <c r="U18" i="2" s="1"/>
  <c r="E7" i="2"/>
  <c r="T18" i="2" s="1"/>
  <c r="D7" i="2"/>
  <c r="F69" i="1"/>
  <c r="E69" i="1"/>
  <c r="N83" i="2" s="1"/>
  <c r="AB83" i="2" s="1"/>
  <c r="E68" i="1"/>
  <c r="N82" i="2" s="1"/>
  <c r="AB82" i="2" s="1"/>
  <c r="F67" i="1"/>
  <c r="D67" i="1"/>
  <c r="I67" i="1" s="1"/>
  <c r="J67" i="1" s="1"/>
  <c r="F65" i="1"/>
  <c r="F63" i="1"/>
  <c r="D63" i="1"/>
  <c r="I63" i="1" s="1"/>
  <c r="J63" i="1" s="1"/>
  <c r="F61" i="1"/>
  <c r="E61" i="1"/>
  <c r="N75" i="2" s="1"/>
  <c r="AB75" i="2" s="1"/>
  <c r="E60" i="1"/>
  <c r="N74" i="2" s="1"/>
  <c r="AB74" i="2" s="1"/>
  <c r="F59" i="1"/>
  <c r="D59" i="1"/>
  <c r="I59" i="1" s="1"/>
  <c r="J59" i="1" s="1"/>
  <c r="F57" i="1"/>
  <c r="F55" i="1"/>
  <c r="D55" i="1"/>
  <c r="I55" i="1" s="1"/>
  <c r="J55" i="1" s="1"/>
  <c r="E54" i="1"/>
  <c r="N68" i="2" s="1"/>
  <c r="AB68" i="2" s="1"/>
  <c r="F53" i="1"/>
  <c r="E53" i="1"/>
  <c r="N67" i="2" s="1"/>
  <c r="AB67" i="2" s="1"/>
  <c r="E52" i="1"/>
  <c r="N66" i="2" s="1"/>
  <c r="AB66" i="2" s="1"/>
  <c r="F51" i="1"/>
  <c r="D51" i="1"/>
  <c r="I51" i="1" s="1"/>
  <c r="J51" i="1" s="1"/>
  <c r="F49" i="1"/>
  <c r="F47" i="1"/>
  <c r="D47" i="1"/>
  <c r="I47" i="1" s="1"/>
  <c r="J47" i="1" s="1"/>
  <c r="F45" i="1"/>
  <c r="E45" i="1"/>
  <c r="N59" i="2" s="1"/>
  <c r="AB59" i="2" s="1"/>
  <c r="E44" i="1"/>
  <c r="N58" i="2" s="1"/>
  <c r="AB58" i="2" s="1"/>
  <c r="AL58" i="2" s="1"/>
  <c r="F43" i="1"/>
  <c r="D43" i="1"/>
  <c r="I43" i="1" s="1"/>
  <c r="J43" i="1" s="1"/>
  <c r="F41" i="1"/>
  <c r="F39" i="1"/>
  <c r="D39" i="1"/>
  <c r="I39" i="1" s="1"/>
  <c r="J39" i="1" s="1"/>
  <c r="E38" i="1"/>
  <c r="N52" i="2" s="1"/>
  <c r="AB52" i="2" s="1"/>
  <c r="F37" i="1"/>
  <c r="E37" i="1"/>
  <c r="N51" i="2" s="1"/>
  <c r="AB51" i="2" s="1"/>
  <c r="E36" i="1"/>
  <c r="N50" i="2" s="1"/>
  <c r="AB50" i="2" s="1"/>
  <c r="F35" i="1"/>
  <c r="D35" i="1"/>
  <c r="I35" i="1" s="1"/>
  <c r="J35" i="1" s="1"/>
  <c r="F33" i="1"/>
  <c r="E33" i="1"/>
  <c r="N47" i="2" s="1"/>
  <c r="AB47" i="2" s="1"/>
  <c r="E32" i="1"/>
  <c r="N46" i="2" s="1"/>
  <c r="AB46" i="2" s="1"/>
  <c r="F31" i="1"/>
  <c r="D31" i="1"/>
  <c r="F29" i="1"/>
  <c r="E28" i="1"/>
  <c r="N42" i="2" s="1"/>
  <c r="AB42" i="2" s="1"/>
  <c r="F27" i="1"/>
  <c r="D27" i="1"/>
  <c r="I27" i="1" s="1"/>
  <c r="J27" i="1" s="1"/>
  <c r="F25" i="1"/>
  <c r="E25" i="1"/>
  <c r="N39" i="2" s="1"/>
  <c r="AB39" i="2" s="1"/>
  <c r="E24" i="1"/>
  <c r="N38" i="2" s="1"/>
  <c r="AB38" i="2" s="1"/>
  <c r="F23" i="1"/>
  <c r="D23" i="1"/>
  <c r="F21" i="1"/>
  <c r="E20" i="1"/>
  <c r="N34" i="2" s="1"/>
  <c r="AB34" i="2" s="1"/>
  <c r="AL34" i="2" s="1"/>
  <c r="F19" i="1"/>
  <c r="D19" i="1"/>
  <c r="I19" i="1" s="1"/>
  <c r="J19" i="1" s="1"/>
  <c r="F17" i="1"/>
  <c r="E17" i="1"/>
  <c r="N31" i="2" s="1"/>
  <c r="AB31" i="2" s="1"/>
  <c r="D17" i="1"/>
  <c r="I17" i="1" s="1"/>
  <c r="J17" i="1" s="1"/>
  <c r="E16" i="1"/>
  <c r="N30" i="2" s="1"/>
  <c r="AB30" i="2" s="1"/>
  <c r="F15" i="1"/>
  <c r="D15" i="1"/>
  <c r="E14" i="1"/>
  <c r="N28" i="2" s="1"/>
  <c r="AB28" i="2" s="1"/>
  <c r="F13" i="1"/>
  <c r="E12" i="1"/>
  <c r="N26" i="2" s="1"/>
  <c r="AB26" i="2" s="1"/>
  <c r="F11" i="1"/>
  <c r="D11" i="1"/>
  <c r="I11" i="1" s="1"/>
  <c r="J11" i="1" s="1"/>
  <c r="E10" i="1"/>
  <c r="N24" i="2" s="1"/>
  <c r="AB24" i="2" s="1"/>
  <c r="F9" i="1"/>
  <c r="E9" i="1"/>
  <c r="N23" i="2" s="1"/>
  <c r="AB23" i="2" s="1"/>
  <c r="D9" i="1"/>
  <c r="I9" i="1" s="1"/>
  <c r="J9" i="1" s="1"/>
  <c r="F7" i="1"/>
  <c r="D7" i="1"/>
  <c r="I7" i="1" s="1"/>
  <c r="J7" i="1" s="1"/>
  <c r="E6" i="1"/>
  <c r="N20" i="2" s="1"/>
  <c r="AB20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F5" i="1"/>
  <c r="D5" i="1"/>
  <c r="I5" i="1" s="1"/>
  <c r="J5" i="1" s="1"/>
  <c r="AF46" i="2" l="1"/>
  <c r="AE43" i="2"/>
  <c r="AA68" i="8"/>
  <c r="F68" i="1" s="1"/>
  <c r="I68" i="1" s="1"/>
  <c r="J68" i="1" s="1"/>
  <c r="AA66" i="8"/>
  <c r="F66" i="1" s="1"/>
  <c r="I66" i="1" s="1"/>
  <c r="J66" i="1" s="1"/>
  <c r="AA64" i="8"/>
  <c r="F64" i="1" s="1"/>
  <c r="AA62" i="8"/>
  <c r="F62" i="1" s="1"/>
  <c r="AA60" i="8"/>
  <c r="F60" i="1" s="1"/>
  <c r="I60" i="1" s="1"/>
  <c r="J60" i="1" s="1"/>
  <c r="AA58" i="8"/>
  <c r="F58" i="1" s="1"/>
  <c r="I58" i="1" s="1"/>
  <c r="J58" i="1" s="1"/>
  <c r="AA56" i="8"/>
  <c r="F56" i="1" s="1"/>
  <c r="AA54" i="8"/>
  <c r="F54" i="1" s="1"/>
  <c r="I54" i="1" s="1"/>
  <c r="J54" i="1" s="1"/>
  <c r="AA52" i="8"/>
  <c r="F52" i="1" s="1"/>
  <c r="I52" i="1" s="1"/>
  <c r="J52" i="1" s="1"/>
  <c r="AA50" i="8"/>
  <c r="F50" i="1" s="1"/>
  <c r="I50" i="1" s="1"/>
  <c r="J50" i="1" s="1"/>
  <c r="AA48" i="8"/>
  <c r="F48" i="1" s="1"/>
  <c r="AA46" i="8"/>
  <c r="F46" i="1" s="1"/>
  <c r="AA44" i="8"/>
  <c r="F44" i="1" s="1"/>
  <c r="I44" i="1" s="1"/>
  <c r="J44" i="1" s="1"/>
  <c r="AA42" i="8"/>
  <c r="F42" i="1" s="1"/>
  <c r="I42" i="1" s="1"/>
  <c r="J42" i="1" s="1"/>
  <c r="AA40" i="8"/>
  <c r="F40" i="1" s="1"/>
  <c r="AA38" i="8"/>
  <c r="F38" i="1" s="1"/>
  <c r="I38" i="1" s="1"/>
  <c r="J38" i="1" s="1"/>
  <c r="AA36" i="8"/>
  <c r="F36" i="1" s="1"/>
  <c r="I36" i="1" s="1"/>
  <c r="J36" i="1" s="1"/>
  <c r="AA34" i="8"/>
  <c r="F34" i="1" s="1"/>
  <c r="I34" i="1" s="1"/>
  <c r="J34" i="1" s="1"/>
  <c r="AA32" i="8"/>
  <c r="F32" i="1" s="1"/>
  <c r="I32" i="1" s="1"/>
  <c r="J32" i="1" s="1"/>
  <c r="AA30" i="8"/>
  <c r="F30" i="1" s="1"/>
  <c r="I30" i="1" s="1"/>
  <c r="J30" i="1" s="1"/>
  <c r="AA28" i="8"/>
  <c r="F28" i="1" s="1"/>
  <c r="I28" i="1" s="1"/>
  <c r="J28" i="1" s="1"/>
  <c r="AA26" i="8"/>
  <c r="F26" i="1" s="1"/>
  <c r="I26" i="1" s="1"/>
  <c r="J26" i="1" s="1"/>
  <c r="AA24" i="8"/>
  <c r="F24" i="1" s="1"/>
  <c r="AA22" i="8"/>
  <c r="F22" i="1" s="1"/>
  <c r="I22" i="1" s="1"/>
  <c r="J22" i="1" s="1"/>
  <c r="AA20" i="8"/>
  <c r="F20" i="1" s="1"/>
  <c r="AA18" i="8"/>
  <c r="F18" i="1" s="1"/>
  <c r="I18" i="1" s="1"/>
  <c r="J18" i="1" s="1"/>
  <c r="AA16" i="8"/>
  <c r="F16" i="1" s="1"/>
  <c r="I16" i="1" s="1"/>
  <c r="J16" i="1" s="1"/>
  <c r="AA14" i="8"/>
  <c r="F14" i="1" s="1"/>
  <c r="I14" i="1" s="1"/>
  <c r="J14" i="1" s="1"/>
  <c r="AA12" i="8"/>
  <c r="F12" i="1" s="1"/>
  <c r="AA10" i="8"/>
  <c r="F10" i="1" s="1"/>
  <c r="I10" i="1" s="1"/>
  <c r="J10" i="1" s="1"/>
  <c r="AA8" i="8"/>
  <c r="F8" i="1" s="1"/>
  <c r="AA6" i="8"/>
  <c r="F6" i="1" s="1"/>
  <c r="I6" i="1" s="1"/>
  <c r="J6" i="1" s="1"/>
  <c r="Z62" i="7"/>
  <c r="E62" i="1" s="1"/>
  <c r="Z46" i="7"/>
  <c r="E46" i="1" s="1"/>
  <c r="Z31" i="7"/>
  <c r="E31" i="1" s="1"/>
  <c r="Z23" i="7"/>
  <c r="E23" i="1" s="1"/>
  <c r="Z15" i="7"/>
  <c r="E15" i="1" s="1"/>
  <c r="AA69" i="5"/>
  <c r="D69" i="1" s="1"/>
  <c r="I69" i="1" s="1"/>
  <c r="J69" i="1" s="1"/>
  <c r="AA65" i="5"/>
  <c r="D65" i="1" s="1"/>
  <c r="AA61" i="5"/>
  <c r="D61" i="1" s="1"/>
  <c r="I61" i="1" s="1"/>
  <c r="J61" i="1" s="1"/>
  <c r="AA57" i="5"/>
  <c r="D57" i="1" s="1"/>
  <c r="AA53" i="5"/>
  <c r="D53" i="1" s="1"/>
  <c r="I53" i="1" s="1"/>
  <c r="J53" i="1" s="1"/>
  <c r="AA49" i="5"/>
  <c r="D49" i="1" s="1"/>
  <c r="AA45" i="5"/>
  <c r="D45" i="1" s="1"/>
  <c r="I45" i="1" s="1"/>
  <c r="J45" i="1" s="1"/>
  <c r="AA41" i="5"/>
  <c r="D41" i="1" s="1"/>
  <c r="AA37" i="5"/>
  <c r="D37" i="1" s="1"/>
  <c r="I37" i="1" s="1"/>
  <c r="J37" i="1" s="1"/>
  <c r="AA33" i="5"/>
  <c r="D33" i="1" s="1"/>
  <c r="I33" i="1" s="1"/>
  <c r="J33" i="1" s="1"/>
  <c r="AA29" i="5"/>
  <c r="D29" i="1" s="1"/>
  <c r="AA25" i="5"/>
  <c r="D25" i="1" s="1"/>
  <c r="I25" i="1" s="1"/>
  <c r="J25" i="1" s="1"/>
  <c r="AA24" i="5"/>
  <c r="D24" i="1" s="1"/>
  <c r="I24" i="1" s="1"/>
  <c r="J24" i="1" s="1"/>
  <c r="AA21" i="5"/>
  <c r="D21" i="1" s="1"/>
  <c r="AA20" i="5"/>
  <c r="D20" i="1" s="1"/>
  <c r="I20" i="1" s="1"/>
  <c r="J20" i="1" s="1"/>
  <c r="AA12" i="5"/>
  <c r="D12" i="1" s="1"/>
  <c r="I12" i="1" s="1"/>
  <c r="J12" i="1" s="1"/>
  <c r="AA8" i="5"/>
  <c r="D8" i="1" s="1"/>
  <c r="AC83" i="2"/>
  <c r="AM83" i="2" s="1"/>
  <c r="AC82" i="2"/>
  <c r="AM82" i="2" s="1"/>
  <c r="AC81" i="2"/>
  <c r="AC80" i="2"/>
  <c r="AC79" i="2"/>
  <c r="AC78" i="2"/>
  <c r="AC77" i="2"/>
  <c r="AC76" i="2"/>
  <c r="AC75" i="2"/>
  <c r="AC74" i="2"/>
  <c r="AC73" i="2"/>
  <c r="AC72" i="2"/>
  <c r="AC71" i="2"/>
  <c r="AM71" i="2" s="1"/>
  <c r="AD70" i="2"/>
  <c r="AC70" i="2"/>
  <c r="AC69" i="2"/>
  <c r="AC68" i="2"/>
  <c r="AC67" i="2"/>
  <c r="AC66" i="2"/>
  <c r="AC65" i="2"/>
  <c r="AC64" i="2"/>
  <c r="AC63" i="2"/>
  <c r="AC62" i="2"/>
  <c r="AH61" i="2"/>
  <c r="AC61" i="2"/>
  <c r="AC60" i="2"/>
  <c r="AC59" i="2"/>
  <c r="AC58" i="2"/>
  <c r="AD57" i="2"/>
  <c r="AC57" i="2"/>
  <c r="AC56" i="2"/>
  <c r="AH54" i="2"/>
  <c r="AD55" i="2"/>
  <c r="AC55" i="2"/>
  <c r="AC54" i="2"/>
  <c r="AC52" i="2"/>
  <c r="AC51" i="2"/>
  <c r="AC50" i="2"/>
  <c r="AC49" i="2"/>
  <c r="AC48" i="2"/>
  <c r="AI47" i="2"/>
  <c r="AF47" i="2"/>
  <c r="AD47" i="2"/>
  <c r="AC47" i="2"/>
  <c r="AH43" i="2"/>
  <c r="AH40" i="2"/>
  <c r="AH22" i="2"/>
  <c r="AD22" i="2"/>
  <c r="AH21" i="2"/>
  <c r="AD21" i="2"/>
  <c r="AH20" i="2"/>
  <c r="AJ83" i="2"/>
  <c r="AT83" i="2" s="1"/>
  <c r="AI83" i="2"/>
  <c r="AS83" i="2" s="1"/>
  <c r="AH83" i="2"/>
  <c r="AR83" i="2" s="1"/>
  <c r="AF83" i="2"/>
  <c r="AP83" i="2" s="1"/>
  <c r="AE83" i="2"/>
  <c r="AO83" i="2" s="1"/>
  <c r="AD83" i="2"/>
  <c r="AN83" i="2" s="1"/>
  <c r="AJ82" i="2"/>
  <c r="AT82" i="2" s="1"/>
  <c r="AI82" i="2"/>
  <c r="AS82" i="2" s="1"/>
  <c r="AH82" i="2"/>
  <c r="AR82" i="2" s="1"/>
  <c r="AF82" i="2"/>
  <c r="AP82" i="2" s="1"/>
  <c r="AE82" i="2"/>
  <c r="AO82" i="2" s="1"/>
  <c r="AD82" i="2"/>
  <c r="AN82" i="2" s="1"/>
  <c r="AJ81" i="2"/>
  <c r="AI81" i="2"/>
  <c r="AH81" i="2"/>
  <c r="AF81" i="2"/>
  <c r="AE81" i="2"/>
  <c r="AD81" i="2"/>
  <c r="AJ80" i="2"/>
  <c r="AI80" i="2"/>
  <c r="AH80" i="2"/>
  <c r="AF80" i="2"/>
  <c r="AE80" i="2"/>
  <c r="AD80" i="2"/>
  <c r="AJ79" i="2"/>
  <c r="AI79" i="2"/>
  <c r="AH79" i="2"/>
  <c r="AF79" i="2"/>
  <c r="AE79" i="2"/>
  <c r="AD79" i="2"/>
  <c r="AJ78" i="2"/>
  <c r="AI78" i="2"/>
  <c r="AH78" i="2"/>
  <c r="AF78" i="2"/>
  <c r="AE78" i="2"/>
  <c r="AD78" i="2"/>
  <c r="AJ77" i="2"/>
  <c r="AI77" i="2"/>
  <c r="AH77" i="2"/>
  <c r="AF77" i="2"/>
  <c r="AE77" i="2"/>
  <c r="AD77" i="2"/>
  <c r="AJ76" i="2"/>
  <c r="AI76" i="2"/>
  <c r="AH76" i="2"/>
  <c r="AF76" i="2"/>
  <c r="AE76" i="2"/>
  <c r="AD76" i="2"/>
  <c r="AJ75" i="2"/>
  <c r="AI75" i="2"/>
  <c r="AH75" i="2"/>
  <c r="AF75" i="2"/>
  <c r="AE75" i="2"/>
  <c r="AD75" i="2"/>
  <c r="AJ74" i="2"/>
  <c r="AI74" i="2"/>
  <c r="AH74" i="2"/>
  <c r="AF74" i="2"/>
  <c r="AE74" i="2"/>
  <c r="AD74" i="2"/>
  <c r="AJ73" i="2"/>
  <c r="AI73" i="2"/>
  <c r="AH73" i="2"/>
  <c r="AF73" i="2"/>
  <c r="AE73" i="2"/>
  <c r="AD73" i="2"/>
  <c r="AJ72" i="2"/>
  <c r="AI72" i="2"/>
  <c r="AH72" i="2"/>
  <c r="AF72" i="2"/>
  <c r="AE72" i="2"/>
  <c r="AD72" i="2"/>
  <c r="AJ71" i="2"/>
  <c r="AT71" i="2" s="1"/>
  <c r="AI71" i="2"/>
  <c r="AS71" i="2" s="1"/>
  <c r="AH71" i="2"/>
  <c r="AR71" i="2" s="1"/>
  <c r="AF71" i="2"/>
  <c r="AP71" i="2" s="1"/>
  <c r="AE71" i="2"/>
  <c r="AO71" i="2" s="1"/>
  <c r="AD71" i="2"/>
  <c r="AN71" i="2" s="1"/>
  <c r="AJ70" i="2"/>
  <c r="AI70" i="2"/>
  <c r="AH70" i="2"/>
  <c r="AF70" i="2"/>
  <c r="AE70" i="2"/>
  <c r="AJ69" i="2"/>
  <c r="AI69" i="2"/>
  <c r="AH69" i="2"/>
  <c r="AF69" i="2"/>
  <c r="AE69" i="2"/>
  <c r="AD69" i="2"/>
  <c r="AJ68" i="2"/>
  <c r="AI68" i="2"/>
  <c r="AH68" i="2"/>
  <c r="AF68" i="2"/>
  <c r="AE68" i="2"/>
  <c r="AD68" i="2"/>
  <c r="AJ67" i="2"/>
  <c r="AI67" i="2"/>
  <c r="AH67" i="2"/>
  <c r="AF67" i="2"/>
  <c r="AE67" i="2"/>
  <c r="AD67" i="2"/>
  <c r="AJ66" i="2"/>
  <c r="AH66" i="2"/>
  <c r="AF66" i="2"/>
  <c r="AE66" i="2"/>
  <c r="AD66" i="2"/>
  <c r="AJ65" i="2"/>
  <c r="AI65" i="2"/>
  <c r="AH65" i="2"/>
  <c r="AF65" i="2"/>
  <c r="AE65" i="2"/>
  <c r="AD65" i="2"/>
  <c r="AJ64" i="2"/>
  <c r="AI64" i="2"/>
  <c r="AH64" i="2"/>
  <c r="AF64" i="2"/>
  <c r="AE64" i="2"/>
  <c r="AD64" i="2"/>
  <c r="AJ63" i="2"/>
  <c r="AI63" i="2"/>
  <c r="AH63" i="2"/>
  <c r="AF63" i="2"/>
  <c r="AE63" i="2"/>
  <c r="AD63" i="2"/>
  <c r="AJ62" i="2"/>
  <c r="AI62" i="2"/>
  <c r="AH62" i="2"/>
  <c r="AF62" i="2"/>
  <c r="AE62" i="2"/>
  <c r="AD62" i="2"/>
  <c r="AJ61" i="2"/>
  <c r="AI61" i="2"/>
  <c r="AF61" i="2"/>
  <c r="AE61" i="2"/>
  <c r="AD61" i="2"/>
  <c r="AJ60" i="2"/>
  <c r="AI60" i="2"/>
  <c r="AH60" i="2"/>
  <c r="AF60" i="2"/>
  <c r="AE60" i="2"/>
  <c r="AD60" i="2"/>
  <c r="AJ59" i="2"/>
  <c r="AI59" i="2"/>
  <c r="AH59" i="2"/>
  <c r="AF59" i="2"/>
  <c r="AE59" i="2"/>
  <c r="AD59" i="2"/>
  <c r="AJ58" i="2"/>
  <c r="AI58" i="2"/>
  <c r="AH58" i="2"/>
  <c r="AF58" i="2"/>
  <c r="AE58" i="2"/>
  <c r="AD58" i="2"/>
  <c r="AJ57" i="2"/>
  <c r="AI57" i="2"/>
  <c r="AH57" i="2"/>
  <c r="AF57" i="2"/>
  <c r="AE57" i="2"/>
  <c r="AJ56" i="2"/>
  <c r="AI56" i="2"/>
  <c r="AH56" i="2"/>
  <c r="AF56" i="2"/>
  <c r="AE56" i="2"/>
  <c r="AD56" i="2"/>
  <c r="AJ55" i="2"/>
  <c r="AI55" i="2"/>
  <c r="AF55" i="2"/>
  <c r="AE55" i="2"/>
  <c r="AJ54" i="2"/>
  <c r="AI54" i="2"/>
  <c r="AF54" i="2"/>
  <c r="AE54" i="2"/>
  <c r="AD54" i="2"/>
  <c r="AJ53" i="2"/>
  <c r="AI53" i="2"/>
  <c r="AH53" i="2"/>
  <c r="AF53" i="2"/>
  <c r="AE53" i="2"/>
  <c r="AD53" i="2"/>
  <c r="AJ52" i="2"/>
  <c r="AI52" i="2"/>
  <c r="AH52" i="2"/>
  <c r="AF52" i="2"/>
  <c r="AE52" i="2"/>
  <c r="AD52" i="2"/>
  <c r="AJ51" i="2"/>
  <c r="AI51" i="2"/>
  <c r="AH51" i="2"/>
  <c r="AF51" i="2"/>
  <c r="AE51" i="2"/>
  <c r="AD51" i="2"/>
  <c r="AJ50" i="2"/>
  <c r="AI50" i="2"/>
  <c r="AH50" i="2"/>
  <c r="AF50" i="2"/>
  <c r="AE50" i="2"/>
  <c r="AD50" i="2"/>
  <c r="AJ49" i="2"/>
  <c r="AI49" i="2"/>
  <c r="AH49" i="2"/>
  <c r="AF49" i="2"/>
  <c r="AE49" i="2"/>
  <c r="AD49" i="2"/>
  <c r="AJ48" i="2"/>
  <c r="AI48" i="2"/>
  <c r="AH48" i="2"/>
  <c r="AF48" i="2"/>
  <c r="AE48" i="2"/>
  <c r="AD48" i="2"/>
  <c r="AJ47" i="2"/>
  <c r="AH47" i="2"/>
  <c r="AE47" i="2"/>
  <c r="AJ46" i="2"/>
  <c r="AI46" i="2"/>
  <c r="AH46" i="2"/>
  <c r="AE46" i="2"/>
  <c r="AD46" i="2"/>
  <c r="AJ45" i="2"/>
  <c r="AI45" i="2"/>
  <c r="AH45" i="2"/>
  <c r="AF45" i="2"/>
  <c r="AE45" i="2"/>
  <c r="AD45" i="2"/>
  <c r="AJ44" i="2"/>
  <c r="AI44" i="2"/>
  <c r="AH44" i="2"/>
  <c r="AF44" i="2"/>
  <c r="AE44" i="2"/>
  <c r="AD44" i="2"/>
  <c r="AJ43" i="2"/>
  <c r="AI43" i="2"/>
  <c r="AF43" i="2"/>
  <c r="AD43" i="2"/>
  <c r="AJ42" i="2"/>
  <c r="AI42" i="2"/>
  <c r="AH42" i="2"/>
  <c r="AF42" i="2"/>
  <c r="AE42" i="2"/>
  <c r="AD42" i="2"/>
  <c r="AJ41" i="2"/>
  <c r="AI41" i="2"/>
  <c r="AH41" i="2"/>
  <c r="AF41" i="2"/>
  <c r="AE41" i="2"/>
  <c r="AD41" i="2"/>
  <c r="AK40" i="2"/>
  <c r="AJ40" i="2"/>
  <c r="AI40" i="2"/>
  <c r="AF40" i="2"/>
  <c r="AE40" i="2"/>
  <c r="AD40" i="2"/>
  <c r="AC40" i="2"/>
  <c r="AJ39" i="2"/>
  <c r="AH39" i="2"/>
  <c r="AF39" i="2"/>
  <c r="AE39" i="2"/>
  <c r="AD39" i="2"/>
  <c r="AJ38" i="2"/>
  <c r="AI38" i="2"/>
  <c r="AH38" i="2"/>
  <c r="AF38" i="2"/>
  <c r="AE38" i="2"/>
  <c r="AD38" i="2"/>
  <c r="AK37" i="2"/>
  <c r="AJ37" i="2"/>
  <c r="AI37" i="2"/>
  <c r="AH37" i="2"/>
  <c r="AF37" i="2"/>
  <c r="AE37" i="2"/>
  <c r="AD37" i="2"/>
  <c r="AK36" i="2"/>
  <c r="AJ36" i="2"/>
  <c r="AI36" i="2"/>
  <c r="AH36" i="2"/>
  <c r="AF36" i="2"/>
  <c r="AE36" i="2"/>
  <c r="AD36" i="2"/>
  <c r="AI35" i="2"/>
  <c r="AH35" i="2"/>
  <c r="AF35" i="2"/>
  <c r="AE35" i="2"/>
  <c r="AD35" i="2"/>
  <c r="AJ34" i="2"/>
  <c r="AI34" i="2"/>
  <c r="AH34" i="2"/>
  <c r="AF34" i="2"/>
  <c r="AE34" i="2"/>
  <c r="AD34" i="2"/>
  <c r="AJ33" i="2"/>
  <c r="AI33" i="2"/>
  <c r="AH33" i="2"/>
  <c r="AF33" i="2"/>
  <c r="AE33" i="2"/>
  <c r="AD33" i="2"/>
  <c r="AJ32" i="2"/>
  <c r="AI32" i="2"/>
  <c r="AH32" i="2"/>
  <c r="AF32" i="2"/>
  <c r="AE32" i="2"/>
  <c r="AD32" i="2"/>
  <c r="AJ31" i="2"/>
  <c r="AI31" i="2"/>
  <c r="AH31" i="2"/>
  <c r="AF31" i="2"/>
  <c r="AE31" i="2"/>
  <c r="AD31" i="2"/>
  <c r="AK30" i="2"/>
  <c r="AJ30" i="2"/>
  <c r="AI30" i="2"/>
  <c r="AH30" i="2"/>
  <c r="AF30" i="2"/>
  <c r="AE30" i="2"/>
  <c r="AD30" i="2"/>
  <c r="AJ29" i="2"/>
  <c r="AI29" i="2"/>
  <c r="AH29" i="2"/>
  <c r="AF29" i="2"/>
  <c r="AE29" i="2"/>
  <c r="AD29" i="2"/>
  <c r="AJ28" i="2"/>
  <c r="AI28" i="2"/>
  <c r="AH28" i="2"/>
  <c r="AF28" i="2"/>
  <c r="AE28" i="2"/>
  <c r="AD28" i="2"/>
  <c r="AK27" i="2"/>
  <c r="AJ27" i="2"/>
  <c r="AI27" i="2"/>
  <c r="AH27" i="2"/>
  <c r="AF27" i="2"/>
  <c r="AE27" i="2"/>
  <c r="AD27" i="2"/>
  <c r="AJ26" i="2"/>
  <c r="AI26" i="2"/>
  <c r="AH26" i="2"/>
  <c r="AF26" i="2"/>
  <c r="AE26" i="2"/>
  <c r="AD26" i="2"/>
  <c r="AJ25" i="2"/>
  <c r="AI25" i="2"/>
  <c r="AH25" i="2"/>
  <c r="AF25" i="2"/>
  <c r="AE25" i="2"/>
  <c r="AD25" i="2"/>
  <c r="AJ24" i="2"/>
  <c r="AH24" i="2"/>
  <c r="AF24" i="2"/>
  <c r="AE24" i="2"/>
  <c r="AD24" i="2"/>
  <c r="AJ23" i="2"/>
  <c r="AI23" i="2"/>
  <c r="AH23" i="2"/>
  <c r="AF23" i="2"/>
  <c r="AE23" i="2"/>
  <c r="AD23" i="2"/>
  <c r="AJ22" i="2"/>
  <c r="AI22" i="2"/>
  <c r="AF22" i="2"/>
  <c r="AE22" i="2"/>
  <c r="AK21" i="2"/>
  <c r="AJ21" i="2"/>
  <c r="AI21" i="2"/>
  <c r="AF21" i="2"/>
  <c r="AE21" i="2"/>
  <c r="AJ20" i="2"/>
  <c r="AI20" i="2"/>
  <c r="AF20" i="2"/>
  <c r="AE20" i="2"/>
  <c r="AD20" i="2"/>
  <c r="AX19" i="2" a="1"/>
  <c r="AX19" i="2" s="1"/>
  <c r="AX22" i="2" a="1"/>
  <c r="AX22" i="2" s="1"/>
  <c r="AL20" i="2"/>
  <c r="AL23" i="2"/>
  <c r="AL24" i="2"/>
  <c r="AL26" i="2"/>
  <c r="AL28" i="2"/>
  <c r="AL30" i="2"/>
  <c r="AL31" i="2"/>
  <c r="AL38" i="2"/>
  <c r="AL39" i="2"/>
  <c r="AL42" i="2"/>
  <c r="AL46" i="2"/>
  <c r="AL47" i="2"/>
  <c r="AL50" i="2"/>
  <c r="AL51" i="2"/>
  <c r="AL52" i="2"/>
  <c r="AL59" i="2"/>
  <c r="AL66" i="2"/>
  <c r="AL67" i="2"/>
  <c r="AL68" i="2"/>
  <c r="AL74" i="2"/>
  <c r="AL75" i="2"/>
  <c r="AL82" i="2"/>
  <c r="AV82" i="2" s="1"/>
  <c r="AL83" i="2"/>
  <c r="AV83" i="2" s="1"/>
  <c r="AL81" i="2"/>
  <c r="AL80" i="2"/>
  <c r="AL77" i="2"/>
  <c r="AL73" i="2"/>
  <c r="AL72" i="2"/>
  <c r="AL69" i="2"/>
  <c r="AL65" i="2"/>
  <c r="AL64" i="2"/>
  <c r="AL61" i="2"/>
  <c r="AL57" i="2"/>
  <c r="AL56" i="2"/>
  <c r="AL53" i="2"/>
  <c r="AL49" i="2"/>
  <c r="AL48" i="2"/>
  <c r="AL44" i="2"/>
  <c r="AL41" i="2"/>
  <c r="AL40" i="2"/>
  <c r="AL36" i="2"/>
  <c r="AL33" i="2"/>
  <c r="AL32" i="2"/>
  <c r="AL25" i="2"/>
  <c r="AL21" i="2"/>
  <c r="AI66" i="2"/>
  <c r="AI39" i="2"/>
  <c r="AK38" i="2"/>
  <c r="AJ35" i="2"/>
  <c r="AK33" i="2"/>
  <c r="AI24" i="2"/>
  <c r="AK23" i="2"/>
  <c r="AK22" i="2"/>
  <c r="AK20" i="2"/>
  <c r="AK19" i="2"/>
  <c r="I55" i="2"/>
  <c r="X55" i="2" s="1"/>
  <c r="AH55" i="2" s="1"/>
  <c r="D53" i="2"/>
  <c r="S53" i="2" s="1"/>
  <c r="AC53" i="2" s="1"/>
  <c r="H53" i="2"/>
  <c r="W53" i="2" s="1"/>
  <c r="AC19" i="2"/>
  <c r="AC20" i="2"/>
  <c r="AC21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1" i="2"/>
  <c r="AC42" i="2"/>
  <c r="AC43" i="2"/>
  <c r="AC44" i="2"/>
  <c r="AC45" i="2"/>
  <c r="AC46" i="2"/>
  <c r="AC22" i="2"/>
  <c r="AS23" i="2"/>
  <c r="J84" i="2"/>
  <c r="H84" i="2"/>
  <c r="T84" i="2"/>
  <c r="AD19" i="2"/>
  <c r="AN19" i="2" s="1"/>
  <c r="AS32" i="2"/>
  <c r="AR32" i="2"/>
  <c r="AP32" i="2"/>
  <c r="AO32" i="2"/>
  <c r="AM32" i="2"/>
  <c r="AV32" i="2"/>
  <c r="AN32" i="2"/>
  <c r="AT32" i="2"/>
  <c r="AO47" i="2"/>
  <c r="AM47" i="2"/>
  <c r="AT47" i="2"/>
  <c r="AR47" i="2"/>
  <c r="AS47" i="2"/>
  <c r="AP47" i="2"/>
  <c r="AN47" i="2"/>
  <c r="AV47" i="2"/>
  <c r="AM58" i="2"/>
  <c r="AT58" i="2"/>
  <c r="AS58" i="2"/>
  <c r="AR58" i="2"/>
  <c r="AP58" i="2"/>
  <c r="AN58" i="2"/>
  <c r="AV58" i="2"/>
  <c r="AO58" i="2"/>
  <c r="AR65" i="2"/>
  <c r="AP65" i="2"/>
  <c r="AO65" i="2"/>
  <c r="AM65" i="2"/>
  <c r="AV65" i="2"/>
  <c r="AT65" i="2"/>
  <c r="AS65" i="2"/>
  <c r="AN65" i="2"/>
  <c r="AV69" i="2"/>
  <c r="AN69" i="2"/>
  <c r="AM69" i="2"/>
  <c r="AT69" i="2"/>
  <c r="AP69" i="2"/>
  <c r="AS69" i="2"/>
  <c r="AR69" i="2"/>
  <c r="AO69" i="2"/>
  <c r="AG82" i="2"/>
  <c r="AQ82" i="2" s="1"/>
  <c r="AG76" i="2"/>
  <c r="AG71" i="2"/>
  <c r="AQ71" i="2" s="1"/>
  <c r="AG66" i="2"/>
  <c r="AQ66" i="2" s="1"/>
  <c r="AG60" i="2"/>
  <c r="AG49" i="2"/>
  <c r="AG59" i="2"/>
  <c r="AG42" i="2"/>
  <c r="AG50" i="2"/>
  <c r="AG24" i="2"/>
  <c r="AG61" i="2"/>
  <c r="AG46" i="2"/>
  <c r="AQ46" i="2" s="1"/>
  <c r="AG57" i="2"/>
  <c r="AQ57" i="2" s="1"/>
  <c r="AG40" i="2"/>
  <c r="AG25" i="2"/>
  <c r="AG37" i="2"/>
  <c r="AT46" i="2"/>
  <c r="AO46" i="2"/>
  <c r="AN46" i="2"/>
  <c r="AM46" i="2"/>
  <c r="AV46" i="2"/>
  <c r="AS46" i="2"/>
  <c r="AR46" i="2"/>
  <c r="AP46" i="2"/>
  <c r="AS68" i="2"/>
  <c r="AR68" i="2"/>
  <c r="AO68" i="2"/>
  <c r="AM68" i="2"/>
  <c r="AV68" i="2"/>
  <c r="AT68" i="2"/>
  <c r="AP68" i="2"/>
  <c r="AN68" i="2"/>
  <c r="AV25" i="2"/>
  <c r="AN25" i="2"/>
  <c r="AM25" i="2"/>
  <c r="AT25" i="2"/>
  <c r="AS25" i="2"/>
  <c r="AR25" i="2"/>
  <c r="AP25" i="2"/>
  <c r="AQ25" i="2"/>
  <c r="AO28" i="2"/>
  <c r="AV28" i="2"/>
  <c r="AN28" i="2"/>
  <c r="AM28" i="2"/>
  <c r="AT28" i="2"/>
  <c r="AS28" i="2"/>
  <c r="AR28" i="2"/>
  <c r="AP28" i="2"/>
  <c r="AS51" i="2"/>
  <c r="AP51" i="2"/>
  <c r="AV51" i="2"/>
  <c r="AN51" i="2"/>
  <c r="AM51" i="2"/>
  <c r="AT51" i="2"/>
  <c r="AO51" i="2"/>
  <c r="AR51" i="2"/>
  <c r="AR21" i="2"/>
  <c r="AP21" i="2"/>
  <c r="AO21" i="2"/>
  <c r="AT21" i="2"/>
  <c r="AS21" i="2"/>
  <c r="AN21" i="2"/>
  <c r="AM21" i="2"/>
  <c r="AV21" i="2"/>
  <c r="AS39" i="2"/>
  <c r="AR39" i="2"/>
  <c r="AP39" i="2"/>
  <c r="AT39" i="2"/>
  <c r="AO39" i="2"/>
  <c r="AN39" i="2"/>
  <c r="AM39" i="2"/>
  <c r="AV39" i="2"/>
  <c r="AG26" i="2"/>
  <c r="AO64" i="2"/>
  <c r="AM64" i="2"/>
  <c r="AT64" i="2"/>
  <c r="AR64" i="2"/>
  <c r="AS64" i="2"/>
  <c r="AP64" i="2"/>
  <c r="AN64" i="2"/>
  <c r="AV64" i="2"/>
  <c r="AO20" i="2"/>
  <c r="AV20" i="2"/>
  <c r="AN20" i="2"/>
  <c r="AU20" i="2"/>
  <c r="AM20" i="2"/>
  <c r="AT20" i="2"/>
  <c r="AR20" i="2"/>
  <c r="AS20" i="2"/>
  <c r="AP38" i="2"/>
  <c r="AO38" i="2"/>
  <c r="AV38" i="2"/>
  <c r="AN38" i="2"/>
  <c r="AU38" i="2"/>
  <c r="AM38" i="2"/>
  <c r="AT38" i="2"/>
  <c r="AS38" i="2"/>
  <c r="AR38" i="2"/>
  <c r="AV42" i="2"/>
  <c r="AN42" i="2"/>
  <c r="AM42" i="2"/>
  <c r="AT42" i="2"/>
  <c r="AS42" i="2"/>
  <c r="AR42" i="2"/>
  <c r="AO42" i="2"/>
  <c r="AP42" i="2"/>
  <c r="G84" i="2"/>
  <c r="V19" i="2"/>
  <c r="AG21" i="2"/>
  <c r="AQ21" i="2" s="1"/>
  <c r="AO25" i="2"/>
  <c r="AP50" i="2"/>
  <c r="AV50" i="2"/>
  <c r="AN50" i="2"/>
  <c r="AM50" i="2"/>
  <c r="AS50" i="2"/>
  <c r="AR50" i="2"/>
  <c r="AQ50" i="2"/>
  <c r="AO50" i="2"/>
  <c r="AT50" i="2"/>
  <c r="BK19" i="2"/>
  <c r="BJ19" i="2"/>
  <c r="AU19" i="2"/>
  <c r="AM19" i="2"/>
  <c r="AP23" i="2"/>
  <c r="AO23" i="2"/>
  <c r="AV23" i="2"/>
  <c r="AN23" i="2"/>
  <c r="AU23" i="2"/>
  <c r="AM23" i="2"/>
  <c r="AT23" i="2"/>
  <c r="AR23" i="2"/>
  <c r="AU30" i="2"/>
  <c r="AM30" i="2"/>
  <c r="AT30" i="2"/>
  <c r="AS30" i="2"/>
  <c r="AR30" i="2"/>
  <c r="AO30" i="2"/>
  <c r="AV30" i="2"/>
  <c r="AP30" i="2"/>
  <c r="AN30" i="2"/>
  <c r="AT34" i="2"/>
  <c r="AS34" i="2"/>
  <c r="AR34" i="2"/>
  <c r="AP34" i="2"/>
  <c r="AO34" i="2"/>
  <c r="AN34" i="2"/>
  <c r="AM34" i="2"/>
  <c r="AV34" i="2"/>
  <c r="AM49" i="2"/>
  <c r="AS49" i="2"/>
  <c r="AR49" i="2"/>
  <c r="AP49" i="2"/>
  <c r="AV49" i="2"/>
  <c r="AT49" i="2"/>
  <c r="AQ49" i="2"/>
  <c r="AO49" i="2"/>
  <c r="AN49" i="2"/>
  <c r="AO53" i="2"/>
  <c r="AV53" i="2"/>
  <c r="AN53" i="2"/>
  <c r="AT53" i="2"/>
  <c r="AR53" i="2"/>
  <c r="AP53" i="2"/>
  <c r="AM53" i="2"/>
  <c r="AS53" i="2"/>
  <c r="AS56" i="2"/>
  <c r="AR56" i="2"/>
  <c r="AP56" i="2"/>
  <c r="AO56" i="2"/>
  <c r="AM56" i="2"/>
  <c r="AN56" i="2"/>
  <c r="AV56" i="2"/>
  <c r="AT56" i="2"/>
  <c r="AP67" i="2"/>
  <c r="AV67" i="2"/>
  <c r="AN67" i="2"/>
  <c r="AM67" i="2"/>
  <c r="AS67" i="2"/>
  <c r="AR67" i="2"/>
  <c r="AO67" i="2"/>
  <c r="AT67" i="2"/>
  <c r="AP20" i="2"/>
  <c r="AV57" i="2"/>
  <c r="AN57" i="2"/>
  <c r="AM57" i="2"/>
  <c r="AT57" i="2"/>
  <c r="AS57" i="2"/>
  <c r="AR57" i="2"/>
  <c r="AP57" i="2"/>
  <c r="AO57" i="2"/>
  <c r="AP41" i="2"/>
  <c r="AO41" i="2"/>
  <c r="AV41" i="2"/>
  <c r="AN41" i="2"/>
  <c r="AT41" i="2"/>
  <c r="AS41" i="2"/>
  <c r="AR41" i="2"/>
  <c r="AM41" i="2"/>
  <c r="AB19" i="2"/>
  <c r="AG27" i="2"/>
  <c r="AP31" i="2"/>
  <c r="AO31" i="2"/>
  <c r="AV31" i="2"/>
  <c r="AN31" i="2"/>
  <c r="AM31" i="2"/>
  <c r="AT31" i="2"/>
  <c r="AR31" i="2"/>
  <c r="AS31" i="2"/>
  <c r="AV61" i="2"/>
  <c r="AN61" i="2"/>
  <c r="AS61" i="2"/>
  <c r="AO61" i="2"/>
  <c r="AM61" i="2"/>
  <c r="AT61" i="2"/>
  <c r="AQ61" i="2"/>
  <c r="AR61" i="2"/>
  <c r="AP61" i="2"/>
  <c r="AP33" i="2"/>
  <c r="AO33" i="2"/>
  <c r="AV33" i="2"/>
  <c r="AN33" i="2"/>
  <c r="AU33" i="2"/>
  <c r="AT33" i="2"/>
  <c r="AS33" i="2"/>
  <c r="AR33" i="2"/>
  <c r="AM33" i="2"/>
  <c r="AV52" i="2"/>
  <c r="AN52" i="2"/>
  <c r="AT52" i="2"/>
  <c r="AS52" i="2"/>
  <c r="AR52" i="2"/>
  <c r="AP52" i="2"/>
  <c r="AO52" i="2"/>
  <c r="AM52" i="2"/>
  <c r="AU21" i="2"/>
  <c r="AS24" i="2"/>
  <c r="AR24" i="2"/>
  <c r="AP24" i="2"/>
  <c r="AO24" i="2"/>
  <c r="AM24" i="2"/>
  <c r="AV24" i="2"/>
  <c r="AT24" i="2"/>
  <c r="AN24" i="2"/>
  <c r="AQ26" i="2"/>
  <c r="AP26" i="2"/>
  <c r="AO26" i="2"/>
  <c r="AV26" i="2"/>
  <c r="AN26" i="2"/>
  <c r="AM26" i="2"/>
  <c r="AS26" i="2"/>
  <c r="AT26" i="2"/>
  <c r="AR26" i="2"/>
  <c r="AT44" i="2"/>
  <c r="AS44" i="2"/>
  <c r="AR44" i="2"/>
  <c r="AP44" i="2"/>
  <c r="AO44" i="2"/>
  <c r="AV44" i="2"/>
  <c r="AN44" i="2"/>
  <c r="AM44" i="2"/>
  <c r="AR48" i="2"/>
  <c r="AP48" i="2"/>
  <c r="AO48" i="2"/>
  <c r="AM48" i="2"/>
  <c r="AV48" i="2"/>
  <c r="AT48" i="2"/>
  <c r="AS48" i="2"/>
  <c r="AN48" i="2"/>
  <c r="AP59" i="2"/>
  <c r="AO59" i="2"/>
  <c r="AN59" i="2"/>
  <c r="AV59" i="2"/>
  <c r="AM59" i="2"/>
  <c r="AT59" i="2"/>
  <c r="AR59" i="2"/>
  <c r="AS59" i="2"/>
  <c r="AQ59" i="2"/>
  <c r="AM66" i="2"/>
  <c r="AS66" i="2"/>
  <c r="AR66" i="2"/>
  <c r="AP66" i="2"/>
  <c r="AV66" i="2"/>
  <c r="AT66" i="2"/>
  <c r="AO66" i="2"/>
  <c r="AN66" i="2"/>
  <c r="AR36" i="2"/>
  <c r="AP36" i="2"/>
  <c r="AO36" i="2"/>
  <c r="AU36" i="2"/>
  <c r="AT36" i="2"/>
  <c r="AS36" i="2"/>
  <c r="AN36" i="2"/>
  <c r="AM36" i="2"/>
  <c r="AV36" i="2"/>
  <c r="AV40" i="2"/>
  <c r="AN40" i="2"/>
  <c r="AU40" i="2"/>
  <c r="AM40" i="2"/>
  <c r="AT40" i="2"/>
  <c r="AS40" i="2"/>
  <c r="AP40" i="2"/>
  <c r="AO40" i="2"/>
  <c r="AR40" i="2"/>
  <c r="AQ40" i="2"/>
  <c r="AY83" i="2" a="1"/>
  <c r="AY83" i="2" s="1"/>
  <c r="BK83" i="2" s="1"/>
  <c r="AY78" i="2" a="1"/>
  <c r="AY78" i="2" s="1"/>
  <c r="AY82" i="2" a="1"/>
  <c r="AY82" i="2" s="1"/>
  <c r="BK82" i="2" s="1"/>
  <c r="AY79" i="2" a="1"/>
  <c r="AY79" i="2" s="1"/>
  <c r="AY81" i="2" a="1"/>
  <c r="AY81" i="2" s="1"/>
  <c r="AY80" i="2" a="1"/>
  <c r="AY80" i="2" s="1"/>
  <c r="AY73" i="2" a="1"/>
  <c r="AY73" i="2" s="1"/>
  <c r="AY68" i="2" a="1"/>
  <c r="AY68" i="2" s="1"/>
  <c r="BK68" i="2" s="1"/>
  <c r="AY71" i="2" a="1"/>
  <c r="AY71" i="2" s="1"/>
  <c r="BK71" i="2" s="1"/>
  <c r="AY76" i="2" a="1"/>
  <c r="AY76" i="2" s="1"/>
  <c r="AY74" i="2" a="1"/>
  <c r="AY74" i="2" s="1"/>
  <c r="AY77" i="2" a="1"/>
  <c r="AY77" i="2" s="1"/>
  <c r="AY75" i="2" a="1"/>
  <c r="AY75" i="2" s="1"/>
  <c r="AY72" i="2" a="1"/>
  <c r="AY72" i="2" s="1"/>
  <c r="AY69" i="2" a="1"/>
  <c r="AY69" i="2" s="1"/>
  <c r="BK69" i="2" s="1"/>
  <c r="AY65" i="2" a="1"/>
  <c r="AY65" i="2" s="1"/>
  <c r="BK65" i="2" s="1"/>
  <c r="AY63" i="2" a="1"/>
  <c r="AY63" i="2" s="1"/>
  <c r="AY66" i="2" a="1"/>
  <c r="AY66" i="2" s="1"/>
  <c r="BK66" i="2" s="1"/>
  <c r="AY64" i="2" a="1"/>
  <c r="AY64" i="2" s="1"/>
  <c r="BK64" i="2" s="1"/>
  <c r="AY56" i="2" a="1"/>
  <c r="AY56" i="2" s="1"/>
  <c r="BK56" i="2" s="1"/>
  <c r="AY48" i="2" a="1"/>
  <c r="AY48" i="2" s="1"/>
  <c r="BK48" i="2" s="1"/>
  <c r="AY60" i="2" a="1"/>
  <c r="AY60" i="2" s="1"/>
  <c r="AY58" i="2" a="1"/>
  <c r="AY58" i="2" s="1"/>
  <c r="BK58" i="2" s="1"/>
  <c r="AY54" i="2" a="1"/>
  <c r="AY54" i="2" s="1"/>
  <c r="AY67" i="2" a="1"/>
  <c r="AY67" i="2" s="1"/>
  <c r="BK67" i="2" s="1"/>
  <c r="AY62" i="2" a="1"/>
  <c r="AY62" i="2" s="1"/>
  <c r="AY57" i="2" a="1"/>
  <c r="AY57" i="2" s="1"/>
  <c r="BK57" i="2" s="1"/>
  <c r="AY49" i="2" a="1"/>
  <c r="AY49" i="2" s="1"/>
  <c r="BK49" i="2" s="1"/>
  <c r="AY55" i="2" a="1"/>
  <c r="AY55" i="2" s="1"/>
  <c r="AY47" i="2" a="1"/>
  <c r="AY47" i="2" s="1"/>
  <c r="BK47" i="2" s="1"/>
  <c r="AY70" i="2" a="1"/>
  <c r="AY70" i="2" s="1"/>
  <c r="AY46" i="2" a="1"/>
  <c r="AY46" i="2" s="1"/>
  <c r="BK46" i="2" s="1"/>
  <c r="AY59" i="2" a="1"/>
  <c r="AY59" i="2" s="1"/>
  <c r="BK59" i="2" s="1"/>
  <c r="AY51" i="2" a="1"/>
  <c r="AY51" i="2" s="1"/>
  <c r="BK51" i="2" s="1"/>
  <c r="AY44" i="2" a="1"/>
  <c r="AY44" i="2" s="1"/>
  <c r="BK44" i="2" s="1"/>
  <c r="AY36" i="2" a="1"/>
  <c r="AY36" i="2" s="1"/>
  <c r="BK36" i="2" s="1"/>
  <c r="AY61" i="2" a="1"/>
  <c r="AY61" i="2" s="1"/>
  <c r="BK61" i="2" s="1"/>
  <c r="AY39" i="2" a="1"/>
  <c r="AY39" i="2" s="1"/>
  <c r="BK39" i="2" s="1"/>
  <c r="AY53" i="2" a="1"/>
  <c r="AY53" i="2" s="1"/>
  <c r="BK53" i="2" s="1"/>
  <c r="AY50" i="2" a="1"/>
  <c r="AY50" i="2" s="1"/>
  <c r="BK50" i="2" s="1"/>
  <c r="AY42" i="2" a="1"/>
  <c r="AY42" i="2" s="1"/>
  <c r="BK42" i="2" s="1"/>
  <c r="AY34" i="2" a="1"/>
  <c r="AY34" i="2" s="1"/>
  <c r="BK34" i="2" s="1"/>
  <c r="AY45" i="2" a="1"/>
  <c r="AY45" i="2" s="1"/>
  <c r="AY37" i="2" a="1"/>
  <c r="AY37" i="2" s="1"/>
  <c r="AY41" i="2" a="1"/>
  <c r="AY41" i="2" s="1"/>
  <c r="BK41" i="2" s="1"/>
  <c r="AY38" i="2" a="1"/>
  <c r="AY38" i="2" s="1"/>
  <c r="BK38" i="2" s="1"/>
  <c r="AY33" i="2" a="1"/>
  <c r="AY33" i="2" s="1"/>
  <c r="BK33" i="2" s="1"/>
  <c r="AY29" i="2" a="1"/>
  <c r="AY29" i="2" s="1"/>
  <c r="AY21" i="2" a="1"/>
  <c r="AY21" i="2" s="1"/>
  <c r="BK21" i="2" s="1"/>
  <c r="AY52" i="2" a="1"/>
  <c r="AY52" i="2" s="1"/>
  <c r="BK52" i="2" s="1"/>
  <c r="AY35" i="2" a="1"/>
  <c r="AY35" i="2" s="1"/>
  <c r="AY32" i="2" a="1"/>
  <c r="AY32" i="2" s="1"/>
  <c r="BK32" i="2" s="1"/>
  <c r="AY24" i="2" a="1"/>
  <c r="AY24" i="2" s="1"/>
  <c r="BK24" i="2" s="1"/>
  <c r="AY40" i="2" a="1"/>
  <c r="AY40" i="2" s="1"/>
  <c r="BK40" i="2" s="1"/>
  <c r="AY27" i="2" a="1"/>
  <c r="AY27" i="2" s="1"/>
  <c r="AY30" i="2" a="1"/>
  <c r="AY30" i="2" s="1"/>
  <c r="BK30" i="2" s="1"/>
  <c r="AY22" i="2" a="1"/>
  <c r="AY22" i="2" s="1"/>
  <c r="AY25" i="2" a="1"/>
  <c r="AY25" i="2" s="1"/>
  <c r="BK25" i="2" s="1"/>
  <c r="AY43" i="2" a="1"/>
  <c r="AY43" i="2" s="1"/>
  <c r="AY31" i="2" a="1"/>
  <c r="AY31" i="2" s="1"/>
  <c r="BK31" i="2" s="1"/>
  <c r="AY23" i="2" a="1"/>
  <c r="AY23" i="2" s="1"/>
  <c r="BK23" i="2" s="1"/>
  <c r="AY26" i="2" a="1"/>
  <c r="AY26" i="2" s="1"/>
  <c r="BK26" i="2" s="1"/>
  <c r="AY28" i="2" a="1"/>
  <c r="AY28" i="2" s="1"/>
  <c r="BK28" i="2" s="1"/>
  <c r="AY20" i="2" a="1"/>
  <c r="AY20" i="2" s="1"/>
  <c r="BG21" i="2" a="1"/>
  <c r="BG21" i="2" s="1"/>
  <c r="BS21" i="2" s="1"/>
  <c r="BG40" i="2" a="1"/>
  <c r="BG40" i="2" s="1"/>
  <c r="BS40" i="2" s="1"/>
  <c r="BE21" i="2" a="1"/>
  <c r="BE21" i="2" s="1"/>
  <c r="BQ21" i="2" s="1"/>
  <c r="AG31" i="2"/>
  <c r="AQ31" i="2" s="1"/>
  <c r="AK32" i="2"/>
  <c r="AU32" i="2" s="1"/>
  <c r="AG34" i="2"/>
  <c r="AQ34" i="2" s="1"/>
  <c r="AG39" i="2"/>
  <c r="AQ39" i="2" s="1"/>
  <c r="AZ40" i="2" a="1"/>
  <c r="AZ40" i="2" s="1"/>
  <c r="BL40" i="2" s="1"/>
  <c r="U84" i="2"/>
  <c r="BA40" i="2" a="1"/>
  <c r="BA40" i="2" s="1"/>
  <c r="BM40" i="2" s="1"/>
  <c r="BH40" i="2" a="1"/>
  <c r="BH40" i="2" s="1"/>
  <c r="BT40" i="2" s="1"/>
  <c r="AG29" i="2"/>
  <c r="B6" i="8"/>
  <c r="B6" i="7"/>
  <c r="B5" i="3"/>
  <c r="B4" i="4" s="1"/>
  <c r="B6" i="5"/>
  <c r="B7" i="8"/>
  <c r="B7" i="7"/>
  <c r="B7" i="5"/>
  <c r="B6" i="3"/>
  <c r="B5" i="4" s="1"/>
  <c r="B8" i="8"/>
  <c r="B8" i="7"/>
  <c r="B8" i="5"/>
  <c r="B7" i="3"/>
  <c r="B6" i="4" s="1"/>
  <c r="B9" i="8"/>
  <c r="B9" i="5"/>
  <c r="B9" i="7"/>
  <c r="B8" i="3"/>
  <c r="B7" i="4" s="1"/>
  <c r="B10" i="8"/>
  <c r="B10" i="7"/>
  <c r="B9" i="3"/>
  <c r="B8" i="4" s="1"/>
  <c r="B10" i="5"/>
  <c r="B11" i="8"/>
  <c r="B11" i="7"/>
  <c r="B11" i="5"/>
  <c r="B10" i="3"/>
  <c r="B9" i="4" s="1"/>
  <c r="B12" i="8"/>
  <c r="B12" i="5"/>
  <c r="B12" i="7"/>
  <c r="B11" i="3"/>
  <c r="B10" i="4" s="1"/>
  <c r="B13" i="8"/>
  <c r="B13" i="7"/>
  <c r="B13" i="5"/>
  <c r="B12" i="3"/>
  <c r="B11" i="4" s="1"/>
  <c r="B14" i="8"/>
  <c r="B14" i="7"/>
  <c r="B13" i="3"/>
  <c r="B12" i="4" s="1"/>
  <c r="B14" i="5"/>
  <c r="B15" i="7"/>
  <c r="B15" i="8"/>
  <c r="B15" i="5"/>
  <c r="B14" i="3"/>
  <c r="B13" i="4" s="1"/>
  <c r="B16" i="8"/>
  <c r="B16" i="5"/>
  <c r="B16" i="7"/>
  <c r="B15" i="3"/>
  <c r="B14" i="4" s="1"/>
  <c r="B17" i="8"/>
  <c r="B17" i="5"/>
  <c r="B17" i="7"/>
  <c r="B16" i="3"/>
  <c r="B15" i="4" s="1"/>
  <c r="B18" i="8"/>
  <c r="B18" i="7"/>
  <c r="B18" i="5"/>
  <c r="B17" i="3"/>
  <c r="B16" i="4" s="1"/>
  <c r="B19" i="7"/>
  <c r="B19" i="8"/>
  <c r="B19" i="5"/>
  <c r="B18" i="3"/>
  <c r="B17" i="4" s="1"/>
  <c r="B20" i="8"/>
  <c r="B20" i="5"/>
  <c r="B20" i="7"/>
  <c r="B19" i="3"/>
  <c r="B18" i="4" s="1"/>
  <c r="B21" i="8"/>
  <c r="B21" i="7"/>
  <c r="B21" i="5"/>
  <c r="B20" i="3"/>
  <c r="B19" i="4" s="1"/>
  <c r="B22" i="8"/>
  <c r="B22" i="7"/>
  <c r="B22" i="5"/>
  <c r="B21" i="3"/>
  <c r="B20" i="4" s="1"/>
  <c r="B23" i="7"/>
  <c r="B23" i="8"/>
  <c r="B23" i="5"/>
  <c r="B22" i="3"/>
  <c r="B21" i="4" s="1"/>
  <c r="B24" i="8"/>
  <c r="B24" i="5"/>
  <c r="B24" i="7"/>
  <c r="B23" i="3"/>
  <c r="B22" i="4" s="1"/>
  <c r="B25" i="8"/>
  <c r="B25" i="5"/>
  <c r="B25" i="7"/>
  <c r="B24" i="3"/>
  <c r="B23" i="4" s="1"/>
  <c r="B26" i="8"/>
  <c r="B26" i="7"/>
  <c r="B25" i="3"/>
  <c r="B24" i="4" s="1"/>
  <c r="B26" i="5"/>
  <c r="B27" i="7"/>
  <c r="B27" i="8"/>
  <c r="B27" i="5"/>
  <c r="B26" i="3"/>
  <c r="B25" i="4" s="1"/>
  <c r="B28" i="8"/>
  <c r="B28" i="5"/>
  <c r="B28" i="7"/>
  <c r="B27" i="3"/>
  <c r="B26" i="4" s="1"/>
  <c r="B29" i="8"/>
  <c r="B29" i="7"/>
  <c r="B29" i="5"/>
  <c r="B28" i="3"/>
  <c r="B27" i="4" s="1"/>
  <c r="B30" i="8"/>
  <c r="B30" i="7"/>
  <c r="B30" i="5"/>
  <c r="B29" i="3"/>
  <c r="B28" i="4" s="1"/>
  <c r="B31" i="7"/>
  <c r="B31" i="8"/>
  <c r="B31" i="5"/>
  <c r="B30" i="3"/>
  <c r="B29" i="4" s="1"/>
  <c r="B32" i="8"/>
  <c r="B32" i="5"/>
  <c r="B32" i="7"/>
  <c r="B31" i="3"/>
  <c r="B30" i="4" s="1"/>
  <c r="B33" i="8"/>
  <c r="B33" i="5"/>
  <c r="B33" i="7"/>
  <c r="B32" i="3"/>
  <c r="B31" i="4" s="1"/>
  <c r="B34" i="8"/>
  <c r="B34" i="7"/>
  <c r="B33" i="3"/>
  <c r="B32" i="4" s="1"/>
  <c r="B34" i="5"/>
  <c r="B35" i="7"/>
  <c r="B35" i="8"/>
  <c r="B35" i="5"/>
  <c r="B34" i="3"/>
  <c r="B33" i="4" s="1"/>
  <c r="B36" i="8"/>
  <c r="B36" i="5"/>
  <c r="B36" i="7"/>
  <c r="B35" i="3"/>
  <c r="B34" i="4" s="1"/>
  <c r="B37" i="8"/>
  <c r="B37" i="7"/>
  <c r="B37" i="5"/>
  <c r="B36" i="3"/>
  <c r="B35" i="4" s="1"/>
  <c r="B38" i="8"/>
  <c r="B38" i="7"/>
  <c r="B38" i="5"/>
  <c r="B37" i="3"/>
  <c r="B36" i="4" s="1"/>
  <c r="B39" i="7"/>
  <c r="B39" i="8"/>
  <c r="B39" i="5"/>
  <c r="B38" i="3"/>
  <c r="B37" i="4" s="1"/>
  <c r="B40" i="8"/>
  <c r="B40" i="5"/>
  <c r="B40" i="7"/>
  <c r="B39" i="3"/>
  <c r="B38" i="4" s="1"/>
  <c r="B41" i="8"/>
  <c r="B41" i="5"/>
  <c r="B40" i="3"/>
  <c r="B39" i="4" s="1"/>
  <c r="B41" i="7"/>
  <c r="B42" i="8"/>
  <c r="B42" i="7"/>
  <c r="B41" i="3"/>
  <c r="B40" i="4" s="1"/>
  <c r="B42" i="5"/>
  <c r="B43" i="7"/>
  <c r="B43" i="8"/>
  <c r="B43" i="5"/>
  <c r="B42" i="3"/>
  <c r="B41" i="4" s="1"/>
  <c r="B44" i="8"/>
  <c r="B44" i="5"/>
  <c r="B44" i="7"/>
  <c r="B43" i="3"/>
  <c r="B42" i="4" s="1"/>
  <c r="B45" i="8"/>
  <c r="B45" i="5"/>
  <c r="B45" i="7"/>
  <c r="B44" i="3"/>
  <c r="B43" i="4" s="1"/>
  <c r="B46" i="8"/>
  <c r="B46" i="7"/>
  <c r="B46" i="5"/>
  <c r="B45" i="3"/>
  <c r="B44" i="4" s="1"/>
  <c r="B47" i="7"/>
  <c r="B47" i="8"/>
  <c r="B47" i="5"/>
  <c r="B46" i="3"/>
  <c r="B45" i="4" s="1"/>
  <c r="B48" i="8"/>
  <c r="B48" i="5"/>
  <c r="B48" i="7"/>
  <c r="B47" i="3"/>
  <c r="B46" i="4" s="1"/>
  <c r="B49" i="8"/>
  <c r="B49" i="5"/>
  <c r="B49" i="7"/>
  <c r="B48" i="3"/>
  <c r="B47" i="4" s="1"/>
  <c r="B50" i="8"/>
  <c r="B50" i="7"/>
  <c r="B50" i="5"/>
  <c r="B49" i="3"/>
  <c r="B48" i="4" s="1"/>
  <c r="B51" i="7"/>
  <c r="B51" i="8"/>
  <c r="B51" i="5"/>
  <c r="B50" i="3"/>
  <c r="B49" i="4" s="1"/>
  <c r="B52" i="8"/>
  <c r="B52" i="5"/>
  <c r="B52" i="7"/>
  <c r="B51" i="3"/>
  <c r="B50" i="4" s="1"/>
  <c r="B53" i="8"/>
  <c r="B53" i="7"/>
  <c r="B53" i="5"/>
  <c r="B52" i="3"/>
  <c r="B51" i="4" s="1"/>
  <c r="B54" i="8"/>
  <c r="B54" i="7"/>
  <c r="B54" i="5"/>
  <c r="B53" i="3"/>
  <c r="B52" i="4" s="1"/>
  <c r="B55" i="7"/>
  <c r="B55" i="8"/>
  <c r="B55" i="5"/>
  <c r="B54" i="3"/>
  <c r="B53" i="4" s="1"/>
  <c r="B56" i="8"/>
  <c r="B56" i="5"/>
  <c r="B56" i="7"/>
  <c r="B55" i="3"/>
  <c r="B54" i="4" s="1"/>
  <c r="B57" i="8"/>
  <c r="B57" i="5"/>
  <c r="B57" i="7"/>
  <c r="B56" i="3"/>
  <c r="B55" i="4" s="1"/>
  <c r="B58" i="8"/>
  <c r="B58" i="7"/>
  <c r="B58" i="5"/>
  <c r="B57" i="3"/>
  <c r="B56" i="4" s="1"/>
  <c r="B59" i="7"/>
  <c r="B59" i="8"/>
  <c r="B59" i="5"/>
  <c r="B58" i="3"/>
  <c r="B57" i="4" s="1"/>
  <c r="B60" i="8"/>
  <c r="B60" i="5"/>
  <c r="B60" i="7"/>
  <c r="B59" i="3"/>
  <c r="B58" i="4" s="1"/>
  <c r="B61" i="8"/>
  <c r="B61" i="5"/>
  <c r="B61" i="7"/>
  <c r="B60" i="3"/>
  <c r="B59" i="4" s="1"/>
  <c r="B62" i="8"/>
  <c r="B62" i="7"/>
  <c r="B62" i="5"/>
  <c r="B61" i="3"/>
  <c r="B60" i="4" s="1"/>
  <c r="B63" i="7"/>
  <c r="B63" i="8"/>
  <c r="B63" i="5"/>
  <c r="B62" i="3"/>
  <c r="B61" i="4" s="1"/>
  <c r="B64" i="8"/>
  <c r="B64" i="5"/>
  <c r="B63" i="3"/>
  <c r="B62" i="4" s="1"/>
  <c r="B64" i="7"/>
  <c r="B65" i="8"/>
  <c r="B65" i="5"/>
  <c r="B65" i="7"/>
  <c r="B64" i="3"/>
  <c r="B63" i="4" s="1"/>
  <c r="B66" i="8"/>
  <c r="B66" i="7"/>
  <c r="B66" i="5"/>
  <c r="B65" i="3"/>
  <c r="B64" i="4" s="1"/>
  <c r="B67" i="7"/>
  <c r="B67" i="8"/>
  <c r="B67" i="5"/>
  <c r="B66" i="3"/>
  <c r="B65" i="4" s="1"/>
  <c r="B68" i="8"/>
  <c r="B68" i="5"/>
  <c r="B68" i="7"/>
  <c r="B67" i="3"/>
  <c r="B66" i="4" s="1"/>
  <c r="B69" i="8"/>
  <c r="B69" i="7"/>
  <c r="B69" i="5"/>
  <c r="B68" i="3"/>
  <c r="B67" i="4" s="1"/>
  <c r="BB40" i="2" a="1"/>
  <c r="BB40" i="2" s="1"/>
  <c r="BN40" i="2" s="1"/>
  <c r="BB21" i="2" a="1"/>
  <c r="BB21" i="2" s="1"/>
  <c r="BN21" i="2" s="1"/>
  <c r="AK72" i="2"/>
  <c r="AK56" i="2"/>
  <c r="AU56" i="2" s="1"/>
  <c r="AK75" i="2"/>
  <c r="AK78" i="2"/>
  <c r="AK64" i="2"/>
  <c r="AU64" i="2" s="1"/>
  <c r="AK54" i="2"/>
  <c r="AK69" i="2"/>
  <c r="AU69" i="2" s="1"/>
  <c r="AK43" i="2"/>
  <c r="W19" i="2"/>
  <c r="AE19" i="2"/>
  <c r="AE84" i="2" s="1"/>
  <c r="AZ21" i="2" a="1"/>
  <c r="AZ21" i="2" s="1"/>
  <c r="BL21" i="2" s="1"/>
  <c r="BH21" i="2" a="1"/>
  <c r="BH21" i="2" s="1"/>
  <c r="BT21" i="2" s="1"/>
  <c r="AK24" i="2"/>
  <c r="AU24" i="2" s="1"/>
  <c r="AG32" i="2"/>
  <c r="AQ32" i="2" s="1"/>
  <c r="BI40" i="2" a="1"/>
  <c r="BI40" i="2" s="1"/>
  <c r="BU40" i="2" s="1"/>
  <c r="I84" i="2"/>
  <c r="BH24" i="2" a="1"/>
  <c r="BH24" i="2" s="1"/>
  <c r="BT24" i="2" s="1"/>
  <c r="C6" i="8"/>
  <c r="C6" i="5"/>
  <c r="C6" i="7"/>
  <c r="C5" i="3"/>
  <c r="C4" i="4" s="1"/>
  <c r="C8" i="8"/>
  <c r="C8" i="7"/>
  <c r="C8" i="5"/>
  <c r="C7" i="3"/>
  <c r="C6" i="4" s="1"/>
  <c r="C10" i="7"/>
  <c r="C10" i="5"/>
  <c r="C10" i="8"/>
  <c r="C9" i="3"/>
  <c r="C8" i="4" s="1"/>
  <c r="C12" i="8"/>
  <c r="C12" i="7"/>
  <c r="C11" i="3"/>
  <c r="C10" i="4" s="1"/>
  <c r="C12" i="5"/>
  <c r="C13" i="8"/>
  <c r="C13" i="5"/>
  <c r="C13" i="7"/>
  <c r="C12" i="3"/>
  <c r="C11" i="4" s="1"/>
  <c r="C15" i="8"/>
  <c r="C15" i="7"/>
  <c r="C14" i="3"/>
  <c r="C13" i="4" s="1"/>
  <c r="C15" i="5"/>
  <c r="C17" i="8"/>
  <c r="C17" i="5"/>
  <c r="C17" i="7"/>
  <c r="C16" i="3"/>
  <c r="C15" i="4" s="1"/>
  <c r="C19" i="7"/>
  <c r="C19" i="8"/>
  <c r="C19" i="5"/>
  <c r="C18" i="3"/>
  <c r="C17" i="4" s="1"/>
  <c r="C21" i="8"/>
  <c r="C21" i="5"/>
  <c r="C21" i="7"/>
  <c r="C20" i="3"/>
  <c r="C19" i="4" s="1"/>
  <c r="C23" i="8"/>
  <c r="C23" i="7"/>
  <c r="C22" i="3"/>
  <c r="C21" i="4" s="1"/>
  <c r="C23" i="5"/>
  <c r="C25" i="8"/>
  <c r="C25" i="5"/>
  <c r="C25" i="7"/>
  <c r="C24" i="3"/>
  <c r="C23" i="4" s="1"/>
  <c r="C27" i="7"/>
  <c r="C27" i="8"/>
  <c r="C26" i="3"/>
  <c r="C25" i="4" s="1"/>
  <c r="C27" i="5"/>
  <c r="C29" i="8"/>
  <c r="C29" i="5"/>
  <c r="C29" i="7"/>
  <c r="C28" i="3"/>
  <c r="C27" i="4" s="1"/>
  <c r="C31" i="8"/>
  <c r="C31" i="5"/>
  <c r="C31" i="7"/>
  <c r="C30" i="3"/>
  <c r="C29" i="4" s="1"/>
  <c r="C33" i="8"/>
  <c r="C33" i="5"/>
  <c r="C33" i="7"/>
  <c r="C32" i="3"/>
  <c r="C31" i="4" s="1"/>
  <c r="C35" i="7"/>
  <c r="C35" i="8"/>
  <c r="C35" i="5"/>
  <c r="C34" i="3"/>
  <c r="C33" i="4" s="1"/>
  <c r="C36" i="8"/>
  <c r="C36" i="7"/>
  <c r="C36" i="5"/>
  <c r="C35" i="3"/>
  <c r="C34" i="4" s="1"/>
  <c r="C38" i="7"/>
  <c r="C38" i="8"/>
  <c r="C38" i="5"/>
  <c r="C37" i="3"/>
  <c r="C36" i="4" s="1"/>
  <c r="C39" i="8"/>
  <c r="C39" i="7"/>
  <c r="C39" i="5"/>
  <c r="C38" i="3"/>
  <c r="C37" i="4" s="1"/>
  <c r="C41" i="8"/>
  <c r="C41" i="5"/>
  <c r="C41" i="7"/>
  <c r="C40" i="3"/>
  <c r="C39" i="4" s="1"/>
  <c r="C42" i="7"/>
  <c r="C42" i="5"/>
  <c r="C42" i="8"/>
  <c r="C41" i="3"/>
  <c r="C40" i="4" s="1"/>
  <c r="C43" i="8"/>
  <c r="C43" i="5"/>
  <c r="C43" i="7"/>
  <c r="C42" i="3"/>
  <c r="C41" i="4" s="1"/>
  <c r="C44" i="8"/>
  <c r="C44" i="7"/>
  <c r="C43" i="3"/>
  <c r="C42" i="4" s="1"/>
  <c r="C44" i="5"/>
  <c r="C45" i="8"/>
  <c r="C45" i="5"/>
  <c r="C45" i="7"/>
  <c r="C44" i="3"/>
  <c r="C43" i="4" s="1"/>
  <c r="C47" i="8"/>
  <c r="C47" i="7"/>
  <c r="C47" i="5"/>
  <c r="C46" i="3"/>
  <c r="C45" i="4" s="1"/>
  <c r="C48" i="8"/>
  <c r="C48" i="7"/>
  <c r="C48" i="5"/>
  <c r="C47" i="3"/>
  <c r="C46" i="4" s="1"/>
  <c r="C49" i="8"/>
  <c r="C49" i="5"/>
  <c r="C49" i="7"/>
  <c r="C48" i="3"/>
  <c r="C47" i="4" s="1"/>
  <c r="C50" i="7"/>
  <c r="C50" i="5"/>
  <c r="C50" i="8"/>
  <c r="C49" i="3"/>
  <c r="C48" i="4" s="1"/>
  <c r="C51" i="7"/>
  <c r="C51" i="8"/>
  <c r="C51" i="5"/>
  <c r="C50" i="3"/>
  <c r="C49" i="4" s="1"/>
  <c r="C52" i="8"/>
  <c r="C52" i="7"/>
  <c r="C51" i="3"/>
  <c r="C50" i="4" s="1"/>
  <c r="C52" i="5"/>
  <c r="C53" i="8"/>
  <c r="C53" i="7"/>
  <c r="C53" i="5"/>
  <c r="C52" i="3"/>
  <c r="C51" i="4" s="1"/>
  <c r="C54" i="7"/>
  <c r="C54" i="8"/>
  <c r="C54" i="5"/>
  <c r="C53" i="3"/>
  <c r="C52" i="4" s="1"/>
  <c r="C55" i="8"/>
  <c r="C55" i="7"/>
  <c r="C55" i="5"/>
  <c r="C54" i="3"/>
  <c r="C53" i="4" s="1"/>
  <c r="C56" i="8"/>
  <c r="C56" i="7"/>
  <c r="C56" i="5"/>
  <c r="C55" i="3"/>
  <c r="C54" i="4" s="1"/>
  <c r="C57" i="8"/>
  <c r="C57" i="5"/>
  <c r="C57" i="7"/>
  <c r="C56" i="3"/>
  <c r="C55" i="4" s="1"/>
  <c r="C58" i="7"/>
  <c r="C58" i="5"/>
  <c r="C58" i="8"/>
  <c r="C57" i="3"/>
  <c r="C56" i="4" s="1"/>
  <c r="C59" i="8"/>
  <c r="C59" i="5"/>
  <c r="C59" i="7"/>
  <c r="C58" i="3"/>
  <c r="C57" i="4" s="1"/>
  <c r="C60" i="8"/>
  <c r="C60" i="7"/>
  <c r="C59" i="3"/>
  <c r="C58" i="4" s="1"/>
  <c r="C60" i="5"/>
  <c r="C61" i="8"/>
  <c r="C61" i="5"/>
  <c r="C61" i="7"/>
  <c r="C60" i="3"/>
  <c r="C59" i="4" s="1"/>
  <c r="C62" i="7"/>
  <c r="C62" i="8"/>
  <c r="C62" i="5"/>
  <c r="C61" i="3"/>
  <c r="C60" i="4" s="1"/>
  <c r="C63" i="8"/>
  <c r="C63" i="7"/>
  <c r="C63" i="5"/>
  <c r="C62" i="3"/>
  <c r="C61" i="4" s="1"/>
  <c r="C64" i="8"/>
  <c r="C64" i="7"/>
  <c r="C64" i="5"/>
  <c r="C63" i="3"/>
  <c r="C62" i="4" s="1"/>
  <c r="C65" i="8"/>
  <c r="C65" i="5"/>
  <c r="C65" i="7"/>
  <c r="C64" i="3"/>
  <c r="C63" i="4" s="1"/>
  <c r="C66" i="7"/>
  <c r="C66" i="5"/>
  <c r="C66" i="8"/>
  <c r="C65" i="3"/>
  <c r="C64" i="4" s="1"/>
  <c r="C67" i="7"/>
  <c r="C67" i="8"/>
  <c r="C67" i="5"/>
  <c r="C66" i="3"/>
  <c r="C65" i="4" s="1"/>
  <c r="C68" i="8"/>
  <c r="C68" i="7"/>
  <c r="C67" i="3"/>
  <c r="C66" i="4" s="1"/>
  <c r="C68" i="5"/>
  <c r="C69" i="8"/>
  <c r="C69" i="7"/>
  <c r="C69" i="5"/>
  <c r="C68" i="3"/>
  <c r="C67" i="4" s="1"/>
  <c r="BC21" i="2" a="1"/>
  <c r="BC21" i="2" s="1"/>
  <c r="BO21" i="2" s="1"/>
  <c r="BC32" i="2" a="1"/>
  <c r="BC32" i="2" s="1"/>
  <c r="BO32" i="2" s="1"/>
  <c r="BC24" i="2" a="1"/>
  <c r="BC24" i="2" s="1"/>
  <c r="BO24" i="2" s="1"/>
  <c r="BC40" i="2" a="1"/>
  <c r="BC40" i="2" s="1"/>
  <c r="BO40" i="2" s="1"/>
  <c r="K84" i="2"/>
  <c r="X19" i="2"/>
  <c r="AX20" i="2" a="1"/>
  <c r="AX20" i="2" s="1"/>
  <c r="AK25" i="2"/>
  <c r="AK26" i="2"/>
  <c r="BH26" i="2" a="1"/>
  <c r="BH26" i="2" s="1"/>
  <c r="BT26" i="2" s="1"/>
  <c r="AX30" i="2" a="1"/>
  <c r="AX30" i="2" s="1"/>
  <c r="BJ30" i="2" s="1"/>
  <c r="AK31" i="2"/>
  <c r="BA32" i="2" a="1"/>
  <c r="BA32" i="2" s="1"/>
  <c r="BM32" i="2" s="1"/>
  <c r="AG41" i="2"/>
  <c r="AG56" i="2"/>
  <c r="BH56" i="2" s="1" a="1"/>
  <c r="BH56" i="2" s="1"/>
  <c r="BT56" i="2" s="1"/>
  <c r="AG23" i="2"/>
  <c r="BA23" i="2" s="1" a="1"/>
  <c r="BA23" i="2" s="1"/>
  <c r="BM23" i="2" s="1"/>
  <c r="C5" i="8"/>
  <c r="C5" i="5"/>
  <c r="C5" i="7"/>
  <c r="C4" i="3"/>
  <c r="C3" i="4" s="1"/>
  <c r="C7" i="8"/>
  <c r="C7" i="7"/>
  <c r="C6" i="3"/>
  <c r="C5" i="4" s="1"/>
  <c r="C7" i="5"/>
  <c r="C9" i="8"/>
  <c r="C9" i="5"/>
  <c r="C9" i="7"/>
  <c r="C8" i="3"/>
  <c r="C7" i="4" s="1"/>
  <c r="C11" i="7"/>
  <c r="C11" i="8"/>
  <c r="C11" i="5"/>
  <c r="C10" i="3"/>
  <c r="C9" i="4" s="1"/>
  <c r="C14" i="8"/>
  <c r="C14" i="7"/>
  <c r="C14" i="5"/>
  <c r="C13" i="3"/>
  <c r="C12" i="4" s="1"/>
  <c r="C16" i="8"/>
  <c r="C16" i="7"/>
  <c r="C15" i="3"/>
  <c r="C14" i="4" s="1"/>
  <c r="C16" i="5"/>
  <c r="C18" i="5"/>
  <c r="C18" i="8"/>
  <c r="C18" i="7"/>
  <c r="C17" i="3"/>
  <c r="C16" i="4" s="1"/>
  <c r="C20" i="8"/>
  <c r="C20" i="7"/>
  <c r="C20" i="5"/>
  <c r="C19" i="3"/>
  <c r="C18" i="4" s="1"/>
  <c r="C22" i="8"/>
  <c r="C22" i="7"/>
  <c r="C22" i="5"/>
  <c r="C21" i="3"/>
  <c r="C20" i="4" s="1"/>
  <c r="C24" i="8"/>
  <c r="C24" i="7"/>
  <c r="C24" i="5"/>
  <c r="C23" i="3"/>
  <c r="C22" i="4" s="1"/>
  <c r="C26" i="5"/>
  <c r="C26" i="7"/>
  <c r="C26" i="8"/>
  <c r="C25" i="3"/>
  <c r="C24" i="4" s="1"/>
  <c r="C28" i="8"/>
  <c r="C28" i="7"/>
  <c r="C27" i="3"/>
  <c r="C26" i="4" s="1"/>
  <c r="C28" i="5"/>
  <c r="C30" i="8"/>
  <c r="C30" i="7"/>
  <c r="C30" i="5"/>
  <c r="C29" i="3"/>
  <c r="C28" i="4" s="1"/>
  <c r="C32" i="8"/>
  <c r="C32" i="7"/>
  <c r="C32" i="5"/>
  <c r="C31" i="3"/>
  <c r="C30" i="4" s="1"/>
  <c r="C34" i="5"/>
  <c r="C34" i="8"/>
  <c r="C34" i="7"/>
  <c r="C33" i="3"/>
  <c r="C32" i="4" s="1"/>
  <c r="C37" i="8"/>
  <c r="C37" i="7"/>
  <c r="C37" i="5"/>
  <c r="C36" i="3"/>
  <c r="C35" i="4" s="1"/>
  <c r="C40" i="8"/>
  <c r="C40" i="7"/>
  <c r="C40" i="5"/>
  <c r="C39" i="3"/>
  <c r="C38" i="4" s="1"/>
  <c r="C46" i="7"/>
  <c r="C46" i="8"/>
  <c r="C46" i="5"/>
  <c r="C45" i="3"/>
  <c r="C44" i="4" s="1"/>
  <c r="BD40" i="2" a="1"/>
  <c r="BD40" i="2" s="1"/>
  <c r="BP40" i="2" s="1"/>
  <c r="BD25" i="2" a="1"/>
  <c r="BD25" i="2" s="1"/>
  <c r="BP25" i="2" s="1"/>
  <c r="D84" i="2"/>
  <c r="L84" i="2"/>
  <c r="Y19" i="2"/>
  <c r="BA21" i="2" a="1"/>
  <c r="BA21" i="2" s="1"/>
  <c r="BM21" i="2" s="1"/>
  <c r="BI21" i="2" a="1"/>
  <c r="BI21" i="2" s="1"/>
  <c r="BU21" i="2" s="1"/>
  <c r="AX28" i="2" a="1"/>
  <c r="AX28" i="2" s="1"/>
  <c r="BJ28" i="2" s="1"/>
  <c r="AK29" i="2"/>
  <c r="BD32" i="2" a="1"/>
  <c r="BD32" i="2" s="1"/>
  <c r="BP32" i="2" s="1"/>
  <c r="AG33" i="2"/>
  <c r="AQ33" i="2" s="1"/>
  <c r="BE40" i="2" a="1"/>
  <c r="BE40" i="2" s="1"/>
  <c r="BQ40" i="2" s="1"/>
  <c r="BE33" i="2" a="1"/>
  <c r="BE33" i="2" s="1"/>
  <c r="BQ33" i="2" s="1"/>
  <c r="BE25" i="2" a="1"/>
  <c r="BE25" i="2" s="1"/>
  <c r="BQ25" i="2" s="1"/>
  <c r="BE31" i="2" a="1"/>
  <c r="BE31" i="2" s="1"/>
  <c r="BQ31" i="2" s="1"/>
  <c r="BE23" i="2" a="1"/>
  <c r="BE23" i="2" s="1"/>
  <c r="BQ23" i="2" s="1"/>
  <c r="BE26" i="2" a="1"/>
  <c r="BE26" i="2" s="1"/>
  <c r="BQ26" i="2" s="1"/>
  <c r="E84" i="2"/>
  <c r="Z19" i="2"/>
  <c r="AG20" i="2"/>
  <c r="BH20" i="2" s="1" a="1"/>
  <c r="BH20" i="2" s="1"/>
  <c r="BT20" i="2" s="1"/>
  <c r="AG22" i="2"/>
  <c r="AZ24" i="2" a="1"/>
  <c r="AZ24" i="2" s="1"/>
  <c r="BL24" i="2" s="1"/>
  <c r="AG28" i="2"/>
  <c r="AG30" i="2"/>
  <c r="BG30" i="2" s="1" a="1"/>
  <c r="BG30" i="2" s="1"/>
  <c r="BS30" i="2" s="1"/>
  <c r="BE32" i="2" a="1"/>
  <c r="BE32" i="2" s="1"/>
  <c r="BQ32" i="2" s="1"/>
  <c r="AK41" i="2"/>
  <c r="AU41" i="2" s="1"/>
  <c r="AX81" i="2" a="1"/>
  <c r="AX81" i="2" s="1"/>
  <c r="AX82" i="2" a="1"/>
  <c r="AX82" i="2" s="1"/>
  <c r="BJ82" i="2" s="1"/>
  <c r="AX80" i="2" a="1"/>
  <c r="AX80" i="2" s="1"/>
  <c r="AX83" i="2" a="1"/>
  <c r="AX83" i="2" s="1"/>
  <c r="BJ83" i="2" s="1"/>
  <c r="AX79" i="2" a="1"/>
  <c r="AX79" i="2" s="1"/>
  <c r="AX77" i="2" a="1"/>
  <c r="AX77" i="2" s="1"/>
  <c r="AX75" i="2" a="1"/>
  <c r="AX75" i="2" s="1"/>
  <c r="AX70" i="2" a="1"/>
  <c r="AX70" i="2" s="1"/>
  <c r="AX78" i="2" a="1"/>
  <c r="AX78" i="2" s="1"/>
  <c r="AX73" i="2" a="1"/>
  <c r="AX73" i="2" s="1"/>
  <c r="AX69" i="2" a="1"/>
  <c r="AX69" i="2" s="1"/>
  <c r="BJ69" i="2" s="1"/>
  <c r="AX72" i="2" a="1"/>
  <c r="AX72" i="2" s="1"/>
  <c r="AX76" i="2" a="1"/>
  <c r="AX76" i="2" s="1"/>
  <c r="AX74" i="2" a="1"/>
  <c r="AX74" i="2" s="1"/>
  <c r="AX67" i="2" a="1"/>
  <c r="AX67" i="2" s="1"/>
  <c r="BJ67" i="2" s="1"/>
  <c r="AX59" i="2" a="1"/>
  <c r="AX59" i="2" s="1"/>
  <c r="BJ59" i="2" s="1"/>
  <c r="AX68" i="2" a="1"/>
  <c r="AX68" i="2" s="1"/>
  <c r="BJ68" i="2" s="1"/>
  <c r="AX65" i="2" a="1"/>
  <c r="AX65" i="2" s="1"/>
  <c r="BJ65" i="2" s="1"/>
  <c r="AX71" i="2" a="1"/>
  <c r="AX71" i="2" s="1"/>
  <c r="BJ71" i="2" s="1"/>
  <c r="AX66" i="2" a="1"/>
  <c r="AX66" i="2" s="1"/>
  <c r="BJ66" i="2" s="1"/>
  <c r="AX55" i="2" a="1"/>
  <c r="AX55" i="2" s="1"/>
  <c r="AX63" i="2" a="1"/>
  <c r="AX63" i="2" s="1"/>
  <c r="AX61" i="2" a="1"/>
  <c r="AX61" i="2" s="1"/>
  <c r="BJ61" i="2" s="1"/>
  <c r="AX50" i="2" a="1"/>
  <c r="AX50" i="2" s="1"/>
  <c r="BJ50" i="2" s="1"/>
  <c r="AX56" i="2" a="1"/>
  <c r="AX56" i="2" s="1"/>
  <c r="BJ56" i="2" s="1"/>
  <c r="AX48" i="2" a="1"/>
  <c r="AX48" i="2" s="1"/>
  <c r="BJ48" i="2" s="1"/>
  <c r="AX60" i="2" a="1"/>
  <c r="AX60" i="2" s="1"/>
  <c r="AX51" i="2" a="1"/>
  <c r="AX51" i="2" s="1"/>
  <c r="BJ51" i="2" s="1"/>
  <c r="AX64" i="2" a="1"/>
  <c r="AX64" i="2" s="1"/>
  <c r="BJ64" i="2" s="1"/>
  <c r="AX57" i="2" a="1"/>
  <c r="AX57" i="2" s="1"/>
  <c r="BJ57" i="2" s="1"/>
  <c r="AX49" i="2" a="1"/>
  <c r="AX49" i="2" s="1"/>
  <c r="BJ49" i="2" s="1"/>
  <c r="AX52" i="2" a="1"/>
  <c r="AX52" i="2" s="1"/>
  <c r="BJ52" i="2" s="1"/>
  <c r="AX54" i="2" a="1"/>
  <c r="AX54" i="2" s="1"/>
  <c r="AX46" i="2" a="1"/>
  <c r="AX46" i="2" s="1"/>
  <c r="BJ46" i="2" s="1"/>
  <c r="AX43" i="2" a="1"/>
  <c r="AX43" i="2" s="1"/>
  <c r="AX38" i="2" a="1"/>
  <c r="AX38" i="2" s="1"/>
  <c r="BJ38" i="2" s="1"/>
  <c r="AX41" i="2" a="1"/>
  <c r="AX41" i="2" s="1"/>
  <c r="BJ41" i="2" s="1"/>
  <c r="AX33" i="2" a="1"/>
  <c r="AX33" i="2" s="1"/>
  <c r="BJ33" i="2" s="1"/>
  <c r="AX62" i="2" a="1"/>
  <c r="AX62" i="2" s="1"/>
  <c r="AX58" i="2" a="1"/>
  <c r="AX58" i="2" s="1"/>
  <c r="BJ58" i="2" s="1"/>
  <c r="AX44" i="2" a="1"/>
  <c r="AX44" i="2" s="1"/>
  <c r="BJ44" i="2" s="1"/>
  <c r="AX36" i="2" a="1"/>
  <c r="AX36" i="2" s="1"/>
  <c r="BJ36" i="2" s="1"/>
  <c r="AX53" i="2" a="1"/>
  <c r="AX53" i="2" s="1"/>
  <c r="BJ53" i="2" s="1"/>
  <c r="AX39" i="2" a="1"/>
  <c r="AX39" i="2" s="1"/>
  <c r="BJ39" i="2" s="1"/>
  <c r="AX31" i="2" a="1"/>
  <c r="AX31" i="2" s="1"/>
  <c r="BJ31" i="2" s="1"/>
  <c r="AX23" i="2" a="1"/>
  <c r="AX23" i="2" s="1"/>
  <c r="BJ23" i="2" s="1"/>
  <c r="AX26" i="2" a="1"/>
  <c r="AX26" i="2" s="1"/>
  <c r="BJ26" i="2" s="1"/>
  <c r="AX29" i="2" a="1"/>
  <c r="AX29" i="2" s="1"/>
  <c r="AX21" i="2" a="1"/>
  <c r="AX21" i="2" s="1"/>
  <c r="BJ21" i="2" s="1"/>
  <c r="AX47" i="2" a="1"/>
  <c r="AX47" i="2" s="1"/>
  <c r="BJ47" i="2" s="1"/>
  <c r="AX42" i="2" a="1"/>
  <c r="AX42" i="2" s="1"/>
  <c r="BJ42" i="2" s="1"/>
  <c r="AX35" i="2" a="1"/>
  <c r="AX35" i="2" s="1"/>
  <c r="AX32" i="2" a="1"/>
  <c r="AX32" i="2" s="1"/>
  <c r="BJ32" i="2" s="1"/>
  <c r="AX24" i="2" a="1"/>
  <c r="AX24" i="2" s="1"/>
  <c r="BJ24" i="2" s="1"/>
  <c r="AX45" i="2" a="1"/>
  <c r="AX45" i="2" s="1"/>
  <c r="AX40" i="2" a="1"/>
  <c r="AX40" i="2" s="1"/>
  <c r="BJ40" i="2" s="1"/>
  <c r="AX37" i="2" a="1"/>
  <c r="AX37" i="2" s="1"/>
  <c r="AX27" i="2" a="1"/>
  <c r="AX27" i="2" s="1"/>
  <c r="AX25" i="2" a="1"/>
  <c r="AX25" i="2" s="1"/>
  <c r="BJ25" i="2" s="1"/>
  <c r="BF33" i="2" a="1"/>
  <c r="BF33" i="2" s="1"/>
  <c r="BR33" i="2" s="1"/>
  <c r="BF31" i="2" a="1"/>
  <c r="BF31" i="2" s="1"/>
  <c r="BR31" i="2" s="1"/>
  <c r="BF26" i="2" a="1"/>
  <c r="BF26" i="2" s="1"/>
  <c r="BR26" i="2" s="1"/>
  <c r="BF21" i="2" a="1"/>
  <c r="BF21" i="2" s="1"/>
  <c r="BR21" i="2" s="1"/>
  <c r="BF32" i="2" a="1"/>
  <c r="BF32" i="2" s="1"/>
  <c r="BR32" i="2" s="1"/>
  <c r="BF24" i="2" a="1"/>
  <c r="BF24" i="2" s="1"/>
  <c r="BR24" i="2" s="1"/>
  <c r="BF40" i="2" a="1"/>
  <c r="BF40" i="2" s="1"/>
  <c r="BR40" i="2" s="1"/>
  <c r="BF25" i="2" a="1"/>
  <c r="BF25" i="2" s="1"/>
  <c r="BR25" i="2" s="1"/>
  <c r="F84" i="2"/>
  <c r="S84" i="2"/>
  <c r="AA84" i="2"/>
  <c r="A21" i="2"/>
  <c r="BD21" i="2" a="1"/>
  <c r="BD21" i="2" s="1"/>
  <c r="BP21" i="2" s="1"/>
  <c r="BA24" i="2" a="1"/>
  <c r="BA24" i="2" s="1"/>
  <c r="BM24" i="2" s="1"/>
  <c r="AK28" i="2"/>
  <c r="AX34" i="2" a="1"/>
  <c r="AX34" i="2" s="1"/>
  <c r="BJ34" i="2" s="1"/>
  <c r="AK35" i="2"/>
  <c r="AG45" i="2"/>
  <c r="AK55" i="2"/>
  <c r="AK34" i="2"/>
  <c r="AG38" i="2"/>
  <c r="BG38" i="2" s="1" a="1"/>
  <c r="BG38" i="2" s="1"/>
  <c r="BS38" i="2" s="1"/>
  <c r="AK39" i="2"/>
  <c r="AK42" i="2"/>
  <c r="AG43" i="2"/>
  <c r="AK50" i="2"/>
  <c r="BD50" i="2" s="1" a="1"/>
  <c r="BD50" i="2" s="1"/>
  <c r="BP50" i="2" s="1"/>
  <c r="AG52" i="2"/>
  <c r="AG54" i="2"/>
  <c r="AG36" i="2"/>
  <c r="BE36" i="2" s="1" a="1"/>
  <c r="BE36" i="2" s="1"/>
  <c r="BQ36" i="2" s="1"/>
  <c r="AK44" i="2"/>
  <c r="AU44" i="2" s="1"/>
  <c r="AK46" i="2"/>
  <c r="BA46" i="2" s="1" a="1"/>
  <c r="BA46" i="2" s="1"/>
  <c r="BM46" i="2" s="1"/>
  <c r="AK53" i="2"/>
  <c r="AU53" i="2" s="1"/>
  <c r="AK59" i="2"/>
  <c r="AK63" i="2"/>
  <c r="AK45" i="2"/>
  <c r="AG48" i="2"/>
  <c r="AK48" i="2"/>
  <c r="AU48" i="2" s="1"/>
  <c r="AG44" i="2"/>
  <c r="AZ44" i="2" s="1" a="1"/>
  <c r="AZ44" i="2" s="1"/>
  <c r="BL44" i="2" s="1"/>
  <c r="AK49" i="2"/>
  <c r="AG51" i="2"/>
  <c r="AG35" i="2"/>
  <c r="AK47" i="2"/>
  <c r="AG53" i="2"/>
  <c r="BC53" i="2" s="1" a="1"/>
  <c r="BC53" i="2" s="1"/>
  <c r="BO53" i="2" s="1"/>
  <c r="AG55" i="2"/>
  <c r="AG63" i="2"/>
  <c r="AK68" i="2"/>
  <c r="AU68" i="2" s="1"/>
  <c r="AG58" i="2"/>
  <c r="AK61" i="2"/>
  <c r="AK62" i="2"/>
  <c r="AG65" i="2"/>
  <c r="AQ65" i="2" s="1"/>
  <c r="AK65" i="2"/>
  <c r="AU65" i="2" s="1"/>
  <c r="AK66" i="2"/>
  <c r="AU66" i="2" s="1"/>
  <c r="AG67" i="2"/>
  <c r="AG47" i="2"/>
  <c r="AQ47" i="2" s="1"/>
  <c r="AK51" i="2"/>
  <c r="BC51" i="2" s="1" a="1"/>
  <c r="BC51" i="2" s="1"/>
  <c r="BO51" i="2" s="1"/>
  <c r="AK73" i="2"/>
  <c r="AK52" i="2"/>
  <c r="AU52" i="2" s="1"/>
  <c r="AK57" i="2"/>
  <c r="AU57" i="2" s="1"/>
  <c r="AK58" i="2"/>
  <c r="BF58" i="2" s="1" a="1"/>
  <c r="BF58" i="2" s="1"/>
  <c r="BR58" i="2" s="1"/>
  <c r="AG62" i="2"/>
  <c r="AK67" i="2"/>
  <c r="AU67" i="2" s="1"/>
  <c r="AG64" i="2"/>
  <c r="BG64" i="2" s="1" a="1"/>
  <c r="BG64" i="2" s="1"/>
  <c r="BS64" i="2" s="1"/>
  <c r="AG68" i="2"/>
  <c r="BA68" i="2" s="1" a="1"/>
  <c r="BA68" i="2" s="1"/>
  <c r="BM68" i="2" s="1"/>
  <c r="AG69" i="2"/>
  <c r="AZ69" i="2" s="1" a="1"/>
  <c r="AZ69" i="2" s="1"/>
  <c r="BL69" i="2" s="1"/>
  <c r="AK60" i="2"/>
  <c r="AK70" i="2"/>
  <c r="AK74" i="2"/>
  <c r="AK71" i="2"/>
  <c r="AU71" i="2" s="1"/>
  <c r="AG73" i="2"/>
  <c r="BG73" i="2" s="1" a="1"/>
  <c r="BG73" i="2" s="1"/>
  <c r="AK79" i="2"/>
  <c r="AG70" i="2"/>
  <c r="AG75" i="2"/>
  <c r="BB75" i="2" s="1" a="1"/>
  <c r="BB75" i="2" s="1"/>
  <c r="AK77" i="2"/>
  <c r="AK81" i="2"/>
  <c r="AK76" i="2"/>
  <c r="AG78" i="2"/>
  <c r="AK80" i="2"/>
  <c r="AG72" i="2"/>
  <c r="AG74" i="2"/>
  <c r="BI74" i="2" s="1" a="1"/>
  <c r="BI74" i="2" s="1"/>
  <c r="AG79" i="2"/>
  <c r="AG77" i="2"/>
  <c r="BG77" i="2" s="1" a="1"/>
  <c r="BG77" i="2" s="1"/>
  <c r="AG81" i="2"/>
  <c r="BC81" i="2" s="1" a="1"/>
  <c r="BC81" i="2" s="1"/>
  <c r="AK83" i="2"/>
  <c r="AU83" i="2" s="1"/>
  <c r="AG80" i="2"/>
  <c r="BA80" i="2" s="1" a="1"/>
  <c r="BA80" i="2" s="1"/>
  <c r="AG83" i="2"/>
  <c r="AQ83" i="2" s="1"/>
  <c r="AK82" i="2"/>
  <c r="AU82" i="2" s="1"/>
  <c r="AA13" i="5"/>
  <c r="D13" i="1" s="1"/>
  <c r="Z13" i="7"/>
  <c r="E13" i="1" s="1"/>
  <c r="N27" i="2" s="1"/>
  <c r="AB27" i="2" s="1"/>
  <c r="AL27" i="2" s="1"/>
  <c r="Z21" i="7"/>
  <c r="E21" i="1" s="1"/>
  <c r="Z29" i="7"/>
  <c r="E29" i="1" s="1"/>
  <c r="Z41" i="7"/>
  <c r="E41" i="1" s="1"/>
  <c r="Z48" i="7"/>
  <c r="E48" i="1" s="1"/>
  <c r="Z57" i="7"/>
  <c r="E57" i="1" s="1"/>
  <c r="Z64" i="7"/>
  <c r="E64" i="1" s="1"/>
  <c r="Z8" i="7"/>
  <c r="E8" i="1" s="1"/>
  <c r="Z40" i="7"/>
  <c r="E40" i="1" s="1"/>
  <c r="Z49" i="7"/>
  <c r="E49" i="1" s="1"/>
  <c r="Z56" i="7"/>
  <c r="E56" i="1" s="1"/>
  <c r="Z65" i="7"/>
  <c r="E65" i="1" s="1"/>
  <c r="I62" i="1" l="1"/>
  <c r="J62" i="1" s="1"/>
  <c r="N76" i="2"/>
  <c r="AB76" i="2" s="1"/>
  <c r="AL76" i="2" s="1"/>
  <c r="BC76" i="2" s="1" a="1"/>
  <c r="BC76" i="2" s="1"/>
  <c r="I46" i="1"/>
  <c r="J46" i="1" s="1"/>
  <c r="N60" i="2"/>
  <c r="AB60" i="2" s="1"/>
  <c r="AL60" i="2" s="1"/>
  <c r="I31" i="1"/>
  <c r="J31" i="1" s="1"/>
  <c r="N45" i="2"/>
  <c r="AB45" i="2" s="1"/>
  <c r="AL45" i="2" s="1"/>
  <c r="I23" i="1"/>
  <c r="J23" i="1" s="1"/>
  <c r="N37" i="2"/>
  <c r="AB37" i="2" s="1"/>
  <c r="AL37" i="2" s="1"/>
  <c r="BB37" i="2" s="1" a="1"/>
  <c r="BB37" i="2" s="1"/>
  <c r="BN37" i="2" s="1"/>
  <c r="I15" i="1"/>
  <c r="J15" i="1" s="1"/>
  <c r="N29" i="2"/>
  <c r="AB29" i="2" s="1"/>
  <c r="AL29" i="2" s="1"/>
  <c r="BG76" i="2" a="1"/>
  <c r="BG76" i="2" s="1"/>
  <c r="BE60" i="2" a="1"/>
  <c r="BE60" i="2" s="1"/>
  <c r="BQ60" i="2" s="1"/>
  <c r="BD42" i="2" a="1"/>
  <c r="BD42" i="2" s="1"/>
  <c r="BP42" i="2" s="1"/>
  <c r="BD24" i="2" a="1"/>
  <c r="BD24" i="2" s="1"/>
  <c r="BP24" i="2" s="1"/>
  <c r="BD26" i="2" a="1"/>
  <c r="BD26" i="2" s="1"/>
  <c r="BP26" i="2" s="1"/>
  <c r="BC27" i="2" a="1"/>
  <c r="BC27" i="2" s="1"/>
  <c r="AZ29" i="2" a="1"/>
  <c r="AZ29" i="2" s="1"/>
  <c r="BL29" i="2" s="1"/>
  <c r="BB41" i="2" a="1"/>
  <c r="BB41" i="2" s="1"/>
  <c r="BN41" i="2" s="1"/>
  <c r="BA28" i="2" a="1"/>
  <c r="BA28" i="2" s="1"/>
  <c r="BM28" i="2" s="1"/>
  <c r="BB45" i="2" a="1"/>
  <c r="BB45" i="2" s="1"/>
  <c r="BN45" i="2" s="1"/>
  <c r="BH52" i="2" a="1"/>
  <c r="BH52" i="2" s="1"/>
  <c r="BT52" i="2" s="1"/>
  <c r="BA48" i="2" a="1"/>
  <c r="BA48" i="2" s="1"/>
  <c r="BM48" i="2" s="1"/>
  <c r="BI51" i="2" a="1"/>
  <c r="BI51" i="2" s="1"/>
  <c r="BU51" i="2" s="1"/>
  <c r="BA58" i="2" a="1"/>
  <c r="BA58" i="2" s="1"/>
  <c r="BM58" i="2" s="1"/>
  <c r="AZ67" i="2" a="1"/>
  <c r="AZ67" i="2" s="1"/>
  <c r="BL67" i="2" s="1"/>
  <c r="I13" i="1"/>
  <c r="J13" i="1" s="1"/>
  <c r="AZ25" i="2" a="1"/>
  <c r="AZ25" i="2" s="1"/>
  <c r="BL25" i="2" s="1"/>
  <c r="BI25" i="2" a="1"/>
  <c r="BI25" i="2" s="1"/>
  <c r="BU25" i="2" s="1"/>
  <c r="BC25" i="2" a="1"/>
  <c r="BC25" i="2" s="1"/>
  <c r="BO25" i="2" s="1"/>
  <c r="BG26" i="2" a="1"/>
  <c r="BG26" i="2" s="1"/>
  <c r="BS26" i="2" s="1"/>
  <c r="BB26" i="2" a="1"/>
  <c r="BB26" i="2" s="1"/>
  <c r="BN26" i="2" s="1"/>
  <c r="BI26" i="2" a="1"/>
  <c r="BI26" i="2" s="1"/>
  <c r="BU26" i="2" s="1"/>
  <c r="BA31" i="2" a="1"/>
  <c r="BA31" i="2" s="1"/>
  <c r="BM31" i="2" s="1"/>
  <c r="BC31" i="2" a="1"/>
  <c r="BC31" i="2" s="1"/>
  <c r="BO31" i="2" s="1"/>
  <c r="BG39" i="2" a="1"/>
  <c r="BG39" i="2" s="1"/>
  <c r="BS39" i="2" s="1"/>
  <c r="BC39" i="2" a="1"/>
  <c r="BC39" i="2" s="1"/>
  <c r="BO39" i="2" s="1"/>
  <c r="BD39" i="2" a="1"/>
  <c r="BD39" i="2" s="1"/>
  <c r="BP39" i="2" s="1"/>
  <c r="AZ39" i="2" a="1"/>
  <c r="AZ39" i="2" s="1"/>
  <c r="BL39" i="2" s="1"/>
  <c r="BI59" i="2" a="1"/>
  <c r="BI59" i="2" s="1"/>
  <c r="BU59" i="2" s="1"/>
  <c r="BD59" i="2" a="1"/>
  <c r="BD59" i="2" s="1"/>
  <c r="BP59" i="2" s="1"/>
  <c r="BE59" i="2" a="1"/>
  <c r="BE59" i="2" s="1"/>
  <c r="BQ59" i="2" s="1"/>
  <c r="BF59" i="2" a="1"/>
  <c r="BF59" i="2" s="1"/>
  <c r="BR59" i="2" s="1"/>
  <c r="AZ49" i="2" a="1"/>
  <c r="AZ49" i="2" s="1"/>
  <c r="BL49" i="2" s="1"/>
  <c r="BE49" i="2" a="1"/>
  <c r="BE49" i="2" s="1"/>
  <c r="BQ49" i="2" s="1"/>
  <c r="BG61" i="2" a="1"/>
  <c r="BG61" i="2" s="1"/>
  <c r="BS61" i="2" s="1"/>
  <c r="BD61" i="2" a="1"/>
  <c r="BD61" i="2" s="1"/>
  <c r="BP61" i="2" s="1"/>
  <c r="BE61" i="2" a="1"/>
  <c r="BE61" i="2" s="1"/>
  <c r="BQ61" i="2" s="1"/>
  <c r="BF61" i="2" a="1"/>
  <c r="BF61" i="2" s="1"/>
  <c r="BR61" i="2" s="1"/>
  <c r="BI72" i="2" a="1"/>
  <c r="BI72" i="2" s="1"/>
  <c r="BC72" i="2" a="1"/>
  <c r="BC72" i="2" s="1"/>
  <c r="BE75" i="2" a="1"/>
  <c r="BE75" i="2" s="1"/>
  <c r="BE74" i="2" a="1"/>
  <c r="BE74" i="2" s="1"/>
  <c r="BB72" i="2" a="1"/>
  <c r="BB72" i="2" s="1"/>
  <c r="BF82" i="2" a="1"/>
  <c r="BF82" i="2" s="1"/>
  <c r="BR82" i="2" s="1"/>
  <c r="BE82" i="2" a="1"/>
  <c r="BE82" i="2" s="1"/>
  <c r="BQ82" i="2" s="1"/>
  <c r="BA60" i="2" a="1"/>
  <c r="BA60" i="2" s="1"/>
  <c r="BM60" i="2" s="1"/>
  <c r="BI60" i="2" a="1"/>
  <c r="BI60" i="2" s="1"/>
  <c r="BU60" i="2" s="1"/>
  <c r="BB60" i="2" a="1"/>
  <c r="BB60" i="2" s="1"/>
  <c r="BN60" i="2" s="1"/>
  <c r="BD60" i="2" a="1"/>
  <c r="BD60" i="2" s="1"/>
  <c r="BP60" i="2" s="1"/>
  <c r="BF56" i="2" a="1"/>
  <c r="BF56" i="2" s="1"/>
  <c r="BR56" i="2" s="1"/>
  <c r="BE56" i="2" a="1"/>
  <c r="BE56" i="2" s="1"/>
  <c r="BQ56" i="2" s="1"/>
  <c r="BD56" i="2" a="1"/>
  <c r="BD56" i="2" s="1"/>
  <c r="BP56" i="2" s="1"/>
  <c r="BE64" i="2" a="1"/>
  <c r="BE64" i="2" s="1"/>
  <c r="BQ64" i="2" s="1"/>
  <c r="BF53" i="2" a="1"/>
  <c r="BF53" i="2" s="1"/>
  <c r="BR53" i="2" s="1"/>
  <c r="BF51" i="2" a="1"/>
  <c r="BF51" i="2" s="1"/>
  <c r="BR51" i="2" s="1"/>
  <c r="BF69" i="2" a="1"/>
  <c r="BF69" i="2" s="1"/>
  <c r="BR69" i="2" s="1"/>
  <c r="BE73" i="2" a="1"/>
  <c r="BE73" i="2" s="1"/>
  <c r="BD23" i="2" a="1"/>
  <c r="BD23" i="2" s="1"/>
  <c r="BP23" i="2" s="1"/>
  <c r="BC69" i="2" a="1"/>
  <c r="BC69" i="2" s="1"/>
  <c r="BO69" i="2" s="1"/>
  <c r="BB64" i="2" a="1"/>
  <c r="BB64" i="2" s="1"/>
  <c r="BN64" i="2" s="1"/>
  <c r="BF73" i="2" a="1"/>
  <c r="BF73" i="2" s="1"/>
  <c r="BF23" i="2" a="1"/>
  <c r="BF23" i="2" s="1"/>
  <c r="BR23" i="2" s="1"/>
  <c r="BF75" i="2" a="1"/>
  <c r="BF75" i="2" s="1"/>
  <c r="BE69" i="2" a="1"/>
  <c r="BE69" i="2" s="1"/>
  <c r="BQ69" i="2" s="1"/>
  <c r="BD68" i="2" a="1"/>
  <c r="BD68" i="2" s="1"/>
  <c r="BP68" i="2" s="1"/>
  <c r="BD80" i="2" a="1"/>
  <c r="BD80" i="2" s="1"/>
  <c r="BC64" i="2" a="1"/>
  <c r="BC64" i="2" s="1"/>
  <c r="BO64" i="2" s="1"/>
  <c r="BD64" i="2" a="1"/>
  <c r="BD64" i="2" s="1"/>
  <c r="BP64" i="2" s="1"/>
  <c r="BB73" i="2" a="1"/>
  <c r="BB73" i="2" s="1"/>
  <c r="BF64" i="2" a="1"/>
  <c r="BF64" i="2" s="1"/>
  <c r="BR64" i="2" s="1"/>
  <c r="BF72" i="2" a="1"/>
  <c r="BF72" i="2" s="1"/>
  <c r="BD72" i="2" a="1"/>
  <c r="BD72" i="2" s="1"/>
  <c r="BB47" i="2" a="1"/>
  <c r="BB47" i="2" s="1"/>
  <c r="BN47" i="2" s="1"/>
  <c r="BD44" i="2" a="1"/>
  <c r="BD44" i="2" s="1"/>
  <c r="BP44" i="2" s="1"/>
  <c r="BC44" i="2" a="1"/>
  <c r="BC44" i="2" s="1"/>
  <c r="BO44" i="2" s="1"/>
  <c r="BI44" i="2" a="1"/>
  <c r="BI44" i="2" s="1"/>
  <c r="BU44" i="2" s="1"/>
  <c r="BF45" i="2" a="1"/>
  <c r="BF45" i="2" s="1"/>
  <c r="BR45" i="2" s="1"/>
  <c r="BF44" i="2" a="1"/>
  <c r="BF44" i="2" s="1"/>
  <c r="BR44" i="2" s="1"/>
  <c r="BH44" i="2" a="1"/>
  <c r="BH44" i="2" s="1"/>
  <c r="BT44" i="2" s="1"/>
  <c r="BH42" i="2" a="1"/>
  <c r="BH42" i="2" s="1"/>
  <c r="BT42" i="2" s="1"/>
  <c r="BE42" i="2" a="1"/>
  <c r="BE42" i="2" s="1"/>
  <c r="BQ42" i="2" s="1"/>
  <c r="BC42" i="2" a="1"/>
  <c r="BC42" i="2" s="1"/>
  <c r="BO42" i="2" s="1"/>
  <c r="AQ42" i="2"/>
  <c r="BE41" i="2" a="1"/>
  <c r="BE41" i="2" s="1"/>
  <c r="BQ41" i="2" s="1"/>
  <c r="BF37" i="2" a="1"/>
  <c r="BF37" i="2" s="1"/>
  <c r="BR37" i="2" s="1"/>
  <c r="BE38" i="2" a="1"/>
  <c r="BE38" i="2" s="1"/>
  <c r="BQ38" i="2" s="1"/>
  <c r="BH37" i="2" a="1"/>
  <c r="BH37" i="2" s="1"/>
  <c r="BT37" i="2" s="1"/>
  <c r="BI37" i="2" a="1"/>
  <c r="BI37" i="2" s="1"/>
  <c r="BU37" i="2" s="1"/>
  <c r="BF38" i="2" a="1"/>
  <c r="BF38" i="2" s="1"/>
  <c r="BR38" i="2" s="1"/>
  <c r="BD38" i="2" a="1"/>
  <c r="BD38" i="2" s="1"/>
  <c r="BP38" i="2" s="1"/>
  <c r="BB38" i="2" a="1"/>
  <c r="BB38" i="2" s="1"/>
  <c r="BN38" i="2" s="1"/>
  <c r="BD37" i="2" a="1"/>
  <c r="BD37" i="2" s="1"/>
  <c r="BP37" i="2" s="1"/>
  <c r="BA37" i="2" a="1"/>
  <c r="BA37" i="2" s="1"/>
  <c r="BM37" i="2" s="1"/>
  <c r="AZ37" i="2" a="1"/>
  <c r="AZ37" i="2" s="1"/>
  <c r="BL37" i="2" s="1"/>
  <c r="BG37" i="2" a="1"/>
  <c r="BG37" i="2" s="1"/>
  <c r="BS37" i="2" s="1"/>
  <c r="AQ37" i="2"/>
  <c r="BE37" i="2" a="1"/>
  <c r="BE37" i="2" s="1"/>
  <c r="BQ37" i="2" s="1"/>
  <c r="BC37" i="2" a="1"/>
  <c r="BC37" i="2" s="1"/>
  <c r="BO37" i="2" s="1"/>
  <c r="BI34" i="2" a="1"/>
  <c r="BI34" i="2" s="1"/>
  <c r="BU34" i="2" s="1"/>
  <c r="BE30" i="2" a="1"/>
  <c r="BE30" i="2" s="1"/>
  <c r="BQ30" i="2" s="1"/>
  <c r="BB30" i="2" a="1"/>
  <c r="BB30" i="2" s="1"/>
  <c r="BN30" i="2" s="1"/>
  <c r="BC30" i="2" a="1"/>
  <c r="BC30" i="2" s="1"/>
  <c r="BO30" i="2" s="1"/>
  <c r="BB28" i="2" a="1"/>
  <c r="BB28" i="2" s="1"/>
  <c r="BN28" i="2" s="1"/>
  <c r="BI28" i="2" a="1"/>
  <c r="BI28" i="2" s="1"/>
  <c r="BU28" i="2" s="1"/>
  <c r="BA27" i="2" a="1"/>
  <c r="BA27" i="2" s="1"/>
  <c r="BD27" i="2" a="1"/>
  <c r="BD27" i="2" s="1"/>
  <c r="BF27" i="2" a="1"/>
  <c r="BF27" i="2" s="1"/>
  <c r="BC23" i="2" a="1"/>
  <c r="BC23" i="2" s="1"/>
  <c r="BO23" i="2" s="1"/>
  <c r="BI23" i="2" a="1"/>
  <c r="BI23" i="2" s="1"/>
  <c r="BU23" i="2" s="1"/>
  <c r="BF48" i="2" a="1"/>
  <c r="BF48" i="2" s="1"/>
  <c r="BR48" i="2" s="1"/>
  <c r="BF81" i="2" a="1"/>
  <c r="BF81" i="2" s="1"/>
  <c r="BE83" i="2" a="1"/>
  <c r="BE83" i="2" s="1"/>
  <c r="BQ83" i="2" s="1"/>
  <c r="BD34" i="2" a="1"/>
  <c r="BD34" i="2" s="1"/>
  <c r="BP34" i="2" s="1"/>
  <c r="BD83" i="2" a="1"/>
  <c r="BD83" i="2" s="1"/>
  <c r="BP83" i="2" s="1"/>
  <c r="BC47" i="2" a="1"/>
  <c r="BC47" i="2" s="1"/>
  <c r="BO47" i="2" s="1"/>
  <c r="BC74" i="2" a="1"/>
  <c r="BC74" i="2" s="1"/>
  <c r="BB25" i="2" a="1"/>
  <c r="BB25" i="2" s="1"/>
  <c r="BN25" i="2" s="1"/>
  <c r="BB34" i="2" a="1"/>
  <c r="BB34" i="2" s="1"/>
  <c r="BN34" i="2" s="1"/>
  <c r="BB56" i="2" a="1"/>
  <c r="BB56" i="2" s="1"/>
  <c r="BN56" i="2" s="1"/>
  <c r="BH25" i="2" a="1"/>
  <c r="BH25" i="2" s="1"/>
  <c r="BT25" i="2" s="1"/>
  <c r="BH59" i="2" a="1"/>
  <c r="BH59" i="2" s="1"/>
  <c r="BT59" i="2" s="1"/>
  <c r="BH58" i="2" a="1"/>
  <c r="BH58" i="2" s="1"/>
  <c r="BT58" i="2" s="1"/>
  <c r="BH69" i="2" a="1"/>
  <c r="BH69" i="2" s="1"/>
  <c r="BT69" i="2" s="1"/>
  <c r="BA29" i="2" a="1"/>
  <c r="BA29" i="2" s="1"/>
  <c r="BM29" i="2" s="1"/>
  <c r="BA20" i="2" a="1"/>
  <c r="BA20" i="2" s="1"/>
  <c r="BM20" i="2" s="1"/>
  <c r="BA49" i="2" a="1"/>
  <c r="BA49" i="2" s="1"/>
  <c r="BM49" i="2" s="1"/>
  <c r="BA50" i="2" a="1"/>
  <c r="BA50" i="2" s="1"/>
  <c r="BM50" i="2" s="1"/>
  <c r="BA81" i="2" a="1"/>
  <c r="BA81" i="2" s="1"/>
  <c r="BA82" i="2" a="1"/>
  <c r="BA82" i="2" s="1"/>
  <c r="BM82" i="2" s="1"/>
  <c r="AZ33" i="2" a="1"/>
  <c r="AZ33" i="2" s="1"/>
  <c r="BL33" i="2" s="1"/>
  <c r="AZ45" i="2" a="1"/>
  <c r="AZ45" i="2" s="1"/>
  <c r="BL45" i="2" s="1"/>
  <c r="AZ59" i="2" a="1"/>
  <c r="AZ59" i="2" s="1"/>
  <c r="BL59" i="2" s="1"/>
  <c r="AZ57" i="2" a="1"/>
  <c r="AZ57" i="2" s="1"/>
  <c r="BL57" i="2" s="1"/>
  <c r="AZ64" i="2" a="1"/>
  <c r="AZ64" i="2" s="1"/>
  <c r="BL64" i="2" s="1"/>
  <c r="AZ74" i="2" a="1"/>
  <c r="AZ74" i="2" s="1"/>
  <c r="BG20" i="2" a="1"/>
  <c r="BG20" i="2" s="1"/>
  <c r="BS20" i="2" s="1"/>
  <c r="BG44" i="2" a="1"/>
  <c r="BG44" i="2" s="1"/>
  <c r="BS44" i="2" s="1"/>
  <c r="BG49" i="2" a="1"/>
  <c r="BG49" i="2" s="1"/>
  <c r="BS49" i="2" s="1"/>
  <c r="BG56" i="2" a="1"/>
  <c r="BG56" i="2" s="1"/>
  <c r="BS56" i="2" s="1"/>
  <c r="BG65" i="2" a="1"/>
  <c r="BG65" i="2" s="1"/>
  <c r="BS65" i="2" s="1"/>
  <c r="BG80" i="2" a="1"/>
  <c r="BG80" i="2" s="1"/>
  <c r="AQ48" i="2"/>
  <c r="AU61" i="2"/>
  <c r="AU31" i="2"/>
  <c r="AQ41" i="2"/>
  <c r="AU60" i="2"/>
  <c r="AQ23" i="2"/>
  <c r="AQ38" i="2"/>
  <c r="BJ20" i="2"/>
  <c r="AU51" i="2"/>
  <c r="AQ68" i="2"/>
  <c r="BC20" i="2" a="1"/>
  <c r="BC20" i="2" s="1"/>
  <c r="BO20" i="2" s="1"/>
  <c r="BF36" i="2" a="1"/>
  <c r="BF36" i="2" s="1"/>
  <c r="BR36" i="2" s="1"/>
  <c r="BF77" i="2" a="1"/>
  <c r="BF77" i="2" s="1"/>
  <c r="N43" i="2"/>
  <c r="AB43" i="2" s="1"/>
  <c r="AL43" i="2" s="1"/>
  <c r="I29" i="1"/>
  <c r="J29" i="1" s="1"/>
  <c r="BD66" i="2" a="1"/>
  <c r="BD66" i="2" s="1"/>
  <c r="BP66" i="2" s="1"/>
  <c r="BB36" i="2" a="1"/>
  <c r="BB36" i="2" s="1"/>
  <c r="BN36" i="2" s="1"/>
  <c r="BF67" i="2" a="1"/>
  <c r="BF67" i="2" s="1"/>
  <c r="BR67" i="2" s="1"/>
  <c r="BD33" i="2" a="1"/>
  <c r="BD33" i="2" s="1"/>
  <c r="BP33" i="2" s="1"/>
  <c r="BD46" i="2" a="1"/>
  <c r="BD46" i="2" s="1"/>
  <c r="BP46" i="2" s="1"/>
  <c r="BD75" i="2" a="1"/>
  <c r="BD75" i="2" s="1"/>
  <c r="BD77" i="2" a="1"/>
  <c r="BD77" i="2" s="1"/>
  <c r="BC33" i="2" a="1"/>
  <c r="BC33" i="2" s="1"/>
  <c r="BO33" i="2" s="1"/>
  <c r="BC52" i="2" a="1"/>
  <c r="BC52" i="2" s="1"/>
  <c r="BO52" i="2" s="1"/>
  <c r="BC56" i="2" a="1"/>
  <c r="BC56" i="2" s="1"/>
  <c r="BO56" i="2" s="1"/>
  <c r="BI39" i="2" a="1"/>
  <c r="BI39" i="2" s="1"/>
  <c r="BU39" i="2" s="1"/>
  <c r="BI33" i="2" a="1"/>
  <c r="BI33" i="2" s="1"/>
  <c r="BU33" i="2" s="1"/>
  <c r="BI73" i="2" a="1"/>
  <c r="BI73" i="2" s="1"/>
  <c r="BI45" i="2" a="1"/>
  <c r="BI45" i="2" s="1"/>
  <c r="BU45" i="2" s="1"/>
  <c r="BI57" i="2" a="1"/>
  <c r="BI57" i="2" s="1"/>
  <c r="BU57" i="2" s="1"/>
  <c r="BI69" i="2" a="1"/>
  <c r="BI69" i="2" s="1"/>
  <c r="BU69" i="2" s="1"/>
  <c r="BF42" i="2" a="1"/>
  <c r="BF42" i="2" s="1"/>
  <c r="BR42" i="2" s="1"/>
  <c r="W84" i="2"/>
  <c r="AG19" i="2"/>
  <c r="BB27" i="2" a="1"/>
  <c r="BB27" i="2" s="1"/>
  <c r="BB42" i="2" a="1"/>
  <c r="BB42" i="2" s="1"/>
  <c r="BN42" i="2" s="1"/>
  <c r="BB44" i="2" a="1"/>
  <c r="BB44" i="2" s="1"/>
  <c r="BN44" i="2" s="1"/>
  <c r="BB43" i="2" a="1"/>
  <c r="BB43" i="2" s="1"/>
  <c r="BB61" i="2" a="1"/>
  <c r="BB61" i="2" s="1"/>
  <c r="BN61" i="2" s="1"/>
  <c r="BB69" i="2" a="1"/>
  <c r="BB69" i="2" s="1"/>
  <c r="BN69" i="2" s="1"/>
  <c r="BB80" i="2" a="1"/>
  <c r="BB80" i="2" s="1"/>
  <c r="BH29" i="2" a="1"/>
  <c r="BH29" i="2" s="1"/>
  <c r="BT29" i="2" s="1"/>
  <c r="BH41" i="2" a="1"/>
  <c r="BH41" i="2" s="1"/>
  <c r="BT41" i="2" s="1"/>
  <c r="BH48" i="2" a="1"/>
  <c r="BH48" i="2" s="1"/>
  <c r="BT48" i="2" s="1"/>
  <c r="BH60" i="2" a="1"/>
  <c r="BH60" i="2" s="1"/>
  <c r="BT60" i="2" s="1"/>
  <c r="BH75" i="2" a="1"/>
  <c r="BH75" i="2" s="1"/>
  <c r="BH81" i="2" a="1"/>
  <c r="BH81" i="2" s="1"/>
  <c r="BA26" i="2" a="1"/>
  <c r="BA26" i="2" s="1"/>
  <c r="BM26" i="2" s="1"/>
  <c r="BA38" i="2" a="1"/>
  <c r="BA38" i="2" s="1"/>
  <c r="BM38" i="2" s="1"/>
  <c r="BA45" i="2" a="1"/>
  <c r="BA45" i="2" s="1"/>
  <c r="BM45" i="2" s="1"/>
  <c r="BA59" i="2" a="1"/>
  <c r="BA59" i="2" s="1"/>
  <c r="BM59" i="2" s="1"/>
  <c r="BA67" i="2" a="1"/>
  <c r="BA67" i="2" s="1"/>
  <c r="BM67" i="2" s="1"/>
  <c r="BA83" i="2" a="1"/>
  <c r="BA83" i="2" s="1"/>
  <c r="BM83" i="2" s="1"/>
  <c r="AZ38" i="2" a="1"/>
  <c r="AZ38" i="2" s="1"/>
  <c r="BL38" i="2" s="1"/>
  <c r="AZ30" i="2" a="1"/>
  <c r="AZ30" i="2" s="1"/>
  <c r="BL30" i="2" s="1"/>
  <c r="AZ50" i="2" a="1"/>
  <c r="AZ50" i="2" s="1"/>
  <c r="BL50" i="2" s="1"/>
  <c r="AZ53" i="2" a="1"/>
  <c r="AZ53" i="2" s="1"/>
  <c r="BL53" i="2" s="1"/>
  <c r="AZ46" i="2" a="1"/>
  <c r="AZ46" i="2" s="1"/>
  <c r="BL46" i="2" s="1"/>
  <c r="BG23" i="2" a="1"/>
  <c r="BG23" i="2" s="1"/>
  <c r="BS23" i="2" s="1"/>
  <c r="BG24" i="2" a="1"/>
  <c r="BG24" i="2" s="1"/>
  <c r="BS24" i="2" s="1"/>
  <c r="BG34" i="2" a="1"/>
  <c r="BG34" i="2" s="1"/>
  <c r="BS34" i="2" s="1"/>
  <c r="BG51" i="2" a="1"/>
  <c r="BG51" i="2" s="1"/>
  <c r="BS51" i="2" s="1"/>
  <c r="BG57" i="2" a="1"/>
  <c r="BG57" i="2" s="1"/>
  <c r="BS57" i="2" s="1"/>
  <c r="BG59" i="2" a="1"/>
  <c r="BG59" i="2" s="1"/>
  <c r="BS59" i="2" s="1"/>
  <c r="BG69" i="2" a="1"/>
  <c r="BG69" i="2" s="1"/>
  <c r="BS69" i="2" s="1"/>
  <c r="AQ44" i="2"/>
  <c r="BK20" i="2"/>
  <c r="AQ52" i="2"/>
  <c r="AQ29" i="2"/>
  <c r="AQ56" i="2"/>
  <c r="BC41" i="2" a="1"/>
  <c r="BC41" i="2" s="1"/>
  <c r="BO41" i="2" s="1"/>
  <c r="AQ20" i="2"/>
  <c r="AU39" i="2"/>
  <c r="BH39" i="2" a="1"/>
  <c r="BH39" i="2" s="1"/>
  <c r="BT39" i="2" s="1"/>
  <c r="AU47" i="2"/>
  <c r="N70" i="2"/>
  <c r="AB70" i="2" s="1"/>
  <c r="AL70" i="2" s="1"/>
  <c r="BA70" i="2" s="1" a="1"/>
  <c r="BA70" i="2" s="1"/>
  <c r="BM70" i="2" s="1"/>
  <c r="I56" i="1"/>
  <c r="J56" i="1" s="1"/>
  <c r="N63" i="2"/>
  <c r="AB63" i="2" s="1"/>
  <c r="AL63" i="2" s="1"/>
  <c r="I49" i="1"/>
  <c r="J49" i="1" s="1"/>
  <c r="N54" i="2"/>
  <c r="AB54" i="2" s="1"/>
  <c r="AL54" i="2" s="1"/>
  <c r="BB54" i="2" s="1" a="1"/>
  <c r="BB54" i="2" s="1"/>
  <c r="I40" i="1"/>
  <c r="J40" i="1" s="1"/>
  <c r="BF65" i="2" a="1"/>
  <c r="BF65" i="2" s="1"/>
  <c r="BR65" i="2" s="1"/>
  <c r="BF52" i="2" a="1"/>
  <c r="BF52" i="2" s="1"/>
  <c r="BR52" i="2" s="1"/>
  <c r="Z84" i="2"/>
  <c r="AJ19" i="2"/>
  <c r="BE70" i="2" a="1"/>
  <c r="BE70" i="2" s="1"/>
  <c r="BD47" i="2" a="1"/>
  <c r="BD47" i="2" s="1"/>
  <c r="BP47" i="2" s="1"/>
  <c r="BC48" i="2" a="1"/>
  <c r="BC48" i="2" s="1"/>
  <c r="BO48" i="2" s="1"/>
  <c r="BI36" i="2" a="1"/>
  <c r="BI36" i="2" s="1"/>
  <c r="BU36" i="2" s="1"/>
  <c r="BI47" i="2" a="1"/>
  <c r="BI47" i="2" s="1"/>
  <c r="BU47" i="2" s="1"/>
  <c r="BI63" i="2" a="1"/>
  <c r="BI63" i="2" s="1"/>
  <c r="BI80" i="2" a="1"/>
  <c r="BI80" i="2" s="1"/>
  <c r="BB68" i="2" a="1"/>
  <c r="BB68" i="2" s="1"/>
  <c r="BN68" i="2" s="1"/>
  <c r="N35" i="2"/>
  <c r="AB35" i="2" s="1"/>
  <c r="AL35" i="2" s="1"/>
  <c r="I21" i="1"/>
  <c r="J21" i="1" s="1"/>
  <c r="AZ36" i="2" a="1"/>
  <c r="AZ36" i="2" s="1"/>
  <c r="BL36" i="2" s="1"/>
  <c r="BF41" i="2" a="1"/>
  <c r="BF41" i="2" s="1"/>
  <c r="BR41" i="2" s="1"/>
  <c r="BF74" i="2" a="1"/>
  <c r="BF74" i="2" s="1"/>
  <c r="BF70" i="2" a="1"/>
  <c r="BF70" i="2" s="1"/>
  <c r="BR70" i="2" s="1"/>
  <c r="BE47" i="2" a="1"/>
  <c r="BE47" i="2" s="1"/>
  <c r="BQ47" i="2" s="1"/>
  <c r="BD43" i="2" a="1"/>
  <c r="BD43" i="2" s="1"/>
  <c r="A6" i="3"/>
  <c r="A22" i="2"/>
  <c r="BF49" i="2" a="1"/>
  <c r="BF49" i="2" s="1"/>
  <c r="BR49" i="2" s="1"/>
  <c r="BF50" i="2" a="1"/>
  <c r="BF50" i="2" s="1"/>
  <c r="BR50" i="2" s="1"/>
  <c r="BF68" i="2" a="1"/>
  <c r="BF68" i="2" s="1"/>
  <c r="BR68" i="2" s="1"/>
  <c r="BF80" i="2" a="1"/>
  <c r="BF80" i="2" s="1"/>
  <c r="BC28" i="2" a="1"/>
  <c r="BC28" i="2" s="1"/>
  <c r="BO28" i="2" s="1"/>
  <c r="BE27" i="2" a="1"/>
  <c r="BE27" i="2" s="1"/>
  <c r="BE20" i="2" a="1"/>
  <c r="BE20" i="2" s="1"/>
  <c r="BQ20" i="2" s="1"/>
  <c r="BE35" i="2" a="1"/>
  <c r="BE35" i="2" s="1"/>
  <c r="BE51" i="2" a="1"/>
  <c r="BE51" i="2" s="1"/>
  <c r="BQ51" i="2" s="1"/>
  <c r="BE52" i="2" a="1"/>
  <c r="BE52" i="2" s="1"/>
  <c r="BQ52" i="2" s="1"/>
  <c r="BE67" i="2" a="1"/>
  <c r="BE67" i="2" s="1"/>
  <c r="BQ67" i="2" s="1"/>
  <c r="BE80" i="2" a="1"/>
  <c r="BE80" i="2" s="1"/>
  <c r="BA30" i="2" a="1"/>
  <c r="BA30" i="2" s="1"/>
  <c r="BM30" i="2" s="1"/>
  <c r="BD29" i="2" a="1"/>
  <c r="BD29" i="2" s="1"/>
  <c r="BP29" i="2" s="1"/>
  <c r="BD51" i="2" a="1"/>
  <c r="BD51" i="2" s="1"/>
  <c r="BP51" i="2" s="1"/>
  <c r="BD49" i="2" a="1"/>
  <c r="BD49" i="2" s="1"/>
  <c r="BP49" i="2" s="1"/>
  <c r="BD65" i="2" a="1"/>
  <c r="BD65" i="2" s="1"/>
  <c r="BP65" i="2" s="1"/>
  <c r="BD73" i="2" a="1"/>
  <c r="BD73" i="2" s="1"/>
  <c r="BD82" i="2" a="1"/>
  <c r="BD82" i="2" s="1"/>
  <c r="BP82" i="2" s="1"/>
  <c r="BC38" i="2" a="1"/>
  <c r="BC38" i="2" s="1"/>
  <c r="BO38" i="2" s="1"/>
  <c r="BC45" i="2" a="1"/>
  <c r="BC45" i="2" s="1"/>
  <c r="BO45" i="2" s="1"/>
  <c r="BC36" i="2" a="1"/>
  <c r="BC36" i="2" s="1"/>
  <c r="BO36" i="2" s="1"/>
  <c r="BC49" i="2" a="1"/>
  <c r="BC49" i="2" s="1"/>
  <c r="BO49" i="2" s="1"/>
  <c r="BC61" i="2" a="1"/>
  <c r="BC61" i="2" s="1"/>
  <c r="BO61" i="2" s="1"/>
  <c r="BC65" i="2" a="1"/>
  <c r="BC65" i="2" s="1"/>
  <c r="BO65" i="2" s="1"/>
  <c r="BC82" i="2" a="1"/>
  <c r="BC82" i="2" s="1"/>
  <c r="BO82" i="2" s="1"/>
  <c r="BI27" i="2" a="1"/>
  <c r="BI27" i="2" s="1"/>
  <c r="BU27" i="2" s="1"/>
  <c r="BI48" i="2" a="1"/>
  <c r="BI48" i="2" s="1"/>
  <c r="BU48" i="2" s="1"/>
  <c r="BI41" i="2" a="1"/>
  <c r="BI41" i="2" s="1"/>
  <c r="BU41" i="2" s="1"/>
  <c r="BI53" i="2" a="1"/>
  <c r="BI53" i="2" s="1"/>
  <c r="BU53" i="2" s="1"/>
  <c r="BI70" i="2" a="1"/>
  <c r="BI70" i="2" s="1"/>
  <c r="BI81" i="2" a="1"/>
  <c r="BI81" i="2" s="1"/>
  <c r="AZ32" i="2" a="1"/>
  <c r="AZ32" i="2" s="1"/>
  <c r="BL32" i="2" s="1"/>
  <c r="BB24" i="2" a="1"/>
  <c r="BB24" i="2" s="1"/>
  <c r="BN24" i="2" s="1"/>
  <c r="BB23" i="2" a="1"/>
  <c r="BB23" i="2" s="1"/>
  <c r="BN23" i="2" s="1"/>
  <c r="BB52" i="2" a="1"/>
  <c r="BB52" i="2" s="1"/>
  <c r="BN52" i="2" s="1"/>
  <c r="BB53" i="2" a="1"/>
  <c r="BB53" i="2" s="1"/>
  <c r="BN53" i="2" s="1"/>
  <c r="BB74" i="2" a="1"/>
  <c r="BB74" i="2" s="1"/>
  <c r="BB65" i="2" a="1"/>
  <c r="BB65" i="2" s="1"/>
  <c r="BN65" i="2" s="1"/>
  <c r="BB76" i="2" a="1"/>
  <c r="BB76" i="2" s="1"/>
  <c r="BH33" i="2" a="1"/>
  <c r="BH33" i="2" s="1"/>
  <c r="BT33" i="2" s="1"/>
  <c r="BH53" i="2" a="1"/>
  <c r="BH53" i="2" s="1"/>
  <c r="BT53" i="2" s="1"/>
  <c r="BH67" i="2" a="1"/>
  <c r="BH67" i="2" s="1"/>
  <c r="BT67" i="2" s="1"/>
  <c r="BH64" i="2" a="1"/>
  <c r="BH64" i="2" s="1"/>
  <c r="BT64" i="2" s="1"/>
  <c r="BH74" i="2" a="1"/>
  <c r="BH74" i="2" s="1"/>
  <c r="BH76" i="2" a="1"/>
  <c r="BH76" i="2" s="1"/>
  <c r="BA34" i="2" a="1"/>
  <c r="BA34" i="2" s="1"/>
  <c r="BM34" i="2" s="1"/>
  <c r="BA25" i="2" a="1"/>
  <c r="BA25" i="2" s="1"/>
  <c r="BM25" i="2" s="1"/>
  <c r="BA56" i="2" a="1"/>
  <c r="BA56" i="2" s="1"/>
  <c r="BM56" i="2" s="1"/>
  <c r="BA42" i="2" a="1"/>
  <c r="BA42" i="2" s="1"/>
  <c r="BM42" i="2" s="1"/>
  <c r="BA64" i="2" a="1"/>
  <c r="BA64" i="2" s="1"/>
  <c r="BM64" i="2" s="1"/>
  <c r="BA73" i="2" a="1"/>
  <c r="BA73" i="2" s="1"/>
  <c r="BA75" i="2" a="1"/>
  <c r="BA75" i="2" s="1"/>
  <c r="AZ23" i="2" a="1"/>
  <c r="AZ23" i="2" s="1"/>
  <c r="BL23" i="2" s="1"/>
  <c r="AZ27" i="2" a="1"/>
  <c r="AZ27" i="2" s="1"/>
  <c r="AZ77" i="2" a="1"/>
  <c r="AZ77" i="2" s="1"/>
  <c r="AZ61" i="2" a="1"/>
  <c r="AZ61" i="2" s="1"/>
  <c r="BL61" i="2" s="1"/>
  <c r="AZ75" i="2" a="1"/>
  <c r="AZ75" i="2" s="1"/>
  <c r="AZ80" i="2" a="1"/>
  <c r="AZ80" i="2" s="1"/>
  <c r="AZ83" i="2" a="1"/>
  <c r="AZ83" i="2" s="1"/>
  <c r="BL83" i="2" s="1"/>
  <c r="BG31" i="2" a="1"/>
  <c r="BG31" i="2" s="1"/>
  <c r="BS31" i="2" s="1"/>
  <c r="BG32" i="2" a="1"/>
  <c r="BG32" i="2" s="1"/>
  <c r="BS32" i="2" s="1"/>
  <c r="BG42" i="2" a="1"/>
  <c r="BG42" i="2" s="1"/>
  <c r="BS42" i="2" s="1"/>
  <c r="BG41" i="2" a="1"/>
  <c r="BG41" i="2" s="1"/>
  <c r="BS41" i="2" s="1"/>
  <c r="BG60" i="2" a="1"/>
  <c r="BG60" i="2" s="1"/>
  <c r="BS60" i="2" s="1"/>
  <c r="BG70" i="2" a="1"/>
  <c r="BG70" i="2" s="1"/>
  <c r="BS70" i="2" s="1"/>
  <c r="BG75" i="2" a="1"/>
  <c r="BG75" i="2" s="1"/>
  <c r="AU59" i="2"/>
  <c r="AQ30" i="2"/>
  <c r="AU50" i="2"/>
  <c r="BE34" i="2" a="1"/>
  <c r="BE34" i="2" s="1"/>
  <c r="BQ34" i="2" s="1"/>
  <c r="BI32" i="2" a="1"/>
  <c r="BI32" i="2" s="1"/>
  <c r="BU32" i="2" s="1"/>
  <c r="BE39" i="2" a="1"/>
  <c r="BE39" i="2" s="1"/>
  <c r="BQ39" i="2" s="1"/>
  <c r="BC66" i="2" a="1"/>
  <c r="BC66" i="2" s="1"/>
  <c r="BO66" i="2" s="1"/>
  <c r="BO27" i="2"/>
  <c r="AT27" i="2"/>
  <c r="BN27" i="2"/>
  <c r="AS27" i="2"/>
  <c r="BM27" i="2"/>
  <c r="AR27" i="2"/>
  <c r="BL27" i="2"/>
  <c r="AQ27" i="2"/>
  <c r="BK27" i="2"/>
  <c r="AP27" i="2"/>
  <c r="BQ27" i="2"/>
  <c r="AV27" i="2"/>
  <c r="AN27" i="2"/>
  <c r="BJ27" i="2"/>
  <c r="AO27" i="2"/>
  <c r="AM27" i="2"/>
  <c r="BR27" i="2"/>
  <c r="BP27" i="2"/>
  <c r="AU27" i="2"/>
  <c r="BF63" i="2" a="1"/>
  <c r="BF63" i="2" s="1"/>
  <c r="BE28" i="2" a="1"/>
  <c r="BE28" i="2" s="1"/>
  <c r="BQ28" i="2" s="1"/>
  <c r="BE58" i="2" a="1"/>
  <c r="BE58" i="2" s="1"/>
  <c r="BQ58" i="2" s="1"/>
  <c r="BC43" i="2" a="1"/>
  <c r="BC43" i="2" s="1"/>
  <c r="BC59" i="2" a="1"/>
  <c r="BC59" i="2" s="1"/>
  <c r="BO59" i="2" s="1"/>
  <c r="BI66" i="2" a="1"/>
  <c r="BI66" i="2" s="1"/>
  <c r="BU66" i="2" s="1"/>
  <c r="BI77" i="2" a="1"/>
  <c r="BI77" i="2" s="1"/>
  <c r="BB32" i="2" a="1"/>
  <c r="BB32" i="2" s="1"/>
  <c r="BN32" i="2" s="1"/>
  <c r="BB31" i="2" a="1"/>
  <c r="BB31" i="2" s="1"/>
  <c r="BN31" i="2" s="1"/>
  <c r="BB33" i="2" a="1"/>
  <c r="BB33" i="2" s="1"/>
  <c r="BN33" i="2" s="1"/>
  <c r="BB49" i="2" a="1"/>
  <c r="BB49" i="2" s="1"/>
  <c r="BN49" i="2" s="1"/>
  <c r="BH38" i="2" a="1"/>
  <c r="BH38" i="2" s="1"/>
  <c r="BT38" i="2" s="1"/>
  <c r="BH30" i="2" a="1"/>
  <c r="BH30" i="2" s="1"/>
  <c r="BT30" i="2" s="1"/>
  <c r="BH50" i="2" a="1"/>
  <c r="BH50" i="2" s="1"/>
  <c r="BT50" i="2" s="1"/>
  <c r="BH66" i="2" a="1"/>
  <c r="BH66" i="2" s="1"/>
  <c r="BT66" i="2" s="1"/>
  <c r="BH57" i="2" a="1"/>
  <c r="BH57" i="2" s="1"/>
  <c r="BT57" i="2" s="1"/>
  <c r="BA36" i="2" a="1"/>
  <c r="BA36" i="2" s="1"/>
  <c r="BM36" i="2" s="1"/>
  <c r="BA44" i="2" a="1"/>
  <c r="BA44" i="2" s="1"/>
  <c r="BM44" i="2" s="1"/>
  <c r="BA66" i="2" a="1"/>
  <c r="BA66" i="2" s="1"/>
  <c r="BM66" i="2" s="1"/>
  <c r="BA65" i="2" a="1"/>
  <c r="BA65" i="2" s="1"/>
  <c r="BM65" i="2" s="1"/>
  <c r="BA77" i="2" a="1"/>
  <c r="BA77" i="2" s="1"/>
  <c r="AZ31" i="2" a="1"/>
  <c r="AZ31" i="2" s="1"/>
  <c r="BL31" i="2" s="1"/>
  <c r="AZ35" i="2" a="1"/>
  <c r="AZ35" i="2" s="1"/>
  <c r="AZ34" i="2" a="1"/>
  <c r="AZ34" i="2" s="1"/>
  <c r="BL34" i="2" s="1"/>
  <c r="AZ66" i="2" a="1"/>
  <c r="AZ66" i="2" s="1"/>
  <c r="BL66" i="2" s="1"/>
  <c r="AZ58" i="2" a="1"/>
  <c r="AZ58" i="2" s="1"/>
  <c r="BL58" i="2" s="1"/>
  <c r="AZ63" i="2" a="1"/>
  <c r="AZ63" i="2" s="1"/>
  <c r="AZ81" i="2" a="1"/>
  <c r="AZ81" i="2" s="1"/>
  <c r="BI30" i="2" a="1"/>
  <c r="BI30" i="2" s="1"/>
  <c r="BU30" i="2" s="1"/>
  <c r="BG25" i="2" a="1"/>
  <c r="BG25" i="2" s="1"/>
  <c r="BS25" i="2" s="1"/>
  <c r="BG35" i="2" a="1"/>
  <c r="BG35" i="2" s="1"/>
  <c r="BG46" i="2" a="1"/>
  <c r="BG46" i="2" s="1"/>
  <c r="BS46" i="2" s="1"/>
  <c r="BG45" i="2" a="1"/>
  <c r="BG45" i="2" s="1"/>
  <c r="BS45" i="2" s="1"/>
  <c r="BG72" i="2" a="1"/>
  <c r="BG72" i="2" s="1"/>
  <c r="BG74" i="2" a="1"/>
  <c r="BG74" i="2" s="1"/>
  <c r="AU26" i="2"/>
  <c r="AU49" i="2"/>
  <c r="BF28" i="2" a="1"/>
  <c r="BF28" i="2" s="1"/>
  <c r="BR28" i="2" s="1"/>
  <c r="AU42" i="2"/>
  <c r="BF30" i="2" a="1"/>
  <c r="BF30" i="2" s="1"/>
  <c r="BR30" i="2" s="1"/>
  <c r="AQ64" i="2"/>
  <c r="AQ51" i="2"/>
  <c r="AQ69" i="2"/>
  <c r="AQ58" i="2"/>
  <c r="N62" i="2"/>
  <c r="AB62" i="2" s="1"/>
  <c r="AL62" i="2" s="1"/>
  <c r="BH62" i="2" s="1" a="1"/>
  <c r="BH62" i="2" s="1"/>
  <c r="I48" i="1"/>
  <c r="J48" i="1" s="1"/>
  <c r="N55" i="2"/>
  <c r="AB55" i="2" s="1"/>
  <c r="AL55" i="2" s="1"/>
  <c r="BE55" i="2" s="1" a="1"/>
  <c r="BE55" i="2" s="1"/>
  <c r="I41" i="1"/>
  <c r="J41" i="1" s="1"/>
  <c r="N22" i="2"/>
  <c r="I8" i="1"/>
  <c r="J8" i="1" s="1"/>
  <c r="BF47" i="2" a="1"/>
  <c r="BF47" i="2" s="1"/>
  <c r="BR47" i="2" s="1"/>
  <c r="BD63" i="2" a="1"/>
  <c r="BD63" i="2" s="1"/>
  <c r="N78" i="2"/>
  <c r="AB78" i="2" s="1"/>
  <c r="AL78" i="2" s="1"/>
  <c r="BH78" i="2" s="1" a="1"/>
  <c r="BH78" i="2" s="1"/>
  <c r="I64" i="1"/>
  <c r="J64" i="1" s="1"/>
  <c r="BF39" i="2" a="1"/>
  <c r="BF39" i="2" s="1"/>
  <c r="BR39" i="2" s="1"/>
  <c r="BF57" i="2" a="1"/>
  <c r="BF57" i="2" s="1"/>
  <c r="BR57" i="2" s="1"/>
  <c r="BE45" i="2" a="1"/>
  <c r="BE45" i="2" s="1"/>
  <c r="BQ45" i="2" s="1"/>
  <c r="BE68" i="2" a="1"/>
  <c r="BE68" i="2" s="1"/>
  <c r="BQ68" i="2" s="1"/>
  <c r="BD52" i="2" a="1"/>
  <c r="BD52" i="2" s="1"/>
  <c r="BP52" i="2" s="1"/>
  <c r="AK84" i="2"/>
  <c r="X84" i="2"/>
  <c r="AH19" i="2"/>
  <c r="BC57" i="2" a="1"/>
  <c r="BC57" i="2" s="1"/>
  <c r="BO57" i="2" s="1"/>
  <c r="BC68" i="2" a="1"/>
  <c r="BC68" i="2" s="1"/>
  <c r="BO68" i="2" s="1"/>
  <c r="BI54" i="2" a="1"/>
  <c r="BI54" i="2" s="1"/>
  <c r="BI49" i="2" a="1"/>
  <c r="BI49" i="2" s="1"/>
  <c r="BU49" i="2" s="1"/>
  <c r="BI50" i="2" a="1"/>
  <c r="BI50" i="2" s="1"/>
  <c r="BU50" i="2" s="1"/>
  <c r="BI68" i="2" a="1"/>
  <c r="BI68" i="2" s="1"/>
  <c r="BU68" i="2" s="1"/>
  <c r="N79" i="2"/>
  <c r="AB79" i="2" s="1"/>
  <c r="AL79" i="2" s="1"/>
  <c r="I65" i="1"/>
  <c r="J65" i="1" s="1"/>
  <c r="N71" i="2"/>
  <c r="AB71" i="2" s="1"/>
  <c r="AL71" i="2" s="1"/>
  <c r="AV71" i="2" s="1"/>
  <c r="I57" i="1"/>
  <c r="J57" i="1" s="1"/>
  <c r="BH32" i="2" a="1"/>
  <c r="BH32" i="2" s="1"/>
  <c r="BT32" i="2" s="1"/>
  <c r="BF35" i="2" a="1"/>
  <c r="BF35" i="2" s="1"/>
  <c r="BF46" i="2" a="1"/>
  <c r="BF46" i="2" s="1"/>
  <c r="BR46" i="2" s="1"/>
  <c r="BF43" i="2" a="1"/>
  <c r="BF43" i="2" s="1"/>
  <c r="BF60" i="2" a="1"/>
  <c r="BF60" i="2" s="1"/>
  <c r="BR60" i="2" s="1"/>
  <c r="BF76" i="2" a="1"/>
  <c r="BF76" i="2" s="1"/>
  <c r="BF79" i="2" a="1"/>
  <c r="BF79" i="2" s="1"/>
  <c r="BE44" i="2" a="1"/>
  <c r="BE44" i="2" s="1"/>
  <c r="BQ44" i="2" s="1"/>
  <c r="BE46" i="2" a="1"/>
  <c r="BE46" i="2" s="1"/>
  <c r="BQ46" i="2" s="1"/>
  <c r="BE48" i="2" a="1"/>
  <c r="BE48" i="2" s="1"/>
  <c r="BQ48" i="2" s="1"/>
  <c r="BE53" i="2" a="1"/>
  <c r="BE53" i="2" s="1"/>
  <c r="BQ53" i="2" s="1"/>
  <c r="BE66" i="2" a="1"/>
  <c r="BE66" i="2" s="1"/>
  <c r="BQ66" i="2" s="1"/>
  <c r="BE77" i="2" a="1"/>
  <c r="BE77" i="2" s="1"/>
  <c r="BE72" i="2" a="1"/>
  <c r="BE72" i="2" s="1"/>
  <c r="BD31" i="2" a="1"/>
  <c r="BD31" i="2" s="1"/>
  <c r="BP31" i="2" s="1"/>
  <c r="BD30" i="2" a="1"/>
  <c r="BD30" i="2" s="1"/>
  <c r="BP30" i="2" s="1"/>
  <c r="BD45" i="2" a="1"/>
  <c r="BD45" i="2" s="1"/>
  <c r="BP45" i="2" s="1"/>
  <c r="BD67" i="2" a="1"/>
  <c r="BD67" i="2" s="1"/>
  <c r="BP67" i="2" s="1"/>
  <c r="BD70" i="2" a="1"/>
  <c r="BD70" i="2" s="1"/>
  <c r="BP70" i="2" s="1"/>
  <c r="BD62" i="2" a="1"/>
  <c r="BD62" i="2" s="1"/>
  <c r="BD69" i="2" a="1"/>
  <c r="BD69" i="2" s="1"/>
  <c r="BP69" i="2" s="1"/>
  <c r="BD76" i="2" a="1"/>
  <c r="BD76" i="2" s="1"/>
  <c r="BB63" i="2" a="1"/>
  <c r="BB63" i="2" s="1"/>
  <c r="BC29" i="2" a="1"/>
  <c r="BC29" i="2" s="1"/>
  <c r="BO29" i="2" s="1"/>
  <c r="BC46" i="2" a="1"/>
  <c r="BC46" i="2" s="1"/>
  <c r="BO46" i="2" s="1"/>
  <c r="BC58" i="2" a="1"/>
  <c r="BC58" i="2" s="1"/>
  <c r="BO58" i="2" s="1"/>
  <c r="BC62" i="2" a="1"/>
  <c r="BC62" i="2" s="1"/>
  <c r="BC73" i="2" a="1"/>
  <c r="BC73" i="2" s="1"/>
  <c r="BI29" i="2" a="1"/>
  <c r="BI29" i="2" s="1"/>
  <c r="BU29" i="2" s="1"/>
  <c r="BI31" i="2" a="1"/>
  <c r="BI31" i="2" s="1"/>
  <c r="BU31" i="2" s="1"/>
  <c r="BI38" i="2" a="1"/>
  <c r="BI38" i="2" s="1"/>
  <c r="BU38" i="2" s="1"/>
  <c r="BI46" i="2" a="1"/>
  <c r="BI46" i="2" s="1"/>
  <c r="BU46" i="2" s="1"/>
  <c r="BI64" i="2" a="1"/>
  <c r="BI64" i="2" s="1"/>
  <c r="BU64" i="2" s="1"/>
  <c r="BI62" i="2" a="1"/>
  <c r="BI62" i="2" s="1"/>
  <c r="BI67" i="2" a="1"/>
  <c r="BI67" i="2" s="1"/>
  <c r="BU67" i="2" s="1"/>
  <c r="BI82" i="2" a="1"/>
  <c r="BI82" i="2" s="1"/>
  <c r="BU82" i="2" s="1"/>
  <c r="BI83" i="2" a="1"/>
  <c r="BI83" i="2" s="1"/>
  <c r="BU83" i="2" s="1"/>
  <c r="BB57" i="2" a="1"/>
  <c r="BB57" i="2" s="1"/>
  <c r="BN57" i="2" s="1"/>
  <c r="BB50" i="2" a="1"/>
  <c r="BB50" i="2" s="1"/>
  <c r="BN50" i="2" s="1"/>
  <c r="BB59" i="2" a="1"/>
  <c r="BB59" i="2" s="1"/>
  <c r="BN59" i="2" s="1"/>
  <c r="BB70" i="2" a="1"/>
  <c r="BB70" i="2" s="1"/>
  <c r="BN70" i="2" s="1"/>
  <c r="BB82" i="2" a="1"/>
  <c r="BB82" i="2" s="1"/>
  <c r="BN82" i="2" s="1"/>
  <c r="BH23" i="2" a="1"/>
  <c r="BH23" i="2" s="1"/>
  <c r="BT23" i="2" s="1"/>
  <c r="BH27" i="2" a="1"/>
  <c r="BH27" i="2" s="1"/>
  <c r="BT27" i="2" s="1"/>
  <c r="BH34" i="2" a="1"/>
  <c r="BH34" i="2" s="1"/>
  <c r="BT34" i="2" s="1"/>
  <c r="BH47" i="2" a="1"/>
  <c r="BH47" i="2" s="1"/>
  <c r="BT47" i="2" s="1"/>
  <c r="BH61" i="2" a="1"/>
  <c r="BH61" i="2" s="1"/>
  <c r="BT61" i="2" s="1"/>
  <c r="BH63" i="2" a="1"/>
  <c r="BH63" i="2" s="1"/>
  <c r="BH80" i="2" a="1"/>
  <c r="BH80" i="2" s="1"/>
  <c r="BA39" i="2" a="1"/>
  <c r="BA39" i="2" s="1"/>
  <c r="BM39" i="2" s="1"/>
  <c r="BA54" i="2" a="1"/>
  <c r="BA54" i="2" s="1"/>
  <c r="BA35" i="2" a="1"/>
  <c r="BA35" i="2" s="1"/>
  <c r="BA51" i="2" a="1"/>
  <c r="BA51" i="2" s="1"/>
  <c r="BM51" i="2" s="1"/>
  <c r="BA52" i="2" a="1"/>
  <c r="BA52" i="2" s="1"/>
  <c r="BM52" i="2" s="1"/>
  <c r="BA72" i="2" a="1"/>
  <c r="BA72" i="2" s="1"/>
  <c r="AZ20" i="2" a="1"/>
  <c r="AZ20" i="2" s="1"/>
  <c r="BL20" i="2" s="1"/>
  <c r="AZ43" i="2" a="1"/>
  <c r="AZ43" i="2" s="1"/>
  <c r="AZ42" i="2" a="1"/>
  <c r="AZ42" i="2" s="1"/>
  <c r="BL42" i="2" s="1"/>
  <c r="AZ47" i="2" a="1"/>
  <c r="AZ47" i="2" s="1"/>
  <c r="BL47" i="2" s="1"/>
  <c r="AZ60" i="2" a="1"/>
  <c r="AZ60" i="2" s="1"/>
  <c r="BL60" i="2" s="1"/>
  <c r="BG50" i="2" a="1"/>
  <c r="BG50" i="2" s="1"/>
  <c r="BS50" i="2" s="1"/>
  <c r="BG58" i="2" a="1"/>
  <c r="BG58" i="2" s="1"/>
  <c r="BS58" i="2" s="1"/>
  <c r="BG67" i="2" a="1"/>
  <c r="BG67" i="2" s="1"/>
  <c r="BS67" i="2" s="1"/>
  <c r="BG81" i="2" a="1"/>
  <c r="BG81" i="2" s="1"/>
  <c r="BB20" i="2" a="1"/>
  <c r="BB20" i="2" s="1"/>
  <c r="BN20" i="2" s="1"/>
  <c r="AQ67" i="2"/>
  <c r="AQ53" i="2"/>
  <c r="AO19" i="2"/>
  <c r="AZ26" i="2" a="1"/>
  <c r="AZ26" i="2" s="1"/>
  <c r="BL26" i="2" s="1"/>
  <c r="BE24" i="2" a="1"/>
  <c r="BE24" i="2" s="1"/>
  <c r="BQ24" i="2" s="1"/>
  <c r="AD84" i="2"/>
  <c r="BH45" i="2" a="1"/>
  <c r="BH45" i="2" s="1"/>
  <c r="BT45" i="2" s="1"/>
  <c r="BE57" i="2" a="1"/>
  <c r="BE57" i="2" s="1"/>
  <c r="BQ57" i="2" s="1"/>
  <c r="BE76" i="2" a="1"/>
  <c r="BE76" i="2" s="1"/>
  <c r="BD41" i="2" a="1"/>
  <c r="BD41" i="2" s="1"/>
  <c r="BP41" i="2" s="1"/>
  <c r="BD36" i="2" a="1"/>
  <c r="BD36" i="2" s="1"/>
  <c r="BP36" i="2" s="1"/>
  <c r="BD48" i="2" a="1"/>
  <c r="BD48" i="2" s="1"/>
  <c r="BP48" i="2" s="1"/>
  <c r="BD53" i="2" a="1"/>
  <c r="BD53" i="2" s="1"/>
  <c r="BP53" i="2" s="1"/>
  <c r="BD57" i="2" a="1"/>
  <c r="BD57" i="2" s="1"/>
  <c r="BP57" i="2" s="1"/>
  <c r="BD81" i="2" a="1"/>
  <c r="BD81" i="2" s="1"/>
  <c r="BD74" i="2" a="1"/>
  <c r="BD74" i="2" s="1"/>
  <c r="BC54" i="2" a="1"/>
  <c r="BC54" i="2" s="1"/>
  <c r="BC67" i="2" a="1"/>
  <c r="BC67" i="2" s="1"/>
  <c r="BO67" i="2" s="1"/>
  <c r="BC77" i="2" a="1"/>
  <c r="BC77" i="2" s="1"/>
  <c r="BC80" i="2" a="1"/>
  <c r="BC80" i="2" s="1"/>
  <c r="BC83" i="2" a="1"/>
  <c r="BC83" i="2" s="1"/>
  <c r="BO83" i="2" s="1"/>
  <c r="BI42" i="2" a="1"/>
  <c r="BI42" i="2" s="1"/>
  <c r="BU42" i="2" s="1"/>
  <c r="BI55" i="2" a="1"/>
  <c r="BI55" i="2" s="1"/>
  <c r="BI61" i="2" a="1"/>
  <c r="BI61" i="2" s="1"/>
  <c r="BU61" i="2" s="1"/>
  <c r="BI75" i="2" a="1"/>
  <c r="BI75" i="2" s="1"/>
  <c r="BB29" i="2" a="1"/>
  <c r="BB29" i="2" s="1"/>
  <c r="BN29" i="2" s="1"/>
  <c r="BB46" i="2" a="1"/>
  <c r="BB46" i="2" s="1"/>
  <c r="BN46" i="2" s="1"/>
  <c r="BB58" i="2" a="1"/>
  <c r="BB58" i="2" s="1"/>
  <c r="BN58" i="2" s="1"/>
  <c r="BB62" i="2" a="1"/>
  <c r="BB62" i="2" s="1"/>
  <c r="BB67" i="2" a="1"/>
  <c r="BB67" i="2" s="1"/>
  <c r="BN67" i="2" s="1"/>
  <c r="BB77" i="2" a="1"/>
  <c r="BB77" i="2" s="1"/>
  <c r="BH31" i="2" a="1"/>
  <c r="BH31" i="2" s="1"/>
  <c r="BT31" i="2" s="1"/>
  <c r="BH49" i="2" a="1"/>
  <c r="BH49" i="2" s="1"/>
  <c r="BT49" i="2" s="1"/>
  <c r="BH46" i="2" a="1"/>
  <c r="BH46" i="2" s="1"/>
  <c r="BT46" i="2" s="1"/>
  <c r="BH73" i="2" a="1"/>
  <c r="BH73" i="2" s="1"/>
  <c r="BH82" i="2" a="1"/>
  <c r="BH82" i="2" s="1"/>
  <c r="BT82" i="2" s="1"/>
  <c r="BH83" i="2" a="1"/>
  <c r="BH83" i="2" s="1"/>
  <c r="BT83" i="2" s="1"/>
  <c r="BA33" i="2" a="1"/>
  <c r="BA33" i="2" s="1"/>
  <c r="BM33" i="2" s="1"/>
  <c r="BA43" i="2" a="1"/>
  <c r="BA43" i="2" s="1"/>
  <c r="BA63" i="2" a="1"/>
  <c r="BA63" i="2" s="1"/>
  <c r="BA57" i="2" a="1"/>
  <c r="BA57" i="2" s="1"/>
  <c r="BM57" i="2" s="1"/>
  <c r="BA61" i="2" a="1"/>
  <c r="BA61" i="2" s="1"/>
  <c r="BM61" i="2" s="1"/>
  <c r="AZ28" i="2" a="1"/>
  <c r="AZ28" i="2" s="1"/>
  <c r="BL28" i="2" s="1"/>
  <c r="AZ56" i="2" a="1"/>
  <c r="AZ56" i="2" s="1"/>
  <c r="BL56" i="2" s="1"/>
  <c r="AZ51" i="2" a="1"/>
  <c r="AZ51" i="2" s="1"/>
  <c r="BL51" i="2" s="1"/>
  <c r="AZ55" i="2" a="1"/>
  <c r="AZ55" i="2" s="1"/>
  <c r="AZ68" i="2" a="1"/>
  <c r="AZ68" i="2" s="1"/>
  <c r="BL68" i="2" s="1"/>
  <c r="AZ73" i="2" a="1"/>
  <c r="AZ73" i="2" s="1"/>
  <c r="AZ79" i="2" a="1"/>
  <c r="AZ79" i="2" s="1"/>
  <c r="BG28" i="2" a="1"/>
  <c r="BG28" i="2" s="1"/>
  <c r="BS28" i="2" s="1"/>
  <c r="BG29" i="2" a="1"/>
  <c r="BG29" i="2" s="1"/>
  <c r="BS29" i="2" s="1"/>
  <c r="BG53" i="2" a="1"/>
  <c r="BG53" i="2" s="1"/>
  <c r="BS53" i="2" s="1"/>
  <c r="BG47" i="2" a="1"/>
  <c r="BG47" i="2" s="1"/>
  <c r="BS47" i="2" s="1"/>
  <c r="BG54" i="2" a="1"/>
  <c r="BG54" i="2" s="1"/>
  <c r="BG66" i="2" a="1"/>
  <c r="BG66" i="2" s="1"/>
  <c r="BS66" i="2" s="1"/>
  <c r="BG68" i="2" a="1"/>
  <c r="BG68" i="2" s="1"/>
  <c r="BS68" i="2" s="1"/>
  <c r="AQ36" i="2"/>
  <c r="AQ45" i="2"/>
  <c r="AU34" i="2"/>
  <c r="AU25" i="2"/>
  <c r="BF54" i="2" a="1"/>
  <c r="BF54" i="2" s="1"/>
  <c r="BF66" i="2" a="1"/>
  <c r="BF66" i="2" s="1"/>
  <c r="BR66" i="2" s="1"/>
  <c r="BF78" i="2" a="1"/>
  <c r="BF78" i="2" s="1"/>
  <c r="BF83" i="2" a="1"/>
  <c r="BF83" i="2" s="1"/>
  <c r="BR83" i="2" s="1"/>
  <c r="BE54" i="2" a="1"/>
  <c r="BE54" i="2" s="1"/>
  <c r="BE50" i="2" a="1"/>
  <c r="BE50" i="2" s="1"/>
  <c r="BQ50" i="2" s="1"/>
  <c r="BE79" i="2" a="1"/>
  <c r="BE79" i="2" s="1"/>
  <c r="BD20" i="2" a="1"/>
  <c r="BD20" i="2" s="1"/>
  <c r="BP20" i="2" s="1"/>
  <c r="BD58" i="2" a="1"/>
  <c r="BD58" i="2" s="1"/>
  <c r="BP58" i="2" s="1"/>
  <c r="BD78" i="2" a="1"/>
  <c r="BD78" i="2" s="1"/>
  <c r="AZ41" i="2" a="1"/>
  <c r="AZ41" i="2" s="1"/>
  <c r="BL41" i="2" s="1"/>
  <c r="BF20" i="2" a="1"/>
  <c r="BF20" i="2" s="1"/>
  <c r="BR20" i="2" s="1"/>
  <c r="BC34" i="2" a="1"/>
  <c r="BC34" i="2" s="1"/>
  <c r="BO34" i="2" s="1"/>
  <c r="BC50" i="2" a="1"/>
  <c r="BC50" i="2" s="1"/>
  <c r="BO50" i="2" s="1"/>
  <c r="BC60" i="2" a="1"/>
  <c r="BC60" i="2" s="1"/>
  <c r="BO60" i="2" s="1"/>
  <c r="BC75" i="2" a="1"/>
  <c r="BC75" i="2" s="1"/>
  <c r="BI20" i="2" a="1"/>
  <c r="BI20" i="2" s="1"/>
  <c r="BU20" i="2" s="1"/>
  <c r="BI35" i="2" a="1"/>
  <c r="BI35" i="2" s="1"/>
  <c r="BI56" i="2" a="1"/>
  <c r="BI56" i="2" s="1"/>
  <c r="BU56" i="2" s="1"/>
  <c r="BI58" i="2" a="1"/>
  <c r="BI58" i="2" s="1"/>
  <c r="BU58" i="2" s="1"/>
  <c r="BI76" i="2" a="1"/>
  <c r="BI76" i="2" s="1"/>
  <c r="BB39" i="2" a="1"/>
  <c r="BB39" i="2" s="1"/>
  <c r="BN39" i="2" s="1"/>
  <c r="BB51" i="2" a="1"/>
  <c r="BB51" i="2" s="1"/>
  <c r="BN51" i="2" s="1"/>
  <c r="BB55" i="2" a="1"/>
  <c r="BB55" i="2" s="1"/>
  <c r="BB78" i="2" a="1"/>
  <c r="BB78" i="2" s="1"/>
  <c r="BB81" i="2" a="1"/>
  <c r="BB81" i="2" s="1"/>
  <c r="BH51" i="2" a="1"/>
  <c r="BH51" i="2" s="1"/>
  <c r="BT51" i="2" s="1"/>
  <c r="BH68" i="2" a="1"/>
  <c r="BH68" i="2" s="1"/>
  <c r="BT68" i="2" s="1"/>
  <c r="BH54" i="2" a="1"/>
  <c r="BH54" i="2" s="1"/>
  <c r="BH72" i="2" a="1"/>
  <c r="BH72" i="2" s="1"/>
  <c r="BH77" i="2" a="1"/>
  <c r="BH77" i="2" s="1"/>
  <c r="BA41" i="2" a="1"/>
  <c r="BA41" i="2" s="1"/>
  <c r="BM41" i="2" s="1"/>
  <c r="BA47" i="2" a="1"/>
  <c r="BA47" i="2" s="1"/>
  <c r="BM47" i="2" s="1"/>
  <c r="BA53" i="2" a="1"/>
  <c r="BA53" i="2" s="1"/>
  <c r="BM53" i="2" s="1"/>
  <c r="BA74" i="2" a="1"/>
  <c r="BA74" i="2" s="1"/>
  <c r="BA69" i="2" a="1"/>
  <c r="BA69" i="2" s="1"/>
  <c r="BM69" i="2" s="1"/>
  <c r="AZ52" i="2" a="1"/>
  <c r="AZ52" i="2" s="1"/>
  <c r="BL52" i="2" s="1"/>
  <c r="AZ65" i="2" a="1"/>
  <c r="AZ65" i="2" s="1"/>
  <c r="BL65" i="2" s="1"/>
  <c r="AZ72" i="2" a="1"/>
  <c r="AZ72" i="2" s="1"/>
  <c r="AZ76" i="2" a="1"/>
  <c r="AZ76" i="2" s="1"/>
  <c r="BH36" i="2" a="1"/>
  <c r="BH36" i="2" s="1"/>
  <c r="BT36" i="2" s="1"/>
  <c r="BG52" i="2" a="1"/>
  <c r="BG52" i="2" s="1"/>
  <c r="BS52" i="2" s="1"/>
  <c r="BG27" i="2" a="1"/>
  <c r="BG27" i="2" s="1"/>
  <c r="BS27" i="2" s="1"/>
  <c r="BG33" i="2" a="1"/>
  <c r="BG33" i="2" s="1"/>
  <c r="BS33" i="2" s="1"/>
  <c r="AL19" i="2"/>
  <c r="BI24" i="2" a="1"/>
  <c r="BI24" i="2" s="1"/>
  <c r="BU24" i="2" s="1"/>
  <c r="AQ28" i="2"/>
  <c r="AU28" i="2"/>
  <c r="AU46" i="2"/>
  <c r="BC26" i="2" a="1"/>
  <c r="BC26" i="2" s="1"/>
  <c r="BO26" i="2" s="1"/>
  <c r="AU58" i="2"/>
  <c r="AQ70" i="2"/>
  <c r="BK70" i="2"/>
  <c r="AP70" i="2"/>
  <c r="BJ70" i="2"/>
  <c r="AO70" i="2"/>
  <c r="AS70" i="2"/>
  <c r="AR70" i="2"/>
  <c r="AM70" i="2"/>
  <c r="BQ70" i="2"/>
  <c r="AV70" i="2"/>
  <c r="AN70" i="2"/>
  <c r="AU70" i="2"/>
  <c r="AT70" i="2"/>
  <c r="BU70" i="2"/>
  <c r="BE65" i="2" a="1"/>
  <c r="BE65" i="2" s="1"/>
  <c r="BQ65" i="2" s="1"/>
  <c r="BE81" i="2" a="1"/>
  <c r="BE81" i="2" s="1"/>
  <c r="Y84" i="2"/>
  <c r="AI19" i="2"/>
  <c r="BD28" i="2" a="1"/>
  <c r="BD28" i="2" s="1"/>
  <c r="BP28" i="2" s="1"/>
  <c r="BD71" i="2" a="1"/>
  <c r="BD71" i="2" s="1"/>
  <c r="BP71" i="2" s="1"/>
  <c r="BI43" i="2" a="1"/>
  <c r="BI43" i="2" s="1"/>
  <c r="BI52" i="2" a="1"/>
  <c r="BI52" i="2" s="1"/>
  <c r="BU52" i="2" s="1"/>
  <c r="BB48" i="2" a="1"/>
  <c r="BB48" i="2" s="1"/>
  <c r="BN48" i="2" s="1"/>
  <c r="BB66" i="2" a="1"/>
  <c r="BB66" i="2" s="1"/>
  <c r="BN66" i="2" s="1"/>
  <c r="BB83" i="2" a="1"/>
  <c r="BB83" i="2" s="1"/>
  <c r="BN83" i="2" s="1"/>
  <c r="BI65" i="2" a="1"/>
  <c r="BI65" i="2" s="1"/>
  <c r="BU65" i="2" s="1"/>
  <c r="BH28" i="2" a="1"/>
  <c r="BH28" i="2" s="1"/>
  <c r="BT28" i="2" s="1"/>
  <c r="BH65" i="2" a="1"/>
  <c r="BH65" i="2" s="1"/>
  <c r="BT65" i="2" s="1"/>
  <c r="BA76" i="2" a="1"/>
  <c r="BA76" i="2" s="1"/>
  <c r="AZ48" i="2" a="1"/>
  <c r="AZ48" i="2" s="1"/>
  <c r="BL48" i="2" s="1"/>
  <c r="AZ82" i="2" a="1"/>
  <c r="AZ82" i="2" s="1"/>
  <c r="BL82" i="2" s="1"/>
  <c r="BF34" i="2" a="1"/>
  <c r="BF34" i="2" s="1"/>
  <c r="BR34" i="2" s="1"/>
  <c r="BG36" i="2" a="1"/>
  <c r="BG36" i="2" s="1"/>
  <c r="BS36" i="2" s="1"/>
  <c r="BG48" i="2" a="1"/>
  <c r="BG48" i="2" s="1"/>
  <c r="BS48" i="2" s="1"/>
  <c r="BG82" i="2" a="1"/>
  <c r="BG82" i="2" s="1"/>
  <c r="BS82" i="2" s="1"/>
  <c r="BG83" i="2" a="1"/>
  <c r="BG83" i="2" s="1"/>
  <c r="BS83" i="2" s="1"/>
  <c r="AQ24" i="2"/>
  <c r="V84" i="2"/>
  <c r="AF19" i="2"/>
  <c r="BJ60" i="2" l="1"/>
  <c r="BK60" i="2"/>
  <c r="AN60" i="2"/>
  <c r="AM60" i="2"/>
  <c r="AV60" i="2"/>
  <c r="AO60" i="2"/>
  <c r="AP60" i="2"/>
  <c r="AQ60" i="2"/>
  <c r="AR60" i="2"/>
  <c r="AT60" i="2"/>
  <c r="AS60" i="2"/>
  <c r="AU45" i="2"/>
  <c r="BJ45" i="2"/>
  <c r="BK45" i="2"/>
  <c r="AP45" i="2"/>
  <c r="AR45" i="2"/>
  <c r="AS45" i="2"/>
  <c r="AT45" i="2"/>
  <c r="AM45" i="2"/>
  <c r="AN45" i="2"/>
  <c r="AV45" i="2"/>
  <c r="AO45" i="2"/>
  <c r="BJ37" i="2"/>
  <c r="BK37" i="2"/>
  <c r="AV37" i="2"/>
  <c r="AN37" i="2"/>
  <c r="AO37" i="2"/>
  <c r="AP37" i="2"/>
  <c r="AR37" i="2"/>
  <c r="AS37" i="2"/>
  <c r="AT37" i="2"/>
  <c r="AM37" i="2"/>
  <c r="AU37" i="2"/>
  <c r="BJ29" i="2"/>
  <c r="AU29" i="2"/>
  <c r="BK29" i="2"/>
  <c r="AM29" i="2"/>
  <c r="AS29" i="2"/>
  <c r="AT29" i="2"/>
  <c r="AN29" i="2"/>
  <c r="AV29" i="2"/>
  <c r="AO29" i="2"/>
  <c r="AP29" i="2"/>
  <c r="AR29" i="2"/>
  <c r="BF29" i="2" a="1"/>
  <c r="BF29" i="2" s="1"/>
  <c r="BR29" i="2" s="1"/>
  <c r="BE29" i="2" a="1"/>
  <c r="BE29" i="2" s="1"/>
  <c r="BQ29" i="2" s="1"/>
  <c r="BE43" i="2" a="1"/>
  <c r="BE43" i="2" s="1"/>
  <c r="BH43" i="2" a="1"/>
  <c r="BH43" i="2" s="1"/>
  <c r="BG43" i="2" a="1"/>
  <c r="BG43" i="2" s="1"/>
  <c r="BG63" i="2" a="1"/>
  <c r="BG63" i="2" s="1"/>
  <c r="BE63" i="2" a="1"/>
  <c r="BE63" i="2" s="1"/>
  <c r="BC79" i="2" a="1"/>
  <c r="BC79" i="2" s="1"/>
  <c r="BA79" i="2" a="1"/>
  <c r="BA79" i="2" s="1"/>
  <c r="BD79" i="2" a="1"/>
  <c r="BD79" i="2" s="1"/>
  <c r="BD19" i="2" a="1"/>
  <c r="BD19" i="2" s="1"/>
  <c r="BP19" i="2" s="1"/>
  <c r="BH19" i="2" a="1"/>
  <c r="BH19" i="2" s="1"/>
  <c r="AI84" i="2"/>
  <c r="AS19" i="2"/>
  <c r="BH55" i="2" a="1"/>
  <c r="BH55" i="2" s="1"/>
  <c r="BG71" i="2" a="1"/>
  <c r="BG71" i="2" s="1"/>
  <c r="BS71" i="2" s="1"/>
  <c r="AZ78" i="2" a="1"/>
  <c r="AZ78" i="2" s="1"/>
  <c r="BC78" i="2" a="1"/>
  <c r="BC78" i="2" s="1"/>
  <c r="BF55" i="2" a="1"/>
  <c r="BF55" i="2" s="1"/>
  <c r="BT62" i="2"/>
  <c r="AQ62" i="2"/>
  <c r="BJ62" i="2"/>
  <c r="AO62" i="2"/>
  <c r="AV62" i="2"/>
  <c r="AN62" i="2"/>
  <c r="BO62" i="2"/>
  <c r="AT62" i="2"/>
  <c r="AR62" i="2"/>
  <c r="BK62" i="2"/>
  <c r="AP62" i="2"/>
  <c r="AM62" i="2"/>
  <c r="BU62" i="2"/>
  <c r="BP62" i="2"/>
  <c r="AU62" i="2"/>
  <c r="BN62" i="2"/>
  <c r="AS62" i="2"/>
  <c r="BG62" i="2" a="1"/>
  <c r="BG62" i="2" s="1"/>
  <c r="BS62" i="2" s="1"/>
  <c r="BD54" i="2" a="1"/>
  <c r="BD54" i="2" s="1"/>
  <c r="AJ84" i="2"/>
  <c r="AT19" i="2"/>
  <c r="BG79" i="2" a="1"/>
  <c r="BG79" i="2" s="1"/>
  <c r="BC63" i="2" a="1"/>
  <c r="BC63" i="2" s="1"/>
  <c r="BO63" i="2" s="1"/>
  <c r="BE78" i="2" a="1"/>
  <c r="BE78" i="2" s="1"/>
  <c r="BG55" i="2" a="1"/>
  <c r="BG55" i="2" s="1"/>
  <c r="BA78" i="2" a="1"/>
  <c r="BA78" i="2" s="1"/>
  <c r="BF62" i="2" a="1"/>
  <c r="BF62" i="2" s="1"/>
  <c r="BR62" i="2" s="1"/>
  <c r="BI78" i="2" a="1"/>
  <c r="BI78" i="2" s="1"/>
  <c r="BH79" i="2" a="1"/>
  <c r="BH79" i="2" s="1"/>
  <c r="AZ62" i="2" a="1"/>
  <c r="AZ62" i="2" s="1"/>
  <c r="BL62" i="2" s="1"/>
  <c r="AV19" i="2"/>
  <c r="AH84" i="2"/>
  <c r="AR19" i="2"/>
  <c r="BH71" i="2" a="1"/>
  <c r="BH71" i="2" s="1"/>
  <c r="BT71" i="2" s="1"/>
  <c r="BE71" i="2" a="1"/>
  <c r="BE71" i="2" s="1"/>
  <c r="BQ71" i="2" s="1"/>
  <c r="BR35" i="2"/>
  <c r="BJ35" i="2"/>
  <c r="AO35" i="2"/>
  <c r="BQ35" i="2"/>
  <c r="AV35" i="2"/>
  <c r="AN35" i="2"/>
  <c r="AU35" i="2"/>
  <c r="AM35" i="2"/>
  <c r="AT35" i="2"/>
  <c r="BU35" i="2"/>
  <c r="BS35" i="2"/>
  <c r="AS35" i="2"/>
  <c r="BL35" i="2"/>
  <c r="AQ35" i="2"/>
  <c r="BM35" i="2"/>
  <c r="BK35" i="2"/>
  <c r="AR35" i="2"/>
  <c r="AP35" i="2"/>
  <c r="AZ71" i="2" a="1"/>
  <c r="AZ71" i="2" s="1"/>
  <c r="BL71" i="2" s="1"/>
  <c r="AG84" i="2"/>
  <c r="AQ19" i="2"/>
  <c r="BC55" i="2" a="1"/>
  <c r="BC55" i="2" s="1"/>
  <c r="BO55" i="2" s="1"/>
  <c r="AF84" i="2"/>
  <c r="BB19" i="2" a="1"/>
  <c r="BB19" i="2" s="1"/>
  <c r="BF19" i="2" a="1"/>
  <c r="BF19" i="2" s="1"/>
  <c r="BI19" i="2" a="1"/>
  <c r="BI19" i="2" s="1"/>
  <c r="AZ19" i="2" a="1"/>
  <c r="AZ19" i="2" s="1"/>
  <c r="AP19" i="2"/>
  <c r="BG78" i="2" a="1"/>
  <c r="BG78" i="2" s="1"/>
  <c r="BF71" i="2" a="1"/>
  <c r="BF71" i="2" s="1"/>
  <c r="BR71" i="2" s="1"/>
  <c r="BA55" i="2" a="1"/>
  <c r="BA55" i="2" s="1"/>
  <c r="BM55" i="2" s="1"/>
  <c r="BH70" i="2" a="1"/>
  <c r="BH70" i="2" s="1"/>
  <c r="BT70" i="2" s="1"/>
  <c r="BB79" i="2" a="1"/>
  <c r="BB79" i="2" s="1"/>
  <c r="BE62" i="2" a="1"/>
  <c r="BE62" i="2" s="1"/>
  <c r="BQ62" i="2" s="1"/>
  <c r="BB35" i="2" a="1"/>
  <c r="BB35" i="2" s="1"/>
  <c r="BN35" i="2" s="1"/>
  <c r="BC35" i="2" a="1"/>
  <c r="BC35" i="2" s="1"/>
  <c r="BO35" i="2" s="1"/>
  <c r="BD35" i="2" a="1"/>
  <c r="BD35" i="2" s="1"/>
  <c r="BP35" i="2" s="1"/>
  <c r="AZ70" i="2" a="1"/>
  <c r="AZ70" i="2" s="1"/>
  <c r="BL70" i="2" s="1"/>
  <c r="BA71" i="2" a="1"/>
  <c r="BA71" i="2" s="1"/>
  <c r="BM71" i="2" s="1"/>
  <c r="BD55" i="2" a="1"/>
  <c r="BD55" i="2" s="1"/>
  <c r="BP55" i="2" s="1"/>
  <c r="BA62" i="2" a="1"/>
  <c r="BA62" i="2" s="1"/>
  <c r="BM62" i="2" s="1"/>
  <c r="BC70" i="2" a="1"/>
  <c r="BC70" i="2" s="1"/>
  <c r="BO70" i="2" s="1"/>
  <c r="BT19" i="2"/>
  <c r="BC19" i="2" a="1"/>
  <c r="BC19" i="2" s="1"/>
  <c r="AU22" i="2"/>
  <c r="AM22" i="2"/>
  <c r="AT22" i="2"/>
  <c r="AS22" i="2"/>
  <c r="AR22" i="2"/>
  <c r="BJ22" i="2"/>
  <c r="AO22" i="2"/>
  <c r="AQ22" i="2"/>
  <c r="AP22" i="2"/>
  <c r="AN22" i="2"/>
  <c r="BK22" i="2"/>
  <c r="J77" i="1"/>
  <c r="J79" i="1"/>
  <c r="J75" i="1"/>
  <c r="J82" i="1"/>
  <c r="AC84" i="2"/>
  <c r="J74" i="1"/>
  <c r="J78" i="1"/>
  <c r="J76" i="1"/>
  <c r="J81" i="1"/>
  <c r="J80" i="1"/>
  <c r="J73" i="1"/>
  <c r="AZ54" i="2" a="1"/>
  <c r="AZ54" i="2" s="1"/>
  <c r="BL54" i="2" s="1"/>
  <c r="BA19" i="2" a="1"/>
  <c r="BA19" i="2" s="1"/>
  <c r="BB71" i="2" a="1"/>
  <c r="BB71" i="2" s="1"/>
  <c r="BN71" i="2" s="1"/>
  <c r="BI79" i="2" a="1"/>
  <c r="BI79" i="2" s="1"/>
  <c r="BH35" i="2" a="1"/>
  <c r="BH35" i="2" s="1"/>
  <c r="BT35" i="2" s="1"/>
  <c r="BG19" i="2" a="1"/>
  <c r="BG19" i="2" s="1"/>
  <c r="AB22" i="2"/>
  <c r="N84" i="2"/>
  <c r="BI71" i="2" a="1"/>
  <c r="BI71" i="2" s="1"/>
  <c r="BU71" i="2" s="1"/>
  <c r="BO54" i="2"/>
  <c r="AT54" i="2"/>
  <c r="BN54" i="2"/>
  <c r="BU54" i="2"/>
  <c r="BM54" i="2"/>
  <c r="AR54" i="2"/>
  <c r="BT54" i="2"/>
  <c r="AQ54" i="2"/>
  <c r="BR54" i="2"/>
  <c r="BJ54" i="2"/>
  <c r="AO54" i="2"/>
  <c r="BS54" i="2"/>
  <c r="AV54" i="2"/>
  <c r="BQ54" i="2"/>
  <c r="AU54" i="2"/>
  <c r="BP54" i="2"/>
  <c r="AS54" i="2"/>
  <c r="BK54" i="2"/>
  <c r="AP54" i="2"/>
  <c r="AN54" i="2"/>
  <c r="AM54" i="2"/>
  <c r="BE19" i="2" a="1"/>
  <c r="BE19" i="2" s="1"/>
  <c r="AY84" i="2"/>
  <c r="BS55" i="2"/>
  <c r="BK55" i="2"/>
  <c r="AP55" i="2"/>
  <c r="BR55" i="2"/>
  <c r="BJ55" i="2"/>
  <c r="AO55" i="2"/>
  <c r="BQ55" i="2"/>
  <c r="AV55" i="2"/>
  <c r="AN55" i="2"/>
  <c r="AU55" i="2"/>
  <c r="AM55" i="2"/>
  <c r="AT55" i="2"/>
  <c r="BU55" i="2"/>
  <c r="AR55" i="2"/>
  <c r="BT55" i="2"/>
  <c r="BN55" i="2"/>
  <c r="AS55" i="2"/>
  <c r="BL55" i="2"/>
  <c r="AQ55" i="2"/>
  <c r="A7" i="3"/>
  <c r="A23" i="2"/>
  <c r="AX84" i="2"/>
  <c r="AT63" i="2"/>
  <c r="BU63" i="2"/>
  <c r="BM63" i="2"/>
  <c r="AR63" i="2"/>
  <c r="BT63" i="2"/>
  <c r="BL63" i="2"/>
  <c r="AQ63" i="2"/>
  <c r="BR63" i="2"/>
  <c r="BJ63" i="2"/>
  <c r="AO63" i="2"/>
  <c r="BS63" i="2"/>
  <c r="BQ63" i="2"/>
  <c r="AV63" i="2"/>
  <c r="BP63" i="2"/>
  <c r="AU63" i="2"/>
  <c r="BN63" i="2"/>
  <c r="AS63" i="2"/>
  <c r="AN63" i="2"/>
  <c r="AP63" i="2"/>
  <c r="AM63" i="2"/>
  <c r="BK63" i="2"/>
  <c r="BC71" i="2" a="1"/>
  <c r="BC71" i="2" s="1"/>
  <c r="BO71" i="2" s="1"/>
  <c r="BT43" i="2"/>
  <c r="BL43" i="2"/>
  <c r="AQ43" i="2"/>
  <c r="BS43" i="2"/>
  <c r="BK43" i="2"/>
  <c r="AP43" i="2"/>
  <c r="BR43" i="2"/>
  <c r="BJ43" i="2"/>
  <c r="AO43" i="2"/>
  <c r="BQ43" i="2"/>
  <c r="AV43" i="2"/>
  <c r="AN43" i="2"/>
  <c r="BP43" i="2"/>
  <c r="AU43" i="2"/>
  <c r="AM43" i="2"/>
  <c r="BO43" i="2"/>
  <c r="AT43" i="2"/>
  <c r="BM43" i="2"/>
  <c r="AR43" i="2"/>
  <c r="BU43" i="2"/>
  <c r="BN43" i="2"/>
  <c r="AS43" i="2"/>
  <c r="BR72" i="2" l="1"/>
  <c r="BJ72" i="2"/>
  <c r="AO72" i="2"/>
  <c r="BQ72" i="2"/>
  <c r="AV72" i="2"/>
  <c r="AN72" i="2"/>
  <c r="BP72" i="2"/>
  <c r="AU72" i="2"/>
  <c r="AM72" i="2"/>
  <c r="BO72" i="2"/>
  <c r="AT72" i="2"/>
  <c r="BT72" i="2"/>
  <c r="BL72" i="2"/>
  <c r="AQ72" i="2"/>
  <c r="BS72" i="2"/>
  <c r="BK72" i="2"/>
  <c r="AP72" i="2"/>
  <c r="BU72" i="2"/>
  <c r="BM72" i="2"/>
  <c r="AR72" i="2"/>
  <c r="BN72" i="2"/>
  <c r="AS72" i="2"/>
  <c r="J83" i="1"/>
  <c r="AL22" i="2"/>
  <c r="AB84" i="2"/>
  <c r="BU78" i="2"/>
  <c r="BM78" i="2"/>
  <c r="AR78" i="2"/>
  <c r="BR78" i="2"/>
  <c r="BJ78" i="2"/>
  <c r="AO78" i="2"/>
  <c r="BK78" i="2"/>
  <c r="AP78" i="2"/>
  <c r="BT78" i="2"/>
  <c r="AN78" i="2"/>
  <c r="BS78" i="2"/>
  <c r="AM78" i="2"/>
  <c r="BQ78" i="2"/>
  <c r="AV78" i="2"/>
  <c r="BN78" i="2"/>
  <c r="AS78" i="2"/>
  <c r="BL78" i="2"/>
  <c r="AQ78" i="2"/>
  <c r="AU78" i="2"/>
  <c r="AT78" i="2"/>
  <c r="BO78" i="2"/>
  <c r="BP78" i="2"/>
  <c r="BO19" i="2"/>
  <c r="A8" i="3"/>
  <c r="A24" i="2"/>
  <c r="BP74" i="2"/>
  <c r="AU74" i="2"/>
  <c r="AM74" i="2"/>
  <c r="BO74" i="2"/>
  <c r="AT74" i="2"/>
  <c r="BN74" i="2"/>
  <c r="AS74" i="2"/>
  <c r="BU74" i="2"/>
  <c r="BM74" i="2"/>
  <c r="AR74" i="2"/>
  <c r="BR74" i="2"/>
  <c r="BJ74" i="2"/>
  <c r="AO74" i="2"/>
  <c r="BQ74" i="2"/>
  <c r="AV74" i="2"/>
  <c r="AN74" i="2"/>
  <c r="BT74" i="2"/>
  <c r="BS74" i="2"/>
  <c r="BL74" i="2"/>
  <c r="AQ74" i="2"/>
  <c r="BK74" i="2"/>
  <c r="AP74" i="2"/>
  <c r="BS19" i="2"/>
  <c r="BP79" i="2"/>
  <c r="AU79" i="2"/>
  <c r="AM79" i="2"/>
  <c r="BO79" i="2"/>
  <c r="AT79" i="2"/>
  <c r="BU79" i="2"/>
  <c r="BM79" i="2"/>
  <c r="AR79" i="2"/>
  <c r="BR79" i="2"/>
  <c r="BJ79" i="2"/>
  <c r="BS79" i="2"/>
  <c r="BQ79" i="2"/>
  <c r="BN79" i="2"/>
  <c r="AV79" i="2"/>
  <c r="BL79" i="2"/>
  <c r="AS79" i="2"/>
  <c r="AO79" i="2"/>
  <c r="BT79" i="2"/>
  <c r="AN79" i="2"/>
  <c r="BK79" i="2"/>
  <c r="AQ79" i="2"/>
  <c r="AP79" i="2"/>
  <c r="BO76" i="2"/>
  <c r="AT76" i="2"/>
  <c r="BT76" i="2"/>
  <c r="BK76" i="2"/>
  <c r="AU76" i="2"/>
  <c r="BS76" i="2"/>
  <c r="BJ76" i="2"/>
  <c r="AS76" i="2"/>
  <c r="BR76" i="2"/>
  <c r="AR76" i="2"/>
  <c r="BQ76" i="2"/>
  <c r="AQ76" i="2"/>
  <c r="BM76" i="2"/>
  <c r="AN76" i="2"/>
  <c r="BU76" i="2"/>
  <c r="BL76" i="2"/>
  <c r="AV76" i="2"/>
  <c r="AM76" i="2"/>
  <c r="BP76" i="2"/>
  <c r="AP76" i="2"/>
  <c r="BN76" i="2"/>
  <c r="AO76" i="2"/>
  <c r="BS75" i="2"/>
  <c r="BK75" i="2"/>
  <c r="AP75" i="2"/>
  <c r="BR75" i="2"/>
  <c r="BJ75" i="2"/>
  <c r="AO75" i="2"/>
  <c r="BQ75" i="2"/>
  <c r="AV75" i="2"/>
  <c r="AN75" i="2"/>
  <c r="BP75" i="2"/>
  <c r="AU75" i="2"/>
  <c r="AM75" i="2"/>
  <c r="BU75" i="2"/>
  <c r="BM75" i="2"/>
  <c r="AR75" i="2"/>
  <c r="BT75" i="2"/>
  <c r="BL75" i="2"/>
  <c r="AQ75" i="2"/>
  <c r="BO75" i="2"/>
  <c r="AT75" i="2"/>
  <c r="AS75" i="2"/>
  <c r="BN75" i="2"/>
  <c r="BR77" i="2"/>
  <c r="BJ77" i="2"/>
  <c r="AO77" i="2"/>
  <c r="BO77" i="2"/>
  <c r="BQ77" i="2"/>
  <c r="AN77" i="2"/>
  <c r="BP77" i="2"/>
  <c r="AV77" i="2"/>
  <c r="AM77" i="2"/>
  <c r="BN77" i="2"/>
  <c r="AU77" i="2"/>
  <c r="BM77" i="2"/>
  <c r="AT77" i="2"/>
  <c r="BT77" i="2"/>
  <c r="AQ77" i="2"/>
  <c r="BS77" i="2"/>
  <c r="AP77" i="2"/>
  <c r="BU77" i="2"/>
  <c r="AR77" i="2"/>
  <c r="BL77" i="2"/>
  <c r="BK77" i="2"/>
  <c r="AS77" i="2"/>
  <c r="BU19" i="2"/>
  <c r="BL19" i="2"/>
  <c r="BU73" i="2"/>
  <c r="BM73" i="2"/>
  <c r="AR73" i="2"/>
  <c r="BT73" i="2"/>
  <c r="BL73" i="2"/>
  <c r="AQ73" i="2"/>
  <c r="BS73" i="2"/>
  <c r="BK73" i="2"/>
  <c r="AP73" i="2"/>
  <c r="BR73" i="2"/>
  <c r="BJ73" i="2"/>
  <c r="AO73" i="2"/>
  <c r="BO73" i="2"/>
  <c r="AT73" i="2"/>
  <c r="BN73" i="2"/>
  <c r="AS73" i="2"/>
  <c r="AM73" i="2"/>
  <c r="BP73" i="2"/>
  <c r="AU73" i="2"/>
  <c r="AN73" i="2"/>
  <c r="BQ73" i="2"/>
  <c r="AV73" i="2"/>
  <c r="BR19" i="2"/>
  <c r="BM19" i="2"/>
  <c r="BN19" i="2"/>
  <c r="BS80" i="2"/>
  <c r="BK80" i="2"/>
  <c r="AP80" i="2"/>
  <c r="BR80" i="2"/>
  <c r="BJ80" i="2"/>
  <c r="AO80" i="2"/>
  <c r="BP80" i="2"/>
  <c r="AU80" i="2"/>
  <c r="AM80" i="2"/>
  <c r="BU80" i="2"/>
  <c r="BM80" i="2"/>
  <c r="AR80" i="2"/>
  <c r="BT80" i="2"/>
  <c r="BQ80" i="2"/>
  <c r="AV80" i="2"/>
  <c r="BL80" i="2"/>
  <c r="AQ80" i="2"/>
  <c r="AN80" i="2"/>
  <c r="BO80" i="2"/>
  <c r="BN80" i="2"/>
  <c r="AT80" i="2"/>
  <c r="AS80" i="2"/>
  <c r="BQ19" i="2"/>
  <c r="D4" i="6" l="1"/>
  <c r="BS81" i="2"/>
  <c r="BK81" i="2"/>
  <c r="BK84" i="2" s="1"/>
  <c r="AP81" i="2"/>
  <c r="AP84" i="2" s="1"/>
  <c r="D10" i="6" s="1"/>
  <c r="BP81" i="2"/>
  <c r="BQ81" i="2"/>
  <c r="AN81" i="2"/>
  <c r="AN84" i="2" s="1"/>
  <c r="D8" i="6" s="1"/>
  <c r="BO81" i="2"/>
  <c r="AV81" i="2"/>
  <c r="AM81" i="2"/>
  <c r="AM84" i="2" s="1"/>
  <c r="D7" i="6" s="1"/>
  <c r="BM81" i="2"/>
  <c r="AT81" i="2"/>
  <c r="AT84" i="2" s="1"/>
  <c r="D14" i="6" s="1"/>
  <c r="BT81" i="2"/>
  <c r="AQ81" i="2"/>
  <c r="AQ84" i="2" s="1"/>
  <c r="D11" i="6" s="1"/>
  <c r="BL81" i="2"/>
  <c r="BJ81" i="2"/>
  <c r="BJ84" i="2" s="1"/>
  <c r="AU81" i="2"/>
  <c r="AU84" i="2" s="1"/>
  <c r="D15" i="6" s="1"/>
  <c r="BR81" i="2"/>
  <c r="AO81" i="2"/>
  <c r="AO84" i="2" s="1"/>
  <c r="D9" i="6" s="1"/>
  <c r="BN81" i="2"/>
  <c r="AR81" i="2"/>
  <c r="AR84" i="2" s="1"/>
  <c r="D12" i="6" s="1"/>
  <c r="BU81" i="2"/>
  <c r="AS81" i="2"/>
  <c r="AS84" i="2" s="1"/>
  <c r="D13" i="6" s="1"/>
  <c r="A9" i="3"/>
  <c r="A25" i="2"/>
  <c r="BA22" i="2" a="1"/>
  <c r="BA22" i="2" s="1"/>
  <c r="BB22" i="2" a="1"/>
  <c r="BB22" i="2" s="1"/>
  <c r="BD22" i="2" a="1"/>
  <c r="BD22" i="2" s="1"/>
  <c r="AZ22" i="2" a="1"/>
  <c r="AZ22" i="2" s="1"/>
  <c r="BH22" i="2" a="1"/>
  <c r="BH22" i="2" s="1"/>
  <c r="BC22" i="2" a="1"/>
  <c r="BC22" i="2" s="1"/>
  <c r="BF22" i="2" a="1"/>
  <c r="BF22" i="2" s="1"/>
  <c r="BG22" i="2" a="1"/>
  <c r="BG22" i="2" s="1"/>
  <c r="BI22" i="2" a="1"/>
  <c r="BI22" i="2" s="1"/>
  <c r="BE22" i="2" a="1"/>
  <c r="BE22" i="2" s="1"/>
  <c r="AL84" i="2"/>
  <c r="AV22" i="2"/>
  <c r="AV84" i="2" l="1"/>
  <c r="D16" i="6" s="1"/>
  <c r="BD84" i="2"/>
  <c r="BP22" i="2"/>
  <c r="BP84" i="2" s="1"/>
  <c r="BN22" i="2"/>
  <c r="BN84" i="2" s="1"/>
  <c r="BB84" i="2"/>
  <c r="BR22" i="2"/>
  <c r="BR84" i="2" s="1"/>
  <c r="BF84" i="2"/>
  <c r="BO22" i="2"/>
  <c r="BO84" i="2" s="1"/>
  <c r="BC84" i="2"/>
  <c r="BU22" i="2"/>
  <c r="BU84" i="2" s="1"/>
  <c r="BI84" i="2"/>
  <c r="BL22" i="2"/>
  <c r="BL84" i="2" s="1"/>
  <c r="AZ84" i="2"/>
  <c r="A10" i="3"/>
  <c r="A26" i="2"/>
  <c r="BQ22" i="2"/>
  <c r="BQ84" i="2" s="1"/>
  <c r="BE84" i="2"/>
  <c r="BM22" i="2"/>
  <c r="BM84" i="2" s="1"/>
  <c r="BA84" i="2"/>
  <c r="BS22" i="2"/>
  <c r="BS84" i="2" s="1"/>
  <c r="BG84" i="2"/>
  <c r="BT22" i="2"/>
  <c r="BT84" i="2" s="1"/>
  <c r="BH84" i="2"/>
  <c r="A11" i="3" l="1"/>
  <c r="A27" i="2"/>
  <c r="A12" i="3" l="1"/>
  <c r="A28" i="2"/>
  <c r="A13" i="3" l="1"/>
  <c r="A29" i="2"/>
  <c r="A14" i="3" l="1"/>
  <c r="A30" i="2"/>
  <c r="A15" i="3" l="1"/>
  <c r="A31" i="2"/>
  <c r="A16" i="3" l="1"/>
  <c r="A32" i="2"/>
  <c r="A17" i="3" l="1"/>
  <c r="A33" i="2"/>
  <c r="A18" i="3" l="1"/>
  <c r="A34" i="2"/>
  <c r="A19" i="3" l="1"/>
  <c r="A35" i="2"/>
  <c r="A20" i="3" l="1"/>
  <c r="A36" i="2"/>
  <c r="A21" i="3" l="1"/>
  <c r="A37" i="2"/>
  <c r="A22" i="3" l="1"/>
  <c r="A38" i="2"/>
  <c r="A23" i="3" l="1"/>
  <c r="A39" i="2"/>
  <c r="A24" i="3" l="1"/>
  <c r="A40" i="2"/>
  <c r="A25" i="3" l="1"/>
  <c r="A41" i="2"/>
  <c r="A26" i="3" l="1"/>
  <c r="A42" i="2"/>
  <c r="A27" i="3" l="1"/>
  <c r="A43" i="2"/>
  <c r="A28" i="3" l="1"/>
  <c r="A44" i="2"/>
  <c r="A29" i="3" l="1"/>
  <c r="A45" i="2"/>
  <c r="A30" i="3" l="1"/>
  <c r="A46" i="2"/>
  <c r="A31" i="3" l="1"/>
  <c r="A47" i="2"/>
  <c r="A32" i="3" l="1"/>
  <c r="A48" i="2"/>
  <c r="A33" i="3" l="1"/>
  <c r="A49" i="2"/>
  <c r="A34" i="3" l="1"/>
  <c r="A50" i="2"/>
  <c r="A35" i="3" l="1"/>
  <c r="A51" i="2"/>
  <c r="A36" i="3" l="1"/>
  <c r="A52" i="2"/>
  <c r="A37" i="3" l="1"/>
  <c r="A53" i="2"/>
  <c r="A38" i="3" l="1"/>
  <c r="A54" i="2"/>
  <c r="A39" i="3" l="1"/>
  <c r="A55" i="2"/>
  <c r="A40" i="3" l="1"/>
  <c r="A56" i="2"/>
  <c r="A41" i="3" l="1"/>
  <c r="A57" i="2"/>
  <c r="A42" i="3" l="1"/>
  <c r="A58" i="2"/>
  <c r="A43" i="3" l="1"/>
  <c r="A59" i="2"/>
  <c r="A44" i="3" l="1"/>
  <c r="A60" i="2"/>
  <c r="A45" i="3" l="1"/>
  <c r="A61" i="2"/>
  <c r="A46" i="3" l="1"/>
  <c r="A62" i="2"/>
  <c r="A47" i="3" l="1"/>
  <c r="A63" i="2"/>
  <c r="A48" i="3" l="1"/>
  <c r="A64" i="2"/>
  <c r="A49" i="3" l="1"/>
  <c r="A65" i="2"/>
  <c r="A50" i="3" l="1"/>
  <c r="A66" i="2"/>
  <c r="A51" i="3" l="1"/>
  <c r="A67" i="2"/>
  <c r="A52" i="3" l="1"/>
  <c r="A68" i="2"/>
  <c r="A53" i="3" l="1"/>
  <c r="A69" i="2"/>
  <c r="A54" i="3" l="1"/>
  <c r="A70" i="2"/>
  <c r="A55" i="3" l="1"/>
  <c r="A71" i="2"/>
  <c r="A56" i="3" l="1"/>
  <c r="A72" i="2"/>
  <c r="A57" i="3" l="1"/>
  <c r="A73" i="2"/>
  <c r="A58" i="3" l="1"/>
  <c r="A74" i="2"/>
  <c r="A59" i="3" l="1"/>
  <c r="A75" i="2"/>
  <c r="A60" i="3" l="1"/>
  <c r="A76" i="2"/>
  <c r="A61" i="3" l="1"/>
  <c r="A77" i="2"/>
  <c r="A62" i="3" l="1"/>
  <c r="A78" i="2"/>
  <c r="A63" i="3" l="1"/>
  <c r="A79" i="2"/>
  <c r="A64" i="3" l="1"/>
  <c r="A80" i="2"/>
  <c r="A65" i="3" l="1"/>
  <c r="A81" i="2"/>
  <c r="A66" i="3" l="1"/>
  <c r="A82" i="2"/>
  <c r="A67" i="3" l="1"/>
  <c r="A83" i="2"/>
  <c r="A68" i="3" l="1"/>
  <c r="B5" i="7" l="1"/>
  <c r="B5" i="8"/>
  <c r="B5" i="5"/>
  <c r="B4" i="3"/>
  <c r="B3" i="4"/>
</calcChain>
</file>

<file path=xl/sharedStrings.xml><?xml version="1.0" encoding="utf-8"?>
<sst xmlns="http://schemas.openxmlformats.org/spreadsheetml/2006/main" count="611" uniqueCount="272">
  <si>
    <t>Capstone Project Grade (CSE 4098C)</t>
  </si>
  <si>
    <t>Marks Distribution</t>
  </si>
  <si>
    <t>Sl</t>
  </si>
  <si>
    <t>Student ID</t>
  </si>
  <si>
    <t>Student Name</t>
  </si>
  <si>
    <t>Report
(40%)</t>
  </si>
  <si>
    <t>Presentation (25%)</t>
  </si>
  <si>
    <t>Poster (20%)</t>
  </si>
  <si>
    <t>Peer 
(5%)</t>
  </si>
  <si>
    <t>Weekly Journal 
(10%)</t>
  </si>
  <si>
    <t>Total 
(100%)</t>
  </si>
  <si>
    <t>Grade</t>
  </si>
  <si>
    <t>Grade Summery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</si>
  <si>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</si>
  <si>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</si>
  <si>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</si>
  <si>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</si>
  <si>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</si>
  <si>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</si>
  <si>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</si>
  <si>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</si>
  <si>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</si>
  <si>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</si>
  <si>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</si>
  <si>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Muhammad Golam Kibria, PhD, SMIEEE</t>
  </si>
  <si>
    <t>Professor &amp; Head</t>
  </si>
  <si>
    <t>Department of CSE, ULAB</t>
  </si>
  <si>
    <t>Mapping of COs to POs</t>
  </si>
  <si>
    <t>Assessment Items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</si>
  <si>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</si>
  <si>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</si>
  <si>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</si>
  <si>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</si>
  <si>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</si>
  <si>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</si>
  <si>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</si>
  <si>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</si>
  <si>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</si>
  <si>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</si>
  <si>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</si>
  <si>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</si>
  <si>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</si>
  <si>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</si>
  <si>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</si>
  <si>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</si>
  <si>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</si>
  <si>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</si>
  <si>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</si>
  <si>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</si>
  <si>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</si>
  <si>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</si>
  <si>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Report</t>
  </si>
  <si>
    <t>Peer</t>
  </si>
  <si>
    <t>Term Final Presentation</t>
  </si>
  <si>
    <t>Poster</t>
  </si>
  <si>
    <t>CO Attainment Analysis</t>
  </si>
  <si>
    <t>PO Attainment Analysis</t>
  </si>
  <si>
    <t>Presentation</t>
  </si>
  <si>
    <t>Total Marks</t>
  </si>
  <si>
    <t>Percentage</t>
  </si>
  <si>
    <t>CO Attainment</t>
  </si>
  <si>
    <t>PO Attainment</t>
  </si>
  <si>
    <t>CO11</t>
  </si>
  <si>
    <t>S/N</t>
  </si>
  <si>
    <t>Name</t>
  </si>
  <si>
    <t>If CO achieved (≥55%) then 1, else 0</t>
  </si>
  <si>
    <t>If PO achieved (≥55%) then 1, else 0</t>
  </si>
  <si>
    <t>Tamanna Akter</t>
  </si>
  <si>
    <t>Class Average</t>
  </si>
  <si>
    <t>Evaluator 1</t>
  </si>
  <si>
    <t>Evaluator 2</t>
  </si>
  <si>
    <t>Supervisor</t>
  </si>
  <si>
    <t xml:space="preserve">Final </t>
  </si>
  <si>
    <t>SL</t>
  </si>
  <si>
    <t>topic</t>
  </si>
  <si>
    <t>MGK</t>
  </si>
  <si>
    <t>RaiK</t>
  </si>
  <si>
    <t>RHF</t>
  </si>
  <si>
    <t>SviA</t>
  </si>
  <si>
    <t>JFR</t>
  </si>
  <si>
    <t>ASU</t>
  </si>
  <si>
    <t>RWAIK</t>
  </si>
  <si>
    <t>SJSQ</t>
  </si>
  <si>
    <t>NUA</t>
  </si>
  <si>
    <t>MdKH</t>
  </si>
  <si>
    <t>NafM</t>
  </si>
  <si>
    <t>MAWA</t>
  </si>
  <si>
    <t>MNMA</t>
  </si>
  <si>
    <t xml:space="preserve">Rubric Link: </t>
  </si>
  <si>
    <t xml:space="preserve">https://drive.google.com/drive/folders/1zBPKwy965H2Y6spD58gHqKrt-5fV-1cI7rxz-pbAWVq0ofM9tXtPO0_P-EIl7p2ssqUHhrrh?usp=sharing </t>
  </si>
  <si>
    <t>Evaluator 01</t>
  </si>
  <si>
    <t>Evaluator 02</t>
  </si>
  <si>
    <t>Final(AVG)</t>
  </si>
  <si>
    <t>Out of 20</t>
  </si>
  <si>
    <t>Capstone Project Report (CSE 4098C)</t>
  </si>
  <si>
    <t>Evaluator's Marks (Provided in Rubrics: 39)</t>
  </si>
  <si>
    <t>Supervisor (Provided in Rubrics: 39)</t>
  </si>
  <si>
    <t>Supervisor Marks (40%)</t>
  </si>
  <si>
    <t>RwaiK</t>
  </si>
  <si>
    <t>WFU</t>
  </si>
  <si>
    <t>ASR</t>
  </si>
  <si>
    <t>FSAh</t>
  </si>
  <si>
    <t>FK</t>
  </si>
  <si>
    <t>SBMM</t>
  </si>
  <si>
    <t>DAMT</t>
  </si>
  <si>
    <t>ABY</t>
  </si>
  <si>
    <t>Evaluator's Mark (40%)</t>
  </si>
  <si>
    <t>Total
(Supervisor: 60% + Evaluator: 40%)</t>
  </si>
  <si>
    <t>Continuous Quality Improvement (CQI) Form</t>
  </si>
  <si>
    <t>Course Code</t>
  </si>
  <si>
    <t>CSE 4098C</t>
  </si>
  <si>
    <t>Section</t>
  </si>
  <si>
    <t>Course Title</t>
  </si>
  <si>
    <t>Capstone Project</t>
  </si>
  <si>
    <t>Semester</t>
  </si>
  <si>
    <t>Credit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</si>
  <si>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</si>
  <si>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</si>
  <si>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</si>
  <si>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</si>
  <si>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</si>
  <si>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Should be given more practices</t>
  </si>
  <si>
    <t>Capstone Final Presentation (CSE 4098C)</t>
  </si>
  <si>
    <t>Evaluator's Marks (Provided in Rubrics: 45)</t>
  </si>
  <si>
    <t>Supervisor (Provided in Rubrics: 45)</t>
  </si>
  <si>
    <t>Supervisor Marks (50%)</t>
  </si>
  <si>
    <t>Evaluator's Marks (50%)</t>
  </si>
  <si>
    <t>Capstone Poster Presentation (CSE 4098C)</t>
  </si>
  <si>
    <t>Evaluator's Marks (Provided in Rubrics: 12)</t>
  </si>
  <si>
    <t>Supervisor (Provided in Rubrics: 12)</t>
  </si>
  <si>
    <t>Capstone Project Report (CSE 499/4098) - Summer 2023</t>
  </si>
  <si>
    <t>Capstone Project Title</t>
  </si>
  <si>
    <t>Registered in Semester</t>
  </si>
  <si>
    <t>Supervisor Name</t>
  </si>
  <si>
    <t>Evaluator Name</t>
  </si>
  <si>
    <t>Aid Nexus</t>
  </si>
  <si>
    <t>Md. Tabassinur Rahman</t>
  </si>
  <si>
    <t>Fall 23</t>
  </si>
  <si>
    <t>Dr. Nafees Mansoor</t>
  </si>
  <si>
    <t>Mohammed Ashikur Rahman, PhD</t>
  </si>
  <si>
    <t>Md. Raisul Hasan Shahrukh</t>
  </si>
  <si>
    <t>Raihan Kibria, Senoir Lecturer</t>
  </si>
  <si>
    <t>Md. Rakibul Hoque Joy</t>
  </si>
  <si>
    <t>Rubaiya Hafiz, Lecturer</t>
  </si>
  <si>
    <t xml:space="preserve">Agrichain: A Blockchain based Agricultural Food Management System </t>
  </si>
  <si>
    <t>Progga Tanzin</t>
  </si>
  <si>
    <t>Summer 22</t>
  </si>
  <si>
    <t>Jenifer Prantica Gomes</t>
  </si>
  <si>
    <t>Imdadul Hoque</t>
  </si>
  <si>
    <t xml:space="preserve">Deep Learning Based Bangla Number plate Detection and Recognition System </t>
  </si>
  <si>
    <t>Md. Tasnim Alam Rumman</t>
  </si>
  <si>
    <t>Fall 22</t>
  </si>
  <si>
    <t>Rubaiya Hafiz</t>
  </si>
  <si>
    <t xml:space="preserve">Sohag Barman, PhD, Assistant Professor </t>
  </si>
  <si>
    <t>Md Tamim Hasan Anik</t>
  </si>
  <si>
    <t>Mahadi Hasan Sayem</t>
  </si>
  <si>
    <t>Suravi Akhter, Lecturer</t>
  </si>
  <si>
    <t>Healthsight: An Approach to Predict the Risk of Heart Disease &amp; Diabetes using ML</t>
  </si>
  <si>
    <t>Mahrufa</t>
  </si>
  <si>
    <t>Spring 23</t>
  </si>
  <si>
    <t xml:space="preserve">Mohammad Ashikur Rahman </t>
  </si>
  <si>
    <t>Nafees Mansoor, PhD</t>
  </si>
  <si>
    <t>Arpita Das</t>
  </si>
  <si>
    <t>Rite Saha</t>
  </si>
  <si>
    <t>Nisa Akter</t>
  </si>
  <si>
    <t>Hybrid Model for Face Detection and Recognition on Raspberry Pi</t>
  </si>
  <si>
    <t>Shaharia Sheikh Ove</t>
  </si>
  <si>
    <t>Md. Al-Musfik Hasan</t>
  </si>
  <si>
    <t>Ferdous Bin Hafiz, Lecturer</t>
  </si>
  <si>
    <t>Ensemble Learning Approach to Detect Prostate Cancer using MRI Images</t>
  </si>
  <si>
    <t>Mohammad Ali Ahanaf Hossain</t>
  </si>
  <si>
    <t>Professor Muhammad Golam Kibria, PhD</t>
  </si>
  <si>
    <t>Mahpara Nawal Fariba</t>
  </si>
  <si>
    <t>Noman Hossain, PhD, Assistant Professor</t>
  </si>
  <si>
    <t xml:space="preserve">Sarjanul Islam Apron </t>
  </si>
  <si>
    <t xml:space="preserve">Pedestrian Detection Based on Deep Learning </t>
  </si>
  <si>
    <t>Navid Omi</t>
  </si>
  <si>
    <t>Md Fahimuzzaman</t>
  </si>
  <si>
    <t>Md Robiul Islam Protik</t>
  </si>
  <si>
    <t>Credit Card Fraud Detection using ML</t>
  </si>
  <si>
    <t>Purno Ashiquzzaman</t>
  </si>
  <si>
    <t>Suravi Akhter</t>
  </si>
  <si>
    <t>Efat Jahan Ema</t>
  </si>
  <si>
    <t>Jahid Hasan</t>
  </si>
  <si>
    <t>Rabeya Khatun</t>
  </si>
  <si>
    <t>Development and Implementation of a Web-based Chatbot for Enhanced Job Search</t>
  </si>
  <si>
    <t>Safayatul Islam</t>
  </si>
  <si>
    <t>Niaz Ashraf Khan</t>
  </si>
  <si>
    <t>Sanjida Anjum Sohana</t>
  </si>
  <si>
    <t>Sadia Dilshad</t>
  </si>
  <si>
    <t xml:space="preserve">https://drive.google.com/file/d/1u4BCg0wLRAwI0mXpCD5L0aks895j9MmH/view?usp=drive_link </t>
  </si>
  <si>
    <t xml:space="preserve">https://drive.google.com/file/d/1GXt2aEQ3mnfyi2wuJOAfPPqelM_zbpmu/view?usp=drive_link </t>
  </si>
  <si>
    <t xml:space="preserve">https://drive.google.com/file/d/1n1bZ-eqdPPMM4sHu8fYroItCXlxmXW6q/view?usp=drive_link </t>
  </si>
  <si>
    <t>https://drive.google.com/file/d/1TMszca5ldIvgla9X3LFBVDqYRx5LjRTw/view?usp=drive_link</t>
  </si>
  <si>
    <t xml:space="preserve">https://drive.google.com/file/d/1UTrPHQEpu0o2z34gVI0R2fdB3W76tWUH/view?usp=drive_link </t>
  </si>
  <si>
    <t xml:space="preserve">https://drive.google.com/file/d/1TKyVAYHZphjhAGt6OVkf5Nf0S46dk_tV/view?usp=drive_link </t>
  </si>
  <si>
    <t>https://drive.google.com/file/d/13joB0H3V_mc2uvnqF3Kaed3ZLBTeweti/view?usp=drive_link</t>
  </si>
  <si>
    <t xml:space="preserve">https://drive.google.com/file/d/1yVO8xe-p9HD0lCM_Muz1THGZBoR0HJSf/view?usp=drive_link </t>
  </si>
  <si>
    <t xml:space="preserve">https://drive.google.com/file/d/12Q3kf2Pfls8YI9cKGj4P-uaurQh2Ofg8/view?usp=drive_link </t>
  </si>
  <si>
    <t xml:space="preserve">https://drive.google.com/file/d/1hYLMMgB3qCLy1TwPQO6tLyWsKrdIslP3/view?usp=drive_link </t>
  </si>
  <si>
    <t xml:space="preserve">https://drive.google.com/file/d/1dyWYIdusOoPdMH7O8FDmZlCmeh_H6Yj1/view?usp=drive_link </t>
  </si>
  <si>
    <t>https://drive.google.com/file/d/14miv0Ed_heVrWWlOFALjOHI3XnraZg4S/view?usp=drive_link</t>
  </si>
  <si>
    <t xml:space="preserve">https://drive.google.com/file/d/1l1ULU9cLVXBF9C74iANnc4p2cVFvvGIz/view?usp=drive_link </t>
  </si>
  <si>
    <t>Summer 2026</t>
  </si>
  <si>
    <t>CO Attainment Analysis CSE 4098C [Summer 2026]</t>
  </si>
  <si>
    <t>Ahadul Islam Rahul</t>
  </si>
  <si>
    <t>Md. Sojib Al Hasan</t>
  </si>
  <si>
    <t>Nadia Akter Jui</t>
  </si>
  <si>
    <t>Md. Minhazul Islam</t>
  </si>
  <si>
    <t>Md. Shams Arefin</t>
  </si>
  <si>
    <t>Aminul Islam</t>
  </si>
  <si>
    <t>Israfill Hossain Mehedi</t>
  </si>
  <si>
    <t>Mahmudul Hasan Dipto</t>
  </si>
  <si>
    <t>Ashrafun Nahar Rahi</t>
  </si>
  <si>
    <t>Khuslima Fardush Mony</t>
  </si>
  <si>
    <t>Md. Alif Hossain</t>
  </si>
  <si>
    <t>Salvir Rahman Ratul</t>
  </si>
  <si>
    <t>Nancy Drong</t>
  </si>
  <si>
    <t>Argho Das</t>
  </si>
  <si>
    <t>Navid Rahman</t>
  </si>
  <si>
    <t>Shafwan Shadid Khan</t>
  </si>
  <si>
    <t>Sabbir Hossain</t>
  </si>
  <si>
    <t>Pranto Sarkar</t>
  </si>
  <si>
    <t>Shatabdi Mondal Shila</t>
  </si>
  <si>
    <t>Md. Asiful Islam</t>
  </si>
  <si>
    <t>Dip Kumar Mondal</t>
  </si>
  <si>
    <t>Shakhar Das Rony</t>
  </si>
  <si>
    <t>Md. Tamim Hasan</t>
  </si>
  <si>
    <t>Md. Maruf Hossain</t>
  </si>
  <si>
    <t>Rakibul Hasan</t>
  </si>
  <si>
    <t>Rabbi Sadnan Khan</t>
  </si>
  <si>
    <t>Faria Islam Sara</t>
  </si>
  <si>
    <t>Md. Rahat Pervez</t>
  </si>
  <si>
    <t>Md. Abul Hashem</t>
  </si>
  <si>
    <t>Md. Fiaz Anam Tasfi</t>
  </si>
  <si>
    <t>Kasfia Hossain</t>
  </si>
  <si>
    <t>Md. Rashedul Islam</t>
  </si>
  <si>
    <t>Upoma Paul</t>
  </si>
  <si>
    <t>Fariha Ahmed</t>
  </si>
  <si>
    <t>Amifat Juhad Pranto</t>
  </si>
  <si>
    <t>Tasnia Kabir Mahia</t>
  </si>
  <si>
    <t>Mahbuba Akter Chowdhury</t>
  </si>
  <si>
    <t>Divya Jyoti Bagchi</t>
  </si>
  <si>
    <t>Naznine Sultana Nitu</t>
  </si>
  <si>
    <t>Fabiha Fayruj</t>
  </si>
  <si>
    <t>Abdullah Al Baki</t>
  </si>
  <si>
    <t>Md. Arif Hossain Mir</t>
  </si>
  <si>
    <t>Isnat Jahan Ome</t>
  </si>
  <si>
    <t>Hasib Mahmud</t>
  </si>
  <si>
    <t>Redwan Ahamad Samir</t>
  </si>
  <si>
    <t>Samia Rahman</t>
  </si>
  <si>
    <t>Md. Omur Faruk</t>
  </si>
  <si>
    <t>Raiyan Islam</t>
  </si>
  <si>
    <t>Talat Mahmud Lam</t>
  </si>
  <si>
    <t>Sadia Nuzat Prova</t>
  </si>
  <si>
    <t>Shahin Alam</t>
  </si>
  <si>
    <t>Umme Asma Busra</t>
  </si>
  <si>
    <t>Golam Munem Zarif</t>
  </si>
  <si>
    <t>Kazi Noor E Saba</t>
  </si>
  <si>
    <t>Md. Akib Al Mahmud Dihan</t>
  </si>
  <si>
    <t>Jumana Muntaha</t>
  </si>
  <si>
    <t>Abida Binte Asif</t>
  </si>
  <si>
    <t>Sami Hossain</t>
  </si>
  <si>
    <t>Md. Shohanoor Rahman</t>
  </si>
  <si>
    <t>Pranto Sikder</t>
  </si>
  <si>
    <t>Mahmudul Hasan Zeshan</t>
  </si>
  <si>
    <t>Aysha Siddika Methila</t>
  </si>
  <si>
    <t>Sukanta Majumder</t>
  </si>
  <si>
    <t>AATL</t>
  </si>
  <si>
    <t>AAS</t>
  </si>
  <si>
    <t>Ashraful Kadir</t>
  </si>
  <si>
    <t>MTK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</si>
</sst>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0"/>
      <color rgb="FF000000"/>
      <name val="Arial"/>
      <scheme val="minor"/>
    </font>
    <font>
      <b/>
      <sz val="12"/>
      <color rgb="FF000000"/>
      <name val="Times New Roman"/>
    </font>
    <font>
      <sz val="10"/>
      <name val="Arial"/>
    </font>
    <font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sz val="9"/>
      <color theme="1"/>
      <name val="Arimo"/>
    </font>
    <font>
      <sz val="10"/>
      <color rgb="FF000000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u/>
      <sz val="10"/>
      <color theme="10"/>
      <name val="Arial"/>
    </font>
    <font>
      <b/>
      <sz val="10"/>
      <color rgb="FF000000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4"/>
      <color theme="1"/>
      <name val="Arial Narrow"/>
    </font>
    <font>
      <b/>
      <sz val="10"/>
      <color theme="1"/>
      <name val="Arial Narrow"/>
    </font>
    <font>
      <sz val="11"/>
      <color theme="1"/>
      <name val="Arial Narrow"/>
    </font>
    <font>
      <b/>
      <u/>
      <sz val="10"/>
      <color theme="1"/>
      <name val="Arial Narrow"/>
    </font>
    <font>
      <u/>
      <sz val="10"/>
      <color theme="10"/>
      <name val="Arial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12.5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222222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8CCE4"/>
        <bgColor rgb="FFB8CCE4"/>
      </patternFill>
    </fill>
    <fill>
      <patternFill patternType="solid">
        <fgColor rgb="FFE5DFEC"/>
        <bgColor rgb="FFE5DFE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03">
    <xf numFmtId="0" fontId="0" fillId="0" borderId="0" xfId="0"/>
    <xf numFmtId="0" fontId="3" fillId="0" borderId="0" xfId="0" applyFont="1"/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/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9" fillId="0" borderId="13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5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8" xfId="0" applyNumberFormat="1" applyFont="1" applyBorder="1"/>
    <xf numFmtId="1" fontId="10" fillId="0" borderId="19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1" fontId="10" fillId="0" borderId="21" xfId="0" applyNumberFormat="1" applyFont="1" applyBorder="1" applyAlignment="1">
      <alignment horizontal="center"/>
    </xf>
    <xf numFmtId="2" fontId="10" fillId="7" borderId="22" xfId="0" applyNumberFormat="1" applyFont="1" applyFill="1" applyBorder="1" applyAlignment="1">
      <alignment horizontal="center"/>
    </xf>
    <xf numFmtId="2" fontId="10" fillId="7" borderId="23" xfId="0" applyNumberFormat="1" applyFont="1" applyFill="1" applyBorder="1" applyAlignment="1">
      <alignment horizontal="center"/>
    </xf>
    <xf numFmtId="2" fontId="10" fillId="7" borderId="24" xfId="0" applyNumberFormat="1" applyFont="1" applyFill="1" applyBorder="1" applyAlignment="1">
      <alignment horizontal="center"/>
    </xf>
    <xf numFmtId="2" fontId="10" fillId="7" borderId="23" xfId="0" applyNumberFormat="1" applyFont="1" applyFill="1" applyBorder="1" applyAlignment="1">
      <alignment horizontal="center" vertical="center"/>
    </xf>
    <xf numFmtId="2" fontId="10" fillId="7" borderId="25" xfId="0" applyNumberFormat="1" applyFont="1" applyFill="1" applyBorder="1" applyAlignment="1">
      <alignment horizontal="center" vertical="center"/>
    </xf>
    <xf numFmtId="2" fontId="10" fillId="7" borderId="5" xfId="0" applyNumberFormat="1" applyFont="1" applyFill="1" applyBorder="1" applyAlignment="1">
      <alignment horizontal="center" vertical="center"/>
    </xf>
    <xf numFmtId="2" fontId="10" fillId="7" borderId="26" xfId="0" applyNumberFormat="1" applyFont="1" applyFill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/>
    </xf>
    <xf numFmtId="1" fontId="10" fillId="7" borderId="28" xfId="0" applyNumberFormat="1" applyFont="1" applyFill="1" applyBorder="1" applyAlignment="1">
      <alignment horizontal="center"/>
    </xf>
    <xf numFmtId="1" fontId="10" fillId="7" borderId="29" xfId="0" applyNumberFormat="1" applyFont="1" applyFill="1" applyBorder="1" applyAlignment="1">
      <alignment horizontal="center"/>
    </xf>
    <xf numFmtId="1" fontId="10" fillId="7" borderId="30" xfId="0" applyNumberFormat="1" applyFont="1" applyFill="1" applyBorder="1" applyAlignment="1">
      <alignment horizontal="center"/>
    </xf>
    <xf numFmtId="1" fontId="10" fillId="0" borderId="31" xfId="0" applyNumberFormat="1" applyFont="1" applyBorder="1" applyAlignment="1">
      <alignment horizontal="center"/>
    </xf>
    <xf numFmtId="2" fontId="10" fillId="7" borderId="31" xfId="0" applyNumberFormat="1" applyFont="1" applyFill="1" applyBorder="1" applyAlignment="1">
      <alignment horizontal="center"/>
    </xf>
    <xf numFmtId="2" fontId="10" fillId="7" borderId="5" xfId="0" applyNumberFormat="1" applyFont="1" applyFill="1" applyBorder="1" applyAlignment="1">
      <alignment horizontal="center"/>
    </xf>
    <xf numFmtId="2" fontId="10" fillId="7" borderId="32" xfId="0" applyNumberFormat="1" applyFont="1" applyFill="1" applyBorder="1" applyAlignment="1">
      <alignment horizontal="center"/>
    </xf>
    <xf numFmtId="2" fontId="10" fillId="7" borderId="33" xfId="0" applyNumberFormat="1" applyFont="1" applyFill="1" applyBorder="1" applyAlignment="1">
      <alignment horizontal="center" vertical="center"/>
    </xf>
    <xf numFmtId="2" fontId="10" fillId="7" borderId="34" xfId="0" applyNumberFormat="1" applyFont="1" applyFill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/>
    </xf>
    <xf numFmtId="1" fontId="10" fillId="7" borderId="31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" fontId="10" fillId="7" borderId="36" xfId="0" applyNumberFormat="1" applyFont="1" applyFill="1" applyBorder="1" applyAlignment="1">
      <alignment horizontal="center"/>
    </xf>
    <xf numFmtId="1" fontId="10" fillId="0" borderId="37" xfId="0" applyNumberFormat="1" applyFont="1" applyBorder="1" applyAlignment="1">
      <alignment horizontal="center"/>
    </xf>
    <xf numFmtId="2" fontId="7" fillId="7" borderId="38" xfId="0" applyNumberFormat="1" applyFont="1" applyFill="1" applyBorder="1"/>
    <xf numFmtId="2" fontId="7" fillId="7" borderId="39" xfId="0" applyNumberFormat="1" applyFont="1" applyFill="1" applyBorder="1"/>
    <xf numFmtId="2" fontId="7" fillId="7" borderId="40" xfId="0" applyNumberFormat="1" applyFont="1" applyFill="1" applyBorder="1"/>
    <xf numFmtId="2" fontId="10" fillId="7" borderId="41" xfId="0" applyNumberFormat="1" applyFont="1" applyFill="1" applyBorder="1" applyAlignment="1">
      <alignment horizontal="center" vertical="center"/>
    </xf>
    <xf numFmtId="2" fontId="10" fillId="7" borderId="42" xfId="0" applyNumberFormat="1" applyFont="1" applyFill="1" applyBorder="1" applyAlignment="1">
      <alignment horizontal="center" vertical="center"/>
    </xf>
    <xf numFmtId="2" fontId="7" fillId="7" borderId="39" xfId="0" applyNumberFormat="1" applyFont="1" applyFill="1" applyBorder="1" applyAlignment="1">
      <alignment horizontal="center"/>
    </xf>
    <xf numFmtId="2" fontId="7" fillId="7" borderId="39" xfId="0" applyNumberFormat="1" applyFont="1" applyFill="1" applyBorder="1" applyAlignment="1">
      <alignment horizontal="center" vertical="center"/>
    </xf>
    <xf numFmtId="2" fontId="7" fillId="7" borderId="41" xfId="0" applyNumberFormat="1" applyFont="1" applyFill="1" applyBorder="1" applyAlignment="1">
      <alignment horizontal="center"/>
    </xf>
    <xf numFmtId="2" fontId="7" fillId="7" borderId="5" xfId="0" applyNumberFormat="1" applyFont="1" applyFill="1" applyBorder="1" applyAlignment="1">
      <alignment horizontal="center"/>
    </xf>
    <xf numFmtId="2" fontId="7" fillId="7" borderId="5" xfId="0" applyNumberFormat="1" applyFont="1" applyFill="1" applyBorder="1"/>
    <xf numFmtId="2" fontId="7" fillId="7" borderId="42" xfId="0" applyNumberFormat="1" applyFont="1" applyFill="1" applyBorder="1"/>
    <xf numFmtId="2" fontId="10" fillId="0" borderId="14" xfId="0" applyNumberFormat="1" applyFont="1" applyBorder="1" applyAlignment="1">
      <alignment horizontal="center"/>
    </xf>
    <xf numFmtId="2" fontId="10" fillId="0" borderId="43" xfId="0" applyNumberFormat="1" applyFont="1" applyBorder="1" applyAlignment="1">
      <alignment horizontal="center"/>
    </xf>
    <xf numFmtId="2" fontId="10" fillId="0" borderId="44" xfId="0" applyNumberFormat="1" applyFont="1" applyBorder="1" applyAlignment="1">
      <alignment horizontal="center"/>
    </xf>
    <xf numFmtId="2" fontId="10" fillId="0" borderId="45" xfId="0" applyNumberFormat="1" applyFont="1" applyBorder="1" applyAlignment="1">
      <alignment horizontal="center"/>
    </xf>
    <xf numFmtId="1" fontId="10" fillId="0" borderId="46" xfId="0" applyNumberFormat="1" applyFont="1" applyBorder="1" applyAlignment="1">
      <alignment horizontal="center"/>
    </xf>
    <xf numFmtId="1" fontId="10" fillId="7" borderId="38" xfId="0" applyNumberFormat="1" applyFont="1" applyFill="1" applyBorder="1" applyAlignment="1">
      <alignment horizontal="center"/>
    </xf>
    <xf numFmtId="1" fontId="10" fillId="7" borderId="39" xfId="0" applyNumberFormat="1" applyFont="1" applyFill="1" applyBorder="1" applyAlignment="1">
      <alignment horizontal="center"/>
    </xf>
    <xf numFmtId="1" fontId="10" fillId="7" borderId="47" xfId="0" applyNumberFormat="1" applyFont="1" applyFill="1" applyBorder="1" applyAlignment="1">
      <alignment horizontal="center"/>
    </xf>
    <xf numFmtId="1" fontId="10" fillId="0" borderId="48" xfId="0" applyNumberFormat="1" applyFont="1" applyBorder="1" applyAlignment="1">
      <alignment horizontal="center"/>
    </xf>
    <xf numFmtId="1" fontId="10" fillId="0" borderId="49" xfId="0" applyNumberFormat="1" applyFont="1" applyBorder="1" applyAlignment="1">
      <alignment horizontal="center"/>
    </xf>
    <xf numFmtId="1" fontId="7" fillId="0" borderId="50" xfId="0" applyNumberFormat="1" applyFont="1" applyBorder="1"/>
    <xf numFmtId="1" fontId="7" fillId="0" borderId="50" xfId="0" applyNumberFormat="1" applyFont="1" applyBorder="1" applyAlignment="1">
      <alignment horizontal="center"/>
    </xf>
    <xf numFmtId="1" fontId="7" fillId="0" borderId="11" xfId="0" applyNumberFormat="1" applyFont="1" applyBorder="1"/>
    <xf numFmtId="0" fontId="12" fillId="0" borderId="0" xfId="0" applyFont="1"/>
    <xf numFmtId="1" fontId="10" fillId="0" borderId="54" xfId="0" applyNumberFormat="1" applyFont="1" applyBorder="1" applyAlignment="1">
      <alignment horizontal="center"/>
    </xf>
    <xf numFmtId="1" fontId="10" fillId="0" borderId="55" xfId="0" applyNumberFormat="1" applyFont="1" applyBorder="1" applyAlignment="1">
      <alignment horizontal="center"/>
    </xf>
    <xf numFmtId="1" fontId="10" fillId="0" borderId="56" xfId="0" applyNumberFormat="1" applyFont="1" applyBorder="1" applyAlignment="1">
      <alignment horizontal="center"/>
    </xf>
    <xf numFmtId="1" fontId="10" fillId="0" borderId="57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0" borderId="51" xfId="0" applyNumberFormat="1" applyFont="1" applyBorder="1" applyAlignment="1">
      <alignment horizontal="center"/>
    </xf>
    <xf numFmtId="1" fontId="10" fillId="0" borderId="58" xfId="0" applyNumberFormat="1" applyFont="1" applyBorder="1" applyAlignment="1">
      <alignment horizontal="center"/>
    </xf>
    <xf numFmtId="1" fontId="10" fillId="0" borderId="59" xfId="0" applyNumberFormat="1" applyFont="1" applyBorder="1" applyAlignment="1">
      <alignment horizontal="center"/>
    </xf>
    <xf numFmtId="1" fontId="10" fillId="0" borderId="45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0" fillId="0" borderId="60" xfId="0" applyNumberFormat="1" applyFont="1" applyBorder="1" applyAlignment="1">
      <alignment horizontal="center"/>
    </xf>
    <xf numFmtId="1" fontId="10" fillId="0" borderId="61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1" fontId="9" fillId="0" borderId="15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10" fillId="10" borderId="62" xfId="0" applyNumberFormat="1" applyFont="1" applyFill="1" applyBorder="1" applyAlignment="1">
      <alignment horizontal="center"/>
    </xf>
    <xf numFmtId="1" fontId="10" fillId="10" borderId="15" xfId="0" applyNumberFormat="1" applyFont="1" applyFill="1" applyBorder="1" applyAlignment="1">
      <alignment horizontal="center"/>
    </xf>
    <xf numFmtId="1" fontId="7" fillId="10" borderId="15" xfId="0" applyNumberFormat="1" applyFont="1" applyFill="1" applyBorder="1" applyAlignment="1">
      <alignment horizontal="center"/>
    </xf>
    <xf numFmtId="1" fontId="7" fillId="10" borderId="63" xfId="0" applyNumberFormat="1" applyFont="1" applyFill="1" applyBorder="1" applyAlignment="1">
      <alignment horizontal="center"/>
    </xf>
    <xf numFmtId="1" fontId="7" fillId="10" borderId="57" xfId="0" applyNumberFormat="1" applyFont="1" applyFill="1" applyBorder="1" applyAlignment="1">
      <alignment horizontal="center"/>
    </xf>
    <xf numFmtId="1" fontId="7" fillId="10" borderId="64" xfId="0" applyNumberFormat="1" applyFont="1" applyFill="1" applyBorder="1" applyAlignment="1">
      <alignment horizontal="center"/>
    </xf>
    <xf numFmtId="1" fontId="7" fillId="10" borderId="65" xfId="0" applyNumberFormat="1" applyFont="1" applyFill="1" applyBorder="1" applyAlignment="1">
      <alignment horizontal="center"/>
    </xf>
    <xf numFmtId="1" fontId="10" fillId="10" borderId="14" xfId="0" applyNumberFormat="1" applyFont="1" applyFill="1" applyBorder="1" applyAlignment="1">
      <alignment horizontal="center"/>
    </xf>
    <xf numFmtId="1" fontId="7" fillId="10" borderId="16" xfId="0" applyNumberFormat="1" applyFont="1" applyFill="1" applyBorder="1" applyAlignment="1">
      <alignment horizontal="center"/>
    </xf>
    <xf numFmtId="1" fontId="7" fillId="10" borderId="66" xfId="0" applyNumberFormat="1" applyFont="1" applyFill="1" applyBorder="1" applyAlignment="1">
      <alignment horizontal="center"/>
    </xf>
    <xf numFmtId="1" fontId="10" fillId="10" borderId="65" xfId="0" applyNumberFormat="1" applyFont="1" applyFill="1" applyBorder="1" applyAlignment="1">
      <alignment horizontal="center"/>
    </xf>
    <xf numFmtId="9" fontId="10" fillId="10" borderId="57" xfId="0" applyNumberFormat="1" applyFont="1" applyFill="1" applyBorder="1" applyAlignment="1">
      <alignment horizontal="center"/>
    </xf>
    <xf numFmtId="9" fontId="10" fillId="10" borderId="62" xfId="0" applyNumberFormat="1" applyFont="1" applyFill="1" applyBorder="1" applyAlignment="1">
      <alignment horizontal="center"/>
    </xf>
    <xf numFmtId="9" fontId="10" fillId="10" borderId="15" xfId="0" applyNumberFormat="1" applyFont="1" applyFill="1" applyBorder="1" applyAlignment="1">
      <alignment horizontal="center"/>
    </xf>
    <xf numFmtId="9" fontId="10" fillId="10" borderId="16" xfId="0" applyNumberFormat="1" applyFont="1" applyFill="1" applyBorder="1" applyAlignment="1">
      <alignment horizontal="center"/>
    </xf>
    <xf numFmtId="9" fontId="10" fillId="10" borderId="63" xfId="0" applyNumberFormat="1" applyFont="1" applyFill="1" applyBorder="1" applyAlignment="1">
      <alignment horizontal="center"/>
    </xf>
    <xf numFmtId="9" fontId="10" fillId="10" borderId="67" xfId="0" applyNumberFormat="1" applyFont="1" applyFill="1" applyBorder="1" applyAlignment="1">
      <alignment horizontal="center"/>
    </xf>
    <xf numFmtId="9" fontId="10" fillId="10" borderId="68" xfId="0" applyNumberFormat="1" applyFont="1" applyFill="1" applyBorder="1" applyAlignment="1">
      <alignment horizontal="center"/>
    </xf>
    <xf numFmtId="9" fontId="10" fillId="10" borderId="69" xfId="0" applyNumberFormat="1" applyFont="1" applyFill="1" applyBorder="1" applyAlignment="1">
      <alignment horizontal="center"/>
    </xf>
    <xf numFmtId="9" fontId="10" fillId="10" borderId="73" xfId="0" applyNumberFormat="1" applyFont="1" applyFill="1" applyBorder="1" applyAlignment="1">
      <alignment horizontal="center"/>
    </xf>
    <xf numFmtId="9" fontId="10" fillId="10" borderId="74" xfId="0" applyNumberFormat="1" applyFont="1" applyFill="1" applyBorder="1" applyAlignment="1">
      <alignment horizontal="center"/>
    </xf>
    <xf numFmtId="9" fontId="10" fillId="10" borderId="75" xfId="0" applyNumberFormat="1" applyFont="1" applyFill="1" applyBorder="1" applyAlignment="1">
      <alignment horizontal="center"/>
    </xf>
    <xf numFmtId="1" fontId="10" fillId="0" borderId="76" xfId="0" applyNumberFormat="1" applyFont="1" applyBorder="1" applyAlignment="1">
      <alignment horizontal="center"/>
    </xf>
    <xf numFmtId="2" fontId="10" fillId="7" borderId="77" xfId="0" applyNumberFormat="1" applyFont="1" applyFill="1" applyBorder="1" applyAlignment="1">
      <alignment horizontal="center"/>
    </xf>
    <xf numFmtId="2" fontId="7" fillId="7" borderId="26" xfId="0" applyNumberFormat="1" applyFont="1" applyFill="1" applyBorder="1"/>
    <xf numFmtId="2" fontId="7" fillId="7" borderId="77" xfId="0" applyNumberFormat="1" applyFont="1" applyFill="1" applyBorder="1"/>
    <xf numFmtId="0" fontId="7" fillId="7" borderId="77" xfId="0" applyFont="1" applyFill="1" applyBorder="1" applyAlignment="1">
      <alignment horizontal="center"/>
    </xf>
    <xf numFmtId="2" fontId="10" fillId="0" borderId="78" xfId="0" applyNumberFormat="1" applyFont="1" applyBorder="1" applyAlignment="1">
      <alignment horizontal="center"/>
    </xf>
    <xf numFmtId="2" fontId="10" fillId="0" borderId="79" xfId="0" applyNumberFormat="1" applyFont="1" applyBorder="1" applyAlignment="1">
      <alignment horizontal="center"/>
    </xf>
    <xf numFmtId="2" fontId="10" fillId="0" borderId="80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9" fontId="10" fillId="0" borderId="81" xfId="0" applyNumberFormat="1" applyFont="1" applyBorder="1" applyAlignment="1">
      <alignment horizontal="center"/>
    </xf>
    <xf numFmtId="9" fontId="10" fillId="0" borderId="30" xfId="0" applyNumberFormat="1" applyFont="1" applyBorder="1" applyAlignment="1">
      <alignment horizontal="center"/>
    </xf>
    <xf numFmtId="1" fontId="10" fillId="0" borderId="28" xfId="0" applyNumberFormat="1" applyFont="1" applyBorder="1" applyAlignment="1">
      <alignment horizontal="center"/>
    </xf>
    <xf numFmtId="9" fontId="10" fillId="0" borderId="31" xfId="0" applyNumberFormat="1" applyFont="1" applyBorder="1" applyAlignment="1">
      <alignment horizontal="center"/>
    </xf>
    <xf numFmtId="2" fontId="10" fillId="10" borderId="14" xfId="0" applyNumberFormat="1" applyFont="1" applyFill="1" applyBorder="1" applyAlignment="1">
      <alignment horizontal="center"/>
    </xf>
    <xf numFmtId="2" fontId="10" fillId="10" borderId="82" xfId="0" applyNumberFormat="1" applyFont="1" applyFill="1" applyBorder="1" applyAlignment="1">
      <alignment horizontal="center"/>
    </xf>
    <xf numFmtId="2" fontId="10" fillId="10" borderId="15" xfId="0" applyNumberFormat="1" applyFont="1" applyFill="1" applyBorder="1" applyAlignment="1">
      <alignment horizontal="center"/>
    </xf>
    <xf numFmtId="9" fontId="10" fillId="10" borderId="14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3" fillId="13" borderId="6" xfId="0" applyFont="1" applyFill="1" applyBorder="1" applyAlignment="1">
      <alignment horizontal="center"/>
    </xf>
    <xf numFmtId="0" fontId="12" fillId="14" borderId="6" xfId="0" applyFont="1" applyFill="1" applyBorder="1"/>
    <xf numFmtId="0" fontId="12" fillId="13" borderId="6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12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1" fillId="3" borderId="83" xfId="0" applyFont="1" applyFill="1" applyBorder="1" applyAlignment="1">
      <alignment horizontal="center" vertical="center"/>
    </xf>
    <xf numFmtId="0" fontId="11" fillId="3" borderId="83" xfId="0" applyFont="1" applyFill="1" applyBorder="1" applyAlignment="1">
      <alignment horizontal="center" vertical="center" wrapText="1"/>
    </xf>
    <xf numFmtId="0" fontId="8" fillId="4" borderId="6" xfId="0" applyFont="1" applyFill="1" applyBorder="1"/>
    <xf numFmtId="0" fontId="1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11" borderId="83" xfId="0" applyFont="1" applyFill="1" applyBorder="1" applyAlignment="1">
      <alignment horizontal="center" vertical="center"/>
    </xf>
    <xf numFmtId="0" fontId="11" fillId="5" borderId="83" xfId="0" applyFont="1" applyFill="1" applyBorder="1" applyAlignment="1">
      <alignment horizontal="center" vertical="center" wrapText="1"/>
    </xf>
    <xf numFmtId="0" fontId="11" fillId="16" borderId="32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1" fontId="20" fillId="17" borderId="28" xfId="0" applyNumberFormat="1" applyFont="1" applyFill="1" applyBorder="1" applyAlignment="1">
      <alignment horizontal="center"/>
    </xf>
    <xf numFmtId="1" fontId="20" fillId="17" borderId="29" xfId="0" applyNumberFormat="1" applyFont="1" applyFill="1" applyBorder="1" applyAlignment="1">
      <alignment horizontal="center"/>
    </xf>
    <xf numFmtId="1" fontId="20" fillId="17" borderId="30" xfId="0" applyNumberFormat="1" applyFont="1" applyFill="1" applyBorder="1" applyAlignment="1">
      <alignment horizontal="center"/>
    </xf>
    <xf numFmtId="1" fontId="20" fillId="17" borderId="5" xfId="0" applyNumberFormat="1" applyFont="1" applyFill="1" applyBorder="1" applyAlignment="1">
      <alignment horizontal="center" wrapText="1"/>
    </xf>
    <xf numFmtId="1" fontId="20" fillId="17" borderId="34" xfId="0" applyNumberFormat="1" applyFont="1" applyFill="1" applyBorder="1" applyAlignment="1">
      <alignment horizontal="center" wrapText="1"/>
    </xf>
    <xf numFmtId="164" fontId="20" fillId="17" borderId="84" xfId="0" applyNumberFormat="1" applyFont="1" applyFill="1" applyBorder="1" applyAlignment="1">
      <alignment horizontal="center"/>
    </xf>
    <xf numFmtId="1" fontId="20" fillId="17" borderId="84" xfId="0" applyNumberFormat="1" applyFont="1" applyFill="1" applyBorder="1" applyAlignment="1">
      <alignment horizontal="center"/>
    </xf>
    <xf numFmtId="1" fontId="20" fillId="17" borderId="85" xfId="0" applyNumberFormat="1" applyFont="1" applyFill="1" applyBorder="1" applyAlignment="1">
      <alignment horizontal="center"/>
    </xf>
    <xf numFmtId="1" fontId="20" fillId="0" borderId="61" xfId="0" applyNumberFormat="1" applyFont="1" applyBorder="1" applyAlignment="1">
      <alignment horizontal="center"/>
    </xf>
    <xf numFmtId="1" fontId="20" fillId="0" borderId="57" xfId="0" applyNumberFormat="1" applyFont="1" applyBorder="1" applyAlignment="1">
      <alignment horizontal="center"/>
    </xf>
    <xf numFmtId="9" fontId="20" fillId="0" borderId="88" xfId="0" applyNumberFormat="1" applyFont="1" applyBorder="1" applyAlignment="1">
      <alignment horizontal="center"/>
    </xf>
    <xf numFmtId="1" fontId="7" fillId="18" borderId="6" xfId="0" applyNumberFormat="1" applyFont="1" applyFill="1" applyBorder="1"/>
    <xf numFmtId="1" fontId="7" fillId="5" borderId="33" xfId="0" applyNumberFormat="1" applyFont="1" applyFill="1" applyBorder="1"/>
    <xf numFmtId="1" fontId="7" fillId="5" borderId="83" xfId="0" applyNumberFormat="1" applyFont="1" applyFill="1" applyBorder="1"/>
    <xf numFmtId="1" fontId="7" fillId="5" borderId="32" xfId="0" applyNumberFormat="1" applyFont="1" applyFill="1" applyBorder="1"/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1" fillId="3" borderId="3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/>
    </xf>
    <xf numFmtId="0" fontId="1" fillId="3" borderId="8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center"/>
    </xf>
    <xf numFmtId="0" fontId="1" fillId="5" borderId="83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vertical="center"/>
    </xf>
    <xf numFmtId="0" fontId="16" fillId="3" borderId="39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5" borderId="83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/>
    </xf>
    <xf numFmtId="0" fontId="12" fillId="11" borderId="6" xfId="0" applyFont="1" applyFill="1" applyBorder="1"/>
    <xf numFmtId="0" fontId="12" fillId="11" borderId="25" xfId="0" applyFont="1" applyFill="1" applyBorder="1"/>
    <xf numFmtId="0" fontId="9" fillId="11" borderId="23" xfId="0" applyFont="1" applyFill="1" applyBorder="1" applyAlignment="1">
      <alignment wrapText="1"/>
    </xf>
    <xf numFmtId="0" fontId="9" fillId="11" borderId="77" xfId="0" applyFont="1" applyFill="1" applyBorder="1"/>
    <xf numFmtId="0" fontId="10" fillId="0" borderId="78" xfId="0" applyFont="1" applyBorder="1"/>
    <xf numFmtId="0" fontId="10" fillId="0" borderId="78" xfId="0" applyFont="1" applyBorder="1" applyAlignment="1">
      <alignment horizontal="right"/>
    </xf>
    <xf numFmtId="0" fontId="10" fillId="2" borderId="77" xfId="0" applyFont="1" applyFill="1" applyBorder="1"/>
    <xf numFmtId="0" fontId="12" fillId="0" borderId="91" xfId="0" applyFont="1" applyBorder="1"/>
    <xf numFmtId="0" fontId="10" fillId="11" borderId="77" xfId="0" applyFont="1" applyFill="1" applyBorder="1"/>
    <xf numFmtId="0" fontId="10" fillId="11" borderId="77" xfId="0" applyFont="1" applyFill="1" applyBorder="1" applyAlignment="1">
      <alignment horizontal="right"/>
    </xf>
    <xf numFmtId="0" fontId="12" fillId="2" borderId="77" xfId="0" applyFont="1" applyFill="1" applyBorder="1"/>
    <xf numFmtId="0" fontId="25" fillId="0" borderId="101" xfId="0" applyFont="1" applyBorder="1" applyAlignment="1">
      <alignment horizontal="center" vertical="center" wrapText="1"/>
    </xf>
    <xf numFmtId="0" fontId="25" fillId="0" borderId="102" xfId="0" applyFont="1" applyBorder="1" applyAlignment="1">
      <alignment horizontal="center" vertical="center" wrapText="1"/>
    </xf>
    <xf numFmtId="0" fontId="24" fillId="0" borderId="102" xfId="0" applyFont="1" applyBorder="1" applyAlignment="1">
      <alignment horizontal="center" vertical="center" wrapText="1"/>
    </xf>
    <xf numFmtId="0" fontId="26" fillId="0" borderId="102" xfId="0" applyFont="1" applyBorder="1" applyAlignment="1">
      <alignment horizontal="center" vertical="center" wrapText="1"/>
    </xf>
    <xf numFmtId="0" fontId="26" fillId="0" borderId="102" xfId="0" applyFont="1" applyBorder="1" applyAlignment="1">
      <alignment vertical="center" wrapText="1"/>
    </xf>
    <xf numFmtId="0" fontId="26" fillId="0" borderId="103" xfId="0" applyFont="1" applyBorder="1" applyAlignment="1">
      <alignment horizontal="center" vertical="center" wrapText="1"/>
    </xf>
    <xf numFmtId="0" fontId="26" fillId="0" borderId="101" xfId="0" applyFont="1" applyBorder="1" applyAlignment="1">
      <alignment horizontal="center" vertical="center" wrapText="1"/>
    </xf>
    <xf numFmtId="0" fontId="27" fillId="0" borderId="102" xfId="0" applyFont="1" applyBorder="1" applyAlignment="1">
      <alignment horizontal="center" vertical="center" wrapText="1"/>
    </xf>
    <xf numFmtId="0" fontId="25" fillId="0" borderId="102" xfId="0" applyFont="1" applyBorder="1" applyAlignment="1">
      <alignment vertical="center" wrapText="1"/>
    </xf>
    <xf numFmtId="0" fontId="28" fillId="0" borderId="102" xfId="0" applyFont="1" applyBorder="1" applyAlignment="1">
      <alignment horizontal="center" vertical="center" wrapText="1"/>
    </xf>
    <xf numFmtId="0" fontId="29" fillId="0" borderId="102" xfId="0" applyFont="1" applyBorder="1" applyAlignment="1">
      <alignment horizontal="center" vertical="center" wrapText="1"/>
    </xf>
    <xf numFmtId="1" fontId="9" fillId="10" borderId="13" xfId="0" applyNumberFormat="1" applyFont="1" applyFill="1" applyBorder="1" applyAlignment="1">
      <alignment horizontal="center"/>
    </xf>
    <xf numFmtId="0" fontId="2" fillId="0" borderId="44" xfId="0" applyFont="1" applyBorder="1"/>
    <xf numFmtId="1" fontId="11" fillId="0" borderId="51" xfId="0" applyNumberFormat="1" applyFont="1" applyBorder="1" applyAlignment="1">
      <alignment horizontal="center"/>
    </xf>
    <xf numFmtId="0" fontId="0" fillId="0" borderId="0" xfId="0"/>
    <xf numFmtId="0" fontId="2" fillId="0" borderId="52" xfId="0" applyFont="1" applyBorder="1"/>
    <xf numFmtId="1" fontId="9" fillId="0" borderId="51" xfId="0" applyNumberFormat="1" applyFont="1" applyBorder="1" applyAlignment="1">
      <alignment horizontal="center"/>
    </xf>
    <xf numFmtId="1" fontId="9" fillId="0" borderId="49" xfId="0" applyNumberFormat="1" applyFont="1" applyBorder="1" applyAlignment="1">
      <alignment horizontal="center"/>
    </xf>
    <xf numFmtId="0" fontId="2" fillId="0" borderId="53" xfId="0" applyFont="1" applyBorder="1"/>
    <xf numFmtId="0" fontId="2" fillId="0" borderId="45" xfId="0" applyFont="1" applyBorder="1"/>
    <xf numFmtId="1" fontId="9" fillId="0" borderId="10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1" fontId="10" fillId="10" borderId="70" xfId="0" applyNumberFormat="1" applyFont="1" applyFill="1" applyBorder="1" applyAlignment="1">
      <alignment horizontal="center"/>
    </xf>
    <xf numFmtId="0" fontId="2" fillId="0" borderId="71" xfId="0" applyFont="1" applyBorder="1"/>
    <xf numFmtId="0" fontId="2" fillId="0" borderId="72" xfId="0" applyFont="1" applyBorder="1"/>
    <xf numFmtId="1" fontId="7" fillId="0" borderId="0" xfId="0" applyNumberFormat="1" applyFont="1"/>
    <xf numFmtId="1" fontId="9" fillId="0" borderId="10" xfId="0" applyNumberFormat="1" applyFont="1" applyBorder="1" applyAlignment="1">
      <alignment horizontal="center" vertical="center" wrapText="1"/>
    </xf>
    <xf numFmtId="0" fontId="2" fillId="0" borderId="51" xfId="0" applyFont="1" applyBorder="1"/>
    <xf numFmtId="1" fontId="9" fillId="8" borderId="13" xfId="0" applyNumberFormat="1" applyFont="1" applyFill="1" applyBorder="1" applyAlignment="1">
      <alignment horizontal="center"/>
    </xf>
    <xf numFmtId="0" fontId="2" fillId="0" borderId="50" xfId="0" applyFont="1" applyBorder="1"/>
    <xf numFmtId="1" fontId="9" fillId="9" borderId="13" xfId="0" applyNumberFormat="1" applyFont="1" applyFill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5" fillId="4" borderId="9" xfId="0" applyFont="1" applyFill="1" applyBorder="1" applyAlignment="1">
      <alignment horizontal="left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5" fillId="0" borderId="0" xfId="0" applyFont="1" applyAlignment="1">
      <alignment horizontal="left"/>
    </xf>
    <xf numFmtId="0" fontId="16" fillId="0" borderId="4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2" fillId="0" borderId="92" xfId="0" applyFont="1" applyBorder="1"/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3" fillId="19" borderId="18" xfId="1" applyFill="1" applyBorder="1" applyAlignment="1">
      <alignment horizontal="center" vertical="center" wrapText="1"/>
    </xf>
    <xf numFmtId="0" fontId="0" fillId="19" borderId="89" xfId="0" applyFill="1" applyBorder="1" applyAlignment="1">
      <alignment horizontal="center" vertical="center" wrapText="1"/>
    </xf>
    <xf numFmtId="0" fontId="0" fillId="19" borderId="90" xfId="0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20" fillId="0" borderId="86" xfId="0" applyNumberFormat="1" applyFont="1" applyBorder="1" applyAlignment="1">
      <alignment horizontal="center"/>
    </xf>
    <xf numFmtId="0" fontId="2" fillId="0" borderId="87" xfId="0" applyFont="1" applyBorder="1"/>
    <xf numFmtId="1" fontId="7" fillId="0" borderId="0" xfId="0" applyNumberFormat="1" applyFont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2" fillId="0" borderId="43" xfId="0" applyFont="1" applyBorder="1"/>
    <xf numFmtId="9" fontId="21" fillId="0" borderId="18" xfId="0" applyNumberFormat="1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1" fontId="7" fillId="5" borderId="7" xfId="0" applyNumberFormat="1" applyFont="1" applyFill="1" applyBorder="1"/>
    <xf numFmtId="1" fontId="22" fillId="0" borderId="91" xfId="0" applyNumberFormat="1" applyFont="1" applyBorder="1" applyAlignment="1">
      <alignment wrapText="1"/>
    </xf>
    <xf numFmtId="0" fontId="2" fillId="0" borderId="91" xfId="0" applyFont="1" applyBorder="1"/>
    <xf numFmtId="1" fontId="9" fillId="5" borderId="7" xfId="0" applyNumberFormat="1" applyFont="1" applyFill="1" applyBorder="1" applyAlignment="1">
      <alignment horizontal="center"/>
    </xf>
    <xf numFmtId="0" fontId="12" fillId="11" borderId="97" xfId="0" applyFont="1" applyFill="1" applyBorder="1"/>
    <xf numFmtId="0" fontId="2" fillId="0" borderId="98" xfId="0" applyFont="1" applyBorder="1"/>
    <xf numFmtId="0" fontId="2" fillId="0" borderId="99" xfId="0" applyFont="1" applyBorder="1"/>
    <xf numFmtId="0" fontId="9" fillId="11" borderId="9" xfId="0" applyFont="1" applyFill="1" applyBorder="1" applyAlignment="1">
      <alignment horizontal="center" wrapText="1"/>
    </xf>
    <xf numFmtId="0" fontId="10" fillId="0" borderId="93" xfId="0" applyFont="1" applyBorder="1" applyAlignment="1">
      <alignment wrapText="1"/>
    </xf>
    <xf numFmtId="0" fontId="2" fillId="0" borderId="93" xfId="0" applyFont="1" applyBorder="1"/>
    <xf numFmtId="0" fontId="2" fillId="0" borderId="79" xfId="0" applyFont="1" applyBorder="1"/>
    <xf numFmtId="0" fontId="10" fillId="2" borderId="94" xfId="0" applyFont="1" applyFill="1" applyBorder="1"/>
    <xf numFmtId="0" fontId="2" fillId="0" borderId="95" xfId="0" applyFont="1" applyBorder="1"/>
    <xf numFmtId="0" fontId="2" fillId="0" borderId="96" xfId="0" applyFont="1" applyBorder="1"/>
    <xf numFmtId="0" fontId="10" fillId="11" borderId="100" xfId="0" applyFont="1" applyFill="1" applyBorder="1" applyAlignment="1">
      <alignment wrapText="1"/>
    </xf>
    <xf numFmtId="0" fontId="18" fillId="0" borderId="93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r>
              <a:rPr lang="en-US" sz="1200" b="1" i="0">
                <a:solidFill>
                  <a:srgbClr val="000000"/>
                </a:solidFill>
                <a:latin typeface="+mn-lt"/>
              </a:rPr>
              <a:t>CSE 4098C Grade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CSE4098C_Summer2026_Grade!$I$73:$I$82</c:f>
              <c:strCache>
                <c:ptCount val="10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</c:strCache>
            </c:strRef>
          </c:cat>
          <c:val>
            <c:numRef>
              <c:f>CSE4098C_Summer2026_Grade!$J$73:$J$82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D7-453E-B441-B998C64B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962024"/>
        <c:axId val="276960456"/>
      </c:barChart>
      <c:catAx>
        <c:axId val="27696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+mn-lt"/>
                  </a:rPr>
                  <a:t>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960456"/>
        <c:crosses val="autoZero"/>
        <c:auto val="1"/>
        <c:lblAlgn val="ctr"/>
        <c:lblOffset val="100"/>
        <c:noMultiLvlLbl val="1"/>
      </c:catAx>
      <c:valAx>
        <c:axId val="276960456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+mn-lt"/>
                  </a:rPr>
                  <a:t>No of 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962024"/>
        <c:crosses val="autoZero"/>
        <c:crossBetween val="between"/>
        <c:majorUnit val="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2143125</xdr:colOff>
      <xdr:row>70</xdr:row>
      <xdr:rowOff>142875</xdr:rowOff>
    </xdr:from>
    <xdr:ext cx="5048250" cy="2771775"/>
    <xdr:graphicFrame macro="">
      <xdr:nvGraphicFramePr>
        <xdr:cNvPr id="1092389820" name="Chart 1" title="Chart">
          <a:extLst>
            <a:ext uri="{FF2B5EF4-FFF2-40B4-BE49-F238E27FC236}">
              <a16:creationId xmlns:a16="http://schemas.microsoft.com/office/drawing/2014/main" id="{00000000-0008-0000-0000-0000BC8B1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3joB0H3V_mc2uvnqF3Kaed3ZLBTeweti/view?usp=drive_link" TargetMode="External"/><Relationship Id="rId13" Type="http://schemas.openxmlformats.org/officeDocument/2006/relationships/hyperlink" Target="https://drive.google.com/file/d/14miv0Ed_heVrWWlOFALjOHI3XnraZg4S/view?usp=drive_link" TargetMode="External"/><Relationship Id="rId3" Type="http://schemas.openxmlformats.org/officeDocument/2006/relationships/hyperlink" Target="https://drive.google.com/file/d/1GXt2aEQ3mnfyi2wuJOAfPPqelM_zbpmu/view?usp=drive_link" TargetMode="External"/><Relationship Id="rId7" Type="http://schemas.openxmlformats.org/officeDocument/2006/relationships/hyperlink" Target="https://drive.google.com/file/d/1TKyVAYHZphjhAGt6OVkf5Nf0S46dk_tV/view?usp=drive_link" TargetMode="External"/><Relationship Id="rId12" Type="http://schemas.openxmlformats.org/officeDocument/2006/relationships/hyperlink" Target="https://drive.google.com/file/d/1dyWYIdusOoPdMH7O8FDmZlCmeh_H6Yj1/view?usp=drive_link" TargetMode="External"/><Relationship Id="rId2" Type="http://schemas.openxmlformats.org/officeDocument/2006/relationships/hyperlink" Target="https://drive.google.com/file/d/1u4BCg0wLRAwI0mXpCD5L0aks895j9MmH/view?usp=drive_link" TargetMode="External"/><Relationship Id="rId16" Type="http://schemas.openxmlformats.org/officeDocument/2006/relationships/hyperlink" Target="https://drive.google.com/file/d/1l1ULU9cLVXBF9C74iANnc4p2cVFvvGIz/view?usp=drive_link" TargetMode="External"/><Relationship Id="rId1" Type="http://schemas.openxmlformats.org/officeDocument/2006/relationships/hyperlink" Target="https://drive.google.com/drive/folders/1zBPKwy965H2Y6spD58gHqKrt-5fV-1cI7rxz-pbAWVq0ofM9tXtPO0_P-EIl7p2ssqUHhrrh?usp=sharing" TargetMode="External"/><Relationship Id="rId6" Type="http://schemas.openxmlformats.org/officeDocument/2006/relationships/hyperlink" Target="https://drive.google.com/file/d/1UTrPHQEpu0o2z34gVI0R2fdB3W76tWUH/view?usp=drive_link" TargetMode="External"/><Relationship Id="rId11" Type="http://schemas.openxmlformats.org/officeDocument/2006/relationships/hyperlink" Target="https://drive.google.com/file/d/1hYLMMgB3qCLy1TwPQO6tLyWsKrdIslP3/view?usp=drive_link" TargetMode="External"/><Relationship Id="rId5" Type="http://schemas.openxmlformats.org/officeDocument/2006/relationships/hyperlink" Target="https://drive.google.com/file/d/1TMszca5ldIvgla9X3LFBVDqYRx5LjRTw/view?usp=drive_link" TargetMode="External"/><Relationship Id="rId15" Type="http://schemas.openxmlformats.org/officeDocument/2006/relationships/hyperlink" Target="https://drive.google.com/file/d/12Q3kf2Pfls8YI9cKGj4P-uaurQh2Ofg8/view?usp=drive_link" TargetMode="External"/><Relationship Id="rId10" Type="http://schemas.openxmlformats.org/officeDocument/2006/relationships/hyperlink" Target="https://drive.google.com/file/d/12Q3kf2Pfls8YI9cKGj4P-uaurQh2Ofg8/view?usp=drive_link" TargetMode="External"/><Relationship Id="rId4" Type="http://schemas.openxmlformats.org/officeDocument/2006/relationships/hyperlink" Target="https://drive.google.com/file/d/1n1bZ-eqdPPMM4sHu8fYroItCXlxmXW6q/view?usp=drive_link" TargetMode="External"/><Relationship Id="rId9" Type="http://schemas.openxmlformats.org/officeDocument/2006/relationships/hyperlink" Target="https://drive.google.com/file/d/1yVO8xe-p9HD0lCM_Muz1THGZBoR0HJSf/view?usp=drive_link" TargetMode="External"/><Relationship Id="rId14" Type="http://schemas.openxmlformats.org/officeDocument/2006/relationships/hyperlink" Target="https://drive.google.com/file/d/1yVO8xe-p9HD0lCM_Muz1THGZBoR0HJS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32"/>
  <sheetViews>
    <sheetView tabSelected="1" topLeftCell="C1" workbookViewId="0">
      <pane ySplit="4" topLeftCell="A56" activePane="bottomLeft" state="frozen"/>
      <selection pane="bottomLeft" activeCell="M66" sqref="M66"/>
    </sheetView>
  </sheetViews>
  <sheetFormatPr defaultColWidth="12.6640625" defaultRowHeight="15" customHeight="1"/>
  <cols>
    <col min="1" max="1" width="4.33203125" customWidth="1"/>
    <col min="2" max="2" width="12" customWidth="1"/>
    <col min="3" max="3" width="31.88671875" customWidth="1"/>
    <col min="4" max="7" width="15.33203125" customWidth="1"/>
    <col min="8" max="8" width="20.6640625" customWidth="1"/>
    <col min="9" max="9" width="15.33203125" customWidth="1"/>
    <col min="10" max="10" width="14.6640625" customWidth="1"/>
    <col min="11" max="30" width="14.33203125" customWidth="1"/>
    <col min="31" max="31" width="12.44140625" customWidth="1"/>
  </cols>
  <sheetData>
    <row r="1" spans="1:31" ht="25.5" customHeight="1">
      <c r="A1" s="258" t="s">
        <v>0</v>
      </c>
      <c r="B1" s="259"/>
      <c r="C1" s="259"/>
      <c r="D1" s="259"/>
      <c r="E1" s="259"/>
      <c r="F1" s="259"/>
      <c r="G1" s="259"/>
      <c r="H1" s="259"/>
      <c r="I1" s="259"/>
      <c r="J1" s="25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customHeight="1">
      <c r="A2" s="260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75" customHeight="1">
      <c r="A3" s="260" t="s">
        <v>203</v>
      </c>
      <c r="B3" s="235"/>
      <c r="C3" s="235"/>
      <c r="D3" s="235"/>
      <c r="E3" s="235"/>
      <c r="F3" s="235"/>
      <c r="G3" s="235"/>
      <c r="H3" s="235"/>
      <c r="I3" s="235"/>
      <c r="J3" s="23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41.25" customHeight="1" thickBot="1">
      <c r="A4" s="2" t="s">
        <v>2</v>
      </c>
      <c r="B4" s="2" t="s">
        <v>3</v>
      </c>
      <c r="C4" s="3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4" t="s">
        <v>9</v>
      </c>
      <c r="I4" s="2" t="s">
        <v>10</v>
      </c>
      <c r="J4" s="2" t="s">
        <v>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1"/>
    </row>
    <row r="5" spans="1:31" ht="18.75" customHeight="1" thickBot="1">
      <c r="A5" s="6">
        <v>1</v>
      </c>
      <c r="B5" s="221">
        <v>223014152</v>
      </c>
      <c r="C5" s="221" t="s">
        <v>205</v>
      </c>
      <c r="D5" s="8" t="e">
        <f>CSE4098C_Summer2026_Report!AA5</f>
        <v>#DIV/0!</v>
      </c>
      <c r="E5" s="9">
        <f>ROUND((CSE4098C_Spring26_Presentation!Z5/50)*25,2)</f>
        <v>4</v>
      </c>
      <c r="F5" s="6" t="e">
        <f>ROUND((CSE4098C_Summer2026_Poster!AA5/50)*20,2)</f>
        <v>#DIV/0!</v>
      </c>
      <c r="G5" s="6"/>
      <c r="H5" s="6"/>
      <c r="I5" s="10" t="e">
        <f t="shared" ref="I5:I69" si="0">SUM(D5:H5)</f>
        <v>#DIV/0!</v>
      </c>
      <c r="J5" s="11" t="e">
        <f t="shared" ref="J5:J69" si="1">IF(I5&gt;=95,"A+",IF(I5&gt;=85,"A",IF(I5&gt;=80,"A-",IF(I5&gt;=75,"B+",IF(I5&gt;=70,"B",IF(I5&gt;=65,"B-",IF(I5&gt;=60,"C+",IF(I5&gt;=55,"C",IF(I5&gt;=50,"D","F")))))))))</f>
        <v>#DIV/0!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.75" customHeight="1" thickBot="1">
      <c r="A6" s="6">
        <f t="shared" ref="A6:A69" si="2">A5+1</f>
        <v>2</v>
      </c>
      <c r="B6" s="222">
        <v>223014049</v>
      </c>
      <c r="C6" s="222" t="s">
        <v>206</v>
      </c>
      <c r="D6" s="8" t="e">
        <f>CSE4098C_Summer2026_Report!AA6</f>
        <v>#DIV/0!</v>
      </c>
      <c r="E6" s="9">
        <f>ROUND((CSE4098C_Spring26_Presentation!Z6/50)*25,2)</f>
        <v>4</v>
      </c>
      <c r="F6" s="6" t="e">
        <f>ROUND((CSE4098C_Summer2026_Poster!AA6/50)*20,2)</f>
        <v>#DIV/0!</v>
      </c>
      <c r="G6" s="6"/>
      <c r="H6" s="6"/>
      <c r="I6" s="10" t="e">
        <f t="shared" si="0"/>
        <v>#DIV/0!</v>
      </c>
      <c r="J6" s="11" t="e">
        <f t="shared" si="1"/>
        <v>#DIV/0!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.75" customHeight="1" thickBot="1">
      <c r="A7" s="6">
        <f t="shared" si="2"/>
        <v>3</v>
      </c>
      <c r="B7" s="222">
        <v>222014039</v>
      </c>
      <c r="C7" s="222" t="s">
        <v>207</v>
      </c>
      <c r="D7" s="8" t="e">
        <f>CSE4098C_Summer2026_Report!AA7</f>
        <v>#DIV/0!</v>
      </c>
      <c r="E7" s="9">
        <f>ROUND((CSE4098C_Spring26_Presentation!Z7/50)*25,2)</f>
        <v>3.67</v>
      </c>
      <c r="F7" s="6" t="e">
        <f>ROUND((CSE4098C_Summer2026_Poster!AA7/50)*20,2)</f>
        <v>#DIV/0!</v>
      </c>
      <c r="G7" s="6"/>
      <c r="H7" s="6"/>
      <c r="I7" s="10" t="e">
        <f t="shared" si="0"/>
        <v>#DIV/0!</v>
      </c>
      <c r="J7" s="11" t="e">
        <f t="shared" si="1"/>
        <v>#DIV/0!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.75" customHeight="1" thickBot="1">
      <c r="A8" s="6">
        <f t="shared" si="2"/>
        <v>4</v>
      </c>
      <c r="B8" s="222">
        <v>222014012</v>
      </c>
      <c r="C8" s="222" t="s">
        <v>208</v>
      </c>
      <c r="D8" s="8" t="e">
        <f>CSE4098C_Summer2026_Report!AA8</f>
        <v>#DIV/0!</v>
      </c>
      <c r="E8" s="9">
        <f>ROUND((CSE4098C_Spring26_Presentation!Z8/50)*25,2)</f>
        <v>4</v>
      </c>
      <c r="F8" s="6" t="e">
        <f>ROUND((CSE4098C_Summer2026_Poster!AA8/50)*20,2)</f>
        <v>#DIV/0!</v>
      </c>
      <c r="G8" s="6"/>
      <c r="H8" s="6"/>
      <c r="I8" s="10" t="e">
        <f t="shared" si="0"/>
        <v>#DIV/0!</v>
      </c>
      <c r="J8" s="11" t="e">
        <f t="shared" si="1"/>
        <v>#DIV/0!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.75" customHeight="1" thickBot="1">
      <c r="A9" s="6">
        <f t="shared" si="2"/>
        <v>5</v>
      </c>
      <c r="B9" s="222">
        <v>222014096</v>
      </c>
      <c r="C9" s="222" t="s">
        <v>209</v>
      </c>
      <c r="D9" s="8" t="e">
        <f>CSE4098C_Summer2026_Report!AA9</f>
        <v>#DIV/0!</v>
      </c>
      <c r="E9" s="9">
        <f>ROUND((CSE4098C_Spring26_Presentation!Z9/50)*25,2)</f>
        <v>4.34</v>
      </c>
      <c r="F9" s="6" t="e">
        <f>ROUND((CSE4098C_Summer2026_Poster!AA9/50)*20,2)</f>
        <v>#DIV/0!</v>
      </c>
      <c r="G9" s="6"/>
      <c r="H9" s="6"/>
      <c r="I9" s="10" t="e">
        <f t="shared" si="0"/>
        <v>#DIV/0!</v>
      </c>
      <c r="J9" s="11" t="e">
        <f t="shared" si="1"/>
        <v>#DIV/0!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.75" customHeight="1" thickBot="1">
      <c r="A10" s="6">
        <f t="shared" si="2"/>
        <v>6</v>
      </c>
      <c r="B10" s="222">
        <v>221014135</v>
      </c>
      <c r="C10" s="222" t="s">
        <v>210</v>
      </c>
      <c r="D10" s="8" t="e">
        <f>CSE4098C_Summer2026_Report!AA10</f>
        <v>#DIV/0!</v>
      </c>
      <c r="E10" s="9">
        <f>ROUND((CSE4098C_Spring26_Presentation!Z10/50)*25,2)</f>
        <v>17.11</v>
      </c>
      <c r="F10" s="6" t="e">
        <f>ROUND((CSE4098C_Summer2026_Poster!AA10/50)*20,2)</f>
        <v>#DIV/0!</v>
      </c>
      <c r="G10" s="6"/>
      <c r="H10" s="6"/>
      <c r="I10" s="10" t="e">
        <f t="shared" si="0"/>
        <v>#DIV/0!</v>
      </c>
      <c r="J10" s="11" t="e">
        <f t="shared" si="1"/>
        <v>#DIV/0!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.75" customHeight="1" thickBot="1">
      <c r="A11" s="6">
        <f t="shared" si="2"/>
        <v>7</v>
      </c>
      <c r="B11" s="222">
        <v>221014018</v>
      </c>
      <c r="C11" s="222" t="s">
        <v>211</v>
      </c>
      <c r="D11" s="8" t="e">
        <f>CSE4098C_Summer2026_Report!AA11</f>
        <v>#DIV/0!</v>
      </c>
      <c r="E11" s="9">
        <f>ROUND((CSE4098C_Spring26_Presentation!Z11/50)*25,2)</f>
        <v>17.260000000000002</v>
      </c>
      <c r="F11" s="6" t="e">
        <f>ROUND((CSE4098C_Summer2026_Poster!AA11/50)*20,2)</f>
        <v>#DIV/0!</v>
      </c>
      <c r="G11" s="6"/>
      <c r="H11" s="6"/>
      <c r="I11" s="10" t="e">
        <f t="shared" si="0"/>
        <v>#DIV/0!</v>
      </c>
      <c r="J11" s="11" t="e">
        <f t="shared" si="1"/>
        <v>#DIV/0!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.75" customHeight="1" thickBot="1">
      <c r="A12" s="6">
        <f t="shared" si="2"/>
        <v>8</v>
      </c>
      <c r="B12" s="222">
        <v>221014008</v>
      </c>
      <c r="C12" s="222" t="s">
        <v>212</v>
      </c>
      <c r="D12" s="8" t="e">
        <f>CSE4098C_Summer2026_Report!AA12</f>
        <v>#DIV/0!</v>
      </c>
      <c r="E12" s="9">
        <f>ROUND((CSE4098C_Spring26_Presentation!Z12/50)*25,2)</f>
        <v>17.11</v>
      </c>
      <c r="F12" s="6" t="e">
        <f>ROUND((CSE4098C_Summer2026_Poster!AA12/50)*20,2)</f>
        <v>#DIV/0!</v>
      </c>
      <c r="G12" s="6"/>
      <c r="H12" s="6"/>
      <c r="I12" s="10" t="e">
        <f t="shared" si="0"/>
        <v>#DIV/0!</v>
      </c>
      <c r="J12" s="11" t="e">
        <f t="shared" si="1"/>
        <v>#DIV/0!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8.75" customHeight="1" thickBot="1">
      <c r="A13" s="6">
        <f t="shared" si="2"/>
        <v>9</v>
      </c>
      <c r="B13" s="223">
        <v>223014142</v>
      </c>
      <c r="C13" s="223" t="s">
        <v>67</v>
      </c>
      <c r="D13" s="8" t="e">
        <f>CSE4098C_Summer2026_Report!AA13</f>
        <v>#DIV/0!</v>
      </c>
      <c r="E13" s="9">
        <f>ROUND((CSE4098C_Spring26_Presentation!Z13/50)*25,2)</f>
        <v>15.56</v>
      </c>
      <c r="F13" s="6" t="e">
        <f>ROUND((CSE4098C_Summer2026_Poster!AA13/50)*20,2)</f>
        <v>#DIV/0!</v>
      </c>
      <c r="G13" s="6"/>
      <c r="H13" s="6"/>
      <c r="I13" s="10" t="e">
        <f t="shared" si="0"/>
        <v>#DIV/0!</v>
      </c>
      <c r="J13" s="11" t="e">
        <f t="shared" si="1"/>
        <v>#DIV/0!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8.75" customHeight="1" thickBot="1">
      <c r="A14" s="6">
        <f t="shared" si="2"/>
        <v>10</v>
      </c>
      <c r="B14" s="223">
        <v>223014204</v>
      </c>
      <c r="C14" s="223" t="s">
        <v>213</v>
      </c>
      <c r="D14" s="8" t="e">
        <f>CSE4098C_Summer2026_Report!AA14</f>
        <v>#DIV/0!</v>
      </c>
      <c r="E14" s="9">
        <f>ROUND((CSE4098C_Spring26_Presentation!Z14/50)*25,2)</f>
        <v>16.89</v>
      </c>
      <c r="F14" s="6" t="e">
        <f>ROUND((CSE4098C_Summer2026_Poster!AA14/50)*20,2)</f>
        <v>#DIV/0!</v>
      </c>
      <c r="G14" s="6"/>
      <c r="H14" s="6"/>
      <c r="I14" s="10" t="e">
        <f t="shared" si="0"/>
        <v>#DIV/0!</v>
      </c>
      <c r="J14" s="11" t="e">
        <f t="shared" si="1"/>
        <v>#DIV/0!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8.75" customHeight="1" thickBot="1">
      <c r="A15" s="6">
        <f t="shared" si="2"/>
        <v>11</v>
      </c>
      <c r="B15" s="223">
        <v>213014052</v>
      </c>
      <c r="C15" s="223" t="s">
        <v>214</v>
      </c>
      <c r="D15" s="8" t="e">
        <f>CSE4098C_Summer2026_Report!AA15</f>
        <v>#DIV/0!</v>
      </c>
      <c r="E15" s="9">
        <f>ROUND((CSE4098C_Spring26_Presentation!Z15/50)*25,2)</f>
        <v>14.22</v>
      </c>
      <c r="F15" s="6" t="e">
        <f>ROUND((CSE4098C_Summer2026_Poster!AA15/50)*20,2)</f>
        <v>#DIV/0!</v>
      </c>
      <c r="G15" s="6"/>
      <c r="H15" s="6"/>
      <c r="I15" s="10" t="e">
        <f t="shared" si="0"/>
        <v>#DIV/0!</v>
      </c>
      <c r="J15" s="11" t="e">
        <f t="shared" si="1"/>
        <v>#DIV/0!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8.75" customHeight="1" thickBot="1">
      <c r="A16" s="6">
        <f t="shared" si="2"/>
        <v>12</v>
      </c>
      <c r="B16" s="223">
        <v>221014035</v>
      </c>
      <c r="C16" s="223" t="s">
        <v>215</v>
      </c>
      <c r="D16" s="8" t="e">
        <f>CSE4098C_Summer2026_Report!AA16</f>
        <v>#DIV/0!</v>
      </c>
      <c r="E16" s="9">
        <f>ROUND((CSE4098C_Spring26_Presentation!Z16/50)*25,2)</f>
        <v>14.89</v>
      </c>
      <c r="F16" s="6" t="e">
        <f>ROUND((CSE4098C_Summer2026_Poster!AA16/50)*20,2)</f>
        <v>#DIV/0!</v>
      </c>
      <c r="G16" s="6"/>
      <c r="H16" s="6"/>
      <c r="I16" s="10" t="e">
        <f t="shared" si="0"/>
        <v>#DIV/0!</v>
      </c>
      <c r="J16" s="11" t="e">
        <f t="shared" si="1"/>
        <v>#DIV/0!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.75" customHeight="1" thickBot="1">
      <c r="A17" s="6">
        <f t="shared" si="2"/>
        <v>13</v>
      </c>
      <c r="B17" s="222">
        <v>223014074</v>
      </c>
      <c r="C17" s="222" t="s">
        <v>216</v>
      </c>
      <c r="D17" s="8" t="e">
        <f>CSE4098C_Summer2026_Report!AA17</f>
        <v>#DIV/0!</v>
      </c>
      <c r="E17" s="9">
        <f>ROUND((CSE4098C_Spring26_Presentation!Z17/50)*25,2)</f>
        <v>22.67</v>
      </c>
      <c r="F17" s="6" t="e">
        <f>ROUND((CSE4098C_Summer2026_Poster!AA17/50)*20,2)</f>
        <v>#DIV/0!</v>
      </c>
      <c r="G17" s="6"/>
      <c r="H17" s="6"/>
      <c r="I17" s="10" t="e">
        <f t="shared" si="0"/>
        <v>#DIV/0!</v>
      </c>
      <c r="J17" s="11" t="e">
        <f t="shared" si="1"/>
        <v>#DIV/0!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8.75" customHeight="1" thickBot="1">
      <c r="A18" s="6">
        <f t="shared" si="2"/>
        <v>14</v>
      </c>
      <c r="B18" s="222">
        <v>223014133</v>
      </c>
      <c r="C18" s="222" t="s">
        <v>217</v>
      </c>
      <c r="D18" s="8" t="e">
        <f>CSE4098C_Summer2026_Report!AA18</f>
        <v>#DIV/0!</v>
      </c>
      <c r="E18" s="9">
        <f>ROUND((CSE4098C_Spring26_Presentation!Z18/50)*25,2)</f>
        <v>22.67</v>
      </c>
      <c r="F18" s="6" t="e">
        <f>ROUND((CSE4098C_Summer2026_Poster!AA18/50)*20,2)</f>
        <v>#DIV/0!</v>
      </c>
      <c r="G18" s="6"/>
      <c r="H18" s="6"/>
      <c r="I18" s="10" t="e">
        <f t="shared" si="0"/>
        <v>#DIV/0!</v>
      </c>
      <c r="J18" s="11" t="e">
        <f t="shared" si="1"/>
        <v>#DIV/0!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8.75" customHeight="1" thickBot="1">
      <c r="A19" s="6">
        <f t="shared" si="2"/>
        <v>15</v>
      </c>
      <c r="B19" s="222">
        <v>223014052</v>
      </c>
      <c r="C19" s="222" t="s">
        <v>218</v>
      </c>
      <c r="D19" s="8" t="e">
        <f>CSE4098C_Summer2026_Report!AA19</f>
        <v>#DIV/0!</v>
      </c>
      <c r="E19" s="9">
        <f>ROUND((CSE4098C_Spring26_Presentation!Z19/50)*25,2)</f>
        <v>22.67</v>
      </c>
      <c r="F19" s="6" t="e">
        <f>ROUND((CSE4098C_Summer2026_Poster!AA19/50)*20,2)</f>
        <v>#DIV/0!</v>
      </c>
      <c r="G19" s="6"/>
      <c r="H19" s="6"/>
      <c r="I19" s="10" t="e">
        <f t="shared" si="0"/>
        <v>#DIV/0!</v>
      </c>
      <c r="J19" s="11" t="e">
        <f t="shared" si="1"/>
        <v>#DIV/0!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8.75" customHeight="1" thickBot="1">
      <c r="A20" s="6">
        <f t="shared" si="2"/>
        <v>16</v>
      </c>
      <c r="B20" s="222">
        <v>223014105</v>
      </c>
      <c r="C20" s="222" t="s">
        <v>219</v>
      </c>
      <c r="D20" s="8" t="e">
        <f>CSE4098C_Summer2026_Report!AA20</f>
        <v>#DIV/0!</v>
      </c>
      <c r="E20" s="9">
        <f>ROUND((CSE4098C_Spring26_Presentation!Z20/50)*25,2)</f>
        <v>22.84</v>
      </c>
      <c r="F20" s="6" t="e">
        <f>ROUND((CSE4098C_Summer2026_Poster!AA20/50)*20,2)</f>
        <v>#DIV/0!</v>
      </c>
      <c r="G20" s="6"/>
      <c r="H20" s="6"/>
      <c r="I20" s="10" t="e">
        <f t="shared" si="0"/>
        <v>#DIV/0!</v>
      </c>
      <c r="J20" s="11" t="e">
        <f t="shared" si="1"/>
        <v>#DIV/0!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.75" customHeight="1" thickBot="1">
      <c r="A21" s="6">
        <f t="shared" si="2"/>
        <v>17</v>
      </c>
      <c r="B21" s="222">
        <v>223014196</v>
      </c>
      <c r="C21" s="222" t="s">
        <v>220</v>
      </c>
      <c r="D21" s="8" t="e">
        <f>CSE4098C_Summer2026_Report!AA21</f>
        <v>#DIV/0!</v>
      </c>
      <c r="E21" s="9">
        <f>ROUND((CSE4098C_Spring26_Presentation!Z21/50)*25,2)</f>
        <v>22.5</v>
      </c>
      <c r="F21" s="6" t="e">
        <f>ROUND((CSE4098C_Summer2026_Poster!AA21/50)*20,2)</f>
        <v>#DIV/0!</v>
      </c>
      <c r="G21" s="6"/>
      <c r="H21" s="6"/>
      <c r="I21" s="10" t="e">
        <f t="shared" si="0"/>
        <v>#DIV/0!</v>
      </c>
      <c r="J21" s="11" t="e">
        <f t="shared" si="1"/>
        <v>#DIV/0!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8.75" customHeight="1" thickBot="1">
      <c r="A22" s="6">
        <f t="shared" si="2"/>
        <v>18</v>
      </c>
      <c r="B22" s="224">
        <v>201014026</v>
      </c>
      <c r="C22" s="224" t="s">
        <v>221</v>
      </c>
      <c r="D22" s="8" t="e">
        <f>CSE4098C_Summer2026_Report!AA22</f>
        <v>#DIV/0!</v>
      </c>
      <c r="E22" s="9">
        <f>ROUND((CSE4098C_Spring26_Presentation!Z22/50)*25,2)</f>
        <v>19.11</v>
      </c>
      <c r="F22" s="6" t="e">
        <f>ROUND((CSE4098C_Summer2026_Poster!AA22/50)*20,2)</f>
        <v>#DIV/0!</v>
      </c>
      <c r="G22" s="6"/>
      <c r="H22" s="6"/>
      <c r="I22" s="10" t="e">
        <f t="shared" si="0"/>
        <v>#DIV/0!</v>
      </c>
      <c r="J22" s="11" t="e">
        <f t="shared" si="1"/>
        <v>#DIV/0!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8.75" customHeight="1" thickBot="1">
      <c r="A23" s="6">
        <f t="shared" si="2"/>
        <v>19</v>
      </c>
      <c r="B23" s="224">
        <v>173014054</v>
      </c>
      <c r="C23" s="224" t="s">
        <v>222</v>
      </c>
      <c r="D23" s="8" t="e">
        <f>CSE4098C_Summer2026_Report!AA23</f>
        <v>#DIV/0!</v>
      </c>
      <c r="E23" s="9">
        <f>ROUND((CSE4098C_Spring26_Presentation!Z23/50)*25,2)</f>
        <v>13.84</v>
      </c>
      <c r="F23" s="6" t="e">
        <f>ROUND((CSE4098C_Summer2026_Poster!AA23/50)*20,2)</f>
        <v>#DIV/0!</v>
      </c>
      <c r="G23" s="6"/>
      <c r="H23" s="6"/>
      <c r="I23" s="10" t="e">
        <f t="shared" si="0"/>
        <v>#DIV/0!</v>
      </c>
      <c r="J23" s="11" t="e">
        <f t="shared" si="1"/>
        <v>#DIV/0!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" customHeight="1" thickBot="1">
      <c r="A24" s="6">
        <f t="shared" si="2"/>
        <v>20</v>
      </c>
      <c r="B24" s="224">
        <v>201014068</v>
      </c>
      <c r="C24" s="224" t="s">
        <v>223</v>
      </c>
      <c r="D24" s="8" t="e">
        <f>CSE4098C_Summer2026_Report!AA24</f>
        <v>#DIV/0!</v>
      </c>
      <c r="E24" s="9">
        <f>ROUND((CSE4098C_Spring26_Presentation!Z24/50)*25,2)</f>
        <v>14.17</v>
      </c>
      <c r="F24" s="6" t="e">
        <f>ROUND((CSE4098C_Summer2026_Poster!AA24/50)*20,2)</f>
        <v>#DIV/0!</v>
      </c>
      <c r="G24" s="6"/>
      <c r="H24" s="6"/>
      <c r="I24" s="10" t="e">
        <f t="shared" si="0"/>
        <v>#DIV/0!</v>
      </c>
      <c r="J24" s="11" t="e">
        <f t="shared" si="1"/>
        <v>#DIV/0!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" customHeight="1" thickBot="1">
      <c r="A25" s="6">
        <f t="shared" si="2"/>
        <v>21</v>
      </c>
      <c r="B25" s="224">
        <v>201014030</v>
      </c>
      <c r="C25" s="224" t="s">
        <v>224</v>
      </c>
      <c r="D25" s="8" t="e">
        <f>CSE4098C_Summer2026_Report!AA25</f>
        <v>#DIV/0!</v>
      </c>
      <c r="E25" s="9">
        <f>ROUND((CSE4098C_Spring26_Presentation!Z25/50)*25,2)</f>
        <v>14.17</v>
      </c>
      <c r="F25" s="6" t="e">
        <f>ROUND((CSE4098C_Summer2026_Poster!AA25/50)*20,2)</f>
        <v>#DIV/0!</v>
      </c>
      <c r="G25" s="6"/>
      <c r="H25" s="6"/>
      <c r="I25" s="10" t="e">
        <f t="shared" si="0"/>
        <v>#DIV/0!</v>
      </c>
      <c r="J25" s="11" t="e">
        <f t="shared" si="1"/>
        <v>#DIV/0!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" customHeight="1" thickBot="1">
      <c r="A26" s="6">
        <f t="shared" si="2"/>
        <v>22</v>
      </c>
      <c r="B26" s="224">
        <v>201014050</v>
      </c>
      <c r="C26" s="224" t="s">
        <v>225</v>
      </c>
      <c r="D26" s="8" t="e">
        <f>CSE4098C_Summer2026_Report!AA26</f>
        <v>#DIV/0!</v>
      </c>
      <c r="E26" s="9" t="e">
        <f>ROUND((CSE4098C_Spring26_Presentation!Z26/50)*25,2)</f>
        <v>#DIV/0!</v>
      </c>
      <c r="F26" s="6" t="e">
        <f>ROUND((CSE4098C_Summer2026_Poster!AA26/50)*20,2)</f>
        <v>#DIV/0!</v>
      </c>
      <c r="G26" s="6"/>
      <c r="H26" s="6"/>
      <c r="I26" s="10" t="e">
        <f t="shared" si="0"/>
        <v>#DIV/0!</v>
      </c>
      <c r="J26" s="11" t="e">
        <f t="shared" si="1"/>
        <v>#DIV/0!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" customHeight="1" thickBot="1">
      <c r="A27" s="6">
        <f t="shared" si="2"/>
        <v>23</v>
      </c>
      <c r="B27" s="225">
        <v>223014213</v>
      </c>
      <c r="C27" s="224" t="s">
        <v>208</v>
      </c>
      <c r="D27" s="8" t="e">
        <f>CSE4098C_Summer2026_Report!AA27</f>
        <v>#DIV/0!</v>
      </c>
      <c r="E27" s="9">
        <f>ROUND((CSE4098C_Spring26_Presentation!Z27/50)*25,2)</f>
        <v>18.78</v>
      </c>
      <c r="F27" s="6" t="e">
        <f>ROUND((CSE4098C_Summer2026_Poster!AA27/50)*20,2)</f>
        <v>#DIV/0!</v>
      </c>
      <c r="G27" s="6"/>
      <c r="H27" s="6"/>
      <c r="I27" s="10" t="e">
        <f t="shared" si="0"/>
        <v>#DIV/0!</v>
      </c>
      <c r="J27" s="11" t="e">
        <f t="shared" si="1"/>
        <v>#DIV/0!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.75" customHeight="1" thickBot="1">
      <c r="A28" s="6">
        <f t="shared" si="2"/>
        <v>24</v>
      </c>
      <c r="B28" s="224">
        <v>223014078</v>
      </c>
      <c r="C28" s="224" t="s">
        <v>226</v>
      </c>
      <c r="D28" s="8" t="e">
        <f>CSE4098C_Summer2026_Report!AA28</f>
        <v>#DIV/0!</v>
      </c>
      <c r="E28" s="9">
        <f>ROUND((CSE4098C_Spring26_Presentation!Z28/50)*25,2)</f>
        <v>18.72</v>
      </c>
      <c r="F28" s="6" t="e">
        <f>ROUND((CSE4098C_Summer2026_Poster!AA28/50)*20,2)</f>
        <v>#DIV/0!</v>
      </c>
      <c r="G28" s="6"/>
      <c r="H28" s="6"/>
      <c r="I28" s="10" t="e">
        <f t="shared" si="0"/>
        <v>#DIV/0!</v>
      </c>
      <c r="J28" s="11" t="e">
        <f t="shared" si="1"/>
        <v>#DIV/0!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7.25" customHeight="1" thickBot="1">
      <c r="A29" s="6">
        <f t="shared" si="2"/>
        <v>25</v>
      </c>
      <c r="B29" s="226">
        <v>223014212</v>
      </c>
      <c r="C29" s="226" t="s">
        <v>227</v>
      </c>
      <c r="D29" s="8" t="e">
        <f>CSE4098C_Summer2026_Report!AA29</f>
        <v>#DIV/0!</v>
      </c>
      <c r="E29" s="9">
        <f>ROUND((CSE4098C_Spring26_Presentation!Z29/50)*25,2)</f>
        <v>18.78</v>
      </c>
      <c r="F29" s="6" t="e">
        <f>ROUND((CSE4098C_Summer2026_Poster!AA29/50)*20,2)</f>
        <v>#DIV/0!</v>
      </c>
      <c r="G29" s="6"/>
      <c r="H29" s="6"/>
      <c r="I29" s="10" t="e">
        <f t="shared" si="0"/>
        <v>#DIV/0!</v>
      </c>
      <c r="J29" s="11" t="e">
        <f t="shared" si="1"/>
        <v>#DIV/0!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6.5" customHeight="1" thickBot="1">
      <c r="A30" s="6">
        <f t="shared" si="2"/>
        <v>26</v>
      </c>
      <c r="B30" s="227">
        <v>223014110</v>
      </c>
      <c r="C30" s="227" t="s">
        <v>228</v>
      </c>
      <c r="D30" s="8" t="e">
        <f>CSE4098C_Summer2026_Report!AA30</f>
        <v>#DIV/0!</v>
      </c>
      <c r="E30" s="9">
        <f>ROUND((CSE4098C_Spring26_Presentation!Z30/50)*25,2)</f>
        <v>22</v>
      </c>
      <c r="F30" s="6" t="e">
        <f>ROUND((CSE4098C_Summer2026_Poster!AA30/50)*20,2)</f>
        <v>#DIV/0!</v>
      </c>
      <c r="G30" s="6"/>
      <c r="H30" s="6"/>
      <c r="I30" s="10" t="e">
        <f t="shared" si="0"/>
        <v>#DIV/0!</v>
      </c>
      <c r="J30" s="11" t="e">
        <f t="shared" si="1"/>
        <v>#DIV/0!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thickBot="1">
      <c r="A31" s="6">
        <f t="shared" si="2"/>
        <v>27</v>
      </c>
      <c r="B31" s="224">
        <v>223014135</v>
      </c>
      <c r="C31" s="224" t="s">
        <v>229</v>
      </c>
      <c r="D31" s="8" t="e">
        <f>CSE4098C_Summer2026_Report!AA31</f>
        <v>#DIV/0!</v>
      </c>
      <c r="E31" s="9">
        <f>ROUND((CSE4098C_Spring26_Presentation!Z31/50)*25,2)</f>
        <v>23.45</v>
      </c>
      <c r="F31" s="6" t="e">
        <f>ROUND((CSE4098C_Summer2026_Poster!AA31/50)*20,2)</f>
        <v>#DIV/0!</v>
      </c>
      <c r="G31" s="6"/>
      <c r="H31" s="6"/>
      <c r="I31" s="10" t="e">
        <f t="shared" si="0"/>
        <v>#DIV/0!</v>
      </c>
      <c r="J31" s="11" t="e">
        <f t="shared" si="1"/>
        <v>#DIV/0!</v>
      </c>
      <c r="K31" s="1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thickBot="1">
      <c r="A32" s="6">
        <f t="shared" si="2"/>
        <v>28</v>
      </c>
      <c r="B32" s="224">
        <v>223014122</v>
      </c>
      <c r="C32" s="224" t="s">
        <v>230</v>
      </c>
      <c r="D32" s="8" t="e">
        <f>CSE4098C_Summer2026_Report!AA32</f>
        <v>#DIV/0!</v>
      </c>
      <c r="E32" s="9">
        <f>ROUND((CSE4098C_Spring26_Presentation!Z32/50)*25,2)</f>
        <v>23.82</v>
      </c>
      <c r="F32" s="6" t="e">
        <f>ROUND((CSE4098C_Summer2026_Poster!AA32/50)*20,2)</f>
        <v>#DIV/0!</v>
      </c>
      <c r="G32" s="6"/>
      <c r="H32" s="6"/>
      <c r="I32" s="10" t="e">
        <f t="shared" si="0"/>
        <v>#DIV/0!</v>
      </c>
      <c r="J32" s="11" t="e">
        <f t="shared" si="1"/>
        <v>#DIV/0!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thickBot="1">
      <c r="A33" s="6">
        <f t="shared" si="2"/>
        <v>29</v>
      </c>
      <c r="B33" s="224">
        <v>212014030</v>
      </c>
      <c r="C33" s="224" t="s">
        <v>231</v>
      </c>
      <c r="D33" s="8" t="e">
        <f>CSE4098C_Summer2026_Report!AA33</f>
        <v>#DIV/0!</v>
      </c>
      <c r="E33" s="9">
        <f>ROUND((CSE4098C_Spring26_Presentation!Z33/50)*25,2)</f>
        <v>23.45</v>
      </c>
      <c r="F33" s="6" t="e">
        <f>ROUND((CSE4098C_Summer2026_Poster!AA33/50)*20,2)</f>
        <v>#DIV/0!</v>
      </c>
      <c r="G33" s="6"/>
      <c r="H33" s="6"/>
      <c r="I33" s="10" t="e">
        <f t="shared" si="0"/>
        <v>#DIV/0!</v>
      </c>
      <c r="J33" s="11" t="e">
        <f t="shared" si="1"/>
        <v>#DIV/0!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customHeight="1" thickBot="1">
      <c r="A34" s="6">
        <f t="shared" si="2"/>
        <v>30</v>
      </c>
      <c r="B34" s="228">
        <v>222014072</v>
      </c>
      <c r="C34" s="228" t="s">
        <v>232</v>
      </c>
      <c r="D34" s="8" t="e">
        <f>CSE4098C_Summer2026_Report!AA34</f>
        <v>#DIV/0!</v>
      </c>
      <c r="E34" s="9">
        <f>ROUND((CSE4098C_Spring26_Presentation!Z34/50)*25,2)</f>
        <v>17.149999999999999</v>
      </c>
      <c r="F34" s="6" t="e">
        <f>ROUND((CSE4098C_Summer2026_Poster!AA34/50)*20,2)</f>
        <v>#DIV/0!</v>
      </c>
      <c r="G34" s="6"/>
      <c r="H34" s="6"/>
      <c r="I34" s="10" t="e">
        <f t="shared" si="0"/>
        <v>#DIV/0!</v>
      </c>
      <c r="J34" s="11" t="e">
        <f t="shared" si="1"/>
        <v>#DIV/0!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7.25" customHeight="1" thickBot="1">
      <c r="A35" s="6">
        <f t="shared" si="2"/>
        <v>31</v>
      </c>
      <c r="B35" s="228">
        <v>222014097</v>
      </c>
      <c r="C35" s="228" t="s">
        <v>233</v>
      </c>
      <c r="D35" s="8" t="e">
        <f>CSE4098C_Summer2026_Report!AA35</f>
        <v>#DIV/0!</v>
      </c>
      <c r="E35" s="9">
        <f>ROUND((CSE4098C_Spring26_Presentation!Z35/50)*25,2)</f>
        <v>17.079999999999998</v>
      </c>
      <c r="F35" s="6" t="e">
        <f>ROUND((CSE4098C_Summer2026_Poster!AA35/50)*20,2)</f>
        <v>#DIV/0!</v>
      </c>
      <c r="G35" s="6"/>
      <c r="H35" s="6"/>
      <c r="I35" s="10" t="e">
        <f t="shared" si="0"/>
        <v>#DIV/0!</v>
      </c>
      <c r="J35" s="11" t="e">
        <f t="shared" si="1"/>
        <v>#DIV/0!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6.5" customHeight="1" thickBot="1">
      <c r="A36" s="6">
        <f t="shared" si="2"/>
        <v>32</v>
      </c>
      <c r="B36" s="228">
        <v>222014040</v>
      </c>
      <c r="C36" s="228" t="s">
        <v>234</v>
      </c>
      <c r="D36" s="8" t="e">
        <f>CSE4098C_Summer2026_Report!AA36</f>
        <v>#DIV/0!</v>
      </c>
      <c r="E36" s="9">
        <f>ROUND((CSE4098C_Spring26_Presentation!Z36/50)*25,2)</f>
        <v>13.86</v>
      </c>
      <c r="F36" s="6" t="e">
        <f>ROUND((CSE4098C_Summer2026_Poster!AA36/50)*20,2)</f>
        <v>#DIV/0!</v>
      </c>
      <c r="G36" s="6"/>
      <c r="H36" s="6"/>
      <c r="I36" s="10" t="e">
        <f t="shared" si="0"/>
        <v>#DIV/0!</v>
      </c>
      <c r="J36" s="11" t="e">
        <f t="shared" si="1"/>
        <v>#DIV/0!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6.5" customHeight="1" thickBot="1">
      <c r="A37" s="6">
        <f t="shared" si="2"/>
        <v>33</v>
      </c>
      <c r="B37" s="228">
        <v>222014071</v>
      </c>
      <c r="C37" s="228" t="s">
        <v>235</v>
      </c>
      <c r="D37" s="8" t="e">
        <f>CSE4098C_Summer2026_Report!AA37</f>
        <v>#DIV/0!</v>
      </c>
      <c r="E37" s="9">
        <f>ROUND((CSE4098C_Spring26_Presentation!Z37/50)*25,2)</f>
        <v>13.93</v>
      </c>
      <c r="F37" s="6" t="e">
        <f>ROUND((CSE4098C_Summer2026_Poster!AA37/50)*20,2)</f>
        <v>#DIV/0!</v>
      </c>
      <c r="G37" s="6"/>
      <c r="H37" s="6"/>
      <c r="I37" s="10" t="e">
        <f t="shared" si="0"/>
        <v>#DIV/0!</v>
      </c>
      <c r="J37" s="11" t="e">
        <f t="shared" si="1"/>
        <v>#DIV/0!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thickBot="1">
      <c r="A38" s="6">
        <f t="shared" si="2"/>
        <v>34</v>
      </c>
      <c r="B38" s="228">
        <v>223014195</v>
      </c>
      <c r="C38" s="228" t="s">
        <v>236</v>
      </c>
      <c r="D38" s="8" t="e">
        <f>CSE4098C_Summer2026_Report!AA38</f>
        <v>#DIV/0!</v>
      </c>
      <c r="E38" s="9">
        <f>ROUND((CSE4098C_Spring26_Presentation!Z38/50)*25,2)</f>
        <v>15.08</v>
      </c>
      <c r="F38" s="6" t="e">
        <f>ROUND((CSE4098C_Summer2026_Poster!AA38/50)*20,2)</f>
        <v>#DIV/0!</v>
      </c>
      <c r="G38" s="6"/>
      <c r="H38" s="6"/>
      <c r="I38" s="10" t="e">
        <f t="shared" si="0"/>
        <v>#DIV/0!</v>
      </c>
      <c r="J38" s="11" t="e">
        <f t="shared" si="1"/>
        <v>#DIV/0!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8" customHeight="1" thickBot="1">
      <c r="A39" s="6">
        <f t="shared" si="2"/>
        <v>35</v>
      </c>
      <c r="B39" s="222">
        <v>223014143</v>
      </c>
      <c r="C39" s="222" t="s">
        <v>237</v>
      </c>
      <c r="D39" s="8" t="e">
        <f>CSE4098C_Summer2026_Report!AA39</f>
        <v>#DIV/0!</v>
      </c>
      <c r="E39" s="9">
        <f>ROUND((CSE4098C_Spring26_Presentation!Z39/50)*25,2)</f>
        <v>14</v>
      </c>
      <c r="F39" s="6" t="e">
        <f>ROUND((CSE4098C_Summer2026_Poster!AA39/50)*20,2)</f>
        <v>#DIV/0!</v>
      </c>
      <c r="G39" s="6"/>
      <c r="H39" s="6"/>
      <c r="I39" s="10" t="e">
        <f t="shared" si="0"/>
        <v>#DIV/0!</v>
      </c>
      <c r="J39" s="11" t="e">
        <f t="shared" si="1"/>
        <v>#DIV/0!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customHeight="1" thickBot="1">
      <c r="A40" s="6">
        <f t="shared" si="2"/>
        <v>36</v>
      </c>
      <c r="B40" s="222">
        <v>231014167</v>
      </c>
      <c r="C40" s="231" t="s">
        <v>238</v>
      </c>
      <c r="D40" s="8" t="e">
        <f>CSE4098C_Summer2026_Report!AA40</f>
        <v>#DIV/0!</v>
      </c>
      <c r="E40" s="9">
        <f>ROUND((CSE4098C_Spring26_Presentation!Z40/50)*25,2)</f>
        <v>18.45</v>
      </c>
      <c r="F40" s="6" t="e">
        <f>ROUND((CSE4098C_Summer2026_Poster!AA40/50)*20,2)</f>
        <v>#DIV/0!</v>
      </c>
      <c r="G40" s="6"/>
      <c r="H40" s="6"/>
      <c r="I40" s="10" t="e">
        <f t="shared" si="0"/>
        <v>#DIV/0!</v>
      </c>
      <c r="J40" s="11" t="e">
        <f t="shared" si="1"/>
        <v>#DIV/0!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customHeight="1" thickBot="1">
      <c r="A41" s="6">
        <f t="shared" si="2"/>
        <v>37</v>
      </c>
      <c r="B41" s="222">
        <v>231014073</v>
      </c>
      <c r="C41" s="222" t="s">
        <v>239</v>
      </c>
      <c r="D41" s="8" t="e">
        <f>CSE4098C_Summer2026_Report!AA41</f>
        <v>#DIV/0!</v>
      </c>
      <c r="E41" s="9">
        <f>ROUND((CSE4098C_Spring26_Presentation!Z41/50)*25,2)</f>
        <v>18.670000000000002</v>
      </c>
      <c r="F41" s="6" t="e">
        <f>ROUND((CSE4098C_Summer2026_Poster!AA41/50)*20,2)</f>
        <v>#DIV/0!</v>
      </c>
      <c r="G41" s="6"/>
      <c r="H41" s="6"/>
      <c r="I41" s="10" t="e">
        <f t="shared" si="0"/>
        <v>#DIV/0!</v>
      </c>
      <c r="J41" s="11" t="e">
        <f t="shared" si="1"/>
        <v>#DIV/0!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customHeight="1" thickBot="1">
      <c r="A42" s="6">
        <f t="shared" si="2"/>
        <v>38</v>
      </c>
      <c r="B42" s="222">
        <v>232014058</v>
      </c>
      <c r="C42" s="222" t="s">
        <v>240</v>
      </c>
      <c r="D42" s="8" t="e">
        <f>CSE4098C_Summer2026_Report!AA42</f>
        <v>#DIV/0!</v>
      </c>
      <c r="E42" s="9">
        <f>ROUND((CSE4098C_Spring26_Presentation!Z42/50)*25,2)</f>
        <v>13.34</v>
      </c>
      <c r="F42" s="6" t="e">
        <f>ROUND((CSE4098C_Summer2026_Poster!AA42/50)*20,2)</f>
        <v>#DIV/0!</v>
      </c>
      <c r="G42" s="6"/>
      <c r="H42" s="6"/>
      <c r="I42" s="10" t="e">
        <f t="shared" si="0"/>
        <v>#DIV/0!</v>
      </c>
      <c r="J42" s="11" t="e">
        <f t="shared" si="1"/>
        <v>#DIV/0!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7.25" customHeight="1" thickBot="1">
      <c r="A43" s="6">
        <f t="shared" si="2"/>
        <v>39</v>
      </c>
      <c r="B43" s="222">
        <v>223014183</v>
      </c>
      <c r="C43" s="222" t="s">
        <v>241</v>
      </c>
      <c r="D43" s="8" t="e">
        <f>CSE4098C_Summer2026_Report!AA43</f>
        <v>#DIV/0!</v>
      </c>
      <c r="E43" s="9">
        <f>ROUND((CSE4098C_Spring26_Presentation!Z43/50)*25,2)</f>
        <v>21.84</v>
      </c>
      <c r="F43" s="6" t="e">
        <f>ROUND((CSE4098C_Summer2026_Poster!AA43/50)*20,2)</f>
        <v>#DIV/0!</v>
      </c>
      <c r="G43" s="6"/>
      <c r="H43" s="6"/>
      <c r="I43" s="10" t="e">
        <f t="shared" si="0"/>
        <v>#DIV/0!</v>
      </c>
      <c r="J43" s="11" t="e">
        <f t="shared" si="1"/>
        <v>#DIV/0!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thickBot="1">
      <c r="A44" s="6">
        <f t="shared" si="2"/>
        <v>40</v>
      </c>
      <c r="B44" s="222">
        <v>223014182</v>
      </c>
      <c r="C44" s="222" t="s">
        <v>242</v>
      </c>
      <c r="D44" s="8" t="e">
        <f>CSE4098C_Summer2026_Report!AA44</f>
        <v>#DIV/0!</v>
      </c>
      <c r="E44" s="9">
        <f>ROUND((CSE4098C_Spring26_Presentation!Z44/50)*25,2)</f>
        <v>23.34</v>
      </c>
      <c r="F44" s="6" t="e">
        <f>ROUND((CSE4098C_Summer2026_Poster!AA44/50)*20,2)</f>
        <v>#DIV/0!</v>
      </c>
      <c r="G44" s="6"/>
      <c r="H44" s="6"/>
      <c r="I44" s="10" t="e">
        <f t="shared" si="0"/>
        <v>#DIV/0!</v>
      </c>
      <c r="J44" s="11" t="e">
        <f t="shared" si="1"/>
        <v>#DIV/0!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7.25" customHeight="1" thickBot="1">
      <c r="A45" s="6">
        <f t="shared" si="2"/>
        <v>41</v>
      </c>
      <c r="B45" s="222">
        <v>223014127</v>
      </c>
      <c r="C45" s="222" t="s">
        <v>243</v>
      </c>
      <c r="D45" s="8" t="e">
        <f>CSE4098C_Summer2026_Report!AA45</f>
        <v>#DIV/0!</v>
      </c>
      <c r="E45" s="9">
        <f>ROUND((CSE4098C_Spring26_Presentation!Z45/50)*25,2)</f>
        <v>21.84</v>
      </c>
      <c r="F45" s="6" t="e">
        <f>ROUND((CSE4098C_Summer2026_Poster!AA45/50)*20,2)</f>
        <v>#DIV/0!</v>
      </c>
      <c r="G45" s="6"/>
      <c r="H45" s="6"/>
      <c r="I45" s="10" t="e">
        <f t="shared" si="0"/>
        <v>#DIV/0!</v>
      </c>
      <c r="J45" s="11" t="e">
        <f t="shared" si="1"/>
        <v>#DIV/0!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8" customHeight="1" thickBot="1">
      <c r="A46" s="6">
        <f t="shared" si="2"/>
        <v>42</v>
      </c>
      <c r="B46" s="222">
        <v>223014011</v>
      </c>
      <c r="C46" s="222" t="s">
        <v>244</v>
      </c>
      <c r="D46" s="8" t="e">
        <f>CSE4098C_Summer2026_Report!AA46</f>
        <v>#DIV/0!</v>
      </c>
      <c r="E46" s="9">
        <f>ROUND((CSE4098C_Spring26_Presentation!Z46/50)*25,2)</f>
        <v>22.17</v>
      </c>
      <c r="F46" s="6" t="e">
        <f>ROUND((CSE4098C_Summer2026_Poster!AA46/50)*20,2)</f>
        <v>#DIV/0!</v>
      </c>
      <c r="G46" s="6"/>
      <c r="H46" s="6"/>
      <c r="I46" s="10" t="e">
        <f t="shared" si="0"/>
        <v>#DIV/0!</v>
      </c>
      <c r="J46" s="11" t="e">
        <f t="shared" si="1"/>
        <v>#DIV/0!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6.5" customHeight="1" thickBot="1">
      <c r="A47" s="6">
        <f t="shared" si="2"/>
        <v>43</v>
      </c>
      <c r="B47" s="222">
        <v>231014007</v>
      </c>
      <c r="C47" s="222" t="s">
        <v>245</v>
      </c>
      <c r="D47" s="8" t="e">
        <f>CSE4098C_Summer2026_Report!AA47</f>
        <v>#DIV/0!</v>
      </c>
      <c r="E47" s="9">
        <f>ROUND((CSE4098C_Spring26_Presentation!Z47/50)*25,2)</f>
        <v>21.84</v>
      </c>
      <c r="F47" s="6" t="e">
        <f>ROUND((CSE4098C_Summer2026_Poster!AA47/50)*20,2)</f>
        <v>#DIV/0!</v>
      </c>
      <c r="G47" s="6"/>
      <c r="H47" s="6"/>
      <c r="I47" s="10" t="e">
        <f t="shared" si="0"/>
        <v>#DIV/0!</v>
      </c>
      <c r="J47" s="11" t="e">
        <f t="shared" si="1"/>
        <v>#DIV/0!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8" customHeight="1" thickBot="1">
      <c r="A48" s="6">
        <f t="shared" si="2"/>
        <v>44</v>
      </c>
      <c r="B48" s="222">
        <v>212014015</v>
      </c>
      <c r="C48" s="222" t="s">
        <v>246</v>
      </c>
      <c r="D48" s="8" t="e">
        <f>CSE4098C_Summer2026_Report!AA48</f>
        <v>#DIV/0!</v>
      </c>
      <c r="E48" s="9">
        <f>ROUND((CSE4098C_Spring26_Presentation!Z48/50)*25,2)</f>
        <v>16.45</v>
      </c>
      <c r="F48" s="6" t="e">
        <f>ROUND((CSE4098C_Summer2026_Poster!AA48/50)*20,2)</f>
        <v>#DIV/0!</v>
      </c>
      <c r="G48" s="6"/>
      <c r="H48" s="6"/>
      <c r="I48" s="10" t="e">
        <f t="shared" si="0"/>
        <v>#DIV/0!</v>
      </c>
      <c r="J48" s="11" t="e">
        <f t="shared" si="1"/>
        <v>#DIV/0!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7.25" customHeight="1" thickBot="1">
      <c r="A49" s="6">
        <f t="shared" si="2"/>
        <v>45</v>
      </c>
      <c r="B49" s="222">
        <v>223014050</v>
      </c>
      <c r="C49" s="222" t="s">
        <v>247</v>
      </c>
      <c r="D49" s="8" t="e">
        <f>CSE4098C_Summer2026_Report!AA49</f>
        <v>#DIV/0!</v>
      </c>
      <c r="E49" s="9">
        <f>ROUND((CSE4098C_Spring26_Presentation!Z49/50)*25,2)</f>
        <v>16.45</v>
      </c>
      <c r="F49" s="6" t="e">
        <f>ROUND((CSE4098C_Summer2026_Poster!AA49/50)*20,2)</f>
        <v>#DIV/0!</v>
      </c>
      <c r="G49" s="6"/>
      <c r="H49" s="6"/>
      <c r="I49" s="10" t="e">
        <f t="shared" si="0"/>
        <v>#DIV/0!</v>
      </c>
      <c r="J49" s="11" t="e">
        <f t="shared" si="1"/>
        <v>#DIV/0!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1" customHeight="1" thickBot="1">
      <c r="A50" s="6">
        <f t="shared" si="2"/>
        <v>46</v>
      </c>
      <c r="B50" s="222">
        <v>231014075</v>
      </c>
      <c r="C50" s="222" t="s">
        <v>248</v>
      </c>
      <c r="D50" s="8" t="e">
        <f>CSE4098C_Summer2026_Report!AA50</f>
        <v>#DIV/0!</v>
      </c>
      <c r="E50" s="9">
        <f>ROUND((CSE4098C_Spring26_Presentation!Z50/50)*25,2)</f>
        <v>16.45</v>
      </c>
      <c r="F50" s="6" t="e">
        <f>ROUND((CSE4098C_Summer2026_Poster!AA50/50)*20,2)</f>
        <v>#DIV/0!</v>
      </c>
      <c r="G50" s="6"/>
      <c r="H50" s="6"/>
      <c r="I50" s="10" t="e">
        <f t="shared" si="0"/>
        <v>#DIV/0!</v>
      </c>
      <c r="J50" s="11" t="e">
        <f t="shared" si="1"/>
        <v>#DIV/0!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8" customHeight="1" thickBot="1">
      <c r="A51" s="6">
        <f t="shared" si="2"/>
        <v>47</v>
      </c>
      <c r="B51" s="222">
        <v>222014052</v>
      </c>
      <c r="C51" s="222" t="s">
        <v>249</v>
      </c>
      <c r="D51" s="8" t="e">
        <f>CSE4098C_Summer2026_Report!AA51</f>
        <v>#DIV/0!</v>
      </c>
      <c r="E51" s="9">
        <f>ROUND((CSE4098C_Spring26_Presentation!Z51/50)*25,2)</f>
        <v>21.11</v>
      </c>
      <c r="F51" s="6" t="e">
        <f>ROUND((CSE4098C_Summer2026_Poster!AA51/50)*20,2)</f>
        <v>#DIV/0!</v>
      </c>
      <c r="G51" s="6"/>
      <c r="H51" s="6"/>
      <c r="I51" s="10" t="e">
        <f t="shared" si="0"/>
        <v>#DIV/0!</v>
      </c>
      <c r="J51" s="11" t="e">
        <f t="shared" si="1"/>
        <v>#DIV/0!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8" customHeight="1" thickBot="1">
      <c r="A52" s="6">
        <f t="shared" si="2"/>
        <v>48</v>
      </c>
      <c r="B52" s="222">
        <v>222014009</v>
      </c>
      <c r="C52" s="222" t="s">
        <v>250</v>
      </c>
      <c r="D52" s="8" t="e">
        <f>CSE4098C_Summer2026_Report!AA52</f>
        <v>#DIV/0!</v>
      </c>
      <c r="E52" s="9">
        <f>ROUND((CSE4098C_Spring26_Presentation!Z52/50)*25,2)</f>
        <v>20.22</v>
      </c>
      <c r="F52" s="6" t="e">
        <f>ROUND((CSE4098C_Summer2026_Poster!AA52/50)*20,2)</f>
        <v>#DIV/0!</v>
      </c>
      <c r="G52" s="6"/>
      <c r="H52" s="6"/>
      <c r="I52" s="10" t="e">
        <f t="shared" si="0"/>
        <v>#DIV/0!</v>
      </c>
      <c r="J52" s="11" t="e">
        <f t="shared" si="1"/>
        <v>#DIV/0!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8.75" customHeight="1" thickBot="1">
      <c r="A53" s="6">
        <f t="shared" si="2"/>
        <v>49</v>
      </c>
      <c r="B53" s="222">
        <v>222014088</v>
      </c>
      <c r="C53" s="222" t="s">
        <v>251</v>
      </c>
      <c r="D53" s="8" t="e">
        <f>CSE4098C_Summer2026_Report!AA53</f>
        <v>#DIV/0!</v>
      </c>
      <c r="E53" s="9">
        <f>ROUND((CSE4098C_Spring26_Presentation!Z53/50)*25,2)</f>
        <v>20</v>
      </c>
      <c r="F53" s="6" t="e">
        <f>ROUND((CSE4098C_Summer2026_Poster!AA53/50)*20,2)</f>
        <v>#DIV/0!</v>
      </c>
      <c r="G53" s="6"/>
      <c r="H53" s="6"/>
      <c r="I53" s="10" t="e">
        <f t="shared" si="0"/>
        <v>#DIV/0!</v>
      </c>
      <c r="J53" s="11" t="e">
        <f t="shared" si="1"/>
        <v>#DIV/0!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7.25" customHeight="1" thickBot="1">
      <c r="A54" s="6">
        <f t="shared" si="2"/>
        <v>50</v>
      </c>
      <c r="B54" s="222">
        <v>231014021</v>
      </c>
      <c r="C54" s="222" t="s">
        <v>252</v>
      </c>
      <c r="D54" s="8" t="e">
        <f>CSE4098C_Summer2026_Report!AA54</f>
        <v>#DIV/0!</v>
      </c>
      <c r="E54" s="9">
        <f>ROUND((CSE4098C_Spring26_Presentation!Z54/50)*25,2)</f>
        <v>19.89</v>
      </c>
      <c r="F54" s="6" t="e">
        <f>ROUND((CSE4098C_Summer2026_Poster!AA54/50)*20,2)</f>
        <v>#DIV/0!</v>
      </c>
      <c r="G54" s="6"/>
      <c r="H54" s="6"/>
      <c r="I54" s="10" t="e">
        <f t="shared" si="0"/>
        <v>#DIV/0!</v>
      </c>
      <c r="J54" s="11" t="e">
        <f t="shared" si="1"/>
        <v>#DIV/0!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customHeight="1" thickBot="1">
      <c r="A55" s="6">
        <f t="shared" si="2"/>
        <v>51</v>
      </c>
      <c r="B55" s="229">
        <v>223014086</v>
      </c>
      <c r="C55" s="222" t="s">
        <v>253</v>
      </c>
      <c r="D55" s="8" t="e">
        <f>CSE4098C_Summer2026_Report!AA55</f>
        <v>#DIV/0!</v>
      </c>
      <c r="E55" s="9">
        <f>ROUND((CSE4098C_Spring26_Presentation!Z55/50)*25,2)</f>
        <v>8.4499999999999993</v>
      </c>
      <c r="F55" s="6" t="e">
        <f>ROUND((CSE4098C_Summer2026_Poster!AA55/50)*20,2)</f>
        <v>#DIV/0!</v>
      </c>
      <c r="G55" s="6"/>
      <c r="H55" s="6"/>
      <c r="I55" s="10" t="e">
        <f t="shared" si="0"/>
        <v>#DIV/0!</v>
      </c>
      <c r="J55" s="11" t="e">
        <f t="shared" si="1"/>
        <v>#DIV/0!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thickBot="1">
      <c r="A56" s="6">
        <f t="shared" si="2"/>
        <v>52</v>
      </c>
      <c r="B56" s="222">
        <v>223014033</v>
      </c>
      <c r="C56" s="222" t="s">
        <v>254</v>
      </c>
      <c r="D56" s="8" t="e">
        <f>CSE4098C_Summer2026_Report!AA56</f>
        <v>#DIV/0!</v>
      </c>
      <c r="E56" s="9">
        <f>ROUND((CSE4098C_Spring26_Presentation!Z56/50)*25,2)</f>
        <v>5.89</v>
      </c>
      <c r="F56" s="6" t="e">
        <f>ROUND((CSE4098C_Summer2026_Poster!AA56/50)*20,2)</f>
        <v>#DIV/0!</v>
      </c>
      <c r="G56" s="6"/>
      <c r="H56" s="6"/>
      <c r="I56" s="10" t="e">
        <f t="shared" si="0"/>
        <v>#DIV/0!</v>
      </c>
      <c r="J56" s="11" t="e">
        <f t="shared" si="1"/>
        <v>#DIV/0!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6.5" customHeight="1" thickBot="1">
      <c r="A57" s="6">
        <f t="shared" si="2"/>
        <v>53</v>
      </c>
      <c r="B57" s="222">
        <v>223014042</v>
      </c>
      <c r="C57" s="222" t="s">
        <v>255</v>
      </c>
      <c r="D57" s="8" t="e">
        <f>CSE4098C_Summer2026_Report!AA57</f>
        <v>#DIV/0!</v>
      </c>
      <c r="E57" s="9">
        <f>ROUND((CSE4098C_Spring26_Presentation!Z57/50)*25,2)</f>
        <v>4.28</v>
      </c>
      <c r="F57" s="6" t="e">
        <f>ROUND((CSE4098C_Summer2026_Poster!AA57/50)*20,2)</f>
        <v>#DIV/0!</v>
      </c>
      <c r="G57" s="6"/>
      <c r="H57" s="6"/>
      <c r="I57" s="10" t="e">
        <f t="shared" si="0"/>
        <v>#DIV/0!</v>
      </c>
      <c r="J57" s="11" t="e">
        <f t="shared" si="1"/>
        <v>#DIV/0!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8" customHeight="1" thickBot="1">
      <c r="A58" s="6">
        <f t="shared" si="2"/>
        <v>54</v>
      </c>
      <c r="B58" s="222">
        <v>223014040</v>
      </c>
      <c r="C58" s="222" t="s">
        <v>256</v>
      </c>
      <c r="D58" s="8" t="e">
        <f>CSE4098C_Summer2026_Report!AA58</f>
        <v>#DIV/0!</v>
      </c>
      <c r="E58" s="9">
        <f>ROUND((CSE4098C_Spring26_Presentation!Z58/50)*25,2)</f>
        <v>4.28</v>
      </c>
      <c r="F58" s="6" t="e">
        <f>ROUND((CSE4098C_Summer2026_Poster!AA58/50)*20,2)</f>
        <v>#DIV/0!</v>
      </c>
      <c r="G58" s="6"/>
      <c r="H58" s="6"/>
      <c r="I58" s="10" t="e">
        <f t="shared" si="0"/>
        <v>#DIV/0!</v>
      </c>
      <c r="J58" s="11" t="e">
        <f t="shared" si="1"/>
        <v>#DIV/0!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6.5" customHeight="1" thickBot="1">
      <c r="A59" s="6">
        <f t="shared" si="2"/>
        <v>55</v>
      </c>
      <c r="B59" s="222">
        <v>223014054</v>
      </c>
      <c r="C59" s="222" t="s">
        <v>257</v>
      </c>
      <c r="D59" s="8" t="e">
        <f>CSE4098C_Summer2026_Report!AA59</f>
        <v>#DIV/0!</v>
      </c>
      <c r="E59" s="9">
        <f>ROUND((CSE4098C_Spring26_Presentation!Z59/50)*25,2)</f>
        <v>4.95</v>
      </c>
      <c r="F59" s="6" t="e">
        <f>ROUND((CSE4098C_Summer2026_Poster!AA59/50)*20,2)</f>
        <v>#DIV/0!</v>
      </c>
      <c r="G59" s="6"/>
      <c r="H59" s="6"/>
      <c r="I59" s="10" t="e">
        <f t="shared" si="0"/>
        <v>#DIV/0!</v>
      </c>
      <c r="J59" s="11" t="e">
        <f t="shared" si="1"/>
        <v>#DIV/0!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6.5" customHeight="1" thickBot="1">
      <c r="A60" s="6">
        <f t="shared" si="2"/>
        <v>56</v>
      </c>
      <c r="B60" s="230">
        <v>231014049</v>
      </c>
      <c r="C60" s="230" t="s">
        <v>258</v>
      </c>
      <c r="D60" s="8" t="e">
        <f>CSE4098C_Summer2026_Report!AA60</f>
        <v>#DIV/0!</v>
      </c>
      <c r="E60" s="9">
        <f>ROUND((CSE4098C_Spring26_Presentation!Z60/50)*25,2)</f>
        <v>8.67</v>
      </c>
      <c r="F60" s="6" t="e">
        <f>ROUND((CSE4098C_Summer2026_Poster!AA60/50)*20,2)</f>
        <v>#DIV/0!</v>
      </c>
      <c r="G60" s="6"/>
      <c r="H60" s="6"/>
      <c r="I60" s="10" t="e">
        <f t="shared" si="0"/>
        <v>#DIV/0!</v>
      </c>
      <c r="J60" s="11" t="e">
        <f t="shared" si="1"/>
        <v>#DIV/0!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6.5" customHeight="1" thickBot="1">
      <c r="A61" s="6">
        <f t="shared" si="2"/>
        <v>57</v>
      </c>
      <c r="B61" s="230">
        <v>231014016</v>
      </c>
      <c r="C61" s="230" t="s">
        <v>259</v>
      </c>
      <c r="D61" s="8" t="e">
        <f>CSE4098C_Summer2026_Report!AA61</f>
        <v>#DIV/0!</v>
      </c>
      <c r="E61" s="9">
        <f>ROUND((CSE4098C_Spring26_Presentation!Z61/50)*25,2)</f>
        <v>7.07</v>
      </c>
      <c r="F61" s="6" t="e">
        <f>ROUND((CSE4098C_Summer2026_Poster!AA61/50)*20,2)</f>
        <v>#DIV/0!</v>
      </c>
      <c r="G61" s="6"/>
      <c r="H61" s="6"/>
      <c r="I61" s="10" t="e">
        <f t="shared" si="0"/>
        <v>#DIV/0!</v>
      </c>
      <c r="J61" s="11" t="e">
        <f t="shared" si="1"/>
        <v>#DIV/0!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8" customHeight="1" thickBot="1">
      <c r="A62" s="6">
        <f t="shared" si="2"/>
        <v>58</v>
      </c>
      <c r="B62" s="230">
        <v>231014125</v>
      </c>
      <c r="C62" s="230" t="s">
        <v>260</v>
      </c>
      <c r="D62" s="8" t="e">
        <f>CSE4098C_Summer2026_Report!AA62</f>
        <v>#DIV/0!</v>
      </c>
      <c r="E62" s="9">
        <f>ROUND((CSE4098C_Spring26_Presentation!Z62/50)*25,2)</f>
        <v>6.49</v>
      </c>
      <c r="F62" s="6" t="e">
        <f>ROUND((CSE4098C_Summer2026_Poster!AA62/50)*20,2)</f>
        <v>#DIV/0!</v>
      </c>
      <c r="G62" s="6"/>
      <c r="H62" s="6"/>
      <c r="I62" s="10" t="e">
        <f t="shared" si="0"/>
        <v>#DIV/0!</v>
      </c>
      <c r="J62" s="11" t="e">
        <f t="shared" si="1"/>
        <v>#DIV/0!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6.5" customHeight="1" thickBot="1">
      <c r="A63" s="6">
        <f t="shared" si="2"/>
        <v>59</v>
      </c>
      <c r="B63" s="230">
        <v>231014142</v>
      </c>
      <c r="C63" s="230" t="s">
        <v>261</v>
      </c>
      <c r="D63" s="8" t="e">
        <f>CSE4098C_Summer2026_Report!AA63</f>
        <v>#DIV/0!</v>
      </c>
      <c r="E63" s="9">
        <f>ROUND((CSE4098C_Spring26_Presentation!Z63/50)*25,2)</f>
        <v>6.22</v>
      </c>
      <c r="F63" s="6" t="e">
        <f>ROUND((CSE4098C_Summer2026_Poster!AA63/50)*20,2)</f>
        <v>#DIV/0!</v>
      </c>
      <c r="G63" s="6"/>
      <c r="H63" s="6"/>
      <c r="I63" s="10" t="e">
        <f t="shared" si="0"/>
        <v>#DIV/0!</v>
      </c>
      <c r="J63" s="11" t="e">
        <f t="shared" si="1"/>
        <v>#DIV/0!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thickBot="1">
      <c r="A64" s="6">
        <f t="shared" si="2"/>
        <v>60</v>
      </c>
      <c r="B64" s="230">
        <v>223014146</v>
      </c>
      <c r="C64" s="230" t="s">
        <v>262</v>
      </c>
      <c r="D64" s="8" t="e">
        <f>CSE4098C_Summer2026_Report!AA64</f>
        <v>#DIV/0!</v>
      </c>
      <c r="E64" s="9">
        <f>ROUND((CSE4098C_Spring26_Presentation!Z64/50)*25,2)</f>
        <v>5.65</v>
      </c>
      <c r="F64" s="6" t="e">
        <f>ROUND((CSE4098C_Summer2026_Poster!AA64/50)*20,2)</f>
        <v>#DIV/0!</v>
      </c>
      <c r="G64" s="6"/>
      <c r="H64" s="6"/>
      <c r="I64" s="10" t="e">
        <f t="shared" si="0"/>
        <v>#DIV/0!</v>
      </c>
      <c r="J64" s="11" t="e">
        <f t="shared" si="1"/>
        <v>#DIV/0!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8" customHeight="1" thickBot="1">
      <c r="A65" s="6">
        <f t="shared" si="2"/>
        <v>61</v>
      </c>
      <c r="B65" s="222">
        <v>231014024</v>
      </c>
      <c r="C65" s="222" t="s">
        <v>263</v>
      </c>
      <c r="D65" s="8" t="e">
        <f>CSE4098C_Summer2026_Report!AA65</f>
        <v>#DIV/0!</v>
      </c>
      <c r="E65" s="9">
        <f>ROUND((CSE4098C_Spring26_Presentation!Z65/50)*25,2)</f>
        <v>6.85</v>
      </c>
      <c r="F65" s="6" t="e">
        <f>ROUND((CSE4098C_Summer2026_Poster!AA65/50)*20,2)</f>
        <v>#DIV/0!</v>
      </c>
      <c r="G65" s="6"/>
      <c r="H65" s="6"/>
      <c r="I65" s="10" t="e">
        <f t="shared" si="0"/>
        <v>#DIV/0!</v>
      </c>
      <c r="J65" s="11" t="e">
        <f t="shared" si="1"/>
        <v>#DIV/0!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8" customHeight="1" thickBot="1">
      <c r="A66" s="6">
        <f t="shared" si="2"/>
        <v>62</v>
      </c>
      <c r="B66" s="222">
        <v>231014064</v>
      </c>
      <c r="C66" s="222" t="s">
        <v>264</v>
      </c>
      <c r="D66" s="8" t="e">
        <f>CSE4098C_Summer2026_Report!AA66</f>
        <v>#DIV/0!</v>
      </c>
      <c r="E66" s="9">
        <f>ROUND((CSE4098C_Spring26_Presentation!Z66/50)*25,2)</f>
        <v>6.45</v>
      </c>
      <c r="F66" s="6" t="e">
        <f>ROUND((CSE4098C_Summer2026_Poster!AA66/50)*20,2)</f>
        <v>#DIV/0!</v>
      </c>
      <c r="G66" s="6"/>
      <c r="H66" s="6"/>
      <c r="I66" s="10" t="e">
        <f t="shared" si="0"/>
        <v>#DIV/0!</v>
      </c>
      <c r="J66" s="11" t="e">
        <f t="shared" si="1"/>
        <v>#DIV/0!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customHeight="1" thickBot="1">
      <c r="A67" s="6">
        <f t="shared" si="2"/>
        <v>63</v>
      </c>
      <c r="B67" s="222">
        <v>231014050</v>
      </c>
      <c r="C67" s="222" t="s">
        <v>265</v>
      </c>
      <c r="D67" s="8" t="e">
        <f>CSE4098C_Summer2026_Report!AA67</f>
        <v>#DIV/0!</v>
      </c>
      <c r="E67" s="9">
        <f>ROUND((CSE4098C_Spring26_Presentation!Z67/50)*25,2)</f>
        <v>6.14</v>
      </c>
      <c r="F67" s="6" t="e">
        <f>ROUND((CSE4098C_Summer2026_Poster!AA67/50)*20,2)</f>
        <v>#DIV/0!</v>
      </c>
      <c r="G67" s="6"/>
      <c r="H67" s="6"/>
      <c r="I67" s="10" t="e">
        <f t="shared" si="0"/>
        <v>#DIV/0!</v>
      </c>
      <c r="J67" s="11" t="e">
        <f t="shared" si="1"/>
        <v>#DIV/0!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customHeight="1" thickBot="1">
      <c r="A68" s="6">
        <f t="shared" si="2"/>
        <v>64</v>
      </c>
      <c r="B68" s="222">
        <v>231014160</v>
      </c>
      <c r="C68" s="222" t="s">
        <v>266</v>
      </c>
      <c r="D68" s="8" t="e">
        <f>CSE4098C_Summer2026_Report!AA68</f>
        <v>#DIV/0!</v>
      </c>
      <c r="E68" s="9">
        <f>ROUND((CSE4098C_Spring26_Presentation!Z68/50)*25,2)</f>
        <v>5.87</v>
      </c>
      <c r="F68" s="6" t="e">
        <f>ROUND((CSE4098C_Summer2026_Poster!AA68/50)*20,2)</f>
        <v>#DIV/0!</v>
      </c>
      <c r="G68" s="6"/>
      <c r="H68" s="6"/>
      <c r="I68" s="10" t="e">
        <f t="shared" si="0"/>
        <v>#DIV/0!</v>
      </c>
      <c r="J68" s="11" t="e">
        <f t="shared" si="1"/>
        <v>#DIV/0!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7.25" customHeight="1" thickBot="1">
      <c r="A69" s="6">
        <f t="shared" si="2"/>
        <v>65</v>
      </c>
      <c r="B69" s="222">
        <v>231014116</v>
      </c>
      <c r="C69" s="222" t="s">
        <v>267</v>
      </c>
      <c r="D69" s="8" t="e">
        <f>CSE4098C_Summer2026_Report!AA69</f>
        <v>#DIV/0!</v>
      </c>
      <c r="E69" s="9">
        <f>ROUND((CSE4098C_Spring26_Presentation!Z69/50)*25,2)</f>
        <v>6.58</v>
      </c>
      <c r="F69" s="6" t="e">
        <f>ROUND((CSE4098C_Summer2026_Poster!AA69/50)*20,2)</f>
        <v>#DIV/0!</v>
      </c>
      <c r="G69" s="6"/>
      <c r="H69" s="6"/>
      <c r="I69" s="10" t="e">
        <f t="shared" si="0"/>
        <v>#DIV/0!</v>
      </c>
      <c r="J69" s="11" t="e">
        <f t="shared" si="1"/>
        <v>#DIV/0!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>
      <c r="A70" s="13"/>
      <c r="C70" s="14"/>
      <c r="D70" s="14"/>
      <c r="E70" s="14"/>
      <c r="F70" s="14"/>
      <c r="G70" s="14"/>
      <c r="H70" s="14"/>
      <c r="I70" s="1"/>
      <c r="J70" s="1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>
      <c r="A71" s="13"/>
      <c r="B71" s="16"/>
      <c r="C71" s="14"/>
      <c r="D71" s="14"/>
      <c r="E71" s="14"/>
      <c r="F71" s="14"/>
      <c r="G71" s="14"/>
      <c r="H71" s="14"/>
      <c r="I71" s="1"/>
      <c r="J71" s="1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>
      <c r="A72" s="13"/>
      <c r="B72" s="16"/>
      <c r="C72" s="14"/>
      <c r="D72" s="14"/>
      <c r="E72" s="14"/>
      <c r="F72" s="14"/>
      <c r="G72" s="14"/>
      <c r="H72" s="14"/>
      <c r="I72" s="261" t="s">
        <v>12</v>
      </c>
      <c r="J72" s="26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>
      <c r="A73" s="13"/>
      <c r="B73" s="16"/>
      <c r="C73" s="14"/>
      <c r="D73" s="14"/>
      <c r="E73" s="14"/>
      <c r="F73" s="14"/>
      <c r="G73" s="14"/>
      <c r="H73" s="14"/>
      <c r="I73" s="17" t="s">
        <v>13</v>
      </c>
      <c r="J73" s="18">
        <f>COUNTIF(J$5:J$69, "A+")</f>
        <v>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>
      <c r="A74" s="13"/>
      <c r="B74" s="16"/>
      <c r="C74" s="14"/>
      <c r="D74" s="14"/>
      <c r="E74" s="14"/>
      <c r="F74" s="14"/>
      <c r="G74" s="14"/>
      <c r="H74" s="14"/>
      <c r="I74" s="17" t="s">
        <v>14</v>
      </c>
      <c r="J74" s="18">
        <f>COUNTIF(J$5:J$69, "A")</f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>
      <c r="A75" s="13"/>
      <c r="B75" s="16"/>
      <c r="C75" s="14"/>
      <c r="D75" s="14"/>
      <c r="E75" s="14"/>
      <c r="F75" s="14"/>
      <c r="G75" s="14"/>
      <c r="H75" s="14"/>
      <c r="I75" s="17" t="s">
        <v>15</v>
      </c>
      <c r="J75" s="18">
        <f>COUNTIF(J$5:J$69, "A-")</f>
        <v>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>
      <c r="A76" s="13"/>
      <c r="B76" s="16"/>
      <c r="C76" s="14"/>
      <c r="D76" s="14"/>
      <c r="E76" s="14"/>
      <c r="F76" s="14"/>
      <c r="G76" s="14"/>
      <c r="H76" s="14"/>
      <c r="I76" s="17" t="s">
        <v>16</v>
      </c>
      <c r="J76" s="18">
        <f>COUNTIF(J$5:J$69, "B+")</f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>
      <c r="A77" s="13"/>
      <c r="B77" s="14"/>
      <c r="C77" s="14"/>
      <c r="D77" s="14"/>
      <c r="E77" s="13"/>
      <c r="F77" s="13"/>
      <c r="G77" s="13"/>
      <c r="H77" s="13"/>
      <c r="I77" s="17" t="s">
        <v>17</v>
      </c>
      <c r="J77" s="18">
        <f>COUNTIF(J$5:J$69, "B")</f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>
      <c r="A78" s="13"/>
      <c r="B78" s="14"/>
      <c r="C78" s="14"/>
      <c r="D78" s="14"/>
      <c r="E78" s="13"/>
      <c r="F78" s="13"/>
      <c r="G78" s="13"/>
      <c r="H78" s="13"/>
      <c r="I78" s="17" t="s">
        <v>18</v>
      </c>
      <c r="J78" s="18">
        <f>COUNTIF(J$5:J$69, "B-")</f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>
      <c r="A79" s="13"/>
      <c r="B79" s="14"/>
      <c r="C79" s="14"/>
      <c r="D79" s="14"/>
      <c r="E79" s="13"/>
      <c r="F79" s="13"/>
      <c r="G79" s="13"/>
      <c r="H79" s="13"/>
      <c r="I79" s="17" t="s">
        <v>19</v>
      </c>
      <c r="J79" s="18">
        <f>COUNTIF(J$5:J$69, "C+")</f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>
      <c r="A80" s="13"/>
      <c r="B80" s="14"/>
      <c r="C80" s="14"/>
      <c r="D80" s="14"/>
      <c r="E80" s="13"/>
      <c r="F80" s="13"/>
      <c r="G80" s="13"/>
      <c r="H80" s="13"/>
      <c r="I80" s="17" t="s">
        <v>20</v>
      </c>
      <c r="J80" s="18">
        <f>COUNTIF(J$5:J$69, "C")</f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>
      <c r="A81" s="13"/>
      <c r="B81" s="14"/>
      <c r="C81" s="14"/>
      <c r="D81" s="14"/>
      <c r="E81" s="13"/>
      <c r="F81" s="13"/>
      <c r="G81" s="13"/>
      <c r="H81" s="13"/>
      <c r="I81" s="17" t="s">
        <v>21</v>
      </c>
      <c r="J81" s="18">
        <f>COUNTIF(J$5:J$69, "D")</f>
        <v>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>
      <c r="A82" s="13"/>
      <c r="B82" s="14"/>
      <c r="C82" s="14"/>
      <c r="D82" s="14"/>
      <c r="E82" s="13"/>
      <c r="F82" s="13"/>
      <c r="G82" s="13"/>
      <c r="H82" s="13"/>
      <c r="I82" s="17" t="s">
        <v>22</v>
      </c>
      <c r="J82" s="18">
        <f>COUNTIF(J$5:J$69, "F")</f>
        <v>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3"/>
      <c r="B83" s="14"/>
      <c r="C83" s="14"/>
      <c r="D83" s="14"/>
      <c r="E83" s="13"/>
      <c r="F83" s="13"/>
      <c r="G83" s="13"/>
      <c r="H83" s="13"/>
      <c r="I83" s="19" t="s">
        <v>23</v>
      </c>
      <c r="J83" s="19">
        <f>SUM(J73:J82)</f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3"/>
      <c r="B84" s="14"/>
      <c r="C84" s="14"/>
      <c r="D84" s="14"/>
      <c r="E84" s="13"/>
      <c r="F84" s="13"/>
      <c r="G84" s="13"/>
      <c r="H84" s="13"/>
      <c r="I84" s="1"/>
      <c r="J84" s="1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3"/>
      <c r="B85" s="14"/>
      <c r="C85" s="14"/>
      <c r="D85" s="14"/>
      <c r="E85" s="13"/>
      <c r="F85" s="13"/>
      <c r="G85" s="13"/>
      <c r="H85" s="13"/>
      <c r="I85" s="1"/>
      <c r="J85" s="1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3"/>
      <c r="B86" s="14"/>
      <c r="C86" s="14"/>
      <c r="D86" s="14"/>
      <c r="E86" s="13"/>
      <c r="F86" s="13"/>
      <c r="G86" s="13"/>
      <c r="H86" s="13"/>
      <c r="I86" s="1"/>
      <c r="J86" s="1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3"/>
      <c r="B87" s="14"/>
      <c r="C87" s="14"/>
      <c r="D87" s="14"/>
      <c r="E87" s="13"/>
      <c r="F87" s="13"/>
      <c r="G87" s="13"/>
      <c r="H87" s="13"/>
      <c r="I87" s="1"/>
      <c r="J87" s="1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3"/>
      <c r="B88" s="14"/>
      <c r="C88" s="14"/>
      <c r="D88" s="14"/>
      <c r="E88" s="13"/>
      <c r="F88" s="13"/>
      <c r="G88" s="13"/>
      <c r="H88" s="13"/>
      <c r="I88" s="1"/>
      <c r="J88" s="1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3"/>
      <c r="B89" s="14"/>
      <c r="C89" s="14"/>
      <c r="D89" s="14"/>
      <c r="E89" s="13"/>
      <c r="F89" s="13"/>
      <c r="G89" s="13"/>
      <c r="H89" s="13"/>
      <c r="I89" s="1"/>
      <c r="J89" s="1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3"/>
      <c r="B90" s="14"/>
      <c r="C90" s="14"/>
      <c r="D90" s="14"/>
      <c r="E90" s="13"/>
      <c r="F90" s="13"/>
      <c r="G90" s="13"/>
      <c r="H90" s="13"/>
      <c r="I90" s="1"/>
      <c r="J90" s="1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3"/>
      <c r="B91" s="14"/>
      <c r="C91" s="14"/>
      <c r="D91" s="14"/>
      <c r="E91" s="13"/>
      <c r="F91" s="13"/>
      <c r="G91" s="13"/>
      <c r="H91" s="13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3"/>
      <c r="B92" s="14"/>
      <c r="C92" s="14"/>
      <c r="D92" s="14"/>
      <c r="E92" s="13"/>
      <c r="F92" s="13"/>
      <c r="G92" s="13"/>
      <c r="H92" s="13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3"/>
      <c r="B93" s="14"/>
      <c r="C93" s="14"/>
      <c r="D93" s="14"/>
      <c r="E93" s="13"/>
      <c r="F93" s="13"/>
      <c r="G93" s="13"/>
      <c r="H93" s="13"/>
      <c r="I93" s="1"/>
      <c r="J93" s="1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3"/>
      <c r="B94" s="14"/>
      <c r="C94" s="14"/>
      <c r="D94" s="14"/>
      <c r="E94" s="13"/>
      <c r="F94" s="13"/>
      <c r="G94" s="13"/>
      <c r="H94" s="13"/>
      <c r="I94" s="1"/>
      <c r="J94" s="1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3"/>
      <c r="B95" s="14"/>
      <c r="C95" s="263" t="s">
        <v>24</v>
      </c>
      <c r="D95" s="235"/>
      <c r="E95" s="13"/>
      <c r="F95" s="13"/>
      <c r="G95" s="13"/>
      <c r="H95" s="13"/>
      <c r="I95" s="13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3"/>
      <c r="B96" s="14"/>
      <c r="C96" s="256" t="s">
        <v>25</v>
      </c>
      <c r="D96" s="257"/>
      <c r="E96" s="13"/>
      <c r="F96" s="13"/>
      <c r="G96" s="13"/>
      <c r="H96" s="13"/>
      <c r="I96" s="13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3"/>
      <c r="B97" s="14"/>
      <c r="C97" s="256" t="s">
        <v>26</v>
      </c>
      <c r="D97" s="257"/>
      <c r="E97" s="13"/>
      <c r="F97" s="13"/>
      <c r="G97" s="13"/>
      <c r="H97" s="13"/>
      <c r="I97" s="13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3"/>
      <c r="B98" s="14"/>
      <c r="C98" s="14"/>
      <c r="D98" s="14"/>
      <c r="E98" s="13"/>
      <c r="F98" s="13"/>
      <c r="G98" s="13"/>
      <c r="H98" s="13"/>
      <c r="I98" s="13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3"/>
      <c r="B99" s="14"/>
      <c r="C99" s="14"/>
      <c r="D99" s="14"/>
      <c r="E99" s="13"/>
      <c r="F99" s="13"/>
      <c r="G99" s="13"/>
      <c r="H99" s="13"/>
      <c r="I99" s="13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4"/>
      <c r="C100" s="14"/>
      <c r="D100" s="1"/>
      <c r="E100" s="1"/>
      <c r="F100" s="1"/>
      <c r="G100" s="1"/>
      <c r="H100" s="1"/>
      <c r="I100" s="1"/>
      <c r="J100" s="1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4"/>
      <c r="C101" s="14"/>
      <c r="D101" s="1"/>
      <c r="E101" s="1"/>
      <c r="F101" s="1"/>
      <c r="G101" s="1"/>
      <c r="H101" s="1"/>
      <c r="I101" s="1"/>
      <c r="J101" s="1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4"/>
      <c r="C102" s="14"/>
      <c r="D102" s="1"/>
      <c r="E102" s="1"/>
      <c r="F102" s="1"/>
      <c r="G102" s="1"/>
      <c r="H102" s="1"/>
      <c r="I102" s="1"/>
      <c r="J102" s="1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4"/>
      <c r="C103" s="14"/>
      <c r="D103" s="1"/>
      <c r="E103" s="1"/>
      <c r="F103" s="1"/>
      <c r="G103" s="1"/>
      <c r="H103" s="1"/>
      <c r="I103" s="1"/>
      <c r="J103" s="1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4"/>
      <c r="C104" s="14"/>
      <c r="D104" s="1"/>
      <c r="E104" s="1"/>
      <c r="F104" s="1"/>
      <c r="G104" s="1"/>
      <c r="H104" s="1"/>
      <c r="I104" s="1"/>
      <c r="J104" s="1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4"/>
      <c r="C105" s="14"/>
      <c r="D105" s="1"/>
      <c r="E105" s="1"/>
      <c r="F105" s="1"/>
      <c r="G105" s="1"/>
      <c r="H105" s="1"/>
      <c r="I105" s="1"/>
      <c r="J105" s="1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4"/>
      <c r="C106" s="14"/>
      <c r="D106" s="1"/>
      <c r="E106" s="1"/>
      <c r="F106" s="1"/>
      <c r="G106" s="1"/>
      <c r="H106" s="1"/>
      <c r="I106" s="1"/>
      <c r="J106" s="1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4"/>
      <c r="C107" s="14"/>
      <c r="D107" s="1"/>
      <c r="E107" s="1"/>
      <c r="F107" s="1"/>
      <c r="G107" s="1"/>
      <c r="H107" s="1"/>
      <c r="I107" s="1"/>
      <c r="J107" s="1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4"/>
      <c r="C108" s="14"/>
      <c r="D108" s="1"/>
      <c r="E108" s="1"/>
      <c r="F108" s="1"/>
      <c r="G108" s="1"/>
      <c r="H108" s="1"/>
      <c r="I108" s="1"/>
      <c r="J108" s="1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4"/>
      <c r="C109" s="14"/>
      <c r="D109" s="1"/>
      <c r="E109" s="1"/>
      <c r="F109" s="1"/>
      <c r="G109" s="1"/>
      <c r="H109" s="1"/>
      <c r="I109" s="1"/>
      <c r="J109" s="1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4"/>
      <c r="C110" s="14"/>
      <c r="D110" s="1"/>
      <c r="E110" s="1"/>
      <c r="F110" s="1"/>
      <c r="G110" s="1"/>
      <c r="H110" s="1"/>
      <c r="I110" s="1"/>
      <c r="J110" s="1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4"/>
      <c r="C111" s="14"/>
      <c r="D111" s="1"/>
      <c r="E111" s="1"/>
      <c r="F111" s="1"/>
      <c r="G111" s="1"/>
      <c r="H111" s="1"/>
      <c r="I111" s="1"/>
      <c r="J111" s="1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4"/>
      <c r="C112" s="14"/>
      <c r="D112" s="1"/>
      <c r="E112" s="1"/>
      <c r="F112" s="1"/>
      <c r="G112" s="1"/>
      <c r="H112" s="1"/>
      <c r="I112" s="1"/>
      <c r="J112" s="1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4"/>
      <c r="C113" s="14"/>
      <c r="D113" s="1"/>
      <c r="E113" s="1"/>
      <c r="F113" s="1"/>
      <c r="G113" s="1"/>
      <c r="H113" s="1"/>
      <c r="I113" s="1"/>
      <c r="J113" s="1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4"/>
      <c r="C114" s="14"/>
      <c r="D114" s="1"/>
      <c r="E114" s="1"/>
      <c r="F114" s="1"/>
      <c r="G114" s="1"/>
      <c r="H114" s="1"/>
      <c r="I114" s="1"/>
      <c r="J114" s="1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4"/>
      <c r="C115" s="14"/>
      <c r="D115" s="1"/>
      <c r="E115" s="1"/>
      <c r="F115" s="1"/>
      <c r="G115" s="1"/>
      <c r="H115" s="1"/>
      <c r="I115" s="1"/>
      <c r="J115" s="1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4"/>
      <c r="C116" s="14"/>
      <c r="D116" s="1"/>
      <c r="E116" s="1"/>
      <c r="F116" s="1"/>
      <c r="G116" s="1"/>
      <c r="H116" s="1"/>
      <c r="I116" s="1"/>
      <c r="J116" s="1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4"/>
      <c r="C117" s="14"/>
      <c r="D117" s="1"/>
      <c r="E117" s="1"/>
      <c r="F117" s="1"/>
      <c r="G117" s="1"/>
      <c r="H117" s="1"/>
      <c r="I117" s="1"/>
      <c r="J117" s="1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4"/>
      <c r="C118" s="14"/>
      <c r="D118" s="1"/>
      <c r="E118" s="1"/>
      <c r="F118" s="1"/>
      <c r="G118" s="1"/>
      <c r="H118" s="1"/>
      <c r="I118" s="1"/>
      <c r="J118" s="1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4"/>
      <c r="C119" s="14"/>
      <c r="D119" s="1"/>
      <c r="E119" s="1"/>
      <c r="F119" s="1"/>
      <c r="G119" s="1"/>
      <c r="H119" s="1"/>
      <c r="I119" s="1"/>
      <c r="J119" s="1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4"/>
      <c r="C120" s="14"/>
      <c r="D120" s="1"/>
      <c r="E120" s="1"/>
      <c r="F120" s="1"/>
      <c r="G120" s="1"/>
      <c r="H120" s="1"/>
      <c r="I120" s="1"/>
      <c r="J120" s="1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4"/>
      <c r="C121" s="14"/>
      <c r="D121" s="1"/>
      <c r="E121" s="1"/>
      <c r="F121" s="1"/>
      <c r="G121" s="1"/>
      <c r="H121" s="1"/>
      <c r="I121" s="1"/>
      <c r="J121" s="1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4"/>
      <c r="C122" s="14"/>
      <c r="D122" s="1"/>
      <c r="E122" s="1"/>
      <c r="F122" s="1"/>
      <c r="G122" s="1"/>
      <c r="H122" s="1"/>
      <c r="I122" s="1"/>
      <c r="J122" s="1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4"/>
      <c r="C123" s="14"/>
      <c r="D123" s="1"/>
      <c r="E123" s="1"/>
      <c r="F123" s="1"/>
      <c r="G123" s="1"/>
      <c r="H123" s="1"/>
      <c r="I123" s="1"/>
      <c r="J123" s="1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4"/>
      <c r="C124" s="14"/>
      <c r="D124" s="1"/>
      <c r="E124" s="1"/>
      <c r="F124" s="1"/>
      <c r="G124" s="1"/>
      <c r="H124" s="1"/>
      <c r="I124" s="1"/>
      <c r="J124" s="1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4"/>
      <c r="C125" s="14"/>
      <c r="D125" s="1"/>
      <c r="E125" s="1"/>
      <c r="F125" s="1"/>
      <c r="G125" s="1"/>
      <c r="H125" s="1"/>
      <c r="I125" s="1"/>
      <c r="J125" s="1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4"/>
      <c r="C126" s="14"/>
      <c r="D126" s="1"/>
      <c r="E126" s="1"/>
      <c r="F126" s="1"/>
      <c r="G126" s="1"/>
      <c r="H126" s="1"/>
      <c r="I126" s="1"/>
      <c r="J126" s="1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4"/>
      <c r="C127" s="14"/>
      <c r="D127" s="1"/>
      <c r="E127" s="1"/>
      <c r="F127" s="1"/>
      <c r="G127" s="1"/>
      <c r="H127" s="1"/>
      <c r="I127" s="1"/>
      <c r="J127" s="1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4"/>
      <c r="C128" s="14"/>
      <c r="D128" s="1"/>
      <c r="E128" s="1"/>
      <c r="F128" s="1"/>
      <c r="G128" s="1"/>
      <c r="H128" s="1"/>
      <c r="I128" s="1"/>
      <c r="J128" s="1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4"/>
      <c r="C129" s="14"/>
      <c r="D129" s="1"/>
      <c r="E129" s="1"/>
      <c r="F129" s="1"/>
      <c r="G129" s="1"/>
      <c r="H129" s="1"/>
      <c r="I129" s="1"/>
      <c r="J129" s="1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4"/>
      <c r="C130" s="14"/>
      <c r="D130" s="1"/>
      <c r="E130" s="1"/>
      <c r="F130" s="1"/>
      <c r="G130" s="1"/>
      <c r="H130" s="1"/>
      <c r="I130" s="1"/>
      <c r="J130" s="1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4"/>
      <c r="C131" s="14"/>
      <c r="D131" s="1"/>
      <c r="E131" s="1"/>
      <c r="F131" s="1"/>
      <c r="G131" s="1"/>
      <c r="H131" s="1"/>
      <c r="I131" s="1"/>
      <c r="J131" s="1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4"/>
      <c r="C132" s="14"/>
      <c r="D132" s="1"/>
      <c r="E132" s="1"/>
      <c r="F132" s="1"/>
      <c r="G132" s="1"/>
      <c r="H132" s="1"/>
      <c r="I132" s="1"/>
      <c r="J132" s="1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4"/>
      <c r="C133" s="14"/>
      <c r="D133" s="1"/>
      <c r="E133" s="1"/>
      <c r="F133" s="1"/>
      <c r="G133" s="1"/>
      <c r="H133" s="1"/>
      <c r="I133" s="1"/>
      <c r="J133" s="1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4"/>
      <c r="C134" s="14"/>
      <c r="D134" s="1"/>
      <c r="E134" s="1"/>
      <c r="F134" s="1"/>
      <c r="G134" s="1"/>
      <c r="H134" s="1"/>
      <c r="I134" s="1"/>
      <c r="J134" s="1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4"/>
      <c r="C135" s="14"/>
      <c r="D135" s="1"/>
      <c r="E135" s="1"/>
      <c r="F135" s="1"/>
      <c r="G135" s="1"/>
      <c r="H135" s="1"/>
      <c r="I135" s="1"/>
      <c r="J135" s="1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4"/>
      <c r="C136" s="14"/>
      <c r="D136" s="1"/>
      <c r="E136" s="1"/>
      <c r="F136" s="1"/>
      <c r="G136" s="1"/>
      <c r="H136" s="1"/>
      <c r="I136" s="1"/>
      <c r="J136" s="1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4"/>
      <c r="C137" s="14"/>
      <c r="D137" s="1"/>
      <c r="E137" s="1"/>
      <c r="F137" s="1"/>
      <c r="G137" s="1"/>
      <c r="H137" s="1"/>
      <c r="I137" s="1"/>
      <c r="J137" s="1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4"/>
      <c r="C138" s="14"/>
      <c r="D138" s="1"/>
      <c r="E138" s="1"/>
      <c r="F138" s="1"/>
      <c r="G138" s="1"/>
      <c r="H138" s="1"/>
      <c r="I138" s="1"/>
      <c r="J138" s="1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4"/>
      <c r="C139" s="14"/>
      <c r="D139" s="1"/>
      <c r="E139" s="1"/>
      <c r="F139" s="1"/>
      <c r="G139" s="1"/>
      <c r="H139" s="1"/>
      <c r="I139" s="1"/>
      <c r="J139" s="1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4"/>
      <c r="C140" s="14"/>
      <c r="D140" s="1"/>
      <c r="E140" s="1"/>
      <c r="F140" s="1"/>
      <c r="G140" s="1"/>
      <c r="H140" s="1"/>
      <c r="I140" s="1"/>
      <c r="J140" s="1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4"/>
      <c r="C141" s="14"/>
      <c r="D141" s="1"/>
      <c r="E141" s="1"/>
      <c r="F141" s="1"/>
      <c r="G141" s="1"/>
      <c r="H141" s="1"/>
      <c r="I141" s="1"/>
      <c r="J141" s="1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4"/>
      <c r="C142" s="14"/>
      <c r="D142" s="1"/>
      <c r="E142" s="1"/>
      <c r="F142" s="1"/>
      <c r="G142" s="1"/>
      <c r="H142" s="1"/>
      <c r="I142" s="1"/>
      <c r="J142" s="1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4"/>
      <c r="C143" s="14"/>
      <c r="D143" s="1"/>
      <c r="E143" s="1"/>
      <c r="F143" s="1"/>
      <c r="G143" s="1"/>
      <c r="H143" s="1"/>
      <c r="I143" s="1"/>
      <c r="J143" s="1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4"/>
      <c r="C144" s="14"/>
      <c r="D144" s="1"/>
      <c r="E144" s="1"/>
      <c r="F144" s="1"/>
      <c r="G144" s="1"/>
      <c r="H144" s="1"/>
      <c r="I144" s="1"/>
      <c r="J144" s="1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4"/>
      <c r="C145" s="14"/>
      <c r="D145" s="1"/>
      <c r="E145" s="1"/>
      <c r="F145" s="1"/>
      <c r="G145" s="1"/>
      <c r="H145" s="1"/>
      <c r="I145" s="1"/>
      <c r="J145" s="1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4"/>
      <c r="C146" s="14"/>
      <c r="D146" s="1"/>
      <c r="E146" s="1"/>
      <c r="F146" s="1"/>
      <c r="G146" s="1"/>
      <c r="H146" s="1"/>
      <c r="I146" s="1"/>
      <c r="J146" s="1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4"/>
      <c r="C147" s="14"/>
      <c r="D147" s="1"/>
      <c r="E147" s="1"/>
      <c r="F147" s="1"/>
      <c r="G147" s="1"/>
      <c r="H147" s="1"/>
      <c r="I147" s="1"/>
      <c r="J147" s="1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4"/>
      <c r="C148" s="14"/>
      <c r="D148" s="1"/>
      <c r="E148" s="1"/>
      <c r="F148" s="1"/>
      <c r="G148" s="1"/>
      <c r="H148" s="1"/>
      <c r="I148" s="1"/>
      <c r="J148" s="1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4"/>
      <c r="C149" s="14"/>
      <c r="D149" s="1"/>
      <c r="E149" s="1"/>
      <c r="F149" s="1"/>
      <c r="G149" s="1"/>
      <c r="H149" s="1"/>
      <c r="I149" s="1"/>
      <c r="J149" s="1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4"/>
      <c r="C150" s="14"/>
      <c r="D150" s="1"/>
      <c r="E150" s="1"/>
      <c r="F150" s="1"/>
      <c r="G150" s="1"/>
      <c r="H150" s="1"/>
      <c r="I150" s="1"/>
      <c r="J150" s="1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4"/>
      <c r="C151" s="14"/>
      <c r="D151" s="1"/>
      <c r="E151" s="1"/>
      <c r="F151" s="1"/>
      <c r="G151" s="1"/>
      <c r="H151" s="1"/>
      <c r="I151" s="1"/>
      <c r="J151" s="1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4"/>
      <c r="C152" s="14"/>
      <c r="D152" s="1"/>
      <c r="E152" s="1"/>
      <c r="F152" s="1"/>
      <c r="G152" s="1"/>
      <c r="H152" s="1"/>
      <c r="I152" s="1"/>
      <c r="J152" s="1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4"/>
      <c r="C153" s="14"/>
      <c r="D153" s="1"/>
      <c r="E153" s="1"/>
      <c r="F153" s="1"/>
      <c r="G153" s="1"/>
      <c r="H153" s="1"/>
      <c r="I153" s="1"/>
      <c r="J153" s="1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4"/>
      <c r="C154" s="14"/>
      <c r="D154" s="1"/>
      <c r="E154" s="1"/>
      <c r="F154" s="1"/>
      <c r="G154" s="1"/>
      <c r="H154" s="1"/>
      <c r="I154" s="1"/>
      <c r="J154" s="1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4"/>
      <c r="C155" s="14"/>
      <c r="D155" s="1"/>
      <c r="E155" s="1"/>
      <c r="F155" s="1"/>
      <c r="G155" s="1"/>
      <c r="H155" s="1"/>
      <c r="I155" s="1"/>
      <c r="J155" s="1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4"/>
      <c r="C156" s="14"/>
      <c r="D156" s="1"/>
      <c r="E156" s="1"/>
      <c r="F156" s="1"/>
      <c r="G156" s="1"/>
      <c r="H156" s="1"/>
      <c r="I156" s="1"/>
      <c r="J156" s="1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4"/>
      <c r="C157" s="14"/>
      <c r="D157" s="1"/>
      <c r="E157" s="1"/>
      <c r="F157" s="1"/>
      <c r="G157" s="1"/>
      <c r="H157" s="1"/>
      <c r="I157" s="1"/>
      <c r="J157" s="1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4"/>
      <c r="C158" s="14"/>
      <c r="D158" s="1"/>
      <c r="E158" s="1"/>
      <c r="F158" s="1"/>
      <c r="G158" s="1"/>
      <c r="H158" s="1"/>
      <c r="I158" s="1"/>
      <c r="J158" s="1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4"/>
      <c r="C159" s="14"/>
      <c r="D159" s="1"/>
      <c r="E159" s="1"/>
      <c r="F159" s="1"/>
      <c r="G159" s="1"/>
      <c r="H159" s="1"/>
      <c r="I159" s="1"/>
      <c r="J159" s="1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4"/>
      <c r="C160" s="14"/>
      <c r="D160" s="1"/>
      <c r="E160" s="1"/>
      <c r="F160" s="1"/>
      <c r="G160" s="1"/>
      <c r="H160" s="1"/>
      <c r="I160" s="1"/>
      <c r="J160" s="1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4"/>
      <c r="C161" s="14"/>
      <c r="D161" s="1"/>
      <c r="E161" s="1"/>
      <c r="F161" s="1"/>
      <c r="G161" s="1"/>
      <c r="H161" s="1"/>
      <c r="I161" s="1"/>
      <c r="J161" s="1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4"/>
      <c r="C162" s="14"/>
      <c r="D162" s="1"/>
      <c r="E162" s="1"/>
      <c r="F162" s="1"/>
      <c r="G162" s="1"/>
      <c r="H162" s="1"/>
      <c r="I162" s="1"/>
      <c r="J162" s="1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4"/>
      <c r="C163" s="14"/>
      <c r="D163" s="1"/>
      <c r="E163" s="1"/>
      <c r="F163" s="1"/>
      <c r="G163" s="1"/>
      <c r="H163" s="1"/>
      <c r="I163" s="1"/>
      <c r="J163" s="1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4"/>
      <c r="C164" s="14"/>
      <c r="D164" s="1"/>
      <c r="E164" s="1"/>
      <c r="F164" s="1"/>
      <c r="G164" s="1"/>
      <c r="H164" s="1"/>
      <c r="I164" s="1"/>
      <c r="J164" s="1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4"/>
      <c r="C165" s="14"/>
      <c r="D165" s="1"/>
      <c r="E165" s="1"/>
      <c r="F165" s="1"/>
      <c r="G165" s="1"/>
      <c r="H165" s="1"/>
      <c r="I165" s="1"/>
      <c r="J165" s="1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4"/>
      <c r="C166" s="14"/>
      <c r="D166" s="1"/>
      <c r="E166" s="1"/>
      <c r="F166" s="1"/>
      <c r="G166" s="1"/>
      <c r="H166" s="1"/>
      <c r="I166" s="1"/>
      <c r="J166" s="1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4"/>
      <c r="C167" s="14"/>
      <c r="D167" s="1"/>
      <c r="E167" s="1"/>
      <c r="F167" s="1"/>
      <c r="G167" s="1"/>
      <c r="H167" s="1"/>
      <c r="I167" s="1"/>
      <c r="J167" s="1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4"/>
      <c r="C168" s="14"/>
      <c r="D168" s="1"/>
      <c r="E168" s="1"/>
      <c r="F168" s="1"/>
      <c r="G168" s="1"/>
      <c r="H168" s="1"/>
      <c r="I168" s="1"/>
      <c r="J168" s="1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4"/>
      <c r="C169" s="14"/>
      <c r="D169" s="1"/>
      <c r="E169" s="1"/>
      <c r="F169" s="1"/>
      <c r="G169" s="1"/>
      <c r="H169" s="1"/>
      <c r="I169" s="1"/>
      <c r="J169" s="1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4"/>
      <c r="C170" s="14"/>
      <c r="D170" s="1"/>
      <c r="E170" s="1"/>
      <c r="F170" s="1"/>
      <c r="G170" s="1"/>
      <c r="H170" s="1"/>
      <c r="I170" s="1"/>
      <c r="J170" s="1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4"/>
      <c r="C171" s="14"/>
      <c r="D171" s="1"/>
      <c r="E171" s="1"/>
      <c r="F171" s="1"/>
      <c r="G171" s="1"/>
      <c r="H171" s="1"/>
      <c r="I171" s="1"/>
      <c r="J171" s="1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4"/>
      <c r="C172" s="14"/>
      <c r="D172" s="1"/>
      <c r="E172" s="1"/>
      <c r="F172" s="1"/>
      <c r="G172" s="1"/>
      <c r="H172" s="1"/>
      <c r="I172" s="1"/>
      <c r="J172" s="1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4"/>
      <c r="C173" s="14"/>
      <c r="D173" s="1"/>
      <c r="E173" s="1"/>
      <c r="F173" s="1"/>
      <c r="G173" s="1"/>
      <c r="H173" s="1"/>
      <c r="I173" s="1"/>
      <c r="J173" s="1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4"/>
      <c r="C174" s="14"/>
      <c r="D174" s="1"/>
      <c r="E174" s="1"/>
      <c r="F174" s="1"/>
      <c r="G174" s="1"/>
      <c r="H174" s="1"/>
      <c r="I174" s="1"/>
      <c r="J174" s="1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4"/>
      <c r="C175" s="14"/>
      <c r="D175" s="1"/>
      <c r="E175" s="1"/>
      <c r="F175" s="1"/>
      <c r="G175" s="1"/>
      <c r="H175" s="1"/>
      <c r="I175" s="1"/>
      <c r="J175" s="1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4"/>
      <c r="C176" s="14"/>
      <c r="D176" s="1"/>
      <c r="E176" s="1"/>
      <c r="F176" s="1"/>
      <c r="G176" s="1"/>
      <c r="H176" s="1"/>
      <c r="I176" s="1"/>
      <c r="J176" s="1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4"/>
      <c r="C177" s="14"/>
      <c r="D177" s="1"/>
      <c r="E177" s="1"/>
      <c r="F177" s="1"/>
      <c r="G177" s="1"/>
      <c r="H177" s="1"/>
      <c r="I177" s="1"/>
      <c r="J177" s="1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4"/>
      <c r="C178" s="14"/>
      <c r="D178" s="1"/>
      <c r="E178" s="1"/>
      <c r="F178" s="1"/>
      <c r="G178" s="1"/>
      <c r="H178" s="1"/>
      <c r="I178" s="1"/>
      <c r="J178" s="1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4"/>
      <c r="C179" s="14"/>
      <c r="D179" s="1"/>
      <c r="E179" s="1"/>
      <c r="F179" s="1"/>
      <c r="G179" s="1"/>
      <c r="H179" s="1"/>
      <c r="I179" s="1"/>
      <c r="J179" s="1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4"/>
      <c r="C180" s="14"/>
      <c r="D180" s="1"/>
      <c r="E180" s="1"/>
      <c r="F180" s="1"/>
      <c r="G180" s="1"/>
      <c r="H180" s="1"/>
      <c r="I180" s="1"/>
      <c r="J180" s="1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4"/>
      <c r="C181" s="14"/>
      <c r="D181" s="1"/>
      <c r="E181" s="1"/>
      <c r="F181" s="1"/>
      <c r="G181" s="1"/>
      <c r="H181" s="1"/>
      <c r="I181" s="1"/>
      <c r="J181" s="1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4"/>
      <c r="C182" s="14"/>
      <c r="D182" s="1"/>
      <c r="E182" s="1"/>
      <c r="F182" s="1"/>
      <c r="G182" s="1"/>
      <c r="H182" s="1"/>
      <c r="I182" s="1"/>
      <c r="J182" s="1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4"/>
      <c r="C183" s="14"/>
      <c r="D183" s="1"/>
      <c r="E183" s="1"/>
      <c r="F183" s="1"/>
      <c r="G183" s="1"/>
      <c r="H183" s="1"/>
      <c r="I183" s="1"/>
      <c r="J183" s="1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4"/>
      <c r="C184" s="14"/>
      <c r="D184" s="1"/>
      <c r="E184" s="1"/>
      <c r="F184" s="1"/>
      <c r="G184" s="1"/>
      <c r="H184" s="1"/>
      <c r="I184" s="1"/>
      <c r="J184" s="1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4"/>
      <c r="C185" s="14"/>
      <c r="D185" s="1"/>
      <c r="E185" s="1"/>
      <c r="F185" s="1"/>
      <c r="G185" s="1"/>
      <c r="H185" s="1"/>
      <c r="I185" s="1"/>
      <c r="J185" s="1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4"/>
      <c r="C186" s="14"/>
      <c r="D186" s="1"/>
      <c r="E186" s="1"/>
      <c r="F186" s="1"/>
      <c r="G186" s="1"/>
      <c r="H186" s="1"/>
      <c r="I186" s="1"/>
      <c r="J186" s="1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4"/>
      <c r="C187" s="14"/>
      <c r="D187" s="1"/>
      <c r="E187" s="1"/>
      <c r="F187" s="1"/>
      <c r="G187" s="1"/>
      <c r="H187" s="1"/>
      <c r="I187" s="1"/>
      <c r="J187" s="1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4"/>
      <c r="C188" s="14"/>
      <c r="D188" s="1"/>
      <c r="E188" s="1"/>
      <c r="F188" s="1"/>
      <c r="G188" s="1"/>
      <c r="H188" s="1"/>
      <c r="I188" s="1"/>
      <c r="J188" s="1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4"/>
      <c r="C189" s="14"/>
      <c r="D189" s="1"/>
      <c r="E189" s="1"/>
      <c r="F189" s="1"/>
      <c r="G189" s="1"/>
      <c r="H189" s="1"/>
      <c r="I189" s="1"/>
      <c r="J189" s="1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4"/>
      <c r="C190" s="14"/>
      <c r="D190" s="1"/>
      <c r="E190" s="1"/>
      <c r="F190" s="1"/>
      <c r="G190" s="1"/>
      <c r="H190" s="1"/>
      <c r="I190" s="1"/>
      <c r="J190" s="1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4"/>
      <c r="C191" s="14"/>
      <c r="D191" s="1"/>
      <c r="E191" s="1"/>
      <c r="F191" s="1"/>
      <c r="G191" s="1"/>
      <c r="H191" s="1"/>
      <c r="I191" s="1"/>
      <c r="J191" s="1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4"/>
      <c r="C192" s="14"/>
      <c r="D192" s="1"/>
      <c r="E192" s="1"/>
      <c r="F192" s="1"/>
      <c r="G192" s="1"/>
      <c r="H192" s="1"/>
      <c r="I192" s="1"/>
      <c r="J192" s="1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4"/>
      <c r="C193" s="14"/>
      <c r="D193" s="1"/>
      <c r="E193" s="1"/>
      <c r="F193" s="1"/>
      <c r="G193" s="1"/>
      <c r="H193" s="1"/>
      <c r="I193" s="1"/>
      <c r="J193" s="1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4"/>
      <c r="C194" s="14"/>
      <c r="D194" s="1"/>
      <c r="E194" s="1"/>
      <c r="F194" s="1"/>
      <c r="G194" s="1"/>
      <c r="H194" s="1"/>
      <c r="I194" s="1"/>
      <c r="J194" s="1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4"/>
      <c r="C195" s="14"/>
      <c r="D195" s="1"/>
      <c r="E195" s="1"/>
      <c r="F195" s="1"/>
      <c r="G195" s="1"/>
      <c r="H195" s="1"/>
      <c r="I195" s="1"/>
      <c r="J195" s="1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4"/>
      <c r="C196" s="14"/>
      <c r="D196" s="1"/>
      <c r="E196" s="1"/>
      <c r="F196" s="1"/>
      <c r="G196" s="1"/>
      <c r="H196" s="1"/>
      <c r="I196" s="1"/>
      <c r="J196" s="1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4"/>
      <c r="C197" s="14"/>
      <c r="D197" s="1"/>
      <c r="E197" s="1"/>
      <c r="F197" s="1"/>
      <c r="G197" s="1"/>
      <c r="H197" s="1"/>
      <c r="I197" s="1"/>
      <c r="J197" s="1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4"/>
      <c r="C198" s="14"/>
      <c r="D198" s="1"/>
      <c r="E198" s="1"/>
      <c r="F198" s="1"/>
      <c r="G198" s="1"/>
      <c r="H198" s="1"/>
      <c r="I198" s="1"/>
      <c r="J198" s="1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4"/>
      <c r="C199" s="14"/>
      <c r="D199" s="1"/>
      <c r="E199" s="1"/>
      <c r="F199" s="1"/>
      <c r="G199" s="1"/>
      <c r="H199" s="1"/>
      <c r="I199" s="1"/>
      <c r="J199" s="1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4"/>
      <c r="C200" s="14"/>
      <c r="D200" s="1"/>
      <c r="E200" s="1"/>
      <c r="F200" s="1"/>
      <c r="G200" s="1"/>
      <c r="H200" s="1"/>
      <c r="I200" s="1"/>
      <c r="J200" s="1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4"/>
      <c r="C201" s="14"/>
      <c r="D201" s="1"/>
      <c r="E201" s="1"/>
      <c r="F201" s="1"/>
      <c r="G201" s="1"/>
      <c r="H201" s="1"/>
      <c r="I201" s="1"/>
      <c r="J201" s="1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4"/>
      <c r="C202" s="14"/>
      <c r="D202" s="1"/>
      <c r="E202" s="1"/>
      <c r="F202" s="1"/>
      <c r="G202" s="1"/>
      <c r="H202" s="1"/>
      <c r="I202" s="1"/>
      <c r="J202" s="1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4"/>
      <c r="C203" s="14"/>
      <c r="D203" s="1"/>
      <c r="E203" s="1"/>
      <c r="F203" s="1"/>
      <c r="G203" s="1"/>
      <c r="H203" s="1"/>
      <c r="I203" s="1"/>
      <c r="J203" s="1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4"/>
      <c r="C204" s="14"/>
      <c r="D204" s="1"/>
      <c r="E204" s="1"/>
      <c r="F204" s="1"/>
      <c r="G204" s="1"/>
      <c r="H204" s="1"/>
      <c r="I204" s="1"/>
      <c r="J204" s="1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4"/>
      <c r="C205" s="14"/>
      <c r="D205" s="1"/>
      <c r="E205" s="1"/>
      <c r="F205" s="1"/>
      <c r="G205" s="1"/>
      <c r="H205" s="1"/>
      <c r="I205" s="1"/>
      <c r="J205" s="1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4"/>
      <c r="C206" s="14"/>
      <c r="D206" s="1"/>
      <c r="E206" s="1"/>
      <c r="F206" s="1"/>
      <c r="G206" s="1"/>
      <c r="H206" s="1"/>
      <c r="I206" s="1"/>
      <c r="J206" s="1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4"/>
      <c r="C207" s="14"/>
      <c r="D207" s="1"/>
      <c r="E207" s="1"/>
      <c r="F207" s="1"/>
      <c r="G207" s="1"/>
      <c r="H207" s="1"/>
      <c r="I207" s="1"/>
      <c r="J207" s="1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4"/>
      <c r="C208" s="14"/>
      <c r="D208" s="1"/>
      <c r="E208" s="1"/>
      <c r="F208" s="1"/>
      <c r="G208" s="1"/>
      <c r="H208" s="1"/>
      <c r="I208" s="1"/>
      <c r="J208" s="1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4"/>
      <c r="C209" s="14"/>
      <c r="D209" s="1"/>
      <c r="E209" s="1"/>
      <c r="F209" s="1"/>
      <c r="G209" s="1"/>
      <c r="H209" s="1"/>
      <c r="I209" s="1"/>
      <c r="J209" s="1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4"/>
      <c r="C210" s="14"/>
      <c r="D210" s="1"/>
      <c r="E210" s="1"/>
      <c r="F210" s="1"/>
      <c r="G210" s="1"/>
      <c r="H210" s="1"/>
      <c r="I210" s="1"/>
      <c r="J210" s="1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4"/>
      <c r="C211" s="14"/>
      <c r="D211" s="1"/>
      <c r="E211" s="1"/>
      <c r="F211" s="1"/>
      <c r="G211" s="1"/>
      <c r="H211" s="1"/>
      <c r="I211" s="1"/>
      <c r="J211" s="1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4"/>
      <c r="C212" s="14"/>
      <c r="D212" s="1"/>
      <c r="E212" s="1"/>
      <c r="F212" s="1"/>
      <c r="G212" s="1"/>
      <c r="H212" s="1"/>
      <c r="I212" s="1"/>
      <c r="J212" s="1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4"/>
      <c r="C213" s="14"/>
      <c r="D213" s="1"/>
      <c r="E213" s="1"/>
      <c r="F213" s="1"/>
      <c r="G213" s="1"/>
      <c r="H213" s="1"/>
      <c r="I213" s="1"/>
      <c r="J213" s="1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4"/>
      <c r="C214" s="14"/>
      <c r="D214" s="1"/>
      <c r="E214" s="1"/>
      <c r="F214" s="1"/>
      <c r="G214" s="1"/>
      <c r="H214" s="1"/>
      <c r="I214" s="1"/>
      <c r="J214" s="1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4"/>
      <c r="C215" s="14"/>
      <c r="D215" s="1"/>
      <c r="E215" s="1"/>
      <c r="F215" s="1"/>
      <c r="G215" s="1"/>
      <c r="H215" s="1"/>
      <c r="I215" s="1"/>
      <c r="J215" s="1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4"/>
      <c r="C216" s="14"/>
      <c r="D216" s="1"/>
      <c r="E216" s="1"/>
      <c r="F216" s="1"/>
      <c r="G216" s="1"/>
      <c r="H216" s="1"/>
      <c r="I216" s="1"/>
      <c r="J216" s="1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4"/>
      <c r="C217" s="14"/>
      <c r="D217" s="1"/>
      <c r="E217" s="1"/>
      <c r="F217" s="1"/>
      <c r="G217" s="1"/>
      <c r="H217" s="1"/>
      <c r="I217" s="1"/>
      <c r="J217" s="1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4"/>
      <c r="C218" s="14"/>
      <c r="D218" s="1"/>
      <c r="E218" s="1"/>
      <c r="F218" s="1"/>
      <c r="G218" s="1"/>
      <c r="H218" s="1"/>
      <c r="I218" s="1"/>
      <c r="J218" s="1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4"/>
      <c r="C219" s="14"/>
      <c r="D219" s="1"/>
      <c r="E219" s="1"/>
      <c r="F219" s="1"/>
      <c r="G219" s="1"/>
      <c r="H219" s="1"/>
      <c r="I219" s="1"/>
      <c r="J219" s="1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4"/>
      <c r="C220" s="14"/>
      <c r="D220" s="1"/>
      <c r="E220" s="1"/>
      <c r="F220" s="1"/>
      <c r="G220" s="1"/>
      <c r="H220" s="1"/>
      <c r="I220" s="1"/>
      <c r="J220" s="1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4"/>
      <c r="C221" s="14"/>
      <c r="D221" s="1"/>
      <c r="E221" s="1"/>
      <c r="F221" s="1"/>
      <c r="G221" s="1"/>
      <c r="H221" s="1"/>
      <c r="I221" s="1"/>
      <c r="J221" s="1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4"/>
      <c r="C222" s="14"/>
      <c r="D222" s="1"/>
      <c r="E222" s="1"/>
      <c r="F222" s="1"/>
      <c r="G222" s="1"/>
      <c r="H222" s="1"/>
      <c r="I222" s="1"/>
      <c r="J222" s="1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4"/>
      <c r="C223" s="14"/>
      <c r="D223" s="1"/>
      <c r="E223" s="1"/>
      <c r="F223" s="1"/>
      <c r="G223" s="1"/>
      <c r="H223" s="1"/>
      <c r="I223" s="1"/>
      <c r="J223" s="1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4"/>
      <c r="C224" s="14"/>
      <c r="D224" s="1"/>
      <c r="E224" s="1"/>
      <c r="F224" s="1"/>
      <c r="G224" s="1"/>
      <c r="H224" s="1"/>
      <c r="I224" s="1"/>
      <c r="J224" s="1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4"/>
      <c r="C225" s="14"/>
      <c r="D225" s="1"/>
      <c r="E225" s="1"/>
      <c r="F225" s="1"/>
      <c r="G225" s="1"/>
      <c r="H225" s="1"/>
      <c r="I225" s="1"/>
      <c r="J225" s="1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4"/>
      <c r="C226" s="14"/>
      <c r="D226" s="1"/>
      <c r="E226" s="1"/>
      <c r="F226" s="1"/>
      <c r="G226" s="1"/>
      <c r="H226" s="1"/>
      <c r="I226" s="1"/>
      <c r="J226" s="1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4"/>
      <c r="C227" s="14"/>
      <c r="D227" s="1"/>
      <c r="E227" s="1"/>
      <c r="F227" s="1"/>
      <c r="G227" s="1"/>
      <c r="H227" s="1"/>
      <c r="I227" s="1"/>
      <c r="J227" s="1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4"/>
      <c r="C228" s="14"/>
      <c r="D228" s="1"/>
      <c r="E228" s="1"/>
      <c r="F228" s="1"/>
      <c r="G228" s="1"/>
      <c r="H228" s="1"/>
      <c r="I228" s="1"/>
      <c r="J228" s="1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4"/>
      <c r="C229" s="14"/>
      <c r="D229" s="1"/>
      <c r="E229" s="1"/>
      <c r="F229" s="1"/>
      <c r="G229" s="1"/>
      <c r="H229" s="1"/>
      <c r="I229" s="1"/>
      <c r="J229" s="1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4"/>
      <c r="C230" s="14"/>
      <c r="D230" s="1"/>
      <c r="E230" s="1"/>
      <c r="F230" s="1"/>
      <c r="G230" s="1"/>
      <c r="H230" s="1"/>
      <c r="I230" s="1"/>
      <c r="J230" s="1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4"/>
      <c r="C231" s="14"/>
      <c r="D231" s="1"/>
      <c r="E231" s="1"/>
      <c r="F231" s="1"/>
      <c r="G231" s="1"/>
      <c r="H231" s="1"/>
      <c r="I231" s="1"/>
      <c r="J231" s="1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4"/>
      <c r="C232" s="14"/>
      <c r="D232" s="1"/>
      <c r="E232" s="1"/>
      <c r="F232" s="1"/>
      <c r="G232" s="1"/>
      <c r="H232" s="1"/>
      <c r="I232" s="1"/>
      <c r="J232" s="1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4"/>
      <c r="C233" s="14"/>
      <c r="D233" s="1"/>
      <c r="E233" s="1"/>
      <c r="F233" s="1"/>
      <c r="G233" s="1"/>
      <c r="H233" s="1"/>
      <c r="I233" s="1"/>
      <c r="J233" s="1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4"/>
      <c r="C234" s="14"/>
      <c r="D234" s="1"/>
      <c r="E234" s="1"/>
      <c r="F234" s="1"/>
      <c r="G234" s="1"/>
      <c r="H234" s="1"/>
      <c r="I234" s="1"/>
      <c r="J234" s="1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4"/>
      <c r="C235" s="14"/>
      <c r="D235" s="1"/>
      <c r="E235" s="1"/>
      <c r="F235" s="1"/>
      <c r="G235" s="1"/>
      <c r="H235" s="1"/>
      <c r="I235" s="1"/>
      <c r="J235" s="1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4"/>
      <c r="C236" s="14"/>
      <c r="D236" s="1"/>
      <c r="E236" s="1"/>
      <c r="F236" s="1"/>
      <c r="G236" s="1"/>
      <c r="H236" s="1"/>
      <c r="I236" s="1"/>
      <c r="J236" s="1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4"/>
      <c r="C237" s="14"/>
      <c r="D237" s="1"/>
      <c r="E237" s="1"/>
      <c r="F237" s="1"/>
      <c r="G237" s="1"/>
      <c r="H237" s="1"/>
      <c r="I237" s="1"/>
      <c r="J237" s="1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4"/>
      <c r="C238" s="14"/>
      <c r="D238" s="1"/>
      <c r="E238" s="1"/>
      <c r="F238" s="1"/>
      <c r="G238" s="1"/>
      <c r="H238" s="1"/>
      <c r="I238" s="1"/>
      <c r="J238" s="1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4"/>
      <c r="C239" s="14"/>
      <c r="D239" s="1"/>
      <c r="E239" s="1"/>
      <c r="F239" s="1"/>
      <c r="G239" s="1"/>
      <c r="H239" s="1"/>
      <c r="I239" s="1"/>
      <c r="J239" s="1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4"/>
      <c r="C240" s="14"/>
      <c r="D240" s="1"/>
      <c r="E240" s="1"/>
      <c r="F240" s="1"/>
      <c r="G240" s="1"/>
      <c r="H240" s="1"/>
      <c r="I240" s="1"/>
      <c r="J240" s="1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4"/>
      <c r="C241" s="14"/>
      <c r="D241" s="1"/>
      <c r="E241" s="1"/>
      <c r="F241" s="1"/>
      <c r="G241" s="1"/>
      <c r="H241" s="1"/>
      <c r="I241" s="1"/>
      <c r="J241" s="1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4"/>
      <c r="C242" s="14"/>
      <c r="D242" s="1"/>
      <c r="E242" s="1"/>
      <c r="F242" s="1"/>
      <c r="G242" s="1"/>
      <c r="H242" s="1"/>
      <c r="I242" s="1"/>
      <c r="J242" s="1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4"/>
      <c r="C243" s="14"/>
      <c r="D243" s="1"/>
      <c r="E243" s="1"/>
      <c r="F243" s="1"/>
      <c r="G243" s="1"/>
      <c r="H243" s="1"/>
      <c r="I243" s="1"/>
      <c r="J243" s="1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4"/>
      <c r="C244" s="14"/>
      <c r="D244" s="1"/>
      <c r="E244" s="1"/>
      <c r="F244" s="1"/>
      <c r="G244" s="1"/>
      <c r="H244" s="1"/>
      <c r="I244" s="1"/>
      <c r="J244" s="1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4"/>
      <c r="C245" s="14"/>
      <c r="D245" s="1"/>
      <c r="E245" s="1"/>
      <c r="F245" s="1"/>
      <c r="G245" s="1"/>
      <c r="H245" s="1"/>
      <c r="I245" s="1"/>
      <c r="J245" s="1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4"/>
      <c r="C246" s="14"/>
      <c r="D246" s="1"/>
      <c r="E246" s="1"/>
      <c r="F246" s="1"/>
      <c r="G246" s="1"/>
      <c r="H246" s="1"/>
      <c r="I246" s="1"/>
      <c r="J246" s="1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4"/>
      <c r="C247" s="14"/>
      <c r="D247" s="1"/>
      <c r="E247" s="1"/>
      <c r="F247" s="1"/>
      <c r="G247" s="1"/>
      <c r="H247" s="1"/>
      <c r="I247" s="1"/>
      <c r="J247" s="1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4"/>
      <c r="C248" s="14"/>
      <c r="D248" s="1"/>
      <c r="E248" s="1"/>
      <c r="F248" s="1"/>
      <c r="G248" s="1"/>
      <c r="H248" s="1"/>
      <c r="I248" s="1"/>
      <c r="J248" s="1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4"/>
      <c r="C249" s="14"/>
      <c r="D249" s="1"/>
      <c r="E249" s="1"/>
      <c r="F249" s="1"/>
      <c r="G249" s="1"/>
      <c r="H249" s="1"/>
      <c r="I249" s="1"/>
      <c r="J249" s="1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4"/>
      <c r="C250" s="14"/>
      <c r="D250" s="1"/>
      <c r="E250" s="1"/>
      <c r="F250" s="1"/>
      <c r="G250" s="1"/>
      <c r="H250" s="1"/>
      <c r="I250" s="1"/>
      <c r="J250" s="1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4"/>
      <c r="C251" s="14"/>
      <c r="D251" s="1"/>
      <c r="E251" s="1"/>
      <c r="F251" s="1"/>
      <c r="G251" s="1"/>
      <c r="H251" s="1"/>
      <c r="I251" s="1"/>
      <c r="J251" s="1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4"/>
      <c r="C252" s="14"/>
      <c r="D252" s="1"/>
      <c r="E252" s="1"/>
      <c r="F252" s="1"/>
      <c r="G252" s="1"/>
      <c r="H252" s="1"/>
      <c r="I252" s="1"/>
      <c r="J252" s="1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4"/>
      <c r="C253" s="14"/>
      <c r="D253" s="1"/>
      <c r="E253" s="1"/>
      <c r="F253" s="1"/>
      <c r="G253" s="1"/>
      <c r="H253" s="1"/>
      <c r="I253" s="1"/>
      <c r="J253" s="1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4"/>
      <c r="C254" s="14"/>
      <c r="D254" s="1"/>
      <c r="E254" s="1"/>
      <c r="F254" s="1"/>
      <c r="G254" s="1"/>
      <c r="H254" s="1"/>
      <c r="I254" s="1"/>
      <c r="J254" s="1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4"/>
      <c r="C255" s="14"/>
      <c r="D255" s="1"/>
      <c r="E255" s="1"/>
      <c r="F255" s="1"/>
      <c r="G255" s="1"/>
      <c r="H255" s="1"/>
      <c r="I255" s="1"/>
      <c r="J255" s="1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4"/>
      <c r="C256" s="14"/>
      <c r="D256" s="1"/>
      <c r="E256" s="1"/>
      <c r="F256" s="1"/>
      <c r="G256" s="1"/>
      <c r="H256" s="1"/>
      <c r="I256" s="1"/>
      <c r="J256" s="1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4"/>
      <c r="C257" s="14"/>
      <c r="D257" s="1"/>
      <c r="E257" s="1"/>
      <c r="F257" s="1"/>
      <c r="G257" s="1"/>
      <c r="H257" s="1"/>
      <c r="I257" s="1"/>
      <c r="J257" s="1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4"/>
      <c r="C258" s="14"/>
      <c r="D258" s="1"/>
      <c r="E258" s="1"/>
      <c r="F258" s="1"/>
      <c r="G258" s="1"/>
      <c r="H258" s="1"/>
      <c r="I258" s="1"/>
      <c r="J258" s="1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4"/>
      <c r="C259" s="14"/>
      <c r="D259" s="1"/>
      <c r="E259" s="1"/>
      <c r="F259" s="1"/>
      <c r="G259" s="1"/>
      <c r="H259" s="1"/>
      <c r="I259" s="1"/>
      <c r="J259" s="1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4"/>
      <c r="C260" s="14"/>
      <c r="D260" s="1"/>
      <c r="E260" s="1"/>
      <c r="F260" s="1"/>
      <c r="G260" s="1"/>
      <c r="H260" s="1"/>
      <c r="I260" s="1"/>
      <c r="J260" s="1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4"/>
      <c r="C261" s="14"/>
      <c r="D261" s="1"/>
      <c r="E261" s="1"/>
      <c r="F261" s="1"/>
      <c r="G261" s="1"/>
      <c r="H261" s="1"/>
      <c r="I261" s="1"/>
      <c r="J261" s="1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4"/>
      <c r="C262" s="14"/>
      <c r="D262" s="1"/>
      <c r="E262" s="1"/>
      <c r="F262" s="1"/>
      <c r="G262" s="1"/>
      <c r="H262" s="1"/>
      <c r="I262" s="1"/>
      <c r="J262" s="1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4"/>
      <c r="C263" s="14"/>
      <c r="D263" s="1"/>
      <c r="E263" s="1"/>
      <c r="F263" s="1"/>
      <c r="G263" s="1"/>
      <c r="H263" s="1"/>
      <c r="I263" s="1"/>
      <c r="J263" s="1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4"/>
      <c r="C264" s="14"/>
      <c r="D264" s="1"/>
      <c r="E264" s="1"/>
      <c r="F264" s="1"/>
      <c r="G264" s="1"/>
      <c r="H264" s="1"/>
      <c r="I264" s="1"/>
      <c r="J264" s="1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4"/>
      <c r="C265" s="14"/>
      <c r="D265" s="1"/>
      <c r="E265" s="1"/>
      <c r="F265" s="1"/>
      <c r="G265" s="1"/>
      <c r="H265" s="1"/>
      <c r="I265" s="1"/>
      <c r="J265" s="1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4"/>
      <c r="C266" s="14"/>
      <c r="D266" s="1"/>
      <c r="E266" s="1"/>
      <c r="F266" s="1"/>
      <c r="G266" s="1"/>
      <c r="H266" s="1"/>
      <c r="I266" s="1"/>
      <c r="J266" s="1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4"/>
      <c r="C267" s="14"/>
      <c r="D267" s="1"/>
      <c r="E267" s="1"/>
      <c r="F267" s="1"/>
      <c r="G267" s="1"/>
      <c r="H267" s="1"/>
      <c r="I267" s="1"/>
      <c r="J267" s="1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4"/>
      <c r="C268" s="14"/>
      <c r="D268" s="1"/>
      <c r="E268" s="1"/>
      <c r="F268" s="1"/>
      <c r="G268" s="1"/>
      <c r="H268" s="1"/>
      <c r="I268" s="1"/>
      <c r="J268" s="1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4"/>
      <c r="C269" s="14"/>
      <c r="D269" s="1"/>
      <c r="E269" s="1"/>
      <c r="F269" s="1"/>
      <c r="G269" s="1"/>
      <c r="H269" s="1"/>
      <c r="I269" s="1"/>
      <c r="J269" s="1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4"/>
      <c r="C270" s="14"/>
      <c r="D270" s="1"/>
      <c r="E270" s="1"/>
      <c r="F270" s="1"/>
      <c r="G270" s="1"/>
      <c r="H270" s="1"/>
      <c r="I270" s="1"/>
      <c r="J270" s="1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4"/>
      <c r="C271" s="14"/>
      <c r="D271" s="1"/>
      <c r="E271" s="1"/>
      <c r="F271" s="1"/>
      <c r="G271" s="1"/>
      <c r="H271" s="1"/>
      <c r="I271" s="1"/>
      <c r="J271" s="1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4"/>
      <c r="C272" s="14"/>
      <c r="D272" s="1"/>
      <c r="E272" s="1"/>
      <c r="F272" s="1"/>
      <c r="G272" s="1"/>
      <c r="H272" s="1"/>
      <c r="I272" s="1"/>
      <c r="J272" s="1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4"/>
      <c r="C273" s="14"/>
      <c r="D273" s="1"/>
      <c r="E273" s="1"/>
      <c r="F273" s="1"/>
      <c r="G273" s="1"/>
      <c r="H273" s="1"/>
      <c r="I273" s="1"/>
      <c r="J273" s="1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4"/>
      <c r="C274" s="14"/>
      <c r="D274" s="1"/>
      <c r="E274" s="1"/>
      <c r="F274" s="1"/>
      <c r="G274" s="1"/>
      <c r="H274" s="1"/>
      <c r="I274" s="1"/>
      <c r="J274" s="1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4"/>
      <c r="C275" s="14"/>
      <c r="D275" s="1"/>
      <c r="E275" s="1"/>
      <c r="F275" s="1"/>
      <c r="G275" s="1"/>
      <c r="H275" s="1"/>
      <c r="I275" s="1"/>
      <c r="J275" s="1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4"/>
      <c r="C276" s="14"/>
      <c r="D276" s="1"/>
      <c r="E276" s="1"/>
      <c r="F276" s="1"/>
      <c r="G276" s="1"/>
      <c r="H276" s="1"/>
      <c r="I276" s="1"/>
      <c r="J276" s="1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4"/>
      <c r="C277" s="14"/>
      <c r="D277" s="1"/>
      <c r="E277" s="1"/>
      <c r="F277" s="1"/>
      <c r="G277" s="1"/>
      <c r="H277" s="1"/>
      <c r="I277" s="1"/>
      <c r="J277" s="1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4"/>
      <c r="C278" s="14"/>
      <c r="D278" s="1"/>
      <c r="E278" s="1"/>
      <c r="F278" s="1"/>
      <c r="G278" s="1"/>
      <c r="H278" s="1"/>
      <c r="I278" s="1"/>
      <c r="J278" s="1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4"/>
      <c r="C279" s="14"/>
      <c r="D279" s="1"/>
      <c r="E279" s="1"/>
      <c r="F279" s="1"/>
      <c r="G279" s="1"/>
      <c r="H279" s="1"/>
      <c r="I279" s="1"/>
      <c r="J279" s="1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4"/>
      <c r="C280" s="14"/>
      <c r="D280" s="1"/>
      <c r="E280" s="1"/>
      <c r="F280" s="1"/>
      <c r="G280" s="1"/>
      <c r="H280" s="1"/>
      <c r="I280" s="1"/>
      <c r="J280" s="1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4"/>
      <c r="C281" s="14"/>
      <c r="D281" s="1"/>
      <c r="E281" s="1"/>
      <c r="F281" s="1"/>
      <c r="G281" s="1"/>
      <c r="H281" s="1"/>
      <c r="I281" s="1"/>
      <c r="J281" s="1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4"/>
      <c r="C282" s="14"/>
      <c r="D282" s="1"/>
      <c r="E282" s="1"/>
      <c r="F282" s="1"/>
      <c r="G282" s="1"/>
      <c r="H282" s="1"/>
      <c r="I282" s="1"/>
      <c r="J282" s="1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4"/>
      <c r="C283" s="14"/>
      <c r="D283" s="1"/>
      <c r="E283" s="1"/>
      <c r="F283" s="1"/>
      <c r="G283" s="1"/>
      <c r="H283" s="1"/>
      <c r="I283" s="1"/>
      <c r="J283" s="1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4"/>
      <c r="C284" s="14"/>
      <c r="D284" s="1"/>
      <c r="E284" s="1"/>
      <c r="F284" s="1"/>
      <c r="G284" s="1"/>
      <c r="H284" s="1"/>
      <c r="I284" s="1"/>
      <c r="J284" s="1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4"/>
      <c r="C285" s="14"/>
      <c r="D285" s="1"/>
      <c r="E285" s="1"/>
      <c r="F285" s="1"/>
      <c r="G285" s="1"/>
      <c r="H285" s="1"/>
      <c r="I285" s="1"/>
      <c r="J285" s="1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4"/>
      <c r="C286" s="14"/>
      <c r="D286" s="1"/>
      <c r="E286" s="1"/>
      <c r="F286" s="1"/>
      <c r="G286" s="1"/>
      <c r="H286" s="1"/>
      <c r="I286" s="1"/>
      <c r="J286" s="1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4"/>
      <c r="C287" s="14"/>
      <c r="D287" s="1"/>
      <c r="E287" s="1"/>
      <c r="F287" s="1"/>
      <c r="G287" s="1"/>
      <c r="H287" s="1"/>
      <c r="I287" s="1"/>
      <c r="J287" s="1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4"/>
      <c r="C288" s="14"/>
      <c r="D288" s="1"/>
      <c r="E288" s="1"/>
      <c r="F288" s="1"/>
      <c r="G288" s="1"/>
      <c r="H288" s="1"/>
      <c r="I288" s="1"/>
      <c r="J288" s="1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4"/>
      <c r="C289" s="14"/>
      <c r="D289" s="1"/>
      <c r="E289" s="1"/>
      <c r="F289" s="1"/>
      <c r="G289" s="1"/>
      <c r="H289" s="1"/>
      <c r="I289" s="1"/>
      <c r="J289" s="1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4"/>
      <c r="C290" s="14"/>
      <c r="D290" s="1"/>
      <c r="E290" s="1"/>
      <c r="F290" s="1"/>
      <c r="G290" s="1"/>
      <c r="H290" s="1"/>
      <c r="I290" s="1"/>
      <c r="J290" s="1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4"/>
      <c r="C291" s="14"/>
      <c r="D291" s="1"/>
      <c r="E291" s="1"/>
      <c r="F291" s="1"/>
      <c r="G291" s="1"/>
      <c r="H291" s="1"/>
      <c r="I291" s="1"/>
      <c r="J291" s="1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4"/>
      <c r="C292" s="14"/>
      <c r="D292" s="1"/>
      <c r="E292" s="1"/>
      <c r="F292" s="1"/>
      <c r="G292" s="1"/>
      <c r="H292" s="1"/>
      <c r="I292" s="1"/>
      <c r="J292" s="1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4"/>
      <c r="C293" s="14"/>
      <c r="D293" s="1"/>
      <c r="E293" s="1"/>
      <c r="F293" s="1"/>
      <c r="G293" s="1"/>
      <c r="H293" s="1"/>
      <c r="I293" s="1"/>
      <c r="J293" s="1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4"/>
      <c r="C294" s="14"/>
      <c r="D294" s="1"/>
      <c r="E294" s="1"/>
      <c r="F294" s="1"/>
      <c r="G294" s="1"/>
      <c r="H294" s="1"/>
      <c r="I294" s="1"/>
      <c r="J294" s="1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4"/>
      <c r="C295" s="14"/>
      <c r="D295" s="1"/>
      <c r="E295" s="1"/>
      <c r="F295" s="1"/>
      <c r="G295" s="1"/>
      <c r="H295" s="1"/>
      <c r="I295" s="1"/>
      <c r="J295" s="1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4"/>
      <c r="C296" s="14"/>
      <c r="D296" s="1"/>
      <c r="E296" s="1"/>
      <c r="F296" s="1"/>
      <c r="G296" s="1"/>
      <c r="H296" s="1"/>
      <c r="I296" s="1"/>
      <c r="J296" s="1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4"/>
      <c r="C297" s="14"/>
      <c r="D297" s="1"/>
      <c r="E297" s="1"/>
      <c r="F297" s="1"/>
      <c r="G297" s="1"/>
      <c r="H297" s="1"/>
      <c r="I297" s="1"/>
      <c r="J297" s="1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4"/>
      <c r="C298" s="14"/>
      <c r="D298" s="1"/>
      <c r="E298" s="1"/>
      <c r="F298" s="1"/>
      <c r="G298" s="1"/>
      <c r="H298" s="1"/>
      <c r="I298" s="1"/>
      <c r="J298" s="1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4"/>
      <c r="C299" s="14"/>
      <c r="D299" s="1"/>
      <c r="E299" s="1"/>
      <c r="F299" s="1"/>
      <c r="G299" s="1"/>
      <c r="H299" s="1"/>
      <c r="I299" s="1"/>
      <c r="J299" s="1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4"/>
      <c r="C300" s="14"/>
      <c r="D300" s="1"/>
      <c r="E300" s="1"/>
      <c r="F300" s="1"/>
      <c r="G300" s="1"/>
      <c r="H300" s="1"/>
      <c r="I300" s="1"/>
      <c r="J300" s="1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4"/>
      <c r="C301" s="14"/>
      <c r="D301" s="1"/>
      <c r="E301" s="1"/>
      <c r="F301" s="1"/>
      <c r="G301" s="1"/>
      <c r="H301" s="1"/>
      <c r="I301" s="1"/>
      <c r="J301" s="1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4"/>
      <c r="C302" s="14"/>
      <c r="D302" s="1"/>
      <c r="E302" s="1"/>
      <c r="F302" s="1"/>
      <c r="G302" s="1"/>
      <c r="H302" s="1"/>
      <c r="I302" s="1"/>
      <c r="J302" s="1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4"/>
      <c r="C303" s="14"/>
      <c r="D303" s="1"/>
      <c r="E303" s="1"/>
      <c r="F303" s="1"/>
      <c r="G303" s="1"/>
      <c r="H303" s="1"/>
      <c r="I303" s="1"/>
      <c r="J303" s="1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4"/>
      <c r="C304" s="14"/>
      <c r="D304" s="1"/>
      <c r="E304" s="1"/>
      <c r="F304" s="1"/>
      <c r="G304" s="1"/>
      <c r="H304" s="1"/>
      <c r="I304" s="1"/>
      <c r="J304" s="1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4"/>
      <c r="C305" s="14"/>
      <c r="D305" s="1"/>
      <c r="E305" s="1"/>
      <c r="F305" s="1"/>
      <c r="G305" s="1"/>
      <c r="H305" s="1"/>
      <c r="I305" s="1"/>
      <c r="J305" s="1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4"/>
      <c r="C306" s="14"/>
      <c r="D306" s="1"/>
      <c r="E306" s="1"/>
      <c r="F306" s="1"/>
      <c r="G306" s="1"/>
      <c r="H306" s="1"/>
      <c r="I306" s="1"/>
      <c r="J306" s="1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4"/>
      <c r="C307" s="14"/>
      <c r="D307" s="1"/>
      <c r="E307" s="1"/>
      <c r="F307" s="1"/>
      <c r="G307" s="1"/>
      <c r="H307" s="1"/>
      <c r="I307" s="1"/>
      <c r="J307" s="1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4"/>
      <c r="C308" s="14"/>
      <c r="D308" s="1"/>
      <c r="E308" s="1"/>
      <c r="F308" s="1"/>
      <c r="G308" s="1"/>
      <c r="H308" s="1"/>
      <c r="I308" s="1"/>
      <c r="J308" s="1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4"/>
      <c r="C309" s="14"/>
      <c r="D309" s="1"/>
      <c r="E309" s="1"/>
      <c r="F309" s="1"/>
      <c r="G309" s="1"/>
      <c r="H309" s="1"/>
      <c r="I309" s="1"/>
      <c r="J309" s="1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4"/>
      <c r="C310" s="14"/>
      <c r="D310" s="1"/>
      <c r="E310" s="1"/>
      <c r="F310" s="1"/>
      <c r="G310" s="1"/>
      <c r="H310" s="1"/>
      <c r="I310" s="1"/>
      <c r="J310" s="1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4"/>
      <c r="C311" s="14"/>
      <c r="D311" s="1"/>
      <c r="E311" s="1"/>
      <c r="F311" s="1"/>
      <c r="G311" s="1"/>
      <c r="H311" s="1"/>
      <c r="I311" s="1"/>
      <c r="J311" s="1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4"/>
      <c r="C312" s="14"/>
      <c r="D312" s="1"/>
      <c r="E312" s="1"/>
      <c r="F312" s="1"/>
      <c r="G312" s="1"/>
      <c r="H312" s="1"/>
      <c r="I312" s="1"/>
      <c r="J312" s="1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4"/>
      <c r="C313" s="14"/>
      <c r="D313" s="1"/>
      <c r="E313" s="1"/>
      <c r="F313" s="1"/>
      <c r="G313" s="1"/>
      <c r="H313" s="1"/>
      <c r="I313" s="1"/>
      <c r="J313" s="1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4"/>
      <c r="C314" s="14"/>
      <c r="D314" s="1"/>
      <c r="E314" s="1"/>
      <c r="F314" s="1"/>
      <c r="G314" s="1"/>
      <c r="H314" s="1"/>
      <c r="I314" s="1"/>
      <c r="J314" s="1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4"/>
      <c r="C315" s="14"/>
      <c r="D315" s="1"/>
      <c r="E315" s="1"/>
      <c r="F315" s="1"/>
      <c r="G315" s="1"/>
      <c r="H315" s="1"/>
      <c r="I315" s="1"/>
      <c r="J315" s="1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4"/>
      <c r="C316" s="14"/>
      <c r="D316" s="1"/>
      <c r="E316" s="1"/>
      <c r="F316" s="1"/>
      <c r="G316" s="1"/>
      <c r="H316" s="1"/>
      <c r="I316" s="1"/>
      <c r="J316" s="1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4"/>
      <c r="C317" s="14"/>
      <c r="D317" s="1"/>
      <c r="E317" s="1"/>
      <c r="F317" s="1"/>
      <c r="G317" s="1"/>
      <c r="H317" s="1"/>
      <c r="I317" s="1"/>
      <c r="J317" s="1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4"/>
      <c r="C318" s="14"/>
      <c r="D318" s="1"/>
      <c r="E318" s="1"/>
      <c r="F318" s="1"/>
      <c r="G318" s="1"/>
      <c r="H318" s="1"/>
      <c r="I318" s="1"/>
      <c r="J318" s="1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4"/>
      <c r="C319" s="14"/>
      <c r="D319" s="1"/>
      <c r="E319" s="1"/>
      <c r="F319" s="1"/>
      <c r="G319" s="1"/>
      <c r="H319" s="1"/>
      <c r="I319" s="1"/>
      <c r="J319" s="1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4"/>
      <c r="C320" s="14"/>
      <c r="D320" s="1"/>
      <c r="E320" s="1"/>
      <c r="F320" s="1"/>
      <c r="G320" s="1"/>
      <c r="H320" s="1"/>
      <c r="I320" s="1"/>
      <c r="J320" s="1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4"/>
      <c r="C321" s="14"/>
      <c r="D321" s="1"/>
      <c r="E321" s="1"/>
      <c r="F321" s="1"/>
      <c r="G321" s="1"/>
      <c r="H321" s="1"/>
      <c r="I321" s="1"/>
      <c r="J321" s="1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4"/>
      <c r="C322" s="14"/>
      <c r="D322" s="1"/>
      <c r="E322" s="1"/>
      <c r="F322" s="1"/>
      <c r="G322" s="1"/>
      <c r="H322" s="1"/>
      <c r="I322" s="1"/>
      <c r="J322" s="1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4"/>
      <c r="C323" s="14"/>
      <c r="D323" s="1"/>
      <c r="E323" s="1"/>
      <c r="F323" s="1"/>
      <c r="G323" s="1"/>
      <c r="H323" s="1"/>
      <c r="I323" s="1"/>
      <c r="J323" s="1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4"/>
      <c r="C324" s="14"/>
      <c r="D324" s="1"/>
      <c r="E324" s="1"/>
      <c r="F324" s="1"/>
      <c r="G324" s="1"/>
      <c r="H324" s="1"/>
      <c r="I324" s="1"/>
      <c r="J324" s="1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4"/>
      <c r="C325" s="14"/>
      <c r="D325" s="1"/>
      <c r="E325" s="1"/>
      <c r="F325" s="1"/>
      <c r="G325" s="1"/>
      <c r="H325" s="1"/>
      <c r="I325" s="1"/>
      <c r="J325" s="1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4"/>
      <c r="C326" s="14"/>
      <c r="D326" s="1"/>
      <c r="E326" s="1"/>
      <c r="F326" s="1"/>
      <c r="G326" s="1"/>
      <c r="H326" s="1"/>
      <c r="I326" s="1"/>
      <c r="J326" s="1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4"/>
      <c r="C327" s="14"/>
      <c r="D327" s="1"/>
      <c r="E327" s="1"/>
      <c r="F327" s="1"/>
      <c r="G327" s="1"/>
      <c r="H327" s="1"/>
      <c r="I327" s="1"/>
      <c r="J327" s="1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4"/>
      <c r="C328" s="14"/>
      <c r="D328" s="1"/>
      <c r="E328" s="1"/>
      <c r="F328" s="1"/>
      <c r="G328" s="1"/>
      <c r="H328" s="1"/>
      <c r="I328" s="1"/>
      <c r="J328" s="1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4"/>
      <c r="C329" s="14"/>
      <c r="D329" s="1"/>
      <c r="E329" s="1"/>
      <c r="F329" s="1"/>
      <c r="G329" s="1"/>
      <c r="H329" s="1"/>
      <c r="I329" s="1"/>
      <c r="J329" s="1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4"/>
      <c r="C330" s="14"/>
      <c r="D330" s="1"/>
      <c r="E330" s="1"/>
      <c r="F330" s="1"/>
      <c r="G330" s="1"/>
      <c r="H330" s="1"/>
      <c r="I330" s="1"/>
      <c r="J330" s="1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4"/>
      <c r="C331" s="14"/>
      <c r="D331" s="1"/>
      <c r="E331" s="1"/>
      <c r="F331" s="1"/>
      <c r="G331" s="1"/>
      <c r="H331" s="1"/>
      <c r="I331" s="1"/>
      <c r="J331" s="1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4"/>
      <c r="C332" s="14"/>
      <c r="D332" s="1"/>
      <c r="E332" s="1"/>
      <c r="F332" s="1"/>
      <c r="G332" s="1"/>
      <c r="H332" s="1"/>
      <c r="I332" s="1"/>
      <c r="J332" s="1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4"/>
      <c r="C333" s="14"/>
      <c r="D333" s="1"/>
      <c r="E333" s="1"/>
      <c r="F333" s="1"/>
      <c r="G333" s="1"/>
      <c r="H333" s="1"/>
      <c r="I333" s="1"/>
      <c r="J333" s="1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4"/>
      <c r="C334" s="14"/>
      <c r="D334" s="1"/>
      <c r="E334" s="1"/>
      <c r="F334" s="1"/>
      <c r="G334" s="1"/>
      <c r="H334" s="1"/>
      <c r="I334" s="1"/>
      <c r="J334" s="1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4"/>
      <c r="C335" s="14"/>
      <c r="D335" s="1"/>
      <c r="E335" s="1"/>
      <c r="F335" s="1"/>
      <c r="G335" s="1"/>
      <c r="H335" s="1"/>
      <c r="I335" s="1"/>
      <c r="J335" s="1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4"/>
      <c r="C336" s="14"/>
      <c r="D336" s="1"/>
      <c r="E336" s="1"/>
      <c r="F336" s="1"/>
      <c r="G336" s="1"/>
      <c r="H336" s="1"/>
      <c r="I336" s="1"/>
      <c r="J336" s="1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4"/>
      <c r="C337" s="14"/>
      <c r="D337" s="1"/>
      <c r="E337" s="1"/>
      <c r="F337" s="1"/>
      <c r="G337" s="1"/>
      <c r="H337" s="1"/>
      <c r="I337" s="1"/>
      <c r="J337" s="1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4"/>
      <c r="C338" s="14"/>
      <c r="D338" s="1"/>
      <c r="E338" s="1"/>
      <c r="F338" s="1"/>
      <c r="G338" s="1"/>
      <c r="H338" s="1"/>
      <c r="I338" s="1"/>
      <c r="J338" s="1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4"/>
      <c r="C339" s="14"/>
      <c r="D339" s="1"/>
      <c r="E339" s="1"/>
      <c r="F339" s="1"/>
      <c r="G339" s="1"/>
      <c r="H339" s="1"/>
      <c r="I339" s="1"/>
      <c r="J339" s="1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4"/>
      <c r="C340" s="14"/>
      <c r="D340" s="1"/>
      <c r="E340" s="1"/>
      <c r="F340" s="1"/>
      <c r="G340" s="1"/>
      <c r="H340" s="1"/>
      <c r="I340" s="1"/>
      <c r="J340" s="1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4"/>
      <c r="C341" s="14"/>
      <c r="D341" s="1"/>
      <c r="E341" s="1"/>
      <c r="F341" s="1"/>
      <c r="G341" s="1"/>
      <c r="H341" s="1"/>
      <c r="I341" s="1"/>
      <c r="J341" s="1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4"/>
      <c r="C342" s="14"/>
      <c r="D342" s="1"/>
      <c r="E342" s="1"/>
      <c r="F342" s="1"/>
      <c r="G342" s="1"/>
      <c r="H342" s="1"/>
      <c r="I342" s="1"/>
      <c r="J342" s="1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4"/>
      <c r="C343" s="14"/>
      <c r="D343" s="1"/>
      <c r="E343" s="1"/>
      <c r="F343" s="1"/>
      <c r="G343" s="1"/>
      <c r="H343" s="1"/>
      <c r="I343" s="1"/>
      <c r="J343" s="1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4"/>
      <c r="C344" s="14"/>
      <c r="D344" s="1"/>
      <c r="E344" s="1"/>
      <c r="F344" s="1"/>
      <c r="G344" s="1"/>
      <c r="H344" s="1"/>
      <c r="I344" s="1"/>
      <c r="J344" s="1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4"/>
      <c r="C345" s="14"/>
      <c r="D345" s="1"/>
      <c r="E345" s="1"/>
      <c r="F345" s="1"/>
      <c r="G345" s="1"/>
      <c r="H345" s="1"/>
      <c r="I345" s="1"/>
      <c r="J345" s="1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4"/>
      <c r="C346" s="14"/>
      <c r="D346" s="1"/>
      <c r="E346" s="1"/>
      <c r="F346" s="1"/>
      <c r="G346" s="1"/>
      <c r="H346" s="1"/>
      <c r="I346" s="1"/>
      <c r="J346" s="1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4"/>
      <c r="C347" s="14"/>
      <c r="D347" s="1"/>
      <c r="E347" s="1"/>
      <c r="F347" s="1"/>
      <c r="G347" s="1"/>
      <c r="H347" s="1"/>
      <c r="I347" s="1"/>
      <c r="J347" s="1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4"/>
      <c r="C348" s="14"/>
      <c r="D348" s="1"/>
      <c r="E348" s="1"/>
      <c r="F348" s="1"/>
      <c r="G348" s="1"/>
      <c r="H348" s="1"/>
      <c r="I348" s="1"/>
      <c r="J348" s="1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4"/>
      <c r="C349" s="14"/>
      <c r="D349" s="1"/>
      <c r="E349" s="1"/>
      <c r="F349" s="1"/>
      <c r="G349" s="1"/>
      <c r="H349" s="1"/>
      <c r="I349" s="1"/>
      <c r="J349" s="1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4"/>
      <c r="C350" s="14"/>
      <c r="D350" s="1"/>
      <c r="E350" s="1"/>
      <c r="F350" s="1"/>
      <c r="G350" s="1"/>
      <c r="H350" s="1"/>
      <c r="I350" s="1"/>
      <c r="J350" s="1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4"/>
      <c r="C351" s="14"/>
      <c r="D351" s="1"/>
      <c r="E351" s="1"/>
      <c r="F351" s="1"/>
      <c r="G351" s="1"/>
      <c r="H351" s="1"/>
      <c r="I351" s="1"/>
      <c r="J351" s="1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4"/>
      <c r="C352" s="14"/>
      <c r="D352" s="1"/>
      <c r="E352" s="1"/>
      <c r="F352" s="1"/>
      <c r="G352" s="1"/>
      <c r="H352" s="1"/>
      <c r="I352" s="1"/>
      <c r="J352" s="1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4"/>
      <c r="C353" s="14"/>
      <c r="D353" s="1"/>
      <c r="E353" s="1"/>
      <c r="F353" s="1"/>
      <c r="G353" s="1"/>
      <c r="H353" s="1"/>
      <c r="I353" s="1"/>
      <c r="J353" s="1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4"/>
      <c r="C354" s="14"/>
      <c r="D354" s="1"/>
      <c r="E354" s="1"/>
      <c r="F354" s="1"/>
      <c r="G354" s="1"/>
      <c r="H354" s="1"/>
      <c r="I354" s="1"/>
      <c r="J354" s="1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4"/>
      <c r="C355" s="14"/>
      <c r="D355" s="1"/>
      <c r="E355" s="1"/>
      <c r="F355" s="1"/>
      <c r="G355" s="1"/>
      <c r="H355" s="1"/>
      <c r="I355" s="1"/>
      <c r="J355" s="1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4"/>
      <c r="C356" s="14"/>
      <c r="D356" s="1"/>
      <c r="E356" s="1"/>
      <c r="F356" s="1"/>
      <c r="G356" s="1"/>
      <c r="H356" s="1"/>
      <c r="I356" s="1"/>
      <c r="J356" s="1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4"/>
      <c r="C357" s="14"/>
      <c r="D357" s="1"/>
      <c r="E357" s="1"/>
      <c r="F357" s="1"/>
      <c r="G357" s="1"/>
      <c r="H357" s="1"/>
      <c r="I357" s="1"/>
      <c r="J357" s="1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4"/>
      <c r="C358" s="14"/>
      <c r="D358" s="1"/>
      <c r="E358" s="1"/>
      <c r="F358" s="1"/>
      <c r="G358" s="1"/>
      <c r="H358" s="1"/>
      <c r="I358" s="1"/>
      <c r="J358" s="1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4"/>
      <c r="C359" s="14"/>
      <c r="D359" s="1"/>
      <c r="E359" s="1"/>
      <c r="F359" s="1"/>
      <c r="G359" s="1"/>
      <c r="H359" s="1"/>
      <c r="I359" s="1"/>
      <c r="J359" s="1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4"/>
      <c r="C360" s="14"/>
      <c r="D360" s="1"/>
      <c r="E360" s="1"/>
      <c r="F360" s="1"/>
      <c r="G360" s="1"/>
      <c r="H360" s="1"/>
      <c r="I360" s="1"/>
      <c r="J360" s="1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4"/>
      <c r="C361" s="14"/>
      <c r="D361" s="1"/>
      <c r="E361" s="1"/>
      <c r="F361" s="1"/>
      <c r="G361" s="1"/>
      <c r="H361" s="1"/>
      <c r="I361" s="1"/>
      <c r="J361" s="1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4"/>
      <c r="C362" s="14"/>
      <c r="D362" s="1"/>
      <c r="E362" s="1"/>
      <c r="F362" s="1"/>
      <c r="G362" s="1"/>
      <c r="H362" s="1"/>
      <c r="I362" s="1"/>
      <c r="J362" s="1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4"/>
      <c r="C363" s="14"/>
      <c r="D363" s="1"/>
      <c r="E363" s="1"/>
      <c r="F363" s="1"/>
      <c r="G363" s="1"/>
      <c r="H363" s="1"/>
      <c r="I363" s="1"/>
      <c r="J363" s="1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4"/>
      <c r="C364" s="14"/>
      <c r="D364" s="1"/>
      <c r="E364" s="1"/>
      <c r="F364" s="1"/>
      <c r="G364" s="1"/>
      <c r="H364" s="1"/>
      <c r="I364" s="1"/>
      <c r="J364" s="1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4"/>
      <c r="C365" s="14"/>
      <c r="D365" s="1"/>
      <c r="E365" s="1"/>
      <c r="F365" s="1"/>
      <c r="G365" s="1"/>
      <c r="H365" s="1"/>
      <c r="I365" s="1"/>
      <c r="J365" s="1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4"/>
      <c r="C366" s="14"/>
      <c r="D366" s="1"/>
      <c r="E366" s="1"/>
      <c r="F366" s="1"/>
      <c r="G366" s="1"/>
      <c r="H366" s="1"/>
      <c r="I366" s="1"/>
      <c r="J366" s="1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4"/>
      <c r="C367" s="14"/>
      <c r="D367" s="1"/>
      <c r="E367" s="1"/>
      <c r="F367" s="1"/>
      <c r="G367" s="1"/>
      <c r="H367" s="1"/>
      <c r="I367" s="1"/>
      <c r="J367" s="1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4"/>
      <c r="C368" s="14"/>
      <c r="D368" s="1"/>
      <c r="E368" s="1"/>
      <c r="F368" s="1"/>
      <c r="G368" s="1"/>
      <c r="H368" s="1"/>
      <c r="I368" s="1"/>
      <c r="J368" s="1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4"/>
      <c r="C369" s="14"/>
      <c r="D369" s="1"/>
      <c r="E369" s="1"/>
      <c r="F369" s="1"/>
      <c r="G369" s="1"/>
      <c r="H369" s="1"/>
      <c r="I369" s="1"/>
      <c r="J369" s="1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4"/>
      <c r="C370" s="14"/>
      <c r="D370" s="1"/>
      <c r="E370" s="1"/>
      <c r="F370" s="1"/>
      <c r="G370" s="1"/>
      <c r="H370" s="1"/>
      <c r="I370" s="1"/>
      <c r="J370" s="1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4"/>
      <c r="C371" s="14"/>
      <c r="D371" s="1"/>
      <c r="E371" s="1"/>
      <c r="F371" s="1"/>
      <c r="G371" s="1"/>
      <c r="H371" s="1"/>
      <c r="I371" s="1"/>
      <c r="J371" s="1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4"/>
      <c r="C372" s="14"/>
      <c r="D372" s="1"/>
      <c r="E372" s="1"/>
      <c r="F372" s="1"/>
      <c r="G372" s="1"/>
      <c r="H372" s="1"/>
      <c r="I372" s="1"/>
      <c r="J372" s="1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4"/>
      <c r="C373" s="14"/>
      <c r="D373" s="1"/>
      <c r="E373" s="1"/>
      <c r="F373" s="1"/>
      <c r="G373" s="1"/>
      <c r="H373" s="1"/>
      <c r="I373" s="1"/>
      <c r="J373" s="1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4"/>
      <c r="C374" s="14"/>
      <c r="D374" s="1"/>
      <c r="E374" s="1"/>
      <c r="F374" s="1"/>
      <c r="G374" s="1"/>
      <c r="H374" s="1"/>
      <c r="I374" s="1"/>
      <c r="J374" s="1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4"/>
      <c r="C375" s="14"/>
      <c r="D375" s="1"/>
      <c r="E375" s="1"/>
      <c r="F375" s="1"/>
      <c r="G375" s="1"/>
      <c r="H375" s="1"/>
      <c r="I375" s="1"/>
      <c r="J375" s="1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4"/>
      <c r="C376" s="14"/>
      <c r="D376" s="1"/>
      <c r="E376" s="1"/>
      <c r="F376" s="1"/>
      <c r="G376" s="1"/>
      <c r="H376" s="1"/>
      <c r="I376" s="1"/>
      <c r="J376" s="1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4"/>
      <c r="C377" s="14"/>
      <c r="D377" s="1"/>
      <c r="E377" s="1"/>
      <c r="F377" s="1"/>
      <c r="G377" s="1"/>
      <c r="H377" s="1"/>
      <c r="I377" s="1"/>
      <c r="J377" s="1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4"/>
      <c r="C378" s="14"/>
      <c r="D378" s="1"/>
      <c r="E378" s="1"/>
      <c r="F378" s="1"/>
      <c r="G378" s="1"/>
      <c r="H378" s="1"/>
      <c r="I378" s="1"/>
      <c r="J378" s="1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4"/>
      <c r="C379" s="14"/>
      <c r="D379" s="1"/>
      <c r="E379" s="1"/>
      <c r="F379" s="1"/>
      <c r="G379" s="1"/>
      <c r="H379" s="1"/>
      <c r="I379" s="1"/>
      <c r="J379" s="1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4"/>
      <c r="C380" s="14"/>
      <c r="D380" s="1"/>
      <c r="E380" s="1"/>
      <c r="F380" s="1"/>
      <c r="G380" s="1"/>
      <c r="H380" s="1"/>
      <c r="I380" s="1"/>
      <c r="J380" s="1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4"/>
      <c r="C381" s="14"/>
      <c r="D381" s="1"/>
      <c r="E381" s="1"/>
      <c r="F381" s="1"/>
      <c r="G381" s="1"/>
      <c r="H381" s="1"/>
      <c r="I381" s="1"/>
      <c r="J381" s="1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4"/>
      <c r="C382" s="14"/>
      <c r="D382" s="1"/>
      <c r="E382" s="1"/>
      <c r="F382" s="1"/>
      <c r="G382" s="1"/>
      <c r="H382" s="1"/>
      <c r="I382" s="1"/>
      <c r="J382" s="1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4"/>
      <c r="C383" s="14"/>
      <c r="D383" s="1"/>
      <c r="E383" s="1"/>
      <c r="F383" s="1"/>
      <c r="G383" s="1"/>
      <c r="H383" s="1"/>
      <c r="I383" s="1"/>
      <c r="J383" s="1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4"/>
      <c r="C384" s="14"/>
      <c r="D384" s="1"/>
      <c r="E384" s="1"/>
      <c r="F384" s="1"/>
      <c r="G384" s="1"/>
      <c r="H384" s="1"/>
      <c r="I384" s="1"/>
      <c r="J384" s="1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4"/>
      <c r="C385" s="14"/>
      <c r="D385" s="1"/>
      <c r="E385" s="1"/>
      <c r="F385" s="1"/>
      <c r="G385" s="1"/>
      <c r="H385" s="1"/>
      <c r="I385" s="1"/>
      <c r="J385" s="1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4"/>
      <c r="C386" s="14"/>
      <c r="D386" s="1"/>
      <c r="E386" s="1"/>
      <c r="F386" s="1"/>
      <c r="G386" s="1"/>
      <c r="H386" s="1"/>
      <c r="I386" s="1"/>
      <c r="J386" s="1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4"/>
      <c r="C387" s="14"/>
      <c r="D387" s="1"/>
      <c r="E387" s="1"/>
      <c r="F387" s="1"/>
      <c r="G387" s="1"/>
      <c r="H387" s="1"/>
      <c r="I387" s="1"/>
      <c r="J387" s="1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4"/>
      <c r="C388" s="14"/>
      <c r="D388" s="1"/>
      <c r="E388" s="1"/>
      <c r="F388" s="1"/>
      <c r="G388" s="1"/>
      <c r="H388" s="1"/>
      <c r="I388" s="1"/>
      <c r="J388" s="1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4"/>
      <c r="C389" s="14"/>
      <c r="D389" s="1"/>
      <c r="E389" s="1"/>
      <c r="F389" s="1"/>
      <c r="G389" s="1"/>
      <c r="H389" s="1"/>
      <c r="I389" s="1"/>
      <c r="J389" s="1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4"/>
      <c r="C390" s="14"/>
      <c r="D390" s="1"/>
      <c r="E390" s="1"/>
      <c r="F390" s="1"/>
      <c r="G390" s="1"/>
      <c r="H390" s="1"/>
      <c r="I390" s="1"/>
      <c r="J390" s="1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4"/>
      <c r="C391" s="14"/>
      <c r="D391" s="1"/>
      <c r="E391" s="1"/>
      <c r="F391" s="1"/>
      <c r="G391" s="1"/>
      <c r="H391" s="1"/>
      <c r="I391" s="1"/>
      <c r="J391" s="1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4"/>
      <c r="C392" s="14"/>
      <c r="D392" s="1"/>
      <c r="E392" s="1"/>
      <c r="F392" s="1"/>
      <c r="G392" s="1"/>
      <c r="H392" s="1"/>
      <c r="I392" s="1"/>
      <c r="J392" s="1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4"/>
      <c r="C393" s="14"/>
      <c r="D393" s="1"/>
      <c r="E393" s="1"/>
      <c r="F393" s="1"/>
      <c r="G393" s="1"/>
      <c r="H393" s="1"/>
      <c r="I393" s="1"/>
      <c r="J393" s="1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4"/>
      <c r="C394" s="14"/>
      <c r="D394" s="1"/>
      <c r="E394" s="1"/>
      <c r="F394" s="1"/>
      <c r="G394" s="1"/>
      <c r="H394" s="1"/>
      <c r="I394" s="1"/>
      <c r="J394" s="1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4"/>
      <c r="C395" s="14"/>
      <c r="D395" s="1"/>
      <c r="E395" s="1"/>
      <c r="F395" s="1"/>
      <c r="G395" s="1"/>
      <c r="H395" s="1"/>
      <c r="I395" s="1"/>
      <c r="J395" s="1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4"/>
      <c r="C396" s="14"/>
      <c r="D396" s="1"/>
      <c r="E396" s="1"/>
      <c r="F396" s="1"/>
      <c r="G396" s="1"/>
      <c r="H396" s="1"/>
      <c r="I396" s="1"/>
      <c r="J396" s="1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4"/>
      <c r="C397" s="14"/>
      <c r="D397" s="1"/>
      <c r="E397" s="1"/>
      <c r="F397" s="1"/>
      <c r="G397" s="1"/>
      <c r="H397" s="1"/>
      <c r="I397" s="1"/>
      <c r="J397" s="1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4"/>
      <c r="C398" s="14"/>
      <c r="D398" s="1"/>
      <c r="E398" s="1"/>
      <c r="F398" s="1"/>
      <c r="G398" s="1"/>
      <c r="H398" s="1"/>
      <c r="I398" s="1"/>
      <c r="J398" s="1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4"/>
      <c r="C399" s="14"/>
      <c r="D399" s="1"/>
      <c r="E399" s="1"/>
      <c r="F399" s="1"/>
      <c r="G399" s="1"/>
      <c r="H399" s="1"/>
      <c r="I399" s="1"/>
      <c r="J399" s="1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4"/>
      <c r="C400" s="14"/>
      <c r="D400" s="1"/>
      <c r="E400" s="1"/>
      <c r="F400" s="1"/>
      <c r="G400" s="1"/>
      <c r="H400" s="1"/>
      <c r="I400" s="1"/>
      <c r="J400" s="1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4"/>
      <c r="C401" s="14"/>
      <c r="D401" s="1"/>
      <c r="E401" s="1"/>
      <c r="F401" s="1"/>
      <c r="G401" s="1"/>
      <c r="H401" s="1"/>
      <c r="I401" s="1"/>
      <c r="J401" s="1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4"/>
      <c r="C402" s="14"/>
      <c r="D402" s="1"/>
      <c r="E402" s="1"/>
      <c r="F402" s="1"/>
      <c r="G402" s="1"/>
      <c r="H402" s="1"/>
      <c r="I402" s="1"/>
      <c r="J402" s="1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4"/>
      <c r="C403" s="14"/>
      <c r="D403" s="1"/>
      <c r="E403" s="1"/>
      <c r="F403" s="1"/>
      <c r="G403" s="1"/>
      <c r="H403" s="1"/>
      <c r="I403" s="1"/>
      <c r="J403" s="1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4"/>
      <c r="C404" s="14"/>
      <c r="D404" s="1"/>
      <c r="E404" s="1"/>
      <c r="F404" s="1"/>
      <c r="G404" s="1"/>
      <c r="H404" s="1"/>
      <c r="I404" s="1"/>
      <c r="J404" s="1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4"/>
      <c r="C405" s="14"/>
      <c r="D405" s="1"/>
      <c r="E405" s="1"/>
      <c r="F405" s="1"/>
      <c r="G405" s="1"/>
      <c r="H405" s="1"/>
      <c r="I405" s="1"/>
      <c r="J405" s="1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4"/>
      <c r="C406" s="14"/>
      <c r="D406" s="1"/>
      <c r="E406" s="1"/>
      <c r="F406" s="1"/>
      <c r="G406" s="1"/>
      <c r="H406" s="1"/>
      <c r="I406" s="1"/>
      <c r="J406" s="1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4"/>
      <c r="C407" s="14"/>
      <c r="D407" s="1"/>
      <c r="E407" s="1"/>
      <c r="F407" s="1"/>
      <c r="G407" s="1"/>
      <c r="H407" s="1"/>
      <c r="I407" s="1"/>
      <c r="J407" s="1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4"/>
      <c r="C408" s="14"/>
      <c r="D408" s="1"/>
      <c r="E408" s="1"/>
      <c r="F408" s="1"/>
      <c r="G408" s="1"/>
      <c r="H408" s="1"/>
      <c r="I408" s="1"/>
      <c r="J408" s="1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4"/>
      <c r="C409" s="14"/>
      <c r="D409" s="1"/>
      <c r="E409" s="1"/>
      <c r="F409" s="1"/>
      <c r="G409" s="1"/>
      <c r="H409" s="1"/>
      <c r="I409" s="1"/>
      <c r="J409" s="1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4"/>
      <c r="C410" s="14"/>
      <c r="D410" s="1"/>
      <c r="E410" s="1"/>
      <c r="F410" s="1"/>
      <c r="G410" s="1"/>
      <c r="H410" s="1"/>
      <c r="I410" s="1"/>
      <c r="J410" s="1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4"/>
      <c r="C411" s="14"/>
      <c r="D411" s="1"/>
      <c r="E411" s="1"/>
      <c r="F411" s="1"/>
      <c r="G411" s="1"/>
      <c r="H411" s="1"/>
      <c r="I411" s="1"/>
      <c r="J411" s="1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4"/>
      <c r="C412" s="14"/>
      <c r="D412" s="1"/>
      <c r="E412" s="1"/>
      <c r="F412" s="1"/>
      <c r="G412" s="1"/>
      <c r="H412" s="1"/>
      <c r="I412" s="1"/>
      <c r="J412" s="1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4"/>
      <c r="C413" s="14"/>
      <c r="D413" s="1"/>
      <c r="E413" s="1"/>
      <c r="F413" s="1"/>
      <c r="G413" s="1"/>
      <c r="H413" s="1"/>
      <c r="I413" s="1"/>
      <c r="J413" s="1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4"/>
      <c r="C414" s="14"/>
      <c r="D414" s="1"/>
      <c r="E414" s="1"/>
      <c r="F414" s="1"/>
      <c r="G414" s="1"/>
      <c r="H414" s="1"/>
      <c r="I414" s="1"/>
      <c r="J414" s="1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4"/>
      <c r="C415" s="14"/>
      <c r="D415" s="1"/>
      <c r="E415" s="1"/>
      <c r="F415" s="1"/>
      <c r="G415" s="1"/>
      <c r="H415" s="1"/>
      <c r="I415" s="1"/>
      <c r="J415" s="1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4"/>
      <c r="C416" s="14"/>
      <c r="D416" s="1"/>
      <c r="E416" s="1"/>
      <c r="F416" s="1"/>
      <c r="G416" s="1"/>
      <c r="H416" s="1"/>
      <c r="I416" s="1"/>
      <c r="J416" s="1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4"/>
      <c r="C417" s="14"/>
      <c r="D417" s="1"/>
      <c r="E417" s="1"/>
      <c r="F417" s="1"/>
      <c r="G417" s="1"/>
      <c r="H417" s="1"/>
      <c r="I417" s="1"/>
      <c r="J417" s="1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4"/>
      <c r="C418" s="14"/>
      <c r="D418" s="1"/>
      <c r="E418" s="1"/>
      <c r="F418" s="1"/>
      <c r="G418" s="1"/>
      <c r="H418" s="1"/>
      <c r="I418" s="1"/>
      <c r="J418" s="1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4"/>
      <c r="C419" s="14"/>
      <c r="D419" s="1"/>
      <c r="E419" s="1"/>
      <c r="F419" s="1"/>
      <c r="G419" s="1"/>
      <c r="H419" s="1"/>
      <c r="I419" s="1"/>
      <c r="J419" s="1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4"/>
      <c r="C420" s="14"/>
      <c r="D420" s="1"/>
      <c r="E420" s="1"/>
      <c r="F420" s="1"/>
      <c r="G420" s="1"/>
      <c r="H420" s="1"/>
      <c r="I420" s="1"/>
      <c r="J420" s="1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4"/>
      <c r="C421" s="14"/>
      <c r="D421" s="1"/>
      <c r="E421" s="1"/>
      <c r="F421" s="1"/>
      <c r="G421" s="1"/>
      <c r="H421" s="1"/>
      <c r="I421" s="1"/>
      <c r="J421" s="1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4"/>
      <c r="C422" s="14"/>
      <c r="D422" s="1"/>
      <c r="E422" s="1"/>
      <c r="F422" s="1"/>
      <c r="G422" s="1"/>
      <c r="H422" s="1"/>
      <c r="I422" s="1"/>
      <c r="J422" s="1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4"/>
      <c r="C423" s="14"/>
      <c r="D423" s="1"/>
      <c r="E423" s="1"/>
      <c r="F423" s="1"/>
      <c r="G423" s="1"/>
      <c r="H423" s="1"/>
      <c r="I423" s="1"/>
      <c r="J423" s="1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4"/>
      <c r="C424" s="14"/>
      <c r="D424" s="1"/>
      <c r="E424" s="1"/>
      <c r="F424" s="1"/>
      <c r="G424" s="1"/>
      <c r="H424" s="1"/>
      <c r="I424" s="1"/>
      <c r="J424" s="1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4"/>
      <c r="C425" s="14"/>
      <c r="D425" s="1"/>
      <c r="E425" s="1"/>
      <c r="F425" s="1"/>
      <c r="G425" s="1"/>
      <c r="H425" s="1"/>
      <c r="I425" s="1"/>
      <c r="J425" s="1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4"/>
      <c r="C426" s="14"/>
      <c r="D426" s="1"/>
      <c r="E426" s="1"/>
      <c r="F426" s="1"/>
      <c r="G426" s="1"/>
      <c r="H426" s="1"/>
      <c r="I426" s="1"/>
      <c r="J426" s="1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4"/>
      <c r="C427" s="14"/>
      <c r="D427" s="1"/>
      <c r="E427" s="1"/>
      <c r="F427" s="1"/>
      <c r="G427" s="1"/>
      <c r="H427" s="1"/>
      <c r="I427" s="1"/>
      <c r="J427" s="1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4"/>
      <c r="C428" s="14"/>
      <c r="D428" s="1"/>
      <c r="E428" s="1"/>
      <c r="F428" s="1"/>
      <c r="G428" s="1"/>
      <c r="H428" s="1"/>
      <c r="I428" s="1"/>
      <c r="J428" s="1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4"/>
      <c r="C429" s="14"/>
      <c r="D429" s="1"/>
      <c r="E429" s="1"/>
      <c r="F429" s="1"/>
      <c r="G429" s="1"/>
      <c r="H429" s="1"/>
      <c r="I429" s="1"/>
      <c r="J429" s="1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4"/>
      <c r="C430" s="14"/>
      <c r="D430" s="1"/>
      <c r="E430" s="1"/>
      <c r="F430" s="1"/>
      <c r="G430" s="1"/>
      <c r="H430" s="1"/>
      <c r="I430" s="1"/>
      <c r="J430" s="1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4"/>
      <c r="C431" s="14"/>
      <c r="D431" s="1"/>
      <c r="E431" s="1"/>
      <c r="F431" s="1"/>
      <c r="G431" s="1"/>
      <c r="H431" s="1"/>
      <c r="I431" s="1"/>
      <c r="J431" s="1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4"/>
      <c r="C432" s="14"/>
      <c r="D432" s="1"/>
      <c r="E432" s="1"/>
      <c r="F432" s="1"/>
      <c r="G432" s="1"/>
      <c r="H432" s="1"/>
      <c r="I432" s="1"/>
      <c r="J432" s="1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4"/>
      <c r="C433" s="14"/>
      <c r="D433" s="1"/>
      <c r="E433" s="1"/>
      <c r="F433" s="1"/>
      <c r="G433" s="1"/>
      <c r="H433" s="1"/>
      <c r="I433" s="1"/>
      <c r="J433" s="1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4"/>
      <c r="C434" s="14"/>
      <c r="D434" s="1"/>
      <c r="E434" s="1"/>
      <c r="F434" s="1"/>
      <c r="G434" s="1"/>
      <c r="H434" s="1"/>
      <c r="I434" s="1"/>
      <c r="J434" s="1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4"/>
      <c r="C435" s="14"/>
      <c r="D435" s="1"/>
      <c r="E435" s="1"/>
      <c r="F435" s="1"/>
      <c r="G435" s="1"/>
      <c r="H435" s="1"/>
      <c r="I435" s="1"/>
      <c r="J435" s="1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4"/>
      <c r="C436" s="14"/>
      <c r="D436" s="1"/>
      <c r="E436" s="1"/>
      <c r="F436" s="1"/>
      <c r="G436" s="1"/>
      <c r="H436" s="1"/>
      <c r="I436" s="1"/>
      <c r="J436" s="1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4"/>
      <c r="C437" s="14"/>
      <c r="D437" s="1"/>
      <c r="E437" s="1"/>
      <c r="F437" s="1"/>
      <c r="G437" s="1"/>
      <c r="H437" s="1"/>
      <c r="I437" s="1"/>
      <c r="J437" s="1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4"/>
      <c r="C438" s="14"/>
      <c r="D438" s="1"/>
      <c r="E438" s="1"/>
      <c r="F438" s="1"/>
      <c r="G438" s="1"/>
      <c r="H438" s="1"/>
      <c r="I438" s="1"/>
      <c r="J438" s="1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4"/>
      <c r="C439" s="14"/>
      <c r="D439" s="1"/>
      <c r="E439" s="1"/>
      <c r="F439" s="1"/>
      <c r="G439" s="1"/>
      <c r="H439" s="1"/>
      <c r="I439" s="1"/>
      <c r="J439" s="1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4"/>
      <c r="C440" s="14"/>
      <c r="D440" s="1"/>
      <c r="E440" s="1"/>
      <c r="F440" s="1"/>
      <c r="G440" s="1"/>
      <c r="H440" s="1"/>
      <c r="I440" s="1"/>
      <c r="J440" s="1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4"/>
      <c r="C441" s="14"/>
      <c r="D441" s="1"/>
      <c r="E441" s="1"/>
      <c r="F441" s="1"/>
      <c r="G441" s="1"/>
      <c r="H441" s="1"/>
      <c r="I441" s="1"/>
      <c r="J441" s="1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4"/>
      <c r="C442" s="14"/>
      <c r="D442" s="1"/>
      <c r="E442" s="1"/>
      <c r="F442" s="1"/>
      <c r="G442" s="1"/>
      <c r="H442" s="1"/>
      <c r="I442" s="1"/>
      <c r="J442" s="1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4"/>
      <c r="C443" s="14"/>
      <c r="D443" s="1"/>
      <c r="E443" s="1"/>
      <c r="F443" s="1"/>
      <c r="G443" s="1"/>
      <c r="H443" s="1"/>
      <c r="I443" s="1"/>
      <c r="J443" s="1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4"/>
      <c r="C444" s="14"/>
      <c r="D444" s="1"/>
      <c r="E444" s="1"/>
      <c r="F444" s="1"/>
      <c r="G444" s="1"/>
      <c r="H444" s="1"/>
      <c r="I444" s="1"/>
      <c r="J444" s="1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4"/>
      <c r="C445" s="14"/>
      <c r="D445" s="1"/>
      <c r="E445" s="1"/>
      <c r="F445" s="1"/>
      <c r="G445" s="1"/>
      <c r="H445" s="1"/>
      <c r="I445" s="1"/>
      <c r="J445" s="1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4"/>
      <c r="C446" s="14"/>
      <c r="D446" s="1"/>
      <c r="E446" s="1"/>
      <c r="F446" s="1"/>
      <c r="G446" s="1"/>
      <c r="H446" s="1"/>
      <c r="I446" s="1"/>
      <c r="J446" s="1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4"/>
      <c r="C447" s="14"/>
      <c r="D447" s="1"/>
      <c r="E447" s="1"/>
      <c r="F447" s="1"/>
      <c r="G447" s="1"/>
      <c r="H447" s="1"/>
      <c r="I447" s="1"/>
      <c r="J447" s="1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4"/>
      <c r="C448" s="14"/>
      <c r="D448" s="1"/>
      <c r="E448" s="1"/>
      <c r="F448" s="1"/>
      <c r="G448" s="1"/>
      <c r="H448" s="1"/>
      <c r="I448" s="1"/>
      <c r="J448" s="1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4"/>
      <c r="C449" s="14"/>
      <c r="D449" s="1"/>
      <c r="E449" s="1"/>
      <c r="F449" s="1"/>
      <c r="G449" s="1"/>
      <c r="H449" s="1"/>
      <c r="I449" s="1"/>
      <c r="J449" s="1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4"/>
      <c r="C450" s="14"/>
      <c r="D450" s="1"/>
      <c r="E450" s="1"/>
      <c r="F450" s="1"/>
      <c r="G450" s="1"/>
      <c r="H450" s="1"/>
      <c r="I450" s="1"/>
      <c r="J450" s="1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4"/>
      <c r="C451" s="14"/>
      <c r="D451" s="1"/>
      <c r="E451" s="1"/>
      <c r="F451" s="1"/>
      <c r="G451" s="1"/>
      <c r="H451" s="1"/>
      <c r="I451" s="1"/>
      <c r="J451" s="1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4"/>
      <c r="C452" s="14"/>
      <c r="D452" s="1"/>
      <c r="E452" s="1"/>
      <c r="F452" s="1"/>
      <c r="G452" s="1"/>
      <c r="H452" s="1"/>
      <c r="I452" s="1"/>
      <c r="J452" s="1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4"/>
      <c r="C453" s="14"/>
      <c r="D453" s="1"/>
      <c r="E453" s="1"/>
      <c r="F453" s="1"/>
      <c r="G453" s="1"/>
      <c r="H453" s="1"/>
      <c r="I453" s="1"/>
      <c r="J453" s="1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4"/>
      <c r="C454" s="14"/>
      <c r="D454" s="1"/>
      <c r="E454" s="1"/>
      <c r="F454" s="1"/>
      <c r="G454" s="1"/>
      <c r="H454" s="1"/>
      <c r="I454" s="1"/>
      <c r="J454" s="1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4"/>
      <c r="C455" s="14"/>
      <c r="D455" s="1"/>
      <c r="E455" s="1"/>
      <c r="F455" s="1"/>
      <c r="G455" s="1"/>
      <c r="H455" s="1"/>
      <c r="I455" s="1"/>
      <c r="J455" s="1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4"/>
      <c r="C456" s="14"/>
      <c r="D456" s="1"/>
      <c r="E456" s="1"/>
      <c r="F456" s="1"/>
      <c r="G456" s="1"/>
      <c r="H456" s="1"/>
      <c r="I456" s="1"/>
      <c r="J456" s="1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4"/>
      <c r="C457" s="14"/>
      <c r="D457" s="1"/>
      <c r="E457" s="1"/>
      <c r="F457" s="1"/>
      <c r="G457" s="1"/>
      <c r="H457" s="1"/>
      <c r="I457" s="1"/>
      <c r="J457" s="1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4"/>
      <c r="C458" s="14"/>
      <c r="D458" s="1"/>
      <c r="E458" s="1"/>
      <c r="F458" s="1"/>
      <c r="G458" s="1"/>
      <c r="H458" s="1"/>
      <c r="I458" s="1"/>
      <c r="J458" s="1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4"/>
      <c r="C459" s="14"/>
      <c r="D459" s="1"/>
      <c r="E459" s="1"/>
      <c r="F459" s="1"/>
      <c r="G459" s="1"/>
      <c r="H459" s="1"/>
      <c r="I459" s="1"/>
      <c r="J459" s="1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4"/>
      <c r="C460" s="14"/>
      <c r="D460" s="1"/>
      <c r="E460" s="1"/>
      <c r="F460" s="1"/>
      <c r="G460" s="1"/>
      <c r="H460" s="1"/>
      <c r="I460" s="1"/>
      <c r="J460" s="1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4"/>
      <c r="C461" s="14"/>
      <c r="D461" s="1"/>
      <c r="E461" s="1"/>
      <c r="F461" s="1"/>
      <c r="G461" s="1"/>
      <c r="H461" s="1"/>
      <c r="I461" s="1"/>
      <c r="J461" s="1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4"/>
      <c r="C462" s="14"/>
      <c r="D462" s="1"/>
      <c r="E462" s="1"/>
      <c r="F462" s="1"/>
      <c r="G462" s="1"/>
      <c r="H462" s="1"/>
      <c r="I462" s="1"/>
      <c r="J462" s="1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4"/>
      <c r="C463" s="14"/>
      <c r="D463" s="1"/>
      <c r="E463" s="1"/>
      <c r="F463" s="1"/>
      <c r="G463" s="1"/>
      <c r="H463" s="1"/>
      <c r="I463" s="1"/>
      <c r="J463" s="1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4"/>
      <c r="C464" s="14"/>
      <c r="D464" s="1"/>
      <c r="E464" s="1"/>
      <c r="F464" s="1"/>
      <c r="G464" s="1"/>
      <c r="H464" s="1"/>
      <c r="I464" s="1"/>
      <c r="J464" s="1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4"/>
      <c r="C465" s="14"/>
      <c r="D465" s="1"/>
      <c r="E465" s="1"/>
      <c r="F465" s="1"/>
      <c r="G465" s="1"/>
      <c r="H465" s="1"/>
      <c r="I465" s="1"/>
      <c r="J465" s="1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4"/>
      <c r="C466" s="14"/>
      <c r="D466" s="1"/>
      <c r="E466" s="1"/>
      <c r="F466" s="1"/>
      <c r="G466" s="1"/>
      <c r="H466" s="1"/>
      <c r="I466" s="1"/>
      <c r="J466" s="1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4"/>
      <c r="C467" s="14"/>
      <c r="D467" s="1"/>
      <c r="E467" s="1"/>
      <c r="F467" s="1"/>
      <c r="G467" s="1"/>
      <c r="H467" s="1"/>
      <c r="I467" s="1"/>
      <c r="J467" s="1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4"/>
      <c r="C468" s="14"/>
      <c r="D468" s="1"/>
      <c r="E468" s="1"/>
      <c r="F468" s="1"/>
      <c r="G468" s="1"/>
      <c r="H468" s="1"/>
      <c r="I468" s="1"/>
      <c r="J468" s="1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4"/>
      <c r="C469" s="14"/>
      <c r="D469" s="1"/>
      <c r="E469" s="1"/>
      <c r="F469" s="1"/>
      <c r="G469" s="1"/>
      <c r="H469" s="1"/>
      <c r="I469" s="1"/>
      <c r="J469" s="1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4"/>
      <c r="C470" s="14"/>
      <c r="D470" s="1"/>
      <c r="E470" s="1"/>
      <c r="F470" s="1"/>
      <c r="G470" s="1"/>
      <c r="H470" s="1"/>
      <c r="I470" s="1"/>
      <c r="J470" s="1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4"/>
      <c r="C471" s="14"/>
      <c r="D471" s="1"/>
      <c r="E471" s="1"/>
      <c r="F471" s="1"/>
      <c r="G471" s="1"/>
      <c r="H471" s="1"/>
      <c r="I471" s="1"/>
      <c r="J471" s="1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4"/>
      <c r="C472" s="14"/>
      <c r="D472" s="1"/>
      <c r="E472" s="1"/>
      <c r="F472" s="1"/>
      <c r="G472" s="1"/>
      <c r="H472" s="1"/>
      <c r="I472" s="1"/>
      <c r="J472" s="1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4"/>
      <c r="C473" s="14"/>
      <c r="D473" s="1"/>
      <c r="E473" s="1"/>
      <c r="F473" s="1"/>
      <c r="G473" s="1"/>
      <c r="H473" s="1"/>
      <c r="I473" s="1"/>
      <c r="J473" s="1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4"/>
      <c r="C474" s="14"/>
      <c r="D474" s="1"/>
      <c r="E474" s="1"/>
      <c r="F474" s="1"/>
      <c r="G474" s="1"/>
      <c r="H474" s="1"/>
      <c r="I474" s="1"/>
      <c r="J474" s="1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4"/>
      <c r="C475" s="14"/>
      <c r="D475" s="1"/>
      <c r="E475" s="1"/>
      <c r="F475" s="1"/>
      <c r="G475" s="1"/>
      <c r="H475" s="1"/>
      <c r="I475" s="1"/>
      <c r="J475" s="1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4"/>
      <c r="C476" s="14"/>
      <c r="D476" s="1"/>
      <c r="E476" s="1"/>
      <c r="F476" s="1"/>
      <c r="G476" s="1"/>
      <c r="H476" s="1"/>
      <c r="I476" s="1"/>
      <c r="J476" s="1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4"/>
      <c r="C477" s="14"/>
      <c r="D477" s="1"/>
      <c r="E477" s="1"/>
      <c r="F477" s="1"/>
      <c r="G477" s="1"/>
      <c r="H477" s="1"/>
      <c r="I477" s="1"/>
      <c r="J477" s="1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4"/>
      <c r="C478" s="14"/>
      <c r="D478" s="1"/>
      <c r="E478" s="1"/>
      <c r="F478" s="1"/>
      <c r="G478" s="1"/>
      <c r="H478" s="1"/>
      <c r="I478" s="1"/>
      <c r="J478" s="1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4"/>
      <c r="C479" s="14"/>
      <c r="D479" s="1"/>
      <c r="E479" s="1"/>
      <c r="F479" s="1"/>
      <c r="G479" s="1"/>
      <c r="H479" s="1"/>
      <c r="I479" s="1"/>
      <c r="J479" s="1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4"/>
      <c r="C480" s="14"/>
      <c r="D480" s="1"/>
      <c r="E480" s="1"/>
      <c r="F480" s="1"/>
      <c r="G480" s="1"/>
      <c r="H480" s="1"/>
      <c r="I480" s="1"/>
      <c r="J480" s="1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4"/>
      <c r="C481" s="14"/>
      <c r="D481" s="1"/>
      <c r="E481" s="1"/>
      <c r="F481" s="1"/>
      <c r="G481" s="1"/>
      <c r="H481" s="1"/>
      <c r="I481" s="1"/>
      <c r="J481" s="1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4"/>
      <c r="C482" s="14"/>
      <c r="D482" s="1"/>
      <c r="E482" s="1"/>
      <c r="F482" s="1"/>
      <c r="G482" s="1"/>
      <c r="H482" s="1"/>
      <c r="I482" s="1"/>
      <c r="J482" s="1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4"/>
      <c r="C483" s="14"/>
      <c r="D483" s="1"/>
      <c r="E483" s="1"/>
      <c r="F483" s="1"/>
      <c r="G483" s="1"/>
      <c r="H483" s="1"/>
      <c r="I483" s="1"/>
      <c r="J483" s="1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4"/>
      <c r="C484" s="14"/>
      <c r="D484" s="1"/>
      <c r="E484" s="1"/>
      <c r="F484" s="1"/>
      <c r="G484" s="1"/>
      <c r="H484" s="1"/>
      <c r="I484" s="1"/>
      <c r="J484" s="1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4"/>
      <c r="C485" s="14"/>
      <c r="D485" s="1"/>
      <c r="E485" s="1"/>
      <c r="F485" s="1"/>
      <c r="G485" s="1"/>
      <c r="H485" s="1"/>
      <c r="I485" s="1"/>
      <c r="J485" s="1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4"/>
      <c r="C486" s="14"/>
      <c r="D486" s="1"/>
      <c r="E486" s="1"/>
      <c r="F486" s="1"/>
      <c r="G486" s="1"/>
      <c r="H486" s="1"/>
      <c r="I486" s="1"/>
      <c r="J486" s="1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4"/>
      <c r="C487" s="14"/>
      <c r="D487" s="1"/>
      <c r="E487" s="1"/>
      <c r="F487" s="1"/>
      <c r="G487" s="1"/>
      <c r="H487" s="1"/>
      <c r="I487" s="1"/>
      <c r="J487" s="1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4"/>
      <c r="C488" s="14"/>
      <c r="D488" s="1"/>
      <c r="E488" s="1"/>
      <c r="F488" s="1"/>
      <c r="G488" s="1"/>
      <c r="H488" s="1"/>
      <c r="I488" s="1"/>
      <c r="J488" s="1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4"/>
      <c r="C489" s="14"/>
      <c r="D489" s="1"/>
      <c r="E489" s="1"/>
      <c r="F489" s="1"/>
      <c r="G489" s="1"/>
      <c r="H489" s="1"/>
      <c r="I489" s="1"/>
      <c r="J489" s="1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4"/>
      <c r="C490" s="14"/>
      <c r="D490" s="1"/>
      <c r="E490" s="1"/>
      <c r="F490" s="1"/>
      <c r="G490" s="1"/>
      <c r="H490" s="1"/>
      <c r="I490" s="1"/>
      <c r="J490" s="1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4"/>
      <c r="C491" s="14"/>
      <c r="D491" s="1"/>
      <c r="E491" s="1"/>
      <c r="F491" s="1"/>
      <c r="G491" s="1"/>
      <c r="H491" s="1"/>
      <c r="I491" s="1"/>
      <c r="J491" s="1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4"/>
      <c r="C492" s="14"/>
      <c r="D492" s="1"/>
      <c r="E492" s="1"/>
      <c r="F492" s="1"/>
      <c r="G492" s="1"/>
      <c r="H492" s="1"/>
      <c r="I492" s="1"/>
      <c r="J492" s="1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4"/>
      <c r="C493" s="14"/>
      <c r="D493" s="1"/>
      <c r="E493" s="1"/>
      <c r="F493" s="1"/>
      <c r="G493" s="1"/>
      <c r="H493" s="1"/>
      <c r="I493" s="1"/>
      <c r="J493" s="1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4"/>
      <c r="C494" s="14"/>
      <c r="D494" s="1"/>
      <c r="E494" s="1"/>
      <c r="F494" s="1"/>
      <c r="G494" s="1"/>
      <c r="H494" s="1"/>
      <c r="I494" s="1"/>
      <c r="J494" s="1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4"/>
      <c r="C495" s="14"/>
      <c r="D495" s="1"/>
      <c r="E495" s="1"/>
      <c r="F495" s="1"/>
      <c r="G495" s="1"/>
      <c r="H495" s="1"/>
      <c r="I495" s="1"/>
      <c r="J495" s="1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4"/>
      <c r="C496" s="14"/>
      <c r="D496" s="1"/>
      <c r="E496" s="1"/>
      <c r="F496" s="1"/>
      <c r="G496" s="1"/>
      <c r="H496" s="1"/>
      <c r="I496" s="1"/>
      <c r="J496" s="1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4"/>
      <c r="C497" s="14"/>
      <c r="D497" s="1"/>
      <c r="E497" s="1"/>
      <c r="F497" s="1"/>
      <c r="G497" s="1"/>
      <c r="H497" s="1"/>
      <c r="I497" s="1"/>
      <c r="J497" s="1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4"/>
      <c r="C498" s="14"/>
      <c r="D498" s="1"/>
      <c r="E498" s="1"/>
      <c r="F498" s="1"/>
      <c r="G498" s="1"/>
      <c r="H498" s="1"/>
      <c r="I498" s="1"/>
      <c r="J498" s="1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4"/>
      <c r="C499" s="14"/>
      <c r="D499" s="1"/>
      <c r="E499" s="1"/>
      <c r="F499" s="1"/>
      <c r="G499" s="1"/>
      <c r="H499" s="1"/>
      <c r="I499" s="1"/>
      <c r="J499" s="1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4"/>
      <c r="C500" s="14"/>
      <c r="D500" s="1"/>
      <c r="E500" s="1"/>
      <c r="F500" s="1"/>
      <c r="G500" s="1"/>
      <c r="H500" s="1"/>
      <c r="I500" s="1"/>
      <c r="J500" s="1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4"/>
      <c r="C501" s="14"/>
      <c r="D501" s="1"/>
      <c r="E501" s="1"/>
      <c r="F501" s="1"/>
      <c r="G501" s="1"/>
      <c r="H501" s="1"/>
      <c r="I501" s="1"/>
      <c r="J501" s="1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4"/>
      <c r="C502" s="14"/>
      <c r="D502" s="1"/>
      <c r="E502" s="1"/>
      <c r="F502" s="1"/>
      <c r="G502" s="1"/>
      <c r="H502" s="1"/>
      <c r="I502" s="1"/>
      <c r="J502" s="1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4"/>
      <c r="C503" s="14"/>
      <c r="D503" s="1"/>
      <c r="E503" s="1"/>
      <c r="F503" s="1"/>
      <c r="G503" s="1"/>
      <c r="H503" s="1"/>
      <c r="I503" s="1"/>
      <c r="J503" s="1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4"/>
      <c r="C504" s="14"/>
      <c r="D504" s="1"/>
      <c r="E504" s="1"/>
      <c r="F504" s="1"/>
      <c r="G504" s="1"/>
      <c r="H504" s="1"/>
      <c r="I504" s="1"/>
      <c r="J504" s="1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4"/>
      <c r="C505" s="14"/>
      <c r="D505" s="1"/>
      <c r="E505" s="1"/>
      <c r="F505" s="1"/>
      <c r="G505" s="1"/>
      <c r="H505" s="1"/>
      <c r="I505" s="1"/>
      <c r="J505" s="1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4"/>
      <c r="C506" s="14"/>
      <c r="D506" s="1"/>
      <c r="E506" s="1"/>
      <c r="F506" s="1"/>
      <c r="G506" s="1"/>
      <c r="H506" s="1"/>
      <c r="I506" s="1"/>
      <c r="J506" s="1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4"/>
      <c r="C507" s="14"/>
      <c r="D507" s="1"/>
      <c r="E507" s="1"/>
      <c r="F507" s="1"/>
      <c r="G507" s="1"/>
      <c r="H507" s="1"/>
      <c r="I507" s="1"/>
      <c r="J507" s="1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4"/>
      <c r="C508" s="14"/>
      <c r="D508" s="1"/>
      <c r="E508" s="1"/>
      <c r="F508" s="1"/>
      <c r="G508" s="1"/>
      <c r="H508" s="1"/>
      <c r="I508" s="1"/>
      <c r="J508" s="1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4"/>
      <c r="C509" s="14"/>
      <c r="D509" s="1"/>
      <c r="E509" s="1"/>
      <c r="F509" s="1"/>
      <c r="G509" s="1"/>
      <c r="H509" s="1"/>
      <c r="I509" s="1"/>
      <c r="J509" s="1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4"/>
      <c r="C510" s="14"/>
      <c r="D510" s="1"/>
      <c r="E510" s="1"/>
      <c r="F510" s="1"/>
      <c r="G510" s="1"/>
      <c r="H510" s="1"/>
      <c r="I510" s="1"/>
      <c r="J510" s="1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4"/>
      <c r="C511" s="14"/>
      <c r="D511" s="1"/>
      <c r="E511" s="1"/>
      <c r="F511" s="1"/>
      <c r="G511" s="1"/>
      <c r="H511" s="1"/>
      <c r="I511" s="1"/>
      <c r="J511" s="1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4"/>
      <c r="C512" s="14"/>
      <c r="D512" s="1"/>
      <c r="E512" s="1"/>
      <c r="F512" s="1"/>
      <c r="G512" s="1"/>
      <c r="H512" s="1"/>
      <c r="I512" s="1"/>
      <c r="J512" s="1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4"/>
      <c r="C513" s="14"/>
      <c r="D513" s="1"/>
      <c r="E513" s="1"/>
      <c r="F513" s="1"/>
      <c r="G513" s="1"/>
      <c r="H513" s="1"/>
      <c r="I513" s="1"/>
      <c r="J513" s="1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4"/>
      <c r="C514" s="14"/>
      <c r="D514" s="1"/>
      <c r="E514" s="1"/>
      <c r="F514" s="1"/>
      <c r="G514" s="1"/>
      <c r="H514" s="1"/>
      <c r="I514" s="1"/>
      <c r="J514" s="1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4"/>
      <c r="C515" s="14"/>
      <c r="D515" s="1"/>
      <c r="E515" s="1"/>
      <c r="F515" s="1"/>
      <c r="G515" s="1"/>
      <c r="H515" s="1"/>
      <c r="I515" s="1"/>
      <c r="J515" s="1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4"/>
      <c r="C516" s="14"/>
      <c r="D516" s="1"/>
      <c r="E516" s="1"/>
      <c r="F516" s="1"/>
      <c r="G516" s="1"/>
      <c r="H516" s="1"/>
      <c r="I516" s="1"/>
      <c r="J516" s="1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4"/>
      <c r="C517" s="14"/>
      <c r="D517" s="1"/>
      <c r="E517" s="1"/>
      <c r="F517" s="1"/>
      <c r="G517" s="1"/>
      <c r="H517" s="1"/>
      <c r="I517" s="1"/>
      <c r="J517" s="1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4"/>
      <c r="C518" s="14"/>
      <c r="D518" s="1"/>
      <c r="E518" s="1"/>
      <c r="F518" s="1"/>
      <c r="G518" s="1"/>
      <c r="H518" s="1"/>
      <c r="I518" s="1"/>
      <c r="J518" s="1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4"/>
      <c r="C519" s="14"/>
      <c r="D519" s="1"/>
      <c r="E519" s="1"/>
      <c r="F519" s="1"/>
      <c r="G519" s="1"/>
      <c r="H519" s="1"/>
      <c r="I519" s="1"/>
      <c r="J519" s="1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4"/>
      <c r="C520" s="14"/>
      <c r="D520" s="1"/>
      <c r="E520" s="1"/>
      <c r="F520" s="1"/>
      <c r="G520" s="1"/>
      <c r="H520" s="1"/>
      <c r="I520" s="1"/>
      <c r="J520" s="1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4"/>
      <c r="C521" s="14"/>
      <c r="D521" s="1"/>
      <c r="E521" s="1"/>
      <c r="F521" s="1"/>
      <c r="G521" s="1"/>
      <c r="H521" s="1"/>
      <c r="I521" s="1"/>
      <c r="J521" s="1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4"/>
      <c r="C522" s="14"/>
      <c r="D522" s="1"/>
      <c r="E522" s="1"/>
      <c r="F522" s="1"/>
      <c r="G522" s="1"/>
      <c r="H522" s="1"/>
      <c r="I522" s="1"/>
      <c r="J522" s="1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4"/>
      <c r="C523" s="14"/>
      <c r="D523" s="1"/>
      <c r="E523" s="1"/>
      <c r="F523" s="1"/>
      <c r="G523" s="1"/>
      <c r="H523" s="1"/>
      <c r="I523" s="1"/>
      <c r="J523" s="1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4"/>
      <c r="C524" s="14"/>
      <c r="D524" s="1"/>
      <c r="E524" s="1"/>
      <c r="F524" s="1"/>
      <c r="G524" s="1"/>
      <c r="H524" s="1"/>
      <c r="I524" s="1"/>
      <c r="J524" s="1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4"/>
      <c r="C525" s="14"/>
      <c r="D525" s="1"/>
      <c r="E525" s="1"/>
      <c r="F525" s="1"/>
      <c r="G525" s="1"/>
      <c r="H525" s="1"/>
      <c r="I525" s="1"/>
      <c r="J525" s="1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4"/>
      <c r="C526" s="14"/>
      <c r="D526" s="1"/>
      <c r="E526" s="1"/>
      <c r="F526" s="1"/>
      <c r="G526" s="1"/>
      <c r="H526" s="1"/>
      <c r="I526" s="1"/>
      <c r="J526" s="1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4"/>
      <c r="C527" s="14"/>
      <c r="D527" s="1"/>
      <c r="E527" s="1"/>
      <c r="F527" s="1"/>
      <c r="G527" s="1"/>
      <c r="H527" s="1"/>
      <c r="I527" s="1"/>
      <c r="J527" s="1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4"/>
      <c r="C528" s="14"/>
      <c r="D528" s="1"/>
      <c r="E528" s="1"/>
      <c r="F528" s="1"/>
      <c r="G528" s="1"/>
      <c r="H528" s="1"/>
      <c r="I528" s="1"/>
      <c r="J528" s="1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4"/>
      <c r="C529" s="14"/>
      <c r="D529" s="1"/>
      <c r="E529" s="1"/>
      <c r="F529" s="1"/>
      <c r="G529" s="1"/>
      <c r="H529" s="1"/>
      <c r="I529" s="1"/>
      <c r="J529" s="1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4"/>
      <c r="C530" s="14"/>
      <c r="D530" s="1"/>
      <c r="E530" s="1"/>
      <c r="F530" s="1"/>
      <c r="G530" s="1"/>
      <c r="H530" s="1"/>
      <c r="I530" s="1"/>
      <c r="J530" s="1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4"/>
      <c r="C531" s="14"/>
      <c r="D531" s="1"/>
      <c r="E531" s="1"/>
      <c r="F531" s="1"/>
      <c r="G531" s="1"/>
      <c r="H531" s="1"/>
      <c r="I531" s="1"/>
      <c r="J531" s="1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4"/>
      <c r="C532" s="14"/>
      <c r="D532" s="1"/>
      <c r="E532" s="1"/>
      <c r="F532" s="1"/>
      <c r="G532" s="1"/>
      <c r="H532" s="1"/>
      <c r="I532" s="1"/>
      <c r="J532" s="1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4"/>
      <c r="C533" s="14"/>
      <c r="D533" s="1"/>
      <c r="E533" s="1"/>
      <c r="F533" s="1"/>
      <c r="G533" s="1"/>
      <c r="H533" s="1"/>
      <c r="I533" s="1"/>
      <c r="J533" s="1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4"/>
      <c r="C534" s="14"/>
      <c r="D534" s="1"/>
      <c r="E534" s="1"/>
      <c r="F534" s="1"/>
      <c r="G534" s="1"/>
      <c r="H534" s="1"/>
      <c r="I534" s="1"/>
      <c r="J534" s="1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4"/>
      <c r="C535" s="14"/>
      <c r="D535" s="1"/>
      <c r="E535" s="1"/>
      <c r="F535" s="1"/>
      <c r="G535" s="1"/>
      <c r="H535" s="1"/>
      <c r="I535" s="1"/>
      <c r="J535" s="1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4"/>
      <c r="C536" s="14"/>
      <c r="D536" s="1"/>
      <c r="E536" s="1"/>
      <c r="F536" s="1"/>
      <c r="G536" s="1"/>
      <c r="H536" s="1"/>
      <c r="I536" s="1"/>
      <c r="J536" s="1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4"/>
      <c r="C537" s="14"/>
      <c r="D537" s="1"/>
      <c r="E537" s="1"/>
      <c r="F537" s="1"/>
      <c r="G537" s="1"/>
      <c r="H537" s="1"/>
      <c r="I537" s="1"/>
      <c r="J537" s="1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4"/>
      <c r="C538" s="14"/>
      <c r="D538" s="1"/>
      <c r="E538" s="1"/>
      <c r="F538" s="1"/>
      <c r="G538" s="1"/>
      <c r="H538" s="1"/>
      <c r="I538" s="1"/>
      <c r="J538" s="1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4"/>
      <c r="C539" s="14"/>
      <c r="D539" s="1"/>
      <c r="E539" s="1"/>
      <c r="F539" s="1"/>
      <c r="G539" s="1"/>
      <c r="H539" s="1"/>
      <c r="I539" s="1"/>
      <c r="J539" s="1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4"/>
      <c r="C540" s="14"/>
      <c r="D540" s="1"/>
      <c r="E540" s="1"/>
      <c r="F540" s="1"/>
      <c r="G540" s="1"/>
      <c r="H540" s="1"/>
      <c r="I540" s="1"/>
      <c r="J540" s="1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4"/>
      <c r="C541" s="14"/>
      <c r="D541" s="1"/>
      <c r="E541" s="1"/>
      <c r="F541" s="1"/>
      <c r="G541" s="1"/>
      <c r="H541" s="1"/>
      <c r="I541" s="1"/>
      <c r="J541" s="1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4"/>
      <c r="C542" s="14"/>
      <c r="D542" s="1"/>
      <c r="E542" s="1"/>
      <c r="F542" s="1"/>
      <c r="G542" s="1"/>
      <c r="H542" s="1"/>
      <c r="I542" s="1"/>
      <c r="J542" s="1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4"/>
      <c r="C543" s="14"/>
      <c r="D543" s="1"/>
      <c r="E543" s="1"/>
      <c r="F543" s="1"/>
      <c r="G543" s="1"/>
      <c r="H543" s="1"/>
      <c r="I543" s="1"/>
      <c r="J543" s="1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4"/>
      <c r="C544" s="14"/>
      <c r="D544" s="1"/>
      <c r="E544" s="1"/>
      <c r="F544" s="1"/>
      <c r="G544" s="1"/>
      <c r="H544" s="1"/>
      <c r="I544" s="1"/>
      <c r="J544" s="1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4"/>
      <c r="C545" s="14"/>
      <c r="D545" s="1"/>
      <c r="E545" s="1"/>
      <c r="F545" s="1"/>
      <c r="G545" s="1"/>
      <c r="H545" s="1"/>
      <c r="I545" s="1"/>
      <c r="J545" s="1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4"/>
      <c r="C546" s="14"/>
      <c r="D546" s="1"/>
      <c r="E546" s="1"/>
      <c r="F546" s="1"/>
      <c r="G546" s="1"/>
      <c r="H546" s="1"/>
      <c r="I546" s="1"/>
      <c r="J546" s="1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4"/>
      <c r="C547" s="14"/>
      <c r="D547" s="1"/>
      <c r="E547" s="1"/>
      <c r="F547" s="1"/>
      <c r="G547" s="1"/>
      <c r="H547" s="1"/>
      <c r="I547" s="1"/>
      <c r="J547" s="1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4"/>
      <c r="C548" s="14"/>
      <c r="D548" s="1"/>
      <c r="E548" s="1"/>
      <c r="F548" s="1"/>
      <c r="G548" s="1"/>
      <c r="H548" s="1"/>
      <c r="I548" s="1"/>
      <c r="J548" s="1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4"/>
      <c r="C549" s="14"/>
      <c r="D549" s="1"/>
      <c r="E549" s="1"/>
      <c r="F549" s="1"/>
      <c r="G549" s="1"/>
      <c r="H549" s="1"/>
      <c r="I549" s="1"/>
      <c r="J549" s="1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4"/>
      <c r="C550" s="14"/>
      <c r="D550" s="1"/>
      <c r="E550" s="1"/>
      <c r="F550" s="1"/>
      <c r="G550" s="1"/>
      <c r="H550" s="1"/>
      <c r="I550" s="1"/>
      <c r="J550" s="1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4"/>
      <c r="C551" s="14"/>
      <c r="D551" s="1"/>
      <c r="E551" s="1"/>
      <c r="F551" s="1"/>
      <c r="G551" s="1"/>
      <c r="H551" s="1"/>
      <c r="I551" s="1"/>
      <c r="J551" s="1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4"/>
      <c r="C552" s="14"/>
      <c r="D552" s="1"/>
      <c r="E552" s="1"/>
      <c r="F552" s="1"/>
      <c r="G552" s="1"/>
      <c r="H552" s="1"/>
      <c r="I552" s="1"/>
      <c r="J552" s="1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4"/>
      <c r="C553" s="14"/>
      <c r="D553" s="1"/>
      <c r="E553" s="1"/>
      <c r="F553" s="1"/>
      <c r="G553" s="1"/>
      <c r="H553" s="1"/>
      <c r="I553" s="1"/>
      <c r="J553" s="1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4"/>
      <c r="C554" s="14"/>
      <c r="D554" s="1"/>
      <c r="E554" s="1"/>
      <c r="F554" s="1"/>
      <c r="G554" s="1"/>
      <c r="H554" s="1"/>
      <c r="I554" s="1"/>
      <c r="J554" s="1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4"/>
      <c r="C555" s="14"/>
      <c r="D555" s="1"/>
      <c r="E555" s="1"/>
      <c r="F555" s="1"/>
      <c r="G555" s="1"/>
      <c r="H555" s="1"/>
      <c r="I555" s="1"/>
      <c r="J555" s="1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4"/>
      <c r="C556" s="14"/>
      <c r="D556" s="1"/>
      <c r="E556" s="1"/>
      <c r="F556" s="1"/>
      <c r="G556" s="1"/>
      <c r="H556" s="1"/>
      <c r="I556" s="1"/>
      <c r="J556" s="1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4"/>
      <c r="C557" s="14"/>
      <c r="D557" s="1"/>
      <c r="E557" s="1"/>
      <c r="F557" s="1"/>
      <c r="G557" s="1"/>
      <c r="H557" s="1"/>
      <c r="I557" s="1"/>
      <c r="J557" s="1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4"/>
      <c r="C558" s="14"/>
      <c r="D558" s="1"/>
      <c r="E558" s="1"/>
      <c r="F558" s="1"/>
      <c r="G558" s="1"/>
      <c r="H558" s="1"/>
      <c r="I558" s="1"/>
      <c r="J558" s="1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4"/>
      <c r="C559" s="14"/>
      <c r="D559" s="1"/>
      <c r="E559" s="1"/>
      <c r="F559" s="1"/>
      <c r="G559" s="1"/>
      <c r="H559" s="1"/>
      <c r="I559" s="1"/>
      <c r="J559" s="1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4"/>
      <c r="C560" s="14"/>
      <c r="D560" s="1"/>
      <c r="E560" s="1"/>
      <c r="F560" s="1"/>
      <c r="G560" s="1"/>
      <c r="H560" s="1"/>
      <c r="I560" s="1"/>
      <c r="J560" s="1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4"/>
      <c r="C561" s="14"/>
      <c r="D561" s="1"/>
      <c r="E561" s="1"/>
      <c r="F561" s="1"/>
      <c r="G561" s="1"/>
      <c r="H561" s="1"/>
      <c r="I561" s="1"/>
      <c r="J561" s="1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4"/>
      <c r="C562" s="14"/>
      <c r="D562" s="1"/>
      <c r="E562" s="1"/>
      <c r="F562" s="1"/>
      <c r="G562" s="1"/>
      <c r="H562" s="1"/>
      <c r="I562" s="1"/>
      <c r="J562" s="1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4"/>
      <c r="C563" s="14"/>
      <c r="D563" s="1"/>
      <c r="E563" s="1"/>
      <c r="F563" s="1"/>
      <c r="G563" s="1"/>
      <c r="H563" s="1"/>
      <c r="I563" s="1"/>
      <c r="J563" s="1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4"/>
      <c r="C564" s="14"/>
      <c r="D564" s="1"/>
      <c r="E564" s="1"/>
      <c r="F564" s="1"/>
      <c r="G564" s="1"/>
      <c r="H564" s="1"/>
      <c r="I564" s="1"/>
      <c r="J564" s="1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4"/>
      <c r="C565" s="14"/>
      <c r="D565" s="1"/>
      <c r="E565" s="1"/>
      <c r="F565" s="1"/>
      <c r="G565" s="1"/>
      <c r="H565" s="1"/>
      <c r="I565" s="1"/>
      <c r="J565" s="1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4"/>
      <c r="C566" s="14"/>
      <c r="D566" s="1"/>
      <c r="E566" s="1"/>
      <c r="F566" s="1"/>
      <c r="G566" s="1"/>
      <c r="H566" s="1"/>
      <c r="I566" s="1"/>
      <c r="J566" s="1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4"/>
      <c r="C567" s="14"/>
      <c r="D567" s="1"/>
      <c r="E567" s="1"/>
      <c r="F567" s="1"/>
      <c r="G567" s="1"/>
      <c r="H567" s="1"/>
      <c r="I567" s="1"/>
      <c r="J567" s="1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4"/>
      <c r="C568" s="14"/>
      <c r="D568" s="1"/>
      <c r="E568" s="1"/>
      <c r="F568" s="1"/>
      <c r="G568" s="1"/>
      <c r="H568" s="1"/>
      <c r="I568" s="1"/>
      <c r="J568" s="1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4"/>
      <c r="C569" s="14"/>
      <c r="D569" s="1"/>
      <c r="E569" s="1"/>
      <c r="F569" s="1"/>
      <c r="G569" s="1"/>
      <c r="H569" s="1"/>
      <c r="I569" s="1"/>
      <c r="J569" s="1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4"/>
      <c r="C570" s="14"/>
      <c r="D570" s="1"/>
      <c r="E570" s="1"/>
      <c r="F570" s="1"/>
      <c r="G570" s="1"/>
      <c r="H570" s="1"/>
      <c r="I570" s="1"/>
      <c r="J570" s="1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4"/>
      <c r="C571" s="14"/>
      <c r="D571" s="1"/>
      <c r="E571" s="1"/>
      <c r="F571" s="1"/>
      <c r="G571" s="1"/>
      <c r="H571" s="1"/>
      <c r="I571" s="1"/>
      <c r="J571" s="1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4"/>
      <c r="C572" s="14"/>
      <c r="D572" s="1"/>
      <c r="E572" s="1"/>
      <c r="F572" s="1"/>
      <c r="G572" s="1"/>
      <c r="H572" s="1"/>
      <c r="I572" s="1"/>
      <c r="J572" s="1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4"/>
      <c r="C573" s="14"/>
      <c r="D573" s="1"/>
      <c r="E573" s="1"/>
      <c r="F573" s="1"/>
      <c r="G573" s="1"/>
      <c r="H573" s="1"/>
      <c r="I573" s="1"/>
      <c r="J573" s="1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4"/>
      <c r="C574" s="14"/>
      <c r="D574" s="1"/>
      <c r="E574" s="1"/>
      <c r="F574" s="1"/>
      <c r="G574" s="1"/>
      <c r="H574" s="1"/>
      <c r="I574" s="1"/>
      <c r="J574" s="1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4"/>
      <c r="C575" s="14"/>
      <c r="D575" s="1"/>
      <c r="E575" s="1"/>
      <c r="F575" s="1"/>
      <c r="G575" s="1"/>
      <c r="H575" s="1"/>
      <c r="I575" s="1"/>
      <c r="J575" s="1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4"/>
      <c r="C576" s="14"/>
      <c r="D576" s="1"/>
      <c r="E576" s="1"/>
      <c r="F576" s="1"/>
      <c r="G576" s="1"/>
      <c r="H576" s="1"/>
      <c r="I576" s="1"/>
      <c r="J576" s="1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4"/>
      <c r="C577" s="14"/>
      <c r="D577" s="1"/>
      <c r="E577" s="1"/>
      <c r="F577" s="1"/>
      <c r="G577" s="1"/>
      <c r="H577" s="1"/>
      <c r="I577" s="1"/>
      <c r="J577" s="1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4"/>
      <c r="C578" s="14"/>
      <c r="D578" s="1"/>
      <c r="E578" s="1"/>
      <c r="F578" s="1"/>
      <c r="G578" s="1"/>
      <c r="H578" s="1"/>
      <c r="I578" s="1"/>
      <c r="J578" s="1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4"/>
      <c r="C579" s="14"/>
      <c r="D579" s="1"/>
      <c r="E579" s="1"/>
      <c r="F579" s="1"/>
      <c r="G579" s="1"/>
      <c r="H579" s="1"/>
      <c r="I579" s="1"/>
      <c r="J579" s="1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4"/>
      <c r="C580" s="14"/>
      <c r="D580" s="1"/>
      <c r="E580" s="1"/>
      <c r="F580" s="1"/>
      <c r="G580" s="1"/>
      <c r="H580" s="1"/>
      <c r="I580" s="1"/>
      <c r="J580" s="1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4"/>
      <c r="C581" s="14"/>
      <c r="D581" s="1"/>
      <c r="E581" s="1"/>
      <c r="F581" s="1"/>
      <c r="G581" s="1"/>
      <c r="H581" s="1"/>
      <c r="I581" s="1"/>
      <c r="J581" s="1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4"/>
      <c r="C582" s="14"/>
      <c r="D582" s="1"/>
      <c r="E582" s="1"/>
      <c r="F582" s="1"/>
      <c r="G582" s="1"/>
      <c r="H582" s="1"/>
      <c r="I582" s="1"/>
      <c r="J582" s="1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4"/>
      <c r="C583" s="14"/>
      <c r="D583" s="1"/>
      <c r="E583" s="1"/>
      <c r="F583" s="1"/>
      <c r="G583" s="1"/>
      <c r="H583" s="1"/>
      <c r="I583" s="1"/>
      <c r="J583" s="1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4"/>
      <c r="C584" s="14"/>
      <c r="D584" s="1"/>
      <c r="E584" s="1"/>
      <c r="F584" s="1"/>
      <c r="G584" s="1"/>
      <c r="H584" s="1"/>
      <c r="I584" s="1"/>
      <c r="J584" s="1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4"/>
      <c r="C585" s="14"/>
      <c r="D585" s="1"/>
      <c r="E585" s="1"/>
      <c r="F585" s="1"/>
      <c r="G585" s="1"/>
      <c r="H585" s="1"/>
      <c r="I585" s="1"/>
      <c r="J585" s="1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4"/>
      <c r="C586" s="14"/>
      <c r="D586" s="1"/>
      <c r="E586" s="1"/>
      <c r="F586" s="1"/>
      <c r="G586" s="1"/>
      <c r="H586" s="1"/>
      <c r="I586" s="1"/>
      <c r="J586" s="1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4"/>
      <c r="C587" s="14"/>
      <c r="D587" s="1"/>
      <c r="E587" s="1"/>
      <c r="F587" s="1"/>
      <c r="G587" s="1"/>
      <c r="H587" s="1"/>
      <c r="I587" s="1"/>
      <c r="J587" s="1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4"/>
      <c r="C588" s="14"/>
      <c r="D588" s="1"/>
      <c r="E588" s="1"/>
      <c r="F588" s="1"/>
      <c r="G588" s="1"/>
      <c r="H588" s="1"/>
      <c r="I588" s="1"/>
      <c r="J588" s="1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4"/>
      <c r="C589" s="14"/>
      <c r="D589" s="1"/>
      <c r="E589" s="1"/>
      <c r="F589" s="1"/>
      <c r="G589" s="1"/>
      <c r="H589" s="1"/>
      <c r="I589" s="1"/>
      <c r="J589" s="1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4"/>
      <c r="C590" s="14"/>
      <c r="D590" s="1"/>
      <c r="E590" s="1"/>
      <c r="F590" s="1"/>
      <c r="G590" s="1"/>
      <c r="H590" s="1"/>
      <c r="I590" s="1"/>
      <c r="J590" s="1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4"/>
      <c r="C591" s="14"/>
      <c r="D591" s="1"/>
      <c r="E591" s="1"/>
      <c r="F591" s="1"/>
      <c r="G591" s="1"/>
      <c r="H591" s="1"/>
      <c r="I591" s="1"/>
      <c r="J591" s="1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4"/>
      <c r="C592" s="14"/>
      <c r="D592" s="1"/>
      <c r="E592" s="1"/>
      <c r="F592" s="1"/>
      <c r="G592" s="1"/>
      <c r="H592" s="1"/>
      <c r="I592" s="1"/>
      <c r="J592" s="1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4"/>
      <c r="C593" s="14"/>
      <c r="D593" s="1"/>
      <c r="E593" s="1"/>
      <c r="F593" s="1"/>
      <c r="G593" s="1"/>
      <c r="H593" s="1"/>
      <c r="I593" s="1"/>
      <c r="J593" s="1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4"/>
      <c r="C594" s="14"/>
      <c r="D594" s="1"/>
      <c r="E594" s="1"/>
      <c r="F594" s="1"/>
      <c r="G594" s="1"/>
      <c r="H594" s="1"/>
      <c r="I594" s="1"/>
      <c r="J594" s="1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4"/>
      <c r="C595" s="14"/>
      <c r="D595" s="1"/>
      <c r="E595" s="1"/>
      <c r="F595" s="1"/>
      <c r="G595" s="1"/>
      <c r="H595" s="1"/>
      <c r="I595" s="1"/>
      <c r="J595" s="1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4"/>
      <c r="C596" s="14"/>
      <c r="D596" s="1"/>
      <c r="E596" s="1"/>
      <c r="F596" s="1"/>
      <c r="G596" s="1"/>
      <c r="H596" s="1"/>
      <c r="I596" s="1"/>
      <c r="J596" s="1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4"/>
      <c r="C597" s="14"/>
      <c r="D597" s="1"/>
      <c r="E597" s="1"/>
      <c r="F597" s="1"/>
      <c r="G597" s="1"/>
      <c r="H597" s="1"/>
      <c r="I597" s="1"/>
      <c r="J597" s="1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4"/>
      <c r="C598" s="14"/>
      <c r="D598" s="1"/>
      <c r="E598" s="1"/>
      <c r="F598" s="1"/>
      <c r="G598" s="1"/>
      <c r="H598" s="1"/>
      <c r="I598" s="1"/>
      <c r="J598" s="1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4"/>
      <c r="C599" s="14"/>
      <c r="D599" s="1"/>
      <c r="E599" s="1"/>
      <c r="F599" s="1"/>
      <c r="G599" s="1"/>
      <c r="H599" s="1"/>
      <c r="I599" s="1"/>
      <c r="J599" s="1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4"/>
      <c r="C600" s="14"/>
      <c r="D600" s="1"/>
      <c r="E600" s="1"/>
      <c r="F600" s="1"/>
      <c r="G600" s="1"/>
      <c r="H600" s="1"/>
      <c r="I600" s="1"/>
      <c r="J600" s="1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4"/>
      <c r="C601" s="14"/>
      <c r="D601" s="1"/>
      <c r="E601" s="1"/>
      <c r="F601" s="1"/>
      <c r="G601" s="1"/>
      <c r="H601" s="1"/>
      <c r="I601" s="1"/>
      <c r="J601" s="1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4"/>
      <c r="C602" s="14"/>
      <c r="D602" s="1"/>
      <c r="E602" s="1"/>
      <c r="F602" s="1"/>
      <c r="G602" s="1"/>
      <c r="H602" s="1"/>
      <c r="I602" s="1"/>
      <c r="J602" s="1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4"/>
      <c r="C603" s="14"/>
      <c r="D603" s="1"/>
      <c r="E603" s="1"/>
      <c r="F603" s="1"/>
      <c r="G603" s="1"/>
      <c r="H603" s="1"/>
      <c r="I603" s="1"/>
      <c r="J603" s="1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4"/>
      <c r="C604" s="14"/>
      <c r="D604" s="1"/>
      <c r="E604" s="1"/>
      <c r="F604" s="1"/>
      <c r="G604" s="1"/>
      <c r="H604" s="1"/>
      <c r="I604" s="1"/>
      <c r="J604" s="1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4"/>
      <c r="C605" s="14"/>
      <c r="D605" s="1"/>
      <c r="E605" s="1"/>
      <c r="F605" s="1"/>
      <c r="G605" s="1"/>
      <c r="H605" s="1"/>
      <c r="I605" s="1"/>
      <c r="J605" s="1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4"/>
      <c r="C606" s="14"/>
      <c r="D606" s="1"/>
      <c r="E606" s="1"/>
      <c r="F606" s="1"/>
      <c r="G606" s="1"/>
      <c r="H606" s="1"/>
      <c r="I606" s="1"/>
      <c r="J606" s="1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4"/>
      <c r="C607" s="14"/>
      <c r="D607" s="1"/>
      <c r="E607" s="1"/>
      <c r="F607" s="1"/>
      <c r="G607" s="1"/>
      <c r="H607" s="1"/>
      <c r="I607" s="1"/>
      <c r="J607" s="1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4"/>
      <c r="C608" s="14"/>
      <c r="D608" s="1"/>
      <c r="E608" s="1"/>
      <c r="F608" s="1"/>
      <c r="G608" s="1"/>
      <c r="H608" s="1"/>
      <c r="I608" s="1"/>
      <c r="J608" s="1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4"/>
      <c r="C609" s="14"/>
      <c r="D609" s="1"/>
      <c r="E609" s="1"/>
      <c r="F609" s="1"/>
      <c r="G609" s="1"/>
      <c r="H609" s="1"/>
      <c r="I609" s="1"/>
      <c r="J609" s="1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4"/>
      <c r="C610" s="14"/>
      <c r="D610" s="1"/>
      <c r="E610" s="1"/>
      <c r="F610" s="1"/>
      <c r="G610" s="1"/>
      <c r="H610" s="1"/>
      <c r="I610" s="1"/>
      <c r="J610" s="1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4"/>
      <c r="C611" s="14"/>
      <c r="D611" s="1"/>
      <c r="E611" s="1"/>
      <c r="F611" s="1"/>
      <c r="G611" s="1"/>
      <c r="H611" s="1"/>
      <c r="I611" s="1"/>
      <c r="J611" s="1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4"/>
      <c r="C612" s="14"/>
      <c r="D612" s="1"/>
      <c r="E612" s="1"/>
      <c r="F612" s="1"/>
      <c r="G612" s="1"/>
      <c r="H612" s="1"/>
      <c r="I612" s="1"/>
      <c r="J612" s="1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4"/>
      <c r="C613" s="14"/>
      <c r="D613" s="1"/>
      <c r="E613" s="1"/>
      <c r="F613" s="1"/>
      <c r="G613" s="1"/>
      <c r="H613" s="1"/>
      <c r="I613" s="1"/>
      <c r="J613" s="1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4"/>
      <c r="C614" s="14"/>
      <c r="D614" s="1"/>
      <c r="E614" s="1"/>
      <c r="F614" s="1"/>
      <c r="G614" s="1"/>
      <c r="H614" s="1"/>
      <c r="I614" s="1"/>
      <c r="J614" s="1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4"/>
      <c r="C615" s="14"/>
      <c r="D615" s="1"/>
      <c r="E615" s="1"/>
      <c r="F615" s="1"/>
      <c r="G615" s="1"/>
      <c r="H615" s="1"/>
      <c r="I615" s="1"/>
      <c r="J615" s="1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4"/>
      <c r="C616" s="14"/>
      <c r="D616" s="1"/>
      <c r="E616" s="1"/>
      <c r="F616" s="1"/>
      <c r="G616" s="1"/>
      <c r="H616" s="1"/>
      <c r="I616" s="1"/>
      <c r="J616" s="1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4"/>
      <c r="C617" s="14"/>
      <c r="D617" s="1"/>
      <c r="E617" s="1"/>
      <c r="F617" s="1"/>
      <c r="G617" s="1"/>
      <c r="H617" s="1"/>
      <c r="I617" s="1"/>
      <c r="J617" s="1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4"/>
      <c r="C618" s="14"/>
      <c r="D618" s="1"/>
      <c r="E618" s="1"/>
      <c r="F618" s="1"/>
      <c r="G618" s="1"/>
      <c r="H618" s="1"/>
      <c r="I618" s="1"/>
      <c r="J618" s="1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4"/>
      <c r="C619" s="14"/>
      <c r="D619" s="1"/>
      <c r="E619" s="1"/>
      <c r="F619" s="1"/>
      <c r="G619" s="1"/>
      <c r="H619" s="1"/>
      <c r="I619" s="1"/>
      <c r="J619" s="1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4"/>
      <c r="C620" s="14"/>
      <c r="D620" s="1"/>
      <c r="E620" s="1"/>
      <c r="F620" s="1"/>
      <c r="G620" s="1"/>
      <c r="H620" s="1"/>
      <c r="I620" s="1"/>
      <c r="J620" s="1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4"/>
      <c r="C621" s="14"/>
      <c r="D621" s="1"/>
      <c r="E621" s="1"/>
      <c r="F621" s="1"/>
      <c r="G621" s="1"/>
      <c r="H621" s="1"/>
      <c r="I621" s="1"/>
      <c r="J621" s="1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4"/>
      <c r="C622" s="14"/>
      <c r="D622" s="1"/>
      <c r="E622" s="1"/>
      <c r="F622" s="1"/>
      <c r="G622" s="1"/>
      <c r="H622" s="1"/>
      <c r="I622" s="1"/>
      <c r="J622" s="1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4"/>
      <c r="C623" s="14"/>
      <c r="D623" s="1"/>
      <c r="E623" s="1"/>
      <c r="F623" s="1"/>
      <c r="G623" s="1"/>
      <c r="H623" s="1"/>
      <c r="I623" s="1"/>
      <c r="J623" s="1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4"/>
      <c r="C624" s="14"/>
      <c r="D624" s="1"/>
      <c r="E624" s="1"/>
      <c r="F624" s="1"/>
      <c r="G624" s="1"/>
      <c r="H624" s="1"/>
      <c r="I624" s="1"/>
      <c r="J624" s="1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4"/>
      <c r="C625" s="14"/>
      <c r="D625" s="1"/>
      <c r="E625" s="1"/>
      <c r="F625" s="1"/>
      <c r="G625" s="1"/>
      <c r="H625" s="1"/>
      <c r="I625" s="1"/>
      <c r="J625" s="1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4"/>
      <c r="C626" s="14"/>
      <c r="D626" s="1"/>
      <c r="E626" s="1"/>
      <c r="F626" s="1"/>
      <c r="G626" s="1"/>
      <c r="H626" s="1"/>
      <c r="I626" s="1"/>
      <c r="J626" s="1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4"/>
      <c r="C627" s="14"/>
      <c r="D627" s="1"/>
      <c r="E627" s="1"/>
      <c r="F627" s="1"/>
      <c r="G627" s="1"/>
      <c r="H627" s="1"/>
      <c r="I627" s="1"/>
      <c r="J627" s="1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4"/>
      <c r="C628" s="14"/>
      <c r="D628" s="1"/>
      <c r="E628" s="1"/>
      <c r="F628" s="1"/>
      <c r="G628" s="1"/>
      <c r="H628" s="1"/>
      <c r="I628" s="1"/>
      <c r="J628" s="1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4"/>
      <c r="C629" s="14"/>
      <c r="D629" s="1"/>
      <c r="E629" s="1"/>
      <c r="F629" s="1"/>
      <c r="G629" s="1"/>
      <c r="H629" s="1"/>
      <c r="I629" s="1"/>
      <c r="J629" s="1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4"/>
      <c r="C630" s="14"/>
      <c r="D630" s="1"/>
      <c r="E630" s="1"/>
      <c r="F630" s="1"/>
      <c r="G630" s="1"/>
      <c r="H630" s="1"/>
      <c r="I630" s="1"/>
      <c r="J630" s="1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4"/>
      <c r="C631" s="14"/>
      <c r="D631" s="1"/>
      <c r="E631" s="1"/>
      <c r="F631" s="1"/>
      <c r="G631" s="1"/>
      <c r="H631" s="1"/>
      <c r="I631" s="1"/>
      <c r="J631" s="1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4"/>
      <c r="C632" s="14"/>
      <c r="D632" s="1"/>
      <c r="E632" s="1"/>
      <c r="F632" s="1"/>
      <c r="G632" s="1"/>
      <c r="H632" s="1"/>
      <c r="I632" s="1"/>
      <c r="J632" s="1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4"/>
      <c r="C633" s="14"/>
      <c r="D633" s="1"/>
      <c r="E633" s="1"/>
      <c r="F633" s="1"/>
      <c r="G633" s="1"/>
      <c r="H633" s="1"/>
      <c r="I633" s="1"/>
      <c r="J633" s="1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4"/>
      <c r="C634" s="14"/>
      <c r="D634" s="1"/>
      <c r="E634" s="1"/>
      <c r="F634" s="1"/>
      <c r="G634" s="1"/>
      <c r="H634" s="1"/>
      <c r="I634" s="1"/>
      <c r="J634" s="1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4"/>
      <c r="C635" s="14"/>
      <c r="D635" s="1"/>
      <c r="E635" s="1"/>
      <c r="F635" s="1"/>
      <c r="G635" s="1"/>
      <c r="H635" s="1"/>
      <c r="I635" s="1"/>
      <c r="J635" s="1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4"/>
      <c r="C636" s="14"/>
      <c r="D636" s="1"/>
      <c r="E636" s="1"/>
      <c r="F636" s="1"/>
      <c r="G636" s="1"/>
      <c r="H636" s="1"/>
      <c r="I636" s="1"/>
      <c r="J636" s="1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4"/>
      <c r="C637" s="14"/>
      <c r="D637" s="1"/>
      <c r="E637" s="1"/>
      <c r="F637" s="1"/>
      <c r="G637" s="1"/>
      <c r="H637" s="1"/>
      <c r="I637" s="1"/>
      <c r="J637" s="1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4"/>
      <c r="C638" s="14"/>
      <c r="D638" s="1"/>
      <c r="E638" s="1"/>
      <c r="F638" s="1"/>
      <c r="G638" s="1"/>
      <c r="H638" s="1"/>
      <c r="I638" s="1"/>
      <c r="J638" s="1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4"/>
      <c r="C639" s="14"/>
      <c r="D639" s="1"/>
      <c r="E639" s="1"/>
      <c r="F639" s="1"/>
      <c r="G639" s="1"/>
      <c r="H639" s="1"/>
      <c r="I639" s="1"/>
      <c r="J639" s="1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4"/>
      <c r="C640" s="14"/>
      <c r="D640" s="1"/>
      <c r="E640" s="1"/>
      <c r="F640" s="1"/>
      <c r="G640" s="1"/>
      <c r="H640" s="1"/>
      <c r="I640" s="1"/>
      <c r="J640" s="1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4"/>
      <c r="C641" s="14"/>
      <c r="D641" s="1"/>
      <c r="E641" s="1"/>
      <c r="F641" s="1"/>
      <c r="G641" s="1"/>
      <c r="H641" s="1"/>
      <c r="I641" s="1"/>
      <c r="J641" s="1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4"/>
      <c r="C642" s="14"/>
      <c r="D642" s="1"/>
      <c r="E642" s="1"/>
      <c r="F642" s="1"/>
      <c r="G642" s="1"/>
      <c r="H642" s="1"/>
      <c r="I642" s="1"/>
      <c r="J642" s="1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4"/>
      <c r="C643" s="14"/>
      <c r="D643" s="1"/>
      <c r="E643" s="1"/>
      <c r="F643" s="1"/>
      <c r="G643" s="1"/>
      <c r="H643" s="1"/>
      <c r="I643" s="1"/>
      <c r="J643" s="1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4"/>
      <c r="C644" s="14"/>
      <c r="D644" s="1"/>
      <c r="E644" s="1"/>
      <c r="F644" s="1"/>
      <c r="G644" s="1"/>
      <c r="H644" s="1"/>
      <c r="I644" s="1"/>
      <c r="J644" s="1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4"/>
      <c r="C645" s="14"/>
      <c r="D645" s="1"/>
      <c r="E645" s="1"/>
      <c r="F645" s="1"/>
      <c r="G645" s="1"/>
      <c r="H645" s="1"/>
      <c r="I645" s="1"/>
      <c r="J645" s="1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4"/>
      <c r="C646" s="14"/>
      <c r="D646" s="1"/>
      <c r="E646" s="1"/>
      <c r="F646" s="1"/>
      <c r="G646" s="1"/>
      <c r="H646" s="1"/>
      <c r="I646" s="1"/>
      <c r="J646" s="1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4"/>
      <c r="C647" s="14"/>
      <c r="D647" s="1"/>
      <c r="E647" s="1"/>
      <c r="F647" s="1"/>
      <c r="G647" s="1"/>
      <c r="H647" s="1"/>
      <c r="I647" s="1"/>
      <c r="J647" s="1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4"/>
      <c r="C648" s="14"/>
      <c r="D648" s="1"/>
      <c r="E648" s="1"/>
      <c r="F648" s="1"/>
      <c r="G648" s="1"/>
      <c r="H648" s="1"/>
      <c r="I648" s="1"/>
      <c r="J648" s="1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4"/>
      <c r="C649" s="14"/>
      <c r="D649" s="1"/>
      <c r="E649" s="1"/>
      <c r="F649" s="1"/>
      <c r="G649" s="1"/>
      <c r="H649" s="1"/>
      <c r="I649" s="1"/>
      <c r="J649" s="1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4"/>
      <c r="C650" s="14"/>
      <c r="D650" s="1"/>
      <c r="E650" s="1"/>
      <c r="F650" s="1"/>
      <c r="G650" s="1"/>
      <c r="H650" s="1"/>
      <c r="I650" s="1"/>
      <c r="J650" s="1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4"/>
      <c r="C651" s="14"/>
      <c r="D651" s="1"/>
      <c r="E651" s="1"/>
      <c r="F651" s="1"/>
      <c r="G651" s="1"/>
      <c r="H651" s="1"/>
      <c r="I651" s="1"/>
      <c r="J651" s="1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4"/>
      <c r="C652" s="14"/>
      <c r="D652" s="1"/>
      <c r="E652" s="1"/>
      <c r="F652" s="1"/>
      <c r="G652" s="1"/>
      <c r="H652" s="1"/>
      <c r="I652" s="1"/>
      <c r="J652" s="1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4"/>
      <c r="C653" s="14"/>
      <c r="D653" s="1"/>
      <c r="E653" s="1"/>
      <c r="F653" s="1"/>
      <c r="G653" s="1"/>
      <c r="H653" s="1"/>
      <c r="I653" s="1"/>
      <c r="J653" s="1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4"/>
      <c r="C654" s="14"/>
      <c r="D654" s="1"/>
      <c r="E654" s="1"/>
      <c r="F654" s="1"/>
      <c r="G654" s="1"/>
      <c r="H654" s="1"/>
      <c r="I654" s="1"/>
      <c r="J654" s="1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4"/>
      <c r="C655" s="14"/>
      <c r="D655" s="1"/>
      <c r="E655" s="1"/>
      <c r="F655" s="1"/>
      <c r="G655" s="1"/>
      <c r="H655" s="1"/>
      <c r="I655" s="1"/>
      <c r="J655" s="1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4"/>
      <c r="C656" s="14"/>
      <c r="D656" s="1"/>
      <c r="E656" s="1"/>
      <c r="F656" s="1"/>
      <c r="G656" s="1"/>
      <c r="H656" s="1"/>
      <c r="I656" s="1"/>
      <c r="J656" s="1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4"/>
      <c r="C657" s="14"/>
      <c r="D657" s="1"/>
      <c r="E657" s="1"/>
      <c r="F657" s="1"/>
      <c r="G657" s="1"/>
      <c r="H657" s="1"/>
      <c r="I657" s="1"/>
      <c r="J657" s="1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4"/>
      <c r="C658" s="14"/>
      <c r="D658" s="1"/>
      <c r="E658" s="1"/>
      <c r="F658" s="1"/>
      <c r="G658" s="1"/>
      <c r="H658" s="1"/>
      <c r="I658" s="1"/>
      <c r="J658" s="1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4"/>
      <c r="C659" s="14"/>
      <c r="D659" s="1"/>
      <c r="E659" s="1"/>
      <c r="F659" s="1"/>
      <c r="G659" s="1"/>
      <c r="H659" s="1"/>
      <c r="I659" s="1"/>
      <c r="J659" s="1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4"/>
      <c r="C660" s="14"/>
      <c r="D660" s="1"/>
      <c r="E660" s="1"/>
      <c r="F660" s="1"/>
      <c r="G660" s="1"/>
      <c r="H660" s="1"/>
      <c r="I660" s="1"/>
      <c r="J660" s="1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4"/>
      <c r="C661" s="14"/>
      <c r="D661" s="1"/>
      <c r="E661" s="1"/>
      <c r="F661" s="1"/>
      <c r="G661" s="1"/>
      <c r="H661" s="1"/>
      <c r="I661" s="1"/>
      <c r="J661" s="1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4"/>
      <c r="C662" s="14"/>
      <c r="D662" s="1"/>
      <c r="E662" s="1"/>
      <c r="F662" s="1"/>
      <c r="G662" s="1"/>
      <c r="H662" s="1"/>
      <c r="I662" s="1"/>
      <c r="J662" s="1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4"/>
      <c r="C663" s="14"/>
      <c r="D663" s="1"/>
      <c r="E663" s="1"/>
      <c r="F663" s="1"/>
      <c r="G663" s="1"/>
      <c r="H663" s="1"/>
      <c r="I663" s="1"/>
      <c r="J663" s="1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4"/>
      <c r="C664" s="14"/>
      <c r="D664" s="1"/>
      <c r="E664" s="1"/>
      <c r="F664" s="1"/>
      <c r="G664" s="1"/>
      <c r="H664" s="1"/>
      <c r="I664" s="1"/>
      <c r="J664" s="1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4"/>
      <c r="C665" s="14"/>
      <c r="D665" s="1"/>
      <c r="E665" s="1"/>
      <c r="F665" s="1"/>
      <c r="G665" s="1"/>
      <c r="H665" s="1"/>
      <c r="I665" s="1"/>
      <c r="J665" s="1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4"/>
      <c r="C666" s="14"/>
      <c r="D666" s="1"/>
      <c r="E666" s="1"/>
      <c r="F666" s="1"/>
      <c r="G666" s="1"/>
      <c r="H666" s="1"/>
      <c r="I666" s="1"/>
      <c r="J666" s="1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4"/>
      <c r="C667" s="14"/>
      <c r="D667" s="1"/>
      <c r="E667" s="1"/>
      <c r="F667" s="1"/>
      <c r="G667" s="1"/>
      <c r="H667" s="1"/>
      <c r="I667" s="1"/>
      <c r="J667" s="1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4"/>
      <c r="C668" s="14"/>
      <c r="D668" s="1"/>
      <c r="E668" s="1"/>
      <c r="F668" s="1"/>
      <c r="G668" s="1"/>
      <c r="H668" s="1"/>
      <c r="I668" s="1"/>
      <c r="J668" s="1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4"/>
      <c r="C669" s="14"/>
      <c r="D669" s="1"/>
      <c r="E669" s="1"/>
      <c r="F669" s="1"/>
      <c r="G669" s="1"/>
      <c r="H669" s="1"/>
      <c r="I669" s="1"/>
      <c r="J669" s="1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4"/>
      <c r="C670" s="14"/>
      <c r="D670" s="1"/>
      <c r="E670" s="1"/>
      <c r="F670" s="1"/>
      <c r="G670" s="1"/>
      <c r="H670" s="1"/>
      <c r="I670" s="1"/>
      <c r="J670" s="1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4"/>
      <c r="C671" s="14"/>
      <c r="D671" s="1"/>
      <c r="E671" s="1"/>
      <c r="F671" s="1"/>
      <c r="G671" s="1"/>
      <c r="H671" s="1"/>
      <c r="I671" s="1"/>
      <c r="J671" s="1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4"/>
      <c r="C672" s="14"/>
      <c r="D672" s="1"/>
      <c r="E672" s="1"/>
      <c r="F672" s="1"/>
      <c r="G672" s="1"/>
      <c r="H672" s="1"/>
      <c r="I672" s="1"/>
      <c r="J672" s="1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4"/>
      <c r="C673" s="14"/>
      <c r="D673" s="1"/>
      <c r="E673" s="1"/>
      <c r="F673" s="1"/>
      <c r="G673" s="1"/>
      <c r="H673" s="1"/>
      <c r="I673" s="1"/>
      <c r="J673" s="1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4"/>
      <c r="C674" s="14"/>
      <c r="D674" s="1"/>
      <c r="E674" s="1"/>
      <c r="F674" s="1"/>
      <c r="G674" s="1"/>
      <c r="H674" s="1"/>
      <c r="I674" s="1"/>
      <c r="J674" s="1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4"/>
      <c r="C675" s="14"/>
      <c r="D675" s="1"/>
      <c r="E675" s="1"/>
      <c r="F675" s="1"/>
      <c r="G675" s="1"/>
      <c r="H675" s="1"/>
      <c r="I675" s="1"/>
      <c r="J675" s="1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4"/>
      <c r="C676" s="14"/>
      <c r="D676" s="1"/>
      <c r="E676" s="1"/>
      <c r="F676" s="1"/>
      <c r="G676" s="1"/>
      <c r="H676" s="1"/>
      <c r="I676" s="1"/>
      <c r="J676" s="1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4"/>
      <c r="C677" s="14"/>
      <c r="D677" s="1"/>
      <c r="E677" s="1"/>
      <c r="F677" s="1"/>
      <c r="G677" s="1"/>
      <c r="H677" s="1"/>
      <c r="I677" s="1"/>
      <c r="J677" s="1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4"/>
      <c r="C678" s="14"/>
      <c r="D678" s="1"/>
      <c r="E678" s="1"/>
      <c r="F678" s="1"/>
      <c r="G678" s="1"/>
      <c r="H678" s="1"/>
      <c r="I678" s="1"/>
      <c r="J678" s="1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4"/>
      <c r="C679" s="14"/>
      <c r="D679" s="1"/>
      <c r="E679" s="1"/>
      <c r="F679" s="1"/>
      <c r="G679" s="1"/>
      <c r="H679" s="1"/>
      <c r="I679" s="1"/>
      <c r="J679" s="1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4"/>
      <c r="C680" s="14"/>
      <c r="D680" s="1"/>
      <c r="E680" s="1"/>
      <c r="F680" s="1"/>
      <c r="G680" s="1"/>
      <c r="H680" s="1"/>
      <c r="I680" s="1"/>
      <c r="J680" s="1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4"/>
      <c r="C681" s="14"/>
      <c r="D681" s="1"/>
      <c r="E681" s="1"/>
      <c r="F681" s="1"/>
      <c r="G681" s="1"/>
      <c r="H681" s="1"/>
      <c r="I681" s="1"/>
      <c r="J681" s="1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4"/>
      <c r="C682" s="14"/>
      <c r="D682" s="1"/>
      <c r="E682" s="1"/>
      <c r="F682" s="1"/>
      <c r="G682" s="1"/>
      <c r="H682" s="1"/>
      <c r="I682" s="1"/>
      <c r="J682" s="1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4"/>
      <c r="C683" s="14"/>
      <c r="D683" s="1"/>
      <c r="E683" s="1"/>
      <c r="F683" s="1"/>
      <c r="G683" s="1"/>
      <c r="H683" s="1"/>
      <c r="I683" s="1"/>
      <c r="J683" s="1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4"/>
      <c r="C684" s="14"/>
      <c r="D684" s="1"/>
      <c r="E684" s="1"/>
      <c r="F684" s="1"/>
      <c r="G684" s="1"/>
      <c r="H684" s="1"/>
      <c r="I684" s="1"/>
      <c r="J684" s="1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4"/>
      <c r="C685" s="14"/>
      <c r="D685" s="1"/>
      <c r="E685" s="1"/>
      <c r="F685" s="1"/>
      <c r="G685" s="1"/>
      <c r="H685" s="1"/>
      <c r="I685" s="1"/>
      <c r="J685" s="1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4"/>
      <c r="C686" s="14"/>
      <c r="D686" s="1"/>
      <c r="E686" s="1"/>
      <c r="F686" s="1"/>
      <c r="G686" s="1"/>
      <c r="H686" s="1"/>
      <c r="I686" s="1"/>
      <c r="J686" s="1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4"/>
      <c r="C687" s="14"/>
      <c r="D687" s="1"/>
      <c r="E687" s="1"/>
      <c r="F687" s="1"/>
      <c r="G687" s="1"/>
      <c r="H687" s="1"/>
      <c r="I687" s="1"/>
      <c r="J687" s="1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4"/>
      <c r="C688" s="14"/>
      <c r="D688" s="1"/>
      <c r="E688" s="1"/>
      <c r="F688" s="1"/>
      <c r="G688" s="1"/>
      <c r="H688" s="1"/>
      <c r="I688" s="1"/>
      <c r="J688" s="1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4"/>
      <c r="C689" s="14"/>
      <c r="D689" s="1"/>
      <c r="E689" s="1"/>
      <c r="F689" s="1"/>
      <c r="G689" s="1"/>
      <c r="H689" s="1"/>
      <c r="I689" s="1"/>
      <c r="J689" s="1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4"/>
      <c r="C690" s="14"/>
      <c r="D690" s="1"/>
      <c r="E690" s="1"/>
      <c r="F690" s="1"/>
      <c r="G690" s="1"/>
      <c r="H690" s="1"/>
      <c r="I690" s="1"/>
      <c r="J690" s="1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4"/>
      <c r="C691" s="14"/>
      <c r="D691" s="1"/>
      <c r="E691" s="1"/>
      <c r="F691" s="1"/>
      <c r="G691" s="1"/>
      <c r="H691" s="1"/>
      <c r="I691" s="1"/>
      <c r="J691" s="1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4"/>
      <c r="C692" s="14"/>
      <c r="D692" s="1"/>
      <c r="E692" s="1"/>
      <c r="F692" s="1"/>
      <c r="G692" s="1"/>
      <c r="H692" s="1"/>
      <c r="I692" s="1"/>
      <c r="J692" s="1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4"/>
      <c r="C693" s="14"/>
      <c r="D693" s="1"/>
      <c r="E693" s="1"/>
      <c r="F693" s="1"/>
      <c r="G693" s="1"/>
      <c r="H693" s="1"/>
      <c r="I693" s="1"/>
      <c r="J693" s="1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4"/>
      <c r="C694" s="14"/>
      <c r="D694" s="1"/>
      <c r="E694" s="1"/>
      <c r="F694" s="1"/>
      <c r="G694" s="1"/>
      <c r="H694" s="1"/>
      <c r="I694" s="1"/>
      <c r="J694" s="1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4"/>
      <c r="C695" s="14"/>
      <c r="D695" s="1"/>
      <c r="E695" s="1"/>
      <c r="F695" s="1"/>
      <c r="G695" s="1"/>
      <c r="H695" s="1"/>
      <c r="I695" s="1"/>
      <c r="J695" s="1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4"/>
      <c r="C696" s="14"/>
      <c r="D696" s="1"/>
      <c r="E696" s="1"/>
      <c r="F696" s="1"/>
      <c r="G696" s="1"/>
      <c r="H696" s="1"/>
      <c r="I696" s="1"/>
      <c r="J696" s="1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4"/>
      <c r="C697" s="14"/>
      <c r="D697" s="1"/>
      <c r="E697" s="1"/>
      <c r="F697" s="1"/>
      <c r="G697" s="1"/>
      <c r="H697" s="1"/>
      <c r="I697" s="1"/>
      <c r="J697" s="1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4"/>
      <c r="C698" s="14"/>
      <c r="D698" s="1"/>
      <c r="E698" s="1"/>
      <c r="F698" s="1"/>
      <c r="G698" s="1"/>
      <c r="H698" s="1"/>
      <c r="I698" s="1"/>
      <c r="J698" s="1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4"/>
      <c r="C699" s="14"/>
      <c r="D699" s="1"/>
      <c r="E699" s="1"/>
      <c r="F699" s="1"/>
      <c r="G699" s="1"/>
      <c r="H699" s="1"/>
      <c r="I699" s="1"/>
      <c r="J699" s="1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4"/>
      <c r="C700" s="14"/>
      <c r="D700" s="1"/>
      <c r="E700" s="1"/>
      <c r="F700" s="1"/>
      <c r="G700" s="1"/>
      <c r="H700" s="1"/>
      <c r="I700" s="1"/>
      <c r="J700" s="1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4"/>
      <c r="C701" s="14"/>
      <c r="D701" s="1"/>
      <c r="E701" s="1"/>
      <c r="F701" s="1"/>
      <c r="G701" s="1"/>
      <c r="H701" s="1"/>
      <c r="I701" s="1"/>
      <c r="J701" s="1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4"/>
      <c r="C702" s="14"/>
      <c r="D702" s="1"/>
      <c r="E702" s="1"/>
      <c r="F702" s="1"/>
      <c r="G702" s="1"/>
      <c r="H702" s="1"/>
      <c r="I702" s="1"/>
      <c r="J702" s="1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4"/>
      <c r="C703" s="14"/>
      <c r="D703" s="1"/>
      <c r="E703" s="1"/>
      <c r="F703" s="1"/>
      <c r="G703" s="1"/>
      <c r="H703" s="1"/>
      <c r="I703" s="1"/>
      <c r="J703" s="1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4"/>
      <c r="C704" s="14"/>
      <c r="D704" s="1"/>
      <c r="E704" s="1"/>
      <c r="F704" s="1"/>
      <c r="G704" s="1"/>
      <c r="H704" s="1"/>
      <c r="I704" s="1"/>
      <c r="J704" s="1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4"/>
      <c r="C705" s="14"/>
      <c r="D705" s="1"/>
      <c r="E705" s="1"/>
      <c r="F705" s="1"/>
      <c r="G705" s="1"/>
      <c r="H705" s="1"/>
      <c r="I705" s="1"/>
      <c r="J705" s="1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4"/>
      <c r="C706" s="14"/>
      <c r="D706" s="1"/>
      <c r="E706" s="1"/>
      <c r="F706" s="1"/>
      <c r="G706" s="1"/>
      <c r="H706" s="1"/>
      <c r="I706" s="1"/>
      <c r="J706" s="1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4"/>
      <c r="C707" s="14"/>
      <c r="D707" s="1"/>
      <c r="E707" s="1"/>
      <c r="F707" s="1"/>
      <c r="G707" s="1"/>
      <c r="H707" s="1"/>
      <c r="I707" s="1"/>
      <c r="J707" s="1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4"/>
      <c r="C708" s="14"/>
      <c r="D708" s="1"/>
      <c r="E708" s="1"/>
      <c r="F708" s="1"/>
      <c r="G708" s="1"/>
      <c r="H708" s="1"/>
      <c r="I708" s="1"/>
      <c r="J708" s="1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4"/>
      <c r="C709" s="14"/>
      <c r="D709" s="1"/>
      <c r="E709" s="1"/>
      <c r="F709" s="1"/>
      <c r="G709" s="1"/>
      <c r="H709" s="1"/>
      <c r="I709" s="1"/>
      <c r="J709" s="1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4"/>
      <c r="C710" s="14"/>
      <c r="D710" s="1"/>
      <c r="E710" s="1"/>
      <c r="F710" s="1"/>
      <c r="G710" s="1"/>
      <c r="H710" s="1"/>
      <c r="I710" s="1"/>
      <c r="J710" s="1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4"/>
      <c r="C711" s="14"/>
      <c r="D711" s="1"/>
      <c r="E711" s="1"/>
      <c r="F711" s="1"/>
      <c r="G711" s="1"/>
      <c r="H711" s="1"/>
      <c r="I711" s="1"/>
      <c r="J711" s="1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4"/>
      <c r="C712" s="14"/>
      <c r="D712" s="1"/>
      <c r="E712" s="1"/>
      <c r="F712" s="1"/>
      <c r="G712" s="1"/>
      <c r="H712" s="1"/>
      <c r="I712" s="1"/>
      <c r="J712" s="1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4"/>
      <c r="C713" s="14"/>
      <c r="D713" s="1"/>
      <c r="E713" s="1"/>
      <c r="F713" s="1"/>
      <c r="G713" s="1"/>
      <c r="H713" s="1"/>
      <c r="I713" s="1"/>
      <c r="J713" s="1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4"/>
      <c r="C714" s="14"/>
      <c r="D714" s="1"/>
      <c r="E714" s="1"/>
      <c r="F714" s="1"/>
      <c r="G714" s="1"/>
      <c r="H714" s="1"/>
      <c r="I714" s="1"/>
      <c r="J714" s="1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4"/>
      <c r="C715" s="14"/>
      <c r="D715" s="1"/>
      <c r="E715" s="1"/>
      <c r="F715" s="1"/>
      <c r="G715" s="1"/>
      <c r="H715" s="1"/>
      <c r="I715" s="1"/>
      <c r="J715" s="1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4"/>
      <c r="C716" s="14"/>
      <c r="D716" s="1"/>
      <c r="E716" s="1"/>
      <c r="F716" s="1"/>
      <c r="G716" s="1"/>
      <c r="H716" s="1"/>
      <c r="I716" s="1"/>
      <c r="J716" s="1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4"/>
      <c r="C717" s="14"/>
      <c r="D717" s="1"/>
      <c r="E717" s="1"/>
      <c r="F717" s="1"/>
      <c r="G717" s="1"/>
      <c r="H717" s="1"/>
      <c r="I717" s="1"/>
      <c r="J717" s="1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4"/>
      <c r="C718" s="14"/>
      <c r="D718" s="1"/>
      <c r="E718" s="1"/>
      <c r="F718" s="1"/>
      <c r="G718" s="1"/>
      <c r="H718" s="1"/>
      <c r="I718" s="1"/>
      <c r="J718" s="1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4"/>
      <c r="C719" s="14"/>
      <c r="D719" s="1"/>
      <c r="E719" s="1"/>
      <c r="F719" s="1"/>
      <c r="G719" s="1"/>
      <c r="H719" s="1"/>
      <c r="I719" s="1"/>
      <c r="J719" s="1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4"/>
      <c r="C720" s="14"/>
      <c r="D720" s="1"/>
      <c r="E720" s="1"/>
      <c r="F720" s="1"/>
      <c r="G720" s="1"/>
      <c r="H720" s="1"/>
      <c r="I720" s="1"/>
      <c r="J720" s="1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4"/>
      <c r="C721" s="14"/>
      <c r="D721" s="1"/>
      <c r="E721" s="1"/>
      <c r="F721" s="1"/>
      <c r="G721" s="1"/>
      <c r="H721" s="1"/>
      <c r="I721" s="1"/>
      <c r="J721" s="1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4"/>
      <c r="C722" s="14"/>
      <c r="D722" s="1"/>
      <c r="E722" s="1"/>
      <c r="F722" s="1"/>
      <c r="G722" s="1"/>
      <c r="H722" s="1"/>
      <c r="I722" s="1"/>
      <c r="J722" s="1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4"/>
      <c r="C723" s="14"/>
      <c r="D723" s="1"/>
      <c r="E723" s="1"/>
      <c r="F723" s="1"/>
      <c r="G723" s="1"/>
      <c r="H723" s="1"/>
      <c r="I723" s="1"/>
      <c r="J723" s="1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4"/>
      <c r="C724" s="14"/>
      <c r="D724" s="1"/>
      <c r="E724" s="1"/>
      <c r="F724" s="1"/>
      <c r="G724" s="1"/>
      <c r="H724" s="1"/>
      <c r="I724" s="1"/>
      <c r="J724" s="1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4"/>
      <c r="C725" s="14"/>
      <c r="D725" s="1"/>
      <c r="E725" s="1"/>
      <c r="F725" s="1"/>
      <c r="G725" s="1"/>
      <c r="H725" s="1"/>
      <c r="I725" s="1"/>
      <c r="J725" s="1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4"/>
      <c r="C726" s="14"/>
      <c r="D726" s="1"/>
      <c r="E726" s="1"/>
      <c r="F726" s="1"/>
      <c r="G726" s="1"/>
      <c r="H726" s="1"/>
      <c r="I726" s="1"/>
      <c r="J726" s="1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4"/>
      <c r="C727" s="14"/>
      <c r="D727" s="1"/>
      <c r="E727" s="1"/>
      <c r="F727" s="1"/>
      <c r="G727" s="1"/>
      <c r="H727" s="1"/>
      <c r="I727" s="1"/>
      <c r="J727" s="1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4"/>
      <c r="C728" s="14"/>
      <c r="D728" s="1"/>
      <c r="E728" s="1"/>
      <c r="F728" s="1"/>
      <c r="G728" s="1"/>
      <c r="H728" s="1"/>
      <c r="I728" s="1"/>
      <c r="J728" s="1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4"/>
      <c r="C729" s="14"/>
      <c r="D729" s="1"/>
      <c r="E729" s="1"/>
      <c r="F729" s="1"/>
      <c r="G729" s="1"/>
      <c r="H729" s="1"/>
      <c r="I729" s="1"/>
      <c r="J729" s="1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4"/>
      <c r="C730" s="14"/>
      <c r="D730" s="1"/>
      <c r="E730" s="1"/>
      <c r="F730" s="1"/>
      <c r="G730" s="1"/>
      <c r="H730" s="1"/>
      <c r="I730" s="1"/>
      <c r="J730" s="1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4"/>
      <c r="C731" s="14"/>
      <c r="D731" s="1"/>
      <c r="E731" s="1"/>
      <c r="F731" s="1"/>
      <c r="G731" s="1"/>
      <c r="H731" s="1"/>
      <c r="I731" s="1"/>
      <c r="J731" s="1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4"/>
      <c r="C732" s="14"/>
      <c r="D732" s="1"/>
      <c r="E732" s="1"/>
      <c r="F732" s="1"/>
      <c r="G732" s="1"/>
      <c r="H732" s="1"/>
      <c r="I732" s="1"/>
      <c r="J732" s="1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4"/>
      <c r="C733" s="14"/>
      <c r="D733" s="1"/>
      <c r="E733" s="1"/>
      <c r="F733" s="1"/>
      <c r="G733" s="1"/>
      <c r="H733" s="1"/>
      <c r="I733" s="1"/>
      <c r="J733" s="1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4"/>
      <c r="C734" s="14"/>
      <c r="D734" s="1"/>
      <c r="E734" s="1"/>
      <c r="F734" s="1"/>
      <c r="G734" s="1"/>
      <c r="H734" s="1"/>
      <c r="I734" s="1"/>
      <c r="J734" s="1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4"/>
      <c r="C735" s="14"/>
      <c r="D735" s="1"/>
      <c r="E735" s="1"/>
      <c r="F735" s="1"/>
      <c r="G735" s="1"/>
      <c r="H735" s="1"/>
      <c r="I735" s="1"/>
      <c r="J735" s="1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4"/>
      <c r="C736" s="14"/>
      <c r="D736" s="1"/>
      <c r="E736" s="1"/>
      <c r="F736" s="1"/>
      <c r="G736" s="1"/>
      <c r="H736" s="1"/>
      <c r="I736" s="1"/>
      <c r="J736" s="1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4"/>
      <c r="C737" s="14"/>
      <c r="D737" s="1"/>
      <c r="E737" s="1"/>
      <c r="F737" s="1"/>
      <c r="G737" s="1"/>
      <c r="H737" s="1"/>
      <c r="I737" s="1"/>
      <c r="J737" s="1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4"/>
      <c r="C738" s="14"/>
      <c r="D738" s="1"/>
      <c r="E738" s="1"/>
      <c r="F738" s="1"/>
      <c r="G738" s="1"/>
      <c r="H738" s="1"/>
      <c r="I738" s="1"/>
      <c r="J738" s="1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4"/>
      <c r="C739" s="14"/>
      <c r="D739" s="1"/>
      <c r="E739" s="1"/>
      <c r="F739" s="1"/>
      <c r="G739" s="1"/>
      <c r="H739" s="1"/>
      <c r="I739" s="1"/>
      <c r="J739" s="1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4"/>
      <c r="C740" s="14"/>
      <c r="D740" s="1"/>
      <c r="E740" s="1"/>
      <c r="F740" s="1"/>
      <c r="G740" s="1"/>
      <c r="H740" s="1"/>
      <c r="I740" s="1"/>
      <c r="J740" s="1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4"/>
      <c r="C741" s="14"/>
      <c r="D741" s="1"/>
      <c r="E741" s="1"/>
      <c r="F741" s="1"/>
      <c r="G741" s="1"/>
      <c r="H741" s="1"/>
      <c r="I741" s="1"/>
      <c r="J741" s="1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4"/>
      <c r="C742" s="14"/>
      <c r="D742" s="1"/>
      <c r="E742" s="1"/>
      <c r="F742" s="1"/>
      <c r="G742" s="1"/>
      <c r="H742" s="1"/>
      <c r="I742" s="1"/>
      <c r="J742" s="1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4"/>
      <c r="C743" s="14"/>
      <c r="D743" s="1"/>
      <c r="E743" s="1"/>
      <c r="F743" s="1"/>
      <c r="G743" s="1"/>
      <c r="H743" s="1"/>
      <c r="I743" s="1"/>
      <c r="J743" s="1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4"/>
      <c r="C744" s="14"/>
      <c r="D744" s="1"/>
      <c r="E744" s="1"/>
      <c r="F744" s="1"/>
      <c r="G744" s="1"/>
      <c r="H744" s="1"/>
      <c r="I744" s="1"/>
      <c r="J744" s="1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4"/>
      <c r="C745" s="14"/>
      <c r="D745" s="1"/>
      <c r="E745" s="1"/>
      <c r="F745" s="1"/>
      <c r="G745" s="1"/>
      <c r="H745" s="1"/>
      <c r="I745" s="1"/>
      <c r="J745" s="1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4"/>
      <c r="C746" s="14"/>
      <c r="D746" s="1"/>
      <c r="E746" s="1"/>
      <c r="F746" s="1"/>
      <c r="G746" s="1"/>
      <c r="H746" s="1"/>
      <c r="I746" s="1"/>
      <c r="J746" s="1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4"/>
      <c r="C747" s="14"/>
      <c r="D747" s="1"/>
      <c r="E747" s="1"/>
      <c r="F747" s="1"/>
      <c r="G747" s="1"/>
      <c r="H747" s="1"/>
      <c r="I747" s="1"/>
      <c r="J747" s="1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4"/>
      <c r="C748" s="14"/>
      <c r="D748" s="1"/>
      <c r="E748" s="1"/>
      <c r="F748" s="1"/>
      <c r="G748" s="1"/>
      <c r="H748" s="1"/>
      <c r="I748" s="1"/>
      <c r="J748" s="1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4"/>
      <c r="C749" s="14"/>
      <c r="D749" s="1"/>
      <c r="E749" s="1"/>
      <c r="F749" s="1"/>
      <c r="G749" s="1"/>
      <c r="H749" s="1"/>
      <c r="I749" s="1"/>
      <c r="J749" s="1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4"/>
      <c r="C750" s="14"/>
      <c r="D750" s="1"/>
      <c r="E750" s="1"/>
      <c r="F750" s="1"/>
      <c r="G750" s="1"/>
      <c r="H750" s="1"/>
      <c r="I750" s="1"/>
      <c r="J750" s="1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4"/>
      <c r="C751" s="14"/>
      <c r="D751" s="1"/>
      <c r="E751" s="1"/>
      <c r="F751" s="1"/>
      <c r="G751" s="1"/>
      <c r="H751" s="1"/>
      <c r="I751" s="1"/>
      <c r="J751" s="1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4"/>
      <c r="C752" s="14"/>
      <c r="D752" s="1"/>
      <c r="E752" s="1"/>
      <c r="F752" s="1"/>
      <c r="G752" s="1"/>
      <c r="H752" s="1"/>
      <c r="I752" s="1"/>
      <c r="J752" s="1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4"/>
      <c r="C753" s="14"/>
      <c r="D753" s="1"/>
      <c r="E753" s="1"/>
      <c r="F753" s="1"/>
      <c r="G753" s="1"/>
      <c r="H753" s="1"/>
      <c r="I753" s="1"/>
      <c r="J753" s="1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4"/>
      <c r="C754" s="14"/>
      <c r="D754" s="1"/>
      <c r="E754" s="1"/>
      <c r="F754" s="1"/>
      <c r="G754" s="1"/>
      <c r="H754" s="1"/>
      <c r="I754" s="1"/>
      <c r="J754" s="1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4"/>
      <c r="C755" s="14"/>
      <c r="D755" s="1"/>
      <c r="E755" s="1"/>
      <c r="F755" s="1"/>
      <c r="G755" s="1"/>
      <c r="H755" s="1"/>
      <c r="I755" s="1"/>
      <c r="J755" s="1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4"/>
      <c r="C756" s="14"/>
      <c r="D756" s="1"/>
      <c r="E756" s="1"/>
      <c r="F756" s="1"/>
      <c r="G756" s="1"/>
      <c r="H756" s="1"/>
      <c r="I756" s="1"/>
      <c r="J756" s="1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4"/>
      <c r="C757" s="14"/>
      <c r="D757" s="1"/>
      <c r="E757" s="1"/>
      <c r="F757" s="1"/>
      <c r="G757" s="1"/>
      <c r="H757" s="1"/>
      <c r="I757" s="1"/>
      <c r="J757" s="1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4"/>
      <c r="C758" s="14"/>
      <c r="D758" s="1"/>
      <c r="E758" s="1"/>
      <c r="F758" s="1"/>
      <c r="G758" s="1"/>
      <c r="H758" s="1"/>
      <c r="I758" s="1"/>
      <c r="J758" s="1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4"/>
      <c r="C759" s="14"/>
      <c r="D759" s="1"/>
      <c r="E759" s="1"/>
      <c r="F759" s="1"/>
      <c r="G759" s="1"/>
      <c r="H759" s="1"/>
      <c r="I759" s="1"/>
      <c r="J759" s="1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4"/>
      <c r="C760" s="14"/>
      <c r="D760" s="1"/>
      <c r="E760" s="1"/>
      <c r="F760" s="1"/>
      <c r="G760" s="1"/>
      <c r="H760" s="1"/>
      <c r="I760" s="1"/>
      <c r="J760" s="1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4"/>
      <c r="C761" s="14"/>
      <c r="D761" s="1"/>
      <c r="E761" s="1"/>
      <c r="F761" s="1"/>
      <c r="G761" s="1"/>
      <c r="H761" s="1"/>
      <c r="I761" s="1"/>
      <c r="J761" s="1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4"/>
      <c r="C762" s="14"/>
      <c r="D762" s="1"/>
      <c r="E762" s="1"/>
      <c r="F762" s="1"/>
      <c r="G762" s="1"/>
      <c r="H762" s="1"/>
      <c r="I762" s="1"/>
      <c r="J762" s="1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4"/>
      <c r="C763" s="14"/>
      <c r="D763" s="1"/>
      <c r="E763" s="1"/>
      <c r="F763" s="1"/>
      <c r="G763" s="1"/>
      <c r="H763" s="1"/>
      <c r="I763" s="1"/>
      <c r="J763" s="1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4"/>
      <c r="C764" s="14"/>
      <c r="D764" s="1"/>
      <c r="E764" s="1"/>
      <c r="F764" s="1"/>
      <c r="G764" s="1"/>
      <c r="H764" s="1"/>
      <c r="I764" s="1"/>
      <c r="J764" s="1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4"/>
      <c r="C765" s="14"/>
      <c r="D765" s="1"/>
      <c r="E765" s="1"/>
      <c r="F765" s="1"/>
      <c r="G765" s="1"/>
      <c r="H765" s="1"/>
      <c r="I765" s="1"/>
      <c r="J765" s="1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4"/>
      <c r="C766" s="14"/>
      <c r="D766" s="1"/>
      <c r="E766" s="1"/>
      <c r="F766" s="1"/>
      <c r="G766" s="1"/>
      <c r="H766" s="1"/>
      <c r="I766" s="1"/>
      <c r="J766" s="1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4"/>
      <c r="C767" s="14"/>
      <c r="D767" s="1"/>
      <c r="E767" s="1"/>
      <c r="F767" s="1"/>
      <c r="G767" s="1"/>
      <c r="H767" s="1"/>
      <c r="I767" s="1"/>
      <c r="J767" s="1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4"/>
      <c r="C768" s="14"/>
      <c r="D768" s="1"/>
      <c r="E768" s="1"/>
      <c r="F768" s="1"/>
      <c r="G768" s="1"/>
      <c r="H768" s="1"/>
      <c r="I768" s="1"/>
      <c r="J768" s="1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4"/>
      <c r="C769" s="14"/>
      <c r="D769" s="1"/>
      <c r="E769" s="1"/>
      <c r="F769" s="1"/>
      <c r="G769" s="1"/>
      <c r="H769" s="1"/>
      <c r="I769" s="1"/>
      <c r="J769" s="1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4"/>
      <c r="C770" s="14"/>
      <c r="D770" s="1"/>
      <c r="E770" s="1"/>
      <c r="F770" s="1"/>
      <c r="G770" s="1"/>
      <c r="H770" s="1"/>
      <c r="I770" s="1"/>
      <c r="J770" s="1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4"/>
      <c r="C771" s="14"/>
      <c r="D771" s="1"/>
      <c r="E771" s="1"/>
      <c r="F771" s="1"/>
      <c r="G771" s="1"/>
      <c r="H771" s="1"/>
      <c r="I771" s="1"/>
      <c r="J771" s="1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4"/>
      <c r="C772" s="14"/>
      <c r="D772" s="1"/>
      <c r="E772" s="1"/>
      <c r="F772" s="1"/>
      <c r="G772" s="1"/>
      <c r="H772" s="1"/>
      <c r="I772" s="1"/>
      <c r="J772" s="1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4"/>
      <c r="C773" s="14"/>
      <c r="D773" s="1"/>
      <c r="E773" s="1"/>
      <c r="F773" s="1"/>
      <c r="G773" s="1"/>
      <c r="H773" s="1"/>
      <c r="I773" s="1"/>
      <c r="J773" s="1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4"/>
      <c r="C774" s="14"/>
      <c r="D774" s="1"/>
      <c r="E774" s="1"/>
      <c r="F774" s="1"/>
      <c r="G774" s="1"/>
      <c r="H774" s="1"/>
      <c r="I774" s="1"/>
      <c r="J774" s="1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4"/>
      <c r="C775" s="14"/>
      <c r="D775" s="1"/>
      <c r="E775" s="1"/>
      <c r="F775" s="1"/>
      <c r="G775" s="1"/>
      <c r="H775" s="1"/>
      <c r="I775" s="1"/>
      <c r="J775" s="1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4"/>
      <c r="C776" s="14"/>
      <c r="D776" s="1"/>
      <c r="E776" s="1"/>
      <c r="F776" s="1"/>
      <c r="G776" s="1"/>
      <c r="H776" s="1"/>
      <c r="I776" s="1"/>
      <c r="J776" s="1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4"/>
      <c r="C777" s="14"/>
      <c r="D777" s="1"/>
      <c r="E777" s="1"/>
      <c r="F777" s="1"/>
      <c r="G777" s="1"/>
      <c r="H777" s="1"/>
      <c r="I777" s="1"/>
      <c r="J777" s="1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4"/>
      <c r="C778" s="14"/>
      <c r="D778" s="1"/>
      <c r="E778" s="1"/>
      <c r="F778" s="1"/>
      <c r="G778" s="1"/>
      <c r="H778" s="1"/>
      <c r="I778" s="1"/>
      <c r="J778" s="1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4"/>
      <c r="C779" s="14"/>
      <c r="D779" s="1"/>
      <c r="E779" s="1"/>
      <c r="F779" s="1"/>
      <c r="G779" s="1"/>
      <c r="H779" s="1"/>
      <c r="I779" s="1"/>
      <c r="J779" s="1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4"/>
      <c r="C780" s="14"/>
      <c r="D780" s="1"/>
      <c r="E780" s="1"/>
      <c r="F780" s="1"/>
      <c r="G780" s="1"/>
      <c r="H780" s="1"/>
      <c r="I780" s="1"/>
      <c r="J780" s="1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4"/>
      <c r="C781" s="14"/>
      <c r="D781" s="1"/>
      <c r="E781" s="1"/>
      <c r="F781" s="1"/>
      <c r="G781" s="1"/>
      <c r="H781" s="1"/>
      <c r="I781" s="1"/>
      <c r="J781" s="1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4"/>
      <c r="C782" s="14"/>
      <c r="D782" s="1"/>
      <c r="E782" s="1"/>
      <c r="F782" s="1"/>
      <c r="G782" s="1"/>
      <c r="H782" s="1"/>
      <c r="I782" s="1"/>
      <c r="J782" s="1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4"/>
      <c r="C783" s="14"/>
      <c r="D783" s="1"/>
      <c r="E783" s="1"/>
      <c r="F783" s="1"/>
      <c r="G783" s="1"/>
      <c r="H783" s="1"/>
      <c r="I783" s="1"/>
      <c r="J783" s="1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4"/>
      <c r="C784" s="14"/>
      <c r="D784" s="1"/>
      <c r="E784" s="1"/>
      <c r="F784" s="1"/>
      <c r="G784" s="1"/>
      <c r="H784" s="1"/>
      <c r="I784" s="1"/>
      <c r="J784" s="1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4"/>
      <c r="C785" s="14"/>
      <c r="D785" s="1"/>
      <c r="E785" s="1"/>
      <c r="F785" s="1"/>
      <c r="G785" s="1"/>
      <c r="H785" s="1"/>
      <c r="I785" s="1"/>
      <c r="J785" s="1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4"/>
      <c r="C786" s="14"/>
      <c r="D786" s="1"/>
      <c r="E786" s="1"/>
      <c r="F786" s="1"/>
      <c r="G786" s="1"/>
      <c r="H786" s="1"/>
      <c r="I786" s="1"/>
      <c r="J786" s="1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4"/>
      <c r="C787" s="14"/>
      <c r="D787" s="1"/>
      <c r="E787" s="1"/>
      <c r="F787" s="1"/>
      <c r="G787" s="1"/>
      <c r="H787" s="1"/>
      <c r="I787" s="1"/>
      <c r="J787" s="1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4"/>
      <c r="C788" s="14"/>
      <c r="D788" s="1"/>
      <c r="E788" s="1"/>
      <c r="F788" s="1"/>
      <c r="G788" s="1"/>
      <c r="H788" s="1"/>
      <c r="I788" s="1"/>
      <c r="J788" s="1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4"/>
      <c r="C789" s="14"/>
      <c r="D789" s="1"/>
      <c r="E789" s="1"/>
      <c r="F789" s="1"/>
      <c r="G789" s="1"/>
      <c r="H789" s="1"/>
      <c r="I789" s="1"/>
      <c r="J789" s="1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4"/>
      <c r="C790" s="14"/>
      <c r="D790" s="1"/>
      <c r="E790" s="1"/>
      <c r="F790" s="1"/>
      <c r="G790" s="1"/>
      <c r="H790" s="1"/>
      <c r="I790" s="1"/>
      <c r="J790" s="1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4"/>
      <c r="C791" s="14"/>
      <c r="D791" s="1"/>
      <c r="E791" s="1"/>
      <c r="F791" s="1"/>
      <c r="G791" s="1"/>
      <c r="H791" s="1"/>
      <c r="I791" s="1"/>
      <c r="J791" s="1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4"/>
      <c r="C792" s="14"/>
      <c r="D792" s="1"/>
      <c r="E792" s="1"/>
      <c r="F792" s="1"/>
      <c r="G792" s="1"/>
      <c r="H792" s="1"/>
      <c r="I792" s="1"/>
      <c r="J792" s="1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4"/>
      <c r="C793" s="14"/>
      <c r="D793" s="1"/>
      <c r="E793" s="1"/>
      <c r="F793" s="1"/>
      <c r="G793" s="1"/>
      <c r="H793" s="1"/>
      <c r="I793" s="1"/>
      <c r="J793" s="1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4"/>
      <c r="C794" s="14"/>
      <c r="D794" s="1"/>
      <c r="E794" s="1"/>
      <c r="F794" s="1"/>
      <c r="G794" s="1"/>
      <c r="H794" s="1"/>
      <c r="I794" s="1"/>
      <c r="J794" s="1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4"/>
      <c r="C795" s="14"/>
      <c r="D795" s="1"/>
      <c r="E795" s="1"/>
      <c r="F795" s="1"/>
      <c r="G795" s="1"/>
      <c r="H795" s="1"/>
      <c r="I795" s="1"/>
      <c r="J795" s="1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4"/>
      <c r="C796" s="14"/>
      <c r="D796" s="1"/>
      <c r="E796" s="1"/>
      <c r="F796" s="1"/>
      <c r="G796" s="1"/>
      <c r="H796" s="1"/>
      <c r="I796" s="1"/>
      <c r="J796" s="1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4"/>
      <c r="C797" s="14"/>
      <c r="D797" s="1"/>
      <c r="E797" s="1"/>
      <c r="F797" s="1"/>
      <c r="G797" s="1"/>
      <c r="H797" s="1"/>
      <c r="I797" s="1"/>
      <c r="J797" s="1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4"/>
      <c r="C798" s="14"/>
      <c r="D798" s="1"/>
      <c r="E798" s="1"/>
      <c r="F798" s="1"/>
      <c r="G798" s="1"/>
      <c r="H798" s="1"/>
      <c r="I798" s="1"/>
      <c r="J798" s="1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4"/>
      <c r="C799" s="14"/>
      <c r="D799" s="1"/>
      <c r="E799" s="1"/>
      <c r="F799" s="1"/>
      <c r="G799" s="1"/>
      <c r="H799" s="1"/>
      <c r="I799" s="1"/>
      <c r="J799" s="1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4"/>
      <c r="C800" s="14"/>
      <c r="D800" s="1"/>
      <c r="E800" s="1"/>
      <c r="F800" s="1"/>
      <c r="G800" s="1"/>
      <c r="H800" s="1"/>
      <c r="I800" s="1"/>
      <c r="J800" s="1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4"/>
      <c r="C801" s="14"/>
      <c r="D801" s="1"/>
      <c r="E801" s="1"/>
      <c r="F801" s="1"/>
      <c r="G801" s="1"/>
      <c r="H801" s="1"/>
      <c r="I801" s="1"/>
      <c r="J801" s="1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4"/>
      <c r="C802" s="14"/>
      <c r="D802" s="1"/>
      <c r="E802" s="1"/>
      <c r="F802" s="1"/>
      <c r="G802" s="1"/>
      <c r="H802" s="1"/>
      <c r="I802" s="1"/>
      <c r="J802" s="1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4"/>
      <c r="C803" s="14"/>
      <c r="D803" s="1"/>
      <c r="E803" s="1"/>
      <c r="F803" s="1"/>
      <c r="G803" s="1"/>
      <c r="H803" s="1"/>
      <c r="I803" s="1"/>
      <c r="J803" s="1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4"/>
      <c r="C804" s="14"/>
      <c r="D804" s="1"/>
      <c r="E804" s="1"/>
      <c r="F804" s="1"/>
      <c r="G804" s="1"/>
      <c r="H804" s="1"/>
      <c r="I804" s="1"/>
      <c r="J804" s="1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4"/>
      <c r="C805" s="14"/>
      <c r="D805" s="1"/>
      <c r="E805" s="1"/>
      <c r="F805" s="1"/>
      <c r="G805" s="1"/>
      <c r="H805" s="1"/>
      <c r="I805" s="1"/>
      <c r="J805" s="1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4"/>
      <c r="C806" s="14"/>
      <c r="D806" s="1"/>
      <c r="E806" s="1"/>
      <c r="F806" s="1"/>
      <c r="G806" s="1"/>
      <c r="H806" s="1"/>
      <c r="I806" s="1"/>
      <c r="J806" s="1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4"/>
      <c r="C807" s="14"/>
      <c r="D807" s="1"/>
      <c r="E807" s="1"/>
      <c r="F807" s="1"/>
      <c r="G807" s="1"/>
      <c r="H807" s="1"/>
      <c r="I807" s="1"/>
      <c r="J807" s="1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4"/>
      <c r="C808" s="14"/>
      <c r="D808" s="1"/>
      <c r="E808" s="1"/>
      <c r="F808" s="1"/>
      <c r="G808" s="1"/>
      <c r="H808" s="1"/>
      <c r="I808" s="1"/>
      <c r="J808" s="1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4"/>
      <c r="C809" s="14"/>
      <c r="D809" s="1"/>
      <c r="E809" s="1"/>
      <c r="F809" s="1"/>
      <c r="G809" s="1"/>
      <c r="H809" s="1"/>
      <c r="I809" s="1"/>
      <c r="J809" s="1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4"/>
      <c r="C810" s="14"/>
      <c r="D810" s="1"/>
      <c r="E810" s="1"/>
      <c r="F810" s="1"/>
      <c r="G810" s="1"/>
      <c r="H810" s="1"/>
      <c r="I810" s="1"/>
      <c r="J810" s="1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4"/>
      <c r="C811" s="14"/>
      <c r="D811" s="1"/>
      <c r="E811" s="1"/>
      <c r="F811" s="1"/>
      <c r="G811" s="1"/>
      <c r="H811" s="1"/>
      <c r="I811" s="1"/>
      <c r="J811" s="1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4"/>
      <c r="C812" s="14"/>
      <c r="D812" s="1"/>
      <c r="E812" s="1"/>
      <c r="F812" s="1"/>
      <c r="G812" s="1"/>
      <c r="H812" s="1"/>
      <c r="I812" s="1"/>
      <c r="J812" s="1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4"/>
      <c r="C813" s="14"/>
      <c r="D813" s="1"/>
      <c r="E813" s="1"/>
      <c r="F813" s="1"/>
      <c r="G813" s="1"/>
      <c r="H813" s="1"/>
      <c r="I813" s="1"/>
      <c r="J813" s="1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4"/>
      <c r="C814" s="14"/>
      <c r="D814" s="1"/>
      <c r="E814" s="1"/>
      <c r="F814" s="1"/>
      <c r="G814" s="1"/>
      <c r="H814" s="1"/>
      <c r="I814" s="1"/>
      <c r="J814" s="1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4"/>
      <c r="C815" s="14"/>
      <c r="D815" s="1"/>
      <c r="E815" s="1"/>
      <c r="F815" s="1"/>
      <c r="G815" s="1"/>
      <c r="H815" s="1"/>
      <c r="I815" s="1"/>
      <c r="J815" s="1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4"/>
      <c r="C816" s="14"/>
      <c r="D816" s="1"/>
      <c r="E816" s="1"/>
      <c r="F816" s="1"/>
      <c r="G816" s="1"/>
      <c r="H816" s="1"/>
      <c r="I816" s="1"/>
      <c r="J816" s="1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4"/>
      <c r="C817" s="14"/>
      <c r="D817" s="1"/>
      <c r="E817" s="1"/>
      <c r="F817" s="1"/>
      <c r="G817" s="1"/>
      <c r="H817" s="1"/>
      <c r="I817" s="1"/>
      <c r="J817" s="1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4"/>
      <c r="C818" s="14"/>
      <c r="D818" s="1"/>
      <c r="E818" s="1"/>
      <c r="F818" s="1"/>
      <c r="G818" s="1"/>
      <c r="H818" s="1"/>
      <c r="I818" s="1"/>
      <c r="J818" s="1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4"/>
      <c r="C819" s="14"/>
      <c r="D819" s="1"/>
      <c r="E819" s="1"/>
      <c r="F819" s="1"/>
      <c r="G819" s="1"/>
      <c r="H819" s="1"/>
      <c r="I819" s="1"/>
      <c r="J819" s="1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4"/>
      <c r="C820" s="14"/>
      <c r="D820" s="1"/>
      <c r="E820" s="1"/>
      <c r="F820" s="1"/>
      <c r="G820" s="1"/>
      <c r="H820" s="1"/>
      <c r="I820" s="1"/>
      <c r="J820" s="1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4"/>
      <c r="C821" s="14"/>
      <c r="D821" s="1"/>
      <c r="E821" s="1"/>
      <c r="F821" s="1"/>
      <c r="G821" s="1"/>
      <c r="H821" s="1"/>
      <c r="I821" s="1"/>
      <c r="J821" s="1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4"/>
      <c r="C822" s="14"/>
      <c r="D822" s="1"/>
      <c r="E822" s="1"/>
      <c r="F822" s="1"/>
      <c r="G822" s="1"/>
      <c r="H822" s="1"/>
      <c r="I822" s="1"/>
      <c r="J822" s="1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4"/>
      <c r="C823" s="14"/>
      <c r="D823" s="1"/>
      <c r="E823" s="1"/>
      <c r="F823" s="1"/>
      <c r="G823" s="1"/>
      <c r="H823" s="1"/>
      <c r="I823" s="1"/>
      <c r="J823" s="1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4"/>
      <c r="C824" s="14"/>
      <c r="D824" s="1"/>
      <c r="E824" s="1"/>
      <c r="F824" s="1"/>
      <c r="G824" s="1"/>
      <c r="H824" s="1"/>
      <c r="I824" s="1"/>
      <c r="J824" s="1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4"/>
      <c r="C825" s="14"/>
      <c r="D825" s="1"/>
      <c r="E825" s="1"/>
      <c r="F825" s="1"/>
      <c r="G825" s="1"/>
      <c r="H825" s="1"/>
      <c r="I825" s="1"/>
      <c r="J825" s="1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4"/>
      <c r="C826" s="14"/>
      <c r="D826" s="1"/>
      <c r="E826" s="1"/>
      <c r="F826" s="1"/>
      <c r="G826" s="1"/>
      <c r="H826" s="1"/>
      <c r="I826" s="1"/>
      <c r="J826" s="1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4"/>
      <c r="C827" s="14"/>
      <c r="D827" s="1"/>
      <c r="E827" s="1"/>
      <c r="F827" s="1"/>
      <c r="G827" s="1"/>
      <c r="H827" s="1"/>
      <c r="I827" s="1"/>
      <c r="J827" s="1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4"/>
      <c r="C828" s="14"/>
      <c r="D828" s="1"/>
      <c r="E828" s="1"/>
      <c r="F828" s="1"/>
      <c r="G828" s="1"/>
      <c r="H828" s="1"/>
      <c r="I828" s="1"/>
      <c r="J828" s="1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4"/>
      <c r="C829" s="14"/>
      <c r="D829" s="1"/>
      <c r="E829" s="1"/>
      <c r="F829" s="1"/>
      <c r="G829" s="1"/>
      <c r="H829" s="1"/>
      <c r="I829" s="1"/>
      <c r="J829" s="1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4"/>
      <c r="C830" s="14"/>
      <c r="D830" s="1"/>
      <c r="E830" s="1"/>
      <c r="F830" s="1"/>
      <c r="G830" s="1"/>
      <c r="H830" s="1"/>
      <c r="I830" s="1"/>
      <c r="J830" s="1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4"/>
      <c r="C831" s="14"/>
      <c r="D831" s="1"/>
      <c r="E831" s="1"/>
      <c r="F831" s="1"/>
      <c r="G831" s="1"/>
      <c r="H831" s="1"/>
      <c r="I831" s="1"/>
      <c r="J831" s="1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4"/>
      <c r="C832" s="14"/>
      <c r="D832" s="1"/>
      <c r="E832" s="1"/>
      <c r="F832" s="1"/>
      <c r="G832" s="1"/>
      <c r="H832" s="1"/>
      <c r="I832" s="1"/>
      <c r="J832" s="1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4"/>
      <c r="C833" s="14"/>
      <c r="D833" s="1"/>
      <c r="E833" s="1"/>
      <c r="F833" s="1"/>
      <c r="G833" s="1"/>
      <c r="H833" s="1"/>
      <c r="I833" s="1"/>
      <c r="J833" s="1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4"/>
      <c r="C834" s="14"/>
      <c r="D834" s="1"/>
      <c r="E834" s="1"/>
      <c r="F834" s="1"/>
      <c r="G834" s="1"/>
      <c r="H834" s="1"/>
      <c r="I834" s="1"/>
      <c r="J834" s="1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4"/>
      <c r="C835" s="14"/>
      <c r="D835" s="1"/>
      <c r="E835" s="1"/>
      <c r="F835" s="1"/>
      <c r="G835" s="1"/>
      <c r="H835" s="1"/>
      <c r="I835" s="1"/>
      <c r="J835" s="1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4"/>
      <c r="C836" s="14"/>
      <c r="D836" s="1"/>
      <c r="E836" s="1"/>
      <c r="F836" s="1"/>
      <c r="G836" s="1"/>
      <c r="H836" s="1"/>
      <c r="I836" s="1"/>
      <c r="J836" s="1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4"/>
      <c r="C837" s="14"/>
      <c r="D837" s="1"/>
      <c r="E837" s="1"/>
      <c r="F837" s="1"/>
      <c r="G837" s="1"/>
      <c r="H837" s="1"/>
      <c r="I837" s="1"/>
      <c r="J837" s="1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4"/>
      <c r="C838" s="14"/>
      <c r="D838" s="1"/>
      <c r="E838" s="1"/>
      <c r="F838" s="1"/>
      <c r="G838" s="1"/>
      <c r="H838" s="1"/>
      <c r="I838" s="1"/>
      <c r="J838" s="1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4"/>
      <c r="C839" s="14"/>
      <c r="D839" s="1"/>
      <c r="E839" s="1"/>
      <c r="F839" s="1"/>
      <c r="G839" s="1"/>
      <c r="H839" s="1"/>
      <c r="I839" s="1"/>
      <c r="J839" s="1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4"/>
      <c r="C840" s="14"/>
      <c r="D840" s="1"/>
      <c r="E840" s="1"/>
      <c r="F840" s="1"/>
      <c r="G840" s="1"/>
      <c r="H840" s="1"/>
      <c r="I840" s="1"/>
      <c r="J840" s="1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4"/>
      <c r="C841" s="14"/>
      <c r="D841" s="1"/>
      <c r="E841" s="1"/>
      <c r="F841" s="1"/>
      <c r="G841" s="1"/>
      <c r="H841" s="1"/>
      <c r="I841" s="1"/>
      <c r="J841" s="1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4"/>
      <c r="C842" s="14"/>
      <c r="D842" s="1"/>
      <c r="E842" s="1"/>
      <c r="F842" s="1"/>
      <c r="G842" s="1"/>
      <c r="H842" s="1"/>
      <c r="I842" s="1"/>
      <c r="J842" s="1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4"/>
      <c r="C843" s="14"/>
      <c r="D843" s="1"/>
      <c r="E843" s="1"/>
      <c r="F843" s="1"/>
      <c r="G843" s="1"/>
      <c r="H843" s="1"/>
      <c r="I843" s="1"/>
      <c r="J843" s="1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4"/>
      <c r="C844" s="14"/>
      <c r="D844" s="1"/>
      <c r="E844" s="1"/>
      <c r="F844" s="1"/>
      <c r="G844" s="1"/>
      <c r="H844" s="1"/>
      <c r="I844" s="1"/>
      <c r="J844" s="1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4"/>
      <c r="C845" s="14"/>
      <c r="D845" s="1"/>
      <c r="E845" s="1"/>
      <c r="F845" s="1"/>
      <c r="G845" s="1"/>
      <c r="H845" s="1"/>
      <c r="I845" s="1"/>
      <c r="J845" s="1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4"/>
      <c r="C846" s="14"/>
      <c r="D846" s="1"/>
      <c r="E846" s="1"/>
      <c r="F846" s="1"/>
      <c r="G846" s="1"/>
      <c r="H846" s="1"/>
      <c r="I846" s="1"/>
      <c r="J846" s="1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4"/>
      <c r="C847" s="14"/>
      <c r="D847" s="1"/>
      <c r="E847" s="1"/>
      <c r="F847" s="1"/>
      <c r="G847" s="1"/>
      <c r="H847" s="1"/>
      <c r="I847" s="1"/>
      <c r="J847" s="1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4"/>
      <c r="C848" s="14"/>
      <c r="D848" s="1"/>
      <c r="E848" s="1"/>
      <c r="F848" s="1"/>
      <c r="G848" s="1"/>
      <c r="H848" s="1"/>
      <c r="I848" s="1"/>
      <c r="J848" s="1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4"/>
      <c r="C849" s="14"/>
      <c r="D849" s="1"/>
      <c r="E849" s="1"/>
      <c r="F849" s="1"/>
      <c r="G849" s="1"/>
      <c r="H849" s="1"/>
      <c r="I849" s="1"/>
      <c r="J849" s="1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4"/>
      <c r="C850" s="14"/>
      <c r="D850" s="1"/>
      <c r="E850" s="1"/>
      <c r="F850" s="1"/>
      <c r="G850" s="1"/>
      <c r="H850" s="1"/>
      <c r="I850" s="1"/>
      <c r="J850" s="1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4"/>
      <c r="C851" s="14"/>
      <c r="D851" s="1"/>
      <c r="E851" s="1"/>
      <c r="F851" s="1"/>
      <c r="G851" s="1"/>
      <c r="H851" s="1"/>
      <c r="I851" s="1"/>
      <c r="J851" s="1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4"/>
      <c r="C852" s="14"/>
      <c r="D852" s="1"/>
      <c r="E852" s="1"/>
      <c r="F852" s="1"/>
      <c r="G852" s="1"/>
      <c r="H852" s="1"/>
      <c r="I852" s="1"/>
      <c r="J852" s="1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4"/>
      <c r="C853" s="14"/>
      <c r="D853" s="1"/>
      <c r="E853" s="1"/>
      <c r="F853" s="1"/>
      <c r="G853" s="1"/>
      <c r="H853" s="1"/>
      <c r="I853" s="1"/>
      <c r="J853" s="1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4"/>
      <c r="C854" s="14"/>
      <c r="D854" s="1"/>
      <c r="E854" s="1"/>
      <c r="F854" s="1"/>
      <c r="G854" s="1"/>
      <c r="H854" s="1"/>
      <c r="I854" s="1"/>
      <c r="J854" s="1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4"/>
      <c r="C855" s="14"/>
      <c r="D855" s="1"/>
      <c r="E855" s="1"/>
      <c r="F855" s="1"/>
      <c r="G855" s="1"/>
      <c r="H855" s="1"/>
      <c r="I855" s="1"/>
      <c r="J855" s="1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4"/>
      <c r="C856" s="14"/>
      <c r="D856" s="1"/>
      <c r="E856" s="1"/>
      <c r="F856" s="1"/>
      <c r="G856" s="1"/>
      <c r="H856" s="1"/>
      <c r="I856" s="1"/>
      <c r="J856" s="1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4"/>
      <c r="C857" s="14"/>
      <c r="D857" s="1"/>
      <c r="E857" s="1"/>
      <c r="F857" s="1"/>
      <c r="G857" s="1"/>
      <c r="H857" s="1"/>
      <c r="I857" s="1"/>
      <c r="J857" s="1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4"/>
      <c r="C858" s="14"/>
      <c r="D858" s="1"/>
      <c r="E858" s="1"/>
      <c r="F858" s="1"/>
      <c r="G858" s="1"/>
      <c r="H858" s="1"/>
      <c r="I858" s="1"/>
      <c r="J858" s="1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4"/>
      <c r="C859" s="14"/>
      <c r="D859" s="1"/>
      <c r="E859" s="1"/>
      <c r="F859" s="1"/>
      <c r="G859" s="1"/>
      <c r="H859" s="1"/>
      <c r="I859" s="1"/>
      <c r="J859" s="1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4"/>
      <c r="C860" s="14"/>
      <c r="D860" s="1"/>
      <c r="E860" s="1"/>
      <c r="F860" s="1"/>
      <c r="G860" s="1"/>
      <c r="H860" s="1"/>
      <c r="I860" s="1"/>
      <c r="J860" s="1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4"/>
      <c r="C861" s="14"/>
      <c r="D861" s="1"/>
      <c r="E861" s="1"/>
      <c r="F861" s="1"/>
      <c r="G861" s="1"/>
      <c r="H861" s="1"/>
      <c r="I861" s="1"/>
      <c r="J861" s="1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4"/>
      <c r="C862" s="14"/>
      <c r="D862" s="1"/>
      <c r="E862" s="1"/>
      <c r="F862" s="1"/>
      <c r="G862" s="1"/>
      <c r="H862" s="1"/>
      <c r="I862" s="1"/>
      <c r="J862" s="1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4"/>
      <c r="C863" s="14"/>
      <c r="D863" s="1"/>
      <c r="E863" s="1"/>
      <c r="F863" s="1"/>
      <c r="G863" s="1"/>
      <c r="H863" s="1"/>
      <c r="I863" s="1"/>
      <c r="J863" s="1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4"/>
      <c r="C864" s="14"/>
      <c r="D864" s="1"/>
      <c r="E864" s="1"/>
      <c r="F864" s="1"/>
      <c r="G864" s="1"/>
      <c r="H864" s="1"/>
      <c r="I864" s="1"/>
      <c r="J864" s="1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4"/>
      <c r="C865" s="14"/>
      <c r="D865" s="1"/>
      <c r="E865" s="1"/>
      <c r="F865" s="1"/>
      <c r="G865" s="1"/>
      <c r="H865" s="1"/>
      <c r="I865" s="1"/>
      <c r="J865" s="1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4"/>
      <c r="C866" s="14"/>
      <c r="D866" s="1"/>
      <c r="E866" s="1"/>
      <c r="F866" s="1"/>
      <c r="G866" s="1"/>
      <c r="H866" s="1"/>
      <c r="I866" s="1"/>
      <c r="J866" s="1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4"/>
      <c r="C867" s="14"/>
      <c r="D867" s="1"/>
      <c r="E867" s="1"/>
      <c r="F867" s="1"/>
      <c r="G867" s="1"/>
      <c r="H867" s="1"/>
      <c r="I867" s="1"/>
      <c r="J867" s="1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4"/>
      <c r="C868" s="14"/>
      <c r="D868" s="1"/>
      <c r="E868" s="1"/>
      <c r="F868" s="1"/>
      <c r="G868" s="1"/>
      <c r="H868" s="1"/>
      <c r="I868" s="1"/>
      <c r="J868" s="1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4"/>
      <c r="C869" s="14"/>
      <c r="D869" s="1"/>
      <c r="E869" s="1"/>
      <c r="F869" s="1"/>
      <c r="G869" s="1"/>
      <c r="H869" s="1"/>
      <c r="I869" s="1"/>
      <c r="J869" s="1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4"/>
      <c r="C870" s="14"/>
      <c r="D870" s="1"/>
      <c r="E870" s="1"/>
      <c r="F870" s="1"/>
      <c r="G870" s="1"/>
      <c r="H870" s="1"/>
      <c r="I870" s="1"/>
      <c r="J870" s="1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4"/>
      <c r="C871" s="14"/>
      <c r="D871" s="1"/>
      <c r="E871" s="1"/>
      <c r="F871" s="1"/>
      <c r="G871" s="1"/>
      <c r="H871" s="1"/>
      <c r="I871" s="1"/>
      <c r="J871" s="1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4"/>
      <c r="C872" s="14"/>
      <c r="D872" s="1"/>
      <c r="E872" s="1"/>
      <c r="F872" s="1"/>
      <c r="G872" s="1"/>
      <c r="H872" s="1"/>
      <c r="I872" s="1"/>
      <c r="J872" s="1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4"/>
      <c r="C873" s="14"/>
      <c r="D873" s="1"/>
      <c r="E873" s="1"/>
      <c r="F873" s="1"/>
      <c r="G873" s="1"/>
      <c r="H873" s="1"/>
      <c r="I873" s="1"/>
      <c r="J873" s="1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4"/>
      <c r="C874" s="14"/>
      <c r="D874" s="1"/>
      <c r="E874" s="1"/>
      <c r="F874" s="1"/>
      <c r="G874" s="1"/>
      <c r="H874" s="1"/>
      <c r="I874" s="1"/>
      <c r="J874" s="1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4"/>
      <c r="C875" s="14"/>
      <c r="D875" s="1"/>
      <c r="E875" s="1"/>
      <c r="F875" s="1"/>
      <c r="G875" s="1"/>
      <c r="H875" s="1"/>
      <c r="I875" s="1"/>
      <c r="J875" s="1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4"/>
      <c r="C876" s="14"/>
      <c r="D876" s="1"/>
      <c r="E876" s="1"/>
      <c r="F876" s="1"/>
      <c r="G876" s="1"/>
      <c r="H876" s="1"/>
      <c r="I876" s="1"/>
      <c r="J876" s="1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4"/>
      <c r="C877" s="14"/>
      <c r="D877" s="1"/>
      <c r="E877" s="1"/>
      <c r="F877" s="1"/>
      <c r="G877" s="1"/>
      <c r="H877" s="1"/>
      <c r="I877" s="1"/>
      <c r="J877" s="1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4"/>
      <c r="C878" s="14"/>
      <c r="D878" s="1"/>
      <c r="E878" s="1"/>
      <c r="F878" s="1"/>
      <c r="G878" s="1"/>
      <c r="H878" s="1"/>
      <c r="I878" s="1"/>
      <c r="J878" s="1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4"/>
      <c r="C879" s="14"/>
      <c r="D879" s="1"/>
      <c r="E879" s="1"/>
      <c r="F879" s="1"/>
      <c r="G879" s="1"/>
      <c r="H879" s="1"/>
      <c r="I879" s="1"/>
      <c r="J879" s="1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4"/>
      <c r="C880" s="14"/>
      <c r="D880" s="1"/>
      <c r="E880" s="1"/>
      <c r="F880" s="1"/>
      <c r="G880" s="1"/>
      <c r="H880" s="1"/>
      <c r="I880" s="1"/>
      <c r="J880" s="1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4"/>
      <c r="C881" s="14"/>
      <c r="D881" s="1"/>
      <c r="E881" s="1"/>
      <c r="F881" s="1"/>
      <c r="G881" s="1"/>
      <c r="H881" s="1"/>
      <c r="I881" s="1"/>
      <c r="J881" s="1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4"/>
      <c r="C882" s="14"/>
      <c r="D882" s="1"/>
      <c r="E882" s="1"/>
      <c r="F882" s="1"/>
      <c r="G882" s="1"/>
      <c r="H882" s="1"/>
      <c r="I882" s="1"/>
      <c r="J882" s="1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4"/>
      <c r="C883" s="14"/>
      <c r="D883" s="1"/>
      <c r="E883" s="1"/>
      <c r="F883" s="1"/>
      <c r="G883" s="1"/>
      <c r="H883" s="1"/>
      <c r="I883" s="1"/>
      <c r="J883" s="1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4"/>
      <c r="C884" s="14"/>
      <c r="D884" s="1"/>
      <c r="E884" s="1"/>
      <c r="F884" s="1"/>
      <c r="G884" s="1"/>
      <c r="H884" s="1"/>
      <c r="I884" s="1"/>
      <c r="J884" s="1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4"/>
      <c r="C885" s="14"/>
      <c r="D885" s="1"/>
      <c r="E885" s="1"/>
      <c r="F885" s="1"/>
      <c r="G885" s="1"/>
      <c r="H885" s="1"/>
      <c r="I885" s="1"/>
      <c r="J885" s="1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4"/>
      <c r="C886" s="14"/>
      <c r="D886" s="1"/>
      <c r="E886" s="1"/>
      <c r="F886" s="1"/>
      <c r="G886" s="1"/>
      <c r="H886" s="1"/>
      <c r="I886" s="1"/>
      <c r="J886" s="1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4"/>
      <c r="C887" s="14"/>
      <c r="D887" s="1"/>
      <c r="E887" s="1"/>
      <c r="F887" s="1"/>
      <c r="G887" s="1"/>
      <c r="H887" s="1"/>
      <c r="I887" s="1"/>
      <c r="J887" s="1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4"/>
      <c r="C888" s="14"/>
      <c r="D888" s="1"/>
      <c r="E888" s="1"/>
      <c r="F888" s="1"/>
      <c r="G888" s="1"/>
      <c r="H888" s="1"/>
      <c r="I888" s="1"/>
      <c r="J888" s="1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4"/>
      <c r="C889" s="14"/>
      <c r="D889" s="1"/>
      <c r="E889" s="1"/>
      <c r="F889" s="1"/>
      <c r="G889" s="1"/>
      <c r="H889" s="1"/>
      <c r="I889" s="1"/>
      <c r="J889" s="1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4"/>
      <c r="C890" s="14"/>
      <c r="D890" s="1"/>
      <c r="E890" s="1"/>
      <c r="F890" s="1"/>
      <c r="G890" s="1"/>
      <c r="H890" s="1"/>
      <c r="I890" s="1"/>
      <c r="J890" s="1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4"/>
      <c r="C891" s="14"/>
      <c r="D891" s="1"/>
      <c r="E891" s="1"/>
      <c r="F891" s="1"/>
      <c r="G891" s="1"/>
      <c r="H891" s="1"/>
      <c r="I891" s="1"/>
      <c r="J891" s="1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4"/>
      <c r="C892" s="14"/>
      <c r="D892" s="1"/>
      <c r="E892" s="1"/>
      <c r="F892" s="1"/>
      <c r="G892" s="1"/>
      <c r="H892" s="1"/>
      <c r="I892" s="1"/>
      <c r="J892" s="1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4"/>
      <c r="C893" s="14"/>
      <c r="D893" s="1"/>
      <c r="E893" s="1"/>
      <c r="F893" s="1"/>
      <c r="G893" s="1"/>
      <c r="H893" s="1"/>
      <c r="I893" s="1"/>
      <c r="J893" s="1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4"/>
      <c r="C894" s="14"/>
      <c r="D894" s="1"/>
      <c r="E894" s="1"/>
      <c r="F894" s="1"/>
      <c r="G894" s="1"/>
      <c r="H894" s="1"/>
      <c r="I894" s="1"/>
      <c r="J894" s="1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4"/>
      <c r="C895" s="14"/>
      <c r="D895" s="1"/>
      <c r="E895" s="1"/>
      <c r="F895" s="1"/>
      <c r="G895" s="1"/>
      <c r="H895" s="1"/>
      <c r="I895" s="1"/>
      <c r="J895" s="1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4"/>
      <c r="C896" s="14"/>
      <c r="D896" s="1"/>
      <c r="E896" s="1"/>
      <c r="F896" s="1"/>
      <c r="G896" s="1"/>
      <c r="H896" s="1"/>
      <c r="I896" s="1"/>
      <c r="J896" s="1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4"/>
      <c r="C897" s="14"/>
      <c r="D897" s="1"/>
      <c r="E897" s="1"/>
      <c r="F897" s="1"/>
      <c r="G897" s="1"/>
      <c r="H897" s="1"/>
      <c r="I897" s="1"/>
      <c r="J897" s="1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4"/>
      <c r="C898" s="14"/>
      <c r="D898" s="1"/>
      <c r="E898" s="1"/>
      <c r="F898" s="1"/>
      <c r="G898" s="1"/>
      <c r="H898" s="1"/>
      <c r="I898" s="1"/>
      <c r="J898" s="1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4"/>
      <c r="C899" s="14"/>
      <c r="D899" s="1"/>
      <c r="E899" s="1"/>
      <c r="F899" s="1"/>
      <c r="G899" s="1"/>
      <c r="H899" s="1"/>
      <c r="I899" s="1"/>
      <c r="J899" s="1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4"/>
      <c r="C900" s="14"/>
      <c r="D900" s="1"/>
      <c r="E900" s="1"/>
      <c r="F900" s="1"/>
      <c r="G900" s="1"/>
      <c r="H900" s="1"/>
      <c r="I900" s="1"/>
      <c r="J900" s="1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4"/>
      <c r="C901" s="14"/>
      <c r="D901" s="1"/>
      <c r="E901" s="1"/>
      <c r="F901" s="1"/>
      <c r="G901" s="1"/>
      <c r="H901" s="1"/>
      <c r="I901" s="1"/>
      <c r="J901" s="1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4"/>
      <c r="C902" s="14"/>
      <c r="D902" s="1"/>
      <c r="E902" s="1"/>
      <c r="F902" s="1"/>
      <c r="G902" s="1"/>
      <c r="H902" s="1"/>
      <c r="I902" s="1"/>
      <c r="J902" s="1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4"/>
      <c r="C903" s="14"/>
      <c r="D903" s="1"/>
      <c r="E903" s="1"/>
      <c r="F903" s="1"/>
      <c r="G903" s="1"/>
      <c r="H903" s="1"/>
      <c r="I903" s="1"/>
      <c r="J903" s="1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4"/>
      <c r="C904" s="14"/>
      <c r="D904" s="1"/>
      <c r="E904" s="1"/>
      <c r="F904" s="1"/>
      <c r="G904" s="1"/>
      <c r="H904" s="1"/>
      <c r="I904" s="1"/>
      <c r="J904" s="1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4"/>
      <c r="C905" s="14"/>
      <c r="D905" s="1"/>
      <c r="E905" s="1"/>
      <c r="F905" s="1"/>
      <c r="G905" s="1"/>
      <c r="H905" s="1"/>
      <c r="I905" s="1"/>
      <c r="J905" s="1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4"/>
      <c r="C906" s="14"/>
      <c r="D906" s="1"/>
      <c r="E906" s="1"/>
      <c r="F906" s="1"/>
      <c r="G906" s="1"/>
      <c r="H906" s="1"/>
      <c r="I906" s="1"/>
      <c r="J906" s="1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4"/>
      <c r="C907" s="14"/>
      <c r="D907" s="1"/>
      <c r="E907" s="1"/>
      <c r="F907" s="1"/>
      <c r="G907" s="1"/>
      <c r="H907" s="1"/>
      <c r="I907" s="1"/>
      <c r="J907" s="1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4"/>
      <c r="C908" s="14"/>
      <c r="D908" s="1"/>
      <c r="E908" s="1"/>
      <c r="F908" s="1"/>
      <c r="G908" s="1"/>
      <c r="H908" s="1"/>
      <c r="I908" s="1"/>
      <c r="J908" s="1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4"/>
      <c r="C909" s="14"/>
      <c r="D909" s="1"/>
      <c r="E909" s="1"/>
      <c r="F909" s="1"/>
      <c r="G909" s="1"/>
      <c r="H909" s="1"/>
      <c r="I909" s="1"/>
      <c r="J909" s="1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4"/>
      <c r="C910" s="14"/>
      <c r="D910" s="1"/>
      <c r="E910" s="1"/>
      <c r="F910" s="1"/>
      <c r="G910" s="1"/>
      <c r="H910" s="1"/>
      <c r="I910" s="1"/>
      <c r="J910" s="1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4"/>
      <c r="C911" s="14"/>
      <c r="D911" s="1"/>
      <c r="E911" s="1"/>
      <c r="F911" s="1"/>
      <c r="G911" s="1"/>
      <c r="H911" s="1"/>
      <c r="I911" s="1"/>
      <c r="J911" s="1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4"/>
      <c r="C912" s="14"/>
      <c r="D912" s="1"/>
      <c r="E912" s="1"/>
      <c r="F912" s="1"/>
      <c r="G912" s="1"/>
      <c r="H912" s="1"/>
      <c r="I912" s="1"/>
      <c r="J912" s="1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4"/>
      <c r="C913" s="14"/>
      <c r="D913" s="1"/>
      <c r="E913" s="1"/>
      <c r="F913" s="1"/>
      <c r="G913" s="1"/>
      <c r="H913" s="1"/>
      <c r="I913" s="1"/>
      <c r="J913" s="1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4"/>
      <c r="C914" s="14"/>
      <c r="D914" s="1"/>
      <c r="E914" s="1"/>
      <c r="F914" s="1"/>
      <c r="G914" s="1"/>
      <c r="H914" s="1"/>
      <c r="I914" s="1"/>
      <c r="J914" s="1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4"/>
      <c r="C915" s="14"/>
      <c r="D915" s="1"/>
      <c r="E915" s="1"/>
      <c r="F915" s="1"/>
      <c r="G915" s="1"/>
      <c r="H915" s="1"/>
      <c r="I915" s="1"/>
      <c r="J915" s="1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4"/>
      <c r="C916" s="14"/>
      <c r="D916" s="1"/>
      <c r="E916" s="1"/>
      <c r="F916" s="1"/>
      <c r="G916" s="1"/>
      <c r="H916" s="1"/>
      <c r="I916" s="1"/>
      <c r="J916" s="1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4"/>
      <c r="C917" s="14"/>
      <c r="D917" s="1"/>
      <c r="E917" s="1"/>
      <c r="F917" s="1"/>
      <c r="G917" s="1"/>
      <c r="H917" s="1"/>
      <c r="I917" s="1"/>
      <c r="J917" s="1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4"/>
      <c r="C918" s="14"/>
      <c r="D918" s="1"/>
      <c r="E918" s="1"/>
      <c r="F918" s="1"/>
      <c r="G918" s="1"/>
      <c r="H918" s="1"/>
      <c r="I918" s="1"/>
      <c r="J918" s="1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4"/>
      <c r="C919" s="14"/>
      <c r="D919" s="1"/>
      <c r="E919" s="1"/>
      <c r="F919" s="1"/>
      <c r="G919" s="1"/>
      <c r="H919" s="1"/>
      <c r="I919" s="1"/>
      <c r="J919" s="1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4"/>
      <c r="C920" s="14"/>
      <c r="D920" s="1"/>
      <c r="E920" s="1"/>
      <c r="F920" s="1"/>
      <c r="G920" s="1"/>
      <c r="H920" s="1"/>
      <c r="I920" s="1"/>
      <c r="J920" s="1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4"/>
      <c r="C921" s="14"/>
      <c r="D921" s="1"/>
      <c r="E921" s="1"/>
      <c r="F921" s="1"/>
      <c r="G921" s="1"/>
      <c r="H921" s="1"/>
      <c r="I921" s="1"/>
      <c r="J921" s="1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4"/>
      <c r="C922" s="14"/>
      <c r="D922" s="1"/>
      <c r="E922" s="1"/>
      <c r="F922" s="1"/>
      <c r="G922" s="1"/>
      <c r="H922" s="1"/>
      <c r="I922" s="1"/>
      <c r="J922" s="1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4"/>
      <c r="C923" s="14"/>
      <c r="D923" s="1"/>
      <c r="E923" s="1"/>
      <c r="F923" s="1"/>
      <c r="G923" s="1"/>
      <c r="H923" s="1"/>
      <c r="I923" s="1"/>
      <c r="J923" s="1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4"/>
      <c r="C924" s="14"/>
      <c r="D924" s="1"/>
      <c r="E924" s="1"/>
      <c r="F924" s="1"/>
      <c r="G924" s="1"/>
      <c r="H924" s="1"/>
      <c r="I924" s="1"/>
      <c r="J924" s="1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4"/>
      <c r="C925" s="14"/>
      <c r="D925" s="1"/>
      <c r="E925" s="1"/>
      <c r="F925" s="1"/>
      <c r="G925" s="1"/>
      <c r="H925" s="1"/>
      <c r="I925" s="1"/>
      <c r="J925" s="1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4"/>
      <c r="C926" s="14"/>
      <c r="D926" s="1"/>
      <c r="E926" s="1"/>
      <c r="F926" s="1"/>
      <c r="G926" s="1"/>
      <c r="H926" s="1"/>
      <c r="I926" s="1"/>
      <c r="J926" s="1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4"/>
      <c r="C927" s="14"/>
      <c r="D927" s="1"/>
      <c r="E927" s="1"/>
      <c r="F927" s="1"/>
      <c r="G927" s="1"/>
      <c r="H927" s="1"/>
      <c r="I927" s="1"/>
      <c r="J927" s="1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4"/>
      <c r="C928" s="14"/>
      <c r="D928" s="1"/>
      <c r="E928" s="1"/>
      <c r="F928" s="1"/>
      <c r="G928" s="1"/>
      <c r="H928" s="1"/>
      <c r="I928" s="1"/>
      <c r="J928" s="1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4"/>
      <c r="C929" s="14"/>
      <c r="D929" s="1"/>
      <c r="E929" s="1"/>
      <c r="F929" s="1"/>
      <c r="G929" s="1"/>
      <c r="H929" s="1"/>
      <c r="I929" s="1"/>
      <c r="J929" s="1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4"/>
      <c r="C930" s="14"/>
      <c r="D930" s="1"/>
      <c r="E930" s="1"/>
      <c r="F930" s="1"/>
      <c r="G930" s="1"/>
      <c r="H930" s="1"/>
      <c r="I930" s="1"/>
      <c r="J930" s="1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4"/>
      <c r="C931" s="14"/>
      <c r="D931" s="1"/>
      <c r="E931" s="1"/>
      <c r="F931" s="1"/>
      <c r="G931" s="1"/>
      <c r="H931" s="1"/>
      <c r="I931" s="1"/>
      <c r="J931" s="1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4"/>
      <c r="C932" s="14"/>
      <c r="D932" s="1"/>
      <c r="E932" s="1"/>
      <c r="F932" s="1"/>
      <c r="G932" s="1"/>
      <c r="H932" s="1"/>
      <c r="I932" s="1"/>
      <c r="J932" s="1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4"/>
      <c r="C933" s="14"/>
      <c r="D933" s="1"/>
      <c r="E933" s="1"/>
      <c r="F933" s="1"/>
      <c r="G933" s="1"/>
      <c r="H933" s="1"/>
      <c r="I933" s="1"/>
      <c r="J933" s="1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4"/>
      <c r="C934" s="14"/>
      <c r="D934" s="1"/>
      <c r="E934" s="1"/>
      <c r="F934" s="1"/>
      <c r="G934" s="1"/>
      <c r="H934" s="1"/>
      <c r="I934" s="1"/>
      <c r="J934" s="1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4"/>
      <c r="C935" s="14"/>
      <c r="D935" s="1"/>
      <c r="E935" s="1"/>
      <c r="F935" s="1"/>
      <c r="G935" s="1"/>
      <c r="H935" s="1"/>
      <c r="I935" s="1"/>
      <c r="J935" s="1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4"/>
      <c r="C936" s="14"/>
      <c r="D936" s="1"/>
      <c r="E936" s="1"/>
      <c r="F936" s="1"/>
      <c r="G936" s="1"/>
      <c r="H936" s="1"/>
      <c r="I936" s="1"/>
      <c r="J936" s="1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4"/>
      <c r="C937" s="14"/>
      <c r="D937" s="1"/>
      <c r="E937" s="1"/>
      <c r="F937" s="1"/>
      <c r="G937" s="1"/>
      <c r="H937" s="1"/>
      <c r="I937" s="1"/>
      <c r="J937" s="1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4"/>
      <c r="C938" s="14"/>
      <c r="D938" s="1"/>
      <c r="E938" s="1"/>
      <c r="F938" s="1"/>
      <c r="G938" s="1"/>
      <c r="H938" s="1"/>
      <c r="I938" s="1"/>
      <c r="J938" s="1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4"/>
      <c r="C939" s="14"/>
      <c r="D939" s="1"/>
      <c r="E939" s="1"/>
      <c r="F939" s="1"/>
      <c r="G939" s="1"/>
      <c r="H939" s="1"/>
      <c r="I939" s="1"/>
      <c r="J939" s="1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4"/>
      <c r="C940" s="14"/>
      <c r="D940" s="1"/>
      <c r="E940" s="1"/>
      <c r="F940" s="1"/>
      <c r="G940" s="1"/>
      <c r="H940" s="1"/>
      <c r="I940" s="1"/>
      <c r="J940" s="1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4"/>
      <c r="C941" s="14"/>
      <c r="D941" s="1"/>
      <c r="E941" s="1"/>
      <c r="F941" s="1"/>
      <c r="G941" s="1"/>
      <c r="H941" s="1"/>
      <c r="I941" s="1"/>
      <c r="J941" s="1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4"/>
      <c r="C942" s="14"/>
      <c r="D942" s="1"/>
      <c r="E942" s="1"/>
      <c r="F942" s="1"/>
      <c r="G942" s="1"/>
      <c r="H942" s="1"/>
      <c r="I942" s="1"/>
      <c r="J942" s="1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4"/>
      <c r="C943" s="14"/>
      <c r="D943" s="1"/>
      <c r="E943" s="1"/>
      <c r="F943" s="1"/>
      <c r="G943" s="1"/>
      <c r="H943" s="1"/>
      <c r="I943" s="1"/>
      <c r="J943" s="1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4"/>
      <c r="C944" s="14"/>
      <c r="D944" s="1"/>
      <c r="E944" s="1"/>
      <c r="F944" s="1"/>
      <c r="G944" s="1"/>
      <c r="H944" s="1"/>
      <c r="I944" s="1"/>
      <c r="J944" s="1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4"/>
      <c r="C945" s="14"/>
      <c r="D945" s="1"/>
      <c r="E945" s="1"/>
      <c r="F945" s="1"/>
      <c r="G945" s="1"/>
      <c r="H945" s="1"/>
      <c r="I945" s="1"/>
      <c r="J945" s="1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4"/>
      <c r="C946" s="14"/>
      <c r="D946" s="1"/>
      <c r="E946" s="1"/>
      <c r="F946" s="1"/>
      <c r="G946" s="1"/>
      <c r="H946" s="1"/>
      <c r="I946" s="1"/>
      <c r="J946" s="1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4"/>
      <c r="C947" s="14"/>
      <c r="D947" s="1"/>
      <c r="E947" s="1"/>
      <c r="F947" s="1"/>
      <c r="G947" s="1"/>
      <c r="H947" s="1"/>
      <c r="I947" s="1"/>
      <c r="J947" s="1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4"/>
      <c r="C948" s="14"/>
      <c r="D948" s="1"/>
      <c r="E948" s="1"/>
      <c r="F948" s="1"/>
      <c r="G948" s="1"/>
      <c r="H948" s="1"/>
      <c r="I948" s="1"/>
      <c r="J948" s="1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4"/>
      <c r="C949" s="14"/>
      <c r="D949" s="1"/>
      <c r="E949" s="1"/>
      <c r="F949" s="1"/>
      <c r="G949" s="1"/>
      <c r="H949" s="1"/>
      <c r="I949" s="1"/>
      <c r="J949" s="1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4"/>
      <c r="C950" s="14"/>
      <c r="D950" s="1"/>
      <c r="E950" s="1"/>
      <c r="F950" s="1"/>
      <c r="G950" s="1"/>
      <c r="H950" s="1"/>
      <c r="I950" s="1"/>
      <c r="J950" s="1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4"/>
      <c r="C951" s="14"/>
      <c r="D951" s="1"/>
      <c r="E951" s="1"/>
      <c r="F951" s="1"/>
      <c r="G951" s="1"/>
      <c r="H951" s="1"/>
      <c r="I951" s="1"/>
      <c r="J951" s="1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4"/>
      <c r="C952" s="14"/>
      <c r="D952" s="1"/>
      <c r="E952" s="1"/>
      <c r="F952" s="1"/>
      <c r="G952" s="1"/>
      <c r="H952" s="1"/>
      <c r="I952" s="1"/>
      <c r="J952" s="1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4"/>
      <c r="C953" s="14"/>
      <c r="D953" s="1"/>
      <c r="E953" s="1"/>
      <c r="F953" s="1"/>
      <c r="G953" s="1"/>
      <c r="H953" s="1"/>
      <c r="I953" s="1"/>
      <c r="J953" s="1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4"/>
      <c r="C954" s="14"/>
      <c r="D954" s="1"/>
      <c r="E954" s="1"/>
      <c r="F954" s="1"/>
      <c r="G954" s="1"/>
      <c r="H954" s="1"/>
      <c r="I954" s="1"/>
      <c r="J954" s="1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4"/>
      <c r="C955" s="14"/>
      <c r="D955" s="1"/>
      <c r="E955" s="1"/>
      <c r="F955" s="1"/>
      <c r="G955" s="1"/>
      <c r="H955" s="1"/>
      <c r="I955" s="1"/>
      <c r="J955" s="1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4"/>
      <c r="C956" s="14"/>
      <c r="D956" s="1"/>
      <c r="E956" s="1"/>
      <c r="F956" s="1"/>
      <c r="G956" s="1"/>
      <c r="H956" s="1"/>
      <c r="I956" s="1"/>
      <c r="J956" s="1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4"/>
      <c r="C957" s="14"/>
      <c r="D957" s="1"/>
      <c r="E957" s="1"/>
      <c r="F957" s="1"/>
      <c r="G957" s="1"/>
      <c r="H957" s="1"/>
      <c r="I957" s="1"/>
      <c r="J957" s="1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4"/>
      <c r="C958" s="14"/>
      <c r="D958" s="1"/>
      <c r="E958" s="1"/>
      <c r="F958" s="1"/>
      <c r="G958" s="1"/>
      <c r="H958" s="1"/>
      <c r="I958" s="1"/>
      <c r="J958" s="1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4"/>
      <c r="C959" s="14"/>
      <c r="D959" s="1"/>
      <c r="E959" s="1"/>
      <c r="F959" s="1"/>
      <c r="G959" s="1"/>
      <c r="H959" s="1"/>
      <c r="I959" s="1"/>
      <c r="J959" s="1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4"/>
      <c r="C960" s="14"/>
      <c r="D960" s="1"/>
      <c r="E960" s="1"/>
      <c r="F960" s="1"/>
      <c r="G960" s="1"/>
      <c r="H960" s="1"/>
      <c r="I960" s="1"/>
      <c r="J960" s="1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4"/>
      <c r="C961" s="14"/>
      <c r="D961" s="1"/>
      <c r="E961" s="1"/>
      <c r="F961" s="1"/>
      <c r="G961" s="1"/>
      <c r="H961" s="1"/>
      <c r="I961" s="1"/>
      <c r="J961" s="1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4"/>
      <c r="C962" s="14"/>
      <c r="D962" s="1"/>
      <c r="E962" s="1"/>
      <c r="F962" s="1"/>
      <c r="G962" s="1"/>
      <c r="H962" s="1"/>
      <c r="I962" s="1"/>
      <c r="J962" s="1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4"/>
      <c r="C963" s="14"/>
      <c r="D963" s="1"/>
      <c r="E963" s="1"/>
      <c r="F963" s="1"/>
      <c r="G963" s="1"/>
      <c r="H963" s="1"/>
      <c r="I963" s="1"/>
      <c r="J963" s="1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4"/>
      <c r="C964" s="14"/>
      <c r="D964" s="1"/>
      <c r="E964" s="1"/>
      <c r="F964" s="1"/>
      <c r="G964" s="1"/>
      <c r="H964" s="1"/>
      <c r="I964" s="1"/>
      <c r="J964" s="1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4"/>
      <c r="C965" s="14"/>
      <c r="D965" s="1"/>
      <c r="E965" s="1"/>
      <c r="F965" s="1"/>
      <c r="G965" s="1"/>
      <c r="H965" s="1"/>
      <c r="I965" s="1"/>
      <c r="J965" s="15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4"/>
      <c r="C966" s="14"/>
      <c r="D966" s="1"/>
      <c r="E966" s="1"/>
      <c r="F966" s="1"/>
      <c r="G966" s="1"/>
      <c r="H966" s="1"/>
      <c r="I966" s="1"/>
      <c r="J966" s="15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4"/>
      <c r="C967" s="14"/>
      <c r="D967" s="1"/>
      <c r="E967" s="1"/>
      <c r="F967" s="1"/>
      <c r="G967" s="1"/>
      <c r="H967" s="1"/>
      <c r="I967" s="1"/>
      <c r="J967" s="15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4"/>
      <c r="C968" s="14"/>
      <c r="D968" s="1"/>
      <c r="E968" s="1"/>
      <c r="F968" s="1"/>
      <c r="G968" s="1"/>
      <c r="H968" s="1"/>
      <c r="I968" s="1"/>
      <c r="J968" s="15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4"/>
      <c r="C969" s="14"/>
      <c r="D969" s="1"/>
      <c r="E969" s="1"/>
      <c r="F969" s="1"/>
      <c r="G969" s="1"/>
      <c r="H969" s="1"/>
      <c r="I969" s="1"/>
      <c r="J969" s="15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4"/>
      <c r="C970" s="14"/>
      <c r="D970" s="1"/>
      <c r="E970" s="1"/>
      <c r="F970" s="1"/>
      <c r="G970" s="1"/>
      <c r="H970" s="1"/>
      <c r="I970" s="1"/>
      <c r="J970" s="15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4"/>
      <c r="C971" s="14"/>
      <c r="D971" s="1"/>
      <c r="E971" s="1"/>
      <c r="F971" s="1"/>
      <c r="G971" s="1"/>
      <c r="H971" s="1"/>
      <c r="I971" s="1"/>
      <c r="J971" s="15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4"/>
      <c r="C972" s="14"/>
      <c r="D972" s="1"/>
      <c r="E972" s="1"/>
      <c r="F972" s="1"/>
      <c r="G972" s="1"/>
      <c r="H972" s="1"/>
      <c r="I972" s="1"/>
      <c r="J972" s="15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4"/>
      <c r="C973" s="14"/>
      <c r="D973" s="1"/>
      <c r="E973" s="1"/>
      <c r="F973" s="1"/>
      <c r="G973" s="1"/>
      <c r="H973" s="1"/>
      <c r="I973" s="1"/>
      <c r="J973" s="15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4"/>
      <c r="C974" s="14"/>
      <c r="D974" s="1"/>
      <c r="E974" s="1"/>
      <c r="F974" s="1"/>
      <c r="G974" s="1"/>
      <c r="H974" s="1"/>
      <c r="I974" s="1"/>
      <c r="J974" s="15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4"/>
      <c r="C975" s="14"/>
      <c r="D975" s="1"/>
      <c r="E975" s="1"/>
      <c r="F975" s="1"/>
      <c r="G975" s="1"/>
      <c r="H975" s="1"/>
      <c r="I975" s="1"/>
      <c r="J975" s="15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4"/>
      <c r="C976" s="14"/>
      <c r="D976" s="1"/>
      <c r="E976" s="1"/>
      <c r="F976" s="1"/>
      <c r="G976" s="1"/>
      <c r="H976" s="1"/>
      <c r="I976" s="1"/>
      <c r="J976" s="15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4"/>
      <c r="C977" s="14"/>
      <c r="D977" s="1"/>
      <c r="E977" s="1"/>
      <c r="F977" s="1"/>
      <c r="G977" s="1"/>
      <c r="H977" s="1"/>
      <c r="I977" s="1"/>
      <c r="J977" s="15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4"/>
      <c r="C978" s="14"/>
      <c r="D978" s="1"/>
      <c r="E978" s="1"/>
      <c r="F978" s="1"/>
      <c r="G978" s="1"/>
      <c r="H978" s="1"/>
      <c r="I978" s="1"/>
      <c r="J978" s="15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4"/>
      <c r="C979" s="14"/>
      <c r="D979" s="1"/>
      <c r="E979" s="1"/>
      <c r="F979" s="1"/>
      <c r="G979" s="1"/>
      <c r="H979" s="1"/>
      <c r="I979" s="1"/>
      <c r="J979" s="15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4"/>
      <c r="C980" s="14"/>
      <c r="D980" s="1"/>
      <c r="E980" s="1"/>
      <c r="F980" s="1"/>
      <c r="G980" s="1"/>
      <c r="H980" s="1"/>
      <c r="I980" s="1"/>
      <c r="J980" s="15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4"/>
      <c r="C981" s="14"/>
      <c r="D981" s="1"/>
      <c r="E981" s="1"/>
      <c r="F981" s="1"/>
      <c r="G981" s="1"/>
      <c r="H981" s="1"/>
      <c r="I981" s="1"/>
      <c r="J981" s="15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4"/>
      <c r="C982" s="14"/>
      <c r="D982" s="1"/>
      <c r="E982" s="1"/>
      <c r="F982" s="1"/>
      <c r="G982" s="1"/>
      <c r="H982" s="1"/>
      <c r="I982" s="1"/>
      <c r="J982" s="15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4"/>
      <c r="C983" s="14"/>
      <c r="D983" s="1"/>
      <c r="E983" s="1"/>
      <c r="F983" s="1"/>
      <c r="G983" s="1"/>
      <c r="H983" s="1"/>
      <c r="I983" s="1"/>
      <c r="J983" s="15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4"/>
      <c r="C984" s="14"/>
      <c r="D984" s="1"/>
      <c r="E984" s="1"/>
      <c r="F984" s="1"/>
      <c r="G984" s="1"/>
      <c r="H984" s="1"/>
      <c r="I984" s="1"/>
      <c r="J984" s="15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4"/>
      <c r="C985" s="14"/>
      <c r="D985" s="1"/>
      <c r="E985" s="1"/>
      <c r="F985" s="1"/>
      <c r="G985" s="1"/>
      <c r="H985" s="1"/>
      <c r="I985" s="1"/>
      <c r="J985" s="15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4"/>
      <c r="C986" s="14"/>
      <c r="D986" s="1"/>
      <c r="E986" s="1"/>
      <c r="F986" s="1"/>
      <c r="G986" s="1"/>
      <c r="H986" s="1"/>
      <c r="I986" s="1"/>
      <c r="J986" s="15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4"/>
      <c r="C987" s="14"/>
      <c r="D987" s="1"/>
      <c r="E987" s="1"/>
      <c r="F987" s="1"/>
      <c r="G987" s="1"/>
      <c r="H987" s="1"/>
      <c r="I987" s="1"/>
      <c r="J987" s="15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4"/>
      <c r="C988" s="14"/>
      <c r="D988" s="1"/>
      <c r="E988" s="1"/>
      <c r="F988" s="1"/>
      <c r="G988" s="1"/>
      <c r="H988" s="1"/>
      <c r="I988" s="1"/>
      <c r="J988" s="15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4"/>
      <c r="C989" s="14"/>
      <c r="D989" s="1"/>
      <c r="E989" s="1"/>
      <c r="F989" s="1"/>
      <c r="G989" s="1"/>
      <c r="H989" s="1"/>
      <c r="I989" s="1"/>
      <c r="J989" s="15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4"/>
      <c r="C990" s="14"/>
      <c r="D990" s="1"/>
      <c r="E990" s="1"/>
      <c r="F990" s="1"/>
      <c r="G990" s="1"/>
      <c r="H990" s="1"/>
      <c r="I990" s="1"/>
      <c r="J990" s="15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4"/>
      <c r="C991" s="14"/>
      <c r="D991" s="1"/>
      <c r="E991" s="1"/>
      <c r="F991" s="1"/>
      <c r="G991" s="1"/>
      <c r="H991" s="1"/>
      <c r="I991" s="1"/>
      <c r="J991" s="15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4"/>
      <c r="C992" s="14"/>
      <c r="D992" s="1"/>
      <c r="E992" s="1"/>
      <c r="F992" s="1"/>
      <c r="G992" s="1"/>
      <c r="H992" s="1"/>
      <c r="I992" s="1"/>
      <c r="J992" s="15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4"/>
      <c r="C993" s="14"/>
      <c r="D993" s="1"/>
      <c r="E993" s="1"/>
      <c r="F993" s="1"/>
      <c r="G993" s="1"/>
      <c r="H993" s="1"/>
      <c r="I993" s="1"/>
      <c r="J993" s="15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4"/>
      <c r="C994" s="14"/>
      <c r="D994" s="1"/>
      <c r="E994" s="1"/>
      <c r="F994" s="1"/>
      <c r="G994" s="1"/>
      <c r="H994" s="1"/>
      <c r="I994" s="1"/>
      <c r="J994" s="15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4"/>
      <c r="C995" s="14"/>
      <c r="D995" s="1"/>
      <c r="E995" s="1"/>
      <c r="F995" s="1"/>
      <c r="G995" s="1"/>
      <c r="H995" s="1"/>
      <c r="I995" s="1"/>
      <c r="J995" s="15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4"/>
      <c r="C996" s="14"/>
      <c r="D996" s="1"/>
      <c r="E996" s="1"/>
      <c r="F996" s="1"/>
      <c r="G996" s="1"/>
      <c r="H996" s="1"/>
      <c r="I996" s="1"/>
      <c r="J996" s="15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4"/>
      <c r="C997" s="14"/>
      <c r="D997" s="1"/>
      <c r="E997" s="1"/>
      <c r="F997" s="1"/>
      <c r="G997" s="1"/>
      <c r="H997" s="1"/>
      <c r="I997" s="1"/>
      <c r="J997" s="15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4"/>
      <c r="C998" s="14"/>
      <c r="D998" s="1"/>
      <c r="E998" s="1"/>
      <c r="F998" s="1"/>
      <c r="G998" s="1"/>
      <c r="H998" s="1"/>
      <c r="I998" s="1"/>
      <c r="J998" s="15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4"/>
      <c r="C999" s="14"/>
      <c r="D999" s="1"/>
      <c r="E999" s="1"/>
      <c r="F999" s="1"/>
      <c r="G999" s="1"/>
      <c r="H999" s="1"/>
      <c r="I999" s="1"/>
      <c r="J999" s="15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4"/>
      <c r="C1000" s="14"/>
      <c r="D1000" s="1"/>
      <c r="E1000" s="1"/>
      <c r="F1000" s="1"/>
      <c r="G1000" s="1"/>
      <c r="H1000" s="1"/>
      <c r="I1000" s="1"/>
      <c r="J1000" s="15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.75" customHeight="1">
      <c r="A1001" s="1"/>
      <c r="B1001" s="14"/>
      <c r="C1001" s="14"/>
      <c r="D1001" s="1"/>
      <c r="E1001" s="1"/>
      <c r="F1001" s="1"/>
      <c r="G1001" s="1"/>
      <c r="H1001" s="1"/>
      <c r="I1001" s="1"/>
      <c r="J1001" s="15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.75" customHeight="1">
      <c r="A1002" s="1"/>
      <c r="B1002" s="14"/>
      <c r="C1002" s="14"/>
      <c r="D1002" s="1"/>
      <c r="E1002" s="1"/>
      <c r="F1002" s="1"/>
      <c r="G1002" s="1"/>
      <c r="H1002" s="1"/>
      <c r="I1002" s="1"/>
      <c r="J1002" s="15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5.6">
      <c r="A1003" s="1"/>
      <c r="B1003" s="14"/>
      <c r="C1003" s="14"/>
      <c r="D1003" s="1"/>
      <c r="E1003" s="1"/>
      <c r="F1003" s="1"/>
      <c r="G1003" s="1"/>
      <c r="H1003" s="1"/>
      <c r="I1003" s="1"/>
      <c r="J1003" s="15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5.6">
      <c r="A1004" s="1"/>
      <c r="B1004" s="14"/>
      <c r="C1004" s="14"/>
      <c r="D1004" s="1"/>
      <c r="E1004" s="1"/>
      <c r="F1004" s="1"/>
      <c r="G1004" s="1"/>
      <c r="H1004" s="1"/>
      <c r="I1004" s="1"/>
      <c r="J1004" s="15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5.6">
      <c r="A1005" s="1"/>
      <c r="B1005" s="14"/>
      <c r="C1005" s="14"/>
      <c r="D1005" s="1"/>
      <c r="E1005" s="1"/>
      <c r="F1005" s="1"/>
      <c r="G1005" s="1"/>
      <c r="H1005" s="1"/>
      <c r="I1005" s="1"/>
      <c r="J1005" s="15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5.6">
      <c r="A1006" s="1"/>
      <c r="B1006" s="14"/>
      <c r="C1006" s="14"/>
      <c r="D1006" s="1"/>
      <c r="E1006" s="1"/>
      <c r="F1006" s="1"/>
      <c r="G1006" s="1"/>
      <c r="H1006" s="1"/>
      <c r="I1006" s="1"/>
      <c r="J1006" s="15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5.6">
      <c r="A1007" s="1"/>
      <c r="B1007" s="14"/>
      <c r="C1007" s="14"/>
      <c r="D1007" s="1"/>
      <c r="E1007" s="1"/>
      <c r="F1007" s="1"/>
      <c r="G1007" s="1"/>
      <c r="H1007" s="1"/>
      <c r="I1007" s="1"/>
      <c r="J1007" s="15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5.75" customHeight="1">
      <c r="A1008" s="1"/>
      <c r="B1008" s="14"/>
      <c r="C1008" s="14"/>
      <c r="D1008" s="1"/>
      <c r="E1008" s="1"/>
      <c r="F1008" s="1"/>
      <c r="G1008" s="1"/>
      <c r="H1008" s="1"/>
      <c r="I1008" s="1"/>
      <c r="J1008" s="15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5.75" customHeight="1">
      <c r="A1009" s="1"/>
      <c r="B1009" s="14"/>
      <c r="C1009" s="14"/>
      <c r="D1009" s="1"/>
      <c r="E1009" s="1"/>
      <c r="F1009" s="1"/>
      <c r="G1009" s="1"/>
      <c r="H1009" s="1"/>
      <c r="I1009" s="1"/>
      <c r="J1009" s="15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5.75" customHeight="1">
      <c r="A1010" s="1"/>
      <c r="B1010" s="14"/>
      <c r="C1010" s="14"/>
      <c r="D1010" s="1"/>
      <c r="E1010" s="1"/>
      <c r="F1010" s="1"/>
      <c r="G1010" s="1"/>
      <c r="H1010" s="1"/>
      <c r="I1010" s="1"/>
      <c r="J1010" s="15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5.75" customHeight="1">
      <c r="A1011" s="1"/>
      <c r="B1011" s="14"/>
      <c r="C1011" s="14"/>
      <c r="D1011" s="1"/>
      <c r="E1011" s="1"/>
      <c r="F1011" s="1"/>
      <c r="G1011" s="1"/>
      <c r="H1011" s="1"/>
      <c r="I1011" s="1"/>
      <c r="J1011" s="15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5.75" customHeight="1">
      <c r="A1012" s="1"/>
      <c r="B1012" s="14"/>
      <c r="C1012" s="14"/>
      <c r="D1012" s="1"/>
      <c r="E1012" s="1"/>
      <c r="F1012" s="1"/>
      <c r="G1012" s="1"/>
      <c r="H1012" s="1"/>
      <c r="I1012" s="1"/>
      <c r="J1012" s="15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5.75" customHeight="1">
      <c r="A1013" s="1"/>
      <c r="B1013" s="14"/>
      <c r="C1013" s="14"/>
      <c r="D1013" s="1"/>
      <c r="E1013" s="1"/>
      <c r="F1013" s="1"/>
      <c r="G1013" s="1"/>
      <c r="H1013" s="1"/>
      <c r="I1013" s="1"/>
      <c r="J1013" s="15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5.75" customHeight="1">
      <c r="A1014" s="1"/>
      <c r="B1014" s="14"/>
      <c r="C1014" s="14"/>
      <c r="D1014" s="1"/>
      <c r="E1014" s="1"/>
      <c r="F1014" s="1"/>
      <c r="G1014" s="1"/>
      <c r="H1014" s="1"/>
      <c r="I1014" s="1"/>
      <c r="J1014" s="15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5.75" customHeight="1">
      <c r="A1015" s="1"/>
      <c r="B1015" s="14"/>
      <c r="C1015" s="14"/>
      <c r="D1015" s="1"/>
      <c r="E1015" s="1"/>
      <c r="F1015" s="1"/>
      <c r="G1015" s="1"/>
      <c r="H1015" s="1"/>
      <c r="I1015" s="1"/>
      <c r="J1015" s="15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5.75" customHeight="1">
      <c r="A1016" s="1"/>
      <c r="B1016" s="14"/>
      <c r="C1016" s="14"/>
      <c r="D1016" s="1"/>
      <c r="E1016" s="1"/>
      <c r="F1016" s="1"/>
      <c r="G1016" s="1"/>
      <c r="H1016" s="1"/>
      <c r="I1016" s="1"/>
      <c r="J1016" s="15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5.75" customHeight="1">
      <c r="A1017" s="1"/>
      <c r="B1017" s="14"/>
      <c r="C1017" s="14"/>
      <c r="D1017" s="1"/>
      <c r="E1017" s="1"/>
      <c r="F1017" s="1"/>
      <c r="G1017" s="1"/>
      <c r="H1017" s="1"/>
      <c r="I1017" s="1"/>
      <c r="J1017" s="15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5.75" customHeight="1">
      <c r="A1018" s="1"/>
      <c r="B1018" s="14"/>
      <c r="C1018" s="14"/>
      <c r="D1018" s="1"/>
      <c r="E1018" s="1"/>
      <c r="F1018" s="1"/>
      <c r="G1018" s="1"/>
      <c r="H1018" s="1"/>
      <c r="I1018" s="1"/>
      <c r="J1018" s="15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5.75" customHeight="1">
      <c r="A1019" s="1"/>
      <c r="B1019" s="14"/>
      <c r="C1019" s="14"/>
      <c r="D1019" s="1"/>
      <c r="E1019" s="1"/>
      <c r="F1019" s="1"/>
      <c r="G1019" s="1"/>
      <c r="H1019" s="1"/>
      <c r="I1019" s="1"/>
      <c r="J1019" s="15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5.75" customHeight="1">
      <c r="A1020" s="1"/>
      <c r="B1020" s="14"/>
      <c r="C1020" s="14"/>
      <c r="D1020" s="1"/>
      <c r="E1020" s="1"/>
      <c r="F1020" s="1"/>
      <c r="G1020" s="1"/>
      <c r="H1020" s="1"/>
      <c r="I1020" s="1"/>
      <c r="J1020" s="15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15.75" customHeight="1">
      <c r="A1021" s="1"/>
      <c r="B1021" s="14"/>
      <c r="C1021" s="14"/>
      <c r="D1021" s="1"/>
      <c r="E1021" s="1"/>
      <c r="F1021" s="1"/>
      <c r="G1021" s="1"/>
      <c r="H1021" s="1"/>
      <c r="I1021" s="1"/>
      <c r="J1021" s="15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5.75" customHeight="1">
      <c r="A1022" s="1"/>
      <c r="B1022" s="14"/>
      <c r="C1022" s="14"/>
      <c r="D1022" s="1"/>
      <c r="E1022" s="1"/>
      <c r="F1022" s="1"/>
      <c r="G1022" s="1"/>
      <c r="H1022" s="1"/>
      <c r="I1022" s="1"/>
      <c r="J1022" s="15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15.75" customHeight="1">
      <c r="A1023" s="1"/>
      <c r="B1023" s="14"/>
      <c r="C1023" s="14"/>
      <c r="D1023" s="1"/>
      <c r="E1023" s="1"/>
      <c r="F1023" s="1"/>
      <c r="G1023" s="1"/>
      <c r="H1023" s="1"/>
      <c r="I1023" s="1"/>
      <c r="J1023" s="15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15.75" customHeight="1">
      <c r="A1024" s="1"/>
      <c r="B1024" s="14"/>
      <c r="C1024" s="14"/>
      <c r="D1024" s="1"/>
      <c r="E1024" s="1"/>
      <c r="F1024" s="1"/>
      <c r="G1024" s="1"/>
      <c r="H1024" s="1"/>
      <c r="I1024" s="1"/>
      <c r="J1024" s="15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15.75" customHeight="1">
      <c r="A1025" s="1"/>
      <c r="B1025" s="14"/>
      <c r="C1025" s="14"/>
      <c r="D1025" s="1"/>
      <c r="E1025" s="1"/>
      <c r="F1025" s="1"/>
      <c r="G1025" s="1"/>
      <c r="H1025" s="1"/>
      <c r="I1025" s="1"/>
      <c r="J1025" s="15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15.75" customHeight="1">
      <c r="A1026" s="1"/>
      <c r="B1026" s="14"/>
      <c r="C1026" s="14"/>
      <c r="D1026" s="1"/>
      <c r="E1026" s="1"/>
      <c r="F1026" s="1"/>
      <c r="G1026" s="1"/>
      <c r="H1026" s="1"/>
      <c r="I1026" s="1"/>
      <c r="J1026" s="15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15.75" customHeight="1">
      <c r="A1027" s="1"/>
      <c r="B1027" s="14"/>
      <c r="C1027" s="14"/>
      <c r="D1027" s="1"/>
      <c r="E1027" s="1"/>
      <c r="F1027" s="1"/>
      <c r="G1027" s="1"/>
      <c r="H1027" s="1"/>
      <c r="I1027" s="1"/>
      <c r="J1027" s="15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15.75" customHeight="1">
      <c r="A1028" s="1"/>
      <c r="B1028" s="14"/>
      <c r="C1028" s="14"/>
      <c r="D1028" s="1"/>
      <c r="E1028" s="1"/>
      <c r="F1028" s="1"/>
      <c r="G1028" s="1"/>
      <c r="H1028" s="1"/>
      <c r="I1028" s="1"/>
      <c r="J1028" s="15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15.75" customHeight="1">
      <c r="A1029" s="1"/>
      <c r="B1029" s="14"/>
      <c r="C1029" s="14"/>
      <c r="D1029" s="1"/>
      <c r="E1029" s="1"/>
      <c r="F1029" s="1"/>
      <c r="G1029" s="1"/>
      <c r="H1029" s="1"/>
      <c r="I1029" s="1"/>
      <c r="J1029" s="15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5.75" customHeight="1">
      <c r="A1030" s="1"/>
      <c r="B1030" s="14"/>
      <c r="C1030" s="14"/>
      <c r="D1030" s="1"/>
      <c r="E1030" s="1"/>
      <c r="F1030" s="1"/>
      <c r="G1030" s="1"/>
      <c r="H1030" s="1"/>
      <c r="I1030" s="1"/>
      <c r="J1030" s="15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ht="15.75" customHeight="1">
      <c r="A1031" s="1"/>
      <c r="B1031" s="14"/>
      <c r="C1031" s="14"/>
      <c r="D1031" s="1"/>
      <c r="E1031" s="1"/>
      <c r="F1031" s="1"/>
      <c r="G1031" s="1"/>
      <c r="H1031" s="1"/>
      <c r="I1031" s="1"/>
      <c r="J1031" s="15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15.75" customHeight="1">
      <c r="A1032" s="1"/>
      <c r="B1032" s="14"/>
      <c r="C1032" s="14"/>
      <c r="D1032" s="1"/>
      <c r="E1032" s="1"/>
      <c r="F1032" s="1"/>
      <c r="G1032" s="1"/>
      <c r="H1032" s="1"/>
      <c r="I1032" s="1"/>
      <c r="J1032" s="15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</sheetData>
  <mergeCells count="7">
    <mergeCell ref="C96:D96"/>
    <mergeCell ref="C97:D97"/>
    <mergeCell ref="A1:J1"/>
    <mergeCell ref="A2:J2"/>
    <mergeCell ref="A3:J3"/>
    <mergeCell ref="I72:J72"/>
    <mergeCell ref="C95:D9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77"/>
  <sheetViews>
    <sheetView topLeftCell="F1" workbookViewId="0">
      <pane ySplit="4" topLeftCell="A5" activePane="bottomLeft" state="frozen"/>
      <selection pane="bottomLeft" activeCell="S11" sqref="S11"/>
    </sheetView>
  </sheetViews>
  <sheetFormatPr defaultColWidth="12.6640625" defaultRowHeight="15" customHeight="1"/>
  <cols>
    <col min="1" max="1" width="4.33203125" customWidth="1"/>
    <col min="2" max="2" width="12" customWidth="1"/>
    <col min="3" max="3" width="30.6640625" customWidth="1"/>
    <col min="4" max="4" width="11.109375" customWidth="1"/>
    <col min="5" max="5" width="13.6640625" customWidth="1"/>
    <col min="6" max="7" width="8" customWidth="1"/>
    <col min="8" max="9" width="7.88671875" customWidth="1"/>
    <col min="10" max="11" width="8.6640625" customWidth="1"/>
    <col min="12" max="15" width="8" customWidth="1"/>
    <col min="16" max="18" width="7.88671875" customWidth="1"/>
    <col min="19" max="19" width="8.33203125" customWidth="1"/>
    <col min="20" max="21" width="6.6640625" customWidth="1"/>
    <col min="22" max="22" width="7.88671875" customWidth="1"/>
    <col min="23" max="23" width="8.44140625" customWidth="1"/>
    <col min="24" max="25" width="9.109375" customWidth="1"/>
    <col min="26" max="26" width="12.109375" customWidth="1"/>
    <col min="27" max="27" width="19.6640625" customWidth="1"/>
    <col min="28" max="46" width="14.33203125" customWidth="1"/>
  </cols>
  <sheetData>
    <row r="1" spans="1:46" ht="24.75" customHeight="1">
      <c r="A1" s="260" t="s">
        <v>94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46" ht="22.5" customHeight="1">
      <c r="A2" s="264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</row>
    <row r="3" spans="1:46" ht="15" customHeight="1">
      <c r="A3" s="156"/>
      <c r="B3" s="157"/>
      <c r="C3" s="156" t="s">
        <v>203</v>
      </c>
      <c r="D3" s="265" t="s">
        <v>71</v>
      </c>
      <c r="E3" s="262"/>
      <c r="F3" s="266" t="s">
        <v>95</v>
      </c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7"/>
      <c r="AA3" s="158"/>
    </row>
    <row r="4" spans="1:46" ht="41.25" customHeight="1">
      <c r="A4" s="159" t="s">
        <v>2</v>
      </c>
      <c r="B4" s="159" t="s">
        <v>3</v>
      </c>
      <c r="C4" s="160" t="s">
        <v>4</v>
      </c>
      <c r="D4" s="161" t="s">
        <v>96</v>
      </c>
      <c r="E4" s="161" t="s">
        <v>97</v>
      </c>
      <c r="F4" s="162" t="s">
        <v>75</v>
      </c>
      <c r="G4" s="162" t="s">
        <v>85</v>
      </c>
      <c r="H4" s="162" t="s">
        <v>84</v>
      </c>
      <c r="I4" s="162" t="s">
        <v>98</v>
      </c>
      <c r="J4" s="163" t="s">
        <v>76</v>
      </c>
      <c r="K4" s="163" t="s">
        <v>83</v>
      </c>
      <c r="L4" s="162" t="s">
        <v>77</v>
      </c>
      <c r="M4" s="164" t="s">
        <v>99</v>
      </c>
      <c r="N4" s="164" t="s">
        <v>80</v>
      </c>
      <c r="O4" s="164" t="s">
        <v>82</v>
      </c>
      <c r="P4" s="164" t="s">
        <v>78</v>
      </c>
      <c r="Q4" s="164" t="s">
        <v>100</v>
      </c>
      <c r="R4" s="164" t="s">
        <v>101</v>
      </c>
      <c r="S4" s="162" t="s">
        <v>79</v>
      </c>
      <c r="T4" s="162" t="s">
        <v>102</v>
      </c>
      <c r="U4" s="162" t="s">
        <v>103</v>
      </c>
      <c r="V4" s="162" t="s">
        <v>86</v>
      </c>
      <c r="W4" s="162" t="s">
        <v>104</v>
      </c>
      <c r="X4" s="162" t="s">
        <v>105</v>
      </c>
      <c r="Y4" s="162" t="s">
        <v>87</v>
      </c>
      <c r="Z4" s="165" t="s">
        <v>106</v>
      </c>
      <c r="AA4" s="161" t="s">
        <v>107</v>
      </c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</row>
    <row r="5" spans="1:46" ht="18.75" customHeight="1">
      <c r="A5" s="167">
        <v>1</v>
      </c>
      <c r="B5" s="168">
        <f>CSE4098C_Summer2026_Grade!B5</f>
        <v>223014152</v>
      </c>
      <c r="C5" s="168" t="str">
        <f>CSE4098C_Summer2026_Grade!C5</f>
        <v>Ahadul Islam Rahul</v>
      </c>
      <c r="D5" s="169">
        <v>0</v>
      </c>
      <c r="E5" s="170">
        <f t="shared" ref="E5:E69" si="0">ROUND((40*D5)/39,2)</f>
        <v>0</v>
      </c>
      <c r="F5" s="167"/>
      <c r="G5" s="167"/>
      <c r="H5" s="167"/>
      <c r="I5" s="167"/>
      <c r="J5" s="167"/>
      <c r="K5" s="167"/>
      <c r="L5" s="167"/>
      <c r="M5" s="171"/>
      <c r="N5" s="171"/>
      <c r="O5" s="171"/>
      <c r="P5" s="172"/>
      <c r="Q5" s="172"/>
      <c r="R5" s="172"/>
      <c r="S5" s="167"/>
      <c r="T5" s="167"/>
      <c r="U5" s="167"/>
      <c r="V5" s="167"/>
      <c r="W5" s="167"/>
      <c r="X5" s="167"/>
      <c r="Y5" s="167"/>
      <c r="Z5" s="173" t="e">
        <f t="shared" ref="Z5:Z69" si="1">ROUND((40*AVERAGE(F5:Y5))/39,2)</f>
        <v>#DIV/0!</v>
      </c>
      <c r="AA5" s="174" t="e">
        <f t="shared" ref="AA5:AA69" si="2">ROUND((E5*60%+Z5*40%),2)</f>
        <v>#DIV/0!</v>
      </c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18.75" customHeight="1">
      <c r="A6" s="167">
        <f t="shared" ref="A6:A69" si="3">A5+1</f>
        <v>2</v>
      </c>
      <c r="B6" s="168">
        <f>CSE4098C_Summer2026_Grade!B6</f>
        <v>223014049</v>
      </c>
      <c r="C6" s="168" t="str">
        <f>CSE4098C_Summer2026_Grade!C6</f>
        <v>Md. Sojib Al Hasan</v>
      </c>
      <c r="D6" s="169">
        <v>0</v>
      </c>
      <c r="E6" s="170">
        <f t="shared" si="0"/>
        <v>0</v>
      </c>
      <c r="F6" s="167"/>
      <c r="G6" s="167"/>
      <c r="H6" s="167"/>
      <c r="I6" s="167"/>
      <c r="J6" s="167"/>
      <c r="K6" s="167"/>
      <c r="L6" s="167"/>
      <c r="M6" s="171"/>
      <c r="N6" s="171"/>
      <c r="O6" s="171"/>
      <c r="P6" s="172"/>
      <c r="Q6" s="172"/>
      <c r="R6" s="172"/>
      <c r="S6" s="167"/>
      <c r="T6" s="167"/>
      <c r="U6" s="167"/>
      <c r="V6" s="167"/>
      <c r="W6" s="167"/>
      <c r="X6" s="167"/>
      <c r="Y6" s="167"/>
      <c r="Z6" s="173" t="e">
        <f t="shared" si="1"/>
        <v>#DIV/0!</v>
      </c>
      <c r="AA6" s="174" t="e">
        <f t="shared" si="2"/>
        <v>#DIV/0!</v>
      </c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</row>
    <row r="7" spans="1:46" ht="18.75" customHeight="1">
      <c r="A7" s="167">
        <f t="shared" si="3"/>
        <v>3</v>
      </c>
      <c r="B7" s="168">
        <f>CSE4098C_Summer2026_Grade!B7</f>
        <v>222014039</v>
      </c>
      <c r="C7" s="168" t="str">
        <f>CSE4098C_Summer2026_Grade!C7</f>
        <v>Nadia Akter Jui</v>
      </c>
      <c r="D7" s="169">
        <v>0</v>
      </c>
      <c r="E7" s="170">
        <f t="shared" si="0"/>
        <v>0</v>
      </c>
      <c r="F7" s="167"/>
      <c r="G7" s="167"/>
      <c r="H7" s="167"/>
      <c r="I7" s="167"/>
      <c r="J7" s="167"/>
      <c r="K7" s="167"/>
      <c r="L7" s="167"/>
      <c r="M7" s="171"/>
      <c r="N7" s="171"/>
      <c r="O7" s="171"/>
      <c r="P7" s="172"/>
      <c r="Q7" s="172"/>
      <c r="R7" s="172"/>
      <c r="S7" s="167"/>
      <c r="T7" s="167"/>
      <c r="U7" s="167"/>
      <c r="V7" s="167"/>
      <c r="W7" s="167"/>
      <c r="X7" s="167"/>
      <c r="Y7" s="167"/>
      <c r="Z7" s="173" t="e">
        <f t="shared" si="1"/>
        <v>#DIV/0!</v>
      </c>
      <c r="AA7" s="174" t="e">
        <f t="shared" si="2"/>
        <v>#DIV/0!</v>
      </c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</row>
    <row r="8" spans="1:46" ht="18.75" customHeight="1">
      <c r="A8" s="167">
        <f t="shared" si="3"/>
        <v>4</v>
      </c>
      <c r="B8" s="168">
        <f>CSE4098C_Summer2026_Grade!B8</f>
        <v>222014012</v>
      </c>
      <c r="C8" s="168" t="str">
        <f>CSE4098C_Summer2026_Grade!C8</f>
        <v>Md. Minhazul Islam</v>
      </c>
      <c r="D8" s="169">
        <v>0</v>
      </c>
      <c r="E8" s="170">
        <f t="shared" si="0"/>
        <v>0</v>
      </c>
      <c r="F8" s="167"/>
      <c r="G8" s="167"/>
      <c r="H8" s="167"/>
      <c r="I8" s="167"/>
      <c r="J8" s="167"/>
      <c r="K8" s="167"/>
      <c r="L8" s="167"/>
      <c r="M8" s="171"/>
      <c r="N8" s="171"/>
      <c r="O8" s="171"/>
      <c r="P8" s="172"/>
      <c r="Q8" s="172"/>
      <c r="R8" s="172"/>
      <c r="S8" s="167"/>
      <c r="T8" s="167"/>
      <c r="U8" s="167"/>
      <c r="V8" s="167"/>
      <c r="W8" s="167"/>
      <c r="X8" s="167"/>
      <c r="Y8" s="167"/>
      <c r="Z8" s="173" t="e">
        <f t="shared" si="1"/>
        <v>#DIV/0!</v>
      </c>
      <c r="AA8" s="174" t="e">
        <f t="shared" si="2"/>
        <v>#DIV/0!</v>
      </c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</row>
    <row r="9" spans="1:46" ht="18.75" customHeight="1">
      <c r="A9" s="167">
        <f t="shared" si="3"/>
        <v>5</v>
      </c>
      <c r="B9" s="168">
        <f>CSE4098C_Summer2026_Grade!B9</f>
        <v>222014096</v>
      </c>
      <c r="C9" s="168" t="str">
        <f>CSE4098C_Summer2026_Grade!C9</f>
        <v>Md. Shams Arefin</v>
      </c>
      <c r="D9" s="169">
        <v>0</v>
      </c>
      <c r="E9" s="170">
        <f t="shared" si="0"/>
        <v>0</v>
      </c>
      <c r="F9" s="167"/>
      <c r="G9" s="167"/>
      <c r="H9" s="167"/>
      <c r="I9" s="167"/>
      <c r="J9" s="167"/>
      <c r="K9" s="167"/>
      <c r="L9" s="167"/>
      <c r="M9" s="171"/>
      <c r="N9" s="171"/>
      <c r="O9" s="171"/>
      <c r="P9" s="172"/>
      <c r="Q9" s="172"/>
      <c r="R9" s="172"/>
      <c r="S9" s="167"/>
      <c r="T9" s="167"/>
      <c r="U9" s="167"/>
      <c r="V9" s="167"/>
      <c r="W9" s="167"/>
      <c r="X9" s="167"/>
      <c r="Y9" s="167"/>
      <c r="Z9" s="173" t="e">
        <f t="shared" si="1"/>
        <v>#DIV/0!</v>
      </c>
      <c r="AA9" s="174" t="e">
        <f t="shared" si="2"/>
        <v>#DIV/0!</v>
      </c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</row>
    <row r="10" spans="1:46" ht="18.75" customHeight="1">
      <c r="A10" s="167">
        <f t="shared" si="3"/>
        <v>6</v>
      </c>
      <c r="B10" s="168">
        <f>CSE4098C_Summer2026_Grade!B10</f>
        <v>221014135</v>
      </c>
      <c r="C10" s="168" t="str">
        <f>CSE4098C_Summer2026_Grade!C10</f>
        <v>Aminul Islam</v>
      </c>
      <c r="D10" s="169">
        <v>0</v>
      </c>
      <c r="E10" s="170">
        <f t="shared" si="0"/>
        <v>0</v>
      </c>
      <c r="F10" s="167"/>
      <c r="G10" s="167"/>
      <c r="H10" s="167"/>
      <c r="I10" s="167"/>
      <c r="J10" s="167"/>
      <c r="K10" s="167"/>
      <c r="L10" s="167"/>
      <c r="M10" s="171"/>
      <c r="N10" s="171"/>
      <c r="O10" s="171"/>
      <c r="P10" s="172"/>
      <c r="Q10" s="172"/>
      <c r="R10" s="172"/>
      <c r="S10" s="167"/>
      <c r="T10" s="167"/>
      <c r="U10" s="167"/>
      <c r="V10" s="167"/>
      <c r="W10" s="167"/>
      <c r="X10" s="167"/>
      <c r="Y10" s="167"/>
      <c r="Z10" s="173" t="e">
        <f t="shared" si="1"/>
        <v>#DIV/0!</v>
      </c>
      <c r="AA10" s="174" t="e">
        <f t="shared" si="2"/>
        <v>#DIV/0!</v>
      </c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</row>
    <row r="11" spans="1:46" ht="18.75" customHeight="1">
      <c r="A11" s="167">
        <f t="shared" si="3"/>
        <v>7</v>
      </c>
      <c r="B11" s="168">
        <f>CSE4098C_Summer2026_Grade!B11</f>
        <v>221014018</v>
      </c>
      <c r="C11" s="168" t="str">
        <f>CSE4098C_Summer2026_Grade!C11</f>
        <v>Israfill Hossain Mehedi</v>
      </c>
      <c r="D11" s="169">
        <v>0</v>
      </c>
      <c r="E11" s="170">
        <f t="shared" si="0"/>
        <v>0</v>
      </c>
      <c r="F11" s="167"/>
      <c r="G11" s="167"/>
      <c r="H11" s="167"/>
      <c r="I11" s="167"/>
      <c r="J11" s="167"/>
      <c r="K11" s="167"/>
      <c r="L11" s="167"/>
      <c r="M11" s="171"/>
      <c r="N11" s="171"/>
      <c r="O11" s="171"/>
      <c r="P11" s="172"/>
      <c r="Q11" s="172"/>
      <c r="R11" s="172"/>
      <c r="S11" s="167"/>
      <c r="T11" s="167"/>
      <c r="U11" s="167"/>
      <c r="V11" s="167"/>
      <c r="W11" s="167"/>
      <c r="X11" s="167"/>
      <c r="Y11" s="167"/>
      <c r="Z11" s="173" t="e">
        <f t="shared" si="1"/>
        <v>#DIV/0!</v>
      </c>
      <c r="AA11" s="174" t="e">
        <f t="shared" si="2"/>
        <v>#DIV/0!</v>
      </c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</row>
    <row r="12" spans="1:46" ht="18.75" customHeight="1">
      <c r="A12" s="167">
        <f t="shared" si="3"/>
        <v>8</v>
      </c>
      <c r="B12" s="168">
        <f>CSE4098C_Summer2026_Grade!B12</f>
        <v>221014008</v>
      </c>
      <c r="C12" s="168" t="str">
        <f>CSE4098C_Summer2026_Grade!C12</f>
        <v>Mahmudul Hasan Dipto</v>
      </c>
      <c r="D12" s="169">
        <v>0</v>
      </c>
      <c r="E12" s="170">
        <f t="shared" si="0"/>
        <v>0</v>
      </c>
      <c r="F12" s="167"/>
      <c r="G12" s="167"/>
      <c r="H12" s="167"/>
      <c r="I12" s="167"/>
      <c r="J12" s="167"/>
      <c r="K12" s="167"/>
      <c r="L12" s="167"/>
      <c r="M12" s="171"/>
      <c r="N12" s="171"/>
      <c r="O12" s="171"/>
      <c r="P12" s="172"/>
      <c r="Q12" s="172"/>
      <c r="R12" s="172"/>
      <c r="S12" s="167"/>
      <c r="T12" s="167"/>
      <c r="U12" s="167"/>
      <c r="V12" s="167"/>
      <c r="W12" s="167"/>
      <c r="X12" s="167"/>
      <c r="Y12" s="167"/>
      <c r="Z12" s="173" t="e">
        <f t="shared" si="1"/>
        <v>#DIV/0!</v>
      </c>
      <c r="AA12" s="174" t="e">
        <f t="shared" si="2"/>
        <v>#DIV/0!</v>
      </c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</row>
    <row r="13" spans="1:46" ht="18.75" customHeight="1">
      <c r="A13" s="167">
        <f t="shared" si="3"/>
        <v>9</v>
      </c>
      <c r="B13" s="168">
        <f>CSE4098C_Summer2026_Grade!B13</f>
        <v>223014142</v>
      </c>
      <c r="C13" s="168" t="str">
        <f>CSE4098C_Summer2026_Grade!C13</f>
        <v>Tamanna Akter</v>
      </c>
      <c r="D13" s="169">
        <v>0</v>
      </c>
      <c r="E13" s="170">
        <f t="shared" si="0"/>
        <v>0</v>
      </c>
      <c r="F13" s="167"/>
      <c r="G13" s="167"/>
      <c r="H13" s="167"/>
      <c r="I13" s="167"/>
      <c r="J13" s="167"/>
      <c r="K13" s="167"/>
      <c r="L13" s="167"/>
      <c r="M13" s="171"/>
      <c r="N13" s="171"/>
      <c r="O13" s="171"/>
      <c r="P13" s="172"/>
      <c r="Q13" s="172"/>
      <c r="R13" s="172"/>
      <c r="S13" s="167"/>
      <c r="T13" s="167"/>
      <c r="U13" s="167"/>
      <c r="V13" s="167"/>
      <c r="W13" s="167"/>
      <c r="X13" s="167"/>
      <c r="Y13" s="167"/>
      <c r="Z13" s="173" t="e">
        <f t="shared" si="1"/>
        <v>#DIV/0!</v>
      </c>
      <c r="AA13" s="174" t="e">
        <f t="shared" si="2"/>
        <v>#DIV/0!</v>
      </c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</row>
    <row r="14" spans="1:46" ht="18.75" customHeight="1">
      <c r="A14" s="167">
        <f t="shared" si="3"/>
        <v>10</v>
      </c>
      <c r="B14" s="168">
        <f>CSE4098C_Summer2026_Grade!B14</f>
        <v>223014204</v>
      </c>
      <c r="C14" s="168" t="str">
        <f>CSE4098C_Summer2026_Grade!C14</f>
        <v>Ashrafun Nahar Rahi</v>
      </c>
      <c r="D14" s="169">
        <v>0</v>
      </c>
      <c r="E14" s="170">
        <f t="shared" si="0"/>
        <v>0</v>
      </c>
      <c r="F14" s="167"/>
      <c r="G14" s="167"/>
      <c r="H14" s="167"/>
      <c r="I14" s="167"/>
      <c r="J14" s="167"/>
      <c r="K14" s="167"/>
      <c r="L14" s="167"/>
      <c r="M14" s="171"/>
      <c r="N14" s="171"/>
      <c r="O14" s="171"/>
      <c r="P14" s="172"/>
      <c r="Q14" s="172"/>
      <c r="R14" s="172"/>
      <c r="S14" s="167"/>
      <c r="T14" s="167"/>
      <c r="U14" s="167"/>
      <c r="V14" s="167"/>
      <c r="W14" s="167"/>
      <c r="X14" s="167"/>
      <c r="Y14" s="167"/>
      <c r="Z14" s="173" t="e">
        <f t="shared" si="1"/>
        <v>#DIV/0!</v>
      </c>
      <c r="AA14" s="174" t="e">
        <f t="shared" si="2"/>
        <v>#DIV/0!</v>
      </c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</row>
    <row r="15" spans="1:46" ht="18.75" customHeight="1">
      <c r="A15" s="167">
        <f t="shared" si="3"/>
        <v>11</v>
      </c>
      <c r="B15" s="168">
        <f>CSE4098C_Summer2026_Grade!B15</f>
        <v>213014052</v>
      </c>
      <c r="C15" s="168" t="str">
        <f>CSE4098C_Summer2026_Grade!C15</f>
        <v>Khuslima Fardush Mony</v>
      </c>
      <c r="D15" s="169">
        <v>0</v>
      </c>
      <c r="E15" s="170">
        <f t="shared" si="0"/>
        <v>0</v>
      </c>
      <c r="F15" s="167"/>
      <c r="G15" s="167"/>
      <c r="H15" s="167"/>
      <c r="I15" s="167"/>
      <c r="J15" s="167"/>
      <c r="K15" s="167"/>
      <c r="L15" s="167"/>
      <c r="M15" s="171"/>
      <c r="N15" s="171"/>
      <c r="O15" s="171"/>
      <c r="P15" s="172"/>
      <c r="Q15" s="172"/>
      <c r="R15" s="172"/>
      <c r="S15" s="167"/>
      <c r="T15" s="167"/>
      <c r="U15" s="167"/>
      <c r="V15" s="167"/>
      <c r="W15" s="167"/>
      <c r="X15" s="167"/>
      <c r="Y15" s="167"/>
      <c r="Z15" s="173" t="e">
        <f t="shared" si="1"/>
        <v>#DIV/0!</v>
      </c>
      <c r="AA15" s="174" t="e">
        <f t="shared" si="2"/>
        <v>#DIV/0!</v>
      </c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</row>
    <row r="16" spans="1:46" ht="18.75" customHeight="1">
      <c r="A16" s="167">
        <f t="shared" si="3"/>
        <v>12</v>
      </c>
      <c r="B16" s="168">
        <f>CSE4098C_Summer2026_Grade!B16</f>
        <v>221014035</v>
      </c>
      <c r="C16" s="168" t="str">
        <f>CSE4098C_Summer2026_Grade!C16</f>
        <v>Md. Alif Hossain</v>
      </c>
      <c r="D16" s="169">
        <v>0</v>
      </c>
      <c r="E16" s="170">
        <f t="shared" si="0"/>
        <v>0</v>
      </c>
      <c r="F16" s="167"/>
      <c r="G16" s="167"/>
      <c r="H16" s="167"/>
      <c r="I16" s="167"/>
      <c r="J16" s="167"/>
      <c r="K16" s="167"/>
      <c r="L16" s="167"/>
      <c r="M16" s="171"/>
      <c r="N16" s="171"/>
      <c r="O16" s="171"/>
      <c r="P16" s="172"/>
      <c r="Q16" s="172"/>
      <c r="R16" s="172"/>
      <c r="S16" s="167"/>
      <c r="T16" s="167"/>
      <c r="U16" s="167"/>
      <c r="V16" s="167"/>
      <c r="W16" s="167"/>
      <c r="X16" s="167"/>
      <c r="Y16" s="167"/>
      <c r="Z16" s="173" t="e">
        <f t="shared" si="1"/>
        <v>#DIV/0!</v>
      </c>
      <c r="AA16" s="174" t="e">
        <f t="shared" si="2"/>
        <v>#DIV/0!</v>
      </c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</row>
    <row r="17" spans="1:46" ht="18.75" customHeight="1">
      <c r="A17" s="167">
        <f t="shared" si="3"/>
        <v>13</v>
      </c>
      <c r="B17" s="168">
        <f>CSE4098C_Summer2026_Grade!B17</f>
        <v>223014074</v>
      </c>
      <c r="C17" s="168" t="str">
        <f>CSE4098C_Summer2026_Grade!C17</f>
        <v>Salvir Rahman Ratul</v>
      </c>
      <c r="D17" s="169">
        <v>0</v>
      </c>
      <c r="E17" s="170">
        <f t="shared" si="0"/>
        <v>0</v>
      </c>
      <c r="F17" s="167"/>
      <c r="G17" s="167"/>
      <c r="H17" s="167"/>
      <c r="I17" s="167"/>
      <c r="J17" s="167"/>
      <c r="K17" s="167"/>
      <c r="L17" s="167"/>
      <c r="M17" s="171"/>
      <c r="N17" s="171"/>
      <c r="O17" s="171"/>
      <c r="P17" s="172"/>
      <c r="Q17" s="172"/>
      <c r="R17" s="172"/>
      <c r="S17" s="167"/>
      <c r="T17" s="167"/>
      <c r="U17" s="167"/>
      <c r="V17" s="167"/>
      <c r="W17" s="167"/>
      <c r="X17" s="167"/>
      <c r="Y17" s="167"/>
      <c r="Z17" s="173" t="e">
        <f t="shared" si="1"/>
        <v>#DIV/0!</v>
      </c>
      <c r="AA17" s="174" t="e">
        <f t="shared" si="2"/>
        <v>#DIV/0!</v>
      </c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</row>
    <row r="18" spans="1:46" ht="18.75" customHeight="1">
      <c r="A18" s="167">
        <f t="shared" si="3"/>
        <v>14</v>
      </c>
      <c r="B18" s="168">
        <f>CSE4098C_Summer2026_Grade!B18</f>
        <v>223014133</v>
      </c>
      <c r="C18" s="168" t="str">
        <f>CSE4098C_Summer2026_Grade!C18</f>
        <v>Nancy Drong</v>
      </c>
      <c r="D18" s="169">
        <v>0</v>
      </c>
      <c r="E18" s="170">
        <f t="shared" si="0"/>
        <v>0</v>
      </c>
      <c r="F18" s="167"/>
      <c r="G18" s="167"/>
      <c r="H18" s="167"/>
      <c r="I18" s="167"/>
      <c r="J18" s="167"/>
      <c r="K18" s="167"/>
      <c r="L18" s="167"/>
      <c r="M18" s="171"/>
      <c r="N18" s="171"/>
      <c r="O18" s="171"/>
      <c r="P18" s="172"/>
      <c r="Q18" s="172"/>
      <c r="R18" s="172"/>
      <c r="S18" s="167"/>
      <c r="T18" s="167"/>
      <c r="U18" s="167"/>
      <c r="V18" s="167"/>
      <c r="W18" s="167"/>
      <c r="X18" s="167"/>
      <c r="Y18" s="167"/>
      <c r="Z18" s="173" t="e">
        <f t="shared" si="1"/>
        <v>#DIV/0!</v>
      </c>
      <c r="AA18" s="174" t="e">
        <f t="shared" si="2"/>
        <v>#DIV/0!</v>
      </c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</row>
    <row r="19" spans="1:46" ht="18.75" customHeight="1">
      <c r="A19" s="167">
        <f t="shared" si="3"/>
        <v>15</v>
      </c>
      <c r="B19" s="168">
        <f>CSE4098C_Summer2026_Grade!B19</f>
        <v>223014052</v>
      </c>
      <c r="C19" s="168" t="str">
        <f>CSE4098C_Summer2026_Grade!C19</f>
        <v>Argho Das</v>
      </c>
      <c r="D19" s="169">
        <v>0</v>
      </c>
      <c r="E19" s="170">
        <f t="shared" si="0"/>
        <v>0</v>
      </c>
      <c r="F19" s="167"/>
      <c r="G19" s="167"/>
      <c r="H19" s="167"/>
      <c r="I19" s="167"/>
      <c r="J19" s="167"/>
      <c r="K19" s="167"/>
      <c r="L19" s="167"/>
      <c r="M19" s="171"/>
      <c r="N19" s="171"/>
      <c r="O19" s="171"/>
      <c r="P19" s="172"/>
      <c r="Q19" s="172"/>
      <c r="R19" s="172"/>
      <c r="S19" s="167"/>
      <c r="T19" s="167"/>
      <c r="U19" s="167"/>
      <c r="V19" s="167"/>
      <c r="W19" s="167"/>
      <c r="X19" s="167"/>
      <c r="Y19" s="167"/>
      <c r="Z19" s="173" t="e">
        <f t="shared" si="1"/>
        <v>#DIV/0!</v>
      </c>
      <c r="AA19" s="174" t="e">
        <f t="shared" si="2"/>
        <v>#DIV/0!</v>
      </c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</row>
    <row r="20" spans="1:46" ht="18.75" customHeight="1">
      <c r="A20" s="167">
        <f t="shared" si="3"/>
        <v>16</v>
      </c>
      <c r="B20" s="168">
        <f>CSE4098C_Summer2026_Grade!B20</f>
        <v>223014105</v>
      </c>
      <c r="C20" s="168" t="str">
        <f>CSE4098C_Summer2026_Grade!C20</f>
        <v>Navid Rahman</v>
      </c>
      <c r="D20" s="169">
        <v>0</v>
      </c>
      <c r="E20" s="170">
        <f t="shared" si="0"/>
        <v>0</v>
      </c>
      <c r="F20" s="167"/>
      <c r="G20" s="167"/>
      <c r="H20" s="167"/>
      <c r="I20" s="167"/>
      <c r="J20" s="167"/>
      <c r="K20" s="167"/>
      <c r="L20" s="167"/>
      <c r="M20" s="171"/>
      <c r="N20" s="171"/>
      <c r="O20" s="171"/>
      <c r="P20" s="172"/>
      <c r="Q20" s="172"/>
      <c r="R20" s="172"/>
      <c r="S20" s="167"/>
      <c r="T20" s="167"/>
      <c r="U20" s="167"/>
      <c r="V20" s="167"/>
      <c r="W20" s="167"/>
      <c r="X20" s="167"/>
      <c r="Y20" s="167"/>
      <c r="Z20" s="173" t="e">
        <f t="shared" si="1"/>
        <v>#DIV/0!</v>
      </c>
      <c r="AA20" s="174" t="e">
        <f t="shared" si="2"/>
        <v>#DIV/0!</v>
      </c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</row>
    <row r="21" spans="1:46" ht="18.75" customHeight="1">
      <c r="A21" s="167">
        <f t="shared" si="3"/>
        <v>17</v>
      </c>
      <c r="B21" s="168">
        <f>CSE4098C_Summer2026_Grade!B21</f>
        <v>223014196</v>
      </c>
      <c r="C21" s="168" t="str">
        <f>CSE4098C_Summer2026_Grade!C21</f>
        <v>Shafwan Shadid Khan</v>
      </c>
      <c r="D21" s="169">
        <v>0</v>
      </c>
      <c r="E21" s="170">
        <f t="shared" si="0"/>
        <v>0</v>
      </c>
      <c r="F21" s="167"/>
      <c r="G21" s="167"/>
      <c r="H21" s="167"/>
      <c r="I21" s="167"/>
      <c r="J21" s="167"/>
      <c r="K21" s="167"/>
      <c r="L21" s="167"/>
      <c r="M21" s="171"/>
      <c r="N21" s="171"/>
      <c r="O21" s="171"/>
      <c r="P21" s="172"/>
      <c r="Q21" s="172"/>
      <c r="R21" s="172"/>
      <c r="S21" s="167"/>
      <c r="T21" s="167"/>
      <c r="U21" s="167"/>
      <c r="V21" s="167"/>
      <c r="W21" s="167"/>
      <c r="X21" s="167"/>
      <c r="Y21" s="167"/>
      <c r="Z21" s="173" t="e">
        <f t="shared" si="1"/>
        <v>#DIV/0!</v>
      </c>
      <c r="AA21" s="174" t="e">
        <f t="shared" si="2"/>
        <v>#DIV/0!</v>
      </c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</row>
    <row r="22" spans="1:46" ht="18.75" customHeight="1">
      <c r="A22" s="167">
        <f t="shared" si="3"/>
        <v>18</v>
      </c>
      <c r="B22" s="168">
        <f>CSE4098C_Summer2026_Grade!B22</f>
        <v>201014026</v>
      </c>
      <c r="C22" s="168" t="str">
        <f>CSE4098C_Summer2026_Grade!C22</f>
        <v>Sabbir Hossain</v>
      </c>
      <c r="D22" s="169">
        <v>0</v>
      </c>
      <c r="E22" s="170">
        <f t="shared" si="0"/>
        <v>0</v>
      </c>
      <c r="F22" s="167"/>
      <c r="G22" s="167"/>
      <c r="H22" s="167"/>
      <c r="I22" s="167"/>
      <c r="J22" s="167"/>
      <c r="K22" s="167"/>
      <c r="L22" s="167"/>
      <c r="M22" s="171"/>
      <c r="N22" s="171"/>
      <c r="O22" s="171"/>
      <c r="P22" s="172"/>
      <c r="Q22" s="172"/>
      <c r="R22" s="172"/>
      <c r="S22" s="167"/>
      <c r="T22" s="167"/>
      <c r="U22" s="167"/>
      <c r="V22" s="167"/>
      <c r="W22" s="167"/>
      <c r="X22" s="167"/>
      <c r="Y22" s="167"/>
      <c r="Z22" s="173" t="e">
        <f t="shared" si="1"/>
        <v>#DIV/0!</v>
      </c>
      <c r="AA22" s="174" t="e">
        <f t="shared" si="2"/>
        <v>#DIV/0!</v>
      </c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</row>
    <row r="23" spans="1:46" ht="18.75" customHeight="1">
      <c r="A23" s="167">
        <f t="shared" si="3"/>
        <v>19</v>
      </c>
      <c r="B23" s="168">
        <f>CSE4098C_Summer2026_Grade!B23</f>
        <v>173014054</v>
      </c>
      <c r="C23" s="168" t="str">
        <f>CSE4098C_Summer2026_Grade!C23</f>
        <v>Pranto Sarkar</v>
      </c>
      <c r="D23" s="169">
        <v>0</v>
      </c>
      <c r="E23" s="170">
        <f t="shared" si="0"/>
        <v>0</v>
      </c>
      <c r="F23" s="167"/>
      <c r="G23" s="167"/>
      <c r="H23" s="167"/>
      <c r="I23" s="167"/>
      <c r="J23" s="167"/>
      <c r="K23" s="167"/>
      <c r="L23" s="167"/>
      <c r="M23" s="171"/>
      <c r="N23" s="171"/>
      <c r="O23" s="171"/>
      <c r="P23" s="172"/>
      <c r="Q23" s="172"/>
      <c r="R23" s="172"/>
      <c r="S23" s="167"/>
      <c r="T23" s="167"/>
      <c r="U23" s="167"/>
      <c r="V23" s="167"/>
      <c r="W23" s="167"/>
      <c r="X23" s="167"/>
      <c r="Y23" s="167"/>
      <c r="Z23" s="173" t="e">
        <f t="shared" si="1"/>
        <v>#DIV/0!</v>
      </c>
      <c r="AA23" s="174" t="e">
        <f t="shared" si="2"/>
        <v>#DIV/0!</v>
      </c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</row>
    <row r="24" spans="1:46" ht="18.75" customHeight="1">
      <c r="A24" s="167">
        <f t="shared" si="3"/>
        <v>20</v>
      </c>
      <c r="B24" s="168">
        <f>CSE4098C_Summer2026_Grade!B24</f>
        <v>201014068</v>
      </c>
      <c r="C24" s="168" t="str">
        <f>CSE4098C_Summer2026_Grade!C24</f>
        <v>Shatabdi Mondal Shila</v>
      </c>
      <c r="D24" s="169">
        <v>0</v>
      </c>
      <c r="E24" s="170">
        <f t="shared" si="0"/>
        <v>0</v>
      </c>
      <c r="F24" s="167"/>
      <c r="G24" s="167"/>
      <c r="H24" s="167"/>
      <c r="I24" s="167"/>
      <c r="J24" s="167"/>
      <c r="K24" s="167"/>
      <c r="L24" s="167"/>
      <c r="M24" s="171"/>
      <c r="N24" s="171"/>
      <c r="O24" s="171"/>
      <c r="P24" s="172"/>
      <c r="Q24" s="172"/>
      <c r="R24" s="172"/>
      <c r="S24" s="167"/>
      <c r="T24" s="167"/>
      <c r="U24" s="167"/>
      <c r="V24" s="167"/>
      <c r="W24" s="167"/>
      <c r="X24" s="167"/>
      <c r="Y24" s="167"/>
      <c r="Z24" s="173" t="e">
        <f t="shared" si="1"/>
        <v>#DIV/0!</v>
      </c>
      <c r="AA24" s="174" t="e">
        <f t="shared" si="2"/>
        <v>#DIV/0!</v>
      </c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</row>
    <row r="25" spans="1:46" ht="18.75" customHeight="1">
      <c r="A25" s="167">
        <f t="shared" si="3"/>
        <v>21</v>
      </c>
      <c r="B25" s="168">
        <f>CSE4098C_Summer2026_Grade!B25</f>
        <v>201014030</v>
      </c>
      <c r="C25" s="168" t="str">
        <f>CSE4098C_Summer2026_Grade!C25</f>
        <v>Md. Asiful Islam</v>
      </c>
      <c r="D25" s="169">
        <v>0</v>
      </c>
      <c r="E25" s="170">
        <f t="shared" si="0"/>
        <v>0</v>
      </c>
      <c r="F25" s="167"/>
      <c r="G25" s="167"/>
      <c r="H25" s="167"/>
      <c r="I25" s="167"/>
      <c r="J25" s="167"/>
      <c r="K25" s="167"/>
      <c r="L25" s="167"/>
      <c r="M25" s="171"/>
      <c r="N25" s="171"/>
      <c r="O25" s="171"/>
      <c r="P25" s="172"/>
      <c r="Q25" s="172"/>
      <c r="R25" s="172"/>
      <c r="S25" s="167"/>
      <c r="T25" s="167"/>
      <c r="U25" s="167"/>
      <c r="V25" s="167"/>
      <c r="W25" s="167"/>
      <c r="X25" s="167"/>
      <c r="Y25" s="167"/>
      <c r="Z25" s="173" t="e">
        <f t="shared" si="1"/>
        <v>#DIV/0!</v>
      </c>
      <c r="AA25" s="174" t="e">
        <f t="shared" si="2"/>
        <v>#DIV/0!</v>
      </c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</row>
    <row r="26" spans="1:46" ht="18.75" customHeight="1">
      <c r="A26" s="167">
        <f t="shared" si="3"/>
        <v>22</v>
      </c>
      <c r="B26" s="168">
        <f>CSE4098C_Summer2026_Grade!B26</f>
        <v>201014050</v>
      </c>
      <c r="C26" s="168" t="str">
        <f>CSE4098C_Summer2026_Grade!C26</f>
        <v>Dip Kumar Mondal</v>
      </c>
      <c r="D26" s="169">
        <v>0</v>
      </c>
      <c r="E26" s="170">
        <f t="shared" si="0"/>
        <v>0</v>
      </c>
      <c r="F26" s="167"/>
      <c r="G26" s="167"/>
      <c r="H26" s="167"/>
      <c r="I26" s="167"/>
      <c r="J26" s="167"/>
      <c r="K26" s="167"/>
      <c r="L26" s="167"/>
      <c r="M26" s="171"/>
      <c r="N26" s="171"/>
      <c r="O26" s="171"/>
      <c r="P26" s="172"/>
      <c r="Q26" s="172"/>
      <c r="R26" s="172"/>
      <c r="S26" s="167"/>
      <c r="T26" s="167"/>
      <c r="U26" s="167"/>
      <c r="V26" s="167"/>
      <c r="W26" s="167"/>
      <c r="X26" s="167"/>
      <c r="Y26" s="167"/>
      <c r="Z26" s="173" t="e">
        <f t="shared" si="1"/>
        <v>#DIV/0!</v>
      </c>
      <c r="AA26" s="174" t="e">
        <f t="shared" si="2"/>
        <v>#DIV/0!</v>
      </c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</row>
    <row r="27" spans="1:46" ht="19.5" customHeight="1">
      <c r="A27" s="167">
        <f t="shared" si="3"/>
        <v>23</v>
      </c>
      <c r="B27" s="168">
        <f>CSE4098C_Summer2026_Grade!B27</f>
        <v>223014213</v>
      </c>
      <c r="C27" s="168" t="str">
        <f>CSE4098C_Summer2026_Grade!C27</f>
        <v>Md. Minhazul Islam</v>
      </c>
      <c r="D27" s="169">
        <v>0</v>
      </c>
      <c r="E27" s="170">
        <f t="shared" si="0"/>
        <v>0</v>
      </c>
      <c r="F27" s="167"/>
      <c r="G27" s="167"/>
      <c r="H27" s="167"/>
      <c r="I27" s="167"/>
      <c r="J27" s="167"/>
      <c r="K27" s="167"/>
      <c r="L27" s="167"/>
      <c r="M27" s="171"/>
      <c r="N27" s="171"/>
      <c r="O27" s="171"/>
      <c r="P27" s="172"/>
      <c r="Q27" s="172"/>
      <c r="R27" s="172"/>
      <c r="S27" s="167"/>
      <c r="T27" s="167"/>
      <c r="U27" s="167"/>
      <c r="V27" s="167"/>
      <c r="W27" s="167"/>
      <c r="X27" s="167"/>
      <c r="Y27" s="167"/>
      <c r="Z27" s="173" t="e">
        <f t="shared" si="1"/>
        <v>#DIV/0!</v>
      </c>
      <c r="AA27" s="174" t="e">
        <f t="shared" si="2"/>
        <v>#DIV/0!</v>
      </c>
    </row>
    <row r="28" spans="1:46" ht="17.25" customHeight="1">
      <c r="A28" s="167">
        <f t="shared" si="3"/>
        <v>24</v>
      </c>
      <c r="B28" s="168">
        <f>CSE4098C_Summer2026_Grade!B28</f>
        <v>223014078</v>
      </c>
      <c r="C28" s="168" t="str">
        <f>CSE4098C_Summer2026_Grade!C28</f>
        <v>Shakhar Das Rony</v>
      </c>
      <c r="D28" s="169">
        <v>0</v>
      </c>
      <c r="E28" s="170">
        <f t="shared" si="0"/>
        <v>0</v>
      </c>
      <c r="F28" s="167"/>
      <c r="G28" s="167"/>
      <c r="H28" s="167"/>
      <c r="I28" s="167"/>
      <c r="J28" s="167"/>
      <c r="K28" s="167"/>
      <c r="L28" s="167"/>
      <c r="M28" s="171"/>
      <c r="N28" s="171"/>
      <c r="O28" s="171"/>
      <c r="P28" s="172"/>
      <c r="Q28" s="172"/>
      <c r="R28" s="172"/>
      <c r="S28" s="167"/>
      <c r="T28" s="167"/>
      <c r="U28" s="167"/>
      <c r="V28" s="167"/>
      <c r="W28" s="167"/>
      <c r="X28" s="167"/>
      <c r="Y28" s="167"/>
      <c r="Z28" s="173" t="e">
        <f t="shared" si="1"/>
        <v>#DIV/0!</v>
      </c>
      <c r="AA28" s="174" t="e">
        <f t="shared" si="2"/>
        <v>#DIV/0!</v>
      </c>
    </row>
    <row r="29" spans="1:46" ht="16.5" customHeight="1">
      <c r="A29" s="167">
        <f t="shared" si="3"/>
        <v>25</v>
      </c>
      <c r="B29" s="168">
        <f>CSE4098C_Summer2026_Grade!B29</f>
        <v>223014212</v>
      </c>
      <c r="C29" s="168" t="str">
        <f>CSE4098C_Summer2026_Grade!C29</f>
        <v>Md. Tamim Hasan</v>
      </c>
      <c r="D29" s="169">
        <v>0</v>
      </c>
      <c r="E29" s="170">
        <f t="shared" si="0"/>
        <v>0</v>
      </c>
      <c r="F29" s="167"/>
      <c r="G29" s="167"/>
      <c r="H29" s="167"/>
      <c r="I29" s="167"/>
      <c r="J29" s="167"/>
      <c r="K29" s="167"/>
      <c r="L29" s="167"/>
      <c r="M29" s="171"/>
      <c r="N29" s="171"/>
      <c r="O29" s="171"/>
      <c r="P29" s="172"/>
      <c r="Q29" s="172"/>
      <c r="R29" s="172"/>
      <c r="S29" s="167"/>
      <c r="T29" s="167"/>
      <c r="U29" s="167"/>
      <c r="V29" s="167"/>
      <c r="W29" s="167"/>
      <c r="X29" s="167"/>
      <c r="Y29" s="167"/>
      <c r="Z29" s="173" t="e">
        <f t="shared" si="1"/>
        <v>#DIV/0!</v>
      </c>
      <c r="AA29" s="174" t="e">
        <f t="shared" si="2"/>
        <v>#DIV/0!</v>
      </c>
    </row>
    <row r="30" spans="1:46" ht="19.5" customHeight="1">
      <c r="A30" s="167">
        <f t="shared" si="3"/>
        <v>26</v>
      </c>
      <c r="B30" s="168">
        <f>CSE4098C_Summer2026_Grade!B30</f>
        <v>223014110</v>
      </c>
      <c r="C30" s="168" t="str">
        <f>CSE4098C_Summer2026_Grade!C30</f>
        <v>Md. Maruf Hossain</v>
      </c>
      <c r="D30" s="169">
        <v>0</v>
      </c>
      <c r="E30" s="170">
        <f t="shared" si="0"/>
        <v>0</v>
      </c>
      <c r="F30" s="167"/>
      <c r="G30" s="167"/>
      <c r="H30" s="167"/>
      <c r="I30" s="167"/>
      <c r="J30" s="167"/>
      <c r="K30" s="167"/>
      <c r="L30" s="167"/>
      <c r="M30" s="171"/>
      <c r="N30" s="171"/>
      <c r="O30" s="171"/>
      <c r="P30" s="172"/>
      <c r="Q30" s="172"/>
      <c r="R30" s="172"/>
      <c r="S30" s="167"/>
      <c r="T30" s="167"/>
      <c r="U30" s="167"/>
      <c r="V30" s="167"/>
      <c r="W30" s="167"/>
      <c r="X30" s="167"/>
      <c r="Y30" s="167"/>
      <c r="Z30" s="173" t="e">
        <f t="shared" si="1"/>
        <v>#DIV/0!</v>
      </c>
      <c r="AA30" s="174" t="e">
        <f t="shared" si="2"/>
        <v>#DIV/0!</v>
      </c>
    </row>
    <row r="31" spans="1:46" ht="18" customHeight="1">
      <c r="A31" s="167">
        <f t="shared" si="3"/>
        <v>27</v>
      </c>
      <c r="B31" s="168">
        <f>CSE4098C_Summer2026_Grade!B31</f>
        <v>223014135</v>
      </c>
      <c r="C31" s="168" t="str">
        <f>CSE4098C_Summer2026_Grade!C31</f>
        <v>Rakibul Hasan</v>
      </c>
      <c r="D31" s="169">
        <v>0</v>
      </c>
      <c r="E31" s="170">
        <f t="shared" si="0"/>
        <v>0</v>
      </c>
      <c r="F31" s="167"/>
      <c r="G31" s="167"/>
      <c r="H31" s="167"/>
      <c r="I31" s="167"/>
      <c r="J31" s="167"/>
      <c r="K31" s="167"/>
      <c r="L31" s="167"/>
      <c r="M31" s="171"/>
      <c r="N31" s="171"/>
      <c r="O31" s="171"/>
      <c r="P31" s="172"/>
      <c r="Q31" s="172"/>
      <c r="R31" s="172"/>
      <c r="S31" s="167"/>
      <c r="T31" s="167"/>
      <c r="U31" s="167"/>
      <c r="V31" s="167"/>
      <c r="W31" s="167"/>
      <c r="X31" s="167"/>
      <c r="Y31" s="167"/>
      <c r="Z31" s="173" t="e">
        <f t="shared" si="1"/>
        <v>#DIV/0!</v>
      </c>
      <c r="AA31" s="174" t="e">
        <f t="shared" si="2"/>
        <v>#DIV/0!</v>
      </c>
    </row>
    <row r="32" spans="1:46" ht="17.25" customHeight="1">
      <c r="A32" s="167">
        <f t="shared" si="3"/>
        <v>28</v>
      </c>
      <c r="B32" s="168">
        <f>CSE4098C_Summer2026_Grade!B32</f>
        <v>223014122</v>
      </c>
      <c r="C32" s="168" t="str">
        <f>CSE4098C_Summer2026_Grade!C32</f>
        <v>Rabbi Sadnan Khan</v>
      </c>
      <c r="D32" s="169">
        <v>0</v>
      </c>
      <c r="E32" s="170">
        <f t="shared" si="0"/>
        <v>0</v>
      </c>
      <c r="F32" s="167"/>
      <c r="G32" s="167"/>
      <c r="H32" s="167"/>
      <c r="I32" s="167"/>
      <c r="J32" s="167"/>
      <c r="K32" s="167"/>
      <c r="L32" s="167"/>
      <c r="M32" s="171"/>
      <c r="N32" s="171"/>
      <c r="O32" s="171"/>
      <c r="P32" s="172"/>
      <c r="Q32" s="172"/>
      <c r="R32" s="172"/>
      <c r="S32" s="167"/>
      <c r="T32" s="167"/>
      <c r="U32" s="167"/>
      <c r="V32" s="167"/>
      <c r="W32" s="167"/>
      <c r="X32" s="167"/>
      <c r="Y32" s="167"/>
      <c r="Z32" s="173" t="e">
        <f t="shared" si="1"/>
        <v>#DIV/0!</v>
      </c>
      <c r="AA32" s="174" t="e">
        <f t="shared" si="2"/>
        <v>#DIV/0!</v>
      </c>
    </row>
    <row r="33" spans="1:27" ht="18" customHeight="1">
      <c r="A33" s="167">
        <f t="shared" si="3"/>
        <v>29</v>
      </c>
      <c r="B33" s="168">
        <f>CSE4098C_Summer2026_Grade!B33</f>
        <v>212014030</v>
      </c>
      <c r="C33" s="168" t="str">
        <f>CSE4098C_Summer2026_Grade!C33</f>
        <v>Faria Islam Sara</v>
      </c>
      <c r="D33" s="169">
        <v>0</v>
      </c>
      <c r="E33" s="170">
        <f t="shared" si="0"/>
        <v>0</v>
      </c>
      <c r="F33" s="167"/>
      <c r="G33" s="167"/>
      <c r="H33" s="167"/>
      <c r="I33" s="167"/>
      <c r="J33" s="167"/>
      <c r="K33" s="167"/>
      <c r="L33" s="167"/>
      <c r="M33" s="171"/>
      <c r="N33" s="171"/>
      <c r="O33" s="171"/>
      <c r="P33" s="172"/>
      <c r="Q33" s="172"/>
      <c r="R33" s="172"/>
      <c r="S33" s="167"/>
      <c r="T33" s="167"/>
      <c r="U33" s="167"/>
      <c r="V33" s="167"/>
      <c r="W33" s="167"/>
      <c r="X33" s="167"/>
      <c r="Y33" s="167"/>
      <c r="Z33" s="173" t="e">
        <f t="shared" si="1"/>
        <v>#DIV/0!</v>
      </c>
      <c r="AA33" s="174" t="e">
        <f t="shared" si="2"/>
        <v>#DIV/0!</v>
      </c>
    </row>
    <row r="34" spans="1:27" ht="16.5" customHeight="1">
      <c r="A34" s="167">
        <f t="shared" si="3"/>
        <v>30</v>
      </c>
      <c r="B34" s="168">
        <f>CSE4098C_Summer2026_Grade!B34</f>
        <v>222014072</v>
      </c>
      <c r="C34" s="168" t="str">
        <f>CSE4098C_Summer2026_Grade!C34</f>
        <v>Md. Rahat Pervez</v>
      </c>
      <c r="D34" s="169">
        <v>0</v>
      </c>
      <c r="E34" s="170">
        <f t="shared" si="0"/>
        <v>0</v>
      </c>
      <c r="F34" s="167"/>
      <c r="G34" s="167"/>
      <c r="H34" s="167"/>
      <c r="I34" s="167"/>
      <c r="J34" s="167"/>
      <c r="K34" s="167"/>
      <c r="L34" s="167"/>
      <c r="M34" s="171"/>
      <c r="N34" s="171"/>
      <c r="O34" s="171"/>
      <c r="P34" s="172"/>
      <c r="Q34" s="172"/>
      <c r="R34" s="172"/>
      <c r="S34" s="167"/>
      <c r="T34" s="167"/>
      <c r="U34" s="167"/>
      <c r="V34" s="167"/>
      <c r="W34" s="167"/>
      <c r="X34" s="167"/>
      <c r="Y34" s="167"/>
      <c r="Z34" s="173" t="e">
        <f t="shared" si="1"/>
        <v>#DIV/0!</v>
      </c>
      <c r="AA34" s="174" t="e">
        <f t="shared" si="2"/>
        <v>#DIV/0!</v>
      </c>
    </row>
    <row r="35" spans="1:27" ht="18" customHeight="1">
      <c r="A35" s="167">
        <f t="shared" si="3"/>
        <v>31</v>
      </c>
      <c r="B35" s="168">
        <f>CSE4098C_Summer2026_Grade!B35</f>
        <v>222014097</v>
      </c>
      <c r="C35" s="168" t="str">
        <f>CSE4098C_Summer2026_Grade!C35</f>
        <v>Md. Abul Hashem</v>
      </c>
      <c r="D35" s="169">
        <v>0</v>
      </c>
      <c r="E35" s="170">
        <f t="shared" si="0"/>
        <v>0</v>
      </c>
      <c r="F35" s="167"/>
      <c r="G35" s="167"/>
      <c r="H35" s="167"/>
      <c r="I35" s="167"/>
      <c r="J35" s="167"/>
      <c r="K35" s="167"/>
      <c r="L35" s="167"/>
      <c r="M35" s="171"/>
      <c r="N35" s="171"/>
      <c r="O35" s="171"/>
      <c r="P35" s="172"/>
      <c r="Q35" s="172"/>
      <c r="R35" s="172"/>
      <c r="S35" s="167"/>
      <c r="T35" s="167"/>
      <c r="U35" s="167"/>
      <c r="V35" s="167"/>
      <c r="W35" s="167"/>
      <c r="X35" s="167"/>
      <c r="Y35" s="167"/>
      <c r="Z35" s="173" t="e">
        <f t="shared" si="1"/>
        <v>#DIV/0!</v>
      </c>
      <c r="AA35" s="174" t="e">
        <f t="shared" si="2"/>
        <v>#DIV/0!</v>
      </c>
    </row>
    <row r="36" spans="1:27" ht="17.25" customHeight="1">
      <c r="A36" s="167">
        <f t="shared" si="3"/>
        <v>32</v>
      </c>
      <c r="B36" s="168">
        <f>CSE4098C_Summer2026_Grade!B36</f>
        <v>222014040</v>
      </c>
      <c r="C36" s="168" t="str">
        <f>CSE4098C_Summer2026_Grade!C36</f>
        <v>Md. Fiaz Anam Tasfi</v>
      </c>
      <c r="D36" s="169">
        <v>0</v>
      </c>
      <c r="E36" s="170">
        <f t="shared" si="0"/>
        <v>0</v>
      </c>
      <c r="F36" s="167"/>
      <c r="G36" s="167"/>
      <c r="H36" s="167"/>
      <c r="I36" s="167"/>
      <c r="J36" s="167"/>
      <c r="K36" s="167"/>
      <c r="L36" s="167"/>
      <c r="M36" s="171"/>
      <c r="N36" s="171"/>
      <c r="O36" s="171"/>
      <c r="P36" s="172"/>
      <c r="Q36" s="172"/>
      <c r="R36" s="172"/>
      <c r="S36" s="167"/>
      <c r="T36" s="167"/>
      <c r="U36" s="167"/>
      <c r="V36" s="167"/>
      <c r="W36" s="167"/>
      <c r="X36" s="167"/>
      <c r="Y36" s="167"/>
      <c r="Z36" s="173" t="e">
        <f t="shared" si="1"/>
        <v>#DIV/0!</v>
      </c>
      <c r="AA36" s="174" t="e">
        <f t="shared" si="2"/>
        <v>#DIV/0!</v>
      </c>
    </row>
    <row r="37" spans="1:27" ht="16.5" customHeight="1">
      <c r="A37" s="167">
        <f t="shared" si="3"/>
        <v>33</v>
      </c>
      <c r="B37" s="168">
        <f>CSE4098C_Summer2026_Grade!B37</f>
        <v>222014071</v>
      </c>
      <c r="C37" s="168" t="str">
        <f>CSE4098C_Summer2026_Grade!C37</f>
        <v>Kasfia Hossain</v>
      </c>
      <c r="D37" s="169">
        <v>0</v>
      </c>
      <c r="E37" s="170">
        <f t="shared" si="0"/>
        <v>0</v>
      </c>
      <c r="F37" s="167"/>
      <c r="G37" s="167"/>
      <c r="H37" s="167"/>
      <c r="I37" s="167"/>
      <c r="J37" s="167"/>
      <c r="K37" s="167"/>
      <c r="L37" s="167"/>
      <c r="M37" s="171"/>
      <c r="N37" s="171"/>
      <c r="O37" s="171"/>
      <c r="P37" s="172"/>
      <c r="Q37" s="172"/>
      <c r="R37" s="172"/>
      <c r="S37" s="167"/>
      <c r="T37" s="167"/>
      <c r="U37" s="167"/>
      <c r="V37" s="167"/>
      <c r="W37" s="167"/>
      <c r="X37" s="167"/>
      <c r="Y37" s="167"/>
      <c r="Z37" s="173" t="e">
        <f t="shared" si="1"/>
        <v>#DIV/0!</v>
      </c>
      <c r="AA37" s="174" t="e">
        <f t="shared" si="2"/>
        <v>#DIV/0!</v>
      </c>
    </row>
    <row r="38" spans="1:27" ht="15.75" customHeight="1">
      <c r="A38" s="167">
        <f t="shared" si="3"/>
        <v>34</v>
      </c>
      <c r="B38" s="168">
        <f>CSE4098C_Summer2026_Grade!B38</f>
        <v>223014195</v>
      </c>
      <c r="C38" s="168" t="str">
        <f>CSE4098C_Summer2026_Grade!C38</f>
        <v>Md. Rashedul Islam</v>
      </c>
      <c r="D38" s="169">
        <v>0</v>
      </c>
      <c r="E38" s="170">
        <f t="shared" si="0"/>
        <v>0</v>
      </c>
      <c r="F38" s="167"/>
      <c r="G38" s="167"/>
      <c r="H38" s="167"/>
      <c r="I38" s="167"/>
      <c r="J38" s="167"/>
      <c r="K38" s="167"/>
      <c r="L38" s="167"/>
      <c r="M38" s="171"/>
      <c r="N38" s="171"/>
      <c r="O38" s="171"/>
      <c r="P38" s="172"/>
      <c r="Q38" s="172"/>
      <c r="R38" s="172"/>
      <c r="S38" s="167"/>
      <c r="T38" s="167"/>
      <c r="U38" s="167"/>
      <c r="V38" s="167"/>
      <c r="W38" s="167"/>
      <c r="X38" s="167"/>
      <c r="Y38" s="167"/>
      <c r="Z38" s="173" t="e">
        <f t="shared" si="1"/>
        <v>#DIV/0!</v>
      </c>
      <c r="AA38" s="174" t="e">
        <f t="shared" si="2"/>
        <v>#DIV/0!</v>
      </c>
    </row>
    <row r="39" spans="1:27" ht="18" customHeight="1">
      <c r="A39" s="167">
        <f t="shared" si="3"/>
        <v>35</v>
      </c>
      <c r="B39" s="168">
        <f>CSE4098C_Summer2026_Grade!B39</f>
        <v>223014143</v>
      </c>
      <c r="C39" s="168" t="str">
        <f>CSE4098C_Summer2026_Grade!C39</f>
        <v>Upoma Paul</v>
      </c>
      <c r="D39" s="169">
        <v>0</v>
      </c>
      <c r="E39" s="170">
        <f t="shared" si="0"/>
        <v>0</v>
      </c>
      <c r="F39" s="167"/>
      <c r="G39" s="167"/>
      <c r="H39" s="167"/>
      <c r="I39" s="167"/>
      <c r="J39" s="167"/>
      <c r="K39" s="167"/>
      <c r="L39" s="167"/>
      <c r="M39" s="171"/>
      <c r="N39" s="171"/>
      <c r="O39" s="171"/>
      <c r="P39" s="172"/>
      <c r="Q39" s="172"/>
      <c r="R39" s="172"/>
      <c r="S39" s="167"/>
      <c r="T39" s="167"/>
      <c r="U39" s="167"/>
      <c r="V39" s="167"/>
      <c r="W39" s="167"/>
      <c r="X39" s="167"/>
      <c r="Y39" s="167"/>
      <c r="Z39" s="173" t="e">
        <f t="shared" si="1"/>
        <v>#DIV/0!</v>
      </c>
      <c r="AA39" s="174" t="e">
        <f t="shared" si="2"/>
        <v>#DIV/0!</v>
      </c>
    </row>
    <row r="40" spans="1:27" ht="19.5" customHeight="1">
      <c r="A40" s="167">
        <f t="shared" si="3"/>
        <v>36</v>
      </c>
      <c r="B40" s="168">
        <f>CSE4098C_Summer2026_Grade!B40</f>
        <v>231014167</v>
      </c>
      <c r="C40" s="168" t="str">
        <f>CSE4098C_Summer2026_Grade!C40</f>
        <v>Fariha Ahmed</v>
      </c>
      <c r="D40" s="169">
        <v>0</v>
      </c>
      <c r="E40" s="170">
        <f t="shared" si="0"/>
        <v>0</v>
      </c>
      <c r="F40" s="167"/>
      <c r="G40" s="167"/>
      <c r="H40" s="167"/>
      <c r="I40" s="167"/>
      <c r="J40" s="167"/>
      <c r="K40" s="167"/>
      <c r="L40" s="167"/>
      <c r="M40" s="171"/>
      <c r="N40" s="171"/>
      <c r="O40" s="171"/>
      <c r="P40" s="172"/>
      <c r="Q40" s="172"/>
      <c r="R40" s="172"/>
      <c r="S40" s="167"/>
      <c r="T40" s="167"/>
      <c r="U40" s="167"/>
      <c r="V40" s="167"/>
      <c r="W40" s="167"/>
      <c r="X40" s="167"/>
      <c r="Y40" s="167"/>
      <c r="Z40" s="173" t="e">
        <f t="shared" si="1"/>
        <v>#DIV/0!</v>
      </c>
      <c r="AA40" s="174" t="e">
        <f t="shared" si="2"/>
        <v>#DIV/0!</v>
      </c>
    </row>
    <row r="41" spans="1:27" ht="21" customHeight="1">
      <c r="A41" s="167">
        <f t="shared" si="3"/>
        <v>37</v>
      </c>
      <c r="B41" s="168">
        <f>CSE4098C_Summer2026_Grade!B41</f>
        <v>231014073</v>
      </c>
      <c r="C41" s="168" t="str">
        <f>CSE4098C_Summer2026_Grade!C41</f>
        <v>Amifat Juhad Pranto</v>
      </c>
      <c r="D41" s="169">
        <v>0</v>
      </c>
      <c r="E41" s="170">
        <f t="shared" si="0"/>
        <v>0</v>
      </c>
      <c r="F41" s="167"/>
      <c r="G41" s="167"/>
      <c r="H41" s="167"/>
      <c r="I41" s="167"/>
      <c r="J41" s="167"/>
      <c r="K41" s="167"/>
      <c r="L41" s="167"/>
      <c r="M41" s="171"/>
      <c r="N41" s="171"/>
      <c r="O41" s="171"/>
      <c r="P41" s="172"/>
      <c r="Q41" s="172"/>
      <c r="R41" s="172"/>
      <c r="S41" s="167"/>
      <c r="T41" s="167"/>
      <c r="U41" s="167"/>
      <c r="V41" s="167"/>
      <c r="W41" s="167"/>
      <c r="X41" s="167"/>
      <c r="Y41" s="167"/>
      <c r="Z41" s="173" t="e">
        <f t="shared" si="1"/>
        <v>#DIV/0!</v>
      </c>
      <c r="AA41" s="174" t="e">
        <f t="shared" si="2"/>
        <v>#DIV/0!</v>
      </c>
    </row>
    <row r="42" spans="1:27" ht="20.25" customHeight="1">
      <c r="A42" s="167">
        <f t="shared" si="3"/>
        <v>38</v>
      </c>
      <c r="B42" s="168">
        <f>CSE4098C_Summer2026_Grade!B42</f>
        <v>232014058</v>
      </c>
      <c r="C42" s="168" t="str">
        <f>CSE4098C_Summer2026_Grade!C42</f>
        <v>Tasnia Kabir Mahia</v>
      </c>
      <c r="D42" s="169">
        <v>0</v>
      </c>
      <c r="E42" s="170">
        <f t="shared" si="0"/>
        <v>0</v>
      </c>
      <c r="F42" s="167"/>
      <c r="G42" s="167"/>
      <c r="H42" s="167"/>
      <c r="I42" s="167"/>
      <c r="J42" s="167"/>
      <c r="K42" s="167"/>
      <c r="L42" s="167"/>
      <c r="M42" s="171"/>
      <c r="N42" s="171"/>
      <c r="O42" s="171"/>
      <c r="P42" s="172"/>
      <c r="Q42" s="172"/>
      <c r="R42" s="172"/>
      <c r="S42" s="167"/>
      <c r="T42" s="167"/>
      <c r="U42" s="167"/>
      <c r="V42" s="167"/>
      <c r="W42" s="167"/>
      <c r="X42" s="167"/>
      <c r="Y42" s="167"/>
      <c r="Z42" s="173" t="e">
        <f t="shared" si="1"/>
        <v>#DIV/0!</v>
      </c>
      <c r="AA42" s="174" t="e">
        <f t="shared" si="2"/>
        <v>#DIV/0!</v>
      </c>
    </row>
    <row r="43" spans="1:27" ht="19.5" customHeight="1">
      <c r="A43" s="167">
        <f t="shared" si="3"/>
        <v>39</v>
      </c>
      <c r="B43" s="168">
        <f>CSE4098C_Summer2026_Grade!B43</f>
        <v>223014183</v>
      </c>
      <c r="C43" s="168" t="str">
        <f>CSE4098C_Summer2026_Grade!C43</f>
        <v>Mahbuba Akter Chowdhury</v>
      </c>
      <c r="D43" s="169">
        <v>0</v>
      </c>
      <c r="E43" s="170">
        <f t="shared" si="0"/>
        <v>0</v>
      </c>
      <c r="F43" s="167"/>
      <c r="G43" s="167"/>
      <c r="H43" s="167"/>
      <c r="I43" s="167"/>
      <c r="J43" s="167"/>
      <c r="K43" s="167"/>
      <c r="L43" s="167"/>
      <c r="M43" s="171"/>
      <c r="N43" s="171"/>
      <c r="O43" s="171"/>
      <c r="P43" s="172"/>
      <c r="Q43" s="172"/>
      <c r="R43" s="172"/>
      <c r="S43" s="167"/>
      <c r="T43" s="167"/>
      <c r="U43" s="167"/>
      <c r="V43" s="167"/>
      <c r="W43" s="167"/>
      <c r="X43" s="167"/>
      <c r="Y43" s="167"/>
      <c r="Z43" s="173" t="e">
        <f t="shared" si="1"/>
        <v>#DIV/0!</v>
      </c>
      <c r="AA43" s="174" t="e">
        <f t="shared" si="2"/>
        <v>#DIV/0!</v>
      </c>
    </row>
    <row r="44" spans="1:27" ht="18" customHeight="1">
      <c r="A44" s="167">
        <f t="shared" si="3"/>
        <v>40</v>
      </c>
      <c r="B44" s="168">
        <f>CSE4098C_Summer2026_Grade!B44</f>
        <v>223014182</v>
      </c>
      <c r="C44" s="168" t="str">
        <f>CSE4098C_Summer2026_Grade!C44</f>
        <v>Divya Jyoti Bagchi</v>
      </c>
      <c r="D44" s="169">
        <v>0</v>
      </c>
      <c r="E44" s="170">
        <f t="shared" si="0"/>
        <v>0</v>
      </c>
      <c r="F44" s="167"/>
      <c r="G44" s="167"/>
      <c r="H44" s="167"/>
      <c r="I44" s="167"/>
      <c r="J44" s="167"/>
      <c r="K44" s="167"/>
      <c r="L44" s="167"/>
      <c r="M44" s="171"/>
      <c r="N44" s="171"/>
      <c r="O44" s="171"/>
      <c r="P44" s="172"/>
      <c r="Q44" s="172"/>
      <c r="R44" s="172"/>
      <c r="S44" s="167"/>
      <c r="T44" s="167"/>
      <c r="U44" s="167"/>
      <c r="V44" s="167"/>
      <c r="W44" s="167"/>
      <c r="X44" s="167"/>
      <c r="Y44" s="167"/>
      <c r="Z44" s="173" t="e">
        <f t="shared" si="1"/>
        <v>#DIV/0!</v>
      </c>
      <c r="AA44" s="174" t="e">
        <f t="shared" si="2"/>
        <v>#DIV/0!</v>
      </c>
    </row>
    <row r="45" spans="1:27" ht="18" customHeight="1">
      <c r="A45" s="167">
        <f t="shared" si="3"/>
        <v>41</v>
      </c>
      <c r="B45" s="168">
        <f>CSE4098C_Summer2026_Grade!B45</f>
        <v>223014127</v>
      </c>
      <c r="C45" s="168" t="str">
        <f>CSE4098C_Summer2026_Grade!C45</f>
        <v>Naznine Sultana Nitu</v>
      </c>
      <c r="D45" s="169">
        <v>0</v>
      </c>
      <c r="E45" s="170">
        <f t="shared" si="0"/>
        <v>0</v>
      </c>
      <c r="F45" s="167"/>
      <c r="G45" s="167"/>
      <c r="H45" s="167"/>
      <c r="I45" s="167"/>
      <c r="J45" s="167"/>
      <c r="K45" s="167"/>
      <c r="L45" s="167"/>
      <c r="M45" s="171"/>
      <c r="N45" s="171"/>
      <c r="O45" s="171"/>
      <c r="P45" s="172"/>
      <c r="Q45" s="172"/>
      <c r="R45" s="172"/>
      <c r="S45" s="167"/>
      <c r="T45" s="167"/>
      <c r="U45" s="167"/>
      <c r="V45" s="167"/>
      <c r="W45" s="167"/>
      <c r="X45" s="167"/>
      <c r="Y45" s="167"/>
      <c r="Z45" s="173" t="e">
        <f t="shared" si="1"/>
        <v>#DIV/0!</v>
      </c>
      <c r="AA45" s="174" t="e">
        <f t="shared" si="2"/>
        <v>#DIV/0!</v>
      </c>
    </row>
    <row r="46" spans="1:27" ht="18" customHeight="1">
      <c r="A46" s="167">
        <f t="shared" si="3"/>
        <v>42</v>
      </c>
      <c r="B46" s="168">
        <f>CSE4098C_Summer2026_Grade!B46</f>
        <v>223014011</v>
      </c>
      <c r="C46" s="168" t="str">
        <f>CSE4098C_Summer2026_Grade!C46</f>
        <v>Fabiha Fayruj</v>
      </c>
      <c r="D46" s="169">
        <v>0</v>
      </c>
      <c r="E46" s="170">
        <f t="shared" si="0"/>
        <v>0</v>
      </c>
      <c r="F46" s="167"/>
      <c r="G46" s="167"/>
      <c r="H46" s="167"/>
      <c r="I46" s="167"/>
      <c r="J46" s="167"/>
      <c r="K46" s="167"/>
      <c r="L46" s="167"/>
      <c r="M46" s="171"/>
      <c r="N46" s="171"/>
      <c r="O46" s="171"/>
      <c r="P46" s="172"/>
      <c r="Q46" s="172"/>
      <c r="R46" s="172"/>
      <c r="S46" s="167"/>
      <c r="T46" s="167"/>
      <c r="U46" s="167"/>
      <c r="V46" s="167"/>
      <c r="W46" s="167"/>
      <c r="X46" s="167"/>
      <c r="Y46" s="167"/>
      <c r="Z46" s="173" t="e">
        <f t="shared" si="1"/>
        <v>#DIV/0!</v>
      </c>
      <c r="AA46" s="174" t="e">
        <f t="shared" si="2"/>
        <v>#DIV/0!</v>
      </c>
    </row>
    <row r="47" spans="1:27" ht="19.5" customHeight="1">
      <c r="A47" s="167">
        <f t="shared" si="3"/>
        <v>43</v>
      </c>
      <c r="B47" s="168">
        <f>CSE4098C_Summer2026_Grade!B47</f>
        <v>231014007</v>
      </c>
      <c r="C47" s="168" t="str">
        <f>CSE4098C_Summer2026_Grade!C47</f>
        <v>Abdullah Al Baki</v>
      </c>
      <c r="D47" s="169">
        <v>0</v>
      </c>
      <c r="E47" s="170">
        <f t="shared" si="0"/>
        <v>0</v>
      </c>
      <c r="F47" s="167"/>
      <c r="G47" s="167"/>
      <c r="H47" s="167"/>
      <c r="I47" s="167"/>
      <c r="J47" s="167"/>
      <c r="K47" s="167"/>
      <c r="L47" s="167"/>
      <c r="M47" s="171"/>
      <c r="N47" s="171"/>
      <c r="O47" s="171"/>
      <c r="P47" s="172"/>
      <c r="Q47" s="172"/>
      <c r="R47" s="172"/>
      <c r="S47" s="167"/>
      <c r="T47" s="167"/>
      <c r="U47" s="167"/>
      <c r="V47" s="167"/>
      <c r="W47" s="167"/>
      <c r="X47" s="167"/>
      <c r="Y47" s="167"/>
      <c r="Z47" s="173" t="e">
        <f t="shared" si="1"/>
        <v>#DIV/0!</v>
      </c>
      <c r="AA47" s="174" t="e">
        <f t="shared" si="2"/>
        <v>#DIV/0!</v>
      </c>
    </row>
    <row r="48" spans="1:27" ht="16.5" customHeight="1">
      <c r="A48" s="167">
        <f t="shared" si="3"/>
        <v>44</v>
      </c>
      <c r="B48" s="168">
        <f>CSE4098C_Summer2026_Grade!B48</f>
        <v>212014015</v>
      </c>
      <c r="C48" s="168" t="str">
        <f>CSE4098C_Summer2026_Grade!C48</f>
        <v>Md. Arif Hossain Mir</v>
      </c>
      <c r="D48" s="169">
        <v>0</v>
      </c>
      <c r="E48" s="170">
        <f t="shared" si="0"/>
        <v>0</v>
      </c>
      <c r="F48" s="167"/>
      <c r="G48" s="167"/>
      <c r="H48" s="167"/>
      <c r="I48" s="167"/>
      <c r="J48" s="167"/>
      <c r="K48" s="167"/>
      <c r="L48" s="167"/>
      <c r="M48" s="171"/>
      <c r="N48" s="171"/>
      <c r="O48" s="171"/>
      <c r="P48" s="172"/>
      <c r="Q48" s="172"/>
      <c r="R48" s="172"/>
      <c r="S48" s="167"/>
      <c r="T48" s="167"/>
      <c r="U48" s="167"/>
      <c r="V48" s="167"/>
      <c r="W48" s="167"/>
      <c r="X48" s="167"/>
      <c r="Y48" s="167"/>
      <c r="Z48" s="173" t="e">
        <f t="shared" si="1"/>
        <v>#DIV/0!</v>
      </c>
      <c r="AA48" s="174" t="e">
        <f t="shared" si="2"/>
        <v>#DIV/0!</v>
      </c>
    </row>
    <row r="49" spans="1:27" ht="16.5" customHeight="1">
      <c r="A49" s="167">
        <f t="shared" si="3"/>
        <v>45</v>
      </c>
      <c r="B49" s="168">
        <f>CSE4098C_Summer2026_Grade!B49</f>
        <v>223014050</v>
      </c>
      <c r="C49" s="168" t="str">
        <f>CSE4098C_Summer2026_Grade!C49</f>
        <v>Isnat Jahan Ome</v>
      </c>
      <c r="D49" s="169">
        <v>0</v>
      </c>
      <c r="E49" s="170">
        <f t="shared" si="0"/>
        <v>0</v>
      </c>
      <c r="F49" s="167"/>
      <c r="G49" s="167"/>
      <c r="H49" s="167"/>
      <c r="I49" s="167"/>
      <c r="J49" s="167"/>
      <c r="K49" s="167"/>
      <c r="L49" s="167"/>
      <c r="M49" s="171"/>
      <c r="N49" s="171"/>
      <c r="O49" s="171"/>
      <c r="P49" s="172"/>
      <c r="Q49" s="172"/>
      <c r="R49" s="172"/>
      <c r="S49" s="167"/>
      <c r="T49" s="167"/>
      <c r="U49" s="167"/>
      <c r="V49" s="167"/>
      <c r="W49" s="167"/>
      <c r="X49" s="167"/>
      <c r="Y49" s="167"/>
      <c r="Z49" s="173" t="e">
        <f t="shared" si="1"/>
        <v>#DIV/0!</v>
      </c>
      <c r="AA49" s="174" t="e">
        <f t="shared" si="2"/>
        <v>#DIV/0!</v>
      </c>
    </row>
    <row r="50" spans="1:27" ht="16.5" customHeight="1">
      <c r="A50" s="167">
        <f t="shared" si="3"/>
        <v>46</v>
      </c>
      <c r="B50" s="168">
        <f>CSE4098C_Summer2026_Grade!B50</f>
        <v>231014075</v>
      </c>
      <c r="C50" s="168" t="str">
        <f>CSE4098C_Summer2026_Grade!C50</f>
        <v>Hasib Mahmud</v>
      </c>
      <c r="D50" s="169">
        <v>0</v>
      </c>
      <c r="E50" s="170">
        <f t="shared" si="0"/>
        <v>0</v>
      </c>
      <c r="F50" s="167"/>
      <c r="G50" s="167"/>
      <c r="H50" s="167"/>
      <c r="I50" s="167"/>
      <c r="J50" s="167"/>
      <c r="K50" s="167"/>
      <c r="L50" s="167"/>
      <c r="M50" s="171"/>
      <c r="N50" s="171"/>
      <c r="O50" s="171"/>
      <c r="P50" s="172"/>
      <c r="Q50" s="172"/>
      <c r="R50" s="172"/>
      <c r="S50" s="167"/>
      <c r="T50" s="167"/>
      <c r="U50" s="167"/>
      <c r="V50" s="167"/>
      <c r="W50" s="167"/>
      <c r="X50" s="167"/>
      <c r="Y50" s="167"/>
      <c r="Z50" s="173" t="e">
        <f t="shared" si="1"/>
        <v>#DIV/0!</v>
      </c>
      <c r="AA50" s="174" t="e">
        <f t="shared" si="2"/>
        <v>#DIV/0!</v>
      </c>
    </row>
    <row r="51" spans="1:27" ht="18" customHeight="1">
      <c r="A51" s="167">
        <f t="shared" si="3"/>
        <v>47</v>
      </c>
      <c r="B51" s="168">
        <f>CSE4098C_Summer2026_Grade!B51</f>
        <v>222014052</v>
      </c>
      <c r="C51" s="168" t="str">
        <f>CSE4098C_Summer2026_Grade!C51</f>
        <v>Redwan Ahamad Samir</v>
      </c>
      <c r="D51" s="169">
        <v>0</v>
      </c>
      <c r="E51" s="170">
        <f t="shared" si="0"/>
        <v>0</v>
      </c>
      <c r="F51" s="167"/>
      <c r="G51" s="167"/>
      <c r="H51" s="167"/>
      <c r="I51" s="167"/>
      <c r="J51" s="167"/>
      <c r="K51" s="167"/>
      <c r="L51" s="167"/>
      <c r="M51" s="171"/>
      <c r="N51" s="171"/>
      <c r="O51" s="171"/>
      <c r="P51" s="172"/>
      <c r="Q51" s="172"/>
      <c r="R51" s="172"/>
      <c r="S51" s="167"/>
      <c r="T51" s="167"/>
      <c r="U51" s="167"/>
      <c r="V51" s="167"/>
      <c r="W51" s="167"/>
      <c r="X51" s="167"/>
      <c r="Y51" s="167"/>
      <c r="Z51" s="173" t="e">
        <f t="shared" si="1"/>
        <v>#DIV/0!</v>
      </c>
      <c r="AA51" s="174" t="e">
        <f t="shared" si="2"/>
        <v>#DIV/0!</v>
      </c>
    </row>
    <row r="52" spans="1:27" ht="15.75" customHeight="1">
      <c r="A52" s="167">
        <f t="shared" si="3"/>
        <v>48</v>
      </c>
      <c r="B52" s="168">
        <f>CSE4098C_Summer2026_Grade!B52</f>
        <v>222014009</v>
      </c>
      <c r="C52" s="168" t="str">
        <f>CSE4098C_Summer2026_Grade!C52</f>
        <v>Samia Rahman</v>
      </c>
      <c r="D52" s="169">
        <v>0</v>
      </c>
      <c r="E52" s="170">
        <f t="shared" si="0"/>
        <v>0</v>
      </c>
      <c r="F52" s="167"/>
      <c r="G52" s="167"/>
      <c r="H52" s="167"/>
      <c r="I52" s="167"/>
      <c r="J52" s="167"/>
      <c r="K52" s="167"/>
      <c r="L52" s="167"/>
      <c r="M52" s="171"/>
      <c r="N52" s="171"/>
      <c r="O52" s="171"/>
      <c r="P52" s="172"/>
      <c r="Q52" s="172"/>
      <c r="R52" s="172"/>
      <c r="S52" s="167"/>
      <c r="T52" s="167"/>
      <c r="U52" s="167"/>
      <c r="V52" s="167"/>
      <c r="W52" s="167"/>
      <c r="X52" s="167"/>
      <c r="Y52" s="167"/>
      <c r="Z52" s="173" t="e">
        <f t="shared" si="1"/>
        <v>#DIV/0!</v>
      </c>
      <c r="AA52" s="174" t="e">
        <f t="shared" si="2"/>
        <v>#DIV/0!</v>
      </c>
    </row>
    <row r="53" spans="1:27" ht="19.5" customHeight="1">
      <c r="A53" s="167">
        <f t="shared" si="3"/>
        <v>49</v>
      </c>
      <c r="B53" s="168">
        <f>CSE4098C_Summer2026_Grade!B53</f>
        <v>222014088</v>
      </c>
      <c r="C53" s="168" t="str">
        <f>CSE4098C_Summer2026_Grade!C53</f>
        <v>Md. Omur Faruk</v>
      </c>
      <c r="D53" s="169">
        <v>0</v>
      </c>
      <c r="E53" s="170">
        <f t="shared" si="0"/>
        <v>0</v>
      </c>
      <c r="F53" s="167"/>
      <c r="G53" s="167"/>
      <c r="H53" s="167"/>
      <c r="I53" s="167"/>
      <c r="J53" s="167"/>
      <c r="K53" s="167"/>
      <c r="L53" s="167"/>
      <c r="M53" s="171"/>
      <c r="N53" s="171"/>
      <c r="O53" s="171"/>
      <c r="P53" s="172"/>
      <c r="Q53" s="172"/>
      <c r="R53" s="172"/>
      <c r="S53" s="167"/>
      <c r="T53" s="167"/>
      <c r="U53" s="167"/>
      <c r="V53" s="167"/>
      <c r="W53" s="167"/>
      <c r="X53" s="167"/>
      <c r="Y53" s="167"/>
      <c r="Z53" s="173" t="e">
        <f t="shared" si="1"/>
        <v>#DIV/0!</v>
      </c>
      <c r="AA53" s="174" t="e">
        <f t="shared" si="2"/>
        <v>#DIV/0!</v>
      </c>
    </row>
    <row r="54" spans="1:27" ht="12.75" customHeight="1">
      <c r="A54" s="167">
        <f t="shared" si="3"/>
        <v>50</v>
      </c>
      <c r="B54" s="168">
        <f>CSE4098C_Summer2026_Grade!B54</f>
        <v>231014021</v>
      </c>
      <c r="C54" s="168" t="str">
        <f>CSE4098C_Summer2026_Grade!C54</f>
        <v>Raiyan Islam</v>
      </c>
      <c r="D54" s="169">
        <v>0</v>
      </c>
      <c r="E54" s="170">
        <f t="shared" si="0"/>
        <v>0</v>
      </c>
      <c r="F54" s="167"/>
      <c r="G54" s="167"/>
      <c r="H54" s="167"/>
      <c r="I54" s="167"/>
      <c r="J54" s="167"/>
      <c r="K54" s="167"/>
      <c r="L54" s="167"/>
      <c r="M54" s="171"/>
      <c r="N54" s="167"/>
      <c r="O54" s="171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73" t="e">
        <f t="shared" si="1"/>
        <v>#DIV/0!</v>
      </c>
      <c r="AA54" s="174" t="e">
        <f t="shared" si="2"/>
        <v>#DIV/0!</v>
      </c>
    </row>
    <row r="55" spans="1:27" ht="12.75" customHeight="1">
      <c r="A55" s="167">
        <f t="shared" si="3"/>
        <v>51</v>
      </c>
      <c r="B55" s="168">
        <f>CSE4098C_Summer2026_Grade!B55</f>
        <v>223014086</v>
      </c>
      <c r="C55" s="168" t="str">
        <f>CSE4098C_Summer2026_Grade!C55</f>
        <v>Talat Mahmud Lam</v>
      </c>
      <c r="D55" s="169">
        <v>0</v>
      </c>
      <c r="E55" s="170">
        <f t="shared" si="0"/>
        <v>0</v>
      </c>
      <c r="F55" s="167"/>
      <c r="G55" s="167"/>
      <c r="H55" s="167"/>
      <c r="I55" s="167"/>
      <c r="J55" s="167"/>
      <c r="K55" s="167"/>
      <c r="L55" s="167"/>
      <c r="M55" s="171"/>
      <c r="N55" s="167"/>
      <c r="O55" s="171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73" t="e">
        <f t="shared" si="1"/>
        <v>#DIV/0!</v>
      </c>
      <c r="AA55" s="174" t="e">
        <f t="shared" si="2"/>
        <v>#DIV/0!</v>
      </c>
    </row>
    <row r="56" spans="1:27" ht="12.75" customHeight="1">
      <c r="A56" s="167">
        <f t="shared" si="3"/>
        <v>52</v>
      </c>
      <c r="B56" s="168">
        <f>CSE4098C_Summer2026_Grade!B56</f>
        <v>223014033</v>
      </c>
      <c r="C56" s="168" t="str">
        <f>CSE4098C_Summer2026_Grade!C56</f>
        <v>Sadia Nuzat Prova</v>
      </c>
      <c r="D56" s="169">
        <v>0</v>
      </c>
      <c r="E56" s="170">
        <f t="shared" si="0"/>
        <v>0</v>
      </c>
      <c r="F56" s="167"/>
      <c r="G56" s="167"/>
      <c r="H56" s="167"/>
      <c r="I56" s="167"/>
      <c r="J56" s="167"/>
      <c r="K56" s="167"/>
      <c r="L56" s="167"/>
      <c r="M56" s="171"/>
      <c r="N56" s="167"/>
      <c r="O56" s="171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73" t="e">
        <f t="shared" si="1"/>
        <v>#DIV/0!</v>
      </c>
      <c r="AA56" s="174" t="e">
        <f t="shared" si="2"/>
        <v>#DIV/0!</v>
      </c>
    </row>
    <row r="57" spans="1:27" ht="12.75" customHeight="1">
      <c r="A57" s="167">
        <f t="shared" si="3"/>
        <v>53</v>
      </c>
      <c r="B57" s="168">
        <f>CSE4098C_Summer2026_Grade!B57</f>
        <v>223014042</v>
      </c>
      <c r="C57" s="168" t="str">
        <f>CSE4098C_Summer2026_Grade!C57</f>
        <v>Shahin Alam</v>
      </c>
      <c r="D57" s="169">
        <v>0</v>
      </c>
      <c r="E57" s="170">
        <f t="shared" si="0"/>
        <v>0</v>
      </c>
      <c r="F57" s="167"/>
      <c r="G57" s="167"/>
      <c r="H57" s="167"/>
      <c r="I57" s="167"/>
      <c r="J57" s="167"/>
      <c r="K57" s="167"/>
      <c r="L57" s="167"/>
      <c r="M57" s="171"/>
      <c r="N57" s="167"/>
      <c r="O57" s="171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73" t="e">
        <f t="shared" si="1"/>
        <v>#DIV/0!</v>
      </c>
      <c r="AA57" s="174" t="e">
        <f t="shared" si="2"/>
        <v>#DIV/0!</v>
      </c>
    </row>
    <row r="58" spans="1:27" ht="12.75" customHeight="1">
      <c r="A58" s="167">
        <f t="shared" si="3"/>
        <v>54</v>
      </c>
      <c r="B58" s="168">
        <f>CSE4098C_Summer2026_Grade!B58</f>
        <v>223014040</v>
      </c>
      <c r="C58" s="168" t="str">
        <f>CSE4098C_Summer2026_Grade!C58</f>
        <v>Umme Asma Busra</v>
      </c>
      <c r="D58" s="169">
        <v>0</v>
      </c>
      <c r="E58" s="170">
        <f t="shared" si="0"/>
        <v>0</v>
      </c>
      <c r="F58" s="167"/>
      <c r="G58" s="167"/>
      <c r="H58" s="167"/>
      <c r="I58" s="167"/>
      <c r="J58" s="167"/>
      <c r="K58" s="167"/>
      <c r="L58" s="167"/>
      <c r="M58" s="171"/>
      <c r="N58" s="167"/>
      <c r="O58" s="171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73" t="e">
        <f t="shared" si="1"/>
        <v>#DIV/0!</v>
      </c>
      <c r="AA58" s="174" t="e">
        <f t="shared" si="2"/>
        <v>#DIV/0!</v>
      </c>
    </row>
    <row r="59" spans="1:27" ht="12.75" customHeight="1">
      <c r="A59" s="167">
        <f t="shared" si="3"/>
        <v>55</v>
      </c>
      <c r="B59" s="168">
        <f>CSE4098C_Summer2026_Grade!B59</f>
        <v>223014054</v>
      </c>
      <c r="C59" s="168" t="str">
        <f>CSE4098C_Summer2026_Grade!C59</f>
        <v>Golam Munem Zarif</v>
      </c>
      <c r="D59" s="169">
        <v>0</v>
      </c>
      <c r="E59" s="170">
        <f t="shared" si="0"/>
        <v>0</v>
      </c>
      <c r="F59" s="167"/>
      <c r="G59" s="167"/>
      <c r="H59" s="167"/>
      <c r="I59" s="167"/>
      <c r="J59" s="167"/>
      <c r="K59" s="167"/>
      <c r="L59" s="167"/>
      <c r="M59" s="171"/>
      <c r="N59" s="167"/>
      <c r="O59" s="171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73" t="e">
        <f t="shared" si="1"/>
        <v>#DIV/0!</v>
      </c>
      <c r="AA59" s="174" t="e">
        <f t="shared" si="2"/>
        <v>#DIV/0!</v>
      </c>
    </row>
    <row r="60" spans="1:27" ht="12.75" customHeight="1">
      <c r="A60" s="167">
        <f t="shared" si="3"/>
        <v>56</v>
      </c>
      <c r="B60" s="168">
        <f>CSE4098C_Summer2026_Grade!B60</f>
        <v>231014049</v>
      </c>
      <c r="C60" s="168" t="str">
        <f>CSE4098C_Summer2026_Grade!C60</f>
        <v>Kazi Noor E Saba</v>
      </c>
      <c r="D60" s="169">
        <v>0</v>
      </c>
      <c r="E60" s="170">
        <f t="shared" si="0"/>
        <v>0</v>
      </c>
      <c r="F60" s="167"/>
      <c r="G60" s="167"/>
      <c r="H60" s="167"/>
      <c r="I60" s="167"/>
      <c r="J60" s="167"/>
      <c r="K60" s="167"/>
      <c r="L60" s="167"/>
      <c r="M60" s="171"/>
      <c r="N60" s="167"/>
      <c r="O60" s="171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73" t="e">
        <f t="shared" si="1"/>
        <v>#DIV/0!</v>
      </c>
      <c r="AA60" s="174" t="e">
        <f t="shared" si="2"/>
        <v>#DIV/0!</v>
      </c>
    </row>
    <row r="61" spans="1:27" ht="12.75" customHeight="1">
      <c r="A61" s="167">
        <f t="shared" si="3"/>
        <v>57</v>
      </c>
      <c r="B61" s="168">
        <f>CSE4098C_Summer2026_Grade!B61</f>
        <v>231014016</v>
      </c>
      <c r="C61" s="168" t="str">
        <f>CSE4098C_Summer2026_Grade!C61</f>
        <v>Md. Akib Al Mahmud Dihan</v>
      </c>
      <c r="D61" s="169">
        <v>0</v>
      </c>
      <c r="E61" s="170">
        <f t="shared" si="0"/>
        <v>0</v>
      </c>
      <c r="F61" s="167"/>
      <c r="G61" s="167"/>
      <c r="H61" s="167"/>
      <c r="I61" s="167"/>
      <c r="J61" s="167"/>
      <c r="K61" s="167"/>
      <c r="L61" s="167"/>
      <c r="M61" s="171"/>
      <c r="N61" s="167"/>
      <c r="O61" s="171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73" t="e">
        <f t="shared" si="1"/>
        <v>#DIV/0!</v>
      </c>
      <c r="AA61" s="174" t="e">
        <f t="shared" si="2"/>
        <v>#DIV/0!</v>
      </c>
    </row>
    <row r="62" spans="1:27" ht="12.75" customHeight="1">
      <c r="A62" s="167">
        <f t="shared" si="3"/>
        <v>58</v>
      </c>
      <c r="B62" s="168">
        <f>CSE4098C_Summer2026_Grade!B62</f>
        <v>231014125</v>
      </c>
      <c r="C62" s="168" t="str">
        <f>CSE4098C_Summer2026_Grade!C62</f>
        <v>Jumana Muntaha</v>
      </c>
      <c r="D62" s="169">
        <v>0</v>
      </c>
      <c r="E62" s="170">
        <f t="shared" si="0"/>
        <v>0</v>
      </c>
      <c r="F62" s="167"/>
      <c r="G62" s="167"/>
      <c r="H62" s="167"/>
      <c r="I62" s="167"/>
      <c r="J62" s="167"/>
      <c r="K62" s="167"/>
      <c r="L62" s="167"/>
      <c r="M62" s="171"/>
      <c r="N62" s="167"/>
      <c r="O62" s="171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73" t="e">
        <f t="shared" si="1"/>
        <v>#DIV/0!</v>
      </c>
      <c r="AA62" s="174" t="e">
        <f t="shared" si="2"/>
        <v>#DIV/0!</v>
      </c>
    </row>
    <row r="63" spans="1:27" ht="12.75" customHeight="1">
      <c r="A63" s="167">
        <f t="shared" si="3"/>
        <v>59</v>
      </c>
      <c r="B63" s="168">
        <f>CSE4098C_Summer2026_Grade!B63</f>
        <v>231014142</v>
      </c>
      <c r="C63" s="168" t="str">
        <f>CSE4098C_Summer2026_Grade!C63</f>
        <v>Abida Binte Asif</v>
      </c>
      <c r="D63" s="169">
        <v>0</v>
      </c>
      <c r="E63" s="170">
        <f t="shared" si="0"/>
        <v>0</v>
      </c>
      <c r="F63" s="167"/>
      <c r="G63" s="167"/>
      <c r="H63" s="167"/>
      <c r="I63" s="167"/>
      <c r="J63" s="167"/>
      <c r="K63" s="167"/>
      <c r="L63" s="167"/>
      <c r="M63" s="171"/>
      <c r="N63" s="167"/>
      <c r="O63" s="171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73" t="e">
        <f t="shared" si="1"/>
        <v>#DIV/0!</v>
      </c>
      <c r="AA63" s="174" t="e">
        <f t="shared" si="2"/>
        <v>#DIV/0!</v>
      </c>
    </row>
    <row r="64" spans="1:27" ht="12.75" customHeight="1">
      <c r="A64" s="167">
        <f t="shared" si="3"/>
        <v>60</v>
      </c>
      <c r="B64" s="168">
        <f>CSE4098C_Summer2026_Grade!B64</f>
        <v>223014146</v>
      </c>
      <c r="C64" s="168" t="str">
        <f>CSE4098C_Summer2026_Grade!C64</f>
        <v>Sami Hossain</v>
      </c>
      <c r="D64" s="169">
        <v>0</v>
      </c>
      <c r="E64" s="170">
        <f t="shared" si="0"/>
        <v>0</v>
      </c>
      <c r="F64" s="167"/>
      <c r="G64" s="167"/>
      <c r="H64" s="167"/>
      <c r="I64" s="167"/>
      <c r="J64" s="167"/>
      <c r="K64" s="167"/>
      <c r="L64" s="167"/>
      <c r="M64" s="171"/>
      <c r="N64" s="167"/>
      <c r="O64" s="171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73" t="e">
        <f t="shared" si="1"/>
        <v>#DIV/0!</v>
      </c>
      <c r="AA64" s="174" t="e">
        <f t="shared" si="2"/>
        <v>#DIV/0!</v>
      </c>
    </row>
    <row r="65" spans="1:27" ht="12.75" customHeight="1">
      <c r="A65" s="167">
        <f t="shared" si="3"/>
        <v>61</v>
      </c>
      <c r="B65" s="168">
        <f>CSE4098C_Summer2026_Grade!B65</f>
        <v>231014024</v>
      </c>
      <c r="C65" s="168" t="str">
        <f>CSE4098C_Summer2026_Grade!C65</f>
        <v>Md. Shohanoor Rahman</v>
      </c>
      <c r="D65" s="169">
        <v>0</v>
      </c>
      <c r="E65" s="170">
        <f t="shared" si="0"/>
        <v>0</v>
      </c>
      <c r="F65" s="167"/>
      <c r="G65" s="167"/>
      <c r="H65" s="167"/>
      <c r="I65" s="167"/>
      <c r="J65" s="167"/>
      <c r="K65" s="167"/>
      <c r="L65" s="167"/>
      <c r="M65" s="171"/>
      <c r="N65" s="167"/>
      <c r="O65" s="171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73" t="e">
        <f t="shared" si="1"/>
        <v>#DIV/0!</v>
      </c>
      <c r="AA65" s="174" t="e">
        <f t="shared" si="2"/>
        <v>#DIV/0!</v>
      </c>
    </row>
    <row r="66" spans="1:27" ht="12.75" customHeight="1">
      <c r="A66" s="167">
        <f t="shared" si="3"/>
        <v>62</v>
      </c>
      <c r="B66" s="168">
        <f>CSE4098C_Summer2026_Grade!B66</f>
        <v>231014064</v>
      </c>
      <c r="C66" s="168" t="str">
        <f>CSE4098C_Summer2026_Grade!C66</f>
        <v>Pranto Sikder</v>
      </c>
      <c r="D66" s="169">
        <v>0</v>
      </c>
      <c r="E66" s="170">
        <f t="shared" si="0"/>
        <v>0</v>
      </c>
      <c r="F66" s="167"/>
      <c r="G66" s="167"/>
      <c r="H66" s="167"/>
      <c r="I66" s="167"/>
      <c r="J66" s="167"/>
      <c r="K66" s="167"/>
      <c r="L66" s="167"/>
      <c r="M66" s="171"/>
      <c r="N66" s="167"/>
      <c r="O66" s="171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73" t="e">
        <f t="shared" si="1"/>
        <v>#DIV/0!</v>
      </c>
      <c r="AA66" s="174" t="e">
        <f t="shared" si="2"/>
        <v>#DIV/0!</v>
      </c>
    </row>
    <row r="67" spans="1:27" ht="12.75" customHeight="1">
      <c r="A67" s="167">
        <f t="shared" si="3"/>
        <v>63</v>
      </c>
      <c r="B67" s="168">
        <f>CSE4098C_Summer2026_Grade!B67</f>
        <v>231014050</v>
      </c>
      <c r="C67" s="168" t="str">
        <f>CSE4098C_Summer2026_Grade!C67</f>
        <v>Mahmudul Hasan Zeshan</v>
      </c>
      <c r="D67" s="169">
        <v>0</v>
      </c>
      <c r="E67" s="170">
        <f t="shared" si="0"/>
        <v>0</v>
      </c>
      <c r="F67" s="167"/>
      <c r="G67" s="167"/>
      <c r="H67" s="167"/>
      <c r="I67" s="167"/>
      <c r="J67" s="167"/>
      <c r="K67" s="167"/>
      <c r="L67" s="167"/>
      <c r="M67" s="171"/>
      <c r="N67" s="167"/>
      <c r="O67" s="171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73" t="e">
        <f t="shared" si="1"/>
        <v>#DIV/0!</v>
      </c>
      <c r="AA67" s="174" t="e">
        <f t="shared" si="2"/>
        <v>#DIV/0!</v>
      </c>
    </row>
    <row r="68" spans="1:27" ht="12.75" customHeight="1">
      <c r="A68" s="167">
        <f t="shared" si="3"/>
        <v>64</v>
      </c>
      <c r="B68" s="168">
        <f>CSE4098C_Summer2026_Grade!B68</f>
        <v>231014160</v>
      </c>
      <c r="C68" s="168" t="str">
        <f>CSE4098C_Summer2026_Grade!C68</f>
        <v>Aysha Siddika Methila</v>
      </c>
      <c r="D68" s="169">
        <v>0</v>
      </c>
      <c r="E68" s="170">
        <f t="shared" si="0"/>
        <v>0</v>
      </c>
      <c r="F68" s="167"/>
      <c r="G68" s="167"/>
      <c r="H68" s="167"/>
      <c r="I68" s="167"/>
      <c r="J68" s="167"/>
      <c r="K68" s="167"/>
      <c r="L68" s="167"/>
      <c r="M68" s="171"/>
      <c r="N68" s="167"/>
      <c r="O68" s="171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73" t="e">
        <f t="shared" si="1"/>
        <v>#DIV/0!</v>
      </c>
      <c r="AA68" s="174" t="e">
        <f t="shared" si="2"/>
        <v>#DIV/0!</v>
      </c>
    </row>
    <row r="69" spans="1:27" ht="12.75" customHeight="1">
      <c r="A69" s="167">
        <f t="shared" si="3"/>
        <v>65</v>
      </c>
      <c r="B69" s="168">
        <f>CSE4098C_Summer2026_Grade!B69</f>
        <v>231014116</v>
      </c>
      <c r="C69" s="168" t="str">
        <f>CSE4098C_Summer2026_Grade!C69</f>
        <v>Sukanta Majumder</v>
      </c>
      <c r="D69" s="169">
        <v>0</v>
      </c>
      <c r="E69" s="170">
        <f t="shared" si="0"/>
        <v>0</v>
      </c>
      <c r="F69" s="167"/>
      <c r="G69" s="167"/>
      <c r="H69" s="167"/>
      <c r="I69" s="167"/>
      <c r="J69" s="167"/>
      <c r="K69" s="167"/>
      <c r="L69" s="167"/>
      <c r="M69" s="171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73" t="e">
        <f t="shared" si="1"/>
        <v>#DIV/0!</v>
      </c>
      <c r="AA69" s="174" t="e">
        <f t="shared" si="2"/>
        <v>#DIV/0!</v>
      </c>
    </row>
    <row r="70" spans="1:27" ht="12.75" customHeight="1">
      <c r="A70" s="136"/>
      <c r="B70" s="176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 spans="1:27" ht="12.75" customHeight="1">
      <c r="A71" s="136"/>
      <c r="B71" s="176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</row>
    <row r="72" spans="1:27" ht="12.75" customHeight="1">
      <c r="A72" s="136"/>
      <c r="B72" s="176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</row>
    <row r="73" spans="1:27" ht="12.75" customHeight="1">
      <c r="A73" s="136"/>
      <c r="B73" s="176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</row>
    <row r="74" spans="1:27" ht="12.75" customHeight="1">
      <c r="A74" s="136"/>
      <c r="B74" s="176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</row>
    <row r="75" spans="1:27" ht="12.75" customHeight="1">
      <c r="A75" s="136"/>
      <c r="B75" s="176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</row>
    <row r="76" spans="1:27" ht="12.75" customHeight="1">
      <c r="A76" s="136"/>
      <c r="B76" s="176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</row>
    <row r="77" spans="1:27" ht="12.75" customHeight="1">
      <c r="A77" s="136"/>
      <c r="B77" s="176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</row>
    <row r="78" spans="1:27" ht="12.75" customHeight="1">
      <c r="A78" s="136"/>
      <c r="B78" s="176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</row>
    <row r="79" spans="1:27" ht="12.75" customHeight="1">
      <c r="A79" s="136"/>
      <c r="B79" s="176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</row>
    <row r="80" spans="1:27" ht="12.75" customHeight="1">
      <c r="A80" s="136"/>
      <c r="B80" s="176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 spans="1:27" ht="12.75" customHeight="1">
      <c r="A81" s="136"/>
      <c r="B81" s="176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</row>
    <row r="82" spans="1:27" ht="12.75" customHeight="1">
      <c r="A82" s="136"/>
      <c r="B82" s="176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</row>
    <row r="83" spans="1:27" ht="12.75" customHeight="1">
      <c r="A83" s="136"/>
      <c r="B83" s="176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</row>
    <row r="84" spans="1:27" ht="12.75" customHeight="1">
      <c r="A84" s="136"/>
      <c r="B84" s="176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 spans="1:27" ht="12.75" customHeight="1">
      <c r="A85" s="136"/>
      <c r="B85" s="176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</row>
    <row r="86" spans="1:27" ht="12.75" customHeight="1">
      <c r="A86" s="136"/>
      <c r="B86" s="176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</row>
    <row r="87" spans="1:27" ht="12.75" customHeight="1">
      <c r="A87" s="136"/>
      <c r="B87" s="176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</row>
    <row r="88" spans="1:27" ht="12.75" customHeight="1">
      <c r="A88" s="136"/>
      <c r="B88" s="176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</row>
    <row r="89" spans="1:27" ht="12.75" customHeight="1">
      <c r="A89" s="136"/>
      <c r="B89" s="176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</row>
    <row r="90" spans="1:27" ht="12.75" customHeight="1">
      <c r="A90" s="136"/>
      <c r="B90" s="176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 spans="1:27" ht="12.75" customHeight="1">
      <c r="A91" s="136"/>
      <c r="B91" s="176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</row>
    <row r="92" spans="1:27" ht="12.75" customHeight="1">
      <c r="A92" s="136"/>
      <c r="B92" s="176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</row>
    <row r="93" spans="1:27" ht="12.75" customHeight="1">
      <c r="A93" s="136"/>
      <c r="B93" s="176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</row>
    <row r="94" spans="1:27" ht="12.75" customHeight="1">
      <c r="A94" s="136"/>
      <c r="B94" s="176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</row>
    <row r="95" spans="1:27" ht="12.75" customHeight="1">
      <c r="A95" s="136"/>
      <c r="B95" s="176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</row>
    <row r="96" spans="1:27" ht="12.75" customHeight="1">
      <c r="A96" s="136"/>
      <c r="B96" s="176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</row>
    <row r="97" spans="1:27" ht="12.75" customHeight="1">
      <c r="A97" s="136"/>
      <c r="B97" s="176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</row>
    <row r="98" spans="1:27" ht="12.75" customHeight="1">
      <c r="A98" s="136"/>
      <c r="B98" s="176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</row>
    <row r="99" spans="1:27" ht="12.75" customHeight="1">
      <c r="A99" s="136"/>
      <c r="B99" s="176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</row>
    <row r="100" spans="1:27" ht="12.75" customHeight="1">
      <c r="A100" s="136"/>
      <c r="B100" s="176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</row>
    <row r="101" spans="1:27" ht="12.75" customHeight="1">
      <c r="A101" s="136"/>
      <c r="B101" s="176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</row>
    <row r="102" spans="1:27" ht="12.75" customHeight="1">
      <c r="A102" s="136"/>
      <c r="B102" s="176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 spans="1:27" ht="12.75" customHeight="1">
      <c r="A103" s="136"/>
      <c r="B103" s="176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</row>
    <row r="104" spans="1:27" ht="12.75" customHeight="1">
      <c r="A104" s="136"/>
      <c r="B104" s="176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</row>
    <row r="105" spans="1:27" ht="12.75" customHeight="1">
      <c r="A105" s="136"/>
      <c r="B105" s="176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</row>
    <row r="106" spans="1:27" ht="12.75" customHeight="1">
      <c r="A106" s="136"/>
      <c r="B106" s="176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 spans="1:27" ht="12.75" customHeight="1">
      <c r="A107" s="136"/>
      <c r="B107" s="176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</row>
    <row r="108" spans="1:27" ht="12.75" customHeight="1">
      <c r="A108" s="136"/>
      <c r="B108" s="176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 spans="1:27" ht="12.75" customHeight="1">
      <c r="A109" s="136"/>
      <c r="B109" s="176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</row>
    <row r="110" spans="1:27" ht="12.75" customHeight="1">
      <c r="A110" s="136"/>
      <c r="B110" s="176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</row>
    <row r="111" spans="1:27" ht="12.75" customHeight="1">
      <c r="A111" s="136"/>
      <c r="B111" s="176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</row>
    <row r="112" spans="1:27" ht="12.75" customHeight="1">
      <c r="A112" s="136"/>
      <c r="B112" s="176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</row>
    <row r="113" spans="1:27" ht="12.75" customHeight="1">
      <c r="A113" s="136"/>
      <c r="B113" s="176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</row>
    <row r="114" spans="1:27" ht="12.75" customHeight="1">
      <c r="A114" s="136"/>
      <c r="B114" s="176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</row>
    <row r="115" spans="1:27" ht="12.75" customHeight="1">
      <c r="A115" s="136"/>
      <c r="B115" s="176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</row>
    <row r="116" spans="1:27" ht="12.75" customHeight="1">
      <c r="A116" s="136"/>
      <c r="B116" s="176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</row>
    <row r="117" spans="1:27" ht="12.75" customHeight="1">
      <c r="A117" s="136"/>
      <c r="B117" s="176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</row>
    <row r="118" spans="1:27" ht="12.75" customHeight="1">
      <c r="A118" s="136"/>
      <c r="B118" s="176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</row>
    <row r="119" spans="1:27" ht="12.75" customHeight="1">
      <c r="A119" s="136"/>
      <c r="B119" s="176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</row>
    <row r="120" spans="1:27" ht="12.75" customHeight="1">
      <c r="A120" s="136"/>
      <c r="B120" s="176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</row>
    <row r="121" spans="1:27" ht="12.75" customHeight="1">
      <c r="A121" s="136"/>
      <c r="B121" s="176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</row>
    <row r="122" spans="1:27" ht="12.75" customHeight="1">
      <c r="A122" s="136"/>
      <c r="B122" s="176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</row>
    <row r="123" spans="1:27" ht="12.75" customHeight="1">
      <c r="A123" s="136"/>
      <c r="B123" s="176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</row>
    <row r="124" spans="1:27" ht="12.75" customHeight="1">
      <c r="A124" s="136"/>
      <c r="B124" s="176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</row>
    <row r="125" spans="1:27" ht="12.75" customHeight="1">
      <c r="A125" s="136"/>
      <c r="B125" s="176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</row>
    <row r="126" spans="1:27" ht="12.75" customHeight="1">
      <c r="A126" s="136"/>
      <c r="B126" s="176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</row>
    <row r="127" spans="1:27" ht="12.75" customHeight="1">
      <c r="A127" s="136"/>
      <c r="B127" s="176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</row>
    <row r="128" spans="1:27" ht="12.75" customHeight="1">
      <c r="A128" s="136"/>
      <c r="B128" s="176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</row>
    <row r="129" spans="1:27" ht="12.75" customHeight="1">
      <c r="A129" s="136"/>
      <c r="B129" s="176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</row>
    <row r="130" spans="1:27" ht="12.75" customHeight="1">
      <c r="A130" s="136"/>
      <c r="B130" s="176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</row>
    <row r="131" spans="1:27" ht="12.75" customHeight="1">
      <c r="A131" s="136"/>
      <c r="B131" s="176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</row>
    <row r="132" spans="1:27" ht="12.75" customHeight="1">
      <c r="A132" s="136"/>
      <c r="B132" s="176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</row>
    <row r="133" spans="1:27" ht="12.75" customHeight="1">
      <c r="A133" s="136"/>
      <c r="B133" s="176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</row>
    <row r="134" spans="1:27" ht="12.75" customHeight="1">
      <c r="A134" s="136"/>
      <c r="B134" s="176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</row>
    <row r="135" spans="1:27" ht="12.75" customHeight="1">
      <c r="A135" s="136"/>
      <c r="B135" s="176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</row>
    <row r="136" spans="1:27" ht="12.75" customHeight="1">
      <c r="A136" s="136"/>
      <c r="B136" s="176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</row>
    <row r="137" spans="1:27" ht="12.75" customHeight="1">
      <c r="A137" s="136"/>
      <c r="B137" s="176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</row>
    <row r="138" spans="1:27" ht="12.75" customHeight="1">
      <c r="A138" s="136"/>
      <c r="B138" s="176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</row>
    <row r="139" spans="1:27" ht="12.75" customHeight="1">
      <c r="A139" s="136"/>
      <c r="B139" s="176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</row>
    <row r="140" spans="1:27" ht="12.75" customHeight="1">
      <c r="A140" s="136"/>
      <c r="B140" s="176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</row>
    <row r="141" spans="1:27" ht="12.75" customHeight="1">
      <c r="A141" s="136"/>
      <c r="B141" s="176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</row>
    <row r="142" spans="1:27" ht="12.75" customHeight="1">
      <c r="A142" s="136"/>
      <c r="B142" s="176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</row>
    <row r="143" spans="1:27" ht="12.75" customHeight="1">
      <c r="A143" s="136"/>
      <c r="B143" s="176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</row>
    <row r="144" spans="1:27" ht="12.75" customHeight="1">
      <c r="A144" s="136"/>
      <c r="B144" s="176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</row>
    <row r="145" spans="1:27" ht="12.75" customHeight="1">
      <c r="A145" s="136"/>
      <c r="B145" s="176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</row>
    <row r="146" spans="1:27" ht="12.75" customHeight="1">
      <c r="A146" s="136"/>
      <c r="B146" s="176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</row>
    <row r="147" spans="1:27" ht="12.75" customHeight="1">
      <c r="A147" s="136"/>
      <c r="B147" s="176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</row>
    <row r="148" spans="1:27" ht="12.75" customHeight="1">
      <c r="A148" s="136"/>
      <c r="B148" s="176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</row>
    <row r="149" spans="1:27" ht="12.75" customHeight="1">
      <c r="A149" s="136"/>
      <c r="B149" s="176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</row>
    <row r="150" spans="1:27" ht="12.75" customHeight="1">
      <c r="A150" s="136"/>
      <c r="B150" s="176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</row>
    <row r="151" spans="1:27" ht="12.75" customHeight="1">
      <c r="A151" s="136"/>
      <c r="B151" s="176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</row>
    <row r="152" spans="1:27" ht="12.75" customHeight="1">
      <c r="A152" s="136"/>
      <c r="B152" s="176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</row>
    <row r="153" spans="1:27" ht="12.75" customHeight="1">
      <c r="A153" s="136"/>
      <c r="B153" s="176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</row>
    <row r="154" spans="1:27" ht="12.75" customHeight="1">
      <c r="A154" s="136"/>
      <c r="B154" s="176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</row>
    <row r="155" spans="1:27" ht="12.75" customHeight="1">
      <c r="A155" s="136"/>
      <c r="B155" s="176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</row>
    <row r="156" spans="1:27" ht="12.75" customHeight="1">
      <c r="A156" s="136"/>
      <c r="B156" s="176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</row>
    <row r="157" spans="1:27" ht="12.75" customHeight="1">
      <c r="A157" s="136"/>
      <c r="B157" s="176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</row>
    <row r="158" spans="1:27" ht="12.75" customHeight="1">
      <c r="A158" s="136"/>
      <c r="B158" s="176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</row>
    <row r="159" spans="1:27" ht="12.75" customHeight="1">
      <c r="A159" s="136"/>
      <c r="B159" s="176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</row>
    <row r="160" spans="1:27" ht="12.75" customHeight="1">
      <c r="A160" s="136"/>
      <c r="B160" s="176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</row>
    <row r="161" spans="1:27" ht="12.75" customHeight="1">
      <c r="A161" s="136"/>
      <c r="B161" s="176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</row>
    <row r="162" spans="1:27" ht="12.75" customHeight="1">
      <c r="A162" s="136"/>
      <c r="B162" s="176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</row>
    <row r="163" spans="1:27" ht="12.75" customHeight="1">
      <c r="A163" s="136"/>
      <c r="B163" s="176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</row>
    <row r="164" spans="1:27" ht="12.75" customHeight="1">
      <c r="A164" s="136"/>
      <c r="B164" s="176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</row>
    <row r="165" spans="1:27" ht="12.75" customHeight="1">
      <c r="A165" s="136"/>
      <c r="B165" s="176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</row>
    <row r="166" spans="1:27" ht="12.75" customHeight="1">
      <c r="A166" s="136"/>
      <c r="B166" s="176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 spans="1:27" ht="12.75" customHeight="1">
      <c r="A167" s="136"/>
      <c r="B167" s="176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</row>
    <row r="168" spans="1:27" ht="12.75" customHeight="1">
      <c r="A168" s="136"/>
      <c r="B168" s="176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</row>
    <row r="169" spans="1:27" ht="12.75" customHeight="1">
      <c r="A169" s="136"/>
      <c r="B169" s="176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</row>
    <row r="170" spans="1:27" ht="12.75" customHeight="1">
      <c r="A170" s="136"/>
      <c r="B170" s="176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</row>
    <row r="171" spans="1:27" ht="12.75" customHeight="1">
      <c r="A171" s="136"/>
      <c r="B171" s="176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</row>
    <row r="172" spans="1:27" ht="12.75" customHeight="1">
      <c r="A172" s="136"/>
      <c r="B172" s="176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</row>
    <row r="173" spans="1:27" ht="12.75" customHeight="1">
      <c r="A173" s="136"/>
      <c r="B173" s="176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</row>
    <row r="174" spans="1:27" ht="12.75" customHeight="1">
      <c r="A174" s="136"/>
      <c r="B174" s="176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</row>
    <row r="175" spans="1:27" ht="12.75" customHeight="1">
      <c r="A175" s="136"/>
      <c r="B175" s="176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</row>
    <row r="176" spans="1:27" ht="12.75" customHeight="1">
      <c r="A176" s="136"/>
      <c r="B176" s="176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</row>
    <row r="177" spans="1:27" ht="12.75" customHeight="1">
      <c r="A177" s="136"/>
      <c r="B177" s="176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</row>
    <row r="178" spans="1:27" ht="12.75" customHeight="1">
      <c r="A178" s="136"/>
      <c r="B178" s="176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</row>
    <row r="179" spans="1:27" ht="12.75" customHeight="1">
      <c r="A179" s="136"/>
      <c r="B179" s="149"/>
      <c r="C179" s="149"/>
      <c r="D179" s="149"/>
      <c r="E179" s="149"/>
      <c r="F179" s="136"/>
      <c r="G179" s="136"/>
      <c r="H179" s="136"/>
      <c r="I179" s="136"/>
      <c r="J179" s="136"/>
      <c r="K179" s="136"/>
      <c r="L179" s="149"/>
      <c r="M179" s="149"/>
      <c r="N179" s="149"/>
      <c r="O179" s="149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</row>
    <row r="180" spans="1:27" ht="12.75" customHeight="1">
      <c r="A180" s="136"/>
      <c r="B180" s="149"/>
      <c r="C180" s="149"/>
      <c r="D180" s="149"/>
      <c r="E180" s="149"/>
      <c r="F180" s="136"/>
      <c r="G180" s="136"/>
      <c r="H180" s="136"/>
      <c r="I180" s="136"/>
      <c r="J180" s="136"/>
      <c r="K180" s="136"/>
      <c r="L180" s="149"/>
      <c r="M180" s="149"/>
      <c r="N180" s="149"/>
      <c r="O180" s="149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</row>
    <row r="181" spans="1:27" ht="12.75" customHeight="1">
      <c r="A181" s="136"/>
      <c r="B181" s="149"/>
      <c r="C181" s="149"/>
      <c r="D181" s="149"/>
      <c r="E181" s="149"/>
      <c r="F181" s="136"/>
      <c r="G181" s="136"/>
      <c r="H181" s="136"/>
      <c r="I181" s="136"/>
      <c r="J181" s="136"/>
      <c r="K181" s="136"/>
      <c r="L181" s="149"/>
      <c r="M181" s="149"/>
      <c r="N181" s="149"/>
      <c r="O181" s="149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</row>
    <row r="182" spans="1:27" ht="12.75" customHeight="1">
      <c r="A182" s="136"/>
      <c r="B182" s="149"/>
      <c r="C182" s="149"/>
      <c r="D182" s="149"/>
      <c r="E182" s="149"/>
      <c r="F182" s="136"/>
      <c r="G182" s="136"/>
      <c r="H182" s="136"/>
      <c r="I182" s="136"/>
      <c r="J182" s="136"/>
      <c r="K182" s="136"/>
      <c r="L182" s="149"/>
      <c r="M182" s="149"/>
      <c r="N182" s="149"/>
      <c r="O182" s="149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</row>
    <row r="183" spans="1:27" ht="12.75" customHeight="1">
      <c r="A183" s="136"/>
      <c r="B183" s="149"/>
      <c r="C183" s="149"/>
      <c r="D183" s="149"/>
      <c r="E183" s="149"/>
      <c r="F183" s="136"/>
      <c r="G183" s="136"/>
      <c r="H183" s="136"/>
      <c r="I183" s="136"/>
      <c r="J183" s="136"/>
      <c r="K183" s="136"/>
      <c r="L183" s="149"/>
      <c r="M183" s="149"/>
      <c r="N183" s="149"/>
      <c r="O183" s="149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</row>
    <row r="184" spans="1:27" ht="15.75" customHeight="1">
      <c r="A184" s="136"/>
      <c r="B184" s="149"/>
      <c r="C184" s="149"/>
      <c r="D184" s="149"/>
      <c r="E184" s="149"/>
      <c r="F184" s="136"/>
      <c r="G184" s="136"/>
      <c r="H184" s="136"/>
      <c r="I184" s="136"/>
      <c r="J184" s="136"/>
      <c r="K184" s="136"/>
      <c r="L184" s="149"/>
      <c r="M184" s="149"/>
      <c r="N184" s="149"/>
      <c r="O184" s="149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</row>
    <row r="185" spans="1:27" ht="15.75" customHeight="1">
      <c r="A185" s="136"/>
      <c r="B185" s="149"/>
      <c r="C185" s="149"/>
      <c r="D185" s="149"/>
      <c r="E185" s="149"/>
      <c r="F185" s="136"/>
      <c r="G185" s="136"/>
      <c r="H185" s="136"/>
      <c r="I185" s="136"/>
      <c r="J185" s="136"/>
      <c r="K185" s="136"/>
      <c r="L185" s="149"/>
      <c r="M185" s="149"/>
      <c r="N185" s="149"/>
      <c r="O185" s="149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</row>
    <row r="186" spans="1:27" ht="15.75" customHeight="1">
      <c r="A186" s="136"/>
      <c r="B186" s="149"/>
      <c r="C186" s="149"/>
      <c r="D186" s="149"/>
      <c r="E186" s="149"/>
      <c r="F186" s="136"/>
      <c r="G186" s="136"/>
      <c r="H186" s="136"/>
      <c r="I186" s="136"/>
      <c r="J186" s="136"/>
      <c r="K186" s="136"/>
      <c r="L186" s="149"/>
      <c r="M186" s="149"/>
      <c r="N186" s="149"/>
      <c r="O186" s="149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</row>
    <row r="187" spans="1:27" ht="15.75" customHeight="1">
      <c r="A187" s="136"/>
      <c r="B187" s="149"/>
      <c r="C187" s="149"/>
      <c r="D187" s="149"/>
      <c r="E187" s="149"/>
      <c r="F187" s="136"/>
      <c r="G187" s="136"/>
      <c r="H187" s="136"/>
      <c r="I187" s="136"/>
      <c r="J187" s="136"/>
      <c r="K187" s="136"/>
      <c r="L187" s="149"/>
      <c r="M187" s="149"/>
      <c r="N187" s="149"/>
      <c r="O187" s="149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</row>
    <row r="188" spans="1:27" ht="15.75" customHeight="1">
      <c r="A188" s="136"/>
      <c r="B188" s="149"/>
      <c r="C188" s="149"/>
      <c r="D188" s="149"/>
      <c r="E188" s="149"/>
      <c r="F188" s="136"/>
      <c r="G188" s="136"/>
      <c r="H188" s="136"/>
      <c r="I188" s="136"/>
      <c r="J188" s="136"/>
      <c r="K188" s="136"/>
      <c r="L188" s="149"/>
      <c r="M188" s="149"/>
      <c r="N188" s="149"/>
      <c r="O188" s="149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</row>
    <row r="189" spans="1:27" ht="15.75" customHeight="1">
      <c r="A189" s="136"/>
      <c r="B189" s="149"/>
      <c r="C189" s="149"/>
      <c r="D189" s="149"/>
      <c r="E189" s="149"/>
      <c r="F189" s="136"/>
      <c r="G189" s="136"/>
      <c r="H189" s="136"/>
      <c r="I189" s="136"/>
      <c r="J189" s="136"/>
      <c r="K189" s="136"/>
      <c r="L189" s="149"/>
      <c r="M189" s="149"/>
      <c r="N189" s="149"/>
      <c r="O189" s="149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</row>
    <row r="190" spans="1:27" ht="15.75" customHeight="1">
      <c r="A190" s="136"/>
      <c r="B190" s="149"/>
      <c r="C190" s="149"/>
      <c r="D190" s="149"/>
      <c r="E190" s="149"/>
      <c r="F190" s="136"/>
      <c r="G190" s="136"/>
      <c r="H190" s="136"/>
      <c r="I190" s="136"/>
      <c r="J190" s="136"/>
      <c r="K190" s="136"/>
      <c r="L190" s="149"/>
      <c r="M190" s="149"/>
      <c r="N190" s="149"/>
      <c r="O190" s="149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</row>
    <row r="191" spans="1:27" ht="15.75" customHeight="1">
      <c r="A191" s="136"/>
      <c r="B191" s="149"/>
      <c r="C191" s="149"/>
      <c r="D191" s="149"/>
      <c r="E191" s="149"/>
      <c r="F191" s="136"/>
      <c r="G191" s="136"/>
      <c r="H191" s="136"/>
      <c r="I191" s="136"/>
      <c r="J191" s="136"/>
      <c r="K191" s="136"/>
      <c r="L191" s="149"/>
      <c r="M191" s="149"/>
      <c r="N191" s="149"/>
      <c r="O191" s="149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</row>
    <row r="192" spans="1:27" ht="15.75" customHeight="1">
      <c r="A192" s="136"/>
      <c r="B192" s="149"/>
      <c r="C192" s="149"/>
      <c r="D192" s="149"/>
      <c r="E192" s="149"/>
      <c r="F192" s="136"/>
      <c r="G192" s="136"/>
      <c r="H192" s="136"/>
      <c r="I192" s="136"/>
      <c r="J192" s="136"/>
      <c r="K192" s="136"/>
      <c r="L192" s="149"/>
      <c r="M192" s="149"/>
      <c r="N192" s="149"/>
      <c r="O192" s="149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</row>
    <row r="193" spans="1:27" ht="15.75" customHeight="1">
      <c r="A193" s="136"/>
      <c r="B193" s="149"/>
      <c r="C193" s="149"/>
      <c r="D193" s="149"/>
      <c r="E193" s="149"/>
      <c r="F193" s="136"/>
      <c r="G193" s="136"/>
      <c r="H193" s="136"/>
      <c r="I193" s="136"/>
      <c r="J193" s="136"/>
      <c r="K193" s="136"/>
      <c r="L193" s="149"/>
      <c r="M193" s="149"/>
      <c r="N193" s="149"/>
      <c r="O193" s="149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</row>
    <row r="194" spans="1:27" ht="15.75" customHeight="1">
      <c r="A194" s="136"/>
      <c r="B194" s="149"/>
      <c r="C194" s="149"/>
      <c r="D194" s="149"/>
      <c r="E194" s="149"/>
      <c r="F194" s="136"/>
      <c r="G194" s="136"/>
      <c r="H194" s="136"/>
      <c r="I194" s="136"/>
      <c r="J194" s="136"/>
      <c r="K194" s="136"/>
      <c r="L194" s="149"/>
      <c r="M194" s="149"/>
      <c r="N194" s="149"/>
      <c r="O194" s="149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</row>
    <row r="195" spans="1:27" ht="15.75" customHeight="1">
      <c r="A195" s="136"/>
      <c r="B195" s="149"/>
      <c r="C195" s="149"/>
      <c r="D195" s="149"/>
      <c r="E195" s="149"/>
      <c r="F195" s="136"/>
      <c r="G195" s="136"/>
      <c r="H195" s="136"/>
      <c r="I195" s="136"/>
      <c r="J195" s="136"/>
      <c r="K195" s="136"/>
      <c r="L195" s="149"/>
      <c r="M195" s="149"/>
      <c r="N195" s="149"/>
      <c r="O195" s="149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</row>
    <row r="196" spans="1:27" ht="15.75" customHeight="1">
      <c r="A196" s="136"/>
      <c r="B196" s="149"/>
      <c r="C196" s="149"/>
      <c r="D196" s="149"/>
      <c r="E196" s="149"/>
      <c r="F196" s="136"/>
      <c r="G196" s="136"/>
      <c r="H196" s="136"/>
      <c r="I196" s="136"/>
      <c r="J196" s="136"/>
      <c r="K196" s="136"/>
      <c r="L196" s="149"/>
      <c r="M196" s="149"/>
      <c r="N196" s="149"/>
      <c r="O196" s="149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</row>
    <row r="197" spans="1:27" ht="15.75" customHeight="1">
      <c r="A197" s="136"/>
      <c r="B197" s="149"/>
      <c r="C197" s="149"/>
      <c r="D197" s="149"/>
      <c r="E197" s="149"/>
      <c r="F197" s="136"/>
      <c r="G197" s="136"/>
      <c r="H197" s="136"/>
      <c r="I197" s="136"/>
      <c r="J197" s="136"/>
      <c r="K197" s="136"/>
      <c r="L197" s="149"/>
      <c r="M197" s="149"/>
      <c r="N197" s="149"/>
      <c r="O197" s="149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</row>
    <row r="198" spans="1:27" ht="15.75" customHeight="1">
      <c r="A198" s="136"/>
      <c r="B198" s="149"/>
      <c r="C198" s="149"/>
      <c r="D198" s="149"/>
      <c r="E198" s="149"/>
      <c r="F198" s="136"/>
      <c r="G198" s="136"/>
      <c r="H198" s="136"/>
      <c r="I198" s="136"/>
      <c r="J198" s="136"/>
      <c r="K198" s="136"/>
      <c r="L198" s="149"/>
      <c r="M198" s="149"/>
      <c r="N198" s="149"/>
      <c r="O198" s="149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</row>
    <row r="199" spans="1:27" ht="15.75" customHeight="1">
      <c r="A199" s="136"/>
      <c r="B199" s="149"/>
      <c r="C199" s="149"/>
      <c r="D199" s="149"/>
      <c r="E199" s="149"/>
      <c r="F199" s="136"/>
      <c r="G199" s="136"/>
      <c r="H199" s="136"/>
      <c r="I199" s="136"/>
      <c r="J199" s="136"/>
      <c r="K199" s="136"/>
      <c r="L199" s="149"/>
      <c r="M199" s="149"/>
      <c r="N199" s="149"/>
      <c r="O199" s="149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</row>
    <row r="200" spans="1:27" ht="15.75" customHeight="1">
      <c r="A200" s="136"/>
      <c r="B200" s="149"/>
      <c r="C200" s="149"/>
      <c r="D200" s="149"/>
      <c r="E200" s="149"/>
      <c r="F200" s="136"/>
      <c r="G200" s="136"/>
      <c r="H200" s="136"/>
      <c r="I200" s="136"/>
      <c r="J200" s="136"/>
      <c r="K200" s="136"/>
      <c r="L200" s="149"/>
      <c r="M200" s="149"/>
      <c r="N200" s="149"/>
      <c r="O200" s="149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</row>
    <row r="201" spans="1:27" ht="13.2">
      <c r="B201" s="149"/>
      <c r="C201" s="149"/>
    </row>
    <row r="202" spans="1:27" ht="13.2">
      <c r="B202" s="149"/>
      <c r="C202" s="149"/>
    </row>
    <row r="203" spans="1:27" ht="13.2">
      <c r="B203" s="149"/>
      <c r="C203" s="149"/>
    </row>
    <row r="204" spans="1:27" ht="13.2">
      <c r="B204" s="149"/>
      <c r="C204" s="149"/>
    </row>
    <row r="205" spans="1:27" ht="13.2">
      <c r="B205" s="149"/>
      <c r="C205" s="149"/>
    </row>
    <row r="206" spans="1:27" ht="13.2">
      <c r="B206" s="149"/>
      <c r="C206" s="149"/>
    </row>
    <row r="207" spans="1:27" ht="13.2">
      <c r="B207" s="149"/>
      <c r="C207" s="149"/>
    </row>
    <row r="208" spans="1:27" ht="13.2">
      <c r="B208" s="149"/>
      <c r="C208" s="149"/>
    </row>
    <row r="209" spans="2:3" ht="13.2">
      <c r="B209" s="149"/>
      <c r="C209" s="149"/>
    </row>
    <row r="210" spans="2:3" ht="13.2">
      <c r="B210" s="149"/>
      <c r="C210" s="149"/>
    </row>
    <row r="211" spans="2:3" ht="13.2">
      <c r="B211" s="149"/>
      <c r="C211" s="149"/>
    </row>
    <row r="212" spans="2:3" ht="13.2">
      <c r="B212" s="149"/>
      <c r="C212" s="149"/>
    </row>
    <row r="213" spans="2:3" ht="13.2">
      <c r="B213" s="149"/>
      <c r="C213" s="149"/>
    </row>
    <row r="214" spans="2:3" ht="13.2">
      <c r="B214" s="149"/>
      <c r="C214" s="149"/>
    </row>
    <row r="215" spans="2:3" ht="13.2">
      <c r="B215" s="149"/>
      <c r="C215" s="149"/>
    </row>
    <row r="216" spans="2:3" ht="13.2">
      <c r="B216" s="149"/>
      <c r="C216" s="149"/>
    </row>
    <row r="217" spans="2:3" ht="13.2">
      <c r="B217" s="149"/>
      <c r="C217" s="149"/>
    </row>
    <row r="218" spans="2:3" ht="13.2">
      <c r="B218" s="149"/>
      <c r="C218" s="149"/>
    </row>
    <row r="219" spans="2:3" ht="13.2">
      <c r="B219" s="149"/>
      <c r="C219" s="149"/>
    </row>
    <row r="220" spans="2:3" ht="13.2">
      <c r="B220" s="149"/>
      <c r="C220" s="149"/>
    </row>
    <row r="221" spans="2:3" ht="13.2">
      <c r="B221" s="149"/>
      <c r="C221" s="149"/>
    </row>
    <row r="222" spans="2:3" ht="13.2">
      <c r="B222" s="149"/>
      <c r="C222" s="149"/>
    </row>
    <row r="223" spans="2:3" ht="13.2">
      <c r="B223" s="149"/>
      <c r="C223" s="149"/>
    </row>
    <row r="224" spans="2:3" ht="13.2">
      <c r="B224" s="149"/>
      <c r="C224" s="149"/>
    </row>
    <row r="225" spans="2:3" ht="13.2">
      <c r="B225" s="149"/>
      <c r="C225" s="149"/>
    </row>
    <row r="226" spans="2:3" ht="13.2">
      <c r="B226" s="149"/>
      <c r="C226" s="149"/>
    </row>
    <row r="227" spans="2:3" ht="13.2">
      <c r="B227" s="149"/>
      <c r="C227" s="149"/>
    </row>
    <row r="228" spans="2:3" ht="13.2">
      <c r="B228" s="149"/>
      <c r="C228" s="149"/>
    </row>
    <row r="229" spans="2:3" ht="13.2">
      <c r="B229" s="149"/>
      <c r="C229" s="149"/>
    </row>
    <row r="230" spans="2:3" ht="13.2">
      <c r="B230" s="149"/>
      <c r="C230" s="149"/>
    </row>
    <row r="231" spans="2:3" ht="13.2">
      <c r="B231" s="149"/>
      <c r="C231" s="149"/>
    </row>
    <row r="232" spans="2:3" ht="13.2">
      <c r="B232" s="149"/>
      <c r="C232" s="149"/>
    </row>
    <row r="233" spans="2:3" ht="13.2">
      <c r="B233" s="149"/>
      <c r="C233" s="149"/>
    </row>
    <row r="234" spans="2:3" ht="13.2">
      <c r="B234" s="149"/>
      <c r="C234" s="149"/>
    </row>
    <row r="235" spans="2:3" ht="13.2">
      <c r="B235" s="149"/>
      <c r="C235" s="149"/>
    </row>
    <row r="236" spans="2:3" ht="13.2">
      <c r="B236" s="149"/>
      <c r="C236" s="149"/>
    </row>
    <row r="237" spans="2:3" ht="13.2">
      <c r="B237" s="149"/>
      <c r="C237" s="149"/>
    </row>
    <row r="238" spans="2:3" ht="13.2">
      <c r="B238" s="149"/>
      <c r="C238" s="149"/>
    </row>
    <row r="239" spans="2:3" ht="13.2">
      <c r="B239" s="149"/>
      <c r="C239" s="149"/>
    </row>
    <row r="240" spans="2:3" ht="13.2">
      <c r="B240" s="149"/>
      <c r="C240" s="149"/>
    </row>
    <row r="241" spans="2:3" ht="13.2">
      <c r="B241" s="149"/>
      <c r="C241" s="149"/>
    </row>
    <row r="242" spans="2:3" ht="13.2">
      <c r="B242" s="149"/>
      <c r="C242" s="149"/>
    </row>
    <row r="243" spans="2:3" ht="13.2">
      <c r="B243" s="149"/>
      <c r="C243" s="149"/>
    </row>
    <row r="244" spans="2:3" ht="13.2">
      <c r="B244" s="149"/>
      <c r="C244" s="149"/>
    </row>
    <row r="245" spans="2:3" ht="13.2">
      <c r="B245" s="149"/>
      <c r="C245" s="149"/>
    </row>
    <row r="246" spans="2:3" ht="13.2">
      <c r="B246" s="149"/>
      <c r="C246" s="149"/>
    </row>
    <row r="247" spans="2:3" ht="13.2">
      <c r="B247" s="149"/>
      <c r="C247" s="149"/>
    </row>
    <row r="248" spans="2:3" ht="13.2">
      <c r="B248" s="149"/>
      <c r="C248" s="149"/>
    </row>
    <row r="249" spans="2:3" ht="13.2">
      <c r="B249" s="149"/>
      <c r="C249" s="149"/>
    </row>
    <row r="250" spans="2:3" ht="13.2">
      <c r="B250" s="149"/>
      <c r="C250" s="149"/>
    </row>
    <row r="251" spans="2:3" ht="13.2">
      <c r="B251" s="149"/>
      <c r="C251" s="149"/>
    </row>
    <row r="252" spans="2:3" ht="13.2">
      <c r="B252" s="149"/>
      <c r="C252" s="149"/>
    </row>
    <row r="253" spans="2:3" ht="13.2">
      <c r="B253" s="149"/>
      <c r="C253" s="149"/>
    </row>
    <row r="254" spans="2:3" ht="13.2">
      <c r="B254" s="149"/>
      <c r="C254" s="149"/>
    </row>
    <row r="255" spans="2:3" ht="13.2">
      <c r="B255" s="149"/>
      <c r="C255" s="149"/>
    </row>
    <row r="256" spans="2:3" ht="13.2">
      <c r="B256" s="149"/>
      <c r="C256" s="149"/>
    </row>
    <row r="257" spans="2:3" ht="13.2">
      <c r="B257" s="149"/>
      <c r="C257" s="149"/>
    </row>
    <row r="258" spans="2:3" ht="13.2">
      <c r="B258" s="149"/>
      <c r="C258" s="149"/>
    </row>
    <row r="259" spans="2:3" ht="13.2">
      <c r="B259" s="149"/>
      <c r="C259" s="149"/>
    </row>
    <row r="260" spans="2:3" ht="13.2">
      <c r="B260" s="149"/>
      <c r="C260" s="149"/>
    </row>
    <row r="261" spans="2:3" ht="13.2">
      <c r="B261" s="149"/>
      <c r="C261" s="149"/>
    </row>
    <row r="262" spans="2:3" ht="13.2">
      <c r="B262" s="149"/>
      <c r="C262" s="149"/>
    </row>
    <row r="263" spans="2:3" ht="13.2">
      <c r="B263" s="149"/>
      <c r="C263" s="149"/>
    </row>
    <row r="264" spans="2:3" ht="13.2">
      <c r="B264" s="149"/>
      <c r="C264" s="149"/>
    </row>
    <row r="265" spans="2:3" ht="13.2">
      <c r="B265" s="149"/>
      <c r="C265" s="149"/>
    </row>
    <row r="266" spans="2:3" ht="13.2">
      <c r="B266" s="149"/>
      <c r="C266" s="149"/>
    </row>
    <row r="267" spans="2:3" ht="13.2">
      <c r="B267" s="149"/>
      <c r="C267" s="149"/>
    </row>
    <row r="268" spans="2:3" ht="13.2">
      <c r="B268" s="149"/>
      <c r="C268" s="149"/>
    </row>
    <row r="269" spans="2:3" ht="13.2">
      <c r="B269" s="149"/>
      <c r="C269" s="149"/>
    </row>
    <row r="270" spans="2:3" ht="13.2">
      <c r="B270" s="149"/>
      <c r="C270" s="149"/>
    </row>
    <row r="271" spans="2:3" ht="13.2">
      <c r="B271" s="149"/>
      <c r="C271" s="149"/>
    </row>
    <row r="272" spans="2:3" ht="13.2">
      <c r="B272" s="149"/>
      <c r="C272" s="149"/>
    </row>
    <row r="273" spans="2:3" ht="13.2">
      <c r="B273" s="149"/>
      <c r="C273" s="149"/>
    </row>
    <row r="274" spans="2:3" ht="13.2">
      <c r="B274" s="149"/>
      <c r="C274" s="149"/>
    </row>
    <row r="275" spans="2:3" ht="13.2">
      <c r="B275" s="149"/>
      <c r="C275" s="149"/>
    </row>
    <row r="276" spans="2:3" ht="13.2">
      <c r="B276" s="149"/>
      <c r="C276" s="149"/>
    </row>
    <row r="277" spans="2:3" ht="13.2">
      <c r="B277" s="149"/>
      <c r="C277" s="149"/>
    </row>
    <row r="278" spans="2:3" ht="13.2">
      <c r="B278" s="149"/>
      <c r="C278" s="149"/>
    </row>
    <row r="279" spans="2:3" ht="13.2">
      <c r="B279" s="149"/>
      <c r="C279" s="149"/>
    </row>
    <row r="280" spans="2:3" ht="13.2">
      <c r="B280" s="149"/>
      <c r="C280" s="149"/>
    </row>
    <row r="281" spans="2:3" ht="13.2">
      <c r="B281" s="149"/>
      <c r="C281" s="149"/>
    </row>
    <row r="282" spans="2:3" ht="13.2">
      <c r="B282" s="149"/>
      <c r="C282" s="149"/>
    </row>
    <row r="283" spans="2:3" ht="13.2">
      <c r="B283" s="149"/>
      <c r="C283" s="149"/>
    </row>
    <row r="284" spans="2:3" ht="13.2">
      <c r="B284" s="149"/>
      <c r="C284" s="149"/>
    </row>
    <row r="285" spans="2:3" ht="13.2">
      <c r="B285" s="149"/>
      <c r="C285" s="149"/>
    </row>
    <row r="286" spans="2:3" ht="13.2">
      <c r="B286" s="149"/>
      <c r="C286" s="149"/>
    </row>
    <row r="287" spans="2:3" ht="13.2">
      <c r="B287" s="149"/>
      <c r="C287" s="149"/>
    </row>
    <row r="288" spans="2:3" ht="13.2">
      <c r="B288" s="149"/>
      <c r="C288" s="149"/>
    </row>
    <row r="289" spans="2:3" ht="13.2">
      <c r="B289" s="149"/>
      <c r="C289" s="149"/>
    </row>
    <row r="290" spans="2:3" ht="13.2">
      <c r="B290" s="149"/>
      <c r="C290" s="149"/>
    </row>
    <row r="291" spans="2:3" ht="13.2">
      <c r="B291" s="149"/>
      <c r="C291" s="149"/>
    </row>
    <row r="292" spans="2:3" ht="13.2">
      <c r="B292" s="149"/>
      <c r="C292" s="149"/>
    </row>
    <row r="293" spans="2:3" ht="13.2">
      <c r="B293" s="149"/>
      <c r="C293" s="149"/>
    </row>
    <row r="294" spans="2:3" ht="13.2">
      <c r="B294" s="149"/>
      <c r="C294" s="149"/>
    </row>
    <row r="295" spans="2:3" ht="13.2">
      <c r="B295" s="149"/>
      <c r="C295" s="149"/>
    </row>
    <row r="296" spans="2:3" ht="13.2">
      <c r="B296" s="149"/>
      <c r="C296" s="149"/>
    </row>
    <row r="297" spans="2:3" ht="13.2">
      <c r="B297" s="149"/>
      <c r="C297" s="149"/>
    </row>
    <row r="298" spans="2:3" ht="13.2">
      <c r="B298" s="149"/>
      <c r="C298" s="149"/>
    </row>
    <row r="299" spans="2:3" ht="13.2">
      <c r="B299" s="149"/>
      <c r="C299" s="149"/>
    </row>
    <row r="300" spans="2:3" ht="13.2">
      <c r="B300" s="149"/>
      <c r="C300" s="149"/>
    </row>
    <row r="301" spans="2:3" ht="13.2">
      <c r="B301" s="149"/>
      <c r="C301" s="149"/>
    </row>
    <row r="302" spans="2:3" ht="13.2">
      <c r="B302" s="149"/>
      <c r="C302" s="149"/>
    </row>
    <row r="303" spans="2:3" ht="13.2">
      <c r="B303" s="149"/>
      <c r="C303" s="149"/>
    </row>
    <row r="304" spans="2:3" ht="13.2">
      <c r="B304" s="149"/>
      <c r="C304" s="149"/>
    </row>
    <row r="305" spans="2:3" ht="13.2">
      <c r="B305" s="149"/>
      <c r="C305" s="149"/>
    </row>
    <row r="306" spans="2:3" ht="13.2">
      <c r="B306" s="149"/>
      <c r="C306" s="149"/>
    </row>
    <row r="307" spans="2:3" ht="13.2">
      <c r="B307" s="149"/>
      <c r="C307" s="149"/>
    </row>
    <row r="308" spans="2:3" ht="13.2">
      <c r="B308" s="149"/>
      <c r="C308" s="149"/>
    </row>
    <row r="309" spans="2:3" ht="13.2">
      <c r="B309" s="149"/>
      <c r="C309" s="149"/>
    </row>
    <row r="310" spans="2:3" ht="13.2">
      <c r="B310" s="149"/>
      <c r="C310" s="149"/>
    </row>
    <row r="311" spans="2:3" ht="13.2">
      <c r="B311" s="149"/>
      <c r="C311" s="149"/>
    </row>
    <row r="312" spans="2:3" ht="13.2">
      <c r="B312" s="149"/>
      <c r="C312" s="149"/>
    </row>
    <row r="313" spans="2:3" ht="13.2">
      <c r="B313" s="149"/>
      <c r="C313" s="149"/>
    </row>
    <row r="314" spans="2:3" ht="13.2">
      <c r="B314" s="149"/>
      <c r="C314" s="149"/>
    </row>
    <row r="315" spans="2:3" ht="13.2">
      <c r="B315" s="149"/>
      <c r="C315" s="149"/>
    </row>
    <row r="316" spans="2:3" ht="13.2">
      <c r="B316" s="149"/>
      <c r="C316" s="149"/>
    </row>
    <row r="317" spans="2:3" ht="13.2">
      <c r="B317" s="149"/>
      <c r="C317" s="149"/>
    </row>
    <row r="318" spans="2:3" ht="13.2">
      <c r="B318" s="149"/>
      <c r="C318" s="149"/>
    </row>
    <row r="319" spans="2:3" ht="13.2">
      <c r="B319" s="149"/>
      <c r="C319" s="149"/>
    </row>
    <row r="320" spans="2:3" ht="13.2">
      <c r="B320" s="149"/>
      <c r="C320" s="149"/>
    </row>
    <row r="321" spans="2:3" ht="13.2">
      <c r="B321" s="149"/>
      <c r="C321" s="149"/>
    </row>
    <row r="322" spans="2:3" ht="13.2">
      <c r="B322" s="149"/>
      <c r="C322" s="149"/>
    </row>
    <row r="323" spans="2:3" ht="13.2">
      <c r="B323" s="149"/>
      <c r="C323" s="149"/>
    </row>
    <row r="324" spans="2:3" ht="13.2">
      <c r="B324" s="149"/>
      <c r="C324" s="149"/>
    </row>
    <row r="325" spans="2:3" ht="13.2">
      <c r="B325" s="149"/>
      <c r="C325" s="149"/>
    </row>
    <row r="326" spans="2:3" ht="13.2">
      <c r="B326" s="149"/>
      <c r="C326" s="149"/>
    </row>
    <row r="327" spans="2:3" ht="13.2">
      <c r="B327" s="149"/>
      <c r="C327" s="149"/>
    </row>
    <row r="328" spans="2:3" ht="13.2">
      <c r="B328" s="149"/>
      <c r="C328" s="149"/>
    </row>
    <row r="329" spans="2:3" ht="13.2">
      <c r="B329" s="149"/>
      <c r="C329" s="149"/>
    </row>
    <row r="330" spans="2:3" ht="13.2">
      <c r="B330" s="149"/>
      <c r="C330" s="149"/>
    </row>
    <row r="331" spans="2:3" ht="13.2">
      <c r="B331" s="149"/>
      <c r="C331" s="149"/>
    </row>
    <row r="332" spans="2:3" ht="13.2">
      <c r="B332" s="149"/>
      <c r="C332" s="149"/>
    </row>
    <row r="333" spans="2:3" ht="13.2">
      <c r="B333" s="149"/>
      <c r="C333" s="149"/>
    </row>
    <row r="334" spans="2:3" ht="13.2">
      <c r="B334" s="149"/>
      <c r="C334" s="149"/>
    </row>
    <row r="335" spans="2:3" ht="13.2">
      <c r="B335" s="149"/>
      <c r="C335" s="149"/>
    </row>
    <row r="336" spans="2:3" ht="13.2">
      <c r="B336" s="149"/>
      <c r="C336" s="149"/>
    </row>
    <row r="337" spans="2:3" ht="13.2">
      <c r="B337" s="149"/>
      <c r="C337" s="149"/>
    </row>
    <row r="338" spans="2:3" ht="13.2">
      <c r="B338" s="149"/>
      <c r="C338" s="149"/>
    </row>
    <row r="339" spans="2:3" ht="13.2">
      <c r="B339" s="149"/>
      <c r="C339" s="149"/>
    </row>
    <row r="340" spans="2:3" ht="13.2">
      <c r="B340" s="149"/>
      <c r="C340" s="149"/>
    </row>
    <row r="341" spans="2:3" ht="13.2">
      <c r="B341" s="149"/>
      <c r="C341" s="149"/>
    </row>
    <row r="342" spans="2:3" ht="13.2">
      <c r="B342" s="149"/>
      <c r="C342" s="149"/>
    </row>
    <row r="343" spans="2:3" ht="13.2">
      <c r="B343" s="149"/>
      <c r="C343" s="149"/>
    </row>
    <row r="344" spans="2:3" ht="13.2">
      <c r="B344" s="149"/>
      <c r="C344" s="149"/>
    </row>
    <row r="345" spans="2:3" ht="13.2">
      <c r="B345" s="149"/>
      <c r="C345" s="149"/>
    </row>
    <row r="346" spans="2:3" ht="13.2">
      <c r="B346" s="149"/>
      <c r="C346" s="149"/>
    </row>
    <row r="347" spans="2:3" ht="13.2">
      <c r="B347" s="149"/>
      <c r="C347" s="149"/>
    </row>
    <row r="348" spans="2:3" ht="13.2">
      <c r="B348" s="149"/>
      <c r="C348" s="149"/>
    </row>
    <row r="349" spans="2:3" ht="13.2">
      <c r="B349" s="149"/>
      <c r="C349" s="149"/>
    </row>
    <row r="350" spans="2:3" ht="13.2">
      <c r="B350" s="149"/>
      <c r="C350" s="149"/>
    </row>
    <row r="351" spans="2:3" ht="13.2">
      <c r="B351" s="149"/>
      <c r="C351" s="149"/>
    </row>
    <row r="352" spans="2:3" ht="13.2">
      <c r="B352" s="149"/>
      <c r="C352" s="149"/>
    </row>
    <row r="353" spans="2:3" ht="13.2">
      <c r="B353" s="149"/>
      <c r="C353" s="149"/>
    </row>
    <row r="354" spans="2:3" ht="13.2">
      <c r="B354" s="149"/>
      <c r="C354" s="149"/>
    </row>
    <row r="355" spans="2:3" ht="13.2">
      <c r="B355" s="149"/>
      <c r="C355" s="149"/>
    </row>
    <row r="356" spans="2:3" ht="13.2">
      <c r="B356" s="149"/>
      <c r="C356" s="149"/>
    </row>
    <row r="357" spans="2:3" ht="13.2">
      <c r="B357" s="149"/>
      <c r="C357" s="149"/>
    </row>
    <row r="358" spans="2:3" ht="13.2">
      <c r="B358" s="149"/>
      <c r="C358" s="149"/>
    </row>
    <row r="359" spans="2:3" ht="13.2">
      <c r="B359" s="149"/>
      <c r="C359" s="149"/>
    </row>
    <row r="360" spans="2:3" ht="13.2">
      <c r="B360" s="149"/>
      <c r="C360" s="149"/>
    </row>
    <row r="361" spans="2:3" ht="13.2">
      <c r="B361" s="149"/>
      <c r="C361" s="149"/>
    </row>
    <row r="362" spans="2:3" ht="13.2">
      <c r="B362" s="149"/>
      <c r="C362" s="149"/>
    </row>
    <row r="363" spans="2:3" ht="13.2">
      <c r="B363" s="149"/>
      <c r="C363" s="149"/>
    </row>
    <row r="364" spans="2:3" ht="13.2">
      <c r="B364" s="149"/>
      <c r="C364" s="149"/>
    </row>
    <row r="365" spans="2:3" ht="13.2">
      <c r="B365" s="149"/>
      <c r="C365" s="149"/>
    </row>
    <row r="366" spans="2:3" ht="13.2">
      <c r="B366" s="149"/>
      <c r="C366" s="149"/>
    </row>
    <row r="367" spans="2:3" ht="13.2">
      <c r="B367" s="149"/>
      <c r="C367" s="149"/>
    </row>
    <row r="368" spans="2:3" ht="13.2">
      <c r="B368" s="149"/>
      <c r="C368" s="149"/>
    </row>
    <row r="369" spans="2:3" ht="13.2">
      <c r="B369" s="149"/>
      <c r="C369" s="149"/>
    </row>
    <row r="370" spans="2:3" ht="13.2">
      <c r="B370" s="149"/>
      <c r="C370" s="149"/>
    </row>
    <row r="371" spans="2:3" ht="13.2">
      <c r="B371" s="149"/>
      <c r="C371" s="149"/>
    </row>
    <row r="372" spans="2:3" ht="13.2">
      <c r="B372" s="149"/>
      <c r="C372" s="149"/>
    </row>
    <row r="373" spans="2:3" ht="13.2">
      <c r="B373" s="149"/>
      <c r="C373" s="149"/>
    </row>
    <row r="374" spans="2:3" ht="13.2">
      <c r="B374" s="149"/>
      <c r="C374" s="149"/>
    </row>
    <row r="375" spans="2:3" ht="13.2">
      <c r="B375" s="149"/>
      <c r="C375" s="149"/>
    </row>
    <row r="376" spans="2:3" ht="13.2">
      <c r="B376" s="149"/>
      <c r="C376" s="149"/>
    </row>
    <row r="377" spans="2:3" ht="13.2">
      <c r="B377" s="149"/>
      <c r="C377" s="149"/>
    </row>
    <row r="378" spans="2:3" ht="13.2">
      <c r="B378" s="149"/>
      <c r="C378" s="149"/>
    </row>
    <row r="379" spans="2:3" ht="13.2">
      <c r="B379" s="149"/>
      <c r="C379" s="149"/>
    </row>
    <row r="380" spans="2:3" ht="13.2">
      <c r="B380" s="149"/>
      <c r="C380" s="149"/>
    </row>
    <row r="381" spans="2:3" ht="13.2">
      <c r="B381" s="149"/>
      <c r="C381" s="149"/>
    </row>
    <row r="382" spans="2:3" ht="13.2">
      <c r="B382" s="149"/>
      <c r="C382" s="149"/>
    </row>
    <row r="383" spans="2:3" ht="13.2">
      <c r="B383" s="149"/>
      <c r="C383" s="149"/>
    </row>
    <row r="384" spans="2:3" ht="13.2">
      <c r="B384" s="149"/>
      <c r="C384" s="149"/>
    </row>
    <row r="385" spans="2:3" ht="13.2">
      <c r="B385" s="149"/>
      <c r="C385" s="149"/>
    </row>
    <row r="386" spans="2:3" ht="13.2">
      <c r="B386" s="149"/>
      <c r="C386" s="149"/>
    </row>
    <row r="387" spans="2:3" ht="13.2">
      <c r="B387" s="149"/>
      <c r="C387" s="149"/>
    </row>
    <row r="388" spans="2:3" ht="13.2">
      <c r="B388" s="149"/>
      <c r="C388" s="149"/>
    </row>
    <row r="389" spans="2:3" ht="13.2">
      <c r="B389" s="149"/>
      <c r="C389" s="149"/>
    </row>
    <row r="390" spans="2:3" ht="13.2">
      <c r="B390" s="149"/>
      <c r="C390" s="149"/>
    </row>
    <row r="391" spans="2:3" ht="13.2">
      <c r="B391" s="149"/>
      <c r="C391" s="149"/>
    </row>
    <row r="392" spans="2:3" ht="13.2">
      <c r="B392" s="149"/>
      <c r="C392" s="149"/>
    </row>
    <row r="393" spans="2:3" ht="13.2">
      <c r="B393" s="149"/>
      <c r="C393" s="149"/>
    </row>
    <row r="394" spans="2:3" ht="13.2">
      <c r="B394" s="149"/>
      <c r="C394" s="149"/>
    </row>
    <row r="395" spans="2:3" ht="13.2">
      <c r="B395" s="149"/>
      <c r="C395" s="149"/>
    </row>
    <row r="396" spans="2:3" ht="13.2">
      <c r="B396" s="149"/>
      <c r="C396" s="149"/>
    </row>
    <row r="397" spans="2:3" ht="13.2">
      <c r="B397" s="149"/>
      <c r="C397" s="149"/>
    </row>
    <row r="398" spans="2:3" ht="13.2">
      <c r="B398" s="149"/>
      <c r="C398" s="149"/>
    </row>
    <row r="399" spans="2:3" ht="13.2">
      <c r="B399" s="149"/>
      <c r="C399" s="149"/>
    </row>
    <row r="400" spans="2:3" ht="13.2">
      <c r="B400" s="149"/>
      <c r="C400" s="149"/>
    </row>
    <row r="401" spans="2:3" ht="13.2">
      <c r="B401" s="149"/>
      <c r="C401" s="149"/>
    </row>
    <row r="402" spans="2:3" ht="13.2">
      <c r="B402" s="149"/>
      <c r="C402" s="149"/>
    </row>
    <row r="403" spans="2:3" ht="13.2">
      <c r="B403" s="149"/>
      <c r="C403" s="149"/>
    </row>
    <row r="404" spans="2:3" ht="13.2">
      <c r="B404" s="149"/>
      <c r="C404" s="149"/>
    </row>
    <row r="405" spans="2:3" ht="13.2">
      <c r="B405" s="149"/>
      <c r="C405" s="149"/>
    </row>
    <row r="406" spans="2:3" ht="13.2">
      <c r="B406" s="149"/>
      <c r="C406" s="149"/>
    </row>
    <row r="407" spans="2:3" ht="13.2">
      <c r="B407" s="149"/>
      <c r="C407" s="149"/>
    </row>
    <row r="408" spans="2:3" ht="13.2">
      <c r="B408" s="149"/>
      <c r="C408" s="149"/>
    </row>
    <row r="409" spans="2:3" ht="13.2">
      <c r="B409" s="149"/>
      <c r="C409" s="149"/>
    </row>
    <row r="410" spans="2:3" ht="13.2">
      <c r="B410" s="149"/>
      <c r="C410" s="149"/>
    </row>
    <row r="411" spans="2:3" ht="13.2">
      <c r="B411" s="149"/>
      <c r="C411" s="149"/>
    </row>
    <row r="412" spans="2:3" ht="13.2">
      <c r="B412" s="149"/>
      <c r="C412" s="149"/>
    </row>
    <row r="413" spans="2:3" ht="13.2">
      <c r="B413" s="149"/>
      <c r="C413" s="149"/>
    </row>
    <row r="414" spans="2:3" ht="13.2">
      <c r="B414" s="149"/>
      <c r="C414" s="149"/>
    </row>
    <row r="415" spans="2:3" ht="13.2">
      <c r="B415" s="149"/>
      <c r="C415" s="149"/>
    </row>
    <row r="416" spans="2:3" ht="13.2">
      <c r="B416" s="149"/>
      <c r="C416" s="149"/>
    </row>
    <row r="417" spans="2:3" ht="13.2">
      <c r="B417" s="149"/>
      <c r="C417" s="149"/>
    </row>
    <row r="418" spans="2:3" ht="13.2">
      <c r="B418" s="149"/>
      <c r="C418" s="149"/>
    </row>
    <row r="419" spans="2:3" ht="13.2">
      <c r="B419" s="149"/>
      <c r="C419" s="149"/>
    </row>
    <row r="420" spans="2:3" ht="13.2">
      <c r="B420" s="149"/>
      <c r="C420" s="149"/>
    </row>
    <row r="421" spans="2:3" ht="13.2">
      <c r="B421" s="149"/>
      <c r="C421" s="149"/>
    </row>
    <row r="422" spans="2:3" ht="13.2">
      <c r="B422" s="149"/>
      <c r="C422" s="149"/>
    </row>
    <row r="423" spans="2:3" ht="13.2">
      <c r="B423" s="149"/>
      <c r="C423" s="149"/>
    </row>
    <row r="424" spans="2:3" ht="13.2">
      <c r="B424" s="149"/>
      <c r="C424" s="149"/>
    </row>
    <row r="425" spans="2:3" ht="13.2">
      <c r="B425" s="149"/>
      <c r="C425" s="149"/>
    </row>
    <row r="426" spans="2:3" ht="13.2">
      <c r="B426" s="149"/>
      <c r="C426" s="149"/>
    </row>
    <row r="427" spans="2:3" ht="13.2">
      <c r="B427" s="149"/>
      <c r="C427" s="149"/>
    </row>
    <row r="428" spans="2:3" ht="13.2">
      <c r="B428" s="149"/>
      <c r="C428" s="149"/>
    </row>
    <row r="429" spans="2:3" ht="13.2">
      <c r="B429" s="149"/>
      <c r="C429" s="149"/>
    </row>
    <row r="430" spans="2:3" ht="13.2">
      <c r="B430" s="149"/>
      <c r="C430" s="149"/>
    </row>
    <row r="431" spans="2:3" ht="13.2">
      <c r="B431" s="149"/>
      <c r="C431" s="149"/>
    </row>
    <row r="432" spans="2:3" ht="13.2">
      <c r="B432" s="149"/>
      <c r="C432" s="149"/>
    </row>
    <row r="433" spans="2:3" ht="13.2">
      <c r="B433" s="149"/>
      <c r="C433" s="149"/>
    </row>
    <row r="434" spans="2:3" ht="13.2">
      <c r="B434" s="149"/>
      <c r="C434" s="149"/>
    </row>
    <row r="435" spans="2:3" ht="13.2">
      <c r="B435" s="149"/>
      <c r="C435" s="149"/>
    </row>
    <row r="436" spans="2:3" ht="13.2">
      <c r="B436" s="149"/>
      <c r="C436" s="149"/>
    </row>
    <row r="437" spans="2:3" ht="13.2">
      <c r="B437" s="149"/>
      <c r="C437" s="149"/>
    </row>
    <row r="438" spans="2:3" ht="13.2">
      <c r="B438" s="149"/>
      <c r="C438" s="149"/>
    </row>
    <row r="439" spans="2:3" ht="13.2">
      <c r="B439" s="149"/>
      <c r="C439" s="149"/>
    </row>
    <row r="440" spans="2:3" ht="13.2">
      <c r="B440" s="149"/>
      <c r="C440" s="149"/>
    </row>
    <row r="441" spans="2:3" ht="13.2">
      <c r="B441" s="149"/>
      <c r="C441" s="149"/>
    </row>
    <row r="442" spans="2:3" ht="13.2">
      <c r="B442" s="149"/>
      <c r="C442" s="149"/>
    </row>
    <row r="443" spans="2:3" ht="13.2">
      <c r="B443" s="149"/>
      <c r="C443" s="149"/>
    </row>
    <row r="444" spans="2:3" ht="13.2">
      <c r="B444" s="149"/>
      <c r="C444" s="149"/>
    </row>
    <row r="445" spans="2:3" ht="13.2">
      <c r="B445" s="149"/>
      <c r="C445" s="149"/>
    </row>
    <row r="446" spans="2:3" ht="13.2">
      <c r="B446" s="149"/>
      <c r="C446" s="149"/>
    </row>
    <row r="447" spans="2:3" ht="13.2">
      <c r="B447" s="149"/>
      <c r="C447" s="149"/>
    </row>
    <row r="448" spans="2:3" ht="13.2">
      <c r="B448" s="149"/>
      <c r="C448" s="149"/>
    </row>
    <row r="449" spans="2:3" ht="13.2">
      <c r="B449" s="149"/>
      <c r="C449" s="149"/>
    </row>
    <row r="450" spans="2:3" ht="13.2">
      <c r="B450" s="149"/>
      <c r="C450" s="149"/>
    </row>
    <row r="451" spans="2:3" ht="13.2">
      <c r="B451" s="149"/>
      <c r="C451" s="149"/>
    </row>
    <row r="452" spans="2:3" ht="13.2">
      <c r="B452" s="149"/>
      <c r="C452" s="149"/>
    </row>
    <row r="453" spans="2:3" ht="13.2">
      <c r="B453" s="149"/>
      <c r="C453" s="149"/>
    </row>
    <row r="454" spans="2:3" ht="13.2">
      <c r="B454" s="149"/>
      <c r="C454" s="149"/>
    </row>
    <row r="455" spans="2:3" ht="13.2">
      <c r="B455" s="149"/>
      <c r="C455" s="149"/>
    </row>
    <row r="456" spans="2:3" ht="13.2">
      <c r="B456" s="149"/>
      <c r="C456" s="149"/>
    </row>
    <row r="457" spans="2:3" ht="13.2">
      <c r="B457" s="149"/>
      <c r="C457" s="149"/>
    </row>
    <row r="458" spans="2:3" ht="13.2">
      <c r="B458" s="149"/>
      <c r="C458" s="149"/>
    </row>
    <row r="459" spans="2:3" ht="13.2">
      <c r="B459" s="149"/>
      <c r="C459" s="149"/>
    </row>
    <row r="460" spans="2:3" ht="13.2">
      <c r="B460" s="149"/>
      <c r="C460" s="149"/>
    </row>
    <row r="461" spans="2:3" ht="13.2">
      <c r="B461" s="149"/>
      <c r="C461" s="149"/>
    </row>
    <row r="462" spans="2:3" ht="13.2">
      <c r="B462" s="149"/>
      <c r="C462" s="149"/>
    </row>
    <row r="463" spans="2:3" ht="13.2">
      <c r="B463" s="149"/>
      <c r="C463" s="149"/>
    </row>
    <row r="464" spans="2:3" ht="13.2">
      <c r="B464" s="149"/>
      <c r="C464" s="149"/>
    </row>
    <row r="465" spans="2:3" ht="13.2">
      <c r="B465" s="149"/>
      <c r="C465" s="149"/>
    </row>
    <row r="466" spans="2:3" ht="13.2">
      <c r="B466" s="149"/>
      <c r="C466" s="149"/>
    </row>
    <row r="467" spans="2:3" ht="13.2">
      <c r="B467" s="149"/>
      <c r="C467" s="149"/>
    </row>
    <row r="468" spans="2:3" ht="13.2">
      <c r="B468" s="149"/>
      <c r="C468" s="149"/>
    </row>
    <row r="469" spans="2:3" ht="13.2">
      <c r="B469" s="149"/>
      <c r="C469" s="149"/>
    </row>
    <row r="470" spans="2:3" ht="13.2">
      <c r="B470" s="149"/>
      <c r="C470" s="149"/>
    </row>
    <row r="471" spans="2:3" ht="13.2">
      <c r="B471" s="149"/>
      <c r="C471" s="149"/>
    </row>
    <row r="472" spans="2:3" ht="13.2">
      <c r="B472" s="149"/>
      <c r="C472" s="149"/>
    </row>
    <row r="473" spans="2:3" ht="13.2">
      <c r="B473" s="149"/>
      <c r="C473" s="149"/>
    </row>
    <row r="474" spans="2:3" ht="13.2">
      <c r="B474" s="149"/>
      <c r="C474" s="149"/>
    </row>
    <row r="475" spans="2:3" ht="13.2">
      <c r="B475" s="149"/>
      <c r="C475" s="149"/>
    </row>
    <row r="476" spans="2:3" ht="13.2">
      <c r="B476" s="149"/>
      <c r="C476" s="149"/>
    </row>
    <row r="477" spans="2:3" ht="13.2">
      <c r="B477" s="149"/>
      <c r="C477" s="149"/>
    </row>
    <row r="478" spans="2:3" ht="13.2">
      <c r="B478" s="149"/>
      <c r="C478" s="149"/>
    </row>
    <row r="479" spans="2:3" ht="13.2">
      <c r="B479" s="149"/>
      <c r="C479" s="149"/>
    </row>
    <row r="480" spans="2:3" ht="13.2">
      <c r="B480" s="149"/>
      <c r="C480" s="149"/>
    </row>
    <row r="481" spans="2:3" ht="13.2">
      <c r="B481" s="149"/>
      <c r="C481" s="149"/>
    </row>
    <row r="482" spans="2:3" ht="13.2">
      <c r="B482" s="149"/>
      <c r="C482" s="149"/>
    </row>
    <row r="483" spans="2:3" ht="13.2">
      <c r="B483" s="149"/>
      <c r="C483" s="149"/>
    </row>
    <row r="484" spans="2:3" ht="13.2">
      <c r="B484" s="149"/>
      <c r="C484" s="149"/>
    </row>
    <row r="485" spans="2:3" ht="13.2">
      <c r="B485" s="149"/>
      <c r="C485" s="149"/>
    </row>
    <row r="486" spans="2:3" ht="13.2">
      <c r="B486" s="149"/>
      <c r="C486" s="149"/>
    </row>
    <row r="487" spans="2:3" ht="13.2">
      <c r="B487" s="149"/>
      <c r="C487" s="149"/>
    </row>
    <row r="488" spans="2:3" ht="13.2">
      <c r="B488" s="149"/>
      <c r="C488" s="149"/>
    </row>
    <row r="489" spans="2:3" ht="13.2">
      <c r="B489" s="149"/>
      <c r="C489" s="149"/>
    </row>
    <row r="490" spans="2:3" ht="13.2">
      <c r="B490" s="149"/>
      <c r="C490" s="149"/>
    </row>
    <row r="491" spans="2:3" ht="13.2">
      <c r="B491" s="149"/>
      <c r="C491" s="149"/>
    </row>
    <row r="492" spans="2:3" ht="13.2">
      <c r="B492" s="149"/>
      <c r="C492" s="149"/>
    </row>
    <row r="493" spans="2:3" ht="13.2">
      <c r="B493" s="149"/>
      <c r="C493" s="149"/>
    </row>
    <row r="494" spans="2:3" ht="13.2">
      <c r="B494" s="149"/>
      <c r="C494" s="149"/>
    </row>
    <row r="495" spans="2:3" ht="13.2">
      <c r="B495" s="149"/>
      <c r="C495" s="149"/>
    </row>
    <row r="496" spans="2:3" ht="13.2">
      <c r="B496" s="149"/>
      <c r="C496" s="149"/>
    </row>
    <row r="497" spans="2:3" ht="13.2">
      <c r="B497" s="149"/>
      <c r="C497" s="149"/>
    </row>
    <row r="498" spans="2:3" ht="13.2">
      <c r="B498" s="149"/>
      <c r="C498" s="149"/>
    </row>
    <row r="499" spans="2:3" ht="13.2">
      <c r="B499" s="149"/>
      <c r="C499" s="149"/>
    </row>
    <row r="500" spans="2:3" ht="13.2">
      <c r="B500" s="149"/>
      <c r="C500" s="149"/>
    </row>
    <row r="501" spans="2:3" ht="13.2">
      <c r="B501" s="149"/>
      <c r="C501" s="149"/>
    </row>
    <row r="502" spans="2:3" ht="13.2">
      <c r="B502" s="149"/>
      <c r="C502" s="149"/>
    </row>
    <row r="503" spans="2:3" ht="13.2">
      <c r="B503" s="149"/>
      <c r="C503" s="149"/>
    </row>
    <row r="504" spans="2:3" ht="13.2">
      <c r="B504" s="149"/>
      <c r="C504" s="149"/>
    </row>
    <row r="505" spans="2:3" ht="13.2">
      <c r="B505" s="149"/>
      <c r="C505" s="149"/>
    </row>
    <row r="506" spans="2:3" ht="13.2">
      <c r="B506" s="149"/>
      <c r="C506" s="149"/>
    </row>
    <row r="507" spans="2:3" ht="13.2">
      <c r="B507" s="149"/>
      <c r="C507" s="149"/>
    </row>
    <row r="508" spans="2:3" ht="13.2">
      <c r="B508" s="149"/>
      <c r="C508" s="149"/>
    </row>
    <row r="509" spans="2:3" ht="13.2">
      <c r="B509" s="149"/>
      <c r="C509" s="149"/>
    </row>
    <row r="510" spans="2:3" ht="13.2">
      <c r="B510" s="149"/>
      <c r="C510" s="149"/>
    </row>
    <row r="511" spans="2:3" ht="13.2">
      <c r="B511" s="149"/>
      <c r="C511" s="149"/>
    </row>
    <row r="512" spans="2:3" ht="13.2">
      <c r="B512" s="149"/>
      <c r="C512" s="149"/>
    </row>
    <row r="513" spans="2:3" ht="13.2">
      <c r="B513" s="149"/>
      <c r="C513" s="149"/>
    </row>
    <row r="514" spans="2:3" ht="13.2">
      <c r="B514" s="149"/>
      <c r="C514" s="149"/>
    </row>
    <row r="515" spans="2:3" ht="13.2">
      <c r="B515" s="149"/>
      <c r="C515" s="149"/>
    </row>
    <row r="516" spans="2:3" ht="13.2">
      <c r="B516" s="149"/>
      <c r="C516" s="149"/>
    </row>
    <row r="517" spans="2:3" ht="13.2">
      <c r="B517" s="149"/>
      <c r="C517" s="149"/>
    </row>
    <row r="518" spans="2:3" ht="13.2">
      <c r="B518" s="149"/>
      <c r="C518" s="149"/>
    </row>
    <row r="519" spans="2:3" ht="13.2">
      <c r="B519" s="149"/>
      <c r="C519" s="149"/>
    </row>
    <row r="520" spans="2:3" ht="13.2">
      <c r="B520" s="149"/>
      <c r="C520" s="149"/>
    </row>
    <row r="521" spans="2:3" ht="13.2">
      <c r="B521" s="149"/>
      <c r="C521" s="149"/>
    </row>
    <row r="522" spans="2:3" ht="13.2">
      <c r="B522" s="149"/>
      <c r="C522" s="149"/>
    </row>
    <row r="523" spans="2:3" ht="13.2">
      <c r="B523" s="149"/>
      <c r="C523" s="149"/>
    </row>
    <row r="524" spans="2:3" ht="13.2">
      <c r="B524" s="149"/>
      <c r="C524" s="149"/>
    </row>
    <row r="525" spans="2:3" ht="13.2">
      <c r="B525" s="149"/>
      <c r="C525" s="149"/>
    </row>
    <row r="526" spans="2:3" ht="13.2">
      <c r="B526" s="149"/>
      <c r="C526" s="149"/>
    </row>
    <row r="527" spans="2:3" ht="13.2">
      <c r="B527" s="149"/>
      <c r="C527" s="149"/>
    </row>
    <row r="528" spans="2:3" ht="13.2">
      <c r="B528" s="149"/>
      <c r="C528" s="149"/>
    </row>
    <row r="529" spans="2:3" ht="13.2">
      <c r="B529" s="149"/>
      <c r="C529" s="149"/>
    </row>
    <row r="530" spans="2:3" ht="13.2">
      <c r="B530" s="149"/>
      <c r="C530" s="149"/>
    </row>
    <row r="531" spans="2:3" ht="13.2">
      <c r="B531" s="149"/>
      <c r="C531" s="149"/>
    </row>
    <row r="532" spans="2:3" ht="13.2">
      <c r="B532" s="149"/>
      <c r="C532" s="149"/>
    </row>
    <row r="533" spans="2:3" ht="13.2">
      <c r="B533" s="149"/>
      <c r="C533" s="149"/>
    </row>
    <row r="534" spans="2:3" ht="13.2">
      <c r="B534" s="149"/>
      <c r="C534" s="149"/>
    </row>
    <row r="535" spans="2:3" ht="13.2">
      <c r="B535" s="149"/>
      <c r="C535" s="149"/>
    </row>
    <row r="536" spans="2:3" ht="13.2">
      <c r="B536" s="149"/>
      <c r="C536" s="149"/>
    </row>
    <row r="537" spans="2:3" ht="13.2">
      <c r="B537" s="149"/>
      <c r="C537" s="149"/>
    </row>
    <row r="538" spans="2:3" ht="13.2">
      <c r="B538" s="149"/>
      <c r="C538" s="149"/>
    </row>
    <row r="539" spans="2:3" ht="13.2">
      <c r="B539" s="149"/>
      <c r="C539" s="149"/>
    </row>
    <row r="540" spans="2:3" ht="13.2">
      <c r="B540" s="149"/>
      <c r="C540" s="149"/>
    </row>
    <row r="541" spans="2:3" ht="13.2">
      <c r="B541" s="149"/>
      <c r="C541" s="149"/>
    </row>
    <row r="542" spans="2:3" ht="13.2">
      <c r="B542" s="149"/>
      <c r="C542" s="149"/>
    </row>
    <row r="543" spans="2:3" ht="13.2">
      <c r="B543" s="149"/>
      <c r="C543" s="149"/>
    </row>
    <row r="544" spans="2:3" ht="13.2">
      <c r="B544" s="149"/>
      <c r="C544" s="149"/>
    </row>
    <row r="545" spans="2:3" ht="13.2">
      <c r="B545" s="149"/>
      <c r="C545" s="149"/>
    </row>
    <row r="546" spans="2:3" ht="13.2">
      <c r="B546" s="149"/>
      <c r="C546" s="149"/>
    </row>
    <row r="547" spans="2:3" ht="13.2">
      <c r="B547" s="149"/>
      <c r="C547" s="149"/>
    </row>
    <row r="548" spans="2:3" ht="13.2">
      <c r="B548" s="149"/>
      <c r="C548" s="149"/>
    </row>
    <row r="549" spans="2:3" ht="13.2">
      <c r="B549" s="149"/>
      <c r="C549" s="149"/>
    </row>
    <row r="550" spans="2:3" ht="13.2">
      <c r="B550" s="149"/>
      <c r="C550" s="149"/>
    </row>
    <row r="551" spans="2:3" ht="13.2">
      <c r="B551" s="149"/>
      <c r="C551" s="149"/>
    </row>
    <row r="552" spans="2:3" ht="13.2">
      <c r="B552" s="149"/>
      <c r="C552" s="149"/>
    </row>
    <row r="553" spans="2:3" ht="13.2">
      <c r="B553" s="149"/>
      <c r="C553" s="149"/>
    </row>
    <row r="554" spans="2:3" ht="13.2">
      <c r="B554" s="149"/>
      <c r="C554" s="149"/>
    </row>
    <row r="555" spans="2:3" ht="13.2">
      <c r="B555" s="149"/>
      <c r="C555" s="149"/>
    </row>
    <row r="556" spans="2:3" ht="13.2">
      <c r="B556" s="149"/>
      <c r="C556" s="149"/>
    </row>
    <row r="557" spans="2:3" ht="13.2">
      <c r="B557" s="149"/>
      <c r="C557" s="149"/>
    </row>
    <row r="558" spans="2:3" ht="13.2">
      <c r="B558" s="149"/>
      <c r="C558" s="149"/>
    </row>
    <row r="559" spans="2:3" ht="13.2">
      <c r="B559" s="149"/>
      <c r="C559" s="149"/>
    </row>
    <row r="560" spans="2:3" ht="13.2">
      <c r="B560" s="149"/>
      <c r="C560" s="149"/>
    </row>
    <row r="561" spans="2:3" ht="13.2">
      <c r="B561" s="149"/>
      <c r="C561" s="149"/>
    </row>
    <row r="562" spans="2:3" ht="13.2">
      <c r="B562" s="149"/>
      <c r="C562" s="149"/>
    </row>
    <row r="563" spans="2:3" ht="13.2">
      <c r="B563" s="149"/>
      <c r="C563" s="149"/>
    </row>
    <row r="564" spans="2:3" ht="13.2">
      <c r="B564" s="149"/>
      <c r="C564" s="149"/>
    </row>
    <row r="565" spans="2:3" ht="13.2">
      <c r="B565" s="149"/>
      <c r="C565" s="149"/>
    </row>
    <row r="566" spans="2:3" ht="13.2">
      <c r="B566" s="149"/>
      <c r="C566" s="149"/>
    </row>
    <row r="567" spans="2:3" ht="13.2">
      <c r="B567" s="149"/>
      <c r="C567" s="149"/>
    </row>
    <row r="568" spans="2:3" ht="13.2">
      <c r="B568" s="149"/>
      <c r="C568" s="149"/>
    </row>
    <row r="569" spans="2:3" ht="13.2">
      <c r="B569" s="149"/>
      <c r="C569" s="149"/>
    </row>
    <row r="570" spans="2:3" ht="13.2">
      <c r="B570" s="149"/>
      <c r="C570" s="149"/>
    </row>
    <row r="571" spans="2:3" ht="13.2">
      <c r="B571" s="149"/>
      <c r="C571" s="149"/>
    </row>
    <row r="572" spans="2:3" ht="13.2">
      <c r="B572" s="149"/>
      <c r="C572" s="149"/>
    </row>
    <row r="573" spans="2:3" ht="13.2">
      <c r="B573" s="149"/>
      <c r="C573" s="149"/>
    </row>
    <row r="574" spans="2:3" ht="13.2">
      <c r="B574" s="149"/>
      <c r="C574" s="149"/>
    </row>
    <row r="575" spans="2:3" ht="13.2">
      <c r="B575" s="149"/>
      <c r="C575" s="149"/>
    </row>
    <row r="576" spans="2:3" ht="13.2">
      <c r="B576" s="149"/>
      <c r="C576" s="149"/>
    </row>
    <row r="577" spans="2:3" ht="13.2">
      <c r="B577" s="149"/>
      <c r="C577" s="149"/>
    </row>
    <row r="578" spans="2:3" ht="13.2">
      <c r="B578" s="149"/>
      <c r="C578" s="149"/>
    </row>
    <row r="579" spans="2:3" ht="13.2">
      <c r="B579" s="149"/>
      <c r="C579" s="149"/>
    </row>
    <row r="580" spans="2:3" ht="13.2">
      <c r="B580" s="149"/>
      <c r="C580" s="149"/>
    </row>
    <row r="581" spans="2:3" ht="13.2">
      <c r="B581" s="149"/>
      <c r="C581" s="149"/>
    </row>
    <row r="582" spans="2:3" ht="13.2">
      <c r="B582" s="149"/>
      <c r="C582" s="149"/>
    </row>
    <row r="583" spans="2:3" ht="13.2">
      <c r="B583" s="149"/>
      <c r="C583" s="149"/>
    </row>
    <row r="584" spans="2:3" ht="13.2">
      <c r="B584" s="149"/>
      <c r="C584" s="149"/>
    </row>
    <row r="585" spans="2:3" ht="13.2">
      <c r="B585" s="149"/>
      <c r="C585" s="149"/>
    </row>
    <row r="586" spans="2:3" ht="13.2">
      <c r="B586" s="149"/>
      <c r="C586" s="149"/>
    </row>
    <row r="587" spans="2:3" ht="13.2">
      <c r="B587" s="149"/>
      <c r="C587" s="149"/>
    </row>
    <row r="588" spans="2:3" ht="13.2">
      <c r="B588" s="149"/>
      <c r="C588" s="149"/>
    </row>
    <row r="589" spans="2:3" ht="13.2">
      <c r="B589" s="149"/>
      <c r="C589" s="149"/>
    </row>
    <row r="590" spans="2:3" ht="13.2">
      <c r="B590" s="149"/>
      <c r="C590" s="149"/>
    </row>
    <row r="591" spans="2:3" ht="13.2">
      <c r="B591" s="149"/>
      <c r="C591" s="149"/>
    </row>
    <row r="592" spans="2:3" ht="13.2">
      <c r="B592" s="149"/>
      <c r="C592" s="149"/>
    </row>
    <row r="593" spans="2:3" ht="13.2">
      <c r="B593" s="149"/>
      <c r="C593" s="149"/>
    </row>
    <row r="594" spans="2:3" ht="13.2">
      <c r="B594" s="149"/>
      <c r="C594" s="149"/>
    </row>
    <row r="595" spans="2:3" ht="13.2">
      <c r="B595" s="149"/>
      <c r="C595" s="149"/>
    </row>
    <row r="596" spans="2:3" ht="13.2">
      <c r="B596" s="149"/>
      <c r="C596" s="149"/>
    </row>
    <row r="597" spans="2:3" ht="13.2">
      <c r="B597" s="149"/>
      <c r="C597" s="149"/>
    </row>
    <row r="598" spans="2:3" ht="13.2">
      <c r="B598" s="149"/>
      <c r="C598" s="149"/>
    </row>
    <row r="599" spans="2:3" ht="13.2">
      <c r="B599" s="149"/>
      <c r="C599" s="149"/>
    </row>
    <row r="600" spans="2:3" ht="13.2">
      <c r="B600" s="149"/>
      <c r="C600" s="149"/>
    </row>
    <row r="601" spans="2:3" ht="13.2">
      <c r="B601" s="149"/>
      <c r="C601" s="149"/>
    </row>
    <row r="602" spans="2:3" ht="13.2">
      <c r="B602" s="149"/>
      <c r="C602" s="149"/>
    </row>
    <row r="603" spans="2:3" ht="13.2">
      <c r="B603" s="149"/>
      <c r="C603" s="149"/>
    </row>
    <row r="604" spans="2:3" ht="13.2">
      <c r="B604" s="149"/>
      <c r="C604" s="149"/>
    </row>
    <row r="605" spans="2:3" ht="13.2">
      <c r="B605" s="149"/>
      <c r="C605" s="149"/>
    </row>
    <row r="606" spans="2:3" ht="13.2">
      <c r="B606" s="149"/>
      <c r="C606" s="149"/>
    </row>
    <row r="607" spans="2:3" ht="13.2">
      <c r="B607" s="149"/>
      <c r="C607" s="149"/>
    </row>
    <row r="608" spans="2:3" ht="13.2">
      <c r="B608" s="149"/>
      <c r="C608" s="149"/>
    </row>
    <row r="609" spans="2:3" ht="13.2">
      <c r="B609" s="149"/>
      <c r="C609" s="149"/>
    </row>
    <row r="610" spans="2:3" ht="13.2">
      <c r="B610" s="149"/>
      <c r="C610" s="149"/>
    </row>
    <row r="611" spans="2:3" ht="13.2">
      <c r="B611" s="149"/>
      <c r="C611" s="149"/>
    </row>
    <row r="612" spans="2:3" ht="13.2">
      <c r="B612" s="149"/>
      <c r="C612" s="149"/>
    </row>
    <row r="613" spans="2:3" ht="13.2">
      <c r="B613" s="149"/>
      <c r="C613" s="149"/>
    </row>
    <row r="614" spans="2:3" ht="13.2">
      <c r="B614" s="149"/>
      <c r="C614" s="149"/>
    </row>
    <row r="615" spans="2:3" ht="13.2">
      <c r="B615" s="149"/>
      <c r="C615" s="149"/>
    </row>
    <row r="616" spans="2:3" ht="13.2">
      <c r="B616" s="149"/>
      <c r="C616" s="149"/>
    </row>
    <row r="617" spans="2:3" ht="13.2">
      <c r="B617" s="149"/>
      <c r="C617" s="149"/>
    </row>
    <row r="618" spans="2:3" ht="13.2">
      <c r="B618" s="149"/>
      <c r="C618" s="149"/>
    </row>
    <row r="619" spans="2:3" ht="13.2">
      <c r="B619" s="149"/>
      <c r="C619" s="149"/>
    </row>
    <row r="620" spans="2:3" ht="13.2">
      <c r="B620" s="149"/>
      <c r="C620" s="149"/>
    </row>
    <row r="621" spans="2:3" ht="13.2">
      <c r="B621" s="149"/>
      <c r="C621" s="149"/>
    </row>
    <row r="622" spans="2:3" ht="13.2">
      <c r="B622" s="149"/>
      <c r="C622" s="149"/>
    </row>
    <row r="623" spans="2:3" ht="13.2">
      <c r="B623" s="149"/>
      <c r="C623" s="149"/>
    </row>
    <row r="624" spans="2:3" ht="13.2">
      <c r="B624" s="149"/>
      <c r="C624" s="149"/>
    </row>
    <row r="625" spans="2:3" ht="13.2">
      <c r="B625" s="149"/>
      <c r="C625" s="149"/>
    </row>
    <row r="626" spans="2:3" ht="13.2">
      <c r="B626" s="149"/>
      <c r="C626" s="149"/>
    </row>
    <row r="627" spans="2:3" ht="13.2">
      <c r="B627" s="149"/>
      <c r="C627" s="149"/>
    </row>
    <row r="628" spans="2:3" ht="13.2">
      <c r="B628" s="149"/>
      <c r="C628" s="149"/>
    </row>
    <row r="629" spans="2:3" ht="13.2">
      <c r="B629" s="149"/>
      <c r="C629" s="149"/>
    </row>
    <row r="630" spans="2:3" ht="13.2">
      <c r="B630" s="149"/>
      <c r="C630" s="149"/>
    </row>
    <row r="631" spans="2:3" ht="13.2">
      <c r="B631" s="149"/>
      <c r="C631" s="149"/>
    </row>
    <row r="632" spans="2:3" ht="13.2">
      <c r="B632" s="149"/>
      <c r="C632" s="149"/>
    </row>
    <row r="633" spans="2:3" ht="13.2">
      <c r="B633" s="149"/>
      <c r="C633" s="149"/>
    </row>
    <row r="634" spans="2:3" ht="13.2">
      <c r="B634" s="149"/>
      <c r="C634" s="149"/>
    </row>
    <row r="635" spans="2:3" ht="13.2">
      <c r="B635" s="149"/>
      <c r="C635" s="149"/>
    </row>
    <row r="636" spans="2:3" ht="13.2">
      <c r="B636" s="149"/>
      <c r="C636" s="149"/>
    </row>
    <row r="637" spans="2:3" ht="13.2">
      <c r="B637" s="149"/>
      <c r="C637" s="149"/>
    </row>
    <row r="638" spans="2:3" ht="13.2">
      <c r="B638" s="149"/>
      <c r="C638" s="149"/>
    </row>
    <row r="639" spans="2:3" ht="13.2">
      <c r="B639" s="149"/>
      <c r="C639" s="149"/>
    </row>
    <row r="640" spans="2:3" ht="13.2">
      <c r="B640" s="149"/>
      <c r="C640" s="149"/>
    </row>
    <row r="641" spans="2:3" ht="13.2">
      <c r="B641" s="149"/>
      <c r="C641" s="149"/>
    </row>
    <row r="642" spans="2:3" ht="13.2">
      <c r="B642" s="149"/>
      <c r="C642" s="149"/>
    </row>
    <row r="643" spans="2:3" ht="13.2">
      <c r="B643" s="149"/>
      <c r="C643" s="149"/>
    </row>
    <row r="644" spans="2:3" ht="13.2">
      <c r="B644" s="149"/>
      <c r="C644" s="149"/>
    </row>
    <row r="645" spans="2:3" ht="13.2">
      <c r="B645" s="149"/>
      <c r="C645" s="149"/>
    </row>
    <row r="646" spans="2:3" ht="13.2">
      <c r="B646" s="149"/>
      <c r="C646" s="149"/>
    </row>
    <row r="647" spans="2:3" ht="13.2">
      <c r="B647" s="149"/>
      <c r="C647" s="149"/>
    </row>
    <row r="648" spans="2:3" ht="13.2">
      <c r="B648" s="149"/>
      <c r="C648" s="149"/>
    </row>
    <row r="649" spans="2:3" ht="13.2">
      <c r="B649" s="149"/>
      <c r="C649" s="149"/>
    </row>
    <row r="650" spans="2:3" ht="13.2">
      <c r="B650" s="149"/>
      <c r="C650" s="149"/>
    </row>
    <row r="651" spans="2:3" ht="13.2">
      <c r="B651" s="149"/>
      <c r="C651" s="149"/>
    </row>
    <row r="652" spans="2:3" ht="13.2">
      <c r="B652" s="149"/>
      <c r="C652" s="149"/>
    </row>
    <row r="653" spans="2:3" ht="13.2">
      <c r="B653" s="149"/>
      <c r="C653" s="149"/>
    </row>
    <row r="654" spans="2:3" ht="13.2">
      <c r="B654" s="149"/>
      <c r="C654" s="149"/>
    </row>
    <row r="655" spans="2:3" ht="13.2">
      <c r="B655" s="149"/>
      <c r="C655" s="149"/>
    </row>
    <row r="656" spans="2:3" ht="13.2">
      <c r="B656" s="149"/>
      <c r="C656" s="149"/>
    </row>
    <row r="657" spans="2:3" ht="13.2">
      <c r="B657" s="149"/>
      <c r="C657" s="149"/>
    </row>
    <row r="658" spans="2:3" ht="13.2">
      <c r="B658" s="149"/>
      <c r="C658" s="149"/>
    </row>
    <row r="659" spans="2:3" ht="13.2">
      <c r="B659" s="149"/>
      <c r="C659" s="149"/>
    </row>
    <row r="660" spans="2:3" ht="13.2">
      <c r="B660" s="149"/>
      <c r="C660" s="149"/>
    </row>
    <row r="661" spans="2:3" ht="13.2">
      <c r="B661" s="149"/>
      <c r="C661" s="149"/>
    </row>
    <row r="662" spans="2:3" ht="13.2">
      <c r="B662" s="149"/>
      <c r="C662" s="149"/>
    </row>
    <row r="663" spans="2:3" ht="13.2">
      <c r="B663" s="149"/>
      <c r="C663" s="149"/>
    </row>
    <row r="664" spans="2:3" ht="13.2">
      <c r="B664" s="149"/>
      <c r="C664" s="149"/>
    </row>
    <row r="665" spans="2:3" ht="13.2">
      <c r="B665" s="149"/>
      <c r="C665" s="149"/>
    </row>
    <row r="666" spans="2:3" ht="13.2">
      <c r="B666" s="149"/>
      <c r="C666" s="149"/>
    </row>
    <row r="667" spans="2:3" ht="13.2">
      <c r="B667" s="149"/>
      <c r="C667" s="149"/>
    </row>
    <row r="668" spans="2:3" ht="13.2">
      <c r="B668" s="149"/>
      <c r="C668" s="149"/>
    </row>
    <row r="669" spans="2:3" ht="13.2">
      <c r="B669" s="149"/>
      <c r="C669" s="149"/>
    </row>
    <row r="670" spans="2:3" ht="13.2">
      <c r="B670" s="149"/>
      <c r="C670" s="149"/>
    </row>
    <row r="671" spans="2:3" ht="13.2">
      <c r="B671" s="149"/>
      <c r="C671" s="149"/>
    </row>
    <row r="672" spans="2:3" ht="13.2">
      <c r="B672" s="149"/>
      <c r="C672" s="149"/>
    </row>
    <row r="673" spans="2:3" ht="13.2">
      <c r="B673" s="149"/>
      <c r="C673" s="149"/>
    </row>
    <row r="674" spans="2:3" ht="13.2">
      <c r="B674" s="149"/>
      <c r="C674" s="149"/>
    </row>
    <row r="675" spans="2:3" ht="13.2">
      <c r="B675" s="149"/>
      <c r="C675" s="149"/>
    </row>
    <row r="676" spans="2:3" ht="13.2">
      <c r="B676" s="149"/>
      <c r="C676" s="149"/>
    </row>
    <row r="677" spans="2:3" ht="13.2">
      <c r="B677" s="149"/>
      <c r="C677" s="149"/>
    </row>
    <row r="678" spans="2:3" ht="13.2">
      <c r="B678" s="149"/>
      <c r="C678" s="149"/>
    </row>
    <row r="679" spans="2:3" ht="13.2">
      <c r="B679" s="149"/>
      <c r="C679" s="149"/>
    </row>
    <row r="680" spans="2:3" ht="13.2">
      <c r="B680" s="149"/>
      <c r="C680" s="149"/>
    </row>
    <row r="681" spans="2:3" ht="13.2">
      <c r="B681" s="149"/>
      <c r="C681" s="149"/>
    </row>
    <row r="682" spans="2:3" ht="13.2">
      <c r="B682" s="149"/>
      <c r="C682" s="149"/>
    </row>
    <row r="683" spans="2:3" ht="13.2">
      <c r="B683" s="149"/>
      <c r="C683" s="149"/>
    </row>
    <row r="684" spans="2:3" ht="13.2">
      <c r="B684" s="149"/>
      <c r="C684" s="149"/>
    </row>
    <row r="685" spans="2:3" ht="13.2">
      <c r="B685" s="149"/>
      <c r="C685" s="149"/>
    </row>
    <row r="686" spans="2:3" ht="13.2">
      <c r="B686" s="149"/>
      <c r="C686" s="149"/>
    </row>
    <row r="687" spans="2:3" ht="13.2">
      <c r="B687" s="149"/>
      <c r="C687" s="149"/>
    </row>
    <row r="688" spans="2:3" ht="13.2">
      <c r="B688" s="149"/>
      <c r="C688" s="149"/>
    </row>
    <row r="689" spans="2:3" ht="13.2">
      <c r="B689" s="149"/>
      <c r="C689" s="149"/>
    </row>
    <row r="690" spans="2:3" ht="13.2">
      <c r="B690" s="149"/>
      <c r="C690" s="149"/>
    </row>
    <row r="691" spans="2:3" ht="13.2">
      <c r="B691" s="149"/>
      <c r="C691" s="149"/>
    </row>
    <row r="692" spans="2:3" ht="13.2">
      <c r="B692" s="149"/>
      <c r="C692" s="149"/>
    </row>
    <row r="693" spans="2:3" ht="13.2">
      <c r="B693" s="149"/>
      <c r="C693" s="149"/>
    </row>
    <row r="694" spans="2:3" ht="13.2">
      <c r="B694" s="149"/>
      <c r="C694" s="149"/>
    </row>
    <row r="695" spans="2:3" ht="13.2">
      <c r="B695" s="149"/>
      <c r="C695" s="149"/>
    </row>
    <row r="696" spans="2:3" ht="13.2">
      <c r="B696" s="149"/>
      <c r="C696" s="149"/>
    </row>
    <row r="697" spans="2:3" ht="13.2">
      <c r="B697" s="149"/>
      <c r="C697" s="149"/>
    </row>
    <row r="698" spans="2:3" ht="13.2">
      <c r="B698" s="149"/>
      <c r="C698" s="149"/>
    </row>
    <row r="699" spans="2:3" ht="13.2">
      <c r="B699" s="149"/>
      <c r="C699" s="149"/>
    </row>
    <row r="700" spans="2:3" ht="13.2">
      <c r="B700" s="149"/>
      <c r="C700" s="149"/>
    </row>
    <row r="701" spans="2:3" ht="13.2">
      <c r="B701" s="149"/>
      <c r="C701" s="149"/>
    </row>
    <row r="702" spans="2:3" ht="13.2">
      <c r="B702" s="149"/>
      <c r="C702" s="149"/>
    </row>
    <row r="703" spans="2:3" ht="13.2">
      <c r="B703" s="149"/>
      <c r="C703" s="149"/>
    </row>
    <row r="704" spans="2:3" ht="13.2">
      <c r="B704" s="149"/>
      <c r="C704" s="149"/>
    </row>
    <row r="705" spans="2:3" ht="13.2">
      <c r="B705" s="149"/>
      <c r="C705" s="149"/>
    </row>
    <row r="706" spans="2:3" ht="13.2">
      <c r="B706" s="149"/>
      <c r="C706" s="149"/>
    </row>
    <row r="707" spans="2:3" ht="13.2">
      <c r="B707" s="149"/>
      <c r="C707" s="149"/>
    </row>
    <row r="708" spans="2:3" ht="13.2">
      <c r="B708" s="149"/>
      <c r="C708" s="149"/>
    </row>
    <row r="709" spans="2:3" ht="13.2">
      <c r="B709" s="149"/>
      <c r="C709" s="149"/>
    </row>
    <row r="710" spans="2:3" ht="13.2">
      <c r="B710" s="149"/>
      <c r="C710" s="149"/>
    </row>
    <row r="711" spans="2:3" ht="13.2">
      <c r="B711" s="149"/>
      <c r="C711" s="149"/>
    </row>
    <row r="712" spans="2:3" ht="13.2">
      <c r="B712" s="149"/>
      <c r="C712" s="149"/>
    </row>
    <row r="713" spans="2:3" ht="13.2">
      <c r="B713" s="149"/>
      <c r="C713" s="149"/>
    </row>
    <row r="714" spans="2:3" ht="13.2">
      <c r="B714" s="149"/>
      <c r="C714" s="149"/>
    </row>
    <row r="715" spans="2:3" ht="13.2">
      <c r="B715" s="149"/>
      <c r="C715" s="149"/>
    </row>
    <row r="716" spans="2:3" ht="13.2">
      <c r="B716" s="149"/>
      <c r="C716" s="149"/>
    </row>
    <row r="717" spans="2:3" ht="13.2">
      <c r="B717" s="149"/>
      <c r="C717" s="149"/>
    </row>
    <row r="718" spans="2:3" ht="13.2">
      <c r="B718" s="149"/>
      <c r="C718" s="149"/>
    </row>
    <row r="719" spans="2:3" ht="13.2">
      <c r="B719" s="149"/>
      <c r="C719" s="149"/>
    </row>
    <row r="720" spans="2:3" ht="13.2">
      <c r="B720" s="149"/>
      <c r="C720" s="149"/>
    </row>
    <row r="721" spans="2:3" ht="13.2">
      <c r="B721" s="149"/>
      <c r="C721" s="149"/>
    </row>
    <row r="722" spans="2:3" ht="13.2">
      <c r="B722" s="149"/>
      <c r="C722" s="149"/>
    </row>
    <row r="723" spans="2:3" ht="13.2">
      <c r="B723" s="149"/>
      <c r="C723" s="149"/>
    </row>
    <row r="724" spans="2:3" ht="13.2">
      <c r="B724" s="149"/>
      <c r="C724" s="149"/>
    </row>
    <row r="725" spans="2:3" ht="13.2">
      <c r="B725" s="149"/>
      <c r="C725" s="149"/>
    </row>
    <row r="726" spans="2:3" ht="13.2">
      <c r="B726" s="149"/>
      <c r="C726" s="149"/>
    </row>
    <row r="727" spans="2:3" ht="13.2">
      <c r="B727" s="149"/>
      <c r="C727" s="149"/>
    </row>
    <row r="728" spans="2:3" ht="13.2">
      <c r="B728" s="149"/>
      <c r="C728" s="149"/>
    </row>
    <row r="729" spans="2:3" ht="13.2">
      <c r="B729" s="149"/>
      <c r="C729" s="149"/>
    </row>
    <row r="730" spans="2:3" ht="13.2">
      <c r="B730" s="149"/>
      <c r="C730" s="149"/>
    </row>
    <row r="731" spans="2:3" ht="13.2">
      <c r="B731" s="149"/>
      <c r="C731" s="149"/>
    </row>
    <row r="732" spans="2:3" ht="13.2">
      <c r="B732" s="149"/>
      <c r="C732" s="149"/>
    </row>
    <row r="733" spans="2:3" ht="13.2">
      <c r="B733" s="149"/>
      <c r="C733" s="149"/>
    </row>
    <row r="734" spans="2:3" ht="13.2">
      <c r="B734" s="149"/>
      <c r="C734" s="149"/>
    </row>
    <row r="735" spans="2:3" ht="13.2">
      <c r="B735" s="149"/>
      <c r="C735" s="149"/>
    </row>
    <row r="736" spans="2:3" ht="13.2">
      <c r="B736" s="149"/>
      <c r="C736" s="149"/>
    </row>
    <row r="737" spans="2:3" ht="13.2">
      <c r="B737" s="149"/>
      <c r="C737" s="149"/>
    </row>
    <row r="738" spans="2:3" ht="13.2">
      <c r="B738" s="149"/>
      <c r="C738" s="149"/>
    </row>
    <row r="739" spans="2:3" ht="13.2">
      <c r="B739" s="149"/>
      <c r="C739" s="149"/>
    </row>
    <row r="740" spans="2:3" ht="13.2">
      <c r="B740" s="149"/>
      <c r="C740" s="149"/>
    </row>
    <row r="741" spans="2:3" ht="13.2">
      <c r="B741" s="149"/>
      <c r="C741" s="149"/>
    </row>
    <row r="742" spans="2:3" ht="13.2">
      <c r="B742" s="149"/>
      <c r="C742" s="149"/>
    </row>
    <row r="743" spans="2:3" ht="13.2">
      <c r="B743" s="149"/>
      <c r="C743" s="149"/>
    </row>
    <row r="744" spans="2:3" ht="13.2">
      <c r="B744" s="149"/>
      <c r="C744" s="149"/>
    </row>
    <row r="745" spans="2:3" ht="13.2">
      <c r="B745" s="149"/>
      <c r="C745" s="149"/>
    </row>
    <row r="746" spans="2:3" ht="13.2">
      <c r="B746" s="149"/>
      <c r="C746" s="149"/>
    </row>
    <row r="747" spans="2:3" ht="13.2">
      <c r="B747" s="149"/>
      <c r="C747" s="149"/>
    </row>
    <row r="748" spans="2:3" ht="13.2">
      <c r="B748" s="149"/>
      <c r="C748" s="149"/>
    </row>
    <row r="749" spans="2:3" ht="13.2">
      <c r="B749" s="149"/>
      <c r="C749" s="149"/>
    </row>
    <row r="750" spans="2:3" ht="13.2">
      <c r="B750" s="149"/>
      <c r="C750" s="149"/>
    </row>
    <row r="751" spans="2:3" ht="13.2">
      <c r="B751" s="149"/>
      <c r="C751" s="149"/>
    </row>
    <row r="752" spans="2:3" ht="13.2">
      <c r="B752" s="149"/>
      <c r="C752" s="149"/>
    </row>
    <row r="753" spans="2:3" ht="13.2">
      <c r="B753" s="149"/>
      <c r="C753" s="149"/>
    </row>
    <row r="754" spans="2:3" ht="13.2">
      <c r="B754" s="149"/>
      <c r="C754" s="149"/>
    </row>
    <row r="755" spans="2:3" ht="13.2">
      <c r="B755" s="149"/>
      <c r="C755" s="149"/>
    </row>
    <row r="756" spans="2:3" ht="13.2">
      <c r="B756" s="149"/>
      <c r="C756" s="149"/>
    </row>
    <row r="757" spans="2:3" ht="13.2">
      <c r="B757" s="149"/>
      <c r="C757" s="149"/>
    </row>
    <row r="758" spans="2:3" ht="13.2">
      <c r="B758" s="149"/>
      <c r="C758" s="149"/>
    </row>
    <row r="759" spans="2:3" ht="13.2">
      <c r="B759" s="149"/>
      <c r="C759" s="149"/>
    </row>
    <row r="760" spans="2:3" ht="13.2">
      <c r="B760" s="149"/>
      <c r="C760" s="149"/>
    </row>
    <row r="761" spans="2:3" ht="13.2">
      <c r="B761" s="149"/>
      <c r="C761" s="149"/>
    </row>
    <row r="762" spans="2:3" ht="13.2">
      <c r="B762" s="149"/>
      <c r="C762" s="149"/>
    </row>
    <row r="763" spans="2:3" ht="13.2">
      <c r="B763" s="149"/>
      <c r="C763" s="149"/>
    </row>
    <row r="764" spans="2:3" ht="13.2">
      <c r="B764" s="149"/>
      <c r="C764" s="149"/>
    </row>
    <row r="765" spans="2:3" ht="13.2">
      <c r="B765" s="149"/>
      <c r="C765" s="149"/>
    </row>
    <row r="766" spans="2:3" ht="13.2">
      <c r="B766" s="149"/>
      <c r="C766" s="149"/>
    </row>
    <row r="767" spans="2:3" ht="13.2">
      <c r="B767" s="149"/>
      <c r="C767" s="149"/>
    </row>
    <row r="768" spans="2:3" ht="13.2">
      <c r="B768" s="149"/>
      <c r="C768" s="149"/>
    </row>
    <row r="769" spans="2:3" ht="13.2">
      <c r="B769" s="149"/>
      <c r="C769" s="149"/>
    </row>
    <row r="770" spans="2:3" ht="13.2">
      <c r="B770" s="149"/>
      <c r="C770" s="149"/>
    </row>
    <row r="771" spans="2:3" ht="13.2">
      <c r="B771" s="149"/>
      <c r="C771" s="149"/>
    </row>
    <row r="772" spans="2:3" ht="13.2">
      <c r="B772" s="149"/>
      <c r="C772" s="149"/>
    </row>
    <row r="773" spans="2:3" ht="13.2">
      <c r="B773" s="149"/>
      <c r="C773" s="149"/>
    </row>
    <row r="774" spans="2:3" ht="13.2">
      <c r="B774" s="149"/>
      <c r="C774" s="149"/>
    </row>
    <row r="775" spans="2:3" ht="13.2">
      <c r="B775" s="149"/>
      <c r="C775" s="149"/>
    </row>
    <row r="776" spans="2:3" ht="13.2">
      <c r="B776" s="149"/>
      <c r="C776" s="149"/>
    </row>
    <row r="777" spans="2:3" ht="13.2">
      <c r="B777" s="149"/>
      <c r="C777" s="149"/>
    </row>
    <row r="778" spans="2:3" ht="13.2">
      <c r="B778" s="149"/>
      <c r="C778" s="149"/>
    </row>
    <row r="779" spans="2:3" ht="13.2">
      <c r="B779" s="149"/>
      <c r="C779" s="149"/>
    </row>
    <row r="780" spans="2:3" ht="13.2">
      <c r="B780" s="149"/>
      <c r="C780" s="149"/>
    </row>
    <row r="781" spans="2:3" ht="13.2">
      <c r="B781" s="149"/>
      <c r="C781" s="149"/>
    </row>
    <row r="782" spans="2:3" ht="13.2">
      <c r="B782" s="149"/>
      <c r="C782" s="149"/>
    </row>
    <row r="783" spans="2:3" ht="13.2">
      <c r="B783" s="149"/>
      <c r="C783" s="149"/>
    </row>
    <row r="784" spans="2:3" ht="13.2">
      <c r="B784" s="149"/>
      <c r="C784" s="149"/>
    </row>
    <row r="785" spans="2:3" ht="13.2">
      <c r="B785" s="149"/>
      <c r="C785" s="149"/>
    </row>
    <row r="786" spans="2:3" ht="13.2">
      <c r="B786" s="149"/>
      <c r="C786" s="149"/>
    </row>
    <row r="787" spans="2:3" ht="13.2">
      <c r="B787" s="149"/>
      <c r="C787" s="149"/>
    </row>
    <row r="788" spans="2:3" ht="13.2">
      <c r="B788" s="149"/>
      <c r="C788" s="149"/>
    </row>
    <row r="789" spans="2:3" ht="13.2">
      <c r="B789" s="149"/>
      <c r="C789" s="149"/>
    </row>
    <row r="790" spans="2:3" ht="13.2">
      <c r="B790" s="149"/>
      <c r="C790" s="149"/>
    </row>
    <row r="791" spans="2:3" ht="13.2">
      <c r="B791" s="149"/>
      <c r="C791" s="149"/>
    </row>
    <row r="792" spans="2:3" ht="13.2">
      <c r="B792" s="149"/>
      <c r="C792" s="149"/>
    </row>
    <row r="793" spans="2:3" ht="13.2">
      <c r="B793" s="149"/>
      <c r="C793" s="149"/>
    </row>
    <row r="794" spans="2:3" ht="13.2">
      <c r="B794" s="149"/>
      <c r="C794" s="149"/>
    </row>
    <row r="795" spans="2:3" ht="13.2">
      <c r="B795" s="149"/>
      <c r="C795" s="149"/>
    </row>
    <row r="796" spans="2:3" ht="13.2">
      <c r="B796" s="149"/>
      <c r="C796" s="149"/>
    </row>
    <row r="797" spans="2:3" ht="13.2">
      <c r="B797" s="149"/>
      <c r="C797" s="149"/>
    </row>
    <row r="798" spans="2:3" ht="13.2">
      <c r="B798" s="149"/>
      <c r="C798" s="149"/>
    </row>
    <row r="799" spans="2:3" ht="13.2">
      <c r="B799" s="149"/>
      <c r="C799" s="149"/>
    </row>
    <row r="800" spans="2:3" ht="13.2">
      <c r="B800" s="149"/>
      <c r="C800" s="149"/>
    </row>
    <row r="801" spans="2:3" ht="13.2">
      <c r="B801" s="149"/>
      <c r="C801" s="149"/>
    </row>
    <row r="802" spans="2:3" ht="13.2">
      <c r="B802" s="149"/>
      <c r="C802" s="149"/>
    </row>
    <row r="803" spans="2:3" ht="13.2">
      <c r="B803" s="149"/>
      <c r="C803" s="149"/>
    </row>
    <row r="804" spans="2:3" ht="13.2">
      <c r="B804" s="149"/>
      <c r="C804" s="149"/>
    </row>
    <row r="805" spans="2:3" ht="13.2">
      <c r="B805" s="149"/>
      <c r="C805" s="149"/>
    </row>
    <row r="806" spans="2:3" ht="13.2">
      <c r="B806" s="149"/>
      <c r="C806" s="149"/>
    </row>
    <row r="807" spans="2:3" ht="13.2">
      <c r="B807" s="149"/>
      <c r="C807" s="149"/>
    </row>
    <row r="808" spans="2:3" ht="13.2">
      <c r="B808" s="149"/>
      <c r="C808" s="149"/>
    </row>
    <row r="809" spans="2:3" ht="13.2">
      <c r="B809" s="149"/>
      <c r="C809" s="149"/>
    </row>
    <row r="810" spans="2:3" ht="13.2">
      <c r="B810" s="149"/>
      <c r="C810" s="149"/>
    </row>
    <row r="811" spans="2:3" ht="13.2">
      <c r="B811" s="149"/>
      <c r="C811" s="149"/>
    </row>
    <row r="812" spans="2:3" ht="13.2">
      <c r="B812" s="149"/>
      <c r="C812" s="149"/>
    </row>
    <row r="813" spans="2:3" ht="13.2">
      <c r="B813" s="149"/>
      <c r="C813" s="149"/>
    </row>
    <row r="814" spans="2:3" ht="13.2">
      <c r="B814" s="149"/>
      <c r="C814" s="149"/>
    </row>
    <row r="815" spans="2:3" ht="13.2">
      <c r="B815" s="149"/>
      <c r="C815" s="149"/>
    </row>
    <row r="816" spans="2:3" ht="13.2">
      <c r="B816" s="149"/>
      <c r="C816" s="149"/>
    </row>
    <row r="817" spans="2:3" ht="13.2">
      <c r="B817" s="149"/>
      <c r="C817" s="149"/>
    </row>
    <row r="818" spans="2:3" ht="13.2">
      <c r="B818" s="149"/>
      <c r="C818" s="149"/>
    </row>
    <row r="819" spans="2:3" ht="13.2">
      <c r="B819" s="149"/>
      <c r="C819" s="149"/>
    </row>
    <row r="820" spans="2:3" ht="13.2">
      <c r="B820" s="149"/>
      <c r="C820" s="149"/>
    </row>
    <row r="821" spans="2:3" ht="13.2">
      <c r="B821" s="149"/>
      <c r="C821" s="149"/>
    </row>
    <row r="822" spans="2:3" ht="13.2">
      <c r="B822" s="149"/>
      <c r="C822" s="149"/>
    </row>
    <row r="823" spans="2:3" ht="13.2">
      <c r="B823" s="149"/>
      <c r="C823" s="149"/>
    </row>
    <row r="824" spans="2:3" ht="13.2">
      <c r="B824" s="149"/>
      <c r="C824" s="149"/>
    </row>
    <row r="825" spans="2:3" ht="13.2">
      <c r="B825" s="149"/>
      <c r="C825" s="149"/>
    </row>
    <row r="826" spans="2:3" ht="13.2">
      <c r="B826" s="149"/>
      <c r="C826" s="149"/>
    </row>
    <row r="827" spans="2:3" ht="13.2">
      <c r="B827" s="149"/>
      <c r="C827" s="149"/>
    </row>
    <row r="828" spans="2:3" ht="13.2">
      <c r="B828" s="149"/>
      <c r="C828" s="149"/>
    </row>
    <row r="829" spans="2:3" ht="13.2">
      <c r="B829" s="149"/>
      <c r="C829" s="149"/>
    </row>
    <row r="830" spans="2:3" ht="13.2">
      <c r="B830" s="149"/>
      <c r="C830" s="149"/>
    </row>
    <row r="831" spans="2:3" ht="13.2">
      <c r="B831" s="149"/>
      <c r="C831" s="149"/>
    </row>
    <row r="832" spans="2:3" ht="13.2">
      <c r="B832" s="149"/>
      <c r="C832" s="149"/>
    </row>
    <row r="833" spans="2:3" ht="13.2">
      <c r="B833" s="149"/>
      <c r="C833" s="149"/>
    </row>
    <row r="834" spans="2:3" ht="13.2">
      <c r="B834" s="149"/>
      <c r="C834" s="149"/>
    </row>
    <row r="835" spans="2:3" ht="13.2">
      <c r="B835" s="149"/>
      <c r="C835" s="149"/>
    </row>
    <row r="836" spans="2:3" ht="13.2">
      <c r="B836" s="149"/>
      <c r="C836" s="149"/>
    </row>
    <row r="837" spans="2:3" ht="13.2">
      <c r="B837" s="149"/>
      <c r="C837" s="149"/>
    </row>
    <row r="838" spans="2:3" ht="13.2">
      <c r="B838" s="149"/>
      <c r="C838" s="149"/>
    </row>
    <row r="839" spans="2:3" ht="13.2">
      <c r="B839" s="149"/>
      <c r="C839" s="149"/>
    </row>
    <row r="840" spans="2:3" ht="13.2">
      <c r="B840" s="149"/>
      <c r="C840" s="149"/>
    </row>
    <row r="841" spans="2:3" ht="13.2">
      <c r="B841" s="149"/>
      <c r="C841" s="149"/>
    </row>
    <row r="842" spans="2:3" ht="13.2">
      <c r="B842" s="149"/>
      <c r="C842" s="149"/>
    </row>
    <row r="843" spans="2:3" ht="13.2">
      <c r="B843" s="149"/>
      <c r="C843" s="149"/>
    </row>
    <row r="844" spans="2:3" ht="13.2">
      <c r="B844" s="149"/>
      <c r="C844" s="149"/>
    </row>
    <row r="845" spans="2:3" ht="13.2">
      <c r="B845" s="149"/>
      <c r="C845" s="149"/>
    </row>
    <row r="846" spans="2:3" ht="13.2">
      <c r="B846" s="149"/>
      <c r="C846" s="149"/>
    </row>
    <row r="847" spans="2:3" ht="13.2">
      <c r="B847" s="149"/>
      <c r="C847" s="149"/>
    </row>
    <row r="848" spans="2:3" ht="13.2">
      <c r="B848" s="149"/>
      <c r="C848" s="149"/>
    </row>
    <row r="849" spans="2:3" ht="13.2">
      <c r="B849" s="149"/>
      <c r="C849" s="149"/>
    </row>
    <row r="850" spans="2:3" ht="13.2">
      <c r="B850" s="149"/>
      <c r="C850" s="149"/>
    </row>
    <row r="851" spans="2:3" ht="13.2">
      <c r="B851" s="149"/>
      <c r="C851" s="149"/>
    </row>
    <row r="852" spans="2:3" ht="13.2">
      <c r="B852" s="149"/>
      <c r="C852" s="149"/>
    </row>
    <row r="853" spans="2:3" ht="13.2">
      <c r="B853" s="149"/>
      <c r="C853" s="149"/>
    </row>
    <row r="854" spans="2:3" ht="13.2">
      <c r="B854" s="149"/>
      <c r="C854" s="149"/>
    </row>
    <row r="855" spans="2:3" ht="13.2">
      <c r="B855" s="149"/>
      <c r="C855" s="149"/>
    </row>
    <row r="856" spans="2:3" ht="13.2">
      <c r="B856" s="149"/>
      <c r="C856" s="149"/>
    </row>
    <row r="857" spans="2:3" ht="13.2">
      <c r="B857" s="149"/>
      <c r="C857" s="149"/>
    </row>
    <row r="858" spans="2:3" ht="13.2">
      <c r="B858" s="149"/>
      <c r="C858" s="149"/>
    </row>
    <row r="859" spans="2:3" ht="13.2">
      <c r="B859" s="149"/>
      <c r="C859" s="149"/>
    </row>
    <row r="860" spans="2:3" ht="13.2">
      <c r="B860" s="149"/>
      <c r="C860" s="149"/>
    </row>
    <row r="861" spans="2:3" ht="13.2">
      <c r="B861" s="149"/>
      <c r="C861" s="149"/>
    </row>
    <row r="862" spans="2:3" ht="13.2">
      <c r="B862" s="149"/>
      <c r="C862" s="149"/>
    </row>
    <row r="863" spans="2:3" ht="13.2">
      <c r="B863" s="149"/>
      <c r="C863" s="149"/>
    </row>
    <row r="864" spans="2:3" ht="13.2">
      <c r="B864" s="149"/>
      <c r="C864" s="149"/>
    </row>
    <row r="865" spans="2:3" ht="13.2">
      <c r="B865" s="149"/>
      <c r="C865" s="149"/>
    </row>
    <row r="866" spans="2:3" ht="13.2">
      <c r="B866" s="149"/>
      <c r="C866" s="149"/>
    </row>
    <row r="867" spans="2:3" ht="13.2">
      <c r="B867" s="149"/>
      <c r="C867" s="149"/>
    </row>
    <row r="868" spans="2:3" ht="13.2">
      <c r="B868" s="149"/>
      <c r="C868" s="149"/>
    </row>
    <row r="869" spans="2:3" ht="13.2">
      <c r="B869" s="149"/>
      <c r="C869" s="149"/>
    </row>
    <row r="870" spans="2:3" ht="13.2">
      <c r="B870" s="149"/>
      <c r="C870" s="149"/>
    </row>
    <row r="871" spans="2:3" ht="13.2">
      <c r="B871" s="149"/>
      <c r="C871" s="149"/>
    </row>
    <row r="872" spans="2:3" ht="13.2">
      <c r="B872" s="149"/>
      <c r="C872" s="149"/>
    </row>
    <row r="873" spans="2:3" ht="13.2">
      <c r="B873" s="149"/>
      <c r="C873" s="149"/>
    </row>
    <row r="874" spans="2:3" ht="13.2">
      <c r="B874" s="149"/>
      <c r="C874" s="149"/>
    </row>
    <row r="875" spans="2:3" ht="13.2">
      <c r="B875" s="149"/>
      <c r="C875" s="149"/>
    </row>
    <row r="876" spans="2:3" ht="13.2">
      <c r="B876" s="149"/>
      <c r="C876" s="149"/>
    </row>
    <row r="877" spans="2:3" ht="13.2">
      <c r="B877" s="149"/>
      <c r="C877" s="149"/>
    </row>
    <row r="878" spans="2:3" ht="13.2">
      <c r="B878" s="149"/>
      <c r="C878" s="149"/>
    </row>
    <row r="879" spans="2:3" ht="13.2">
      <c r="B879" s="149"/>
      <c r="C879" s="149"/>
    </row>
    <row r="880" spans="2:3" ht="13.2">
      <c r="B880" s="149"/>
      <c r="C880" s="149"/>
    </row>
    <row r="881" spans="2:3" ht="13.2">
      <c r="B881" s="149"/>
      <c r="C881" s="149"/>
    </row>
    <row r="882" spans="2:3" ht="13.2">
      <c r="B882" s="149"/>
      <c r="C882" s="149"/>
    </row>
    <row r="883" spans="2:3" ht="13.2">
      <c r="B883" s="149"/>
      <c r="C883" s="149"/>
    </row>
    <row r="884" spans="2:3" ht="13.2">
      <c r="B884" s="149"/>
      <c r="C884" s="149"/>
    </row>
    <row r="885" spans="2:3" ht="13.2">
      <c r="B885" s="149"/>
      <c r="C885" s="149"/>
    </row>
    <row r="886" spans="2:3" ht="13.2">
      <c r="B886" s="149"/>
      <c r="C886" s="149"/>
    </row>
    <row r="887" spans="2:3" ht="13.2">
      <c r="B887" s="149"/>
      <c r="C887" s="149"/>
    </row>
    <row r="888" spans="2:3" ht="13.2">
      <c r="B888" s="149"/>
      <c r="C888" s="149"/>
    </row>
    <row r="889" spans="2:3" ht="13.2">
      <c r="B889" s="149"/>
      <c r="C889" s="149"/>
    </row>
    <row r="890" spans="2:3" ht="13.2">
      <c r="B890" s="149"/>
      <c r="C890" s="149"/>
    </row>
    <row r="891" spans="2:3" ht="13.2">
      <c r="B891" s="149"/>
      <c r="C891" s="149"/>
    </row>
    <row r="892" spans="2:3" ht="13.2">
      <c r="B892" s="149"/>
      <c r="C892" s="149"/>
    </row>
    <row r="893" spans="2:3" ht="13.2">
      <c r="B893" s="149"/>
      <c r="C893" s="149"/>
    </row>
    <row r="894" spans="2:3" ht="13.2">
      <c r="B894" s="149"/>
      <c r="C894" s="149"/>
    </row>
    <row r="895" spans="2:3" ht="13.2">
      <c r="B895" s="149"/>
      <c r="C895" s="149"/>
    </row>
    <row r="896" spans="2:3" ht="13.2">
      <c r="B896" s="149"/>
      <c r="C896" s="149"/>
    </row>
    <row r="897" spans="2:3" ht="13.2">
      <c r="B897" s="149"/>
      <c r="C897" s="149"/>
    </row>
    <row r="898" spans="2:3" ht="13.2">
      <c r="B898" s="149"/>
      <c r="C898" s="149"/>
    </row>
    <row r="899" spans="2:3" ht="13.2">
      <c r="B899" s="149"/>
      <c r="C899" s="149"/>
    </row>
    <row r="900" spans="2:3" ht="13.2">
      <c r="B900" s="149"/>
      <c r="C900" s="149"/>
    </row>
    <row r="901" spans="2:3" ht="13.2">
      <c r="B901" s="149"/>
      <c r="C901" s="149"/>
    </row>
    <row r="902" spans="2:3" ht="13.2">
      <c r="B902" s="149"/>
      <c r="C902" s="149"/>
    </row>
    <row r="903" spans="2:3" ht="13.2">
      <c r="B903" s="149"/>
      <c r="C903" s="149"/>
    </row>
    <row r="904" spans="2:3" ht="13.2">
      <c r="B904" s="149"/>
      <c r="C904" s="149"/>
    </row>
    <row r="905" spans="2:3" ht="13.2">
      <c r="B905" s="149"/>
      <c r="C905" s="149"/>
    </row>
    <row r="906" spans="2:3" ht="13.2">
      <c r="B906" s="149"/>
      <c r="C906" s="149"/>
    </row>
    <row r="907" spans="2:3" ht="13.2">
      <c r="B907" s="149"/>
      <c r="C907" s="149"/>
    </row>
    <row r="908" spans="2:3" ht="13.2">
      <c r="B908" s="149"/>
      <c r="C908" s="149"/>
    </row>
    <row r="909" spans="2:3" ht="13.2">
      <c r="B909" s="149"/>
      <c r="C909" s="149"/>
    </row>
    <row r="910" spans="2:3" ht="13.2">
      <c r="B910" s="149"/>
      <c r="C910" s="149"/>
    </row>
    <row r="911" spans="2:3" ht="13.2">
      <c r="B911" s="149"/>
      <c r="C911" s="149"/>
    </row>
    <row r="912" spans="2:3" ht="13.2">
      <c r="B912" s="149"/>
      <c r="C912" s="149"/>
    </row>
    <row r="913" spans="2:3" ht="13.2">
      <c r="B913" s="149"/>
      <c r="C913" s="149"/>
    </row>
    <row r="914" spans="2:3" ht="13.2">
      <c r="B914" s="149"/>
      <c r="C914" s="149"/>
    </row>
    <row r="915" spans="2:3" ht="13.2">
      <c r="B915" s="149"/>
      <c r="C915" s="149"/>
    </row>
    <row r="916" spans="2:3" ht="13.2">
      <c r="B916" s="149"/>
      <c r="C916" s="149"/>
    </row>
    <row r="917" spans="2:3" ht="13.2">
      <c r="B917" s="149"/>
      <c r="C917" s="149"/>
    </row>
    <row r="918" spans="2:3" ht="13.2">
      <c r="B918" s="149"/>
      <c r="C918" s="149"/>
    </row>
    <row r="919" spans="2:3" ht="13.2">
      <c r="B919" s="149"/>
      <c r="C919" s="149"/>
    </row>
    <row r="920" spans="2:3" ht="13.2">
      <c r="B920" s="149"/>
      <c r="C920" s="149"/>
    </row>
    <row r="921" spans="2:3" ht="13.2">
      <c r="B921" s="149"/>
      <c r="C921" s="149"/>
    </row>
    <row r="922" spans="2:3" ht="13.2">
      <c r="B922" s="149"/>
      <c r="C922" s="149"/>
    </row>
    <row r="923" spans="2:3" ht="13.2">
      <c r="B923" s="149"/>
      <c r="C923" s="149"/>
    </row>
    <row r="924" spans="2:3" ht="13.2">
      <c r="B924" s="149"/>
      <c r="C924" s="149"/>
    </row>
    <row r="925" spans="2:3" ht="13.2">
      <c r="B925" s="149"/>
      <c r="C925" s="149"/>
    </row>
    <row r="926" spans="2:3" ht="13.2">
      <c r="B926" s="149"/>
      <c r="C926" s="149"/>
    </row>
    <row r="927" spans="2:3" ht="13.2">
      <c r="B927" s="149"/>
      <c r="C927" s="149"/>
    </row>
    <row r="928" spans="2:3" ht="13.2">
      <c r="B928" s="149"/>
      <c r="C928" s="149"/>
    </row>
    <row r="929" spans="2:3" ht="13.2">
      <c r="B929" s="149"/>
      <c r="C929" s="149"/>
    </row>
    <row r="930" spans="2:3" ht="13.2">
      <c r="B930" s="149"/>
      <c r="C930" s="149"/>
    </row>
    <row r="931" spans="2:3" ht="13.2">
      <c r="B931" s="149"/>
      <c r="C931" s="149"/>
    </row>
    <row r="932" spans="2:3" ht="13.2">
      <c r="B932" s="149"/>
      <c r="C932" s="149"/>
    </row>
    <row r="933" spans="2:3" ht="13.2">
      <c r="B933" s="149"/>
      <c r="C933" s="149"/>
    </row>
    <row r="934" spans="2:3" ht="13.2">
      <c r="B934" s="149"/>
      <c r="C934" s="149"/>
    </row>
    <row r="935" spans="2:3" ht="13.2">
      <c r="B935" s="149"/>
      <c r="C935" s="149"/>
    </row>
    <row r="936" spans="2:3" ht="13.2">
      <c r="B936" s="149"/>
      <c r="C936" s="149"/>
    </row>
    <row r="937" spans="2:3" ht="13.2">
      <c r="B937" s="149"/>
      <c r="C937" s="149"/>
    </row>
    <row r="938" spans="2:3" ht="13.2">
      <c r="B938" s="149"/>
      <c r="C938" s="149"/>
    </row>
    <row r="939" spans="2:3" ht="13.2">
      <c r="B939" s="149"/>
      <c r="C939" s="149"/>
    </row>
    <row r="940" spans="2:3" ht="13.2">
      <c r="B940" s="149"/>
      <c r="C940" s="149"/>
    </row>
    <row r="941" spans="2:3" ht="13.2">
      <c r="B941" s="149"/>
      <c r="C941" s="149"/>
    </row>
    <row r="942" spans="2:3" ht="13.2">
      <c r="B942" s="149"/>
      <c r="C942" s="149"/>
    </row>
    <row r="943" spans="2:3" ht="13.2">
      <c r="B943" s="149"/>
      <c r="C943" s="149"/>
    </row>
    <row r="944" spans="2:3" ht="13.2">
      <c r="B944" s="149"/>
      <c r="C944" s="149"/>
    </row>
    <row r="945" spans="2:3" ht="13.2">
      <c r="B945" s="149"/>
      <c r="C945" s="149"/>
    </row>
    <row r="946" spans="2:3" ht="13.2">
      <c r="B946" s="149"/>
      <c r="C946" s="149"/>
    </row>
    <row r="947" spans="2:3" ht="13.2">
      <c r="B947" s="149"/>
      <c r="C947" s="149"/>
    </row>
    <row r="948" spans="2:3" ht="13.2">
      <c r="B948" s="149"/>
      <c r="C948" s="149"/>
    </row>
    <row r="949" spans="2:3" ht="13.2">
      <c r="B949" s="149"/>
      <c r="C949" s="149"/>
    </row>
    <row r="950" spans="2:3" ht="13.2">
      <c r="B950" s="149"/>
      <c r="C950" s="149"/>
    </row>
    <row r="951" spans="2:3" ht="13.2">
      <c r="B951" s="149"/>
      <c r="C951" s="149"/>
    </row>
    <row r="952" spans="2:3" ht="13.2">
      <c r="B952" s="149"/>
      <c r="C952" s="149"/>
    </row>
    <row r="953" spans="2:3" ht="13.2">
      <c r="B953" s="149"/>
      <c r="C953" s="149"/>
    </row>
    <row r="954" spans="2:3" ht="13.2">
      <c r="B954" s="149"/>
      <c r="C954" s="149"/>
    </row>
    <row r="955" spans="2:3" ht="13.2">
      <c r="B955" s="149"/>
      <c r="C955" s="149"/>
    </row>
    <row r="956" spans="2:3" ht="13.2">
      <c r="B956" s="149"/>
      <c r="C956" s="149"/>
    </row>
    <row r="957" spans="2:3" ht="13.2">
      <c r="B957" s="149"/>
      <c r="C957" s="149"/>
    </row>
    <row r="958" spans="2:3" ht="13.2">
      <c r="B958" s="149"/>
      <c r="C958" s="149"/>
    </row>
    <row r="959" spans="2:3" ht="13.2">
      <c r="B959" s="149"/>
      <c r="C959" s="149"/>
    </row>
    <row r="960" spans="2:3" ht="13.2">
      <c r="B960" s="149"/>
      <c r="C960" s="149"/>
    </row>
    <row r="961" spans="2:3" ht="13.2">
      <c r="B961" s="149"/>
      <c r="C961" s="149"/>
    </row>
    <row r="962" spans="2:3" ht="13.2">
      <c r="B962" s="149"/>
      <c r="C962" s="149"/>
    </row>
    <row r="963" spans="2:3" ht="13.2">
      <c r="B963" s="149"/>
      <c r="C963" s="149"/>
    </row>
    <row r="964" spans="2:3" ht="13.2">
      <c r="B964" s="149"/>
      <c r="C964" s="149"/>
    </row>
    <row r="965" spans="2:3" ht="13.2">
      <c r="B965" s="149"/>
      <c r="C965" s="149"/>
    </row>
    <row r="966" spans="2:3" ht="13.2">
      <c r="B966" s="149"/>
      <c r="C966" s="149"/>
    </row>
    <row r="967" spans="2:3" ht="13.2">
      <c r="B967" s="149"/>
      <c r="C967" s="149"/>
    </row>
    <row r="968" spans="2:3" ht="13.2">
      <c r="B968" s="149"/>
      <c r="C968" s="149"/>
    </row>
    <row r="969" spans="2:3" ht="13.2">
      <c r="B969" s="149"/>
      <c r="C969" s="149"/>
    </row>
    <row r="970" spans="2:3" ht="13.2">
      <c r="B970" s="149"/>
      <c r="C970" s="149"/>
    </row>
    <row r="971" spans="2:3" ht="13.2">
      <c r="B971" s="149"/>
      <c r="C971" s="149"/>
    </row>
    <row r="972" spans="2:3" ht="13.2">
      <c r="B972" s="149"/>
      <c r="C972" s="149"/>
    </row>
    <row r="973" spans="2:3" ht="13.2">
      <c r="B973" s="149"/>
      <c r="C973" s="149"/>
    </row>
    <row r="974" spans="2:3" ht="13.2">
      <c r="B974" s="149"/>
      <c r="C974" s="149"/>
    </row>
    <row r="975" spans="2:3" ht="13.2">
      <c r="B975" s="149"/>
      <c r="C975" s="149"/>
    </row>
    <row r="976" spans="2:3" ht="13.2">
      <c r="B976" s="149"/>
      <c r="C976" s="149"/>
    </row>
    <row r="977" spans="2:3" ht="13.2">
      <c r="B977" s="149"/>
      <c r="C977" s="149"/>
    </row>
  </sheetData>
  <mergeCells count="4">
    <mergeCell ref="A1:AA1"/>
    <mergeCell ref="A2:AA2"/>
    <mergeCell ref="D3:E3"/>
    <mergeCell ref="F3:Z3"/>
  </mergeCells>
  <pageMargins left="0.25" right="0.25" top="0.75" bottom="0.75" header="0" footer="0"/>
  <pageSetup paperSize="9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5"/>
  <sheetViews>
    <sheetView topLeftCell="F1" workbookViewId="0">
      <pane ySplit="4" topLeftCell="A18" activePane="bottomLeft" state="frozen"/>
      <selection pane="bottomLeft" activeCell="V29" sqref="V29"/>
    </sheetView>
  </sheetViews>
  <sheetFormatPr defaultColWidth="12.6640625" defaultRowHeight="15" customHeight="1"/>
  <cols>
    <col min="1" max="1" width="4.33203125" customWidth="1"/>
    <col min="2" max="2" width="12" customWidth="1"/>
    <col min="3" max="3" width="31.88671875" customWidth="1"/>
    <col min="4" max="4" width="16.33203125" customWidth="1"/>
    <col min="5" max="5" width="13.6640625" customWidth="1"/>
    <col min="6" max="6" width="8" customWidth="1"/>
    <col min="7" max="8" width="7.88671875" customWidth="1"/>
    <col min="9" max="9" width="8.6640625" customWidth="1"/>
    <col min="10" max="10" width="8" customWidth="1"/>
    <col min="11" max="11" width="7.88671875" customWidth="1"/>
    <col min="12" max="12" width="8.33203125" customWidth="1"/>
    <col min="13" max="13" width="6.6640625" customWidth="1"/>
    <col min="14" max="21" width="8.44140625" customWidth="1"/>
    <col min="22" max="25" width="13.109375" customWidth="1"/>
    <col min="26" max="26" width="18.109375" customWidth="1"/>
    <col min="27" max="27" width="19.6640625" customWidth="1"/>
    <col min="28" max="46" width="14.33203125" customWidth="1"/>
  </cols>
  <sheetData>
    <row r="1" spans="1:46" ht="23.25" customHeight="1">
      <c r="A1" s="260" t="s">
        <v>127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46" ht="26.25" customHeight="1">
      <c r="A2" s="264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</row>
    <row r="3" spans="1:46" ht="32.25" customHeight="1">
      <c r="A3" s="163"/>
      <c r="B3" s="203"/>
      <c r="C3" s="163" t="s">
        <v>203</v>
      </c>
      <c r="D3" s="265" t="s">
        <v>71</v>
      </c>
      <c r="E3" s="262"/>
      <c r="F3" s="267" t="s">
        <v>128</v>
      </c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2"/>
      <c r="AA3" s="204"/>
    </row>
    <row r="4" spans="1:46" ht="63" customHeight="1">
      <c r="A4" s="205" t="s">
        <v>2</v>
      </c>
      <c r="B4" s="205" t="s">
        <v>3</v>
      </c>
      <c r="C4" s="206" t="s">
        <v>4</v>
      </c>
      <c r="D4" s="203" t="s">
        <v>129</v>
      </c>
      <c r="E4" s="203" t="s">
        <v>125</v>
      </c>
      <c r="F4" s="163" t="s">
        <v>75</v>
      </c>
      <c r="G4" s="163" t="s">
        <v>85</v>
      </c>
      <c r="H4" s="163" t="s">
        <v>84</v>
      </c>
      <c r="I4" s="163" t="s">
        <v>76</v>
      </c>
      <c r="J4" s="163" t="s">
        <v>77</v>
      </c>
      <c r="K4" s="163" t="s">
        <v>78</v>
      </c>
      <c r="L4" s="163" t="s">
        <v>103</v>
      </c>
      <c r="M4" s="163" t="s">
        <v>79</v>
      </c>
      <c r="N4" s="163" t="s">
        <v>80</v>
      </c>
      <c r="O4" s="163" t="s">
        <v>83</v>
      </c>
      <c r="P4" s="163" t="s">
        <v>102</v>
      </c>
      <c r="Q4" s="163" t="s">
        <v>100</v>
      </c>
      <c r="R4" s="163" t="s">
        <v>99</v>
      </c>
      <c r="S4" s="163" t="s">
        <v>104</v>
      </c>
      <c r="T4" s="163" t="s">
        <v>86</v>
      </c>
      <c r="U4" s="163" t="s">
        <v>82</v>
      </c>
      <c r="V4" s="163" t="s">
        <v>87</v>
      </c>
      <c r="W4" s="163" t="s">
        <v>101</v>
      </c>
      <c r="X4" s="163" t="s">
        <v>268</v>
      </c>
      <c r="Y4" s="163" t="s">
        <v>270</v>
      </c>
      <c r="Z4" s="163" t="s">
        <v>126</v>
      </c>
      <c r="AA4" s="203" t="s">
        <v>107</v>
      </c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</row>
    <row r="5" spans="1:46" ht="18.75" customHeight="1">
      <c r="A5" s="169">
        <v>1</v>
      </c>
      <c r="B5" s="168">
        <f>CSE4098C_Summer2026_Grade!B5</f>
        <v>223014152</v>
      </c>
      <c r="C5" s="168" t="str">
        <f>CSE4098C_Summer2026_Grade!C5</f>
        <v>Ahadul Islam Rahul</v>
      </c>
      <c r="D5" s="169">
        <v>0</v>
      </c>
      <c r="E5" s="170">
        <f t="shared" ref="E5:E69" si="0">ROUND((50*D5)/12,2)</f>
        <v>0</v>
      </c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207"/>
      <c r="T5" s="207"/>
      <c r="U5" s="207"/>
      <c r="V5" s="207"/>
      <c r="W5" s="207"/>
      <c r="X5" s="207"/>
      <c r="Y5" s="207"/>
      <c r="Z5" s="208" t="e">
        <f t="shared" ref="Z5:Z69" si="1">ROUND((50*AVERAGE(F5:V5))/12,2)</f>
        <v>#DIV/0!</v>
      </c>
      <c r="AA5" s="209" t="e">
        <f t="shared" ref="AA5:AA69" si="2">ROUND((E5*60%+Z5*40%),2)</f>
        <v>#DIV/0!</v>
      </c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18.75" customHeight="1">
      <c r="A6" s="169">
        <f t="shared" ref="A6:A69" si="3">A5+1</f>
        <v>2</v>
      </c>
      <c r="B6" s="168">
        <f>CSE4098C_Summer2026_Grade!B6</f>
        <v>223014049</v>
      </c>
      <c r="C6" s="168" t="str">
        <f>CSE4098C_Summer2026_Grade!C6</f>
        <v>Md. Sojib Al Hasan</v>
      </c>
      <c r="D6" s="169">
        <v>0</v>
      </c>
      <c r="E6" s="170">
        <f t="shared" si="0"/>
        <v>0</v>
      </c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207"/>
      <c r="T6" s="207"/>
      <c r="U6" s="207"/>
      <c r="V6" s="207"/>
      <c r="W6" s="207"/>
      <c r="X6" s="207"/>
      <c r="Y6" s="207"/>
      <c r="Z6" s="208" t="e">
        <f t="shared" si="1"/>
        <v>#DIV/0!</v>
      </c>
      <c r="AA6" s="209" t="e">
        <f t="shared" si="2"/>
        <v>#DIV/0!</v>
      </c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</row>
    <row r="7" spans="1:46" ht="18.75" customHeight="1">
      <c r="A7" s="169">
        <f t="shared" si="3"/>
        <v>3</v>
      </c>
      <c r="B7" s="168">
        <f>CSE4098C_Summer2026_Grade!B7</f>
        <v>222014039</v>
      </c>
      <c r="C7" s="168" t="str">
        <f>CSE4098C_Summer2026_Grade!C7</f>
        <v>Nadia Akter Jui</v>
      </c>
      <c r="D7" s="169">
        <v>0</v>
      </c>
      <c r="E7" s="170">
        <f t="shared" si="0"/>
        <v>0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207"/>
      <c r="T7" s="207"/>
      <c r="U7" s="207"/>
      <c r="V7" s="207"/>
      <c r="W7" s="207"/>
      <c r="X7" s="207"/>
      <c r="Y7" s="207"/>
      <c r="Z7" s="208" t="e">
        <f t="shared" si="1"/>
        <v>#DIV/0!</v>
      </c>
      <c r="AA7" s="209" t="e">
        <f t="shared" si="2"/>
        <v>#DIV/0!</v>
      </c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</row>
    <row r="8" spans="1:46" ht="18.75" customHeight="1">
      <c r="A8" s="169">
        <f t="shared" si="3"/>
        <v>4</v>
      </c>
      <c r="B8" s="168">
        <f>CSE4098C_Summer2026_Grade!B8</f>
        <v>222014012</v>
      </c>
      <c r="C8" s="168" t="str">
        <f>CSE4098C_Summer2026_Grade!C8</f>
        <v>Md. Minhazul Islam</v>
      </c>
      <c r="D8" s="169">
        <v>0</v>
      </c>
      <c r="E8" s="170">
        <f t="shared" si="0"/>
        <v>0</v>
      </c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207"/>
      <c r="T8" s="207"/>
      <c r="U8" s="207"/>
      <c r="V8" s="207"/>
      <c r="W8" s="207"/>
      <c r="X8" s="207"/>
      <c r="Y8" s="207"/>
      <c r="Z8" s="208" t="e">
        <f t="shared" si="1"/>
        <v>#DIV/0!</v>
      </c>
      <c r="AA8" s="209" t="e">
        <f t="shared" si="2"/>
        <v>#DIV/0!</v>
      </c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</row>
    <row r="9" spans="1:46" ht="18.75" customHeight="1">
      <c r="A9" s="169">
        <f t="shared" si="3"/>
        <v>5</v>
      </c>
      <c r="B9" s="168">
        <f>CSE4098C_Summer2026_Grade!B9</f>
        <v>222014096</v>
      </c>
      <c r="C9" s="168" t="str">
        <f>CSE4098C_Summer2026_Grade!C9</f>
        <v>Md. Shams Arefin</v>
      </c>
      <c r="D9" s="169">
        <v>0</v>
      </c>
      <c r="E9" s="170">
        <f t="shared" si="0"/>
        <v>0</v>
      </c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207"/>
      <c r="T9" s="207"/>
      <c r="U9" s="207"/>
      <c r="V9" s="207"/>
      <c r="W9" s="207"/>
      <c r="X9" s="207"/>
      <c r="Y9" s="207"/>
      <c r="Z9" s="208" t="e">
        <f t="shared" si="1"/>
        <v>#DIV/0!</v>
      </c>
      <c r="AA9" s="209" t="e">
        <f t="shared" si="2"/>
        <v>#DIV/0!</v>
      </c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</row>
    <row r="10" spans="1:46" ht="18.75" customHeight="1">
      <c r="A10" s="169">
        <f t="shared" si="3"/>
        <v>6</v>
      </c>
      <c r="B10" s="168">
        <f>CSE4098C_Summer2026_Grade!B10</f>
        <v>221014135</v>
      </c>
      <c r="C10" s="168" t="str">
        <f>CSE4098C_Summer2026_Grade!C10</f>
        <v>Aminul Islam</v>
      </c>
      <c r="D10" s="169">
        <v>0</v>
      </c>
      <c r="E10" s="170">
        <f t="shared" si="0"/>
        <v>0</v>
      </c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207"/>
      <c r="T10" s="207"/>
      <c r="U10" s="207"/>
      <c r="V10" s="207"/>
      <c r="W10" s="207"/>
      <c r="X10" s="207"/>
      <c r="Y10" s="207"/>
      <c r="Z10" s="208" t="e">
        <f t="shared" si="1"/>
        <v>#DIV/0!</v>
      </c>
      <c r="AA10" s="209" t="e">
        <f t="shared" si="2"/>
        <v>#DIV/0!</v>
      </c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</row>
    <row r="11" spans="1:46" ht="18.75" customHeight="1">
      <c r="A11" s="169">
        <f t="shared" si="3"/>
        <v>7</v>
      </c>
      <c r="B11" s="168">
        <f>CSE4098C_Summer2026_Grade!B11</f>
        <v>221014018</v>
      </c>
      <c r="C11" s="168" t="str">
        <f>CSE4098C_Summer2026_Grade!C11</f>
        <v>Israfill Hossain Mehedi</v>
      </c>
      <c r="D11" s="169">
        <v>0</v>
      </c>
      <c r="E11" s="170">
        <f t="shared" si="0"/>
        <v>0</v>
      </c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207"/>
      <c r="T11" s="207"/>
      <c r="U11" s="207"/>
      <c r="V11" s="207"/>
      <c r="W11" s="207"/>
      <c r="X11" s="207"/>
      <c r="Y11" s="207"/>
      <c r="Z11" s="208" t="e">
        <f t="shared" si="1"/>
        <v>#DIV/0!</v>
      </c>
      <c r="AA11" s="209" t="e">
        <f t="shared" si="2"/>
        <v>#DIV/0!</v>
      </c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</row>
    <row r="12" spans="1:46" ht="18.75" customHeight="1">
      <c r="A12" s="169">
        <f t="shared" si="3"/>
        <v>8</v>
      </c>
      <c r="B12" s="168">
        <f>CSE4098C_Summer2026_Grade!B12</f>
        <v>221014008</v>
      </c>
      <c r="C12" s="168" t="str">
        <f>CSE4098C_Summer2026_Grade!C12</f>
        <v>Mahmudul Hasan Dipto</v>
      </c>
      <c r="D12" s="169">
        <v>0</v>
      </c>
      <c r="E12" s="170">
        <f t="shared" si="0"/>
        <v>0</v>
      </c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207"/>
      <c r="T12" s="207"/>
      <c r="U12" s="207"/>
      <c r="V12" s="207"/>
      <c r="W12" s="207"/>
      <c r="X12" s="207"/>
      <c r="Y12" s="207"/>
      <c r="Z12" s="208" t="e">
        <f t="shared" si="1"/>
        <v>#DIV/0!</v>
      </c>
      <c r="AA12" s="209" t="e">
        <f t="shared" si="2"/>
        <v>#DIV/0!</v>
      </c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</row>
    <row r="13" spans="1:46" ht="18.75" customHeight="1">
      <c r="A13" s="169">
        <f t="shared" si="3"/>
        <v>9</v>
      </c>
      <c r="B13" s="168">
        <f>CSE4098C_Summer2026_Grade!B13</f>
        <v>223014142</v>
      </c>
      <c r="C13" s="168" t="str">
        <f>CSE4098C_Summer2026_Grade!C13</f>
        <v>Tamanna Akter</v>
      </c>
      <c r="D13" s="169">
        <v>0</v>
      </c>
      <c r="E13" s="170">
        <f t="shared" si="0"/>
        <v>0</v>
      </c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207"/>
      <c r="T13" s="207"/>
      <c r="U13" s="207"/>
      <c r="V13" s="207"/>
      <c r="W13" s="207"/>
      <c r="X13" s="207"/>
      <c r="Y13" s="207"/>
      <c r="Z13" s="208" t="e">
        <f t="shared" si="1"/>
        <v>#DIV/0!</v>
      </c>
      <c r="AA13" s="209" t="e">
        <f t="shared" si="2"/>
        <v>#DIV/0!</v>
      </c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</row>
    <row r="14" spans="1:46" ht="18.75" customHeight="1">
      <c r="A14" s="169">
        <f t="shared" si="3"/>
        <v>10</v>
      </c>
      <c r="B14" s="168">
        <f>CSE4098C_Summer2026_Grade!B14</f>
        <v>223014204</v>
      </c>
      <c r="C14" s="168" t="str">
        <f>CSE4098C_Summer2026_Grade!C14</f>
        <v>Ashrafun Nahar Rahi</v>
      </c>
      <c r="D14" s="169">
        <v>0</v>
      </c>
      <c r="E14" s="170">
        <f t="shared" si="0"/>
        <v>0</v>
      </c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207"/>
      <c r="T14" s="207"/>
      <c r="U14" s="207"/>
      <c r="V14" s="207"/>
      <c r="W14" s="207"/>
      <c r="X14" s="207"/>
      <c r="Y14" s="207"/>
      <c r="Z14" s="208" t="e">
        <f t="shared" si="1"/>
        <v>#DIV/0!</v>
      </c>
      <c r="AA14" s="209" t="e">
        <f t="shared" si="2"/>
        <v>#DIV/0!</v>
      </c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</row>
    <row r="15" spans="1:46" ht="18.75" customHeight="1">
      <c r="A15" s="169">
        <f t="shared" si="3"/>
        <v>11</v>
      </c>
      <c r="B15" s="168">
        <f>CSE4098C_Summer2026_Grade!B15</f>
        <v>213014052</v>
      </c>
      <c r="C15" s="168" t="str">
        <f>CSE4098C_Summer2026_Grade!C15</f>
        <v>Khuslima Fardush Mony</v>
      </c>
      <c r="D15" s="169">
        <v>0</v>
      </c>
      <c r="E15" s="170">
        <f t="shared" si="0"/>
        <v>0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207"/>
      <c r="T15" s="207"/>
      <c r="U15" s="207"/>
      <c r="V15" s="207"/>
      <c r="W15" s="207"/>
      <c r="X15" s="207"/>
      <c r="Y15" s="207"/>
      <c r="Z15" s="208" t="e">
        <f t="shared" si="1"/>
        <v>#DIV/0!</v>
      </c>
      <c r="AA15" s="209" t="e">
        <f t="shared" si="2"/>
        <v>#DIV/0!</v>
      </c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</row>
    <row r="16" spans="1:46" ht="18.75" customHeight="1">
      <c r="A16" s="169">
        <f t="shared" si="3"/>
        <v>12</v>
      </c>
      <c r="B16" s="168">
        <f>CSE4098C_Summer2026_Grade!B16</f>
        <v>221014035</v>
      </c>
      <c r="C16" s="168" t="str">
        <f>CSE4098C_Summer2026_Grade!C16</f>
        <v>Md. Alif Hossain</v>
      </c>
      <c r="D16" s="169">
        <v>0</v>
      </c>
      <c r="E16" s="170">
        <f t="shared" si="0"/>
        <v>0</v>
      </c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207"/>
      <c r="T16" s="207"/>
      <c r="U16" s="207"/>
      <c r="V16" s="207"/>
      <c r="W16" s="207"/>
      <c r="X16" s="207"/>
      <c r="Y16" s="207"/>
      <c r="Z16" s="208" t="e">
        <f t="shared" si="1"/>
        <v>#DIV/0!</v>
      </c>
      <c r="AA16" s="209" t="e">
        <f t="shared" si="2"/>
        <v>#DIV/0!</v>
      </c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</row>
    <row r="17" spans="1:46" ht="18.75" customHeight="1">
      <c r="A17" s="169">
        <f t="shared" si="3"/>
        <v>13</v>
      </c>
      <c r="B17" s="168">
        <f>CSE4098C_Summer2026_Grade!B17</f>
        <v>223014074</v>
      </c>
      <c r="C17" s="168" t="str">
        <f>CSE4098C_Summer2026_Grade!C17</f>
        <v>Salvir Rahman Ratul</v>
      </c>
      <c r="D17" s="169">
        <v>0</v>
      </c>
      <c r="E17" s="170">
        <f t="shared" si="0"/>
        <v>0</v>
      </c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207"/>
      <c r="T17" s="207"/>
      <c r="U17" s="207"/>
      <c r="V17" s="207"/>
      <c r="W17" s="207"/>
      <c r="X17" s="207"/>
      <c r="Y17" s="207"/>
      <c r="Z17" s="208" t="e">
        <f t="shared" si="1"/>
        <v>#DIV/0!</v>
      </c>
      <c r="AA17" s="209" t="e">
        <f t="shared" si="2"/>
        <v>#DIV/0!</v>
      </c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</row>
    <row r="18" spans="1:46" ht="18.75" customHeight="1">
      <c r="A18" s="169">
        <f t="shared" si="3"/>
        <v>14</v>
      </c>
      <c r="B18" s="168">
        <f>CSE4098C_Summer2026_Grade!B18</f>
        <v>223014133</v>
      </c>
      <c r="C18" s="168" t="str">
        <f>CSE4098C_Summer2026_Grade!C18</f>
        <v>Nancy Drong</v>
      </c>
      <c r="D18" s="169">
        <v>0</v>
      </c>
      <c r="E18" s="170">
        <f t="shared" si="0"/>
        <v>0</v>
      </c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207"/>
      <c r="T18" s="207"/>
      <c r="U18" s="207"/>
      <c r="V18" s="207"/>
      <c r="W18" s="207"/>
      <c r="X18" s="207"/>
      <c r="Y18" s="207"/>
      <c r="Z18" s="208" t="e">
        <f t="shared" si="1"/>
        <v>#DIV/0!</v>
      </c>
      <c r="AA18" s="209" t="e">
        <f t="shared" si="2"/>
        <v>#DIV/0!</v>
      </c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</row>
    <row r="19" spans="1:46" ht="18.75" customHeight="1">
      <c r="A19" s="169">
        <f t="shared" si="3"/>
        <v>15</v>
      </c>
      <c r="B19" s="168">
        <f>CSE4098C_Summer2026_Grade!B19</f>
        <v>223014052</v>
      </c>
      <c r="C19" s="168" t="str">
        <f>CSE4098C_Summer2026_Grade!C19</f>
        <v>Argho Das</v>
      </c>
      <c r="D19" s="169">
        <v>0</v>
      </c>
      <c r="E19" s="170">
        <f t="shared" si="0"/>
        <v>0</v>
      </c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207"/>
      <c r="T19" s="207"/>
      <c r="U19" s="207"/>
      <c r="V19" s="207"/>
      <c r="W19" s="207"/>
      <c r="X19" s="207"/>
      <c r="Y19" s="207"/>
      <c r="Z19" s="208" t="e">
        <f t="shared" si="1"/>
        <v>#DIV/0!</v>
      </c>
      <c r="AA19" s="209" t="e">
        <f t="shared" si="2"/>
        <v>#DIV/0!</v>
      </c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</row>
    <row r="20" spans="1:46" ht="18.75" customHeight="1">
      <c r="A20" s="169">
        <f t="shared" si="3"/>
        <v>16</v>
      </c>
      <c r="B20" s="168">
        <f>CSE4098C_Summer2026_Grade!B20</f>
        <v>223014105</v>
      </c>
      <c r="C20" s="168" t="str">
        <f>CSE4098C_Summer2026_Grade!C20</f>
        <v>Navid Rahman</v>
      </c>
      <c r="D20" s="169">
        <v>0</v>
      </c>
      <c r="E20" s="170">
        <f t="shared" si="0"/>
        <v>0</v>
      </c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207"/>
      <c r="T20" s="207"/>
      <c r="U20" s="207"/>
      <c r="V20" s="207"/>
      <c r="W20" s="207"/>
      <c r="X20" s="207"/>
      <c r="Y20" s="207"/>
      <c r="Z20" s="208" t="e">
        <f t="shared" si="1"/>
        <v>#DIV/0!</v>
      </c>
      <c r="AA20" s="209" t="e">
        <f t="shared" si="2"/>
        <v>#DIV/0!</v>
      </c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</row>
    <row r="21" spans="1:46" ht="18.75" customHeight="1">
      <c r="A21" s="169">
        <f t="shared" si="3"/>
        <v>17</v>
      </c>
      <c r="B21" s="168">
        <f>CSE4098C_Summer2026_Grade!B21</f>
        <v>223014196</v>
      </c>
      <c r="C21" s="168" t="str">
        <f>CSE4098C_Summer2026_Grade!C21</f>
        <v>Shafwan Shadid Khan</v>
      </c>
      <c r="D21" s="169">
        <v>0</v>
      </c>
      <c r="E21" s="170">
        <f t="shared" si="0"/>
        <v>0</v>
      </c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207"/>
      <c r="T21" s="207"/>
      <c r="U21" s="207"/>
      <c r="V21" s="207"/>
      <c r="W21" s="207"/>
      <c r="X21" s="207"/>
      <c r="Y21" s="207"/>
      <c r="Z21" s="208" t="e">
        <f t="shared" si="1"/>
        <v>#DIV/0!</v>
      </c>
      <c r="AA21" s="209" t="e">
        <f t="shared" si="2"/>
        <v>#DIV/0!</v>
      </c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</row>
    <row r="22" spans="1:46" ht="18.75" customHeight="1">
      <c r="A22" s="169">
        <f t="shared" si="3"/>
        <v>18</v>
      </c>
      <c r="B22" s="168">
        <f>CSE4098C_Summer2026_Grade!B22</f>
        <v>201014026</v>
      </c>
      <c r="C22" s="168" t="str">
        <f>CSE4098C_Summer2026_Grade!C22</f>
        <v>Sabbir Hossain</v>
      </c>
      <c r="D22" s="169">
        <v>0</v>
      </c>
      <c r="E22" s="170">
        <f t="shared" si="0"/>
        <v>0</v>
      </c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207"/>
      <c r="T22" s="207"/>
      <c r="U22" s="207"/>
      <c r="V22" s="207"/>
      <c r="W22" s="207"/>
      <c r="X22" s="207"/>
      <c r="Y22" s="207"/>
      <c r="Z22" s="208" t="e">
        <f t="shared" si="1"/>
        <v>#DIV/0!</v>
      </c>
      <c r="AA22" s="209" t="e">
        <f t="shared" si="2"/>
        <v>#DIV/0!</v>
      </c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</row>
    <row r="23" spans="1:46" ht="18.75" customHeight="1">
      <c r="A23" s="169">
        <f t="shared" si="3"/>
        <v>19</v>
      </c>
      <c r="B23" s="168">
        <f>CSE4098C_Summer2026_Grade!B23</f>
        <v>173014054</v>
      </c>
      <c r="C23" s="168" t="str">
        <f>CSE4098C_Summer2026_Grade!C23</f>
        <v>Pranto Sarkar</v>
      </c>
      <c r="D23" s="169">
        <v>0</v>
      </c>
      <c r="E23" s="170">
        <f t="shared" si="0"/>
        <v>0</v>
      </c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207"/>
      <c r="T23" s="207"/>
      <c r="U23" s="207"/>
      <c r="V23" s="207"/>
      <c r="W23" s="207"/>
      <c r="X23" s="207"/>
      <c r="Y23" s="207"/>
      <c r="Z23" s="208" t="e">
        <f t="shared" si="1"/>
        <v>#DIV/0!</v>
      </c>
      <c r="AA23" s="209" t="e">
        <f t="shared" si="2"/>
        <v>#DIV/0!</v>
      </c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</row>
    <row r="24" spans="1:46" ht="18.75" customHeight="1">
      <c r="A24" s="169">
        <f t="shared" si="3"/>
        <v>20</v>
      </c>
      <c r="B24" s="168">
        <f>CSE4098C_Summer2026_Grade!B24</f>
        <v>201014068</v>
      </c>
      <c r="C24" s="168" t="str">
        <f>CSE4098C_Summer2026_Grade!C24</f>
        <v>Shatabdi Mondal Shila</v>
      </c>
      <c r="D24" s="169">
        <v>0</v>
      </c>
      <c r="E24" s="170">
        <f t="shared" si="0"/>
        <v>0</v>
      </c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207"/>
      <c r="T24" s="207"/>
      <c r="U24" s="207"/>
      <c r="V24" s="207"/>
      <c r="W24" s="207"/>
      <c r="X24" s="207"/>
      <c r="Y24" s="207"/>
      <c r="Z24" s="208" t="e">
        <f t="shared" si="1"/>
        <v>#DIV/0!</v>
      </c>
      <c r="AA24" s="209" t="e">
        <f t="shared" si="2"/>
        <v>#DIV/0!</v>
      </c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</row>
    <row r="25" spans="1:46" ht="18.75" customHeight="1">
      <c r="A25" s="169">
        <f t="shared" si="3"/>
        <v>21</v>
      </c>
      <c r="B25" s="168">
        <f>CSE4098C_Summer2026_Grade!B25</f>
        <v>201014030</v>
      </c>
      <c r="C25" s="168" t="str">
        <f>CSE4098C_Summer2026_Grade!C25</f>
        <v>Md. Asiful Islam</v>
      </c>
      <c r="D25" s="169">
        <v>0</v>
      </c>
      <c r="E25" s="170">
        <f t="shared" si="0"/>
        <v>0</v>
      </c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207"/>
      <c r="T25" s="207"/>
      <c r="U25" s="207"/>
      <c r="V25" s="207"/>
      <c r="W25" s="207"/>
      <c r="X25" s="207"/>
      <c r="Y25" s="207"/>
      <c r="Z25" s="208" t="e">
        <f t="shared" si="1"/>
        <v>#DIV/0!</v>
      </c>
      <c r="AA25" s="209" t="e">
        <f t="shared" si="2"/>
        <v>#DIV/0!</v>
      </c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</row>
    <row r="26" spans="1:46" ht="18.75" customHeight="1">
      <c r="A26" s="169">
        <f t="shared" si="3"/>
        <v>22</v>
      </c>
      <c r="B26" s="168">
        <f>CSE4098C_Summer2026_Grade!B26</f>
        <v>201014050</v>
      </c>
      <c r="C26" s="168" t="str">
        <f>CSE4098C_Summer2026_Grade!C26</f>
        <v>Dip Kumar Mondal</v>
      </c>
      <c r="D26" s="169">
        <v>0</v>
      </c>
      <c r="E26" s="170">
        <f t="shared" si="0"/>
        <v>0</v>
      </c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207"/>
      <c r="T26" s="207"/>
      <c r="U26" s="207"/>
      <c r="V26" s="207"/>
      <c r="W26" s="207"/>
      <c r="X26" s="207"/>
      <c r="Y26" s="207"/>
      <c r="Z26" s="208" t="e">
        <f t="shared" si="1"/>
        <v>#DIV/0!</v>
      </c>
      <c r="AA26" s="209" t="e">
        <f t="shared" si="2"/>
        <v>#DIV/0!</v>
      </c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</row>
    <row r="27" spans="1:46" ht="15.75" customHeight="1">
      <c r="A27" s="169">
        <f t="shared" si="3"/>
        <v>23</v>
      </c>
      <c r="B27" s="168">
        <f>CSE4098C_Summer2026_Grade!B27</f>
        <v>223014213</v>
      </c>
      <c r="C27" s="168" t="str">
        <f>CSE4098C_Summer2026_Grade!C27</f>
        <v>Md. Minhazul Islam</v>
      </c>
      <c r="D27" s="169">
        <v>0</v>
      </c>
      <c r="E27" s="170">
        <f t="shared" si="0"/>
        <v>0</v>
      </c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207"/>
      <c r="T27" s="207"/>
      <c r="U27" s="207"/>
      <c r="V27" s="207"/>
      <c r="W27" s="207"/>
      <c r="X27" s="207"/>
      <c r="Y27" s="207"/>
      <c r="Z27" s="208" t="e">
        <f t="shared" si="1"/>
        <v>#DIV/0!</v>
      </c>
      <c r="AA27" s="209" t="e">
        <f t="shared" si="2"/>
        <v>#DIV/0!</v>
      </c>
    </row>
    <row r="28" spans="1:46" ht="18" customHeight="1">
      <c r="A28" s="169">
        <f t="shared" si="3"/>
        <v>24</v>
      </c>
      <c r="B28" s="168">
        <f>CSE4098C_Summer2026_Grade!B28</f>
        <v>223014078</v>
      </c>
      <c r="C28" s="168" t="str">
        <f>CSE4098C_Summer2026_Grade!C28</f>
        <v>Shakhar Das Rony</v>
      </c>
      <c r="D28" s="169">
        <v>0</v>
      </c>
      <c r="E28" s="170">
        <f t="shared" si="0"/>
        <v>0</v>
      </c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207"/>
      <c r="T28" s="207"/>
      <c r="U28" s="207"/>
      <c r="V28" s="207"/>
      <c r="W28" s="207"/>
      <c r="X28" s="207"/>
      <c r="Y28" s="207"/>
      <c r="Z28" s="208" t="e">
        <f t="shared" si="1"/>
        <v>#DIV/0!</v>
      </c>
      <c r="AA28" s="209" t="e">
        <f t="shared" si="2"/>
        <v>#DIV/0!</v>
      </c>
    </row>
    <row r="29" spans="1:46" ht="15" customHeight="1">
      <c r="A29" s="169">
        <f t="shared" si="3"/>
        <v>25</v>
      </c>
      <c r="B29" s="168">
        <f>CSE4098C_Summer2026_Grade!B29</f>
        <v>223014212</v>
      </c>
      <c r="C29" s="168" t="str">
        <f>CSE4098C_Summer2026_Grade!C29</f>
        <v>Md. Tamim Hasan</v>
      </c>
      <c r="D29" s="169">
        <v>0</v>
      </c>
      <c r="E29" s="170">
        <f t="shared" si="0"/>
        <v>0</v>
      </c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207"/>
      <c r="T29" s="207"/>
      <c r="U29" s="207"/>
      <c r="V29" s="207"/>
      <c r="W29" s="207"/>
      <c r="X29" s="207"/>
      <c r="Y29" s="207"/>
      <c r="Z29" s="208" t="e">
        <f t="shared" si="1"/>
        <v>#DIV/0!</v>
      </c>
      <c r="AA29" s="209" t="e">
        <f t="shared" si="2"/>
        <v>#DIV/0!</v>
      </c>
    </row>
    <row r="30" spans="1:46" ht="16.5" customHeight="1">
      <c r="A30" s="169">
        <f t="shared" si="3"/>
        <v>26</v>
      </c>
      <c r="B30" s="168">
        <f>CSE4098C_Summer2026_Grade!B30</f>
        <v>223014110</v>
      </c>
      <c r="C30" s="168" t="str">
        <f>CSE4098C_Summer2026_Grade!C30</f>
        <v>Md. Maruf Hossain</v>
      </c>
      <c r="D30" s="169">
        <v>0</v>
      </c>
      <c r="E30" s="170">
        <f t="shared" si="0"/>
        <v>0</v>
      </c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207"/>
      <c r="T30" s="207"/>
      <c r="U30" s="207"/>
      <c r="V30" s="207"/>
      <c r="W30" s="207"/>
      <c r="X30" s="207"/>
      <c r="Y30" s="207"/>
      <c r="Z30" s="208" t="e">
        <f t="shared" si="1"/>
        <v>#DIV/0!</v>
      </c>
      <c r="AA30" s="209" t="e">
        <f t="shared" si="2"/>
        <v>#DIV/0!</v>
      </c>
    </row>
    <row r="31" spans="1:46" ht="15.75" customHeight="1">
      <c r="A31" s="169">
        <f t="shared" si="3"/>
        <v>27</v>
      </c>
      <c r="B31" s="168">
        <f>CSE4098C_Summer2026_Grade!B31</f>
        <v>223014135</v>
      </c>
      <c r="C31" s="168" t="str">
        <f>CSE4098C_Summer2026_Grade!C31</f>
        <v>Rakibul Hasan</v>
      </c>
      <c r="D31" s="169">
        <v>0</v>
      </c>
      <c r="E31" s="170">
        <f t="shared" si="0"/>
        <v>0</v>
      </c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207"/>
      <c r="T31" s="207"/>
      <c r="U31" s="207"/>
      <c r="V31" s="207"/>
      <c r="W31" s="207"/>
      <c r="X31" s="207"/>
      <c r="Y31" s="207"/>
      <c r="Z31" s="208" t="e">
        <f t="shared" si="1"/>
        <v>#DIV/0!</v>
      </c>
      <c r="AA31" s="209" t="e">
        <f t="shared" si="2"/>
        <v>#DIV/0!</v>
      </c>
    </row>
    <row r="32" spans="1:46" ht="16.5" customHeight="1">
      <c r="A32" s="169">
        <f t="shared" si="3"/>
        <v>28</v>
      </c>
      <c r="B32" s="168">
        <f>CSE4098C_Summer2026_Grade!B32</f>
        <v>223014122</v>
      </c>
      <c r="C32" s="168" t="str">
        <f>CSE4098C_Summer2026_Grade!C32</f>
        <v>Rabbi Sadnan Khan</v>
      </c>
      <c r="D32" s="169">
        <v>0</v>
      </c>
      <c r="E32" s="170">
        <f t="shared" si="0"/>
        <v>0</v>
      </c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207"/>
      <c r="T32" s="207"/>
      <c r="U32" s="207"/>
      <c r="V32" s="207"/>
      <c r="W32" s="207"/>
      <c r="X32" s="207"/>
      <c r="Y32" s="207"/>
      <c r="Z32" s="208" t="e">
        <f t="shared" si="1"/>
        <v>#DIV/0!</v>
      </c>
      <c r="AA32" s="209" t="e">
        <f t="shared" si="2"/>
        <v>#DIV/0!</v>
      </c>
    </row>
    <row r="33" spans="1:27" ht="17.25" customHeight="1">
      <c r="A33" s="169">
        <f t="shared" si="3"/>
        <v>29</v>
      </c>
      <c r="B33" s="168">
        <f>CSE4098C_Summer2026_Grade!B33</f>
        <v>212014030</v>
      </c>
      <c r="C33" s="168" t="str">
        <f>CSE4098C_Summer2026_Grade!C33</f>
        <v>Faria Islam Sara</v>
      </c>
      <c r="D33" s="169">
        <v>0</v>
      </c>
      <c r="E33" s="170">
        <f t="shared" si="0"/>
        <v>0</v>
      </c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207"/>
      <c r="T33" s="207"/>
      <c r="U33" s="207"/>
      <c r="V33" s="207"/>
      <c r="W33" s="207"/>
      <c r="X33" s="207"/>
      <c r="Y33" s="207"/>
      <c r="Z33" s="208" t="e">
        <f t="shared" si="1"/>
        <v>#DIV/0!</v>
      </c>
      <c r="AA33" s="209" t="e">
        <f t="shared" si="2"/>
        <v>#DIV/0!</v>
      </c>
    </row>
    <row r="34" spans="1:27" ht="18" customHeight="1">
      <c r="A34" s="169">
        <f t="shared" si="3"/>
        <v>30</v>
      </c>
      <c r="B34" s="168">
        <f>CSE4098C_Summer2026_Grade!B34</f>
        <v>222014072</v>
      </c>
      <c r="C34" s="168" t="str">
        <f>CSE4098C_Summer2026_Grade!C34</f>
        <v>Md. Rahat Pervez</v>
      </c>
      <c r="D34" s="169">
        <v>0</v>
      </c>
      <c r="E34" s="170">
        <f t="shared" si="0"/>
        <v>0</v>
      </c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207"/>
      <c r="T34" s="207"/>
      <c r="U34" s="207"/>
      <c r="V34" s="207"/>
      <c r="W34" s="207"/>
      <c r="X34" s="207"/>
      <c r="Y34" s="207"/>
      <c r="Z34" s="208" t="e">
        <f t="shared" si="1"/>
        <v>#DIV/0!</v>
      </c>
      <c r="AA34" s="209" t="e">
        <f t="shared" si="2"/>
        <v>#DIV/0!</v>
      </c>
    </row>
    <row r="35" spans="1:27" ht="18" customHeight="1">
      <c r="A35" s="169">
        <f t="shared" si="3"/>
        <v>31</v>
      </c>
      <c r="B35" s="168">
        <f>CSE4098C_Summer2026_Grade!B35</f>
        <v>222014097</v>
      </c>
      <c r="C35" s="168" t="str">
        <f>CSE4098C_Summer2026_Grade!C35</f>
        <v>Md. Abul Hashem</v>
      </c>
      <c r="D35" s="169">
        <v>0</v>
      </c>
      <c r="E35" s="170">
        <f t="shared" si="0"/>
        <v>0</v>
      </c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207"/>
      <c r="T35" s="207"/>
      <c r="U35" s="207"/>
      <c r="V35" s="207"/>
      <c r="W35" s="207"/>
      <c r="X35" s="207"/>
      <c r="Y35" s="207"/>
      <c r="Z35" s="208" t="e">
        <f t="shared" si="1"/>
        <v>#DIV/0!</v>
      </c>
      <c r="AA35" s="209" t="e">
        <f t="shared" si="2"/>
        <v>#DIV/0!</v>
      </c>
    </row>
    <row r="36" spans="1:27" ht="18.75" customHeight="1">
      <c r="A36" s="169">
        <f t="shared" si="3"/>
        <v>32</v>
      </c>
      <c r="B36" s="168">
        <f>CSE4098C_Summer2026_Grade!B36</f>
        <v>222014040</v>
      </c>
      <c r="C36" s="168" t="str">
        <f>CSE4098C_Summer2026_Grade!C36</f>
        <v>Md. Fiaz Anam Tasfi</v>
      </c>
      <c r="D36" s="169">
        <v>0</v>
      </c>
      <c r="E36" s="170">
        <f t="shared" si="0"/>
        <v>0</v>
      </c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207"/>
      <c r="T36" s="207"/>
      <c r="U36" s="207"/>
      <c r="V36" s="207"/>
      <c r="W36" s="207"/>
      <c r="X36" s="207"/>
      <c r="Y36" s="207"/>
      <c r="Z36" s="208" t="e">
        <f t="shared" si="1"/>
        <v>#DIV/0!</v>
      </c>
      <c r="AA36" s="209" t="e">
        <f t="shared" si="2"/>
        <v>#DIV/0!</v>
      </c>
    </row>
    <row r="37" spans="1:27" ht="16.5" customHeight="1">
      <c r="A37" s="169">
        <f t="shared" si="3"/>
        <v>33</v>
      </c>
      <c r="B37" s="168">
        <f>CSE4098C_Summer2026_Grade!B37</f>
        <v>222014071</v>
      </c>
      <c r="C37" s="168" t="str">
        <f>CSE4098C_Summer2026_Grade!C37</f>
        <v>Kasfia Hossain</v>
      </c>
      <c r="D37" s="169">
        <v>0</v>
      </c>
      <c r="E37" s="170">
        <f t="shared" si="0"/>
        <v>0</v>
      </c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207"/>
      <c r="T37" s="207"/>
      <c r="U37" s="207"/>
      <c r="V37" s="207"/>
      <c r="W37" s="207"/>
      <c r="X37" s="207"/>
      <c r="Y37" s="207"/>
      <c r="Z37" s="208" t="e">
        <f t="shared" si="1"/>
        <v>#DIV/0!</v>
      </c>
      <c r="AA37" s="209" t="e">
        <f t="shared" si="2"/>
        <v>#DIV/0!</v>
      </c>
    </row>
    <row r="38" spans="1:27" ht="18.75" customHeight="1">
      <c r="A38" s="169">
        <f t="shared" si="3"/>
        <v>34</v>
      </c>
      <c r="B38" s="168">
        <f>CSE4098C_Summer2026_Grade!B38</f>
        <v>223014195</v>
      </c>
      <c r="C38" s="168" t="str">
        <f>CSE4098C_Summer2026_Grade!C38</f>
        <v>Md. Rashedul Islam</v>
      </c>
      <c r="D38" s="169">
        <v>0</v>
      </c>
      <c r="E38" s="170">
        <f t="shared" si="0"/>
        <v>0</v>
      </c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207"/>
      <c r="T38" s="207"/>
      <c r="U38" s="207"/>
      <c r="V38" s="207"/>
      <c r="W38" s="207"/>
      <c r="X38" s="207"/>
      <c r="Y38" s="207"/>
      <c r="Z38" s="208" t="e">
        <f t="shared" si="1"/>
        <v>#DIV/0!</v>
      </c>
      <c r="AA38" s="209" t="e">
        <f t="shared" si="2"/>
        <v>#DIV/0!</v>
      </c>
    </row>
    <row r="39" spans="1:27" ht="17.25" customHeight="1">
      <c r="A39" s="169">
        <f t="shared" si="3"/>
        <v>35</v>
      </c>
      <c r="B39" s="168">
        <f>CSE4098C_Summer2026_Grade!B39</f>
        <v>223014143</v>
      </c>
      <c r="C39" s="168" t="str">
        <f>CSE4098C_Summer2026_Grade!C39</f>
        <v>Upoma Paul</v>
      </c>
      <c r="D39" s="169">
        <v>0</v>
      </c>
      <c r="E39" s="170">
        <f t="shared" si="0"/>
        <v>0</v>
      </c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207"/>
      <c r="T39" s="207"/>
      <c r="U39" s="207"/>
      <c r="V39" s="207"/>
      <c r="W39" s="207"/>
      <c r="X39" s="207"/>
      <c r="Y39" s="207"/>
      <c r="Z39" s="208" t="e">
        <f t="shared" si="1"/>
        <v>#DIV/0!</v>
      </c>
      <c r="AA39" s="209" t="e">
        <f t="shared" si="2"/>
        <v>#DIV/0!</v>
      </c>
    </row>
    <row r="40" spans="1:27" ht="16.5" customHeight="1">
      <c r="A40" s="169">
        <f t="shared" si="3"/>
        <v>36</v>
      </c>
      <c r="B40" s="168">
        <f>CSE4098C_Summer2026_Grade!B40</f>
        <v>231014167</v>
      </c>
      <c r="C40" s="168" t="str">
        <f>CSE4098C_Summer2026_Grade!C40</f>
        <v>Fariha Ahmed</v>
      </c>
      <c r="D40" s="169">
        <v>0</v>
      </c>
      <c r="E40" s="170">
        <f t="shared" si="0"/>
        <v>0</v>
      </c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207"/>
      <c r="T40" s="207"/>
      <c r="U40" s="207"/>
      <c r="V40" s="207"/>
      <c r="W40" s="207"/>
      <c r="X40" s="207"/>
      <c r="Y40" s="207"/>
      <c r="Z40" s="208" t="e">
        <f t="shared" si="1"/>
        <v>#DIV/0!</v>
      </c>
      <c r="AA40" s="209" t="e">
        <f t="shared" si="2"/>
        <v>#DIV/0!</v>
      </c>
    </row>
    <row r="41" spans="1:27" ht="18" customHeight="1">
      <c r="A41" s="169">
        <f t="shared" si="3"/>
        <v>37</v>
      </c>
      <c r="B41" s="168">
        <f>CSE4098C_Summer2026_Grade!B41</f>
        <v>231014073</v>
      </c>
      <c r="C41" s="168" t="str">
        <f>CSE4098C_Summer2026_Grade!C41</f>
        <v>Amifat Juhad Pranto</v>
      </c>
      <c r="D41" s="169">
        <v>0</v>
      </c>
      <c r="E41" s="170">
        <f t="shared" si="0"/>
        <v>0</v>
      </c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207"/>
      <c r="T41" s="207"/>
      <c r="U41" s="207"/>
      <c r="V41" s="207"/>
      <c r="W41" s="207"/>
      <c r="X41" s="207"/>
      <c r="Y41" s="207"/>
      <c r="Z41" s="208" t="e">
        <f t="shared" si="1"/>
        <v>#DIV/0!</v>
      </c>
      <c r="AA41" s="209" t="e">
        <f t="shared" si="2"/>
        <v>#DIV/0!</v>
      </c>
    </row>
    <row r="42" spans="1:27" ht="16.5" customHeight="1">
      <c r="A42" s="169">
        <f t="shared" si="3"/>
        <v>38</v>
      </c>
      <c r="B42" s="168">
        <f>CSE4098C_Summer2026_Grade!B42</f>
        <v>232014058</v>
      </c>
      <c r="C42" s="168" t="str">
        <f>CSE4098C_Summer2026_Grade!C42</f>
        <v>Tasnia Kabir Mahia</v>
      </c>
      <c r="D42" s="169">
        <v>0</v>
      </c>
      <c r="E42" s="170">
        <f t="shared" si="0"/>
        <v>0</v>
      </c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207"/>
      <c r="T42" s="207"/>
      <c r="U42" s="207"/>
      <c r="V42" s="207"/>
      <c r="W42" s="207"/>
      <c r="X42" s="207"/>
      <c r="Y42" s="207"/>
      <c r="Z42" s="208" t="e">
        <f t="shared" si="1"/>
        <v>#DIV/0!</v>
      </c>
      <c r="AA42" s="209" t="e">
        <f t="shared" si="2"/>
        <v>#DIV/0!</v>
      </c>
    </row>
    <row r="43" spans="1:27" ht="18" customHeight="1">
      <c r="A43" s="169">
        <f t="shared" si="3"/>
        <v>39</v>
      </c>
      <c r="B43" s="168">
        <f>CSE4098C_Summer2026_Grade!B43</f>
        <v>223014183</v>
      </c>
      <c r="C43" s="168" t="str">
        <f>CSE4098C_Summer2026_Grade!C43</f>
        <v>Mahbuba Akter Chowdhury</v>
      </c>
      <c r="D43" s="169">
        <v>0</v>
      </c>
      <c r="E43" s="170">
        <f t="shared" si="0"/>
        <v>0</v>
      </c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207"/>
      <c r="T43" s="207"/>
      <c r="U43" s="207"/>
      <c r="V43" s="207"/>
      <c r="W43" s="207"/>
      <c r="X43" s="207"/>
      <c r="Y43" s="207"/>
      <c r="Z43" s="208" t="e">
        <f t="shared" si="1"/>
        <v>#DIV/0!</v>
      </c>
      <c r="AA43" s="209" t="e">
        <f t="shared" si="2"/>
        <v>#DIV/0!</v>
      </c>
    </row>
    <row r="44" spans="1:27" ht="18.75" customHeight="1">
      <c r="A44" s="169">
        <f t="shared" si="3"/>
        <v>40</v>
      </c>
      <c r="B44" s="168">
        <f>CSE4098C_Summer2026_Grade!B44</f>
        <v>223014182</v>
      </c>
      <c r="C44" s="168" t="str">
        <f>CSE4098C_Summer2026_Grade!C44</f>
        <v>Divya Jyoti Bagchi</v>
      </c>
      <c r="D44" s="169">
        <v>0</v>
      </c>
      <c r="E44" s="170">
        <f t="shared" si="0"/>
        <v>0</v>
      </c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207"/>
      <c r="T44" s="207"/>
      <c r="U44" s="207"/>
      <c r="V44" s="207"/>
      <c r="W44" s="207"/>
      <c r="X44" s="207"/>
      <c r="Y44" s="207"/>
      <c r="Z44" s="208" t="e">
        <f t="shared" si="1"/>
        <v>#DIV/0!</v>
      </c>
      <c r="AA44" s="209" t="e">
        <f t="shared" si="2"/>
        <v>#DIV/0!</v>
      </c>
    </row>
    <row r="45" spans="1:27" ht="20.25" customHeight="1">
      <c r="A45" s="169">
        <f t="shared" si="3"/>
        <v>41</v>
      </c>
      <c r="B45" s="168">
        <f>CSE4098C_Summer2026_Grade!B45</f>
        <v>223014127</v>
      </c>
      <c r="C45" s="168" t="str">
        <f>CSE4098C_Summer2026_Grade!C45</f>
        <v>Naznine Sultana Nitu</v>
      </c>
      <c r="D45" s="169">
        <v>0</v>
      </c>
      <c r="E45" s="170">
        <f t="shared" si="0"/>
        <v>0</v>
      </c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207"/>
      <c r="T45" s="207"/>
      <c r="U45" s="207"/>
      <c r="V45" s="207"/>
      <c r="W45" s="207"/>
      <c r="X45" s="207"/>
      <c r="Y45" s="207"/>
      <c r="Z45" s="208" t="e">
        <f t="shared" si="1"/>
        <v>#DIV/0!</v>
      </c>
      <c r="AA45" s="209" t="e">
        <f t="shared" si="2"/>
        <v>#DIV/0!</v>
      </c>
    </row>
    <row r="46" spans="1:27" ht="18" customHeight="1">
      <c r="A46" s="169">
        <f t="shared" si="3"/>
        <v>42</v>
      </c>
      <c r="B46" s="168">
        <f>CSE4098C_Summer2026_Grade!B46</f>
        <v>223014011</v>
      </c>
      <c r="C46" s="168" t="str">
        <f>CSE4098C_Summer2026_Grade!C46</f>
        <v>Fabiha Fayruj</v>
      </c>
      <c r="D46" s="169">
        <v>0</v>
      </c>
      <c r="E46" s="170">
        <f t="shared" si="0"/>
        <v>0</v>
      </c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207"/>
      <c r="T46" s="207"/>
      <c r="U46" s="207"/>
      <c r="V46" s="207"/>
      <c r="W46" s="207"/>
      <c r="X46" s="207"/>
      <c r="Y46" s="207"/>
      <c r="Z46" s="208" t="e">
        <f t="shared" si="1"/>
        <v>#DIV/0!</v>
      </c>
      <c r="AA46" s="209" t="e">
        <f t="shared" si="2"/>
        <v>#DIV/0!</v>
      </c>
    </row>
    <row r="47" spans="1:27" ht="16.5" customHeight="1">
      <c r="A47" s="169">
        <f t="shared" si="3"/>
        <v>43</v>
      </c>
      <c r="B47" s="168">
        <f>CSE4098C_Summer2026_Grade!B47</f>
        <v>231014007</v>
      </c>
      <c r="C47" s="168" t="str">
        <f>CSE4098C_Summer2026_Grade!C47</f>
        <v>Abdullah Al Baki</v>
      </c>
      <c r="D47" s="169">
        <v>0</v>
      </c>
      <c r="E47" s="170">
        <f t="shared" si="0"/>
        <v>0</v>
      </c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207"/>
      <c r="T47" s="207"/>
      <c r="U47" s="207"/>
      <c r="V47" s="207"/>
      <c r="W47" s="207"/>
      <c r="X47" s="207"/>
      <c r="Y47" s="207"/>
      <c r="Z47" s="208" t="e">
        <f t="shared" si="1"/>
        <v>#DIV/0!</v>
      </c>
      <c r="AA47" s="209" t="e">
        <f t="shared" si="2"/>
        <v>#DIV/0!</v>
      </c>
    </row>
    <row r="48" spans="1:27" ht="18.75" customHeight="1">
      <c r="A48" s="169">
        <f t="shared" si="3"/>
        <v>44</v>
      </c>
      <c r="B48" s="168">
        <f>CSE4098C_Summer2026_Grade!B48</f>
        <v>212014015</v>
      </c>
      <c r="C48" s="168" t="str">
        <f>CSE4098C_Summer2026_Grade!C48</f>
        <v>Md. Arif Hossain Mir</v>
      </c>
      <c r="D48" s="169">
        <v>0</v>
      </c>
      <c r="E48" s="170">
        <f t="shared" si="0"/>
        <v>0</v>
      </c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207"/>
      <c r="T48" s="207"/>
      <c r="U48" s="207"/>
      <c r="V48" s="207"/>
      <c r="W48" s="207"/>
      <c r="X48" s="207"/>
      <c r="Y48" s="207"/>
      <c r="Z48" s="208" t="e">
        <f t="shared" si="1"/>
        <v>#DIV/0!</v>
      </c>
      <c r="AA48" s="209" t="e">
        <f t="shared" si="2"/>
        <v>#DIV/0!</v>
      </c>
    </row>
    <row r="49" spans="1:27" ht="17.25" customHeight="1">
      <c r="A49" s="169">
        <f t="shared" si="3"/>
        <v>45</v>
      </c>
      <c r="B49" s="168">
        <f>CSE4098C_Summer2026_Grade!B49</f>
        <v>223014050</v>
      </c>
      <c r="C49" s="168" t="str">
        <f>CSE4098C_Summer2026_Grade!C49</f>
        <v>Isnat Jahan Ome</v>
      </c>
      <c r="D49" s="169">
        <v>0</v>
      </c>
      <c r="E49" s="170">
        <f t="shared" si="0"/>
        <v>0</v>
      </c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207"/>
      <c r="T49" s="207"/>
      <c r="U49" s="207"/>
      <c r="V49" s="207"/>
      <c r="W49" s="207"/>
      <c r="X49" s="207"/>
      <c r="Y49" s="207"/>
      <c r="Z49" s="208" t="e">
        <f t="shared" si="1"/>
        <v>#DIV/0!</v>
      </c>
      <c r="AA49" s="209" t="e">
        <f t="shared" si="2"/>
        <v>#DIV/0!</v>
      </c>
    </row>
    <row r="50" spans="1:27" ht="20.25" customHeight="1">
      <c r="A50" s="169">
        <f t="shared" si="3"/>
        <v>46</v>
      </c>
      <c r="B50" s="168">
        <f>CSE4098C_Summer2026_Grade!B50</f>
        <v>231014075</v>
      </c>
      <c r="C50" s="168" t="str">
        <f>CSE4098C_Summer2026_Grade!C50</f>
        <v>Hasib Mahmud</v>
      </c>
      <c r="D50" s="169">
        <v>0</v>
      </c>
      <c r="E50" s="170">
        <f t="shared" si="0"/>
        <v>0</v>
      </c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207"/>
      <c r="T50" s="207"/>
      <c r="U50" s="207"/>
      <c r="V50" s="207"/>
      <c r="W50" s="207"/>
      <c r="X50" s="207"/>
      <c r="Y50" s="207"/>
      <c r="Z50" s="208" t="e">
        <f t="shared" si="1"/>
        <v>#DIV/0!</v>
      </c>
      <c r="AA50" s="209" t="e">
        <f t="shared" si="2"/>
        <v>#DIV/0!</v>
      </c>
    </row>
    <row r="51" spans="1:27" ht="19.5" customHeight="1">
      <c r="A51" s="169">
        <f t="shared" si="3"/>
        <v>47</v>
      </c>
      <c r="B51" s="168">
        <f>CSE4098C_Summer2026_Grade!B51</f>
        <v>222014052</v>
      </c>
      <c r="C51" s="168" t="str">
        <f>CSE4098C_Summer2026_Grade!C51</f>
        <v>Redwan Ahamad Samir</v>
      </c>
      <c r="D51" s="169">
        <v>0</v>
      </c>
      <c r="E51" s="170">
        <f t="shared" si="0"/>
        <v>0</v>
      </c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207"/>
      <c r="T51" s="207"/>
      <c r="U51" s="207"/>
      <c r="V51" s="207"/>
      <c r="W51" s="207"/>
      <c r="X51" s="207"/>
      <c r="Y51" s="207"/>
      <c r="Z51" s="208" t="e">
        <f t="shared" si="1"/>
        <v>#DIV/0!</v>
      </c>
      <c r="AA51" s="209" t="e">
        <f t="shared" si="2"/>
        <v>#DIV/0!</v>
      </c>
    </row>
    <row r="52" spans="1:27" ht="20.25" customHeight="1">
      <c r="A52" s="169">
        <f t="shared" si="3"/>
        <v>48</v>
      </c>
      <c r="B52" s="168">
        <f>CSE4098C_Summer2026_Grade!B52</f>
        <v>222014009</v>
      </c>
      <c r="C52" s="168" t="str">
        <f>CSE4098C_Summer2026_Grade!C52</f>
        <v>Samia Rahman</v>
      </c>
      <c r="D52" s="169">
        <v>0</v>
      </c>
      <c r="E52" s="170">
        <f t="shared" si="0"/>
        <v>0</v>
      </c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207"/>
      <c r="T52" s="207"/>
      <c r="U52" s="207"/>
      <c r="V52" s="207"/>
      <c r="W52" s="207"/>
      <c r="X52" s="207"/>
      <c r="Y52" s="207"/>
      <c r="Z52" s="208" t="e">
        <f t="shared" si="1"/>
        <v>#DIV/0!</v>
      </c>
      <c r="AA52" s="209" t="e">
        <f t="shared" si="2"/>
        <v>#DIV/0!</v>
      </c>
    </row>
    <row r="53" spans="1:27" ht="21" customHeight="1">
      <c r="A53" s="169">
        <f t="shared" si="3"/>
        <v>49</v>
      </c>
      <c r="B53" s="168">
        <f>CSE4098C_Summer2026_Grade!B53</f>
        <v>222014088</v>
      </c>
      <c r="C53" s="168" t="str">
        <f>CSE4098C_Summer2026_Grade!C53</f>
        <v>Md. Omur Faruk</v>
      </c>
      <c r="D53" s="169">
        <v>0</v>
      </c>
      <c r="E53" s="170">
        <f t="shared" si="0"/>
        <v>0</v>
      </c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207"/>
      <c r="T53" s="207"/>
      <c r="U53" s="207"/>
      <c r="V53" s="207"/>
      <c r="W53" s="207"/>
      <c r="X53" s="207"/>
      <c r="Y53" s="207"/>
      <c r="Z53" s="208" t="e">
        <f t="shared" si="1"/>
        <v>#DIV/0!</v>
      </c>
      <c r="AA53" s="209" t="e">
        <f t="shared" si="2"/>
        <v>#DIV/0!</v>
      </c>
    </row>
    <row r="54" spans="1:27" ht="21" customHeight="1">
      <c r="A54" s="169">
        <f t="shared" si="3"/>
        <v>50</v>
      </c>
      <c r="B54" s="168">
        <f>CSE4098C_Summer2026_Grade!B54</f>
        <v>231014021</v>
      </c>
      <c r="C54" s="168" t="str">
        <f>CSE4098C_Summer2026_Grade!C54</f>
        <v>Raiyan Islam</v>
      </c>
      <c r="D54" s="169">
        <v>0</v>
      </c>
      <c r="E54" s="170">
        <f t="shared" si="0"/>
        <v>0</v>
      </c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207"/>
      <c r="T54" s="207"/>
      <c r="U54" s="207"/>
      <c r="V54" s="207"/>
      <c r="W54" s="207"/>
      <c r="X54" s="207"/>
      <c r="Y54" s="207"/>
      <c r="Z54" s="208" t="e">
        <f t="shared" si="1"/>
        <v>#DIV/0!</v>
      </c>
      <c r="AA54" s="209" t="e">
        <f t="shared" si="2"/>
        <v>#DIV/0!</v>
      </c>
    </row>
    <row r="55" spans="1:27" ht="18.75" customHeight="1">
      <c r="A55" s="169">
        <f t="shared" si="3"/>
        <v>51</v>
      </c>
      <c r="B55" s="168">
        <f>CSE4098C_Summer2026_Grade!B55</f>
        <v>223014086</v>
      </c>
      <c r="C55" s="168" t="str">
        <f>CSE4098C_Summer2026_Grade!C55</f>
        <v>Talat Mahmud Lam</v>
      </c>
      <c r="D55" s="169">
        <v>0</v>
      </c>
      <c r="E55" s="170">
        <f t="shared" si="0"/>
        <v>0</v>
      </c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207"/>
      <c r="T55" s="169"/>
      <c r="U55" s="169"/>
      <c r="V55" s="207"/>
      <c r="W55" s="207"/>
      <c r="X55" s="207"/>
      <c r="Y55" s="207"/>
      <c r="Z55" s="208" t="e">
        <f t="shared" si="1"/>
        <v>#DIV/0!</v>
      </c>
      <c r="AA55" s="209" t="e">
        <f t="shared" si="2"/>
        <v>#DIV/0!</v>
      </c>
    </row>
    <row r="56" spans="1:27" ht="15.75" customHeight="1">
      <c r="A56" s="169">
        <f t="shared" si="3"/>
        <v>52</v>
      </c>
      <c r="B56" s="168">
        <f>CSE4098C_Summer2026_Grade!B56</f>
        <v>223014033</v>
      </c>
      <c r="C56" s="168" t="str">
        <f>CSE4098C_Summer2026_Grade!C56</f>
        <v>Sadia Nuzat Prova</v>
      </c>
      <c r="D56" s="169">
        <v>0</v>
      </c>
      <c r="E56" s="170">
        <f t="shared" si="0"/>
        <v>0</v>
      </c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207"/>
      <c r="T56" s="169"/>
      <c r="U56" s="169"/>
      <c r="V56" s="207"/>
      <c r="W56" s="207"/>
      <c r="X56" s="207"/>
      <c r="Y56" s="207"/>
      <c r="Z56" s="208" t="e">
        <f t="shared" si="1"/>
        <v>#DIV/0!</v>
      </c>
      <c r="AA56" s="209" t="e">
        <f t="shared" si="2"/>
        <v>#DIV/0!</v>
      </c>
    </row>
    <row r="57" spans="1:27" ht="15" customHeight="1">
      <c r="A57" s="169">
        <f t="shared" si="3"/>
        <v>53</v>
      </c>
      <c r="B57" s="168">
        <f>CSE4098C_Summer2026_Grade!B57</f>
        <v>223014042</v>
      </c>
      <c r="C57" s="168" t="str">
        <f>CSE4098C_Summer2026_Grade!C57</f>
        <v>Shahin Alam</v>
      </c>
      <c r="D57" s="169">
        <v>0</v>
      </c>
      <c r="E57" s="170">
        <f t="shared" si="0"/>
        <v>0</v>
      </c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207"/>
      <c r="T57" s="169"/>
      <c r="U57" s="169"/>
      <c r="V57" s="207"/>
      <c r="W57" s="207"/>
      <c r="X57" s="207"/>
      <c r="Y57" s="207"/>
      <c r="Z57" s="208" t="e">
        <f t="shared" si="1"/>
        <v>#DIV/0!</v>
      </c>
      <c r="AA57" s="209" t="e">
        <f t="shared" si="2"/>
        <v>#DIV/0!</v>
      </c>
    </row>
    <row r="58" spans="1:27" ht="15" customHeight="1">
      <c r="A58" s="169">
        <f t="shared" si="3"/>
        <v>54</v>
      </c>
      <c r="B58" s="168">
        <f>CSE4098C_Summer2026_Grade!B58</f>
        <v>223014040</v>
      </c>
      <c r="C58" s="168" t="str">
        <f>CSE4098C_Summer2026_Grade!C58</f>
        <v>Umme Asma Busra</v>
      </c>
      <c r="D58" s="169">
        <v>0</v>
      </c>
      <c r="E58" s="170">
        <f t="shared" si="0"/>
        <v>0</v>
      </c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207"/>
      <c r="T58" s="169"/>
      <c r="U58" s="169"/>
      <c r="V58" s="207"/>
      <c r="W58" s="207"/>
      <c r="X58" s="207"/>
      <c r="Y58" s="207"/>
      <c r="Z58" s="208" t="e">
        <f t="shared" si="1"/>
        <v>#DIV/0!</v>
      </c>
      <c r="AA58" s="209" t="e">
        <f t="shared" si="2"/>
        <v>#DIV/0!</v>
      </c>
    </row>
    <row r="59" spans="1:27" ht="15.75" customHeight="1">
      <c r="A59" s="169">
        <f t="shared" si="3"/>
        <v>55</v>
      </c>
      <c r="B59" s="168">
        <f>CSE4098C_Summer2026_Grade!B59</f>
        <v>223014054</v>
      </c>
      <c r="C59" s="168" t="str">
        <f>CSE4098C_Summer2026_Grade!C59</f>
        <v>Golam Munem Zarif</v>
      </c>
      <c r="D59" s="169">
        <v>0</v>
      </c>
      <c r="E59" s="170">
        <f t="shared" si="0"/>
        <v>0</v>
      </c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207"/>
      <c r="T59" s="169"/>
      <c r="U59" s="169"/>
      <c r="V59" s="207"/>
      <c r="W59" s="207"/>
      <c r="X59" s="207"/>
      <c r="Y59" s="207"/>
      <c r="Z59" s="208" t="e">
        <f t="shared" si="1"/>
        <v>#DIV/0!</v>
      </c>
      <c r="AA59" s="209" t="e">
        <f t="shared" si="2"/>
        <v>#DIV/0!</v>
      </c>
    </row>
    <row r="60" spans="1:27" ht="18" customHeight="1">
      <c r="A60" s="169">
        <f t="shared" si="3"/>
        <v>56</v>
      </c>
      <c r="B60" s="168">
        <f>CSE4098C_Summer2026_Grade!B60</f>
        <v>231014049</v>
      </c>
      <c r="C60" s="168" t="str">
        <f>CSE4098C_Summer2026_Grade!C60</f>
        <v>Kazi Noor E Saba</v>
      </c>
      <c r="D60" s="169">
        <v>0</v>
      </c>
      <c r="E60" s="170">
        <f t="shared" si="0"/>
        <v>0</v>
      </c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207"/>
      <c r="T60" s="169"/>
      <c r="U60" s="169"/>
      <c r="V60" s="207"/>
      <c r="W60" s="207"/>
      <c r="X60" s="207"/>
      <c r="Y60" s="207"/>
      <c r="Z60" s="208" t="e">
        <f t="shared" si="1"/>
        <v>#DIV/0!</v>
      </c>
      <c r="AA60" s="209" t="e">
        <f t="shared" si="2"/>
        <v>#DIV/0!</v>
      </c>
    </row>
    <row r="61" spans="1:27" ht="16.5" customHeight="1">
      <c r="A61" s="169">
        <f t="shared" si="3"/>
        <v>57</v>
      </c>
      <c r="B61" s="168">
        <f>CSE4098C_Summer2026_Grade!B61</f>
        <v>231014016</v>
      </c>
      <c r="C61" s="168" t="str">
        <f>CSE4098C_Summer2026_Grade!C61</f>
        <v>Md. Akib Al Mahmud Dihan</v>
      </c>
      <c r="D61" s="169">
        <v>0</v>
      </c>
      <c r="E61" s="170">
        <f t="shared" si="0"/>
        <v>0</v>
      </c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207"/>
      <c r="T61" s="169"/>
      <c r="U61" s="169"/>
      <c r="V61" s="207"/>
      <c r="W61" s="207"/>
      <c r="X61" s="207"/>
      <c r="Y61" s="207"/>
      <c r="Z61" s="208" t="e">
        <f t="shared" si="1"/>
        <v>#DIV/0!</v>
      </c>
      <c r="AA61" s="209" t="e">
        <f t="shared" si="2"/>
        <v>#DIV/0!</v>
      </c>
    </row>
    <row r="62" spans="1:27" ht="15" customHeight="1">
      <c r="A62" s="169">
        <f t="shared" si="3"/>
        <v>58</v>
      </c>
      <c r="B62" s="168">
        <f>CSE4098C_Summer2026_Grade!B62</f>
        <v>231014125</v>
      </c>
      <c r="C62" s="168" t="str">
        <f>CSE4098C_Summer2026_Grade!C62</f>
        <v>Jumana Muntaha</v>
      </c>
      <c r="D62" s="169">
        <v>0</v>
      </c>
      <c r="E62" s="170">
        <f t="shared" si="0"/>
        <v>0</v>
      </c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207"/>
      <c r="T62" s="169"/>
      <c r="U62" s="169"/>
      <c r="V62" s="207"/>
      <c r="W62" s="207"/>
      <c r="X62" s="207"/>
      <c r="Y62" s="207"/>
      <c r="Z62" s="208" t="e">
        <f t="shared" si="1"/>
        <v>#DIV/0!</v>
      </c>
      <c r="AA62" s="209" t="e">
        <f t="shared" si="2"/>
        <v>#DIV/0!</v>
      </c>
    </row>
    <row r="63" spans="1:27" ht="15.75" customHeight="1">
      <c r="A63" s="169">
        <f t="shared" si="3"/>
        <v>59</v>
      </c>
      <c r="B63" s="168">
        <f>CSE4098C_Summer2026_Grade!B63</f>
        <v>231014142</v>
      </c>
      <c r="C63" s="168" t="str">
        <f>CSE4098C_Summer2026_Grade!C63</f>
        <v>Abida Binte Asif</v>
      </c>
      <c r="D63" s="169">
        <v>0</v>
      </c>
      <c r="E63" s="170">
        <f t="shared" si="0"/>
        <v>0</v>
      </c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207"/>
      <c r="T63" s="169"/>
      <c r="U63" s="169"/>
      <c r="V63" s="207"/>
      <c r="W63" s="207"/>
      <c r="X63" s="207"/>
      <c r="Y63" s="207"/>
      <c r="Z63" s="208" t="e">
        <f t="shared" si="1"/>
        <v>#DIV/0!</v>
      </c>
      <c r="AA63" s="209" t="e">
        <f t="shared" si="2"/>
        <v>#DIV/0!</v>
      </c>
    </row>
    <row r="64" spans="1:27" ht="15.75" customHeight="1">
      <c r="A64" s="169">
        <f t="shared" si="3"/>
        <v>60</v>
      </c>
      <c r="B64" s="168">
        <f>CSE4098C_Summer2026_Grade!B64</f>
        <v>223014146</v>
      </c>
      <c r="C64" s="168" t="str">
        <f>CSE4098C_Summer2026_Grade!C64</f>
        <v>Sami Hossain</v>
      </c>
      <c r="D64" s="169">
        <v>0</v>
      </c>
      <c r="E64" s="170">
        <f t="shared" si="0"/>
        <v>0</v>
      </c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207"/>
      <c r="T64" s="169"/>
      <c r="U64" s="169"/>
      <c r="V64" s="207"/>
      <c r="W64" s="207"/>
      <c r="X64" s="207"/>
      <c r="Y64" s="207"/>
      <c r="Z64" s="208" t="e">
        <f t="shared" si="1"/>
        <v>#DIV/0!</v>
      </c>
      <c r="AA64" s="209" t="e">
        <f t="shared" si="2"/>
        <v>#DIV/0!</v>
      </c>
    </row>
    <row r="65" spans="1:27" ht="15.75" customHeight="1">
      <c r="A65" s="169">
        <f t="shared" si="3"/>
        <v>61</v>
      </c>
      <c r="B65" s="168">
        <f>CSE4098C_Summer2026_Grade!B65</f>
        <v>231014024</v>
      </c>
      <c r="C65" s="168" t="str">
        <f>CSE4098C_Summer2026_Grade!C65</f>
        <v>Md. Shohanoor Rahman</v>
      </c>
      <c r="D65" s="169">
        <v>0</v>
      </c>
      <c r="E65" s="170">
        <f t="shared" si="0"/>
        <v>0</v>
      </c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207"/>
      <c r="T65" s="169"/>
      <c r="U65" s="169"/>
      <c r="V65" s="207"/>
      <c r="W65" s="207"/>
      <c r="X65" s="207"/>
      <c r="Y65" s="207"/>
      <c r="Z65" s="208" t="e">
        <f t="shared" si="1"/>
        <v>#DIV/0!</v>
      </c>
      <c r="AA65" s="209" t="e">
        <f t="shared" si="2"/>
        <v>#DIV/0!</v>
      </c>
    </row>
    <row r="66" spans="1:27" ht="15" customHeight="1">
      <c r="A66" s="169">
        <f t="shared" si="3"/>
        <v>62</v>
      </c>
      <c r="B66" s="168">
        <f>CSE4098C_Summer2026_Grade!B66</f>
        <v>231014064</v>
      </c>
      <c r="C66" s="168" t="str">
        <f>CSE4098C_Summer2026_Grade!C66</f>
        <v>Pranto Sikder</v>
      </c>
      <c r="D66" s="169">
        <v>0</v>
      </c>
      <c r="E66" s="170">
        <f t="shared" si="0"/>
        <v>0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207"/>
      <c r="T66" s="169"/>
      <c r="U66" s="169"/>
      <c r="V66" s="207"/>
      <c r="W66" s="207"/>
      <c r="X66" s="207"/>
      <c r="Y66" s="207"/>
      <c r="Z66" s="208" t="e">
        <f t="shared" si="1"/>
        <v>#DIV/0!</v>
      </c>
      <c r="AA66" s="209" t="e">
        <f t="shared" si="2"/>
        <v>#DIV/0!</v>
      </c>
    </row>
    <row r="67" spans="1:27" ht="18" customHeight="1">
      <c r="A67" s="169">
        <f t="shared" si="3"/>
        <v>63</v>
      </c>
      <c r="B67" s="168">
        <f>CSE4098C_Summer2026_Grade!B67</f>
        <v>231014050</v>
      </c>
      <c r="C67" s="168" t="str">
        <f>CSE4098C_Summer2026_Grade!C67</f>
        <v>Mahmudul Hasan Zeshan</v>
      </c>
      <c r="D67" s="169">
        <v>0</v>
      </c>
      <c r="E67" s="170">
        <f t="shared" si="0"/>
        <v>0</v>
      </c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207"/>
      <c r="T67" s="169"/>
      <c r="U67" s="169"/>
      <c r="V67" s="207"/>
      <c r="W67" s="207"/>
      <c r="X67" s="207"/>
      <c r="Y67" s="207"/>
      <c r="Z67" s="208" t="e">
        <f t="shared" si="1"/>
        <v>#DIV/0!</v>
      </c>
      <c r="AA67" s="209" t="e">
        <f t="shared" si="2"/>
        <v>#DIV/0!</v>
      </c>
    </row>
    <row r="68" spans="1:27" ht="18" customHeight="1">
      <c r="A68" s="169">
        <f t="shared" si="3"/>
        <v>64</v>
      </c>
      <c r="B68" s="168">
        <f>CSE4098C_Summer2026_Grade!B68</f>
        <v>231014160</v>
      </c>
      <c r="C68" s="168" t="str">
        <f>CSE4098C_Summer2026_Grade!C68</f>
        <v>Aysha Siddika Methila</v>
      </c>
      <c r="D68" s="169">
        <v>0</v>
      </c>
      <c r="E68" s="170">
        <f t="shared" si="0"/>
        <v>0</v>
      </c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207"/>
      <c r="T68" s="169"/>
      <c r="U68" s="169"/>
      <c r="V68" s="207"/>
      <c r="W68" s="207"/>
      <c r="X68" s="207"/>
      <c r="Y68" s="207"/>
      <c r="Z68" s="208" t="e">
        <f t="shared" si="1"/>
        <v>#DIV/0!</v>
      </c>
      <c r="AA68" s="209" t="e">
        <f t="shared" si="2"/>
        <v>#DIV/0!</v>
      </c>
    </row>
    <row r="69" spans="1:27" ht="15" customHeight="1">
      <c r="A69" s="169">
        <f t="shared" si="3"/>
        <v>65</v>
      </c>
      <c r="B69" s="168">
        <f>CSE4098C_Summer2026_Grade!B69</f>
        <v>231014116</v>
      </c>
      <c r="C69" s="168" t="str">
        <f>CSE4098C_Summer2026_Grade!C69</f>
        <v>Sukanta Majumder</v>
      </c>
      <c r="D69" s="169">
        <v>0</v>
      </c>
      <c r="E69" s="170">
        <f t="shared" si="0"/>
        <v>0</v>
      </c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207"/>
      <c r="T69" s="169"/>
      <c r="U69" s="169"/>
      <c r="V69" s="207"/>
      <c r="W69" s="207"/>
      <c r="X69" s="207"/>
      <c r="Y69" s="207"/>
      <c r="Z69" s="208" t="e">
        <f t="shared" si="1"/>
        <v>#DIV/0!</v>
      </c>
      <c r="AA69" s="209" t="e">
        <f t="shared" si="2"/>
        <v>#DIV/0!</v>
      </c>
    </row>
    <row r="70" spans="1:27" ht="12.75" customHeight="1">
      <c r="A70" s="169"/>
      <c r="B70" s="176"/>
      <c r="C70" s="149"/>
      <c r="D70" s="149"/>
      <c r="E70" s="149"/>
      <c r="F70" s="149"/>
      <c r="G70" s="149"/>
      <c r="H70" s="149"/>
      <c r="I70" s="149"/>
      <c r="J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 spans="1:27" ht="12.75" customHeight="1">
      <c r="A71" s="136"/>
      <c r="B71" s="176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</row>
    <row r="72" spans="1:27" ht="12.75" customHeight="1">
      <c r="A72" s="136"/>
      <c r="B72" s="176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</row>
    <row r="73" spans="1:27" ht="12.75" customHeight="1">
      <c r="A73" s="136"/>
      <c r="B73" s="176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</row>
    <row r="74" spans="1:27" ht="12.75" customHeight="1">
      <c r="A74" s="136"/>
      <c r="B74" s="176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</row>
    <row r="75" spans="1:27" ht="12.75" customHeight="1">
      <c r="A75" s="136"/>
      <c r="B75" s="176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</row>
    <row r="76" spans="1:27" ht="12.75" customHeight="1">
      <c r="A76" s="136"/>
      <c r="B76" s="176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</row>
    <row r="77" spans="1:27" ht="12.75" customHeight="1">
      <c r="A77" s="136"/>
      <c r="B77" s="176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</row>
    <row r="78" spans="1:27" ht="12.75" customHeight="1">
      <c r="A78" s="136"/>
      <c r="B78" s="176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</row>
    <row r="79" spans="1:27" ht="12.75" customHeight="1">
      <c r="A79" s="136"/>
      <c r="B79" s="176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</row>
    <row r="80" spans="1:27" ht="12.75" customHeight="1">
      <c r="A80" s="136"/>
      <c r="B80" s="176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 spans="1:27" ht="12.75" customHeight="1">
      <c r="A81" s="136"/>
      <c r="B81" s="176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</row>
    <row r="82" spans="1:27" ht="12.75" customHeight="1">
      <c r="A82" s="136"/>
      <c r="B82" s="176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</row>
    <row r="83" spans="1:27" ht="12.75" customHeight="1">
      <c r="A83" s="136"/>
      <c r="B83" s="176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</row>
    <row r="84" spans="1:27" ht="12.75" customHeight="1">
      <c r="A84" s="136"/>
      <c r="B84" s="176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 spans="1:27" ht="12.75" customHeight="1">
      <c r="A85" s="136"/>
      <c r="B85" s="176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</row>
    <row r="86" spans="1:27" ht="12.75" customHeight="1">
      <c r="A86" s="136"/>
      <c r="B86" s="176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</row>
    <row r="87" spans="1:27" ht="12.75" customHeight="1">
      <c r="A87" s="136"/>
      <c r="B87" s="176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</row>
    <row r="88" spans="1:27" ht="12.75" customHeight="1">
      <c r="A88" s="136"/>
      <c r="B88" s="176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</row>
    <row r="89" spans="1:27" ht="12.75" customHeight="1">
      <c r="A89" s="136"/>
      <c r="B89" s="176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</row>
    <row r="90" spans="1:27" ht="12.75" customHeight="1">
      <c r="A90" s="136"/>
      <c r="B90" s="176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 spans="1:27" ht="12.75" customHeight="1">
      <c r="A91" s="136"/>
      <c r="B91" s="176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</row>
    <row r="92" spans="1:27" ht="12.75" customHeight="1">
      <c r="A92" s="136"/>
      <c r="B92" s="176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</row>
    <row r="93" spans="1:27" ht="12.75" customHeight="1">
      <c r="A93" s="136"/>
      <c r="B93" s="176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</row>
    <row r="94" spans="1:27" ht="12.75" customHeight="1">
      <c r="A94" s="136"/>
      <c r="B94" s="176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</row>
    <row r="95" spans="1:27" ht="12.75" customHeight="1">
      <c r="A95" s="136"/>
      <c r="B95" s="176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</row>
    <row r="96" spans="1:27" ht="12.75" customHeight="1">
      <c r="A96" s="136"/>
      <c r="B96" s="176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</row>
    <row r="97" spans="1:27" ht="12.75" customHeight="1">
      <c r="A97" s="136"/>
      <c r="B97" s="176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</row>
    <row r="98" spans="1:27" ht="12.75" customHeight="1">
      <c r="A98" s="136"/>
      <c r="B98" s="176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</row>
    <row r="99" spans="1:27" ht="12.75" customHeight="1">
      <c r="A99" s="136"/>
      <c r="B99" s="176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</row>
    <row r="100" spans="1:27" ht="12.75" customHeight="1">
      <c r="A100" s="136"/>
      <c r="B100" s="176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</row>
    <row r="101" spans="1:27" ht="12.75" customHeight="1">
      <c r="A101" s="136"/>
      <c r="B101" s="176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</row>
    <row r="102" spans="1:27" ht="12.75" customHeight="1">
      <c r="A102" s="136"/>
      <c r="B102" s="176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 spans="1:27" ht="12.75" customHeight="1">
      <c r="A103" s="136"/>
      <c r="B103" s="176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</row>
    <row r="104" spans="1:27" ht="12.75" customHeight="1">
      <c r="A104" s="136"/>
      <c r="B104" s="176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</row>
    <row r="105" spans="1:27" ht="12.75" customHeight="1">
      <c r="A105" s="136"/>
      <c r="B105" s="176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</row>
    <row r="106" spans="1:27" ht="12.75" customHeight="1">
      <c r="A106" s="136"/>
      <c r="B106" s="176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 spans="1:27" ht="12.75" customHeight="1">
      <c r="A107" s="136"/>
      <c r="B107" s="176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</row>
    <row r="108" spans="1:27" ht="12.75" customHeight="1">
      <c r="A108" s="136"/>
      <c r="B108" s="176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 spans="1:27" ht="12.75" customHeight="1">
      <c r="A109" s="136"/>
      <c r="B109" s="176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</row>
    <row r="110" spans="1:27" ht="12.75" customHeight="1">
      <c r="A110" s="136"/>
      <c r="B110" s="176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</row>
    <row r="111" spans="1:27" ht="12.75" customHeight="1">
      <c r="A111" s="136"/>
      <c r="B111" s="176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</row>
    <row r="112" spans="1:27" ht="12.75" customHeight="1">
      <c r="A112" s="136"/>
      <c r="B112" s="176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</row>
    <row r="113" spans="1:27" ht="12.75" customHeight="1">
      <c r="A113" s="136"/>
      <c r="B113" s="176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</row>
    <row r="114" spans="1:27" ht="12.75" customHeight="1">
      <c r="A114" s="136"/>
      <c r="B114" s="176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</row>
    <row r="115" spans="1:27" ht="12.75" customHeight="1">
      <c r="A115" s="136"/>
      <c r="B115" s="176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</row>
    <row r="116" spans="1:27" ht="12.75" customHeight="1">
      <c r="A116" s="136"/>
      <c r="B116" s="176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</row>
    <row r="117" spans="1:27" ht="12.75" customHeight="1">
      <c r="A117" s="136"/>
      <c r="B117" s="176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</row>
    <row r="118" spans="1:27" ht="12.75" customHeight="1">
      <c r="A118" s="136"/>
      <c r="B118" s="176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</row>
    <row r="119" spans="1:27" ht="12.75" customHeight="1">
      <c r="A119" s="136"/>
      <c r="B119" s="176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</row>
    <row r="120" spans="1:27" ht="12.75" customHeight="1">
      <c r="A120" s="136"/>
      <c r="B120" s="176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</row>
    <row r="121" spans="1:27" ht="12.75" customHeight="1">
      <c r="A121" s="136"/>
      <c r="B121" s="176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</row>
    <row r="122" spans="1:27" ht="12.75" customHeight="1">
      <c r="A122" s="136"/>
      <c r="B122" s="176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</row>
    <row r="123" spans="1:27" ht="12.75" customHeight="1">
      <c r="A123" s="136"/>
      <c r="B123" s="176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</row>
    <row r="124" spans="1:27" ht="12.75" customHeight="1">
      <c r="A124" s="136"/>
      <c r="B124" s="176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</row>
    <row r="125" spans="1:27" ht="12.75" customHeight="1">
      <c r="A125" s="136"/>
      <c r="B125" s="176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</row>
    <row r="126" spans="1:27" ht="12.75" customHeight="1">
      <c r="A126" s="136"/>
      <c r="B126" s="176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</row>
    <row r="127" spans="1:27" ht="12.75" customHeight="1">
      <c r="A127" s="136"/>
      <c r="B127" s="176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</row>
    <row r="128" spans="1:27" ht="12.75" customHeight="1">
      <c r="A128" s="136"/>
      <c r="B128" s="176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</row>
    <row r="129" spans="1:27" ht="12.75" customHeight="1">
      <c r="A129" s="136"/>
      <c r="B129" s="176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</row>
    <row r="130" spans="1:27" ht="12.75" customHeight="1">
      <c r="A130" s="136"/>
      <c r="B130" s="176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</row>
    <row r="131" spans="1:27" ht="12.75" customHeight="1">
      <c r="A131" s="136"/>
      <c r="B131" s="176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</row>
    <row r="132" spans="1:27" ht="12.75" customHeight="1">
      <c r="A132" s="136"/>
      <c r="B132" s="176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</row>
    <row r="133" spans="1:27" ht="12.75" customHeight="1">
      <c r="A133" s="136"/>
      <c r="B133" s="176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</row>
    <row r="134" spans="1:27" ht="12.75" customHeight="1">
      <c r="A134" s="136"/>
      <c r="B134" s="176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</row>
    <row r="135" spans="1:27" ht="12.75" customHeight="1">
      <c r="A135" s="136"/>
      <c r="B135" s="176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</row>
    <row r="136" spans="1:27" ht="12.75" customHeight="1">
      <c r="A136" s="136"/>
      <c r="B136" s="176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</row>
    <row r="137" spans="1:27" ht="12.75" customHeight="1">
      <c r="A137" s="136"/>
      <c r="B137" s="176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</row>
    <row r="138" spans="1:27" ht="12.75" customHeight="1">
      <c r="A138" s="136"/>
      <c r="B138" s="176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</row>
    <row r="139" spans="1:27" ht="12.75" customHeight="1">
      <c r="A139" s="136"/>
      <c r="B139" s="176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</row>
    <row r="140" spans="1:27" ht="12.75" customHeight="1">
      <c r="A140" s="136"/>
      <c r="B140" s="176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</row>
    <row r="141" spans="1:27" ht="12.75" customHeight="1">
      <c r="A141" s="136"/>
      <c r="B141" s="176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</row>
    <row r="142" spans="1:27" ht="12.75" customHeight="1">
      <c r="A142" s="136"/>
      <c r="B142" s="176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</row>
    <row r="143" spans="1:27" ht="12.75" customHeight="1">
      <c r="A143" s="136"/>
      <c r="B143" s="176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</row>
    <row r="144" spans="1:27" ht="12.75" customHeight="1">
      <c r="A144" s="136"/>
      <c r="B144" s="176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</row>
    <row r="145" spans="1:27" ht="12.75" customHeight="1">
      <c r="A145" s="136"/>
      <c r="B145" s="176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</row>
    <row r="146" spans="1:27" ht="12.75" customHeight="1">
      <c r="A146" s="136"/>
      <c r="B146" s="176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</row>
    <row r="147" spans="1:27" ht="12.75" customHeight="1">
      <c r="A147" s="136"/>
      <c r="B147" s="176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</row>
    <row r="148" spans="1:27" ht="12.75" customHeight="1">
      <c r="A148" s="136"/>
      <c r="B148" s="176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</row>
    <row r="149" spans="1:27" ht="12.75" customHeight="1">
      <c r="A149" s="136"/>
      <c r="B149" s="176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</row>
    <row r="150" spans="1:27" ht="12.75" customHeight="1">
      <c r="A150" s="136"/>
      <c r="B150" s="176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</row>
    <row r="151" spans="1:27" ht="12.75" customHeight="1">
      <c r="A151" s="136"/>
      <c r="B151" s="176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</row>
    <row r="152" spans="1:27" ht="12.75" customHeight="1">
      <c r="A152" s="136"/>
      <c r="B152" s="176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</row>
    <row r="153" spans="1:27" ht="12.75" customHeight="1">
      <c r="A153" s="136"/>
      <c r="B153" s="176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</row>
    <row r="154" spans="1:27" ht="12.75" customHeight="1">
      <c r="A154" s="136"/>
      <c r="B154" s="176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</row>
    <row r="155" spans="1:27" ht="12.75" customHeight="1">
      <c r="A155" s="136"/>
      <c r="B155" s="176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</row>
    <row r="156" spans="1:27" ht="12.75" customHeight="1">
      <c r="A156" s="136"/>
      <c r="B156" s="176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</row>
    <row r="157" spans="1:27" ht="12.75" customHeight="1">
      <c r="A157" s="136"/>
      <c r="B157" s="176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</row>
    <row r="158" spans="1:27" ht="12.75" customHeight="1">
      <c r="A158" s="136"/>
      <c r="B158" s="176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</row>
    <row r="159" spans="1:27" ht="12.75" customHeight="1">
      <c r="A159" s="136"/>
      <c r="B159" s="176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</row>
    <row r="160" spans="1:27" ht="12.75" customHeight="1">
      <c r="A160" s="136"/>
      <c r="B160" s="176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</row>
    <row r="161" spans="1:27" ht="12.75" customHeight="1">
      <c r="A161" s="136"/>
      <c r="B161" s="176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</row>
    <row r="162" spans="1:27" ht="12.75" customHeight="1">
      <c r="A162" s="136"/>
      <c r="B162" s="176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</row>
    <row r="163" spans="1:27" ht="12.75" customHeight="1">
      <c r="A163" s="136"/>
      <c r="B163" s="176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</row>
    <row r="164" spans="1:27" ht="12.75" customHeight="1">
      <c r="A164" s="136"/>
      <c r="B164" s="176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</row>
    <row r="165" spans="1:27" ht="12.75" customHeight="1">
      <c r="A165" s="136"/>
      <c r="B165" s="176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</row>
    <row r="166" spans="1:27" ht="12.75" customHeight="1">
      <c r="A166" s="136"/>
      <c r="B166" s="176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 spans="1:27" ht="12.75" customHeight="1">
      <c r="A167" s="136"/>
      <c r="B167" s="176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</row>
    <row r="168" spans="1:27" ht="12.75" customHeight="1">
      <c r="A168" s="136"/>
      <c r="B168" s="176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</row>
    <row r="169" spans="1:27" ht="12.75" customHeight="1">
      <c r="A169" s="136"/>
      <c r="B169" s="176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</row>
    <row r="170" spans="1:27" ht="12.75" customHeight="1">
      <c r="A170" s="136"/>
      <c r="B170" s="176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</row>
    <row r="171" spans="1:27" ht="12.75" customHeight="1">
      <c r="A171" s="136"/>
      <c r="B171" s="176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</row>
    <row r="172" spans="1:27" ht="12.75" customHeight="1">
      <c r="A172" s="136"/>
      <c r="B172" s="176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</row>
    <row r="173" spans="1:27" ht="12.75" customHeight="1">
      <c r="A173" s="136"/>
      <c r="B173" s="176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</row>
    <row r="174" spans="1:27" ht="12.75" customHeight="1">
      <c r="A174" s="136"/>
      <c r="B174" s="176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</row>
    <row r="175" spans="1:27" ht="12.75" customHeight="1">
      <c r="A175" s="136"/>
      <c r="B175" s="176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</row>
    <row r="176" spans="1:27" ht="12.75" customHeight="1">
      <c r="A176" s="136"/>
      <c r="B176" s="176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</row>
    <row r="177" spans="1:27" ht="12.75" customHeight="1">
      <c r="A177" s="136"/>
      <c r="B177" s="176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</row>
    <row r="178" spans="1:27" ht="12.75" customHeight="1">
      <c r="A178" s="136"/>
      <c r="B178" s="176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</row>
    <row r="179" spans="1:27" ht="12.75" customHeight="1">
      <c r="A179" s="136"/>
      <c r="B179" s="176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</row>
    <row r="180" spans="1:27" ht="12.75" customHeight="1">
      <c r="A180" s="136"/>
      <c r="B180" s="176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</row>
    <row r="181" spans="1:27" ht="12.75" customHeight="1">
      <c r="A181" s="136"/>
      <c r="B181" s="176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</row>
    <row r="182" spans="1:27" ht="12.75" customHeight="1">
      <c r="A182" s="136"/>
      <c r="B182" s="176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</row>
    <row r="183" spans="1:27" ht="12.75" customHeight="1">
      <c r="A183" s="136"/>
      <c r="B183" s="176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</row>
    <row r="184" spans="1:27" ht="12.75" customHeight="1">
      <c r="A184" s="136"/>
      <c r="B184" s="149"/>
      <c r="C184" s="149"/>
      <c r="D184" s="149"/>
      <c r="E184" s="149"/>
      <c r="F184" s="136"/>
      <c r="G184" s="136"/>
      <c r="H184" s="136"/>
      <c r="I184" s="136"/>
      <c r="J184" s="149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</row>
    <row r="185" spans="1:27" ht="12.75" customHeight="1">
      <c r="A185" s="136"/>
      <c r="B185" s="149"/>
      <c r="C185" s="149"/>
      <c r="D185" s="149"/>
      <c r="E185" s="149"/>
      <c r="F185" s="136"/>
      <c r="G185" s="136"/>
      <c r="H185" s="136"/>
      <c r="I185" s="136"/>
      <c r="J185" s="149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</row>
    <row r="186" spans="1:27" ht="12.75" customHeight="1">
      <c r="A186" s="136"/>
      <c r="B186" s="149"/>
      <c r="C186" s="149"/>
      <c r="D186" s="149"/>
      <c r="E186" s="149"/>
      <c r="F186" s="136"/>
      <c r="G186" s="136"/>
      <c r="H186" s="136"/>
      <c r="I186" s="136"/>
      <c r="J186" s="149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</row>
    <row r="187" spans="1:27" ht="12.75" customHeight="1">
      <c r="A187" s="136"/>
      <c r="B187" s="149"/>
      <c r="C187" s="149"/>
      <c r="D187" s="149"/>
      <c r="E187" s="149"/>
      <c r="F187" s="136"/>
      <c r="G187" s="136"/>
      <c r="H187" s="136"/>
      <c r="I187" s="136"/>
      <c r="J187" s="149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</row>
    <row r="188" spans="1:27" ht="12.75" customHeight="1">
      <c r="A188" s="136"/>
      <c r="B188" s="149"/>
      <c r="C188" s="149"/>
      <c r="D188" s="149"/>
      <c r="E188" s="149"/>
      <c r="F188" s="136"/>
      <c r="G188" s="136"/>
      <c r="H188" s="136"/>
      <c r="I188" s="136"/>
      <c r="J188" s="149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</row>
    <row r="189" spans="1:27" ht="15.75" customHeight="1">
      <c r="B189" s="149"/>
      <c r="C189" s="149"/>
    </row>
    <row r="190" spans="1:27" ht="15.75" customHeight="1">
      <c r="B190" s="149"/>
      <c r="C190" s="149"/>
    </row>
    <row r="191" spans="1:27" ht="15.75" customHeight="1">
      <c r="B191" s="149"/>
      <c r="C191" s="149"/>
    </row>
    <row r="192" spans="1:27" ht="15.75" customHeight="1">
      <c r="B192" s="149"/>
      <c r="C192" s="149"/>
    </row>
    <row r="193" spans="2:3" ht="15.75" customHeight="1">
      <c r="B193" s="149"/>
      <c r="C193" s="149"/>
    </row>
    <row r="194" spans="2:3" ht="15.75" customHeight="1">
      <c r="B194" s="149"/>
      <c r="C194" s="149"/>
    </row>
    <row r="195" spans="2:3" ht="15.75" customHeight="1">
      <c r="B195" s="149"/>
      <c r="C195" s="149"/>
    </row>
    <row r="196" spans="2:3" ht="15.75" customHeight="1">
      <c r="B196" s="149"/>
      <c r="C196" s="149"/>
    </row>
    <row r="197" spans="2:3" ht="15.75" customHeight="1">
      <c r="B197" s="149"/>
      <c r="C197" s="149"/>
    </row>
    <row r="198" spans="2:3" ht="15.75" customHeight="1">
      <c r="B198" s="149"/>
      <c r="C198" s="149"/>
    </row>
    <row r="199" spans="2:3" ht="15.75" customHeight="1">
      <c r="B199" s="149"/>
      <c r="C199" s="149"/>
    </row>
    <row r="200" spans="2:3" ht="15.75" customHeight="1">
      <c r="B200" s="149"/>
      <c r="C200" s="149"/>
    </row>
    <row r="201" spans="2:3" ht="15.75" customHeight="1">
      <c r="B201" s="149"/>
      <c r="C201" s="149"/>
    </row>
    <row r="202" spans="2:3" ht="15.75" customHeight="1">
      <c r="B202" s="149"/>
      <c r="C202" s="149"/>
    </row>
    <row r="203" spans="2:3" ht="15.75" customHeight="1">
      <c r="B203" s="149"/>
      <c r="C203" s="149"/>
    </row>
    <row r="204" spans="2:3" ht="15.75" customHeight="1">
      <c r="B204" s="149"/>
      <c r="C204" s="149"/>
    </row>
    <row r="205" spans="2:3" ht="15.75" customHeight="1">
      <c r="B205" s="149"/>
      <c r="C205" s="149"/>
    </row>
    <row r="206" spans="2:3" ht="15.75" customHeight="1">
      <c r="B206" s="149"/>
      <c r="C206" s="149"/>
    </row>
    <row r="207" spans="2:3" ht="15.75" customHeight="1">
      <c r="B207" s="149"/>
      <c r="C207" s="149"/>
    </row>
    <row r="208" spans="2:3" ht="15.75" customHeight="1">
      <c r="B208" s="149"/>
      <c r="C208" s="149"/>
    </row>
    <row r="209" spans="2:3" ht="15.75" customHeight="1">
      <c r="B209" s="149"/>
      <c r="C209" s="149"/>
    </row>
    <row r="210" spans="2:3" ht="15.75" customHeight="1">
      <c r="B210" s="149"/>
      <c r="C210" s="149"/>
    </row>
    <row r="211" spans="2:3" ht="15.75" customHeight="1">
      <c r="B211" s="149"/>
      <c r="C211" s="149"/>
    </row>
    <row r="212" spans="2:3" ht="15.75" customHeight="1">
      <c r="B212" s="149"/>
      <c r="C212" s="149"/>
    </row>
    <row r="213" spans="2:3" ht="15.75" customHeight="1">
      <c r="B213" s="149"/>
      <c r="C213" s="149"/>
    </row>
    <row r="214" spans="2:3" ht="15.75" customHeight="1">
      <c r="B214" s="149"/>
      <c r="C214" s="149"/>
    </row>
    <row r="215" spans="2:3" ht="15.75" customHeight="1">
      <c r="B215" s="149"/>
      <c r="C215" s="149"/>
    </row>
    <row r="216" spans="2:3" ht="15.75" customHeight="1">
      <c r="B216" s="149"/>
      <c r="C216" s="149"/>
    </row>
    <row r="217" spans="2:3" ht="15.75" customHeight="1">
      <c r="B217" s="149"/>
      <c r="C217" s="149"/>
    </row>
    <row r="218" spans="2:3" ht="15.75" customHeight="1">
      <c r="B218" s="149"/>
      <c r="C218" s="149"/>
    </row>
    <row r="219" spans="2:3" ht="15.75" customHeight="1">
      <c r="B219" s="149"/>
      <c r="C219" s="149"/>
    </row>
    <row r="220" spans="2:3" ht="15.75" customHeight="1">
      <c r="B220" s="149"/>
      <c r="C220" s="149"/>
    </row>
    <row r="221" spans="2:3" ht="15.75" customHeight="1">
      <c r="B221" s="149"/>
      <c r="C221" s="149"/>
    </row>
    <row r="222" spans="2:3" ht="15.75" customHeight="1">
      <c r="B222" s="149"/>
      <c r="C222" s="149"/>
    </row>
    <row r="223" spans="2:3" ht="15.75" customHeight="1">
      <c r="B223" s="149"/>
      <c r="C223" s="149"/>
    </row>
    <row r="224" spans="2:3" ht="15.75" customHeight="1">
      <c r="B224" s="149"/>
      <c r="C224" s="149"/>
    </row>
    <row r="225" spans="2:3" ht="15.75" customHeight="1">
      <c r="B225" s="149"/>
      <c r="C225" s="149"/>
    </row>
    <row r="226" spans="2:3" ht="15.75" customHeight="1">
      <c r="B226" s="149"/>
      <c r="C226" s="149"/>
    </row>
    <row r="227" spans="2:3" ht="15.75" customHeight="1">
      <c r="B227" s="149"/>
      <c r="C227" s="149"/>
    </row>
    <row r="228" spans="2:3" ht="15.75" customHeight="1">
      <c r="B228" s="149"/>
      <c r="C228" s="149"/>
    </row>
    <row r="229" spans="2:3" ht="15.75" customHeight="1">
      <c r="B229" s="149"/>
      <c r="C229" s="149"/>
    </row>
    <row r="230" spans="2:3" ht="15.75" customHeight="1">
      <c r="B230" s="149"/>
      <c r="C230" s="149"/>
    </row>
    <row r="231" spans="2:3" ht="15.75" customHeight="1">
      <c r="B231" s="149"/>
      <c r="C231" s="149"/>
    </row>
    <row r="232" spans="2:3" ht="15.75" customHeight="1">
      <c r="B232" s="149"/>
      <c r="C232" s="149"/>
    </row>
    <row r="233" spans="2:3" ht="15.75" customHeight="1">
      <c r="B233" s="149"/>
      <c r="C233" s="149"/>
    </row>
    <row r="234" spans="2:3" ht="15.75" customHeight="1">
      <c r="B234" s="149"/>
      <c r="C234" s="149"/>
    </row>
    <row r="235" spans="2:3" ht="15.75" customHeight="1">
      <c r="B235" s="149"/>
      <c r="C235" s="149"/>
    </row>
    <row r="236" spans="2:3" ht="15.75" customHeight="1">
      <c r="B236" s="149"/>
      <c r="C236" s="149"/>
    </row>
    <row r="237" spans="2:3" ht="15.75" customHeight="1">
      <c r="B237" s="149"/>
      <c r="C237" s="149"/>
    </row>
    <row r="238" spans="2:3" ht="15.75" customHeight="1">
      <c r="B238" s="149"/>
      <c r="C238" s="149"/>
    </row>
    <row r="239" spans="2:3" ht="15.75" customHeight="1">
      <c r="B239" s="149"/>
      <c r="C239" s="149"/>
    </row>
    <row r="240" spans="2:3" ht="15.75" customHeight="1">
      <c r="B240" s="149"/>
      <c r="C240" s="149"/>
    </row>
    <row r="241" spans="2:3" ht="15.75" customHeight="1">
      <c r="B241" s="149"/>
      <c r="C241" s="149"/>
    </row>
    <row r="242" spans="2:3" ht="15.75" customHeight="1">
      <c r="B242" s="149"/>
      <c r="C242" s="149"/>
    </row>
    <row r="243" spans="2:3" ht="15.75" customHeight="1">
      <c r="B243" s="149"/>
      <c r="C243" s="149"/>
    </row>
    <row r="244" spans="2:3" ht="15.75" customHeight="1">
      <c r="B244" s="149"/>
      <c r="C244" s="149"/>
    </row>
    <row r="245" spans="2:3" ht="15.75" customHeight="1">
      <c r="B245" s="149"/>
      <c r="C245" s="149"/>
    </row>
    <row r="246" spans="2:3" ht="15.75" customHeight="1">
      <c r="B246" s="149"/>
      <c r="C246" s="149"/>
    </row>
    <row r="247" spans="2:3" ht="15.75" customHeight="1">
      <c r="B247" s="149"/>
      <c r="C247" s="149"/>
    </row>
    <row r="248" spans="2:3" ht="15.75" customHeight="1">
      <c r="B248" s="149"/>
      <c r="C248" s="149"/>
    </row>
    <row r="249" spans="2:3" ht="15.75" customHeight="1">
      <c r="B249" s="149"/>
      <c r="C249" s="149"/>
    </row>
    <row r="250" spans="2:3" ht="15.75" customHeight="1">
      <c r="B250" s="149"/>
      <c r="C250" s="149"/>
    </row>
    <row r="251" spans="2:3" ht="15.75" customHeight="1">
      <c r="B251" s="149"/>
      <c r="C251" s="149"/>
    </row>
    <row r="252" spans="2:3" ht="15.75" customHeight="1">
      <c r="B252" s="149"/>
      <c r="C252" s="149"/>
    </row>
    <row r="253" spans="2:3" ht="15.75" customHeight="1">
      <c r="B253" s="149"/>
      <c r="C253" s="149"/>
    </row>
    <row r="254" spans="2:3" ht="15.75" customHeight="1">
      <c r="B254" s="149"/>
      <c r="C254" s="149"/>
    </row>
    <row r="255" spans="2:3" ht="15.75" customHeight="1">
      <c r="B255" s="149"/>
      <c r="C255" s="149"/>
    </row>
    <row r="256" spans="2:3" ht="15.75" customHeight="1">
      <c r="B256" s="149"/>
      <c r="C256" s="149"/>
    </row>
    <row r="257" spans="2:3" ht="15.75" customHeight="1">
      <c r="B257" s="149"/>
      <c r="C257" s="149"/>
    </row>
    <row r="258" spans="2:3" ht="15.75" customHeight="1">
      <c r="B258" s="149"/>
      <c r="C258" s="149"/>
    </row>
    <row r="259" spans="2:3" ht="15.75" customHeight="1">
      <c r="B259" s="149"/>
      <c r="C259" s="149"/>
    </row>
    <row r="260" spans="2:3" ht="15.75" customHeight="1">
      <c r="B260" s="149"/>
      <c r="C260" s="149"/>
    </row>
    <row r="261" spans="2:3" ht="15.75" customHeight="1">
      <c r="B261" s="149"/>
      <c r="C261" s="149"/>
    </row>
    <row r="262" spans="2:3" ht="15.75" customHeight="1">
      <c r="B262" s="149"/>
      <c r="C262" s="149"/>
    </row>
    <row r="263" spans="2:3" ht="15.75" customHeight="1">
      <c r="B263" s="149"/>
      <c r="C263" s="149"/>
    </row>
    <row r="264" spans="2:3" ht="15.75" customHeight="1">
      <c r="B264" s="149"/>
      <c r="C264" s="149"/>
    </row>
    <row r="265" spans="2:3" ht="15.75" customHeight="1">
      <c r="B265" s="149"/>
      <c r="C265" s="149"/>
    </row>
    <row r="266" spans="2:3" ht="15.75" customHeight="1">
      <c r="B266" s="149"/>
      <c r="C266" s="149"/>
    </row>
    <row r="267" spans="2:3" ht="15.75" customHeight="1">
      <c r="B267" s="149"/>
      <c r="C267" s="149"/>
    </row>
    <row r="268" spans="2:3" ht="15.75" customHeight="1">
      <c r="B268" s="149"/>
      <c r="C268" s="149"/>
    </row>
    <row r="269" spans="2:3" ht="15.75" customHeight="1">
      <c r="B269" s="149"/>
      <c r="C269" s="149"/>
    </row>
    <row r="270" spans="2:3" ht="15.75" customHeight="1">
      <c r="B270" s="149"/>
      <c r="C270" s="149"/>
    </row>
    <row r="271" spans="2:3" ht="15.75" customHeight="1">
      <c r="B271" s="149"/>
      <c r="C271" s="149"/>
    </row>
    <row r="272" spans="2:3" ht="15.75" customHeight="1">
      <c r="B272" s="149"/>
      <c r="C272" s="149"/>
    </row>
    <row r="273" spans="2:3" ht="15.75" customHeight="1">
      <c r="B273" s="149"/>
      <c r="C273" s="149"/>
    </row>
    <row r="274" spans="2:3" ht="15.75" customHeight="1">
      <c r="B274" s="149"/>
      <c r="C274" s="149"/>
    </row>
    <row r="275" spans="2:3" ht="15.75" customHeight="1">
      <c r="B275" s="149"/>
      <c r="C275" s="149"/>
    </row>
    <row r="276" spans="2:3" ht="15.75" customHeight="1">
      <c r="B276" s="149"/>
      <c r="C276" s="149"/>
    </row>
    <row r="277" spans="2:3" ht="15.75" customHeight="1">
      <c r="B277" s="149"/>
      <c r="C277" s="149"/>
    </row>
    <row r="278" spans="2:3" ht="15.75" customHeight="1">
      <c r="B278" s="149"/>
      <c r="C278" s="149"/>
    </row>
    <row r="279" spans="2:3" ht="15.75" customHeight="1">
      <c r="B279" s="149"/>
      <c r="C279" s="149"/>
    </row>
    <row r="280" spans="2:3" ht="15.75" customHeight="1">
      <c r="B280" s="149"/>
      <c r="C280" s="149"/>
    </row>
    <row r="281" spans="2:3" ht="15.75" customHeight="1">
      <c r="B281" s="149"/>
      <c r="C281" s="149"/>
    </row>
    <row r="282" spans="2:3" ht="15.75" customHeight="1">
      <c r="B282" s="149"/>
      <c r="C282" s="149"/>
    </row>
    <row r="283" spans="2:3" ht="15.75" customHeight="1">
      <c r="B283" s="149"/>
      <c r="C283" s="149"/>
    </row>
    <row r="284" spans="2:3" ht="15.75" customHeight="1">
      <c r="B284" s="149"/>
      <c r="C284" s="149"/>
    </row>
    <row r="285" spans="2:3" ht="15.75" customHeight="1">
      <c r="B285" s="149"/>
      <c r="C285" s="149"/>
    </row>
    <row r="286" spans="2:3" ht="15.75" customHeight="1">
      <c r="B286" s="149"/>
      <c r="C286" s="149"/>
    </row>
    <row r="287" spans="2:3" ht="15.75" customHeight="1">
      <c r="B287" s="149"/>
      <c r="C287" s="149"/>
    </row>
    <row r="288" spans="2:3" ht="15.75" customHeight="1">
      <c r="B288" s="149"/>
      <c r="C288" s="149"/>
    </row>
    <row r="289" spans="2:3" ht="15.75" customHeight="1">
      <c r="B289" s="149"/>
      <c r="C289" s="149"/>
    </row>
    <row r="290" spans="2:3" ht="15.75" customHeight="1">
      <c r="B290" s="149"/>
      <c r="C290" s="149"/>
    </row>
    <row r="291" spans="2:3" ht="15.75" customHeight="1">
      <c r="B291" s="149"/>
      <c r="C291" s="149"/>
    </row>
    <row r="292" spans="2:3" ht="15.75" customHeight="1">
      <c r="B292" s="149"/>
      <c r="C292" s="149"/>
    </row>
    <row r="293" spans="2:3" ht="15.75" customHeight="1">
      <c r="B293" s="149"/>
      <c r="C293" s="149"/>
    </row>
    <row r="294" spans="2:3" ht="15.75" customHeight="1">
      <c r="B294" s="149"/>
      <c r="C294" s="149"/>
    </row>
    <row r="295" spans="2:3" ht="15.75" customHeight="1">
      <c r="B295" s="149"/>
      <c r="C295" s="149"/>
    </row>
    <row r="296" spans="2:3" ht="15.75" customHeight="1">
      <c r="B296" s="149"/>
      <c r="C296" s="149"/>
    </row>
    <row r="297" spans="2:3" ht="15.75" customHeight="1">
      <c r="B297" s="149"/>
      <c r="C297" s="149"/>
    </row>
    <row r="298" spans="2:3" ht="15.75" customHeight="1">
      <c r="B298" s="149"/>
      <c r="C298" s="149"/>
    </row>
    <row r="299" spans="2:3" ht="15.75" customHeight="1">
      <c r="B299" s="149"/>
      <c r="C299" s="149"/>
    </row>
    <row r="300" spans="2:3" ht="15.75" customHeight="1">
      <c r="B300" s="149"/>
      <c r="C300" s="149"/>
    </row>
    <row r="301" spans="2:3" ht="15.75" customHeight="1">
      <c r="B301" s="149"/>
      <c r="C301" s="149"/>
    </row>
    <row r="302" spans="2:3" ht="15.75" customHeight="1">
      <c r="B302" s="149"/>
      <c r="C302" s="149"/>
    </row>
    <row r="303" spans="2:3" ht="15.75" customHeight="1">
      <c r="B303" s="149"/>
      <c r="C303" s="149"/>
    </row>
    <row r="304" spans="2:3" ht="15.75" customHeight="1">
      <c r="B304" s="149"/>
      <c r="C304" s="149"/>
    </row>
    <row r="305" spans="2:3" ht="15.75" customHeight="1">
      <c r="B305" s="149"/>
      <c r="C305" s="149"/>
    </row>
    <row r="306" spans="2:3" ht="15.75" customHeight="1">
      <c r="B306" s="149"/>
      <c r="C306" s="149"/>
    </row>
    <row r="307" spans="2:3" ht="15.75" customHeight="1">
      <c r="B307" s="149"/>
      <c r="C307" s="149"/>
    </row>
    <row r="308" spans="2:3" ht="15.75" customHeight="1">
      <c r="B308" s="149"/>
      <c r="C308" s="149"/>
    </row>
    <row r="309" spans="2:3" ht="15.75" customHeight="1">
      <c r="B309" s="149"/>
      <c r="C309" s="149"/>
    </row>
    <row r="310" spans="2:3" ht="15.75" customHeight="1">
      <c r="B310" s="149"/>
      <c r="C310" s="149"/>
    </row>
    <row r="311" spans="2:3" ht="15.75" customHeight="1">
      <c r="B311" s="149"/>
      <c r="C311" s="149"/>
    </row>
    <row r="312" spans="2:3" ht="15.75" customHeight="1">
      <c r="B312" s="149"/>
      <c r="C312" s="149"/>
    </row>
    <row r="313" spans="2:3" ht="15.75" customHeight="1">
      <c r="B313" s="149"/>
      <c r="C313" s="149"/>
    </row>
    <row r="314" spans="2:3" ht="15.75" customHeight="1">
      <c r="B314" s="149"/>
      <c r="C314" s="149"/>
    </row>
    <row r="315" spans="2:3" ht="15.75" customHeight="1">
      <c r="B315" s="149"/>
      <c r="C315" s="149"/>
    </row>
    <row r="316" spans="2:3" ht="15.75" customHeight="1">
      <c r="B316" s="149"/>
      <c r="C316" s="149"/>
    </row>
    <row r="317" spans="2:3" ht="15.75" customHeight="1">
      <c r="B317" s="149"/>
      <c r="C317" s="149"/>
    </row>
    <row r="318" spans="2:3" ht="15.75" customHeight="1">
      <c r="B318" s="149"/>
      <c r="C318" s="149"/>
    </row>
    <row r="319" spans="2:3" ht="15.75" customHeight="1">
      <c r="B319" s="149"/>
      <c r="C319" s="149"/>
    </row>
    <row r="320" spans="2:3" ht="15.75" customHeight="1">
      <c r="B320" s="149"/>
      <c r="C320" s="149"/>
    </row>
    <row r="321" spans="2:3" ht="15.75" customHeight="1">
      <c r="B321" s="149"/>
      <c r="C321" s="149"/>
    </row>
    <row r="322" spans="2:3" ht="15.75" customHeight="1">
      <c r="B322" s="149"/>
      <c r="C322" s="149"/>
    </row>
    <row r="323" spans="2:3" ht="15.75" customHeight="1">
      <c r="B323" s="149"/>
      <c r="C323" s="149"/>
    </row>
    <row r="324" spans="2:3" ht="15.75" customHeight="1">
      <c r="B324" s="149"/>
      <c r="C324" s="149"/>
    </row>
    <row r="325" spans="2:3" ht="15.75" customHeight="1">
      <c r="B325" s="149"/>
      <c r="C325" s="149"/>
    </row>
    <row r="326" spans="2:3" ht="15.75" customHeight="1">
      <c r="B326" s="149"/>
      <c r="C326" s="149"/>
    </row>
    <row r="327" spans="2:3" ht="15.75" customHeight="1">
      <c r="B327" s="149"/>
      <c r="C327" s="149"/>
    </row>
    <row r="328" spans="2:3" ht="15.75" customHeight="1">
      <c r="B328" s="149"/>
      <c r="C328" s="149"/>
    </row>
    <row r="329" spans="2:3" ht="15.75" customHeight="1">
      <c r="B329" s="149"/>
      <c r="C329" s="149"/>
    </row>
    <row r="330" spans="2:3" ht="15.75" customHeight="1">
      <c r="B330" s="149"/>
      <c r="C330" s="149"/>
    </row>
    <row r="331" spans="2:3" ht="15.75" customHeight="1">
      <c r="B331" s="149"/>
      <c r="C331" s="149"/>
    </row>
    <row r="332" spans="2:3" ht="15.75" customHeight="1">
      <c r="B332" s="149"/>
      <c r="C332" s="149"/>
    </row>
    <row r="333" spans="2:3" ht="15.75" customHeight="1">
      <c r="B333" s="149"/>
      <c r="C333" s="149"/>
    </row>
    <row r="334" spans="2:3" ht="15.75" customHeight="1">
      <c r="B334" s="149"/>
      <c r="C334" s="149"/>
    </row>
    <row r="335" spans="2:3" ht="15.75" customHeight="1">
      <c r="B335" s="149"/>
      <c r="C335" s="149"/>
    </row>
    <row r="336" spans="2:3" ht="15.75" customHeight="1">
      <c r="B336" s="149"/>
      <c r="C336" s="149"/>
    </row>
    <row r="337" spans="2:3" ht="15.75" customHeight="1">
      <c r="B337" s="149"/>
      <c r="C337" s="149"/>
    </row>
    <row r="338" spans="2:3" ht="15.75" customHeight="1">
      <c r="B338" s="149"/>
      <c r="C338" s="149"/>
    </row>
    <row r="339" spans="2:3" ht="15.75" customHeight="1">
      <c r="B339" s="149"/>
      <c r="C339" s="149"/>
    </row>
    <row r="340" spans="2:3" ht="15.75" customHeight="1">
      <c r="B340" s="149"/>
      <c r="C340" s="149"/>
    </row>
    <row r="341" spans="2:3" ht="15.75" customHeight="1">
      <c r="B341" s="149"/>
      <c r="C341" s="149"/>
    </row>
    <row r="342" spans="2:3" ht="15.75" customHeight="1">
      <c r="B342" s="149"/>
      <c r="C342" s="149"/>
    </row>
    <row r="343" spans="2:3" ht="15.75" customHeight="1">
      <c r="B343" s="149"/>
      <c r="C343" s="149"/>
    </row>
    <row r="344" spans="2:3" ht="15.75" customHeight="1">
      <c r="B344" s="149"/>
      <c r="C344" s="149"/>
    </row>
    <row r="345" spans="2:3" ht="15.75" customHeight="1">
      <c r="B345" s="149"/>
      <c r="C345" s="149"/>
    </row>
    <row r="346" spans="2:3" ht="15.75" customHeight="1">
      <c r="B346" s="149"/>
      <c r="C346" s="149"/>
    </row>
    <row r="347" spans="2:3" ht="15.75" customHeight="1">
      <c r="B347" s="149"/>
      <c r="C347" s="149"/>
    </row>
    <row r="348" spans="2:3" ht="15.75" customHeight="1">
      <c r="B348" s="149"/>
      <c r="C348" s="149"/>
    </row>
    <row r="349" spans="2:3" ht="15.75" customHeight="1">
      <c r="B349" s="149"/>
      <c r="C349" s="149"/>
    </row>
    <row r="350" spans="2:3" ht="15.75" customHeight="1">
      <c r="B350" s="149"/>
      <c r="C350" s="149"/>
    </row>
    <row r="351" spans="2:3" ht="15.75" customHeight="1">
      <c r="B351" s="149"/>
      <c r="C351" s="149"/>
    </row>
    <row r="352" spans="2:3" ht="15.75" customHeight="1">
      <c r="B352" s="149"/>
      <c r="C352" s="149"/>
    </row>
    <row r="353" spans="2:3" ht="15.75" customHeight="1">
      <c r="B353" s="149"/>
      <c r="C353" s="149"/>
    </row>
    <row r="354" spans="2:3" ht="15.75" customHeight="1">
      <c r="B354" s="149"/>
      <c r="C354" s="149"/>
    </row>
    <row r="355" spans="2:3" ht="15.75" customHeight="1">
      <c r="B355" s="149"/>
      <c r="C355" s="149"/>
    </row>
    <row r="356" spans="2:3" ht="15.75" customHeight="1">
      <c r="B356" s="149"/>
      <c r="C356" s="149"/>
    </row>
    <row r="357" spans="2:3" ht="15.75" customHeight="1">
      <c r="B357" s="149"/>
      <c r="C357" s="149"/>
    </row>
    <row r="358" spans="2:3" ht="15.75" customHeight="1">
      <c r="B358" s="149"/>
      <c r="C358" s="149"/>
    </row>
    <row r="359" spans="2:3" ht="15.75" customHeight="1">
      <c r="B359" s="149"/>
      <c r="C359" s="149"/>
    </row>
    <row r="360" spans="2:3" ht="15.75" customHeight="1">
      <c r="B360" s="149"/>
      <c r="C360" s="149"/>
    </row>
    <row r="361" spans="2:3" ht="15.75" customHeight="1">
      <c r="B361" s="149"/>
      <c r="C361" s="149"/>
    </row>
    <row r="362" spans="2:3" ht="15.75" customHeight="1">
      <c r="B362" s="149"/>
      <c r="C362" s="149"/>
    </row>
    <row r="363" spans="2:3" ht="15.75" customHeight="1">
      <c r="B363" s="149"/>
      <c r="C363" s="149"/>
    </row>
    <row r="364" spans="2:3" ht="15.75" customHeight="1">
      <c r="B364" s="149"/>
      <c r="C364" s="149"/>
    </row>
    <row r="365" spans="2:3" ht="15.75" customHeight="1">
      <c r="B365" s="149"/>
      <c r="C365" s="149"/>
    </row>
    <row r="366" spans="2:3" ht="15.75" customHeight="1">
      <c r="B366" s="149"/>
      <c r="C366" s="149"/>
    </row>
    <row r="367" spans="2:3" ht="15.75" customHeight="1">
      <c r="B367" s="149"/>
      <c r="C367" s="149"/>
    </row>
    <row r="368" spans="2:3" ht="15.75" customHeight="1">
      <c r="B368" s="149"/>
      <c r="C368" s="149"/>
    </row>
    <row r="369" spans="2:3" ht="15.75" customHeight="1">
      <c r="B369" s="149"/>
      <c r="C369" s="149"/>
    </row>
    <row r="370" spans="2:3" ht="15.75" customHeight="1">
      <c r="B370" s="149"/>
      <c r="C370" s="149"/>
    </row>
    <row r="371" spans="2:3" ht="15.75" customHeight="1">
      <c r="B371" s="149"/>
      <c r="C371" s="149"/>
    </row>
    <row r="372" spans="2:3" ht="15.75" customHeight="1">
      <c r="B372" s="149"/>
      <c r="C372" s="149"/>
    </row>
    <row r="373" spans="2:3" ht="15.75" customHeight="1">
      <c r="B373" s="149"/>
      <c r="C373" s="149"/>
    </row>
    <row r="374" spans="2:3" ht="15.75" customHeight="1">
      <c r="B374" s="149"/>
      <c r="C374" s="149"/>
    </row>
    <row r="375" spans="2:3" ht="15.75" customHeight="1">
      <c r="B375" s="149"/>
      <c r="C375" s="149"/>
    </row>
    <row r="376" spans="2:3" ht="15.75" customHeight="1">
      <c r="B376" s="149"/>
      <c r="C376" s="149"/>
    </row>
    <row r="377" spans="2:3" ht="15.75" customHeight="1">
      <c r="B377" s="149"/>
      <c r="C377" s="149"/>
    </row>
    <row r="378" spans="2:3" ht="15.75" customHeight="1">
      <c r="B378" s="149"/>
      <c r="C378" s="149"/>
    </row>
    <row r="379" spans="2:3" ht="15.75" customHeight="1">
      <c r="B379" s="149"/>
      <c r="C379" s="149"/>
    </row>
    <row r="380" spans="2:3" ht="15.75" customHeight="1">
      <c r="B380" s="149"/>
      <c r="C380" s="149"/>
    </row>
    <row r="381" spans="2:3" ht="15.75" customHeight="1">
      <c r="B381" s="149"/>
      <c r="C381" s="149"/>
    </row>
    <row r="382" spans="2:3" ht="15.75" customHeight="1">
      <c r="B382" s="149"/>
      <c r="C382" s="149"/>
    </row>
    <row r="383" spans="2:3" ht="15.75" customHeight="1">
      <c r="B383" s="149"/>
      <c r="C383" s="149"/>
    </row>
    <row r="384" spans="2:3" ht="15.75" customHeight="1">
      <c r="B384" s="149"/>
      <c r="C384" s="149"/>
    </row>
    <row r="385" spans="2:3" ht="15.75" customHeight="1">
      <c r="B385" s="149"/>
      <c r="C385" s="149"/>
    </row>
    <row r="386" spans="2:3" ht="15.75" customHeight="1">
      <c r="B386" s="149"/>
      <c r="C386" s="149"/>
    </row>
    <row r="387" spans="2:3" ht="15.75" customHeight="1">
      <c r="B387" s="149"/>
      <c r="C387" s="149"/>
    </row>
    <row r="388" spans="2:3" ht="15.75" customHeight="1">
      <c r="B388" s="149"/>
      <c r="C388" s="149"/>
    </row>
    <row r="389" spans="2:3" ht="15.75" customHeight="1">
      <c r="B389" s="149"/>
      <c r="C389" s="149"/>
    </row>
    <row r="390" spans="2:3" ht="15.75" customHeight="1">
      <c r="B390" s="149"/>
      <c r="C390" s="149"/>
    </row>
    <row r="391" spans="2:3" ht="15.75" customHeight="1">
      <c r="B391" s="149"/>
      <c r="C391" s="149"/>
    </row>
    <row r="392" spans="2:3" ht="15.75" customHeight="1">
      <c r="B392" s="149"/>
      <c r="C392" s="149"/>
    </row>
    <row r="393" spans="2:3" ht="15.75" customHeight="1">
      <c r="B393" s="149"/>
      <c r="C393" s="149"/>
    </row>
    <row r="394" spans="2:3" ht="15.75" customHeight="1">
      <c r="B394" s="149"/>
      <c r="C394" s="149"/>
    </row>
    <row r="395" spans="2:3" ht="15.75" customHeight="1">
      <c r="B395" s="149"/>
      <c r="C395" s="149"/>
    </row>
    <row r="396" spans="2:3" ht="15.75" customHeight="1">
      <c r="B396" s="149"/>
      <c r="C396" s="149"/>
    </row>
    <row r="397" spans="2:3" ht="15.75" customHeight="1">
      <c r="B397" s="149"/>
      <c r="C397" s="149"/>
    </row>
    <row r="398" spans="2:3" ht="15.75" customHeight="1">
      <c r="B398" s="149"/>
      <c r="C398" s="149"/>
    </row>
    <row r="399" spans="2:3" ht="15.75" customHeight="1">
      <c r="B399" s="149"/>
      <c r="C399" s="149"/>
    </row>
    <row r="400" spans="2:3" ht="15.75" customHeight="1">
      <c r="B400" s="149"/>
      <c r="C400" s="149"/>
    </row>
    <row r="401" spans="2:3" ht="15.75" customHeight="1">
      <c r="B401" s="149"/>
      <c r="C401" s="149"/>
    </row>
    <row r="402" spans="2:3" ht="15.75" customHeight="1">
      <c r="B402" s="149"/>
      <c r="C402" s="149"/>
    </row>
    <row r="403" spans="2:3" ht="15.75" customHeight="1">
      <c r="B403" s="149"/>
      <c r="C403" s="149"/>
    </row>
    <row r="404" spans="2:3" ht="15.75" customHeight="1">
      <c r="B404" s="149"/>
      <c r="C404" s="149"/>
    </row>
    <row r="405" spans="2:3" ht="15.75" customHeight="1">
      <c r="B405" s="149"/>
      <c r="C405" s="149"/>
    </row>
    <row r="406" spans="2:3" ht="15.75" customHeight="1">
      <c r="B406" s="149"/>
      <c r="C406" s="149"/>
    </row>
    <row r="407" spans="2:3" ht="15.75" customHeight="1">
      <c r="B407" s="149"/>
      <c r="C407" s="149"/>
    </row>
    <row r="408" spans="2:3" ht="15.75" customHeight="1">
      <c r="B408" s="149"/>
      <c r="C408" s="149"/>
    </row>
    <row r="409" spans="2:3" ht="15.75" customHeight="1">
      <c r="B409" s="149"/>
      <c r="C409" s="149"/>
    </row>
    <row r="410" spans="2:3" ht="15.75" customHeight="1">
      <c r="B410" s="149"/>
      <c r="C410" s="149"/>
    </row>
    <row r="411" spans="2:3" ht="15.75" customHeight="1">
      <c r="B411" s="149"/>
      <c r="C411" s="149"/>
    </row>
    <row r="412" spans="2:3" ht="15.75" customHeight="1">
      <c r="B412" s="149"/>
      <c r="C412" s="149"/>
    </row>
    <row r="413" spans="2:3" ht="15.75" customHeight="1">
      <c r="B413" s="149"/>
      <c r="C413" s="149"/>
    </row>
    <row r="414" spans="2:3" ht="15.75" customHeight="1">
      <c r="B414" s="149"/>
      <c r="C414" s="149"/>
    </row>
    <row r="415" spans="2:3" ht="15.75" customHeight="1">
      <c r="B415" s="149"/>
      <c r="C415" s="149"/>
    </row>
    <row r="416" spans="2:3" ht="15.75" customHeight="1">
      <c r="B416" s="149"/>
      <c r="C416" s="149"/>
    </row>
    <row r="417" spans="2:3" ht="15.75" customHeight="1">
      <c r="B417" s="149"/>
      <c r="C417" s="149"/>
    </row>
    <row r="418" spans="2:3" ht="15.75" customHeight="1">
      <c r="B418" s="149"/>
      <c r="C418" s="149"/>
    </row>
    <row r="419" spans="2:3" ht="15.75" customHeight="1">
      <c r="B419" s="149"/>
      <c r="C419" s="149"/>
    </row>
    <row r="420" spans="2:3" ht="15.75" customHeight="1">
      <c r="B420" s="149"/>
      <c r="C420" s="149"/>
    </row>
    <row r="421" spans="2:3" ht="15.75" customHeight="1">
      <c r="B421" s="149"/>
      <c r="C421" s="149"/>
    </row>
    <row r="422" spans="2:3" ht="15.75" customHeight="1">
      <c r="B422" s="149"/>
      <c r="C422" s="149"/>
    </row>
    <row r="423" spans="2:3" ht="15.75" customHeight="1">
      <c r="B423" s="149"/>
      <c r="C423" s="149"/>
    </row>
    <row r="424" spans="2:3" ht="15.75" customHeight="1">
      <c r="B424" s="149"/>
      <c r="C424" s="149"/>
    </row>
    <row r="425" spans="2:3" ht="15.75" customHeight="1">
      <c r="B425" s="149"/>
      <c r="C425" s="149"/>
    </row>
    <row r="426" spans="2:3" ht="15.75" customHeight="1">
      <c r="B426" s="149"/>
      <c r="C426" s="149"/>
    </row>
    <row r="427" spans="2:3" ht="15.75" customHeight="1">
      <c r="B427" s="149"/>
      <c r="C427" s="149"/>
    </row>
    <row r="428" spans="2:3" ht="15.75" customHeight="1">
      <c r="B428" s="149"/>
      <c r="C428" s="149"/>
    </row>
    <row r="429" spans="2:3" ht="15.75" customHeight="1">
      <c r="B429" s="149"/>
      <c r="C429" s="149"/>
    </row>
    <row r="430" spans="2:3" ht="15.75" customHeight="1">
      <c r="B430" s="149"/>
      <c r="C430" s="149"/>
    </row>
    <row r="431" spans="2:3" ht="15.75" customHeight="1">
      <c r="B431" s="149"/>
      <c r="C431" s="149"/>
    </row>
    <row r="432" spans="2:3" ht="15.75" customHeight="1">
      <c r="B432" s="149"/>
      <c r="C432" s="149"/>
    </row>
    <row r="433" spans="2:3" ht="15.75" customHeight="1">
      <c r="B433" s="149"/>
      <c r="C433" s="149"/>
    </row>
    <row r="434" spans="2:3" ht="15.75" customHeight="1">
      <c r="B434" s="149"/>
      <c r="C434" s="149"/>
    </row>
    <row r="435" spans="2:3" ht="15.75" customHeight="1">
      <c r="B435" s="149"/>
      <c r="C435" s="149"/>
    </row>
    <row r="436" spans="2:3" ht="15.75" customHeight="1">
      <c r="B436" s="149"/>
      <c r="C436" s="149"/>
    </row>
    <row r="437" spans="2:3" ht="15.75" customHeight="1">
      <c r="B437" s="149"/>
      <c r="C437" s="149"/>
    </row>
    <row r="438" spans="2:3" ht="15.75" customHeight="1">
      <c r="B438" s="149"/>
      <c r="C438" s="149"/>
    </row>
    <row r="439" spans="2:3" ht="15.75" customHeight="1">
      <c r="B439" s="149"/>
      <c r="C439" s="149"/>
    </row>
    <row r="440" spans="2:3" ht="15.75" customHeight="1">
      <c r="B440" s="149"/>
      <c r="C440" s="149"/>
    </row>
    <row r="441" spans="2:3" ht="15.75" customHeight="1">
      <c r="B441" s="149"/>
      <c r="C441" s="149"/>
    </row>
    <row r="442" spans="2:3" ht="15.75" customHeight="1">
      <c r="B442" s="149"/>
      <c r="C442" s="149"/>
    </row>
    <row r="443" spans="2:3" ht="15.75" customHeight="1">
      <c r="B443" s="149"/>
      <c r="C443" s="149"/>
    </row>
    <row r="444" spans="2:3" ht="15.75" customHeight="1">
      <c r="B444" s="149"/>
      <c r="C444" s="149"/>
    </row>
    <row r="445" spans="2:3" ht="15.75" customHeight="1">
      <c r="B445" s="149"/>
      <c r="C445" s="149"/>
    </row>
    <row r="446" spans="2:3" ht="15.75" customHeight="1">
      <c r="B446" s="149"/>
      <c r="C446" s="149"/>
    </row>
    <row r="447" spans="2:3" ht="15.75" customHeight="1">
      <c r="B447" s="149"/>
      <c r="C447" s="149"/>
    </row>
    <row r="448" spans="2:3" ht="15.75" customHeight="1">
      <c r="B448" s="149"/>
      <c r="C448" s="149"/>
    </row>
    <row r="449" spans="2:3" ht="15.75" customHeight="1">
      <c r="B449" s="149"/>
      <c r="C449" s="149"/>
    </row>
    <row r="450" spans="2:3" ht="15.75" customHeight="1">
      <c r="B450" s="149"/>
      <c r="C450" s="149"/>
    </row>
    <row r="451" spans="2:3" ht="15.75" customHeight="1">
      <c r="B451" s="149"/>
      <c r="C451" s="149"/>
    </row>
    <row r="452" spans="2:3" ht="15.75" customHeight="1">
      <c r="B452" s="149"/>
      <c r="C452" s="149"/>
    </row>
    <row r="453" spans="2:3" ht="15.75" customHeight="1">
      <c r="B453" s="149"/>
      <c r="C453" s="149"/>
    </row>
    <row r="454" spans="2:3" ht="15.75" customHeight="1">
      <c r="B454" s="149"/>
      <c r="C454" s="149"/>
    </row>
    <row r="455" spans="2:3" ht="15.75" customHeight="1">
      <c r="B455" s="149"/>
      <c r="C455" s="149"/>
    </row>
    <row r="456" spans="2:3" ht="15.75" customHeight="1">
      <c r="B456" s="149"/>
      <c r="C456" s="149"/>
    </row>
    <row r="457" spans="2:3" ht="15.75" customHeight="1">
      <c r="B457" s="149"/>
      <c r="C457" s="149"/>
    </row>
    <row r="458" spans="2:3" ht="15.75" customHeight="1">
      <c r="B458" s="149"/>
      <c r="C458" s="149"/>
    </row>
    <row r="459" spans="2:3" ht="15.75" customHeight="1">
      <c r="B459" s="149"/>
      <c r="C459" s="149"/>
    </row>
    <row r="460" spans="2:3" ht="15.75" customHeight="1">
      <c r="B460" s="149"/>
      <c r="C460" s="149"/>
    </row>
    <row r="461" spans="2:3" ht="15.75" customHeight="1">
      <c r="B461" s="149"/>
      <c r="C461" s="149"/>
    </row>
    <row r="462" spans="2:3" ht="15.75" customHeight="1">
      <c r="B462" s="149"/>
      <c r="C462" s="149"/>
    </row>
    <row r="463" spans="2:3" ht="15.75" customHeight="1">
      <c r="B463" s="149"/>
      <c r="C463" s="149"/>
    </row>
    <row r="464" spans="2:3" ht="15.75" customHeight="1">
      <c r="B464" s="149"/>
      <c r="C464" s="149"/>
    </row>
    <row r="465" spans="2:3" ht="15.75" customHeight="1">
      <c r="B465" s="149"/>
      <c r="C465" s="149"/>
    </row>
    <row r="466" spans="2:3" ht="15.75" customHeight="1">
      <c r="B466" s="149"/>
      <c r="C466" s="149"/>
    </row>
    <row r="467" spans="2:3" ht="15.75" customHeight="1">
      <c r="B467" s="149"/>
      <c r="C467" s="149"/>
    </row>
    <row r="468" spans="2:3" ht="15.75" customHeight="1">
      <c r="B468" s="149"/>
      <c r="C468" s="149"/>
    </row>
    <row r="469" spans="2:3" ht="15.75" customHeight="1">
      <c r="B469" s="149"/>
      <c r="C469" s="149"/>
    </row>
    <row r="470" spans="2:3" ht="15.75" customHeight="1">
      <c r="B470" s="149"/>
      <c r="C470" s="149"/>
    </row>
    <row r="471" spans="2:3" ht="15.75" customHeight="1">
      <c r="B471" s="149"/>
      <c r="C471" s="149"/>
    </row>
    <row r="472" spans="2:3" ht="15.75" customHeight="1">
      <c r="B472" s="149"/>
      <c r="C472" s="149"/>
    </row>
    <row r="473" spans="2:3" ht="15.75" customHeight="1">
      <c r="B473" s="149"/>
      <c r="C473" s="149"/>
    </row>
    <row r="474" spans="2:3" ht="15.75" customHeight="1">
      <c r="B474" s="149"/>
      <c r="C474" s="149"/>
    </row>
    <row r="475" spans="2:3" ht="15.75" customHeight="1">
      <c r="B475" s="149"/>
      <c r="C475" s="149"/>
    </row>
    <row r="476" spans="2:3" ht="15.75" customHeight="1">
      <c r="B476" s="149"/>
      <c r="C476" s="149"/>
    </row>
    <row r="477" spans="2:3" ht="15.75" customHeight="1">
      <c r="B477" s="149"/>
      <c r="C477" s="149"/>
    </row>
    <row r="478" spans="2:3" ht="15.75" customHeight="1">
      <c r="B478" s="149"/>
      <c r="C478" s="149"/>
    </row>
    <row r="479" spans="2:3" ht="15.75" customHeight="1">
      <c r="B479" s="149"/>
      <c r="C479" s="149"/>
    </row>
    <row r="480" spans="2:3" ht="15.75" customHeight="1">
      <c r="B480" s="149"/>
      <c r="C480" s="149"/>
    </row>
    <row r="481" spans="2:3" ht="15.75" customHeight="1">
      <c r="B481" s="149"/>
      <c r="C481" s="149"/>
    </row>
    <row r="482" spans="2:3" ht="15.75" customHeight="1">
      <c r="B482" s="149"/>
      <c r="C482" s="149"/>
    </row>
    <row r="483" spans="2:3" ht="15.75" customHeight="1">
      <c r="B483" s="149"/>
      <c r="C483" s="149"/>
    </row>
    <row r="484" spans="2:3" ht="15.75" customHeight="1">
      <c r="B484" s="149"/>
      <c r="C484" s="149"/>
    </row>
    <row r="485" spans="2:3" ht="15.75" customHeight="1">
      <c r="B485" s="149"/>
      <c r="C485" s="149"/>
    </row>
    <row r="486" spans="2:3" ht="15.75" customHeight="1">
      <c r="B486" s="149"/>
      <c r="C486" s="149"/>
    </row>
    <row r="487" spans="2:3" ht="15.75" customHeight="1">
      <c r="B487" s="149"/>
      <c r="C487" s="149"/>
    </row>
    <row r="488" spans="2:3" ht="15.75" customHeight="1">
      <c r="B488" s="149"/>
      <c r="C488" s="149"/>
    </row>
    <row r="489" spans="2:3" ht="15.75" customHeight="1">
      <c r="B489" s="149"/>
      <c r="C489" s="149"/>
    </row>
    <row r="490" spans="2:3" ht="15.75" customHeight="1">
      <c r="B490" s="149"/>
      <c r="C490" s="149"/>
    </row>
    <row r="491" spans="2:3" ht="15.75" customHeight="1">
      <c r="B491" s="149"/>
      <c r="C491" s="149"/>
    </row>
    <row r="492" spans="2:3" ht="15.75" customHeight="1">
      <c r="B492" s="149"/>
      <c r="C492" s="149"/>
    </row>
    <row r="493" spans="2:3" ht="15.75" customHeight="1">
      <c r="B493" s="149"/>
      <c r="C493" s="149"/>
    </row>
    <row r="494" spans="2:3" ht="15.75" customHeight="1">
      <c r="B494" s="149"/>
      <c r="C494" s="149"/>
    </row>
    <row r="495" spans="2:3" ht="15.75" customHeight="1">
      <c r="B495" s="149"/>
      <c r="C495" s="149"/>
    </row>
    <row r="496" spans="2:3" ht="15.75" customHeight="1">
      <c r="B496" s="149"/>
      <c r="C496" s="149"/>
    </row>
    <row r="497" spans="2:3" ht="15.75" customHeight="1">
      <c r="B497" s="149"/>
      <c r="C497" s="149"/>
    </row>
    <row r="498" spans="2:3" ht="15.75" customHeight="1">
      <c r="B498" s="149"/>
      <c r="C498" s="149"/>
    </row>
    <row r="499" spans="2:3" ht="15.75" customHeight="1">
      <c r="B499" s="149"/>
      <c r="C499" s="149"/>
    </row>
    <row r="500" spans="2:3" ht="15.75" customHeight="1">
      <c r="B500" s="149"/>
      <c r="C500" s="149"/>
    </row>
    <row r="501" spans="2:3" ht="15.75" customHeight="1">
      <c r="B501" s="149"/>
      <c r="C501" s="149"/>
    </row>
    <row r="502" spans="2:3" ht="15.75" customHeight="1">
      <c r="B502" s="149"/>
      <c r="C502" s="149"/>
    </row>
    <row r="503" spans="2:3" ht="15.75" customHeight="1">
      <c r="B503" s="149"/>
      <c r="C503" s="149"/>
    </row>
    <row r="504" spans="2:3" ht="15.75" customHeight="1">
      <c r="B504" s="149"/>
      <c r="C504" s="149"/>
    </row>
    <row r="505" spans="2:3" ht="15.75" customHeight="1">
      <c r="B505" s="149"/>
      <c r="C505" s="149"/>
    </row>
    <row r="506" spans="2:3" ht="15.75" customHeight="1">
      <c r="B506" s="149"/>
      <c r="C506" s="149"/>
    </row>
    <row r="507" spans="2:3" ht="15.75" customHeight="1">
      <c r="B507" s="149"/>
      <c r="C507" s="149"/>
    </row>
    <row r="508" spans="2:3" ht="15.75" customHeight="1">
      <c r="B508" s="149"/>
      <c r="C508" s="149"/>
    </row>
    <row r="509" spans="2:3" ht="15.75" customHeight="1">
      <c r="B509" s="149"/>
      <c r="C509" s="149"/>
    </row>
    <row r="510" spans="2:3" ht="15.75" customHeight="1">
      <c r="B510" s="149"/>
      <c r="C510" s="149"/>
    </row>
    <row r="511" spans="2:3" ht="15.75" customHeight="1">
      <c r="B511" s="149"/>
      <c r="C511" s="149"/>
    </row>
    <row r="512" spans="2:3" ht="15.75" customHeight="1">
      <c r="B512" s="149"/>
      <c r="C512" s="149"/>
    </row>
    <row r="513" spans="2:3" ht="15.75" customHeight="1">
      <c r="B513" s="149"/>
      <c r="C513" s="149"/>
    </row>
    <row r="514" spans="2:3" ht="15.75" customHeight="1">
      <c r="B514" s="149"/>
      <c r="C514" s="149"/>
    </row>
    <row r="515" spans="2:3" ht="15.75" customHeight="1">
      <c r="B515" s="149"/>
      <c r="C515" s="149"/>
    </row>
    <row r="516" spans="2:3" ht="15.75" customHeight="1">
      <c r="B516" s="149"/>
      <c r="C516" s="149"/>
    </row>
    <row r="517" spans="2:3" ht="15.75" customHeight="1">
      <c r="B517" s="149"/>
      <c r="C517" s="149"/>
    </row>
    <row r="518" spans="2:3" ht="15.75" customHeight="1">
      <c r="B518" s="149"/>
      <c r="C518" s="149"/>
    </row>
    <row r="519" spans="2:3" ht="15.75" customHeight="1">
      <c r="B519" s="149"/>
      <c r="C519" s="149"/>
    </row>
    <row r="520" spans="2:3" ht="15.75" customHeight="1">
      <c r="B520" s="149"/>
      <c r="C520" s="149"/>
    </row>
    <row r="521" spans="2:3" ht="15.75" customHeight="1">
      <c r="B521" s="149"/>
      <c r="C521" s="149"/>
    </row>
    <row r="522" spans="2:3" ht="15.75" customHeight="1">
      <c r="B522" s="149"/>
      <c r="C522" s="149"/>
    </row>
    <row r="523" spans="2:3" ht="15.75" customHeight="1">
      <c r="B523" s="149"/>
      <c r="C523" s="149"/>
    </row>
    <row r="524" spans="2:3" ht="15.75" customHeight="1">
      <c r="B524" s="149"/>
      <c r="C524" s="149"/>
    </row>
    <row r="525" spans="2:3" ht="15.75" customHeight="1">
      <c r="B525" s="149"/>
      <c r="C525" s="149"/>
    </row>
    <row r="526" spans="2:3" ht="15.75" customHeight="1">
      <c r="B526" s="149"/>
      <c r="C526" s="149"/>
    </row>
    <row r="527" spans="2:3" ht="15.75" customHeight="1">
      <c r="B527" s="149"/>
      <c r="C527" s="149"/>
    </row>
    <row r="528" spans="2:3" ht="15.75" customHeight="1">
      <c r="B528" s="149"/>
      <c r="C528" s="149"/>
    </row>
    <row r="529" spans="2:3" ht="15.75" customHeight="1">
      <c r="B529" s="149"/>
      <c r="C529" s="149"/>
    </row>
    <row r="530" spans="2:3" ht="15.75" customHeight="1">
      <c r="B530" s="149"/>
      <c r="C530" s="149"/>
    </row>
    <row r="531" spans="2:3" ht="15.75" customHeight="1">
      <c r="B531" s="149"/>
      <c r="C531" s="149"/>
    </row>
    <row r="532" spans="2:3" ht="15.75" customHeight="1">
      <c r="B532" s="149"/>
      <c r="C532" s="149"/>
    </row>
    <row r="533" spans="2:3" ht="15.75" customHeight="1">
      <c r="B533" s="149"/>
      <c r="C533" s="149"/>
    </row>
    <row r="534" spans="2:3" ht="15.75" customHeight="1">
      <c r="B534" s="149"/>
      <c r="C534" s="149"/>
    </row>
    <row r="535" spans="2:3" ht="15.75" customHeight="1">
      <c r="B535" s="149"/>
      <c r="C535" s="149"/>
    </row>
    <row r="536" spans="2:3" ht="15.75" customHeight="1">
      <c r="B536" s="149"/>
      <c r="C536" s="149"/>
    </row>
    <row r="537" spans="2:3" ht="15.75" customHeight="1">
      <c r="B537" s="149"/>
      <c r="C537" s="149"/>
    </row>
    <row r="538" spans="2:3" ht="15.75" customHeight="1">
      <c r="B538" s="149"/>
      <c r="C538" s="149"/>
    </row>
    <row r="539" spans="2:3" ht="15.75" customHeight="1">
      <c r="B539" s="149"/>
      <c r="C539" s="149"/>
    </row>
    <row r="540" spans="2:3" ht="15.75" customHeight="1">
      <c r="B540" s="149"/>
      <c r="C540" s="149"/>
    </row>
    <row r="541" spans="2:3" ht="15.75" customHeight="1">
      <c r="B541" s="149"/>
      <c r="C541" s="149"/>
    </row>
    <row r="542" spans="2:3" ht="15.75" customHeight="1">
      <c r="B542" s="149"/>
      <c r="C542" s="149"/>
    </row>
    <row r="543" spans="2:3" ht="15.75" customHeight="1">
      <c r="B543" s="149"/>
      <c r="C543" s="149"/>
    </row>
    <row r="544" spans="2:3" ht="15.75" customHeight="1">
      <c r="B544" s="149"/>
      <c r="C544" s="149"/>
    </row>
    <row r="545" spans="2:3" ht="15.75" customHeight="1">
      <c r="B545" s="149"/>
      <c r="C545" s="149"/>
    </row>
    <row r="546" spans="2:3" ht="15.75" customHeight="1">
      <c r="B546" s="149"/>
      <c r="C546" s="149"/>
    </row>
    <row r="547" spans="2:3" ht="15.75" customHeight="1">
      <c r="B547" s="149"/>
      <c r="C547" s="149"/>
    </row>
    <row r="548" spans="2:3" ht="15.75" customHeight="1">
      <c r="B548" s="149"/>
      <c r="C548" s="149"/>
    </row>
    <row r="549" spans="2:3" ht="15.75" customHeight="1">
      <c r="B549" s="149"/>
      <c r="C549" s="149"/>
    </row>
    <row r="550" spans="2:3" ht="15.75" customHeight="1">
      <c r="B550" s="149"/>
      <c r="C550" s="149"/>
    </row>
    <row r="551" spans="2:3" ht="15.75" customHeight="1">
      <c r="B551" s="149"/>
      <c r="C551" s="149"/>
    </row>
    <row r="552" spans="2:3" ht="15.75" customHeight="1">
      <c r="B552" s="149"/>
      <c r="C552" s="149"/>
    </row>
    <row r="553" spans="2:3" ht="15.75" customHeight="1">
      <c r="B553" s="149"/>
      <c r="C553" s="149"/>
    </row>
    <row r="554" spans="2:3" ht="15.75" customHeight="1">
      <c r="B554" s="149"/>
      <c r="C554" s="149"/>
    </row>
    <row r="555" spans="2:3" ht="15.75" customHeight="1">
      <c r="B555" s="149"/>
      <c r="C555" s="149"/>
    </row>
    <row r="556" spans="2:3" ht="15.75" customHeight="1">
      <c r="B556" s="149"/>
      <c r="C556" s="149"/>
    </row>
    <row r="557" spans="2:3" ht="15.75" customHeight="1">
      <c r="B557" s="149"/>
      <c r="C557" s="149"/>
    </row>
    <row r="558" spans="2:3" ht="15.75" customHeight="1">
      <c r="B558" s="149"/>
      <c r="C558" s="149"/>
    </row>
    <row r="559" spans="2:3" ht="15.75" customHeight="1">
      <c r="B559" s="149"/>
      <c r="C559" s="149"/>
    </row>
    <row r="560" spans="2:3" ht="15.75" customHeight="1">
      <c r="B560" s="149"/>
      <c r="C560" s="149"/>
    </row>
    <row r="561" spans="2:3" ht="15.75" customHeight="1">
      <c r="B561" s="149"/>
      <c r="C561" s="149"/>
    </row>
    <row r="562" spans="2:3" ht="15.75" customHeight="1">
      <c r="B562" s="149"/>
      <c r="C562" s="149"/>
    </row>
    <row r="563" spans="2:3" ht="15.75" customHeight="1">
      <c r="B563" s="149"/>
      <c r="C563" s="149"/>
    </row>
    <row r="564" spans="2:3" ht="15.75" customHeight="1">
      <c r="B564" s="149"/>
      <c r="C564" s="149"/>
    </row>
    <row r="565" spans="2:3" ht="15.75" customHeight="1">
      <c r="B565" s="149"/>
      <c r="C565" s="149"/>
    </row>
    <row r="566" spans="2:3" ht="15.75" customHeight="1">
      <c r="B566" s="149"/>
      <c r="C566" s="149"/>
    </row>
    <row r="567" spans="2:3" ht="15.75" customHeight="1">
      <c r="B567" s="149"/>
      <c r="C567" s="149"/>
    </row>
    <row r="568" spans="2:3" ht="15.75" customHeight="1">
      <c r="B568" s="149"/>
      <c r="C568" s="149"/>
    </row>
    <row r="569" spans="2:3" ht="15.75" customHeight="1">
      <c r="B569" s="149"/>
      <c r="C569" s="149"/>
    </row>
    <row r="570" spans="2:3" ht="15.75" customHeight="1">
      <c r="B570" s="149"/>
      <c r="C570" s="149"/>
    </row>
    <row r="571" spans="2:3" ht="15.75" customHeight="1">
      <c r="B571" s="149"/>
      <c r="C571" s="149"/>
    </row>
    <row r="572" spans="2:3" ht="15.75" customHeight="1">
      <c r="B572" s="149"/>
      <c r="C572" s="149"/>
    </row>
    <row r="573" spans="2:3" ht="15.75" customHeight="1">
      <c r="B573" s="149"/>
      <c r="C573" s="149"/>
    </row>
    <row r="574" spans="2:3" ht="15.75" customHeight="1">
      <c r="B574" s="149"/>
      <c r="C574" s="149"/>
    </row>
    <row r="575" spans="2:3" ht="15.75" customHeight="1">
      <c r="B575" s="149"/>
      <c r="C575" s="149"/>
    </row>
    <row r="576" spans="2:3" ht="15.75" customHeight="1">
      <c r="B576" s="149"/>
      <c r="C576" s="149"/>
    </row>
    <row r="577" spans="2:3" ht="15.75" customHeight="1">
      <c r="B577" s="149"/>
      <c r="C577" s="149"/>
    </row>
    <row r="578" spans="2:3" ht="15.75" customHeight="1">
      <c r="B578" s="149"/>
      <c r="C578" s="149"/>
    </row>
    <row r="579" spans="2:3" ht="15.75" customHeight="1">
      <c r="B579" s="149"/>
      <c r="C579" s="149"/>
    </row>
    <row r="580" spans="2:3" ht="15.75" customHeight="1">
      <c r="B580" s="149"/>
      <c r="C580" s="149"/>
    </row>
    <row r="581" spans="2:3" ht="15.75" customHeight="1">
      <c r="B581" s="149"/>
      <c r="C581" s="149"/>
    </row>
    <row r="582" spans="2:3" ht="15.75" customHeight="1">
      <c r="B582" s="149"/>
      <c r="C582" s="149"/>
    </row>
    <row r="583" spans="2:3" ht="15.75" customHeight="1">
      <c r="B583" s="149"/>
      <c r="C583" s="149"/>
    </row>
    <row r="584" spans="2:3" ht="15.75" customHeight="1">
      <c r="B584" s="149"/>
      <c r="C584" s="149"/>
    </row>
    <row r="585" spans="2:3" ht="15.75" customHeight="1">
      <c r="B585" s="149"/>
      <c r="C585" s="149"/>
    </row>
    <row r="586" spans="2:3" ht="15.75" customHeight="1">
      <c r="B586" s="149"/>
      <c r="C586" s="149"/>
    </row>
    <row r="587" spans="2:3" ht="15.75" customHeight="1">
      <c r="B587" s="149"/>
      <c r="C587" s="149"/>
    </row>
    <row r="588" spans="2:3" ht="15.75" customHeight="1">
      <c r="B588" s="149"/>
      <c r="C588" s="149"/>
    </row>
    <row r="589" spans="2:3" ht="15.75" customHeight="1">
      <c r="B589" s="149"/>
      <c r="C589" s="149"/>
    </row>
    <row r="590" spans="2:3" ht="15.75" customHeight="1">
      <c r="B590" s="149"/>
      <c r="C590" s="149"/>
    </row>
    <row r="591" spans="2:3" ht="15.75" customHeight="1">
      <c r="B591" s="149"/>
      <c r="C591" s="149"/>
    </row>
    <row r="592" spans="2:3" ht="15.75" customHeight="1">
      <c r="B592" s="149"/>
      <c r="C592" s="149"/>
    </row>
    <row r="593" spans="2:3" ht="15.75" customHeight="1">
      <c r="B593" s="149"/>
      <c r="C593" s="149"/>
    </row>
    <row r="594" spans="2:3" ht="15.75" customHeight="1">
      <c r="B594" s="149"/>
      <c r="C594" s="149"/>
    </row>
    <row r="595" spans="2:3" ht="15.75" customHeight="1">
      <c r="B595" s="149"/>
      <c r="C595" s="149"/>
    </row>
    <row r="596" spans="2:3" ht="15.75" customHeight="1">
      <c r="B596" s="149"/>
      <c r="C596" s="149"/>
    </row>
    <row r="597" spans="2:3" ht="15.75" customHeight="1">
      <c r="B597" s="149"/>
      <c r="C597" s="149"/>
    </row>
    <row r="598" spans="2:3" ht="15.75" customHeight="1">
      <c r="B598" s="149"/>
      <c r="C598" s="149"/>
    </row>
    <row r="599" spans="2:3" ht="15.75" customHeight="1">
      <c r="B599" s="149"/>
      <c r="C599" s="149"/>
    </row>
    <row r="600" spans="2:3" ht="15.75" customHeight="1">
      <c r="B600" s="149"/>
      <c r="C600" s="149"/>
    </row>
    <row r="601" spans="2:3" ht="15.75" customHeight="1">
      <c r="B601" s="149"/>
      <c r="C601" s="149"/>
    </row>
    <row r="602" spans="2:3" ht="15.75" customHeight="1">
      <c r="B602" s="149"/>
      <c r="C602" s="149"/>
    </row>
    <row r="603" spans="2:3" ht="15.75" customHeight="1">
      <c r="B603" s="149"/>
      <c r="C603" s="149"/>
    </row>
    <row r="604" spans="2:3" ht="15.75" customHeight="1">
      <c r="B604" s="149"/>
      <c r="C604" s="149"/>
    </row>
    <row r="605" spans="2:3" ht="15.75" customHeight="1">
      <c r="B605" s="149"/>
      <c r="C605" s="149"/>
    </row>
    <row r="606" spans="2:3" ht="15.75" customHeight="1">
      <c r="B606" s="149"/>
      <c r="C606" s="149"/>
    </row>
    <row r="607" spans="2:3" ht="15.75" customHeight="1">
      <c r="B607" s="149"/>
      <c r="C607" s="149"/>
    </row>
    <row r="608" spans="2:3" ht="15.75" customHeight="1">
      <c r="B608" s="149"/>
      <c r="C608" s="149"/>
    </row>
    <row r="609" spans="2:3" ht="15.75" customHeight="1">
      <c r="B609" s="149"/>
      <c r="C609" s="149"/>
    </row>
    <row r="610" spans="2:3" ht="15.75" customHeight="1">
      <c r="B610" s="149"/>
      <c r="C610" s="149"/>
    </row>
    <row r="611" spans="2:3" ht="15.75" customHeight="1">
      <c r="B611" s="149"/>
      <c r="C611" s="149"/>
    </row>
    <row r="612" spans="2:3" ht="15.75" customHeight="1">
      <c r="B612" s="149"/>
      <c r="C612" s="149"/>
    </row>
    <row r="613" spans="2:3" ht="15.75" customHeight="1">
      <c r="B613" s="149"/>
      <c r="C613" s="149"/>
    </row>
    <row r="614" spans="2:3" ht="15.75" customHeight="1">
      <c r="B614" s="149"/>
      <c r="C614" s="149"/>
    </row>
    <row r="615" spans="2:3" ht="15.75" customHeight="1">
      <c r="B615" s="149"/>
      <c r="C615" s="149"/>
    </row>
    <row r="616" spans="2:3" ht="15.75" customHeight="1">
      <c r="B616" s="149"/>
      <c r="C616" s="149"/>
    </row>
    <row r="617" spans="2:3" ht="15.75" customHeight="1">
      <c r="B617" s="149"/>
      <c r="C617" s="149"/>
    </row>
    <row r="618" spans="2:3" ht="15.75" customHeight="1">
      <c r="B618" s="149"/>
      <c r="C618" s="149"/>
    </row>
    <row r="619" spans="2:3" ht="15.75" customHeight="1">
      <c r="B619" s="149"/>
      <c r="C619" s="149"/>
    </row>
    <row r="620" spans="2:3" ht="15.75" customHeight="1">
      <c r="B620" s="149"/>
      <c r="C620" s="149"/>
    </row>
    <row r="621" spans="2:3" ht="15.75" customHeight="1">
      <c r="B621" s="149"/>
      <c r="C621" s="149"/>
    </row>
    <row r="622" spans="2:3" ht="15.75" customHeight="1">
      <c r="B622" s="149"/>
      <c r="C622" s="149"/>
    </row>
    <row r="623" spans="2:3" ht="15.75" customHeight="1">
      <c r="B623" s="149"/>
      <c r="C623" s="149"/>
    </row>
    <row r="624" spans="2:3" ht="15.75" customHeight="1">
      <c r="B624" s="149"/>
      <c r="C624" s="149"/>
    </row>
    <row r="625" spans="2:3" ht="15.75" customHeight="1">
      <c r="B625" s="149"/>
      <c r="C625" s="149"/>
    </row>
    <row r="626" spans="2:3" ht="15.75" customHeight="1">
      <c r="B626" s="149"/>
      <c r="C626" s="149"/>
    </row>
    <row r="627" spans="2:3" ht="15.75" customHeight="1">
      <c r="B627" s="149"/>
      <c r="C627" s="149"/>
    </row>
    <row r="628" spans="2:3" ht="15.75" customHeight="1">
      <c r="B628" s="149"/>
      <c r="C628" s="149"/>
    </row>
    <row r="629" spans="2:3" ht="15.75" customHeight="1">
      <c r="B629" s="149"/>
      <c r="C629" s="149"/>
    </row>
    <row r="630" spans="2:3" ht="15.75" customHeight="1">
      <c r="B630" s="149"/>
      <c r="C630" s="149"/>
    </row>
    <row r="631" spans="2:3" ht="15.75" customHeight="1">
      <c r="B631" s="149"/>
      <c r="C631" s="149"/>
    </row>
    <row r="632" spans="2:3" ht="15.75" customHeight="1">
      <c r="B632" s="149"/>
      <c r="C632" s="149"/>
    </row>
    <row r="633" spans="2:3" ht="15.75" customHeight="1">
      <c r="B633" s="149"/>
      <c r="C633" s="149"/>
    </row>
    <row r="634" spans="2:3" ht="15.75" customHeight="1">
      <c r="B634" s="149"/>
      <c r="C634" s="149"/>
    </row>
    <row r="635" spans="2:3" ht="15.75" customHeight="1">
      <c r="B635" s="149"/>
      <c r="C635" s="149"/>
    </row>
    <row r="636" spans="2:3" ht="15.75" customHeight="1">
      <c r="B636" s="149"/>
      <c r="C636" s="149"/>
    </row>
    <row r="637" spans="2:3" ht="15.75" customHeight="1">
      <c r="B637" s="149"/>
      <c r="C637" s="149"/>
    </row>
    <row r="638" spans="2:3" ht="15.75" customHeight="1">
      <c r="B638" s="149"/>
      <c r="C638" s="149"/>
    </row>
    <row r="639" spans="2:3" ht="15.75" customHeight="1">
      <c r="B639" s="149"/>
      <c r="C639" s="149"/>
    </row>
    <row r="640" spans="2:3" ht="15.75" customHeight="1">
      <c r="B640" s="149"/>
      <c r="C640" s="149"/>
    </row>
    <row r="641" spans="2:3" ht="15.75" customHeight="1">
      <c r="B641" s="149"/>
      <c r="C641" s="149"/>
    </row>
    <row r="642" spans="2:3" ht="15.75" customHeight="1">
      <c r="B642" s="149"/>
      <c r="C642" s="149"/>
    </row>
    <row r="643" spans="2:3" ht="15.75" customHeight="1">
      <c r="B643" s="149"/>
      <c r="C643" s="149"/>
    </row>
    <row r="644" spans="2:3" ht="15.75" customHeight="1">
      <c r="B644" s="149"/>
      <c r="C644" s="149"/>
    </row>
    <row r="645" spans="2:3" ht="15.75" customHeight="1">
      <c r="B645" s="149"/>
      <c r="C645" s="149"/>
    </row>
    <row r="646" spans="2:3" ht="15.75" customHeight="1">
      <c r="B646" s="149"/>
      <c r="C646" s="149"/>
    </row>
    <row r="647" spans="2:3" ht="15.75" customHeight="1">
      <c r="B647" s="149"/>
      <c r="C647" s="149"/>
    </row>
    <row r="648" spans="2:3" ht="15.75" customHeight="1">
      <c r="B648" s="149"/>
      <c r="C648" s="149"/>
    </row>
    <row r="649" spans="2:3" ht="15.75" customHeight="1">
      <c r="B649" s="149"/>
      <c r="C649" s="149"/>
    </row>
    <row r="650" spans="2:3" ht="15.75" customHeight="1">
      <c r="B650" s="149"/>
      <c r="C650" s="149"/>
    </row>
    <row r="651" spans="2:3" ht="15.75" customHeight="1">
      <c r="B651" s="149"/>
      <c r="C651" s="149"/>
    </row>
    <row r="652" spans="2:3" ht="15.75" customHeight="1">
      <c r="B652" s="149"/>
      <c r="C652" s="149"/>
    </row>
    <row r="653" spans="2:3" ht="15.75" customHeight="1">
      <c r="B653" s="149"/>
      <c r="C653" s="149"/>
    </row>
    <row r="654" spans="2:3" ht="15.75" customHeight="1">
      <c r="B654" s="149"/>
      <c r="C654" s="149"/>
    </row>
    <row r="655" spans="2:3" ht="15.75" customHeight="1">
      <c r="B655" s="149"/>
      <c r="C655" s="149"/>
    </row>
    <row r="656" spans="2:3" ht="15.75" customHeight="1">
      <c r="B656" s="149"/>
      <c r="C656" s="149"/>
    </row>
    <row r="657" spans="2:3" ht="15.75" customHeight="1">
      <c r="B657" s="149"/>
      <c r="C657" s="149"/>
    </row>
    <row r="658" spans="2:3" ht="15.75" customHeight="1">
      <c r="B658" s="149"/>
      <c r="C658" s="149"/>
    </row>
    <row r="659" spans="2:3" ht="15.75" customHeight="1">
      <c r="B659" s="149"/>
      <c r="C659" s="149"/>
    </row>
    <row r="660" spans="2:3" ht="15.75" customHeight="1">
      <c r="B660" s="149"/>
      <c r="C660" s="149"/>
    </row>
    <row r="661" spans="2:3" ht="15.75" customHeight="1">
      <c r="B661" s="149"/>
      <c r="C661" s="149"/>
    </row>
    <row r="662" spans="2:3" ht="15.75" customHeight="1">
      <c r="B662" s="149"/>
      <c r="C662" s="149"/>
    </row>
    <row r="663" spans="2:3" ht="15.75" customHeight="1">
      <c r="B663" s="149"/>
      <c r="C663" s="149"/>
    </row>
    <row r="664" spans="2:3" ht="15.75" customHeight="1">
      <c r="B664" s="149"/>
      <c r="C664" s="149"/>
    </row>
    <row r="665" spans="2:3" ht="15.75" customHeight="1">
      <c r="B665" s="149"/>
      <c r="C665" s="149"/>
    </row>
    <row r="666" spans="2:3" ht="15.75" customHeight="1">
      <c r="B666" s="149"/>
      <c r="C666" s="149"/>
    </row>
    <row r="667" spans="2:3" ht="15.75" customHeight="1">
      <c r="B667" s="149"/>
      <c r="C667" s="149"/>
    </row>
    <row r="668" spans="2:3" ht="15.75" customHeight="1">
      <c r="B668" s="149"/>
      <c r="C668" s="149"/>
    </row>
    <row r="669" spans="2:3" ht="15.75" customHeight="1">
      <c r="B669" s="149"/>
      <c r="C669" s="149"/>
    </row>
    <row r="670" spans="2:3" ht="15.75" customHeight="1">
      <c r="B670" s="149"/>
      <c r="C670" s="149"/>
    </row>
    <row r="671" spans="2:3" ht="15.75" customHeight="1">
      <c r="B671" s="149"/>
      <c r="C671" s="149"/>
    </row>
    <row r="672" spans="2:3" ht="15.75" customHeight="1">
      <c r="B672" s="149"/>
      <c r="C672" s="149"/>
    </row>
    <row r="673" spans="2:3" ht="15.75" customHeight="1">
      <c r="B673" s="149"/>
      <c r="C673" s="149"/>
    </row>
    <row r="674" spans="2:3" ht="15.75" customHeight="1">
      <c r="B674" s="149"/>
      <c r="C674" s="149"/>
    </row>
    <row r="675" spans="2:3" ht="15.75" customHeight="1">
      <c r="B675" s="149"/>
      <c r="C675" s="149"/>
    </row>
    <row r="676" spans="2:3" ht="15.75" customHeight="1">
      <c r="B676" s="149"/>
      <c r="C676" s="149"/>
    </row>
    <row r="677" spans="2:3" ht="15.75" customHeight="1">
      <c r="B677" s="149"/>
      <c r="C677" s="149"/>
    </row>
    <row r="678" spans="2:3" ht="15.75" customHeight="1">
      <c r="B678" s="149"/>
      <c r="C678" s="149"/>
    </row>
    <row r="679" spans="2:3" ht="15.75" customHeight="1">
      <c r="B679" s="149"/>
      <c r="C679" s="149"/>
    </row>
    <row r="680" spans="2:3" ht="15.75" customHeight="1">
      <c r="B680" s="149"/>
      <c r="C680" s="149"/>
    </row>
    <row r="681" spans="2:3" ht="15.75" customHeight="1">
      <c r="B681" s="149"/>
      <c r="C681" s="149"/>
    </row>
    <row r="682" spans="2:3" ht="15.75" customHeight="1">
      <c r="B682" s="149"/>
      <c r="C682" s="149"/>
    </row>
    <row r="683" spans="2:3" ht="15.75" customHeight="1">
      <c r="B683" s="149"/>
      <c r="C683" s="149"/>
    </row>
    <row r="684" spans="2:3" ht="15.75" customHeight="1">
      <c r="B684" s="149"/>
      <c r="C684" s="149"/>
    </row>
    <row r="685" spans="2:3" ht="15.75" customHeight="1">
      <c r="B685" s="149"/>
      <c r="C685" s="149"/>
    </row>
    <row r="686" spans="2:3" ht="15.75" customHeight="1">
      <c r="B686" s="149"/>
      <c r="C686" s="149"/>
    </row>
    <row r="687" spans="2:3" ht="15.75" customHeight="1">
      <c r="B687" s="149"/>
      <c r="C687" s="149"/>
    </row>
    <row r="688" spans="2:3" ht="15.75" customHeight="1">
      <c r="B688" s="149"/>
      <c r="C688" s="149"/>
    </row>
    <row r="689" spans="2:3" ht="15.75" customHeight="1">
      <c r="B689" s="149"/>
      <c r="C689" s="149"/>
    </row>
    <row r="690" spans="2:3" ht="15.75" customHeight="1">
      <c r="B690" s="149"/>
      <c r="C690" s="149"/>
    </row>
    <row r="691" spans="2:3" ht="15.75" customHeight="1">
      <c r="B691" s="149"/>
      <c r="C691" s="149"/>
    </row>
    <row r="692" spans="2:3" ht="15.75" customHeight="1">
      <c r="B692" s="149"/>
      <c r="C692" s="149"/>
    </row>
    <row r="693" spans="2:3" ht="15.75" customHeight="1">
      <c r="B693" s="149"/>
      <c r="C693" s="149"/>
    </row>
    <row r="694" spans="2:3" ht="15.75" customHeight="1">
      <c r="B694" s="149"/>
      <c r="C694" s="149"/>
    </row>
    <row r="695" spans="2:3" ht="15.75" customHeight="1">
      <c r="B695" s="149"/>
      <c r="C695" s="149"/>
    </row>
    <row r="696" spans="2:3" ht="15.75" customHeight="1">
      <c r="B696" s="149"/>
      <c r="C696" s="149"/>
    </row>
    <row r="697" spans="2:3" ht="15.75" customHeight="1">
      <c r="B697" s="149"/>
      <c r="C697" s="149"/>
    </row>
    <row r="698" spans="2:3" ht="15.75" customHeight="1">
      <c r="B698" s="149"/>
      <c r="C698" s="149"/>
    </row>
    <row r="699" spans="2:3" ht="15.75" customHeight="1">
      <c r="B699" s="149"/>
      <c r="C699" s="149"/>
    </row>
    <row r="700" spans="2:3" ht="15.75" customHeight="1">
      <c r="B700" s="149"/>
      <c r="C700" s="149"/>
    </row>
    <row r="701" spans="2:3" ht="15.75" customHeight="1">
      <c r="B701" s="149"/>
      <c r="C701" s="149"/>
    </row>
    <row r="702" spans="2:3" ht="15.75" customHeight="1">
      <c r="B702" s="149"/>
      <c r="C702" s="149"/>
    </row>
    <row r="703" spans="2:3" ht="15.75" customHeight="1">
      <c r="B703" s="149"/>
      <c r="C703" s="149"/>
    </row>
    <row r="704" spans="2:3" ht="15.75" customHeight="1">
      <c r="B704" s="149"/>
      <c r="C704" s="149"/>
    </row>
    <row r="705" spans="2:3" ht="15.75" customHeight="1">
      <c r="B705" s="149"/>
      <c r="C705" s="149"/>
    </row>
    <row r="706" spans="2:3" ht="15.75" customHeight="1">
      <c r="B706" s="149"/>
      <c r="C706" s="149"/>
    </row>
    <row r="707" spans="2:3" ht="15.75" customHeight="1">
      <c r="B707" s="149"/>
      <c r="C707" s="149"/>
    </row>
    <row r="708" spans="2:3" ht="15.75" customHeight="1">
      <c r="B708" s="149"/>
      <c r="C708" s="149"/>
    </row>
    <row r="709" spans="2:3" ht="15.75" customHeight="1">
      <c r="B709" s="149"/>
      <c r="C709" s="149"/>
    </row>
    <row r="710" spans="2:3" ht="15.75" customHeight="1">
      <c r="B710" s="149"/>
      <c r="C710" s="149"/>
    </row>
    <row r="711" spans="2:3" ht="15.75" customHeight="1">
      <c r="B711" s="149"/>
      <c r="C711" s="149"/>
    </row>
    <row r="712" spans="2:3" ht="15.75" customHeight="1">
      <c r="B712" s="149"/>
      <c r="C712" s="149"/>
    </row>
    <row r="713" spans="2:3" ht="15.75" customHeight="1">
      <c r="B713" s="149"/>
      <c r="C713" s="149"/>
    </row>
    <row r="714" spans="2:3" ht="15.75" customHeight="1">
      <c r="B714" s="149"/>
      <c r="C714" s="149"/>
    </row>
    <row r="715" spans="2:3" ht="15.75" customHeight="1">
      <c r="B715" s="149"/>
      <c r="C715" s="149"/>
    </row>
    <row r="716" spans="2:3" ht="15.75" customHeight="1">
      <c r="B716" s="149"/>
      <c r="C716" s="149"/>
    </row>
    <row r="717" spans="2:3" ht="15.75" customHeight="1">
      <c r="B717" s="149"/>
      <c r="C717" s="149"/>
    </row>
    <row r="718" spans="2:3" ht="15.75" customHeight="1">
      <c r="B718" s="149"/>
      <c r="C718" s="149"/>
    </row>
    <row r="719" spans="2:3" ht="15.75" customHeight="1">
      <c r="B719" s="149"/>
      <c r="C719" s="149"/>
    </row>
    <row r="720" spans="2:3" ht="15.75" customHeight="1">
      <c r="B720" s="149"/>
      <c r="C720" s="149"/>
    </row>
    <row r="721" spans="2:3" ht="15.75" customHeight="1">
      <c r="B721" s="149"/>
      <c r="C721" s="149"/>
    </row>
    <row r="722" spans="2:3" ht="15.75" customHeight="1">
      <c r="B722" s="149"/>
      <c r="C722" s="149"/>
    </row>
    <row r="723" spans="2:3" ht="15.75" customHeight="1">
      <c r="B723" s="149"/>
      <c r="C723" s="149"/>
    </row>
    <row r="724" spans="2:3" ht="15.75" customHeight="1">
      <c r="B724" s="149"/>
      <c r="C724" s="149"/>
    </row>
    <row r="725" spans="2:3" ht="15.75" customHeight="1">
      <c r="B725" s="149"/>
      <c r="C725" s="149"/>
    </row>
    <row r="726" spans="2:3" ht="15.75" customHeight="1">
      <c r="B726" s="149"/>
      <c r="C726" s="149"/>
    </row>
    <row r="727" spans="2:3" ht="15.75" customHeight="1">
      <c r="B727" s="149"/>
      <c r="C727" s="149"/>
    </row>
    <row r="728" spans="2:3" ht="15.75" customHeight="1">
      <c r="B728" s="149"/>
      <c r="C728" s="149"/>
    </row>
    <row r="729" spans="2:3" ht="15.75" customHeight="1">
      <c r="B729" s="149"/>
      <c r="C729" s="149"/>
    </row>
    <row r="730" spans="2:3" ht="15.75" customHeight="1">
      <c r="B730" s="149"/>
      <c r="C730" s="149"/>
    </row>
    <row r="731" spans="2:3" ht="15.75" customHeight="1">
      <c r="B731" s="149"/>
      <c r="C731" s="149"/>
    </row>
    <row r="732" spans="2:3" ht="15.75" customHeight="1">
      <c r="B732" s="149"/>
      <c r="C732" s="149"/>
    </row>
    <row r="733" spans="2:3" ht="15.75" customHeight="1">
      <c r="B733" s="149"/>
      <c r="C733" s="149"/>
    </row>
    <row r="734" spans="2:3" ht="15.75" customHeight="1">
      <c r="B734" s="149"/>
      <c r="C734" s="149"/>
    </row>
    <row r="735" spans="2:3" ht="15.75" customHeight="1">
      <c r="B735" s="149"/>
      <c r="C735" s="149"/>
    </row>
    <row r="736" spans="2:3" ht="15.75" customHeight="1">
      <c r="B736" s="149"/>
      <c r="C736" s="149"/>
    </row>
    <row r="737" spans="2:3" ht="15.75" customHeight="1">
      <c r="B737" s="149"/>
      <c r="C737" s="149"/>
    </row>
    <row r="738" spans="2:3" ht="15.75" customHeight="1">
      <c r="B738" s="149"/>
      <c r="C738" s="149"/>
    </row>
    <row r="739" spans="2:3" ht="15.75" customHeight="1">
      <c r="B739" s="149"/>
      <c r="C739" s="149"/>
    </row>
    <row r="740" spans="2:3" ht="15.75" customHeight="1">
      <c r="B740" s="149"/>
      <c r="C740" s="149"/>
    </row>
    <row r="741" spans="2:3" ht="15.75" customHeight="1">
      <c r="B741" s="149"/>
      <c r="C741" s="149"/>
    </row>
    <row r="742" spans="2:3" ht="15.75" customHeight="1">
      <c r="B742" s="149"/>
      <c r="C742" s="149"/>
    </row>
    <row r="743" spans="2:3" ht="15.75" customHeight="1">
      <c r="B743" s="149"/>
      <c r="C743" s="149"/>
    </row>
    <row r="744" spans="2:3" ht="15.75" customHeight="1">
      <c r="B744" s="149"/>
      <c r="C744" s="149"/>
    </row>
    <row r="745" spans="2:3" ht="15.75" customHeight="1">
      <c r="B745" s="149"/>
      <c r="C745" s="149"/>
    </row>
    <row r="746" spans="2:3" ht="15.75" customHeight="1">
      <c r="B746" s="149"/>
      <c r="C746" s="149"/>
    </row>
    <row r="747" spans="2:3" ht="15.75" customHeight="1">
      <c r="B747" s="149"/>
      <c r="C747" s="149"/>
    </row>
    <row r="748" spans="2:3" ht="15.75" customHeight="1">
      <c r="B748" s="149"/>
      <c r="C748" s="149"/>
    </row>
    <row r="749" spans="2:3" ht="15.75" customHeight="1">
      <c r="B749" s="149"/>
      <c r="C749" s="149"/>
    </row>
    <row r="750" spans="2:3" ht="15.75" customHeight="1">
      <c r="B750" s="149"/>
      <c r="C750" s="149"/>
    </row>
    <row r="751" spans="2:3" ht="15.75" customHeight="1">
      <c r="B751" s="149"/>
      <c r="C751" s="149"/>
    </row>
    <row r="752" spans="2:3" ht="15.75" customHeight="1">
      <c r="B752" s="149"/>
      <c r="C752" s="149"/>
    </row>
    <row r="753" spans="2:3" ht="15.75" customHeight="1">
      <c r="B753" s="149"/>
      <c r="C753" s="149"/>
    </row>
    <row r="754" spans="2:3" ht="15.75" customHeight="1">
      <c r="B754" s="149"/>
      <c r="C754" s="149"/>
    </row>
    <row r="755" spans="2:3" ht="15.75" customHeight="1">
      <c r="B755" s="149"/>
      <c r="C755" s="149"/>
    </row>
    <row r="756" spans="2:3" ht="15.75" customHeight="1">
      <c r="B756" s="149"/>
      <c r="C756" s="149"/>
    </row>
    <row r="757" spans="2:3" ht="15.75" customHeight="1">
      <c r="B757" s="149"/>
      <c r="C757" s="149"/>
    </row>
    <row r="758" spans="2:3" ht="15.75" customHeight="1">
      <c r="B758" s="149"/>
      <c r="C758" s="149"/>
    </row>
    <row r="759" spans="2:3" ht="15.75" customHeight="1">
      <c r="B759" s="149"/>
      <c r="C759" s="149"/>
    </row>
    <row r="760" spans="2:3" ht="15.75" customHeight="1">
      <c r="B760" s="149"/>
      <c r="C760" s="149"/>
    </row>
    <row r="761" spans="2:3" ht="15.75" customHeight="1">
      <c r="B761" s="149"/>
      <c r="C761" s="149"/>
    </row>
    <row r="762" spans="2:3" ht="15.75" customHeight="1">
      <c r="B762" s="149"/>
      <c r="C762" s="149"/>
    </row>
    <row r="763" spans="2:3" ht="15.75" customHeight="1">
      <c r="B763" s="149"/>
      <c r="C763" s="149"/>
    </row>
    <row r="764" spans="2:3" ht="15.75" customHeight="1">
      <c r="B764" s="149"/>
      <c r="C764" s="149"/>
    </row>
    <row r="765" spans="2:3" ht="15.75" customHeight="1">
      <c r="B765" s="149"/>
      <c r="C765" s="149"/>
    </row>
    <row r="766" spans="2:3" ht="15.75" customHeight="1">
      <c r="B766" s="149"/>
      <c r="C766" s="149"/>
    </row>
    <row r="767" spans="2:3" ht="15.75" customHeight="1">
      <c r="B767" s="149"/>
      <c r="C767" s="149"/>
    </row>
    <row r="768" spans="2:3" ht="15.75" customHeight="1">
      <c r="B768" s="149"/>
      <c r="C768" s="149"/>
    </row>
    <row r="769" spans="2:3" ht="15.75" customHeight="1">
      <c r="B769" s="149"/>
      <c r="C769" s="149"/>
    </row>
    <row r="770" spans="2:3" ht="15.75" customHeight="1">
      <c r="B770" s="149"/>
      <c r="C770" s="149"/>
    </row>
    <row r="771" spans="2:3" ht="15.75" customHeight="1">
      <c r="B771" s="149"/>
      <c r="C771" s="149"/>
    </row>
    <row r="772" spans="2:3" ht="15.75" customHeight="1">
      <c r="B772" s="149"/>
      <c r="C772" s="149"/>
    </row>
    <row r="773" spans="2:3" ht="15.75" customHeight="1">
      <c r="B773" s="149"/>
      <c r="C773" s="149"/>
    </row>
    <row r="774" spans="2:3" ht="15.75" customHeight="1">
      <c r="B774" s="149"/>
      <c r="C774" s="149"/>
    </row>
    <row r="775" spans="2:3" ht="15.75" customHeight="1">
      <c r="B775" s="149"/>
      <c r="C775" s="149"/>
    </row>
    <row r="776" spans="2:3" ht="15.75" customHeight="1">
      <c r="B776" s="149"/>
      <c r="C776" s="149"/>
    </row>
    <row r="777" spans="2:3" ht="15.75" customHeight="1">
      <c r="B777" s="149"/>
      <c r="C777" s="149"/>
    </row>
    <row r="778" spans="2:3" ht="15.75" customHeight="1">
      <c r="B778" s="149"/>
      <c r="C778" s="149"/>
    </row>
    <row r="779" spans="2:3" ht="15.75" customHeight="1">
      <c r="B779" s="149"/>
      <c r="C779" s="149"/>
    </row>
    <row r="780" spans="2:3" ht="15.75" customHeight="1">
      <c r="B780" s="149"/>
      <c r="C780" s="149"/>
    </row>
    <row r="781" spans="2:3" ht="15.75" customHeight="1">
      <c r="B781" s="149"/>
      <c r="C781" s="149"/>
    </row>
    <row r="782" spans="2:3" ht="15.75" customHeight="1">
      <c r="B782" s="149"/>
      <c r="C782" s="149"/>
    </row>
    <row r="783" spans="2:3" ht="15.75" customHeight="1">
      <c r="B783" s="149"/>
      <c r="C783" s="149"/>
    </row>
    <row r="784" spans="2:3" ht="15.75" customHeight="1">
      <c r="B784" s="149"/>
      <c r="C784" s="149"/>
    </row>
    <row r="785" spans="2:3" ht="15.75" customHeight="1">
      <c r="B785" s="149"/>
      <c r="C785" s="149"/>
    </row>
    <row r="786" spans="2:3" ht="15.75" customHeight="1">
      <c r="B786" s="149"/>
      <c r="C786" s="149"/>
    </row>
    <row r="787" spans="2:3" ht="15.75" customHeight="1">
      <c r="B787" s="149"/>
      <c r="C787" s="149"/>
    </row>
    <row r="788" spans="2:3" ht="15.75" customHeight="1">
      <c r="B788" s="149"/>
      <c r="C788" s="149"/>
    </row>
    <row r="789" spans="2:3" ht="15.75" customHeight="1">
      <c r="B789" s="149"/>
      <c r="C789" s="149"/>
    </row>
    <row r="790" spans="2:3" ht="15.75" customHeight="1">
      <c r="B790" s="149"/>
      <c r="C790" s="149"/>
    </row>
    <row r="791" spans="2:3" ht="15.75" customHeight="1">
      <c r="B791" s="149"/>
      <c r="C791" s="149"/>
    </row>
    <row r="792" spans="2:3" ht="15.75" customHeight="1">
      <c r="B792" s="149"/>
      <c r="C792" s="149"/>
    </row>
    <row r="793" spans="2:3" ht="15.75" customHeight="1">
      <c r="B793" s="149"/>
      <c r="C793" s="149"/>
    </row>
    <row r="794" spans="2:3" ht="15.75" customHeight="1">
      <c r="B794" s="149"/>
      <c r="C794" s="149"/>
    </row>
    <row r="795" spans="2:3" ht="15.75" customHeight="1">
      <c r="B795" s="149"/>
      <c r="C795" s="149"/>
    </row>
    <row r="796" spans="2:3" ht="15.75" customHeight="1">
      <c r="B796" s="149"/>
      <c r="C796" s="149"/>
    </row>
    <row r="797" spans="2:3" ht="15.75" customHeight="1">
      <c r="B797" s="149"/>
      <c r="C797" s="149"/>
    </row>
    <row r="798" spans="2:3" ht="15.75" customHeight="1">
      <c r="B798" s="149"/>
      <c r="C798" s="149"/>
    </row>
    <row r="799" spans="2:3" ht="15.75" customHeight="1">
      <c r="B799" s="149"/>
      <c r="C799" s="149"/>
    </row>
    <row r="800" spans="2:3" ht="15.75" customHeight="1">
      <c r="B800" s="149"/>
      <c r="C800" s="149"/>
    </row>
    <row r="801" spans="2:3" ht="15.75" customHeight="1">
      <c r="B801" s="149"/>
      <c r="C801" s="149"/>
    </row>
    <row r="802" spans="2:3" ht="15.75" customHeight="1">
      <c r="B802" s="149"/>
      <c r="C802" s="149"/>
    </row>
    <row r="803" spans="2:3" ht="15.75" customHeight="1">
      <c r="B803" s="149"/>
      <c r="C803" s="149"/>
    </row>
    <row r="804" spans="2:3" ht="15.75" customHeight="1">
      <c r="B804" s="149"/>
      <c r="C804" s="149"/>
    </row>
    <row r="805" spans="2:3" ht="15.75" customHeight="1">
      <c r="B805" s="149"/>
      <c r="C805" s="149"/>
    </row>
    <row r="806" spans="2:3" ht="15.75" customHeight="1">
      <c r="B806" s="149"/>
      <c r="C806" s="149"/>
    </row>
    <row r="807" spans="2:3" ht="15.75" customHeight="1">
      <c r="B807" s="149"/>
      <c r="C807" s="149"/>
    </row>
    <row r="808" spans="2:3" ht="15.75" customHeight="1">
      <c r="B808" s="149"/>
      <c r="C808" s="149"/>
    </row>
    <row r="809" spans="2:3" ht="15.75" customHeight="1">
      <c r="B809" s="149"/>
      <c r="C809" s="149"/>
    </row>
    <row r="810" spans="2:3" ht="15.75" customHeight="1">
      <c r="B810" s="149"/>
      <c r="C810" s="149"/>
    </row>
    <row r="811" spans="2:3" ht="15.75" customHeight="1">
      <c r="B811" s="149"/>
      <c r="C811" s="149"/>
    </row>
    <row r="812" spans="2:3" ht="15.75" customHeight="1">
      <c r="B812" s="149"/>
      <c r="C812" s="149"/>
    </row>
    <row r="813" spans="2:3" ht="15.75" customHeight="1">
      <c r="B813" s="149"/>
      <c r="C813" s="149"/>
    </row>
    <row r="814" spans="2:3" ht="15.75" customHeight="1">
      <c r="B814" s="149"/>
      <c r="C814" s="149"/>
    </row>
    <row r="815" spans="2:3" ht="15.75" customHeight="1">
      <c r="B815" s="149"/>
      <c r="C815" s="149"/>
    </row>
    <row r="816" spans="2:3" ht="15.75" customHeight="1">
      <c r="B816" s="149"/>
      <c r="C816" s="149"/>
    </row>
    <row r="817" spans="2:3" ht="15.75" customHeight="1">
      <c r="B817" s="149"/>
      <c r="C817" s="149"/>
    </row>
    <row r="818" spans="2:3" ht="15.75" customHeight="1">
      <c r="B818" s="149"/>
      <c r="C818" s="149"/>
    </row>
    <row r="819" spans="2:3" ht="15.75" customHeight="1">
      <c r="B819" s="149"/>
      <c r="C819" s="149"/>
    </row>
    <row r="820" spans="2:3" ht="15.75" customHeight="1">
      <c r="B820" s="149"/>
      <c r="C820" s="149"/>
    </row>
    <row r="821" spans="2:3" ht="15.75" customHeight="1">
      <c r="B821" s="149"/>
      <c r="C821" s="149"/>
    </row>
    <row r="822" spans="2:3" ht="15.75" customHeight="1">
      <c r="B822" s="149"/>
      <c r="C822" s="149"/>
    </row>
    <row r="823" spans="2:3" ht="15.75" customHeight="1">
      <c r="B823" s="149"/>
      <c r="C823" s="149"/>
    </row>
    <row r="824" spans="2:3" ht="15.75" customHeight="1">
      <c r="B824" s="149"/>
      <c r="C824" s="149"/>
    </row>
    <row r="825" spans="2:3" ht="15.75" customHeight="1">
      <c r="B825" s="149"/>
      <c r="C825" s="149"/>
    </row>
    <row r="826" spans="2:3" ht="15.75" customHeight="1">
      <c r="B826" s="149"/>
      <c r="C826" s="149"/>
    </row>
    <row r="827" spans="2:3" ht="15.75" customHeight="1">
      <c r="B827" s="149"/>
      <c r="C827" s="149"/>
    </row>
    <row r="828" spans="2:3" ht="15.75" customHeight="1">
      <c r="B828" s="149"/>
      <c r="C828" s="149"/>
    </row>
    <row r="829" spans="2:3" ht="15.75" customHeight="1">
      <c r="B829" s="149"/>
      <c r="C829" s="149"/>
    </row>
    <row r="830" spans="2:3" ht="15.75" customHeight="1">
      <c r="B830" s="149"/>
      <c r="C830" s="149"/>
    </row>
    <row r="831" spans="2:3" ht="15.75" customHeight="1">
      <c r="B831" s="149"/>
      <c r="C831" s="149"/>
    </row>
    <row r="832" spans="2:3" ht="15.75" customHeight="1">
      <c r="B832" s="149"/>
      <c r="C832" s="149"/>
    </row>
    <row r="833" spans="2:3" ht="15.75" customHeight="1">
      <c r="B833" s="149"/>
      <c r="C833" s="149"/>
    </row>
    <row r="834" spans="2:3" ht="15.75" customHeight="1">
      <c r="B834" s="149"/>
      <c r="C834" s="149"/>
    </row>
    <row r="835" spans="2:3" ht="15.75" customHeight="1">
      <c r="B835" s="149"/>
      <c r="C835" s="149"/>
    </row>
    <row r="836" spans="2:3" ht="15.75" customHeight="1">
      <c r="B836" s="149"/>
      <c r="C836" s="149"/>
    </row>
    <row r="837" spans="2:3" ht="15.75" customHeight="1">
      <c r="B837" s="149"/>
      <c r="C837" s="149"/>
    </row>
    <row r="838" spans="2:3" ht="15.75" customHeight="1">
      <c r="B838" s="149"/>
      <c r="C838" s="149"/>
    </row>
    <row r="839" spans="2:3" ht="15.75" customHeight="1">
      <c r="B839" s="149"/>
      <c r="C839" s="149"/>
    </row>
    <row r="840" spans="2:3" ht="15.75" customHeight="1">
      <c r="B840" s="149"/>
      <c r="C840" s="149"/>
    </row>
    <row r="841" spans="2:3" ht="15.75" customHeight="1">
      <c r="B841" s="149"/>
      <c r="C841" s="149"/>
    </row>
    <row r="842" spans="2:3" ht="15.75" customHeight="1">
      <c r="B842" s="149"/>
      <c r="C842" s="149"/>
    </row>
    <row r="843" spans="2:3" ht="15.75" customHeight="1">
      <c r="B843" s="149"/>
      <c r="C843" s="149"/>
    </row>
    <row r="844" spans="2:3" ht="15.75" customHeight="1">
      <c r="B844" s="149"/>
      <c r="C844" s="149"/>
    </row>
    <row r="845" spans="2:3" ht="15.75" customHeight="1">
      <c r="B845" s="149"/>
      <c r="C845" s="149"/>
    </row>
    <row r="846" spans="2:3" ht="15.75" customHeight="1">
      <c r="B846" s="149"/>
      <c r="C846" s="149"/>
    </row>
    <row r="847" spans="2:3" ht="15.75" customHeight="1">
      <c r="B847" s="149"/>
      <c r="C847" s="149"/>
    </row>
    <row r="848" spans="2:3" ht="15.75" customHeight="1">
      <c r="B848" s="149"/>
      <c r="C848" s="149"/>
    </row>
    <row r="849" spans="2:3" ht="15.75" customHeight="1">
      <c r="B849" s="149"/>
      <c r="C849" s="149"/>
    </row>
    <row r="850" spans="2:3" ht="15.75" customHeight="1">
      <c r="B850" s="149"/>
      <c r="C850" s="149"/>
    </row>
    <row r="851" spans="2:3" ht="15.75" customHeight="1">
      <c r="B851" s="149"/>
      <c r="C851" s="149"/>
    </row>
    <row r="852" spans="2:3" ht="15.75" customHeight="1">
      <c r="B852" s="149"/>
      <c r="C852" s="149"/>
    </row>
    <row r="853" spans="2:3" ht="15.75" customHeight="1">
      <c r="B853" s="149"/>
      <c r="C853" s="149"/>
    </row>
    <row r="854" spans="2:3" ht="15.75" customHeight="1">
      <c r="B854" s="149"/>
      <c r="C854" s="149"/>
    </row>
    <row r="855" spans="2:3" ht="15.75" customHeight="1">
      <c r="B855" s="149"/>
      <c r="C855" s="149"/>
    </row>
    <row r="856" spans="2:3" ht="15.75" customHeight="1">
      <c r="B856" s="149"/>
      <c r="C856" s="149"/>
    </row>
    <row r="857" spans="2:3" ht="15.75" customHeight="1">
      <c r="B857" s="149"/>
      <c r="C857" s="149"/>
    </row>
    <row r="858" spans="2:3" ht="15.75" customHeight="1">
      <c r="B858" s="149"/>
      <c r="C858" s="149"/>
    </row>
    <row r="859" spans="2:3" ht="15.75" customHeight="1">
      <c r="B859" s="149"/>
      <c r="C859" s="149"/>
    </row>
    <row r="860" spans="2:3" ht="15.75" customHeight="1">
      <c r="B860" s="149"/>
      <c r="C860" s="149"/>
    </row>
    <row r="861" spans="2:3" ht="15.75" customHeight="1">
      <c r="B861" s="149"/>
      <c r="C861" s="149"/>
    </row>
    <row r="862" spans="2:3" ht="15.75" customHeight="1">
      <c r="B862" s="149"/>
      <c r="C862" s="149"/>
    </row>
    <row r="863" spans="2:3" ht="15.75" customHeight="1">
      <c r="B863" s="149"/>
      <c r="C863" s="149"/>
    </row>
    <row r="864" spans="2:3" ht="15.75" customHeight="1">
      <c r="B864" s="149"/>
      <c r="C864" s="149"/>
    </row>
    <row r="865" spans="2:3" ht="15.75" customHeight="1">
      <c r="B865" s="149"/>
      <c r="C865" s="149"/>
    </row>
    <row r="866" spans="2:3" ht="15.75" customHeight="1">
      <c r="B866" s="149"/>
      <c r="C866" s="149"/>
    </row>
    <row r="867" spans="2:3" ht="15.75" customHeight="1">
      <c r="B867" s="149"/>
      <c r="C867" s="149"/>
    </row>
    <row r="868" spans="2:3" ht="15.75" customHeight="1">
      <c r="B868" s="149"/>
      <c r="C868" s="149"/>
    </row>
    <row r="869" spans="2:3" ht="15.75" customHeight="1">
      <c r="B869" s="149"/>
      <c r="C869" s="149"/>
    </row>
    <row r="870" spans="2:3" ht="15.75" customHeight="1">
      <c r="B870" s="149"/>
      <c r="C870" s="149"/>
    </row>
    <row r="871" spans="2:3" ht="15.75" customHeight="1">
      <c r="B871" s="149"/>
      <c r="C871" s="149"/>
    </row>
    <row r="872" spans="2:3" ht="15.75" customHeight="1">
      <c r="B872" s="149"/>
      <c r="C872" s="149"/>
    </row>
    <row r="873" spans="2:3" ht="15.75" customHeight="1">
      <c r="B873" s="149"/>
      <c r="C873" s="149"/>
    </row>
    <row r="874" spans="2:3" ht="15.75" customHeight="1">
      <c r="B874" s="149"/>
      <c r="C874" s="149"/>
    </row>
    <row r="875" spans="2:3" ht="15.75" customHeight="1">
      <c r="B875" s="149"/>
      <c r="C875" s="149"/>
    </row>
    <row r="876" spans="2:3" ht="15.75" customHeight="1">
      <c r="B876" s="149"/>
      <c r="C876" s="149"/>
    </row>
    <row r="877" spans="2:3" ht="15.75" customHeight="1">
      <c r="B877" s="149"/>
      <c r="C877" s="149"/>
    </row>
    <row r="878" spans="2:3" ht="15.75" customHeight="1">
      <c r="B878" s="149"/>
      <c r="C878" s="149"/>
    </row>
    <row r="879" spans="2:3" ht="15.75" customHeight="1">
      <c r="B879" s="149"/>
      <c r="C879" s="149"/>
    </row>
    <row r="880" spans="2:3" ht="15.75" customHeight="1">
      <c r="B880" s="149"/>
      <c r="C880" s="149"/>
    </row>
    <row r="881" spans="2:3" ht="15.75" customHeight="1">
      <c r="B881" s="149"/>
      <c r="C881" s="149"/>
    </row>
    <row r="882" spans="2:3" ht="15.75" customHeight="1">
      <c r="B882" s="149"/>
      <c r="C882" s="149"/>
    </row>
    <row r="883" spans="2:3" ht="15.75" customHeight="1">
      <c r="B883" s="149"/>
      <c r="C883" s="149"/>
    </row>
    <row r="884" spans="2:3" ht="15.75" customHeight="1">
      <c r="B884" s="149"/>
      <c r="C884" s="149"/>
    </row>
    <row r="885" spans="2:3" ht="15.75" customHeight="1">
      <c r="B885" s="149"/>
      <c r="C885" s="149"/>
    </row>
    <row r="886" spans="2:3" ht="15.75" customHeight="1">
      <c r="B886" s="149"/>
      <c r="C886" s="149"/>
    </row>
    <row r="887" spans="2:3" ht="15.75" customHeight="1">
      <c r="B887" s="149"/>
      <c r="C887" s="149"/>
    </row>
    <row r="888" spans="2:3" ht="15.75" customHeight="1">
      <c r="B888" s="149"/>
      <c r="C888" s="149"/>
    </row>
    <row r="889" spans="2:3" ht="15.75" customHeight="1">
      <c r="B889" s="149"/>
      <c r="C889" s="149"/>
    </row>
    <row r="890" spans="2:3" ht="15.75" customHeight="1">
      <c r="B890" s="149"/>
      <c r="C890" s="149"/>
    </row>
    <row r="891" spans="2:3" ht="15.75" customHeight="1">
      <c r="B891" s="149"/>
      <c r="C891" s="149"/>
    </row>
    <row r="892" spans="2:3" ht="15.75" customHeight="1">
      <c r="B892" s="149"/>
      <c r="C892" s="149"/>
    </row>
    <row r="893" spans="2:3" ht="15.75" customHeight="1">
      <c r="B893" s="149"/>
      <c r="C893" s="149"/>
    </row>
    <row r="894" spans="2:3" ht="15.75" customHeight="1">
      <c r="B894" s="149"/>
      <c r="C894" s="149"/>
    </row>
    <row r="895" spans="2:3" ht="15.75" customHeight="1">
      <c r="B895" s="149"/>
      <c r="C895" s="149"/>
    </row>
    <row r="896" spans="2:3" ht="15.75" customHeight="1">
      <c r="B896" s="149"/>
      <c r="C896" s="149"/>
    </row>
    <row r="897" spans="2:3" ht="15.75" customHeight="1">
      <c r="B897" s="149"/>
      <c r="C897" s="149"/>
    </row>
    <row r="898" spans="2:3" ht="15.75" customHeight="1">
      <c r="B898" s="149"/>
      <c r="C898" s="149"/>
    </row>
    <row r="899" spans="2:3" ht="15.75" customHeight="1">
      <c r="B899" s="149"/>
      <c r="C899" s="149"/>
    </row>
    <row r="900" spans="2:3" ht="15.75" customHeight="1">
      <c r="B900" s="149"/>
      <c r="C900" s="149"/>
    </row>
    <row r="901" spans="2:3" ht="15.75" customHeight="1">
      <c r="B901" s="149"/>
      <c r="C901" s="149"/>
    </row>
    <row r="902" spans="2:3" ht="15.75" customHeight="1">
      <c r="B902" s="149"/>
      <c r="C902" s="149"/>
    </row>
    <row r="903" spans="2:3" ht="15.75" customHeight="1">
      <c r="B903" s="149"/>
      <c r="C903" s="149"/>
    </row>
    <row r="904" spans="2:3" ht="15.75" customHeight="1">
      <c r="B904" s="149"/>
      <c r="C904" s="149"/>
    </row>
    <row r="905" spans="2:3" ht="15.75" customHeight="1">
      <c r="B905" s="149"/>
      <c r="C905" s="149"/>
    </row>
    <row r="906" spans="2:3" ht="15.75" customHeight="1">
      <c r="B906" s="149"/>
      <c r="C906" s="149"/>
    </row>
    <row r="907" spans="2:3" ht="15.75" customHeight="1">
      <c r="B907" s="149"/>
      <c r="C907" s="149"/>
    </row>
    <row r="908" spans="2:3" ht="15.75" customHeight="1">
      <c r="B908" s="149"/>
      <c r="C908" s="149"/>
    </row>
    <row r="909" spans="2:3" ht="15.75" customHeight="1">
      <c r="B909" s="149"/>
      <c r="C909" s="149"/>
    </row>
    <row r="910" spans="2:3" ht="15.75" customHeight="1">
      <c r="B910" s="149"/>
      <c r="C910" s="149"/>
    </row>
    <row r="911" spans="2:3" ht="15.75" customHeight="1">
      <c r="B911" s="149"/>
      <c r="C911" s="149"/>
    </row>
    <row r="912" spans="2:3" ht="15.75" customHeight="1">
      <c r="B912" s="149"/>
      <c r="C912" s="149"/>
    </row>
    <row r="913" spans="2:3" ht="15.75" customHeight="1">
      <c r="B913" s="149"/>
      <c r="C913" s="149"/>
    </row>
    <row r="914" spans="2:3" ht="15.75" customHeight="1">
      <c r="B914" s="149"/>
      <c r="C914" s="149"/>
    </row>
    <row r="915" spans="2:3" ht="15.75" customHeight="1">
      <c r="B915" s="149"/>
      <c r="C915" s="149"/>
    </row>
    <row r="916" spans="2:3" ht="15.75" customHeight="1">
      <c r="B916" s="149"/>
      <c r="C916" s="149"/>
    </row>
    <row r="917" spans="2:3" ht="15.75" customHeight="1">
      <c r="B917" s="149"/>
      <c r="C917" s="149"/>
    </row>
    <row r="918" spans="2:3" ht="15.75" customHeight="1">
      <c r="B918" s="149"/>
      <c r="C918" s="149"/>
    </row>
    <row r="919" spans="2:3" ht="15.75" customHeight="1">
      <c r="B919" s="149"/>
      <c r="C919" s="149"/>
    </row>
    <row r="920" spans="2:3" ht="15.75" customHeight="1">
      <c r="B920" s="149"/>
      <c r="C920" s="149"/>
    </row>
    <row r="921" spans="2:3" ht="15.75" customHeight="1">
      <c r="B921" s="149"/>
      <c r="C921" s="149"/>
    </row>
    <row r="922" spans="2:3" ht="15.75" customHeight="1">
      <c r="B922" s="149"/>
      <c r="C922" s="149"/>
    </row>
    <row r="923" spans="2:3" ht="15.75" customHeight="1">
      <c r="B923" s="149"/>
      <c r="C923" s="149"/>
    </row>
    <row r="924" spans="2:3" ht="15.75" customHeight="1">
      <c r="B924" s="149"/>
      <c r="C924" s="149"/>
    </row>
    <row r="925" spans="2:3" ht="15.75" customHeight="1">
      <c r="B925" s="149"/>
      <c r="C925" s="149"/>
    </row>
    <row r="926" spans="2:3" ht="15.75" customHeight="1">
      <c r="B926" s="149"/>
      <c r="C926" s="149"/>
    </row>
    <row r="927" spans="2:3" ht="15.75" customHeight="1">
      <c r="B927" s="149"/>
      <c r="C927" s="149"/>
    </row>
    <row r="928" spans="2:3" ht="15.75" customHeight="1">
      <c r="B928" s="149"/>
      <c r="C928" s="149"/>
    </row>
    <row r="929" spans="2:3" ht="15.75" customHeight="1">
      <c r="B929" s="149"/>
      <c r="C929" s="149"/>
    </row>
    <row r="930" spans="2:3" ht="15.75" customHeight="1">
      <c r="B930" s="149"/>
      <c r="C930" s="149"/>
    </row>
    <row r="931" spans="2:3" ht="15.75" customHeight="1">
      <c r="B931" s="149"/>
      <c r="C931" s="149"/>
    </row>
    <row r="932" spans="2:3" ht="15.75" customHeight="1">
      <c r="B932" s="149"/>
      <c r="C932" s="149"/>
    </row>
    <row r="933" spans="2:3" ht="15.75" customHeight="1">
      <c r="B933" s="149"/>
      <c r="C933" s="149"/>
    </row>
    <row r="934" spans="2:3" ht="15.75" customHeight="1">
      <c r="B934" s="149"/>
      <c r="C934" s="149"/>
    </row>
    <row r="935" spans="2:3" ht="15.75" customHeight="1">
      <c r="B935" s="149"/>
      <c r="C935" s="149"/>
    </row>
    <row r="936" spans="2:3" ht="15.75" customHeight="1">
      <c r="B936" s="149"/>
      <c r="C936" s="149"/>
    </row>
    <row r="937" spans="2:3" ht="15.75" customHeight="1">
      <c r="B937" s="149"/>
      <c r="C937" s="149"/>
    </row>
    <row r="938" spans="2:3" ht="15.75" customHeight="1">
      <c r="B938" s="149"/>
      <c r="C938" s="149"/>
    </row>
    <row r="939" spans="2:3" ht="15.75" customHeight="1">
      <c r="B939" s="149"/>
      <c r="C939" s="149"/>
    </row>
    <row r="940" spans="2:3" ht="15.75" customHeight="1">
      <c r="B940" s="149"/>
      <c r="C940" s="149"/>
    </row>
    <row r="941" spans="2:3" ht="15.75" customHeight="1">
      <c r="B941" s="149"/>
      <c r="C941" s="149"/>
    </row>
    <row r="942" spans="2:3" ht="15.75" customHeight="1">
      <c r="B942" s="149"/>
      <c r="C942" s="149"/>
    </row>
    <row r="943" spans="2:3" ht="15.75" customHeight="1">
      <c r="B943" s="149"/>
      <c r="C943" s="149"/>
    </row>
    <row r="944" spans="2:3" ht="15.75" customHeight="1">
      <c r="B944" s="149"/>
      <c r="C944" s="149"/>
    </row>
    <row r="945" spans="2:3" ht="15.75" customHeight="1">
      <c r="B945" s="149"/>
      <c r="C945" s="149"/>
    </row>
    <row r="946" spans="2:3" ht="15.75" customHeight="1">
      <c r="B946" s="149"/>
      <c r="C946" s="149"/>
    </row>
    <row r="947" spans="2:3" ht="15.75" customHeight="1">
      <c r="B947" s="149"/>
      <c r="C947" s="149"/>
    </row>
    <row r="948" spans="2:3" ht="15.75" customHeight="1">
      <c r="B948" s="149"/>
      <c r="C948" s="149"/>
    </row>
    <row r="949" spans="2:3" ht="15.75" customHeight="1">
      <c r="B949" s="149"/>
      <c r="C949" s="149"/>
    </row>
    <row r="950" spans="2:3" ht="15.75" customHeight="1">
      <c r="B950" s="149"/>
      <c r="C950" s="149"/>
    </row>
    <row r="951" spans="2:3" ht="15.75" customHeight="1">
      <c r="B951" s="149"/>
      <c r="C951" s="149"/>
    </row>
    <row r="952" spans="2:3" ht="15.75" customHeight="1">
      <c r="B952" s="149"/>
      <c r="C952" s="149"/>
    </row>
    <row r="953" spans="2:3" ht="15.75" customHeight="1">
      <c r="B953" s="149"/>
      <c r="C953" s="149"/>
    </row>
    <row r="954" spans="2:3" ht="15.75" customHeight="1">
      <c r="B954" s="149"/>
      <c r="C954" s="149"/>
    </row>
    <row r="955" spans="2:3" ht="15.75" customHeight="1">
      <c r="B955" s="149"/>
      <c r="C955" s="149"/>
    </row>
    <row r="956" spans="2:3" ht="15.75" customHeight="1">
      <c r="B956" s="149"/>
      <c r="C956" s="149"/>
    </row>
    <row r="957" spans="2:3" ht="15.75" customHeight="1">
      <c r="B957" s="149"/>
      <c r="C957" s="149"/>
    </row>
    <row r="958" spans="2:3" ht="15.75" customHeight="1">
      <c r="B958" s="149"/>
      <c r="C958" s="149"/>
    </row>
    <row r="959" spans="2:3" ht="15.75" customHeight="1">
      <c r="B959" s="149"/>
      <c r="C959" s="149"/>
    </row>
    <row r="960" spans="2:3" ht="15.75" customHeight="1">
      <c r="B960" s="149"/>
      <c r="C960" s="149"/>
    </row>
    <row r="961" spans="2:3" ht="13.2">
      <c r="B961" s="149"/>
      <c r="C961" s="149"/>
    </row>
    <row r="962" spans="2:3" ht="13.2">
      <c r="B962" s="149"/>
      <c r="C962" s="149"/>
    </row>
    <row r="963" spans="2:3" ht="13.2">
      <c r="B963" s="149"/>
      <c r="C963" s="149"/>
    </row>
    <row r="964" spans="2:3" ht="13.2">
      <c r="B964" s="149"/>
      <c r="C964" s="149"/>
    </row>
    <row r="965" spans="2:3" ht="13.2">
      <c r="B965" s="149"/>
      <c r="C965" s="149"/>
    </row>
    <row r="966" spans="2:3" ht="13.2">
      <c r="B966" s="149"/>
      <c r="C966" s="149"/>
    </row>
    <row r="967" spans="2:3" ht="13.2">
      <c r="B967" s="149"/>
      <c r="C967" s="149"/>
    </row>
    <row r="968" spans="2:3" ht="13.2">
      <c r="B968" s="149"/>
      <c r="C968" s="149"/>
    </row>
    <row r="969" spans="2:3" ht="13.2">
      <c r="B969" s="149"/>
      <c r="C969" s="149"/>
    </row>
    <row r="970" spans="2:3" ht="13.2">
      <c r="B970" s="149"/>
      <c r="C970" s="149"/>
    </row>
    <row r="971" spans="2:3" ht="13.2">
      <c r="B971" s="149"/>
      <c r="C971" s="149"/>
    </row>
    <row r="972" spans="2:3" ht="13.2">
      <c r="B972" s="149"/>
      <c r="C972" s="149"/>
    </row>
    <row r="973" spans="2:3" ht="13.2">
      <c r="B973" s="149"/>
      <c r="C973" s="149"/>
    </row>
    <row r="974" spans="2:3" ht="13.2">
      <c r="B974" s="149"/>
      <c r="C974" s="149"/>
    </row>
    <row r="975" spans="2:3" ht="13.2">
      <c r="B975" s="149"/>
      <c r="C975" s="149"/>
    </row>
    <row r="976" spans="2:3" ht="13.2">
      <c r="B976" s="149"/>
      <c r="C976" s="149"/>
    </row>
    <row r="977" spans="2:3" ht="13.2">
      <c r="B977" s="149"/>
      <c r="C977" s="149"/>
    </row>
    <row r="978" spans="2:3" ht="13.2">
      <c r="B978" s="149"/>
      <c r="C978" s="149"/>
    </row>
    <row r="979" spans="2:3" ht="13.2">
      <c r="B979" s="149"/>
      <c r="C979" s="149"/>
    </row>
    <row r="980" spans="2:3" ht="13.2">
      <c r="B980" s="149"/>
      <c r="C980" s="149"/>
    </row>
    <row r="981" spans="2:3" ht="13.2">
      <c r="B981" s="149"/>
      <c r="C981" s="149"/>
    </row>
    <row r="982" spans="2:3" ht="13.2">
      <c r="B982" s="149"/>
      <c r="C982" s="149"/>
    </row>
    <row r="983" spans="2:3" ht="13.2">
      <c r="B983" s="149"/>
      <c r="C983" s="149"/>
    </row>
    <row r="984" spans="2:3" ht="13.2">
      <c r="B984" s="149"/>
      <c r="C984" s="149"/>
    </row>
    <row r="985" spans="2:3" ht="13.2">
      <c r="B985" s="149"/>
      <c r="C985" s="149"/>
    </row>
  </sheetData>
  <mergeCells count="4">
    <mergeCell ref="A1:AA1"/>
    <mergeCell ref="A2:AA2"/>
    <mergeCell ref="D3:E3"/>
    <mergeCell ref="F3:Z3"/>
  </mergeCells>
  <pageMargins left="0.7" right="0.7" top="0.75" bottom="0.75" header="0" footer="0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63"/>
  <sheetViews>
    <sheetView topLeftCell="D1" workbookViewId="0">
      <pane ySplit="4" topLeftCell="A13" activePane="bottomLeft" state="frozen"/>
      <selection pane="bottomLeft" activeCell="X69" sqref="X69"/>
    </sheetView>
  </sheetViews>
  <sheetFormatPr defaultColWidth="12.6640625" defaultRowHeight="15" customHeight="1"/>
  <cols>
    <col min="1" max="1" width="4.33203125" customWidth="1"/>
    <col min="2" max="2" width="12" customWidth="1"/>
    <col min="3" max="3" width="31.88671875" customWidth="1"/>
    <col min="4" max="4" width="16.33203125" customWidth="1"/>
    <col min="5" max="5" width="13.6640625" customWidth="1"/>
    <col min="6" max="6" width="8" customWidth="1"/>
    <col min="7" max="9" width="7.88671875" customWidth="1"/>
    <col min="10" max="10" width="8.6640625" customWidth="1"/>
    <col min="11" max="11" width="6.6640625" customWidth="1"/>
    <col min="12" max="24" width="8.44140625" customWidth="1"/>
    <col min="25" max="25" width="12.109375" customWidth="1"/>
    <col min="26" max="26" width="19.6640625" customWidth="1"/>
    <col min="27" max="44" width="14.33203125" customWidth="1"/>
  </cols>
  <sheetData>
    <row r="1" spans="1:44" ht="23.25" customHeight="1">
      <c r="A1" s="260" t="s">
        <v>122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 spans="1:44" ht="26.25" customHeight="1">
      <c r="A2" s="260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</row>
    <row r="3" spans="1:44" ht="32.25" customHeight="1">
      <c r="A3" s="192"/>
      <c r="B3" s="4"/>
      <c r="C3" s="192" t="s">
        <v>203</v>
      </c>
      <c r="D3" s="269" t="s">
        <v>71</v>
      </c>
      <c r="E3" s="262"/>
      <c r="F3" s="270" t="s">
        <v>123</v>
      </c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2"/>
      <c r="Z3" s="193"/>
    </row>
    <row r="4" spans="1:44" ht="63" customHeight="1">
      <c r="A4" s="194" t="s">
        <v>2</v>
      </c>
      <c r="B4" s="194" t="s">
        <v>3</v>
      </c>
      <c r="C4" s="195" t="s">
        <v>4</v>
      </c>
      <c r="D4" s="4" t="s">
        <v>124</v>
      </c>
      <c r="E4" s="4" t="s">
        <v>125</v>
      </c>
      <c r="F4" s="192" t="s">
        <v>75</v>
      </c>
      <c r="G4" s="192" t="s">
        <v>85</v>
      </c>
      <c r="H4" s="192" t="s">
        <v>268</v>
      </c>
      <c r="I4" s="192" t="s">
        <v>84</v>
      </c>
      <c r="J4" s="192" t="s">
        <v>76</v>
      </c>
      <c r="K4" s="192" t="s">
        <v>77</v>
      </c>
      <c r="L4" s="192" t="s">
        <v>78</v>
      </c>
      <c r="M4" s="192" t="s">
        <v>79</v>
      </c>
      <c r="N4" s="192" t="s">
        <v>82</v>
      </c>
      <c r="O4" s="192" t="s">
        <v>83</v>
      </c>
      <c r="P4" s="192" t="s">
        <v>104</v>
      </c>
      <c r="Q4" s="192" t="s">
        <v>102</v>
      </c>
      <c r="R4" s="192" t="s">
        <v>86</v>
      </c>
      <c r="S4" s="192" t="s">
        <v>98</v>
      </c>
      <c r="T4" s="192" t="s">
        <v>269</v>
      </c>
      <c r="U4" s="192" t="s">
        <v>100</v>
      </c>
      <c r="V4" s="192" t="s">
        <v>99</v>
      </c>
      <c r="W4" s="192" t="s">
        <v>271</v>
      </c>
      <c r="X4" s="192" t="s">
        <v>87</v>
      </c>
      <c r="Y4" s="196" t="s">
        <v>126</v>
      </c>
      <c r="Z4" s="4" t="s">
        <v>107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</row>
    <row r="5" spans="1:44" ht="18.75" customHeight="1">
      <c r="A5" s="17">
        <v>1</v>
      </c>
      <c r="B5" s="197">
        <f>CSE4098C_Summer2026_Grade!B5</f>
        <v>223014152</v>
      </c>
      <c r="C5" s="197" t="str">
        <f>CSE4098C_Summer2026_Grade!C5</f>
        <v>Ahadul Islam Rahul</v>
      </c>
      <c r="D5" s="17">
        <v>0</v>
      </c>
      <c r="E5" s="198">
        <f t="shared" ref="E5:E69" si="0">ROUND((D5/45)*50,2)</f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21</v>
      </c>
      <c r="Q5" s="17"/>
      <c r="R5" s="17"/>
      <c r="S5" s="17"/>
      <c r="T5" s="17">
        <v>15</v>
      </c>
      <c r="U5" s="17"/>
      <c r="V5" s="17"/>
      <c r="W5" s="17"/>
      <c r="X5" s="17"/>
      <c r="Y5" s="199">
        <f t="shared" ref="Y5:Y69" si="1">ROUND((50*AVERAGE(F5:X5))/45,2)</f>
        <v>20</v>
      </c>
      <c r="Z5" s="200">
        <f t="shared" ref="Z5:Z69" si="2">ROUND((E5*60%+Y5*40%),2)</f>
        <v>8</v>
      </c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</row>
    <row r="6" spans="1:44" ht="18.75" customHeight="1">
      <c r="A6" s="17">
        <f t="shared" ref="A6:A69" si="3">A5+1</f>
        <v>2</v>
      </c>
      <c r="B6" s="197">
        <f>CSE4098C_Summer2026_Grade!B6</f>
        <v>223014049</v>
      </c>
      <c r="C6" s="197" t="str">
        <f>CSE4098C_Summer2026_Grade!C6</f>
        <v>Md. Sojib Al Hasan</v>
      </c>
      <c r="D6" s="17">
        <v>0</v>
      </c>
      <c r="E6" s="198">
        <f t="shared" si="0"/>
        <v>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21</v>
      </c>
      <c r="Q6" s="17"/>
      <c r="R6" s="17"/>
      <c r="S6" s="17"/>
      <c r="T6" s="17">
        <v>15</v>
      </c>
      <c r="U6" s="17"/>
      <c r="V6" s="17"/>
      <c r="W6" s="17"/>
      <c r="X6" s="17"/>
      <c r="Y6" s="199">
        <f t="shared" si="1"/>
        <v>20</v>
      </c>
      <c r="Z6" s="200">
        <f t="shared" si="2"/>
        <v>8</v>
      </c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</row>
    <row r="7" spans="1:44" ht="18.75" customHeight="1">
      <c r="A7" s="17">
        <f t="shared" si="3"/>
        <v>3</v>
      </c>
      <c r="B7" s="197">
        <f>CSE4098C_Summer2026_Grade!B7</f>
        <v>222014039</v>
      </c>
      <c r="C7" s="197" t="str">
        <f>CSE4098C_Summer2026_Grade!C7</f>
        <v>Nadia Akter Jui</v>
      </c>
      <c r="D7" s="17">
        <v>0</v>
      </c>
      <c r="E7" s="198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18</v>
      </c>
      <c r="Q7" s="17"/>
      <c r="R7" s="17"/>
      <c r="S7" s="17"/>
      <c r="T7" s="17">
        <v>15</v>
      </c>
      <c r="U7" s="17"/>
      <c r="V7" s="17"/>
      <c r="W7" s="17"/>
      <c r="X7" s="17"/>
      <c r="Y7" s="199">
        <f t="shared" si="1"/>
        <v>18.329999999999998</v>
      </c>
      <c r="Z7" s="200">
        <f t="shared" si="2"/>
        <v>7.33</v>
      </c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</row>
    <row r="8" spans="1:44" ht="18.75" customHeight="1">
      <c r="A8" s="17">
        <f t="shared" si="3"/>
        <v>4</v>
      </c>
      <c r="B8" s="197">
        <f>CSE4098C_Summer2026_Grade!B8</f>
        <v>222014012</v>
      </c>
      <c r="C8" s="197" t="str">
        <f>CSE4098C_Summer2026_Grade!C8</f>
        <v>Md. Minhazul Islam</v>
      </c>
      <c r="D8" s="17">
        <v>0</v>
      </c>
      <c r="E8" s="198">
        <f t="shared" si="0"/>
        <v>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21</v>
      </c>
      <c r="Q8" s="17"/>
      <c r="R8" s="17"/>
      <c r="S8" s="17"/>
      <c r="T8" s="17">
        <v>15</v>
      </c>
      <c r="U8" s="17"/>
      <c r="V8" s="17"/>
      <c r="W8" s="17"/>
      <c r="X8" s="17"/>
      <c r="Y8" s="199">
        <f t="shared" si="1"/>
        <v>20</v>
      </c>
      <c r="Z8" s="200">
        <f t="shared" si="2"/>
        <v>8</v>
      </c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</row>
    <row r="9" spans="1:44" ht="18.75" customHeight="1">
      <c r="A9" s="17">
        <f t="shared" si="3"/>
        <v>5</v>
      </c>
      <c r="B9" s="197">
        <f>CSE4098C_Summer2026_Grade!B9</f>
        <v>222014096</v>
      </c>
      <c r="C9" s="197" t="str">
        <f>CSE4098C_Summer2026_Grade!C9</f>
        <v>Md. Shams Arefin</v>
      </c>
      <c r="D9" s="17">
        <v>0</v>
      </c>
      <c r="E9" s="198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24</v>
      </c>
      <c r="Q9" s="17"/>
      <c r="R9" s="17"/>
      <c r="S9" s="17"/>
      <c r="T9" s="17">
        <v>15</v>
      </c>
      <c r="U9" s="17"/>
      <c r="V9" s="17"/>
      <c r="W9" s="17"/>
      <c r="X9" s="17"/>
      <c r="Y9" s="199">
        <f t="shared" si="1"/>
        <v>21.67</v>
      </c>
      <c r="Z9" s="200">
        <f t="shared" si="2"/>
        <v>8.67</v>
      </c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</row>
    <row r="10" spans="1:44" ht="18.75" customHeight="1">
      <c r="A10" s="17">
        <f t="shared" si="3"/>
        <v>6</v>
      </c>
      <c r="B10" s="197">
        <f>CSE4098C_Summer2026_Grade!B10</f>
        <v>221014135</v>
      </c>
      <c r="C10" s="197" t="str">
        <f>CSE4098C_Summer2026_Grade!C10</f>
        <v>Aminul Islam</v>
      </c>
      <c r="D10" s="17">
        <v>36</v>
      </c>
      <c r="E10" s="198">
        <f t="shared" si="0"/>
        <v>40</v>
      </c>
      <c r="F10" s="17"/>
      <c r="G10" s="17"/>
      <c r="H10" s="17"/>
      <c r="I10" s="17"/>
      <c r="J10" s="17">
        <v>30</v>
      </c>
      <c r="K10" s="17"/>
      <c r="L10" s="17"/>
      <c r="M10" s="17"/>
      <c r="N10" s="17"/>
      <c r="O10" s="17">
        <v>18</v>
      </c>
      <c r="P10" s="17"/>
      <c r="Q10" s="17"/>
      <c r="R10" s="17"/>
      <c r="S10" s="17"/>
      <c r="T10" s="17"/>
      <c r="U10" s="17"/>
      <c r="V10" s="17"/>
      <c r="W10" s="17">
        <v>21</v>
      </c>
      <c r="X10" s="17"/>
      <c r="Y10" s="199">
        <f t="shared" si="1"/>
        <v>25.56</v>
      </c>
      <c r="Z10" s="200">
        <f t="shared" si="2"/>
        <v>34.22</v>
      </c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</row>
    <row r="11" spans="1:44" ht="18.75" customHeight="1">
      <c r="A11" s="17">
        <f t="shared" si="3"/>
        <v>7</v>
      </c>
      <c r="B11" s="197">
        <f>CSE4098C_Summer2026_Grade!B11</f>
        <v>221014018</v>
      </c>
      <c r="C11" s="197" t="str">
        <f>CSE4098C_Summer2026_Grade!C11</f>
        <v>Israfill Hossain Mehedi</v>
      </c>
      <c r="D11" s="17">
        <v>36</v>
      </c>
      <c r="E11" s="198">
        <f t="shared" si="0"/>
        <v>40</v>
      </c>
      <c r="F11" s="17"/>
      <c r="G11" s="17"/>
      <c r="H11" s="17"/>
      <c r="I11" s="17"/>
      <c r="J11" s="17">
        <v>29</v>
      </c>
      <c r="K11" s="17"/>
      <c r="L11" s="17"/>
      <c r="M11" s="17"/>
      <c r="N11" s="17"/>
      <c r="O11" s="17">
        <v>18</v>
      </c>
      <c r="P11" s="17"/>
      <c r="Q11" s="17"/>
      <c r="R11" s="17"/>
      <c r="S11" s="17"/>
      <c r="T11" s="17"/>
      <c r="U11" s="17"/>
      <c r="V11" s="17"/>
      <c r="W11" s="17">
        <v>24</v>
      </c>
      <c r="X11" s="17"/>
      <c r="Y11" s="199">
        <f t="shared" si="1"/>
        <v>26.3</v>
      </c>
      <c r="Z11" s="200">
        <f t="shared" si="2"/>
        <v>34.520000000000003</v>
      </c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</row>
    <row r="12" spans="1:44" ht="18.75" customHeight="1">
      <c r="A12" s="17">
        <f t="shared" si="3"/>
        <v>8</v>
      </c>
      <c r="B12" s="197">
        <f>CSE4098C_Summer2026_Grade!B12</f>
        <v>221014008</v>
      </c>
      <c r="C12" s="197" t="str">
        <f>CSE4098C_Summer2026_Grade!C12</f>
        <v>Mahmudul Hasan Dipto</v>
      </c>
      <c r="D12" s="17">
        <v>36</v>
      </c>
      <c r="E12" s="198">
        <f t="shared" si="0"/>
        <v>40</v>
      </c>
      <c r="F12" s="17"/>
      <c r="G12" s="17"/>
      <c r="H12" s="17"/>
      <c r="I12" s="17"/>
      <c r="J12" s="17">
        <v>30</v>
      </c>
      <c r="K12" s="17"/>
      <c r="L12" s="17"/>
      <c r="M12" s="17"/>
      <c r="N12" s="17"/>
      <c r="O12" s="17">
        <v>18</v>
      </c>
      <c r="P12" s="17"/>
      <c r="Q12" s="17"/>
      <c r="R12" s="17"/>
      <c r="S12" s="17"/>
      <c r="T12" s="17"/>
      <c r="U12" s="17"/>
      <c r="V12" s="17"/>
      <c r="W12" s="17">
        <v>21</v>
      </c>
      <c r="X12" s="17"/>
      <c r="Y12" s="199">
        <f t="shared" si="1"/>
        <v>25.56</v>
      </c>
      <c r="Z12" s="200">
        <f t="shared" si="2"/>
        <v>34.22</v>
      </c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</row>
    <row r="13" spans="1:44" ht="18.75" customHeight="1">
      <c r="A13" s="17">
        <f t="shared" si="3"/>
        <v>9</v>
      </c>
      <c r="B13" s="197">
        <f>CSE4098C_Summer2026_Grade!B13</f>
        <v>223014142</v>
      </c>
      <c r="C13" s="197" t="str">
        <f>CSE4098C_Summer2026_Grade!C13</f>
        <v>Tamanna Akter</v>
      </c>
      <c r="D13" s="17">
        <v>34</v>
      </c>
      <c r="E13" s="198">
        <f t="shared" si="0"/>
        <v>37.78</v>
      </c>
      <c r="F13" s="17"/>
      <c r="G13" s="17"/>
      <c r="H13" s="17"/>
      <c r="I13" s="17">
        <v>15</v>
      </c>
      <c r="J13" s="17"/>
      <c r="K13" s="17"/>
      <c r="L13" s="17"/>
      <c r="M13" s="17"/>
      <c r="N13" s="17"/>
      <c r="O13" s="17"/>
      <c r="P13" s="17">
        <v>24</v>
      </c>
      <c r="Q13" s="17"/>
      <c r="R13" s="17"/>
      <c r="S13" s="17"/>
      <c r="T13" s="17">
        <v>18</v>
      </c>
      <c r="U13" s="17"/>
      <c r="V13" s="17"/>
      <c r="W13" s="17"/>
      <c r="X13" s="17"/>
      <c r="Y13" s="199">
        <f t="shared" si="1"/>
        <v>21.11</v>
      </c>
      <c r="Z13" s="200">
        <f t="shared" si="2"/>
        <v>31.11</v>
      </c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</row>
    <row r="14" spans="1:44" ht="18.75" customHeight="1">
      <c r="A14" s="17">
        <f t="shared" si="3"/>
        <v>10</v>
      </c>
      <c r="B14" s="197">
        <f>CSE4098C_Summer2026_Grade!B14</f>
        <v>223014204</v>
      </c>
      <c r="C14" s="197" t="str">
        <f>CSE4098C_Summer2026_Grade!C14</f>
        <v>Ashrafun Nahar Rahi</v>
      </c>
      <c r="D14" s="17">
        <v>38</v>
      </c>
      <c r="E14" s="198">
        <f t="shared" si="0"/>
        <v>42.22</v>
      </c>
      <c r="F14" s="17"/>
      <c r="G14" s="17"/>
      <c r="H14" s="17"/>
      <c r="I14" s="17">
        <v>15</v>
      </c>
      <c r="J14" s="17"/>
      <c r="K14" s="17"/>
      <c r="L14" s="17"/>
      <c r="M14" s="17"/>
      <c r="N14" s="17"/>
      <c r="O14" s="17"/>
      <c r="P14" s="17">
        <v>24</v>
      </c>
      <c r="Q14" s="17"/>
      <c r="R14" s="17"/>
      <c r="S14" s="17"/>
      <c r="T14" s="17">
        <v>18</v>
      </c>
      <c r="U14" s="17"/>
      <c r="V14" s="17"/>
      <c r="W14" s="17"/>
      <c r="X14" s="17"/>
      <c r="Y14" s="199">
        <f t="shared" si="1"/>
        <v>21.11</v>
      </c>
      <c r="Z14" s="200">
        <f t="shared" si="2"/>
        <v>33.78</v>
      </c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</row>
    <row r="15" spans="1:44" ht="18.75" customHeight="1">
      <c r="A15" s="17">
        <f t="shared" si="3"/>
        <v>11</v>
      </c>
      <c r="B15" s="197">
        <f>CSE4098C_Summer2026_Grade!B15</f>
        <v>213014052</v>
      </c>
      <c r="C15" s="197" t="str">
        <f>CSE4098C_Summer2026_Grade!C15</f>
        <v>Khuslima Fardush Mony</v>
      </c>
      <c r="D15" s="17">
        <v>30</v>
      </c>
      <c r="E15" s="198">
        <f t="shared" si="0"/>
        <v>33.33</v>
      </c>
      <c r="F15" s="17"/>
      <c r="G15" s="17"/>
      <c r="H15" s="17"/>
      <c r="I15" s="17">
        <v>15</v>
      </c>
      <c r="J15" s="17"/>
      <c r="K15" s="17"/>
      <c r="L15" s="17"/>
      <c r="M15" s="17"/>
      <c r="N15" s="17"/>
      <c r="O15" s="17"/>
      <c r="P15" s="17">
        <v>24</v>
      </c>
      <c r="Q15" s="17"/>
      <c r="R15" s="17"/>
      <c r="S15" s="17"/>
      <c r="T15" s="17">
        <v>18</v>
      </c>
      <c r="U15" s="17"/>
      <c r="V15" s="17"/>
      <c r="W15" s="17"/>
      <c r="X15" s="17"/>
      <c r="Y15" s="199">
        <f t="shared" si="1"/>
        <v>21.11</v>
      </c>
      <c r="Z15" s="200">
        <f t="shared" si="2"/>
        <v>28.44</v>
      </c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</row>
    <row r="16" spans="1:44" ht="18.75" customHeight="1">
      <c r="A16" s="17">
        <f t="shared" si="3"/>
        <v>12</v>
      </c>
      <c r="B16" s="197">
        <f>CSE4098C_Summer2026_Grade!B16</f>
        <v>221014035</v>
      </c>
      <c r="C16" s="197" t="str">
        <f>CSE4098C_Summer2026_Grade!C16</f>
        <v>Md. Alif Hossain</v>
      </c>
      <c r="D16" s="17">
        <v>32</v>
      </c>
      <c r="E16" s="198">
        <f t="shared" si="0"/>
        <v>35.56</v>
      </c>
      <c r="F16" s="17"/>
      <c r="G16" s="17"/>
      <c r="H16" s="17"/>
      <c r="I16" s="17">
        <v>15</v>
      </c>
      <c r="J16" s="17"/>
      <c r="K16" s="17"/>
      <c r="L16" s="17"/>
      <c r="M16" s="17"/>
      <c r="N16" s="17"/>
      <c r="O16" s="17"/>
      <c r="P16" s="17">
        <v>24</v>
      </c>
      <c r="Q16" s="17"/>
      <c r="R16" s="17"/>
      <c r="S16" s="17"/>
      <c r="T16" s="17">
        <v>18</v>
      </c>
      <c r="U16" s="17"/>
      <c r="V16" s="17"/>
      <c r="W16" s="17"/>
      <c r="X16" s="17"/>
      <c r="Y16" s="199">
        <f t="shared" si="1"/>
        <v>21.11</v>
      </c>
      <c r="Z16" s="200">
        <f t="shared" si="2"/>
        <v>29.78</v>
      </c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</row>
    <row r="17" spans="1:44" ht="18.75" customHeight="1">
      <c r="A17" s="17">
        <f t="shared" si="3"/>
        <v>13</v>
      </c>
      <c r="B17" s="197">
        <f>CSE4098C_Summer2026_Grade!B17</f>
        <v>223014074</v>
      </c>
      <c r="C17" s="197" t="str">
        <f>CSE4098C_Summer2026_Grade!C17</f>
        <v>Salvir Rahman Ratul</v>
      </c>
      <c r="D17" s="17">
        <v>42</v>
      </c>
      <c r="E17" s="198">
        <f t="shared" si="0"/>
        <v>46.67</v>
      </c>
      <c r="F17" s="17"/>
      <c r="G17" s="17"/>
      <c r="H17" s="17"/>
      <c r="I17" s="17">
        <v>36</v>
      </c>
      <c r="J17" s="17"/>
      <c r="K17" s="17"/>
      <c r="L17" s="17"/>
      <c r="M17" s="17">
        <v>42</v>
      </c>
      <c r="N17" s="17"/>
      <c r="O17" s="17"/>
      <c r="P17" s="17">
        <v>39</v>
      </c>
      <c r="Q17" s="17"/>
      <c r="R17" s="17"/>
      <c r="S17" s="17"/>
      <c r="T17" s="17">
        <v>39</v>
      </c>
      <c r="U17" s="17"/>
      <c r="V17" s="17"/>
      <c r="W17" s="17"/>
      <c r="X17" s="17"/>
      <c r="Y17" s="199">
        <f t="shared" si="1"/>
        <v>43.33</v>
      </c>
      <c r="Z17" s="200">
        <f t="shared" si="2"/>
        <v>45.33</v>
      </c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</row>
    <row r="18" spans="1:44" ht="18.75" customHeight="1">
      <c r="A18" s="17">
        <f t="shared" si="3"/>
        <v>14</v>
      </c>
      <c r="B18" s="197">
        <f>CSE4098C_Summer2026_Grade!B18</f>
        <v>223014133</v>
      </c>
      <c r="C18" s="197" t="str">
        <f>CSE4098C_Summer2026_Grade!C18</f>
        <v>Nancy Drong</v>
      </c>
      <c r="D18" s="17">
        <v>42</v>
      </c>
      <c r="E18" s="198">
        <f t="shared" si="0"/>
        <v>46.67</v>
      </c>
      <c r="F18" s="17"/>
      <c r="G18" s="17"/>
      <c r="H18" s="17"/>
      <c r="I18" s="17">
        <v>36</v>
      </c>
      <c r="J18" s="17"/>
      <c r="K18" s="17"/>
      <c r="L18" s="17"/>
      <c r="M18" s="17">
        <v>42</v>
      </c>
      <c r="N18" s="17"/>
      <c r="O18" s="17"/>
      <c r="P18" s="17">
        <v>39</v>
      </c>
      <c r="Q18" s="17"/>
      <c r="R18" s="17"/>
      <c r="S18" s="17"/>
      <c r="T18" s="17">
        <v>39</v>
      </c>
      <c r="U18" s="17"/>
      <c r="V18" s="17"/>
      <c r="W18" s="17"/>
      <c r="X18" s="17"/>
      <c r="Y18" s="199">
        <f t="shared" si="1"/>
        <v>43.33</v>
      </c>
      <c r="Z18" s="200">
        <f t="shared" si="2"/>
        <v>45.33</v>
      </c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</row>
    <row r="19" spans="1:44" ht="18.75" customHeight="1">
      <c r="A19" s="17">
        <f t="shared" si="3"/>
        <v>15</v>
      </c>
      <c r="B19" s="197">
        <f>CSE4098C_Summer2026_Grade!B19</f>
        <v>223014052</v>
      </c>
      <c r="C19" s="197" t="str">
        <f>CSE4098C_Summer2026_Grade!C19</f>
        <v>Argho Das</v>
      </c>
      <c r="D19" s="17">
        <v>42</v>
      </c>
      <c r="E19" s="198">
        <f t="shared" si="0"/>
        <v>46.67</v>
      </c>
      <c r="F19" s="17"/>
      <c r="G19" s="17"/>
      <c r="H19" s="17"/>
      <c r="I19" s="17">
        <v>36</v>
      </c>
      <c r="J19" s="17"/>
      <c r="K19" s="17"/>
      <c r="L19" s="17"/>
      <c r="M19" s="17">
        <v>42</v>
      </c>
      <c r="N19" s="17"/>
      <c r="O19" s="17"/>
      <c r="P19" s="17">
        <v>39</v>
      </c>
      <c r="Q19" s="17"/>
      <c r="R19" s="17"/>
      <c r="S19" s="17"/>
      <c r="T19" s="17">
        <v>39</v>
      </c>
      <c r="U19" s="17"/>
      <c r="V19" s="17"/>
      <c r="W19" s="17"/>
      <c r="X19" s="17"/>
      <c r="Y19" s="199">
        <f t="shared" si="1"/>
        <v>43.33</v>
      </c>
      <c r="Z19" s="200">
        <f t="shared" si="2"/>
        <v>45.33</v>
      </c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</row>
    <row r="20" spans="1:44" ht="18.75" customHeight="1">
      <c r="A20" s="17">
        <f t="shared" si="3"/>
        <v>16</v>
      </c>
      <c r="B20" s="197">
        <f>CSE4098C_Summer2026_Grade!B20</f>
        <v>223014105</v>
      </c>
      <c r="C20" s="197" t="str">
        <f>CSE4098C_Summer2026_Grade!C20</f>
        <v>Navid Rahman</v>
      </c>
      <c r="D20" s="17">
        <v>43</v>
      </c>
      <c r="E20" s="198">
        <f t="shared" si="0"/>
        <v>47.78</v>
      </c>
      <c r="F20" s="17"/>
      <c r="G20" s="17"/>
      <c r="H20" s="17"/>
      <c r="I20" s="17">
        <v>33</v>
      </c>
      <c r="J20" s="17"/>
      <c r="K20" s="17"/>
      <c r="L20" s="17"/>
      <c r="M20" s="17">
        <v>42</v>
      </c>
      <c r="N20" s="17"/>
      <c r="O20" s="17"/>
      <c r="P20" s="17">
        <v>39</v>
      </c>
      <c r="Q20" s="17"/>
      <c r="R20" s="17"/>
      <c r="S20" s="17"/>
      <c r="T20" s="17">
        <v>39</v>
      </c>
      <c r="U20" s="17"/>
      <c r="V20" s="17"/>
      <c r="W20" s="17"/>
      <c r="X20" s="17"/>
      <c r="Y20" s="199">
        <f t="shared" si="1"/>
        <v>42.5</v>
      </c>
      <c r="Z20" s="200">
        <f t="shared" si="2"/>
        <v>45.67</v>
      </c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</row>
    <row r="21" spans="1:44" ht="18.75" customHeight="1">
      <c r="A21" s="17">
        <f t="shared" si="3"/>
        <v>17</v>
      </c>
      <c r="B21" s="197">
        <f>CSE4098C_Summer2026_Grade!B21</f>
        <v>223014196</v>
      </c>
      <c r="C21" s="197" t="str">
        <f>CSE4098C_Summer2026_Grade!C21</f>
        <v>Shafwan Shadid Khan</v>
      </c>
      <c r="D21" s="17">
        <v>42</v>
      </c>
      <c r="E21" s="198">
        <f t="shared" si="0"/>
        <v>46.67</v>
      </c>
      <c r="F21" s="17"/>
      <c r="G21" s="17"/>
      <c r="H21" s="17"/>
      <c r="I21" s="17">
        <v>33</v>
      </c>
      <c r="J21" s="17"/>
      <c r="K21" s="17"/>
      <c r="L21" s="17"/>
      <c r="M21" s="17">
        <v>42</v>
      </c>
      <c r="N21" s="17"/>
      <c r="O21" s="17"/>
      <c r="P21" s="17">
        <v>39</v>
      </c>
      <c r="Q21" s="17"/>
      <c r="R21" s="17"/>
      <c r="S21" s="17"/>
      <c r="T21" s="17">
        <v>39</v>
      </c>
      <c r="U21" s="17"/>
      <c r="V21" s="17"/>
      <c r="W21" s="17"/>
      <c r="X21" s="17"/>
      <c r="Y21" s="199">
        <f t="shared" si="1"/>
        <v>42.5</v>
      </c>
      <c r="Z21" s="200">
        <f t="shared" si="2"/>
        <v>45</v>
      </c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</row>
    <row r="22" spans="1:44" ht="18.75" customHeight="1">
      <c r="A22" s="17">
        <f t="shared" si="3"/>
        <v>18</v>
      </c>
      <c r="B22" s="197">
        <f>CSE4098C_Summer2026_Grade!B22</f>
        <v>201014026</v>
      </c>
      <c r="C22" s="197" t="str">
        <f>CSE4098C_Summer2026_Grade!C22</f>
        <v>Sabbir Hossain</v>
      </c>
      <c r="D22" s="17">
        <v>39</v>
      </c>
      <c r="E22" s="198">
        <f t="shared" si="0"/>
        <v>43.33</v>
      </c>
      <c r="F22" s="17"/>
      <c r="G22" s="17"/>
      <c r="H22" s="17">
        <v>30</v>
      </c>
      <c r="I22" s="17"/>
      <c r="J22" s="17"/>
      <c r="K22" s="17"/>
      <c r="L22" s="17"/>
      <c r="M22" s="17"/>
      <c r="N22" s="17">
        <v>26</v>
      </c>
      <c r="O22" s="17"/>
      <c r="P22" s="17"/>
      <c r="Q22" s="17"/>
      <c r="R22" s="17"/>
      <c r="S22" s="17"/>
      <c r="T22" s="17"/>
      <c r="U22" s="17">
        <v>24</v>
      </c>
      <c r="V22" s="17"/>
      <c r="W22" s="17"/>
      <c r="X22" s="17">
        <v>30</v>
      </c>
      <c r="Y22" s="199">
        <f t="shared" si="1"/>
        <v>30.56</v>
      </c>
      <c r="Z22" s="200">
        <f t="shared" si="2"/>
        <v>38.22</v>
      </c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</row>
    <row r="23" spans="1:44" ht="18.75" customHeight="1">
      <c r="A23" s="17">
        <f t="shared" si="3"/>
        <v>19</v>
      </c>
      <c r="B23" s="197">
        <f>CSE4098C_Summer2026_Grade!B23</f>
        <v>173014054</v>
      </c>
      <c r="C23" s="197" t="str">
        <f>CSE4098C_Summer2026_Grade!C23</f>
        <v>Pranto Sarkar</v>
      </c>
      <c r="D23" s="17">
        <v>33</v>
      </c>
      <c r="E23" s="198">
        <f t="shared" si="0"/>
        <v>36.67</v>
      </c>
      <c r="F23" s="17"/>
      <c r="G23" s="17"/>
      <c r="H23" s="17">
        <v>18</v>
      </c>
      <c r="I23" s="17"/>
      <c r="J23" s="17"/>
      <c r="K23" s="17"/>
      <c r="L23" s="17"/>
      <c r="M23" s="17"/>
      <c r="N23" s="17">
        <v>18</v>
      </c>
      <c r="O23" s="17"/>
      <c r="P23" s="17"/>
      <c r="Q23" s="17"/>
      <c r="R23" s="17"/>
      <c r="S23" s="17"/>
      <c r="T23" s="17"/>
      <c r="U23" s="17">
        <v>0</v>
      </c>
      <c r="V23" s="17"/>
      <c r="W23" s="17"/>
      <c r="X23" s="17">
        <v>15</v>
      </c>
      <c r="Y23" s="199">
        <f t="shared" si="1"/>
        <v>14.17</v>
      </c>
      <c r="Z23" s="200">
        <f t="shared" si="2"/>
        <v>27.67</v>
      </c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</row>
    <row r="24" spans="1:44" ht="18.75" customHeight="1">
      <c r="A24" s="17">
        <f t="shared" si="3"/>
        <v>20</v>
      </c>
      <c r="B24" s="197">
        <f>CSE4098C_Summer2026_Grade!B24</f>
        <v>201014068</v>
      </c>
      <c r="C24" s="197" t="str">
        <f>CSE4098C_Summer2026_Grade!C24</f>
        <v>Shatabdi Mondal Shila</v>
      </c>
      <c r="D24" s="17">
        <v>33</v>
      </c>
      <c r="E24" s="198">
        <f t="shared" si="0"/>
        <v>36.67</v>
      </c>
      <c r="F24" s="17"/>
      <c r="G24" s="17"/>
      <c r="H24" s="17">
        <v>18</v>
      </c>
      <c r="I24" s="17"/>
      <c r="J24" s="17"/>
      <c r="K24" s="17"/>
      <c r="L24" s="17"/>
      <c r="M24" s="17"/>
      <c r="N24" s="17">
        <v>18</v>
      </c>
      <c r="O24" s="17"/>
      <c r="P24" s="17"/>
      <c r="Q24" s="17"/>
      <c r="R24" s="17"/>
      <c r="S24" s="17"/>
      <c r="T24" s="17"/>
      <c r="U24" s="17">
        <v>6</v>
      </c>
      <c r="V24" s="17"/>
      <c r="W24" s="17"/>
      <c r="X24" s="17">
        <v>15</v>
      </c>
      <c r="Y24" s="199">
        <f t="shared" si="1"/>
        <v>15.83</v>
      </c>
      <c r="Z24" s="200">
        <f t="shared" si="2"/>
        <v>28.33</v>
      </c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</row>
    <row r="25" spans="1:44" ht="18.75" customHeight="1">
      <c r="A25" s="17">
        <f t="shared" si="3"/>
        <v>21</v>
      </c>
      <c r="B25" s="197">
        <f>CSE4098C_Summer2026_Grade!B25</f>
        <v>201014030</v>
      </c>
      <c r="C25" s="197" t="str">
        <f>CSE4098C_Summer2026_Grade!C25</f>
        <v>Md. Asiful Islam</v>
      </c>
      <c r="D25" s="17">
        <v>33</v>
      </c>
      <c r="E25" s="198">
        <f t="shared" si="0"/>
        <v>36.67</v>
      </c>
      <c r="F25" s="17"/>
      <c r="G25" s="17"/>
      <c r="H25" s="17">
        <v>18</v>
      </c>
      <c r="I25" s="17"/>
      <c r="J25" s="17"/>
      <c r="K25" s="17"/>
      <c r="L25" s="17"/>
      <c r="M25" s="17"/>
      <c r="N25" s="17">
        <v>18</v>
      </c>
      <c r="O25" s="17"/>
      <c r="P25" s="17"/>
      <c r="Q25" s="17"/>
      <c r="R25" s="17"/>
      <c r="S25" s="17"/>
      <c r="T25" s="17"/>
      <c r="U25" s="17">
        <v>6</v>
      </c>
      <c r="V25" s="17"/>
      <c r="W25" s="17"/>
      <c r="X25" s="17">
        <v>15</v>
      </c>
      <c r="Y25" s="199">
        <f t="shared" si="1"/>
        <v>15.83</v>
      </c>
      <c r="Z25" s="200">
        <f t="shared" si="2"/>
        <v>28.33</v>
      </c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</row>
    <row r="26" spans="1:44" ht="18.75" customHeight="1">
      <c r="A26" s="17">
        <f t="shared" si="3"/>
        <v>22</v>
      </c>
      <c r="B26" s="197">
        <f>CSE4098C_Summer2026_Grade!B26</f>
        <v>201014050</v>
      </c>
      <c r="C26" s="197" t="str">
        <f>CSE4098C_Summer2026_Grade!C26</f>
        <v>Dip Kumar Mondal</v>
      </c>
      <c r="D26" s="17">
        <v>33</v>
      </c>
      <c r="E26" s="198">
        <f t="shared" si="0"/>
        <v>36.67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99" t="e">
        <f t="shared" si="1"/>
        <v>#DIV/0!</v>
      </c>
      <c r="Z26" s="200" t="e">
        <f t="shared" si="2"/>
        <v>#DIV/0!</v>
      </c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</row>
    <row r="27" spans="1:44" ht="17.25" customHeight="1">
      <c r="A27" s="17">
        <f t="shared" si="3"/>
        <v>23</v>
      </c>
      <c r="B27" s="197">
        <f>CSE4098C_Summer2026_Grade!B27</f>
        <v>223014213</v>
      </c>
      <c r="C27" s="197" t="str">
        <f>CSE4098C_Summer2026_Grade!C27</f>
        <v>Md. Minhazul Islam</v>
      </c>
      <c r="D27" s="17">
        <v>39</v>
      </c>
      <c r="E27" s="198">
        <f t="shared" si="0"/>
        <v>43.33</v>
      </c>
      <c r="F27" s="17"/>
      <c r="G27" s="17"/>
      <c r="H27" s="17"/>
      <c r="I27" s="17">
        <v>30</v>
      </c>
      <c r="J27" s="17"/>
      <c r="K27" s="17">
        <v>35</v>
      </c>
      <c r="L27" s="17"/>
      <c r="M27" s="17"/>
      <c r="N27" s="17"/>
      <c r="O27" s="17"/>
      <c r="P27" s="17">
        <v>24</v>
      </c>
      <c r="Q27" s="17"/>
      <c r="R27" s="17"/>
      <c r="S27" s="17"/>
      <c r="T27" s="17">
        <v>15</v>
      </c>
      <c r="U27" s="17"/>
      <c r="V27" s="17"/>
      <c r="W27" s="17"/>
      <c r="X27" s="17"/>
      <c r="Y27" s="199">
        <f t="shared" si="1"/>
        <v>28.89</v>
      </c>
      <c r="Z27" s="200">
        <f t="shared" si="2"/>
        <v>37.549999999999997</v>
      </c>
    </row>
    <row r="28" spans="1:44" ht="17.25" customHeight="1">
      <c r="A28" s="17">
        <f t="shared" si="3"/>
        <v>24</v>
      </c>
      <c r="B28" s="197">
        <f>CSE4098C_Summer2026_Grade!B28</f>
        <v>223014078</v>
      </c>
      <c r="C28" s="197" t="str">
        <f>CSE4098C_Summer2026_Grade!C28</f>
        <v>Shakhar Das Rony</v>
      </c>
      <c r="D28" s="17">
        <v>39</v>
      </c>
      <c r="E28" s="198">
        <f t="shared" si="0"/>
        <v>43.33</v>
      </c>
      <c r="F28" s="17"/>
      <c r="G28" s="17"/>
      <c r="H28" s="17"/>
      <c r="I28" s="17">
        <v>30</v>
      </c>
      <c r="J28" s="17"/>
      <c r="K28" s="17">
        <v>34</v>
      </c>
      <c r="L28" s="17"/>
      <c r="M28" s="17"/>
      <c r="N28" s="17"/>
      <c r="O28" s="17"/>
      <c r="P28" s="17">
        <v>24</v>
      </c>
      <c r="Q28" s="17"/>
      <c r="R28" s="17"/>
      <c r="S28" s="17"/>
      <c r="T28" s="17">
        <v>15</v>
      </c>
      <c r="U28" s="17"/>
      <c r="V28" s="17"/>
      <c r="W28" s="17"/>
      <c r="X28" s="17"/>
      <c r="Y28" s="199">
        <f t="shared" si="1"/>
        <v>28.61</v>
      </c>
      <c r="Z28" s="200">
        <f t="shared" si="2"/>
        <v>37.44</v>
      </c>
    </row>
    <row r="29" spans="1:44" ht="17.25" customHeight="1">
      <c r="A29" s="17">
        <f t="shared" si="3"/>
        <v>25</v>
      </c>
      <c r="B29" s="197">
        <f>CSE4098C_Summer2026_Grade!B29</f>
        <v>223014212</v>
      </c>
      <c r="C29" s="197" t="str">
        <f>CSE4098C_Summer2026_Grade!C29</f>
        <v>Md. Tamim Hasan</v>
      </c>
      <c r="D29" s="17">
        <v>39</v>
      </c>
      <c r="E29" s="198">
        <f t="shared" si="0"/>
        <v>43.33</v>
      </c>
      <c r="F29" s="17"/>
      <c r="G29" s="17"/>
      <c r="H29" s="17"/>
      <c r="I29" s="17">
        <v>30</v>
      </c>
      <c r="J29" s="17"/>
      <c r="K29" s="17">
        <v>35</v>
      </c>
      <c r="L29" s="17"/>
      <c r="M29" s="17"/>
      <c r="N29" s="17"/>
      <c r="O29" s="17"/>
      <c r="P29" s="17">
        <v>24</v>
      </c>
      <c r="Q29" s="17"/>
      <c r="R29" s="17"/>
      <c r="S29" s="17"/>
      <c r="T29" s="17">
        <v>15</v>
      </c>
      <c r="U29" s="17"/>
      <c r="V29" s="17"/>
      <c r="W29" s="17"/>
      <c r="X29" s="17"/>
      <c r="Y29" s="199">
        <f t="shared" si="1"/>
        <v>28.89</v>
      </c>
      <c r="Z29" s="200">
        <f t="shared" si="2"/>
        <v>37.549999999999997</v>
      </c>
    </row>
    <row r="30" spans="1:44" ht="17.25" customHeight="1">
      <c r="A30" s="17">
        <f t="shared" si="3"/>
        <v>26</v>
      </c>
      <c r="B30" s="197">
        <f>CSE4098C_Summer2026_Grade!B30</f>
        <v>223014110</v>
      </c>
      <c r="C30" s="197" t="str">
        <f>CSE4098C_Summer2026_Grade!C30</f>
        <v>Md. Maruf Hossain</v>
      </c>
      <c r="D30" s="17">
        <v>42</v>
      </c>
      <c r="E30" s="201">
        <f t="shared" si="0"/>
        <v>46.67</v>
      </c>
      <c r="F30" s="17"/>
      <c r="G30" s="202"/>
      <c r="H30" s="17"/>
      <c r="I30" s="17"/>
      <c r="J30" s="17">
        <v>36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>
        <v>36</v>
      </c>
      <c r="W30" s="17">
        <v>36</v>
      </c>
      <c r="X30" s="17"/>
      <c r="Y30" s="199">
        <f t="shared" si="1"/>
        <v>40</v>
      </c>
      <c r="Z30" s="200">
        <f t="shared" si="2"/>
        <v>44</v>
      </c>
    </row>
    <row r="31" spans="1:44" ht="16.5" customHeight="1">
      <c r="A31" s="17">
        <f t="shared" si="3"/>
        <v>27</v>
      </c>
      <c r="B31" s="197">
        <f>CSE4098C_Summer2026_Grade!B31</f>
        <v>223014135</v>
      </c>
      <c r="C31" s="197" t="str">
        <f>CSE4098C_Summer2026_Grade!C31</f>
        <v>Rakibul Hasan</v>
      </c>
      <c r="D31" s="17">
        <v>45</v>
      </c>
      <c r="E31" s="201">
        <f t="shared" si="0"/>
        <v>50</v>
      </c>
      <c r="F31" s="17"/>
      <c r="G31" s="202"/>
      <c r="H31" s="17"/>
      <c r="I31" s="17"/>
      <c r="J31" s="17">
        <v>36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>
        <v>39</v>
      </c>
      <c r="W31" s="17">
        <v>39</v>
      </c>
      <c r="X31" s="17"/>
      <c r="Y31" s="199">
        <f t="shared" si="1"/>
        <v>42.22</v>
      </c>
      <c r="Z31" s="200">
        <f t="shared" si="2"/>
        <v>46.89</v>
      </c>
    </row>
    <row r="32" spans="1:44" ht="16.5" customHeight="1">
      <c r="A32" s="17">
        <f t="shared" si="3"/>
        <v>28</v>
      </c>
      <c r="B32" s="197">
        <f>CSE4098C_Summer2026_Grade!B32</f>
        <v>223014122</v>
      </c>
      <c r="C32" s="197" t="str">
        <f>CSE4098C_Summer2026_Grade!C32</f>
        <v>Rabbi Sadnan Khan</v>
      </c>
      <c r="D32" s="17">
        <v>45</v>
      </c>
      <c r="E32" s="201">
        <f t="shared" si="0"/>
        <v>50</v>
      </c>
      <c r="F32" s="17"/>
      <c r="G32" s="202"/>
      <c r="H32" s="17"/>
      <c r="I32" s="17"/>
      <c r="J32" s="17">
        <v>38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>
        <v>39</v>
      </c>
      <c r="W32" s="17">
        <v>42</v>
      </c>
      <c r="X32" s="17"/>
      <c r="Y32" s="199">
        <f t="shared" si="1"/>
        <v>44.07</v>
      </c>
      <c r="Z32" s="200">
        <f t="shared" si="2"/>
        <v>47.63</v>
      </c>
    </row>
    <row r="33" spans="1:26" ht="17.25" customHeight="1">
      <c r="A33" s="17">
        <f t="shared" si="3"/>
        <v>29</v>
      </c>
      <c r="B33" s="197">
        <f>CSE4098C_Summer2026_Grade!B33</f>
        <v>212014030</v>
      </c>
      <c r="C33" s="197" t="str">
        <f>CSE4098C_Summer2026_Grade!C33</f>
        <v>Faria Islam Sara</v>
      </c>
      <c r="D33" s="17">
        <v>45</v>
      </c>
      <c r="E33" s="201">
        <f t="shared" si="0"/>
        <v>50</v>
      </c>
      <c r="F33" s="17"/>
      <c r="G33" s="202"/>
      <c r="H33" s="17"/>
      <c r="I33" s="17"/>
      <c r="J33" s="17">
        <v>36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>
        <v>36</v>
      </c>
      <c r="W33" s="17">
        <v>42</v>
      </c>
      <c r="X33" s="17"/>
      <c r="Y33" s="199">
        <f t="shared" si="1"/>
        <v>42.22</v>
      </c>
      <c r="Z33" s="200">
        <f t="shared" si="2"/>
        <v>46.89</v>
      </c>
    </row>
    <row r="34" spans="1:26" ht="15" customHeight="1">
      <c r="A34" s="17">
        <f t="shared" si="3"/>
        <v>30</v>
      </c>
      <c r="B34" s="197">
        <f>CSE4098C_Summer2026_Grade!B34</f>
        <v>222014072</v>
      </c>
      <c r="C34" s="197" t="str">
        <f>CSE4098C_Summer2026_Grade!C34</f>
        <v>Md. Rahat Pervez</v>
      </c>
      <c r="D34" s="17">
        <v>33</v>
      </c>
      <c r="E34" s="201">
        <f t="shared" si="0"/>
        <v>36.67</v>
      </c>
      <c r="F34" s="17"/>
      <c r="G34" s="202"/>
      <c r="H34" s="17"/>
      <c r="I34" s="17"/>
      <c r="J34" s="17">
        <v>29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>
        <v>30</v>
      </c>
      <c r="W34" s="17">
        <v>24</v>
      </c>
      <c r="X34" s="17"/>
      <c r="Y34" s="199">
        <f t="shared" si="1"/>
        <v>30.74</v>
      </c>
      <c r="Z34" s="200">
        <f t="shared" si="2"/>
        <v>34.299999999999997</v>
      </c>
    </row>
    <row r="35" spans="1:26" ht="15" customHeight="1">
      <c r="A35" s="17">
        <f t="shared" si="3"/>
        <v>31</v>
      </c>
      <c r="B35" s="197">
        <f>CSE4098C_Summer2026_Grade!B35</f>
        <v>222014097</v>
      </c>
      <c r="C35" s="197" t="str">
        <f>CSE4098C_Summer2026_Grade!C35</f>
        <v>Md. Abul Hashem</v>
      </c>
      <c r="D35" s="17">
        <v>33</v>
      </c>
      <c r="E35" s="201">
        <f t="shared" si="0"/>
        <v>36.67</v>
      </c>
      <c r="F35" s="17"/>
      <c r="G35" s="202"/>
      <c r="H35" s="17"/>
      <c r="I35" s="17"/>
      <c r="J35" s="17">
        <v>28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>
        <v>30</v>
      </c>
      <c r="W35" s="17">
        <v>24</v>
      </c>
      <c r="X35" s="17"/>
      <c r="Y35" s="199">
        <f t="shared" si="1"/>
        <v>30.37</v>
      </c>
      <c r="Z35" s="200">
        <f t="shared" si="2"/>
        <v>34.15</v>
      </c>
    </row>
    <row r="36" spans="1:26" ht="18.75" customHeight="1">
      <c r="A36" s="17">
        <f t="shared" si="3"/>
        <v>32</v>
      </c>
      <c r="B36" s="197">
        <f>CSE4098C_Summer2026_Grade!B36</f>
        <v>222014040</v>
      </c>
      <c r="C36" s="197" t="str">
        <f>CSE4098C_Summer2026_Grade!C36</f>
        <v>Md. Fiaz Anam Tasfi</v>
      </c>
      <c r="D36" s="17">
        <v>24</v>
      </c>
      <c r="E36" s="201">
        <f t="shared" si="0"/>
        <v>26.67</v>
      </c>
      <c r="F36" s="17"/>
      <c r="G36" s="202"/>
      <c r="H36" s="17"/>
      <c r="I36" s="17"/>
      <c r="J36" s="17">
        <v>28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>
        <v>27</v>
      </c>
      <c r="W36" s="17">
        <v>24</v>
      </c>
      <c r="X36" s="17"/>
      <c r="Y36" s="199">
        <f t="shared" si="1"/>
        <v>29.26</v>
      </c>
      <c r="Z36" s="200">
        <f t="shared" si="2"/>
        <v>27.71</v>
      </c>
    </row>
    <row r="37" spans="1:26" ht="15.75" customHeight="1">
      <c r="A37" s="17">
        <f t="shared" si="3"/>
        <v>33</v>
      </c>
      <c r="B37" s="197">
        <f>CSE4098C_Summer2026_Grade!B37</f>
        <v>222014071</v>
      </c>
      <c r="C37" s="197" t="str">
        <f>CSE4098C_Summer2026_Grade!C37</f>
        <v>Kasfia Hossain</v>
      </c>
      <c r="D37" s="17">
        <v>24</v>
      </c>
      <c r="E37" s="201">
        <f t="shared" si="0"/>
        <v>26.67</v>
      </c>
      <c r="F37" s="17"/>
      <c r="G37" s="202"/>
      <c r="H37" s="17"/>
      <c r="I37" s="17"/>
      <c r="J37" s="17">
        <v>29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>
        <v>27</v>
      </c>
      <c r="W37" s="17">
        <v>24</v>
      </c>
      <c r="X37" s="17"/>
      <c r="Y37" s="199">
        <f t="shared" si="1"/>
        <v>29.63</v>
      </c>
      <c r="Z37" s="200">
        <f t="shared" si="2"/>
        <v>27.85</v>
      </c>
    </row>
    <row r="38" spans="1:26" ht="16.5" customHeight="1">
      <c r="A38" s="17">
        <f t="shared" si="3"/>
        <v>34</v>
      </c>
      <c r="B38" s="197">
        <f>CSE4098C_Summer2026_Grade!B38</f>
        <v>223014195</v>
      </c>
      <c r="C38" s="197" t="str">
        <f>CSE4098C_Summer2026_Grade!C38</f>
        <v>Md. Rashedul Islam</v>
      </c>
      <c r="D38" s="17">
        <v>27</v>
      </c>
      <c r="E38" s="201">
        <f t="shared" si="0"/>
        <v>30</v>
      </c>
      <c r="F38" s="17"/>
      <c r="G38" s="202"/>
      <c r="H38" s="17"/>
      <c r="I38" s="17"/>
      <c r="J38" s="17">
        <v>28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>
        <v>30</v>
      </c>
      <c r="W38" s="17">
        <v>24</v>
      </c>
      <c r="X38" s="17"/>
      <c r="Y38" s="199">
        <f t="shared" si="1"/>
        <v>30.37</v>
      </c>
      <c r="Z38" s="200">
        <f t="shared" si="2"/>
        <v>30.15</v>
      </c>
    </row>
    <row r="39" spans="1:26" ht="15" customHeight="1">
      <c r="A39" s="17">
        <f t="shared" si="3"/>
        <v>35</v>
      </c>
      <c r="B39" s="197">
        <f>CSE4098C_Summer2026_Grade!B39</f>
        <v>223014143</v>
      </c>
      <c r="C39" s="197" t="str">
        <f>CSE4098C_Summer2026_Grade!C39</f>
        <v>Upoma Paul</v>
      </c>
      <c r="D39" s="17">
        <v>30</v>
      </c>
      <c r="E39" s="201">
        <f t="shared" si="0"/>
        <v>33.33</v>
      </c>
      <c r="F39" s="17"/>
      <c r="G39" s="202"/>
      <c r="H39" s="17">
        <v>12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>
        <v>27</v>
      </c>
      <c r="V39" s="17"/>
      <c r="W39" s="17"/>
      <c r="X39" s="17">
        <v>15</v>
      </c>
      <c r="Y39" s="199">
        <f t="shared" si="1"/>
        <v>20</v>
      </c>
      <c r="Z39" s="200">
        <f t="shared" si="2"/>
        <v>28</v>
      </c>
    </row>
    <row r="40" spans="1:26" ht="18" customHeight="1">
      <c r="A40" s="17">
        <f t="shared" si="3"/>
        <v>36</v>
      </c>
      <c r="B40" s="197">
        <f>CSE4098C_Summer2026_Grade!B40</f>
        <v>231014167</v>
      </c>
      <c r="C40" s="197" t="str">
        <f>CSE4098C_Summer2026_Grade!C40</f>
        <v>Fariha Ahmed</v>
      </c>
      <c r="D40" s="17">
        <v>36</v>
      </c>
      <c r="E40" s="201">
        <f t="shared" si="0"/>
        <v>40</v>
      </c>
      <c r="F40" s="17"/>
      <c r="G40" s="202"/>
      <c r="H40" s="17">
        <v>21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>
        <v>36</v>
      </c>
      <c r="V40" s="17"/>
      <c r="W40" s="17"/>
      <c r="X40" s="17">
        <v>30</v>
      </c>
      <c r="Y40" s="199">
        <f t="shared" si="1"/>
        <v>32.22</v>
      </c>
      <c r="Z40" s="200">
        <f t="shared" si="2"/>
        <v>36.89</v>
      </c>
    </row>
    <row r="41" spans="1:26" ht="15.75" customHeight="1">
      <c r="A41" s="17">
        <f t="shared" si="3"/>
        <v>37</v>
      </c>
      <c r="B41" s="197">
        <f>CSE4098C_Summer2026_Grade!B41</f>
        <v>231014073</v>
      </c>
      <c r="C41" s="197" t="str">
        <f>CSE4098C_Summer2026_Grade!C41</f>
        <v>Amifat Juhad Pranto</v>
      </c>
      <c r="D41" s="17">
        <v>36</v>
      </c>
      <c r="E41" s="201">
        <f t="shared" si="0"/>
        <v>40</v>
      </c>
      <c r="F41" s="17"/>
      <c r="G41" s="202"/>
      <c r="H41" s="17">
        <v>24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>
        <v>36</v>
      </c>
      <c r="V41" s="17"/>
      <c r="W41" s="17"/>
      <c r="X41" s="17">
        <v>30</v>
      </c>
      <c r="Y41" s="199">
        <f t="shared" si="1"/>
        <v>33.33</v>
      </c>
      <c r="Z41" s="200">
        <f t="shared" si="2"/>
        <v>37.33</v>
      </c>
    </row>
    <row r="42" spans="1:26" ht="17.25" customHeight="1">
      <c r="A42" s="17">
        <f t="shared" si="3"/>
        <v>38</v>
      </c>
      <c r="B42" s="197">
        <f>CSE4098C_Summer2026_Grade!B42</f>
        <v>232014058</v>
      </c>
      <c r="C42" s="197" t="str">
        <f>CSE4098C_Summer2026_Grade!C42</f>
        <v>Tasnia Kabir Mahia</v>
      </c>
      <c r="D42" s="17">
        <v>28</v>
      </c>
      <c r="E42" s="201">
        <f t="shared" si="0"/>
        <v>31.11</v>
      </c>
      <c r="F42" s="17"/>
      <c r="G42" s="202"/>
      <c r="H42" s="17">
        <v>12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27</v>
      </c>
      <c r="V42" s="17"/>
      <c r="W42" s="17"/>
      <c r="X42" s="17">
        <v>15</v>
      </c>
      <c r="Y42" s="199">
        <f t="shared" si="1"/>
        <v>20</v>
      </c>
      <c r="Z42" s="200">
        <f t="shared" si="2"/>
        <v>26.67</v>
      </c>
    </row>
    <row r="43" spans="1:26" ht="15.75" customHeight="1">
      <c r="A43" s="17">
        <f t="shared" si="3"/>
        <v>39</v>
      </c>
      <c r="B43" s="197">
        <f>CSE4098C_Summer2026_Grade!B43</f>
        <v>223014183</v>
      </c>
      <c r="C43" s="197" t="str">
        <f>CSE4098C_Summer2026_Grade!C43</f>
        <v>Mahbuba Akter Chowdhury</v>
      </c>
      <c r="D43" s="17">
        <v>42</v>
      </c>
      <c r="E43" s="201">
        <f t="shared" si="0"/>
        <v>46.67</v>
      </c>
      <c r="F43" s="17"/>
      <c r="G43" s="202"/>
      <c r="H43" s="17">
        <v>30</v>
      </c>
      <c r="I43" s="17"/>
      <c r="J43" s="17"/>
      <c r="K43" s="17"/>
      <c r="L43" s="17"/>
      <c r="M43" s="17"/>
      <c r="N43" s="17"/>
      <c r="O43" s="17"/>
      <c r="P43" s="17"/>
      <c r="Q43" s="17">
        <v>33</v>
      </c>
      <c r="R43" s="17"/>
      <c r="S43" s="17"/>
      <c r="T43" s="17"/>
      <c r="U43" s="17">
        <v>39</v>
      </c>
      <c r="V43" s="17"/>
      <c r="W43" s="17"/>
      <c r="X43" s="17">
        <v>39</v>
      </c>
      <c r="Y43" s="199">
        <f t="shared" si="1"/>
        <v>39.17</v>
      </c>
      <c r="Z43" s="200">
        <f t="shared" si="2"/>
        <v>43.67</v>
      </c>
    </row>
    <row r="44" spans="1:26" ht="18" customHeight="1">
      <c r="A44" s="17">
        <f t="shared" si="3"/>
        <v>40</v>
      </c>
      <c r="B44" s="197">
        <f>CSE4098C_Summer2026_Grade!B44</f>
        <v>223014182</v>
      </c>
      <c r="C44" s="197" t="str">
        <f>CSE4098C_Summer2026_Grade!C44</f>
        <v>Divya Jyoti Bagchi</v>
      </c>
      <c r="D44" s="17">
        <v>43</v>
      </c>
      <c r="E44" s="201">
        <f t="shared" si="0"/>
        <v>47.78</v>
      </c>
      <c r="F44" s="17"/>
      <c r="G44" s="202"/>
      <c r="H44" s="17">
        <v>33</v>
      </c>
      <c r="I44" s="17"/>
      <c r="J44" s="17"/>
      <c r="K44" s="17"/>
      <c r="L44" s="17"/>
      <c r="M44" s="17"/>
      <c r="N44" s="17"/>
      <c r="O44" s="17"/>
      <c r="P44" s="17"/>
      <c r="Q44" s="17">
        <v>39</v>
      </c>
      <c r="R44" s="17"/>
      <c r="S44" s="17"/>
      <c r="T44" s="17"/>
      <c r="U44" s="17">
        <v>45</v>
      </c>
      <c r="V44" s="17"/>
      <c r="W44" s="17"/>
      <c r="X44" s="17">
        <v>45</v>
      </c>
      <c r="Y44" s="199">
        <f t="shared" si="1"/>
        <v>45</v>
      </c>
      <c r="Z44" s="200">
        <f t="shared" si="2"/>
        <v>46.67</v>
      </c>
    </row>
    <row r="45" spans="1:26" ht="18.75" customHeight="1">
      <c r="A45" s="17">
        <f t="shared" si="3"/>
        <v>41</v>
      </c>
      <c r="B45" s="197">
        <f>CSE4098C_Summer2026_Grade!B45</f>
        <v>223014127</v>
      </c>
      <c r="C45" s="197" t="str">
        <f>CSE4098C_Summer2026_Grade!C45</f>
        <v>Naznine Sultana Nitu</v>
      </c>
      <c r="D45" s="17">
        <v>42</v>
      </c>
      <c r="E45" s="201">
        <f t="shared" si="0"/>
        <v>46.67</v>
      </c>
      <c r="F45" s="17"/>
      <c r="G45" s="202"/>
      <c r="H45" s="17">
        <v>30</v>
      </c>
      <c r="I45" s="17"/>
      <c r="J45" s="17"/>
      <c r="K45" s="17"/>
      <c r="L45" s="17"/>
      <c r="M45" s="17"/>
      <c r="N45" s="17"/>
      <c r="O45" s="17"/>
      <c r="P45" s="17"/>
      <c r="Q45" s="17">
        <v>33</v>
      </c>
      <c r="R45" s="17"/>
      <c r="S45" s="17"/>
      <c r="T45" s="17"/>
      <c r="U45" s="17">
        <v>39</v>
      </c>
      <c r="V45" s="17"/>
      <c r="W45" s="17"/>
      <c r="X45" s="17">
        <v>39</v>
      </c>
      <c r="Y45" s="199">
        <f t="shared" si="1"/>
        <v>39.17</v>
      </c>
      <c r="Z45" s="200">
        <f t="shared" si="2"/>
        <v>43.67</v>
      </c>
    </row>
    <row r="46" spans="1:26" ht="18.75" customHeight="1">
      <c r="A46" s="17">
        <f t="shared" si="3"/>
        <v>42</v>
      </c>
      <c r="B46" s="197">
        <f>CSE4098C_Summer2026_Grade!B46</f>
        <v>223014011</v>
      </c>
      <c r="C46" s="197" t="str">
        <f>CSE4098C_Summer2026_Grade!C46</f>
        <v>Fabiha Fayruj</v>
      </c>
      <c r="D46" s="17">
        <v>43</v>
      </c>
      <c r="E46" s="201">
        <f t="shared" si="0"/>
        <v>47.78</v>
      </c>
      <c r="F46" s="17"/>
      <c r="G46" s="202"/>
      <c r="H46" s="17">
        <v>30</v>
      </c>
      <c r="I46" s="17"/>
      <c r="J46" s="17"/>
      <c r="K46" s="17"/>
      <c r="L46" s="17"/>
      <c r="M46" s="17"/>
      <c r="N46" s="17"/>
      <c r="O46" s="17"/>
      <c r="P46" s="17"/>
      <c r="Q46" s="17">
        <v>33</v>
      </c>
      <c r="R46" s="17"/>
      <c r="S46" s="17"/>
      <c r="T46" s="17"/>
      <c r="U46" s="17">
        <v>39</v>
      </c>
      <c r="V46" s="17"/>
      <c r="W46" s="17"/>
      <c r="X46" s="17">
        <v>39</v>
      </c>
      <c r="Y46" s="199">
        <f t="shared" si="1"/>
        <v>39.17</v>
      </c>
      <c r="Z46" s="200">
        <f t="shared" si="2"/>
        <v>44.34</v>
      </c>
    </row>
    <row r="47" spans="1:26" ht="17.25" customHeight="1">
      <c r="A47" s="17">
        <f t="shared" si="3"/>
        <v>43</v>
      </c>
      <c r="B47" s="197">
        <f>CSE4098C_Summer2026_Grade!B47</f>
        <v>231014007</v>
      </c>
      <c r="C47" s="197" t="str">
        <f>CSE4098C_Summer2026_Grade!C47</f>
        <v>Abdullah Al Baki</v>
      </c>
      <c r="D47" s="17">
        <v>42</v>
      </c>
      <c r="E47" s="201">
        <f t="shared" si="0"/>
        <v>46.67</v>
      </c>
      <c r="F47" s="17"/>
      <c r="G47" s="202"/>
      <c r="H47" s="17">
        <v>30</v>
      </c>
      <c r="I47" s="17"/>
      <c r="J47" s="17"/>
      <c r="K47" s="17"/>
      <c r="L47" s="17"/>
      <c r="M47" s="17"/>
      <c r="N47" s="17"/>
      <c r="O47" s="17"/>
      <c r="P47" s="17"/>
      <c r="Q47" s="17">
        <v>33</v>
      </c>
      <c r="R47" s="17"/>
      <c r="S47" s="17"/>
      <c r="T47" s="17"/>
      <c r="U47" s="17">
        <v>39</v>
      </c>
      <c r="V47" s="17"/>
      <c r="W47" s="17"/>
      <c r="X47" s="17">
        <v>39</v>
      </c>
      <c r="Y47" s="199">
        <f t="shared" si="1"/>
        <v>39.17</v>
      </c>
      <c r="Z47" s="200">
        <f t="shared" si="2"/>
        <v>43.67</v>
      </c>
    </row>
    <row r="48" spans="1:26" ht="18" customHeight="1">
      <c r="A48" s="17">
        <f t="shared" si="3"/>
        <v>44</v>
      </c>
      <c r="B48" s="197">
        <f>CSE4098C_Summer2026_Grade!B48</f>
        <v>212014015</v>
      </c>
      <c r="C48" s="197" t="str">
        <f>CSE4098C_Summer2026_Grade!C48</f>
        <v>Md. Arif Hossain Mir</v>
      </c>
      <c r="D48" s="17">
        <v>30</v>
      </c>
      <c r="E48" s="201">
        <f t="shared" si="0"/>
        <v>33.33</v>
      </c>
      <c r="F48" s="17"/>
      <c r="G48" s="202"/>
      <c r="H48" s="17"/>
      <c r="I48" s="17"/>
      <c r="J48" s="17"/>
      <c r="K48" s="17"/>
      <c r="L48" s="17"/>
      <c r="M48" s="17">
        <v>39</v>
      </c>
      <c r="N48" s="17"/>
      <c r="O48" s="17"/>
      <c r="P48" s="17">
        <v>27</v>
      </c>
      <c r="Q48" s="17"/>
      <c r="R48" s="17"/>
      <c r="S48" s="17"/>
      <c r="T48" s="17">
        <v>21</v>
      </c>
      <c r="U48" s="17"/>
      <c r="V48" s="17"/>
      <c r="W48" s="17"/>
      <c r="X48" s="17"/>
      <c r="Y48" s="199">
        <f t="shared" si="1"/>
        <v>32.22</v>
      </c>
      <c r="Z48" s="200">
        <f t="shared" si="2"/>
        <v>32.89</v>
      </c>
    </row>
    <row r="49" spans="1:26" ht="15.75" customHeight="1">
      <c r="A49" s="17">
        <f t="shared" si="3"/>
        <v>45</v>
      </c>
      <c r="B49" s="197">
        <f>CSE4098C_Summer2026_Grade!B49</f>
        <v>223014050</v>
      </c>
      <c r="C49" s="197" t="str">
        <f>CSE4098C_Summer2026_Grade!C49</f>
        <v>Isnat Jahan Ome</v>
      </c>
      <c r="D49" s="17">
        <v>30</v>
      </c>
      <c r="E49" s="201">
        <f t="shared" si="0"/>
        <v>33.33</v>
      </c>
      <c r="F49" s="17"/>
      <c r="G49" s="202"/>
      <c r="H49" s="17"/>
      <c r="I49" s="17"/>
      <c r="J49" s="17"/>
      <c r="K49" s="17"/>
      <c r="L49" s="17"/>
      <c r="M49" s="17">
        <v>39</v>
      </c>
      <c r="N49" s="17"/>
      <c r="O49" s="17"/>
      <c r="P49" s="17">
        <v>27</v>
      </c>
      <c r="Q49" s="17"/>
      <c r="R49" s="17"/>
      <c r="S49" s="17"/>
      <c r="T49" s="17">
        <v>21</v>
      </c>
      <c r="U49" s="17"/>
      <c r="V49" s="17"/>
      <c r="W49" s="17"/>
      <c r="X49" s="17"/>
      <c r="Y49" s="199">
        <f t="shared" si="1"/>
        <v>32.22</v>
      </c>
      <c r="Z49" s="200">
        <f t="shared" si="2"/>
        <v>32.89</v>
      </c>
    </row>
    <row r="50" spans="1:26" ht="18" customHeight="1">
      <c r="A50" s="17">
        <f t="shared" si="3"/>
        <v>46</v>
      </c>
      <c r="B50" s="197">
        <f>CSE4098C_Summer2026_Grade!B50</f>
        <v>231014075</v>
      </c>
      <c r="C50" s="197" t="str">
        <f>CSE4098C_Summer2026_Grade!C50</f>
        <v>Hasib Mahmud</v>
      </c>
      <c r="D50" s="17">
        <v>30</v>
      </c>
      <c r="E50" s="201">
        <f t="shared" si="0"/>
        <v>33.33</v>
      </c>
      <c r="F50" s="17"/>
      <c r="G50" s="202"/>
      <c r="H50" s="17"/>
      <c r="I50" s="17"/>
      <c r="J50" s="17"/>
      <c r="K50" s="17"/>
      <c r="L50" s="17"/>
      <c r="M50" s="17">
        <v>39</v>
      </c>
      <c r="N50" s="17"/>
      <c r="O50" s="17"/>
      <c r="P50" s="17">
        <v>27</v>
      </c>
      <c r="Q50" s="17"/>
      <c r="R50" s="17"/>
      <c r="S50" s="17"/>
      <c r="T50" s="17">
        <v>21</v>
      </c>
      <c r="U50" s="17"/>
      <c r="V50" s="17"/>
      <c r="W50" s="17"/>
      <c r="X50" s="17"/>
      <c r="Y50" s="199">
        <f t="shared" si="1"/>
        <v>32.22</v>
      </c>
      <c r="Z50" s="200">
        <f t="shared" si="2"/>
        <v>32.89</v>
      </c>
    </row>
    <row r="51" spans="1:26" ht="16.5" customHeight="1">
      <c r="A51" s="17">
        <f t="shared" si="3"/>
        <v>47</v>
      </c>
      <c r="B51" s="197">
        <f>CSE4098C_Summer2026_Grade!B51</f>
        <v>222014052</v>
      </c>
      <c r="C51" s="197" t="str">
        <f>CSE4098C_Summer2026_Grade!C51</f>
        <v>Redwan Ahamad Samir</v>
      </c>
      <c r="D51" s="17">
        <v>40</v>
      </c>
      <c r="E51" s="201">
        <f t="shared" si="0"/>
        <v>44.44</v>
      </c>
      <c r="F51" s="17"/>
      <c r="G51" s="202"/>
      <c r="H51" s="17"/>
      <c r="I51" s="17"/>
      <c r="J51" s="17"/>
      <c r="K51" s="17"/>
      <c r="L51" s="17"/>
      <c r="M51" s="17"/>
      <c r="N51" s="17"/>
      <c r="O51" s="17">
        <v>42</v>
      </c>
      <c r="P51" s="17"/>
      <c r="Q51" s="17"/>
      <c r="R51" s="17"/>
      <c r="S51" s="17"/>
      <c r="T51" s="17"/>
      <c r="U51" s="17"/>
      <c r="V51" s="17">
        <v>39</v>
      </c>
      <c r="W51" s="17">
        <v>24</v>
      </c>
      <c r="X51" s="17"/>
      <c r="Y51" s="199">
        <f t="shared" si="1"/>
        <v>38.89</v>
      </c>
      <c r="Z51" s="200">
        <f t="shared" si="2"/>
        <v>42.22</v>
      </c>
    </row>
    <row r="52" spans="1:26" ht="18.75" customHeight="1">
      <c r="A52" s="17">
        <f t="shared" si="3"/>
        <v>48</v>
      </c>
      <c r="B52" s="197">
        <f>CSE4098C_Summer2026_Grade!B52</f>
        <v>222014009</v>
      </c>
      <c r="C52" s="197" t="str">
        <f>CSE4098C_Summer2026_Grade!C52</f>
        <v>Samia Rahman</v>
      </c>
      <c r="D52" s="17">
        <v>38</v>
      </c>
      <c r="E52" s="201">
        <f t="shared" si="0"/>
        <v>42.22</v>
      </c>
      <c r="F52" s="17"/>
      <c r="G52" s="202"/>
      <c r="H52" s="17"/>
      <c r="I52" s="17"/>
      <c r="J52" s="17"/>
      <c r="K52" s="17"/>
      <c r="L52" s="17"/>
      <c r="M52" s="17"/>
      <c r="N52" s="17"/>
      <c r="O52" s="17">
        <v>39</v>
      </c>
      <c r="P52" s="17"/>
      <c r="Q52" s="17"/>
      <c r="R52" s="17"/>
      <c r="S52" s="17"/>
      <c r="T52" s="17"/>
      <c r="U52" s="17"/>
      <c r="V52" s="17">
        <v>39</v>
      </c>
      <c r="W52" s="17">
        <v>24</v>
      </c>
      <c r="X52" s="17"/>
      <c r="Y52" s="199">
        <f t="shared" si="1"/>
        <v>37.78</v>
      </c>
      <c r="Z52" s="200">
        <f t="shared" si="2"/>
        <v>40.44</v>
      </c>
    </row>
    <row r="53" spans="1:26" ht="18" customHeight="1">
      <c r="A53" s="17">
        <f t="shared" si="3"/>
        <v>49</v>
      </c>
      <c r="B53" s="197">
        <f>CSE4098C_Summer2026_Grade!B53</f>
        <v>222014088</v>
      </c>
      <c r="C53" s="197" t="str">
        <f>CSE4098C_Summer2026_Grade!C53</f>
        <v>Md. Omur Faruk</v>
      </c>
      <c r="D53" s="17">
        <v>38</v>
      </c>
      <c r="E53" s="201">
        <f t="shared" si="0"/>
        <v>42.22</v>
      </c>
      <c r="F53" s="17"/>
      <c r="G53" s="202"/>
      <c r="H53" s="17"/>
      <c r="I53" s="17"/>
      <c r="J53" s="17"/>
      <c r="K53" s="17"/>
      <c r="L53" s="17"/>
      <c r="M53" s="17"/>
      <c r="N53" s="17"/>
      <c r="O53" s="17">
        <v>39</v>
      </c>
      <c r="P53" s="17"/>
      <c r="Q53" s="17"/>
      <c r="R53" s="17"/>
      <c r="S53" s="17"/>
      <c r="T53" s="17"/>
      <c r="U53" s="17"/>
      <c r="V53" s="17">
        <v>39</v>
      </c>
      <c r="W53" s="17">
        <v>21</v>
      </c>
      <c r="X53" s="17"/>
      <c r="Y53" s="199">
        <f t="shared" si="1"/>
        <v>36.67</v>
      </c>
      <c r="Z53" s="200">
        <f t="shared" si="2"/>
        <v>40</v>
      </c>
    </row>
    <row r="54" spans="1:26" ht="18" customHeight="1">
      <c r="A54" s="17">
        <f t="shared" si="3"/>
        <v>50</v>
      </c>
      <c r="B54" s="197">
        <f>CSE4098C_Summer2026_Grade!B54</f>
        <v>231014021</v>
      </c>
      <c r="C54" s="197" t="str">
        <f>CSE4098C_Summer2026_Grade!C54</f>
        <v>Raiyan Islam</v>
      </c>
      <c r="D54" s="17">
        <v>37</v>
      </c>
      <c r="E54" s="201">
        <f t="shared" si="0"/>
        <v>41.11</v>
      </c>
      <c r="F54" s="17"/>
      <c r="G54" s="202"/>
      <c r="H54" s="17"/>
      <c r="I54" s="17"/>
      <c r="J54" s="17"/>
      <c r="K54" s="17"/>
      <c r="L54" s="17"/>
      <c r="M54" s="17"/>
      <c r="N54" s="17"/>
      <c r="O54" s="17">
        <v>39</v>
      </c>
      <c r="P54" s="17"/>
      <c r="Q54" s="17"/>
      <c r="R54" s="17"/>
      <c r="S54" s="17"/>
      <c r="T54" s="17"/>
      <c r="U54" s="17"/>
      <c r="V54" s="17">
        <v>39</v>
      </c>
      <c r="W54" s="17">
        <v>24</v>
      </c>
      <c r="X54" s="17"/>
      <c r="Y54" s="199">
        <f t="shared" si="1"/>
        <v>37.78</v>
      </c>
      <c r="Z54" s="200">
        <f t="shared" si="2"/>
        <v>39.78</v>
      </c>
    </row>
    <row r="55" spans="1:26" ht="16.5" customHeight="1">
      <c r="A55" s="17">
        <f t="shared" si="3"/>
        <v>51</v>
      </c>
      <c r="B55" s="197">
        <f>CSE4098C_Summer2026_Grade!B55</f>
        <v>223014086</v>
      </c>
      <c r="C55" s="197" t="str">
        <f>CSE4098C_Summer2026_Grade!C55</f>
        <v>Talat Mahmud Lam</v>
      </c>
      <c r="D55" s="17">
        <v>0</v>
      </c>
      <c r="E55" s="201">
        <f t="shared" si="0"/>
        <v>0</v>
      </c>
      <c r="F55" s="17"/>
      <c r="G55" s="202"/>
      <c r="H55" s="17">
        <v>27</v>
      </c>
      <c r="I55" s="17"/>
      <c r="J55" s="17"/>
      <c r="K55" s="17"/>
      <c r="L55" s="17"/>
      <c r="M55" s="17"/>
      <c r="N55" s="17">
        <v>35</v>
      </c>
      <c r="O55" s="17"/>
      <c r="P55" s="17"/>
      <c r="Q55" s="17"/>
      <c r="R55" s="17"/>
      <c r="S55" s="17"/>
      <c r="T55" s="17"/>
      <c r="U55" s="17">
        <v>45</v>
      </c>
      <c r="V55" s="17"/>
      <c r="W55" s="17"/>
      <c r="X55" s="17">
        <v>45</v>
      </c>
      <c r="Y55" s="199">
        <f t="shared" si="1"/>
        <v>42.22</v>
      </c>
      <c r="Z55" s="200">
        <f t="shared" si="2"/>
        <v>16.89</v>
      </c>
    </row>
    <row r="56" spans="1:26" ht="15" customHeight="1">
      <c r="A56" s="17">
        <f t="shared" si="3"/>
        <v>52</v>
      </c>
      <c r="B56" s="197">
        <f>CSE4098C_Summer2026_Grade!B56</f>
        <v>223014033</v>
      </c>
      <c r="C56" s="197" t="str">
        <f>CSE4098C_Summer2026_Grade!C56</f>
        <v>Sadia Nuzat Prova</v>
      </c>
      <c r="D56" s="17">
        <v>0</v>
      </c>
      <c r="E56" s="201">
        <f t="shared" si="0"/>
        <v>0</v>
      </c>
      <c r="F56" s="17"/>
      <c r="G56" s="202"/>
      <c r="H56" s="17">
        <v>15</v>
      </c>
      <c r="I56" s="17"/>
      <c r="J56" s="17"/>
      <c r="K56" s="17"/>
      <c r="L56" s="17"/>
      <c r="M56" s="17"/>
      <c r="N56" s="17">
        <v>31</v>
      </c>
      <c r="O56" s="17"/>
      <c r="P56" s="17"/>
      <c r="Q56" s="17"/>
      <c r="R56" s="17"/>
      <c r="S56" s="17"/>
      <c r="T56" s="17"/>
      <c r="U56" s="17">
        <v>30</v>
      </c>
      <c r="V56" s="17"/>
      <c r="W56" s="17"/>
      <c r="X56" s="17">
        <v>30</v>
      </c>
      <c r="Y56" s="199">
        <f t="shared" si="1"/>
        <v>29.44</v>
      </c>
      <c r="Z56" s="200">
        <f t="shared" si="2"/>
        <v>11.78</v>
      </c>
    </row>
    <row r="57" spans="1:26" ht="15" customHeight="1">
      <c r="A57" s="17">
        <f t="shared" si="3"/>
        <v>53</v>
      </c>
      <c r="B57" s="197">
        <f>CSE4098C_Summer2026_Grade!B57</f>
        <v>223014042</v>
      </c>
      <c r="C57" s="197" t="str">
        <f>CSE4098C_Summer2026_Grade!C57</f>
        <v>Shahin Alam</v>
      </c>
      <c r="D57" s="17">
        <v>0</v>
      </c>
      <c r="E57" s="201">
        <f t="shared" si="0"/>
        <v>0</v>
      </c>
      <c r="F57" s="17"/>
      <c r="G57" s="202"/>
      <c r="H57" s="17">
        <v>12</v>
      </c>
      <c r="I57" s="17"/>
      <c r="J57" s="17"/>
      <c r="K57" s="17"/>
      <c r="L57" s="17"/>
      <c r="M57" s="17"/>
      <c r="N57" s="17">
        <v>26</v>
      </c>
      <c r="O57" s="17"/>
      <c r="P57" s="17"/>
      <c r="Q57" s="17"/>
      <c r="R57" s="17"/>
      <c r="S57" s="17"/>
      <c r="T57" s="17"/>
      <c r="U57" s="17">
        <v>24</v>
      </c>
      <c r="V57" s="17"/>
      <c r="W57" s="17"/>
      <c r="X57" s="17">
        <v>15</v>
      </c>
      <c r="Y57" s="199">
        <f t="shared" si="1"/>
        <v>21.39</v>
      </c>
      <c r="Z57" s="200">
        <f t="shared" si="2"/>
        <v>8.56</v>
      </c>
    </row>
    <row r="58" spans="1:26" ht="14.25" customHeight="1">
      <c r="A58" s="17">
        <f t="shared" si="3"/>
        <v>54</v>
      </c>
      <c r="B58" s="197">
        <f>CSE4098C_Summer2026_Grade!B58</f>
        <v>223014040</v>
      </c>
      <c r="C58" s="197" t="str">
        <f>CSE4098C_Summer2026_Grade!C58</f>
        <v>Umme Asma Busra</v>
      </c>
      <c r="D58" s="17">
        <v>0</v>
      </c>
      <c r="E58" s="201">
        <f t="shared" si="0"/>
        <v>0</v>
      </c>
      <c r="F58" s="17"/>
      <c r="G58" s="202"/>
      <c r="H58" s="17">
        <v>12</v>
      </c>
      <c r="I58" s="17"/>
      <c r="J58" s="17"/>
      <c r="K58" s="17"/>
      <c r="L58" s="17"/>
      <c r="M58" s="17"/>
      <c r="N58" s="17">
        <v>26</v>
      </c>
      <c r="O58" s="17"/>
      <c r="P58" s="17"/>
      <c r="Q58" s="17"/>
      <c r="R58" s="17"/>
      <c r="S58" s="17"/>
      <c r="T58" s="17"/>
      <c r="U58" s="17">
        <v>24</v>
      </c>
      <c r="V58" s="17"/>
      <c r="W58" s="17"/>
      <c r="X58" s="17">
        <v>15</v>
      </c>
      <c r="Y58" s="199">
        <f t="shared" si="1"/>
        <v>21.39</v>
      </c>
      <c r="Z58" s="200">
        <f t="shared" si="2"/>
        <v>8.56</v>
      </c>
    </row>
    <row r="59" spans="1:26" ht="15" customHeight="1">
      <c r="A59" s="17">
        <f t="shared" si="3"/>
        <v>55</v>
      </c>
      <c r="B59" s="197">
        <f>CSE4098C_Summer2026_Grade!B59</f>
        <v>223014054</v>
      </c>
      <c r="C59" s="197" t="str">
        <f>CSE4098C_Summer2026_Grade!C59</f>
        <v>Golam Munem Zarif</v>
      </c>
      <c r="D59" s="17">
        <v>0</v>
      </c>
      <c r="E59" s="201">
        <f t="shared" si="0"/>
        <v>0</v>
      </c>
      <c r="F59" s="17"/>
      <c r="G59" s="202"/>
      <c r="H59" s="17">
        <v>12</v>
      </c>
      <c r="I59" s="17"/>
      <c r="J59" s="17"/>
      <c r="K59" s="17"/>
      <c r="L59" s="17"/>
      <c r="M59" s="17"/>
      <c r="N59" s="17">
        <v>26</v>
      </c>
      <c r="O59" s="17"/>
      <c r="P59" s="17"/>
      <c r="Q59" s="17"/>
      <c r="R59" s="17"/>
      <c r="S59" s="17"/>
      <c r="T59" s="17"/>
      <c r="U59" s="17">
        <v>36</v>
      </c>
      <c r="V59" s="17"/>
      <c r="W59" s="17"/>
      <c r="X59" s="17">
        <v>15</v>
      </c>
      <c r="Y59" s="199">
        <f t="shared" si="1"/>
        <v>24.72</v>
      </c>
      <c r="Z59" s="200">
        <f t="shared" si="2"/>
        <v>9.89</v>
      </c>
    </row>
    <row r="60" spans="1:26" ht="15" customHeight="1">
      <c r="A60" s="17">
        <f t="shared" si="3"/>
        <v>56</v>
      </c>
      <c r="B60" s="197">
        <f>CSE4098C_Summer2026_Grade!B60</f>
        <v>231014049</v>
      </c>
      <c r="C60" s="197" t="str">
        <f>CSE4098C_Summer2026_Grade!C60</f>
        <v>Kazi Noor E Saba</v>
      </c>
      <c r="D60" s="17">
        <v>0</v>
      </c>
      <c r="E60" s="201">
        <f t="shared" si="0"/>
        <v>0</v>
      </c>
      <c r="F60" s="17"/>
      <c r="G60" s="202"/>
      <c r="H60" s="17">
        <v>33</v>
      </c>
      <c r="I60" s="17"/>
      <c r="J60" s="17"/>
      <c r="K60" s="17"/>
      <c r="L60" s="17"/>
      <c r="M60" s="17"/>
      <c r="N60" s="17">
        <v>36</v>
      </c>
      <c r="O60" s="17"/>
      <c r="P60" s="17"/>
      <c r="Q60" s="17">
        <v>39</v>
      </c>
      <c r="R60" s="17"/>
      <c r="S60" s="17"/>
      <c r="T60" s="17"/>
      <c r="U60" s="17">
        <v>45</v>
      </c>
      <c r="V60" s="17"/>
      <c r="W60" s="17"/>
      <c r="X60" s="17">
        <v>42</v>
      </c>
      <c r="Y60" s="199">
        <f t="shared" si="1"/>
        <v>43.33</v>
      </c>
      <c r="Z60" s="200">
        <f t="shared" si="2"/>
        <v>17.329999999999998</v>
      </c>
    </row>
    <row r="61" spans="1:26" ht="14.25" customHeight="1">
      <c r="A61" s="17">
        <f t="shared" si="3"/>
        <v>57</v>
      </c>
      <c r="B61" s="197">
        <f>CSE4098C_Summer2026_Grade!B61</f>
        <v>231014016</v>
      </c>
      <c r="C61" s="197" t="str">
        <f>CSE4098C_Summer2026_Grade!C61</f>
        <v>Md. Akib Al Mahmud Dihan</v>
      </c>
      <c r="D61" s="17">
        <v>0</v>
      </c>
      <c r="E61" s="201">
        <f t="shared" si="0"/>
        <v>0</v>
      </c>
      <c r="F61" s="17"/>
      <c r="G61" s="202"/>
      <c r="H61" s="202">
        <v>27</v>
      </c>
      <c r="I61" s="17"/>
      <c r="J61" s="17"/>
      <c r="K61" s="17"/>
      <c r="L61" s="17"/>
      <c r="M61" s="17"/>
      <c r="N61" s="17">
        <v>30</v>
      </c>
      <c r="O61" s="17"/>
      <c r="P61" s="17"/>
      <c r="Q61" s="17">
        <v>30</v>
      </c>
      <c r="R61" s="17"/>
      <c r="S61" s="17"/>
      <c r="T61" s="17"/>
      <c r="U61" s="17">
        <v>42</v>
      </c>
      <c r="V61" s="17"/>
      <c r="W61" s="17"/>
      <c r="X61" s="17">
        <v>30</v>
      </c>
      <c r="Y61" s="199">
        <f t="shared" si="1"/>
        <v>35.33</v>
      </c>
      <c r="Z61" s="200">
        <f t="shared" si="2"/>
        <v>14.13</v>
      </c>
    </row>
    <row r="62" spans="1:26" ht="15" customHeight="1">
      <c r="A62" s="17">
        <f t="shared" si="3"/>
        <v>58</v>
      </c>
      <c r="B62" s="197">
        <f>CSE4098C_Summer2026_Grade!B62</f>
        <v>231014125</v>
      </c>
      <c r="C62" s="197" t="str">
        <f>CSE4098C_Summer2026_Grade!C62</f>
        <v>Jumana Muntaha</v>
      </c>
      <c r="D62" s="17">
        <v>0</v>
      </c>
      <c r="E62" s="201">
        <f t="shared" si="0"/>
        <v>0</v>
      </c>
      <c r="F62" s="17"/>
      <c r="G62" s="202"/>
      <c r="H62" s="202">
        <v>21</v>
      </c>
      <c r="I62" s="17"/>
      <c r="J62" s="17"/>
      <c r="K62" s="17"/>
      <c r="L62" s="17"/>
      <c r="M62" s="17"/>
      <c r="N62" s="17">
        <v>26</v>
      </c>
      <c r="O62" s="17"/>
      <c r="P62" s="17"/>
      <c r="Q62" s="17">
        <v>33</v>
      </c>
      <c r="R62" s="17"/>
      <c r="S62" s="17"/>
      <c r="T62" s="17"/>
      <c r="U62" s="17">
        <v>42</v>
      </c>
      <c r="V62" s="17"/>
      <c r="W62" s="17"/>
      <c r="X62" s="17">
        <v>24</v>
      </c>
      <c r="Y62" s="199">
        <f t="shared" si="1"/>
        <v>32.44</v>
      </c>
      <c r="Z62" s="200">
        <f t="shared" si="2"/>
        <v>12.98</v>
      </c>
    </row>
    <row r="63" spans="1:26" ht="17.25" customHeight="1">
      <c r="A63" s="17">
        <f t="shared" si="3"/>
        <v>59</v>
      </c>
      <c r="B63" s="197">
        <f>CSE4098C_Summer2026_Grade!B63</f>
        <v>231014142</v>
      </c>
      <c r="C63" s="197" t="str">
        <f>CSE4098C_Summer2026_Grade!C63</f>
        <v>Abida Binte Asif</v>
      </c>
      <c r="D63" s="17">
        <v>0</v>
      </c>
      <c r="E63" s="201">
        <f t="shared" si="0"/>
        <v>0</v>
      </c>
      <c r="F63" s="17"/>
      <c r="G63" s="202"/>
      <c r="H63" s="202">
        <v>15</v>
      </c>
      <c r="I63" s="17"/>
      <c r="J63" s="17"/>
      <c r="K63" s="17"/>
      <c r="L63" s="17"/>
      <c r="M63" s="17"/>
      <c r="N63" s="17">
        <v>26</v>
      </c>
      <c r="O63" s="17"/>
      <c r="P63" s="17"/>
      <c r="Q63" s="17">
        <v>30</v>
      </c>
      <c r="R63" s="17"/>
      <c r="S63" s="17"/>
      <c r="T63" s="17"/>
      <c r="U63" s="17">
        <v>42</v>
      </c>
      <c r="V63" s="17"/>
      <c r="W63" s="17"/>
      <c r="X63" s="17">
        <v>27</v>
      </c>
      <c r="Y63" s="199">
        <f t="shared" si="1"/>
        <v>31.11</v>
      </c>
      <c r="Z63" s="200">
        <f t="shared" si="2"/>
        <v>12.44</v>
      </c>
    </row>
    <row r="64" spans="1:26" ht="15" customHeight="1">
      <c r="A64" s="17">
        <f t="shared" si="3"/>
        <v>60</v>
      </c>
      <c r="B64" s="197">
        <f>CSE4098C_Summer2026_Grade!B64</f>
        <v>223014146</v>
      </c>
      <c r="C64" s="197" t="str">
        <f>CSE4098C_Summer2026_Grade!C64</f>
        <v>Sami Hossain</v>
      </c>
      <c r="D64" s="17">
        <v>0</v>
      </c>
      <c r="E64" s="201">
        <f t="shared" si="0"/>
        <v>0</v>
      </c>
      <c r="F64" s="17"/>
      <c r="G64" s="202"/>
      <c r="H64" s="202">
        <v>12</v>
      </c>
      <c r="I64" s="17"/>
      <c r="J64" s="17"/>
      <c r="K64" s="17"/>
      <c r="L64" s="17"/>
      <c r="M64" s="17"/>
      <c r="N64" s="17">
        <v>25</v>
      </c>
      <c r="O64" s="17"/>
      <c r="P64" s="17"/>
      <c r="Q64" s="17">
        <v>30</v>
      </c>
      <c r="R64" s="17"/>
      <c r="S64" s="17"/>
      <c r="T64" s="17"/>
      <c r="U64" s="17">
        <v>36</v>
      </c>
      <c r="V64" s="17"/>
      <c r="W64" s="17"/>
      <c r="X64" s="17">
        <v>24</v>
      </c>
      <c r="Y64" s="199">
        <f t="shared" si="1"/>
        <v>28.22</v>
      </c>
      <c r="Z64" s="200">
        <f t="shared" si="2"/>
        <v>11.29</v>
      </c>
    </row>
    <row r="65" spans="1:26" ht="15" customHeight="1">
      <c r="A65" s="17">
        <f t="shared" si="3"/>
        <v>61</v>
      </c>
      <c r="B65" s="197">
        <f>CSE4098C_Summer2026_Grade!B65</f>
        <v>231014024</v>
      </c>
      <c r="C65" s="197" t="str">
        <f>CSE4098C_Summer2026_Grade!C65</f>
        <v>Md. Shohanoor Rahman</v>
      </c>
      <c r="D65" s="17">
        <v>0</v>
      </c>
      <c r="E65" s="201">
        <f t="shared" si="0"/>
        <v>0</v>
      </c>
      <c r="F65" s="17"/>
      <c r="G65" s="202"/>
      <c r="H65" s="202">
        <v>24</v>
      </c>
      <c r="I65" s="17"/>
      <c r="J65" s="17"/>
      <c r="K65" s="17"/>
      <c r="L65" s="17"/>
      <c r="M65" s="17"/>
      <c r="N65" s="17">
        <v>31</v>
      </c>
      <c r="O65" s="17"/>
      <c r="P65" s="17"/>
      <c r="Q65" s="17">
        <v>33</v>
      </c>
      <c r="R65" s="17"/>
      <c r="S65" s="17"/>
      <c r="T65" s="17"/>
      <c r="U65" s="17">
        <v>36</v>
      </c>
      <c r="V65" s="17"/>
      <c r="W65" s="17"/>
      <c r="X65" s="17">
        <v>30</v>
      </c>
      <c r="Y65" s="199">
        <f t="shared" si="1"/>
        <v>34.22</v>
      </c>
      <c r="Z65" s="200">
        <f t="shared" si="2"/>
        <v>13.69</v>
      </c>
    </row>
    <row r="66" spans="1:26" ht="15" customHeight="1">
      <c r="A66" s="17">
        <f t="shared" si="3"/>
        <v>62</v>
      </c>
      <c r="B66" s="197">
        <f>CSE4098C_Summer2026_Grade!B66</f>
        <v>231014064</v>
      </c>
      <c r="C66" s="197" t="str">
        <f>CSE4098C_Summer2026_Grade!C66</f>
        <v>Pranto Sikder</v>
      </c>
      <c r="D66" s="17">
        <v>0</v>
      </c>
      <c r="E66" s="201">
        <f t="shared" si="0"/>
        <v>0</v>
      </c>
      <c r="F66" s="17"/>
      <c r="G66" s="202"/>
      <c r="H66" s="202">
        <v>21</v>
      </c>
      <c r="I66" s="17"/>
      <c r="J66" s="17"/>
      <c r="K66" s="17"/>
      <c r="L66" s="17"/>
      <c r="M66" s="17"/>
      <c r="N66" s="17">
        <v>31</v>
      </c>
      <c r="O66" s="17"/>
      <c r="P66" s="17"/>
      <c r="Q66" s="17">
        <v>27</v>
      </c>
      <c r="R66" s="17"/>
      <c r="S66" s="17"/>
      <c r="T66" s="17"/>
      <c r="U66" s="17">
        <v>36</v>
      </c>
      <c r="V66" s="17"/>
      <c r="W66" s="17"/>
      <c r="X66" s="17">
        <v>30</v>
      </c>
      <c r="Y66" s="199">
        <f t="shared" si="1"/>
        <v>32.22</v>
      </c>
      <c r="Z66" s="200">
        <f t="shared" si="2"/>
        <v>12.89</v>
      </c>
    </row>
    <row r="67" spans="1:26" ht="15.75" customHeight="1">
      <c r="A67" s="17">
        <f t="shared" si="3"/>
        <v>63</v>
      </c>
      <c r="B67" s="197">
        <f>CSE4098C_Summer2026_Grade!B67</f>
        <v>231014050</v>
      </c>
      <c r="C67" s="197" t="str">
        <f>CSE4098C_Summer2026_Grade!C67</f>
        <v>Mahmudul Hasan Zeshan</v>
      </c>
      <c r="D67" s="17">
        <v>0</v>
      </c>
      <c r="E67" s="201">
        <f t="shared" si="0"/>
        <v>0</v>
      </c>
      <c r="F67" s="17"/>
      <c r="G67" s="202"/>
      <c r="H67" s="202">
        <v>18</v>
      </c>
      <c r="I67" s="18"/>
      <c r="J67" s="17"/>
      <c r="K67" s="17"/>
      <c r="L67" s="17"/>
      <c r="M67" s="17"/>
      <c r="N67" s="17">
        <v>27</v>
      </c>
      <c r="O67" s="17"/>
      <c r="P67" s="17"/>
      <c r="Q67" s="17">
        <v>27</v>
      </c>
      <c r="R67" s="17"/>
      <c r="S67" s="17"/>
      <c r="T67" s="17"/>
      <c r="U67" s="17">
        <v>36</v>
      </c>
      <c r="V67" s="17"/>
      <c r="W67" s="17"/>
      <c r="X67" s="17">
        <v>30</v>
      </c>
      <c r="Y67" s="199">
        <f t="shared" si="1"/>
        <v>30.67</v>
      </c>
      <c r="Z67" s="200">
        <f t="shared" si="2"/>
        <v>12.27</v>
      </c>
    </row>
    <row r="68" spans="1:26" ht="15" customHeight="1">
      <c r="A68" s="17">
        <f t="shared" si="3"/>
        <v>64</v>
      </c>
      <c r="B68" s="197">
        <f>CSE4098C_Summer2026_Grade!B68</f>
        <v>231014160</v>
      </c>
      <c r="C68" s="197" t="str">
        <f>CSE4098C_Summer2026_Grade!C68</f>
        <v>Aysha Siddika Methila</v>
      </c>
      <c r="D68" s="17">
        <v>0</v>
      </c>
      <c r="E68" s="201">
        <f t="shared" si="0"/>
        <v>0</v>
      </c>
      <c r="F68" s="17"/>
      <c r="G68" s="202"/>
      <c r="H68" s="202">
        <v>15</v>
      </c>
      <c r="I68" s="18"/>
      <c r="J68" s="17"/>
      <c r="K68" s="17"/>
      <c r="L68" s="17"/>
      <c r="M68" s="17"/>
      <c r="N68" s="17">
        <v>27</v>
      </c>
      <c r="O68" s="17"/>
      <c r="P68" s="17"/>
      <c r="Q68" s="17">
        <v>24</v>
      </c>
      <c r="R68" s="17"/>
      <c r="S68" s="17"/>
      <c r="T68" s="17"/>
      <c r="U68" s="17">
        <v>36</v>
      </c>
      <c r="V68" s="17"/>
      <c r="W68" s="17"/>
      <c r="X68" s="17">
        <v>30</v>
      </c>
      <c r="Y68" s="199">
        <f t="shared" si="1"/>
        <v>29.33</v>
      </c>
      <c r="Z68" s="200">
        <f t="shared" si="2"/>
        <v>11.73</v>
      </c>
    </row>
    <row r="69" spans="1:26" ht="15" customHeight="1">
      <c r="A69" s="17">
        <f t="shared" si="3"/>
        <v>65</v>
      </c>
      <c r="B69" s="197">
        <f>CSE4098C_Summer2026_Grade!B69</f>
        <v>231014116</v>
      </c>
      <c r="C69" s="197" t="str">
        <f>CSE4098C_Summer2026_Grade!C69</f>
        <v>Sukanta Majumder</v>
      </c>
      <c r="D69" s="17">
        <v>0</v>
      </c>
      <c r="E69" s="201">
        <f t="shared" si="0"/>
        <v>0</v>
      </c>
      <c r="F69" s="17"/>
      <c r="G69" s="202"/>
      <c r="H69" s="202">
        <v>24</v>
      </c>
      <c r="I69" s="18"/>
      <c r="J69" s="17"/>
      <c r="K69" s="17"/>
      <c r="L69" s="17"/>
      <c r="M69" s="17"/>
      <c r="N69" s="17">
        <v>31</v>
      </c>
      <c r="O69" s="17"/>
      <c r="P69" s="17"/>
      <c r="Q69" s="17">
        <v>27</v>
      </c>
      <c r="R69" s="17"/>
      <c r="S69" s="17"/>
      <c r="T69" s="17"/>
      <c r="U69" s="17">
        <v>36</v>
      </c>
      <c r="V69" s="17"/>
      <c r="W69" s="17"/>
      <c r="X69" s="17">
        <v>30</v>
      </c>
      <c r="Y69" s="199">
        <f t="shared" si="1"/>
        <v>32.89</v>
      </c>
      <c r="Z69" s="200">
        <f t="shared" si="2"/>
        <v>13.16</v>
      </c>
    </row>
    <row r="70" spans="1:26" ht="12.75" customHeight="1">
      <c r="A70" s="136"/>
      <c r="B70" s="176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spans="1:26" ht="12.75" customHeight="1">
      <c r="A71" s="136"/>
      <c r="B71" s="176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spans="1:26" ht="12.75" customHeight="1">
      <c r="A72" s="136"/>
      <c r="B72" s="176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spans="1:26" ht="12.75" customHeight="1">
      <c r="A73" s="136"/>
      <c r="B73" s="176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spans="1:26" ht="12.75" customHeight="1">
      <c r="A74" s="136"/>
      <c r="B74" s="176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spans="1:26" ht="12.75" customHeight="1">
      <c r="A75" s="136"/>
      <c r="B75" s="176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spans="1:26" ht="12.75" customHeight="1">
      <c r="A76" s="136"/>
      <c r="B76" s="176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spans="1:26" ht="12.75" customHeight="1">
      <c r="A77" s="136"/>
      <c r="B77" s="176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pans="1:26" ht="12.75" customHeight="1">
      <c r="A78" s="136"/>
      <c r="B78" s="176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spans="1:26" ht="12.75" customHeight="1">
      <c r="A79" s="136"/>
      <c r="B79" s="176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spans="1:26" ht="12.75" customHeight="1">
      <c r="A80" s="136"/>
      <c r="B80" s="176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spans="1:26" ht="12.75" customHeight="1">
      <c r="A81" s="136"/>
      <c r="B81" s="176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spans="1:26" ht="12.75" customHeight="1">
      <c r="A82" s="136"/>
      <c r="B82" s="176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spans="1:26" ht="12.75" customHeight="1">
      <c r="A83" s="136"/>
      <c r="B83" s="176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spans="1:26" ht="12.75" customHeight="1">
      <c r="A84" s="136"/>
      <c r="B84" s="176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spans="1:26" ht="12.75" customHeight="1">
      <c r="A85" s="136"/>
      <c r="B85" s="176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spans="1:26" ht="12.75" customHeight="1">
      <c r="A86" s="136"/>
      <c r="B86" s="176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spans="1:26" ht="12.75" customHeight="1">
      <c r="A87" s="136"/>
      <c r="B87" s="176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spans="1:26" ht="12.75" customHeight="1">
      <c r="A88" s="136"/>
      <c r="B88" s="176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spans="1:26" ht="12.75" customHeight="1">
      <c r="A89" s="136"/>
      <c r="B89" s="176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spans="1:26" ht="12.75" customHeight="1">
      <c r="A90" s="136"/>
      <c r="B90" s="176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spans="1:26" ht="12.75" customHeight="1">
      <c r="A91" s="136"/>
      <c r="B91" s="176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spans="1:26" ht="12.75" customHeight="1">
      <c r="A92" s="136"/>
      <c r="B92" s="176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spans="1:26" ht="12.75" customHeight="1">
      <c r="A93" s="136"/>
      <c r="B93" s="176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spans="1:26" ht="12.75" customHeight="1">
      <c r="A94" s="136"/>
      <c r="B94" s="176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spans="1:26" ht="12.75" customHeight="1">
      <c r="A95" s="136"/>
      <c r="B95" s="176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spans="1:26" ht="12.75" customHeight="1">
      <c r="A96" s="136"/>
      <c r="B96" s="176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spans="1:26" ht="12.75" customHeight="1">
      <c r="A97" s="136"/>
      <c r="B97" s="176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spans="1:26" ht="12.75" customHeight="1">
      <c r="A98" s="136"/>
      <c r="B98" s="176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spans="1:26" ht="12.75" customHeight="1">
      <c r="A99" s="136"/>
      <c r="B99" s="176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spans="1:26" ht="12.75" customHeight="1">
      <c r="A100" s="136"/>
      <c r="B100" s="176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spans="1:26" ht="12.75" customHeight="1">
      <c r="A101" s="136"/>
      <c r="B101" s="176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spans="1:26" ht="12.75" customHeight="1">
      <c r="A102" s="136"/>
      <c r="B102" s="176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spans="1:26" ht="12.75" customHeight="1">
      <c r="A103" s="136"/>
      <c r="B103" s="176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spans="1:26" ht="12.75" customHeight="1">
      <c r="A104" s="136"/>
      <c r="B104" s="176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spans="1:26" ht="12.75" customHeight="1">
      <c r="A105" s="136"/>
      <c r="B105" s="176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spans="1:26" ht="12.75" customHeight="1">
      <c r="A106" s="136"/>
      <c r="B106" s="176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spans="1:26" ht="12.75" customHeight="1">
      <c r="A107" s="136"/>
      <c r="B107" s="176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spans="1:26" ht="12.75" customHeight="1">
      <c r="A108" s="136"/>
      <c r="B108" s="176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spans="1:26" ht="12.75" customHeight="1">
      <c r="A109" s="136"/>
      <c r="B109" s="176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spans="1:26" ht="12.75" customHeight="1">
      <c r="A110" s="136"/>
      <c r="B110" s="176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spans="1:26" ht="12.75" customHeight="1">
      <c r="A111" s="136"/>
      <c r="B111" s="176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spans="1:26" ht="12.75" customHeight="1">
      <c r="A112" s="136"/>
      <c r="B112" s="176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spans="1:26" ht="12.75" customHeight="1">
      <c r="A113" s="136"/>
      <c r="B113" s="176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spans="1:26" ht="12.75" customHeight="1">
      <c r="A114" s="136"/>
      <c r="B114" s="176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spans="1:26" ht="12.75" customHeight="1">
      <c r="A115" s="136"/>
      <c r="B115" s="176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spans="1:26" ht="12.75" customHeight="1">
      <c r="A116" s="136"/>
      <c r="B116" s="176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spans="1:26" ht="12.75" customHeight="1">
      <c r="A117" s="136"/>
      <c r="B117" s="176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spans="1:26" ht="12.75" customHeight="1">
      <c r="A118" s="136"/>
      <c r="B118" s="176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spans="1:26" ht="12.75" customHeight="1">
      <c r="A119" s="136"/>
      <c r="B119" s="176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spans="1:26" ht="12.75" customHeight="1">
      <c r="A120" s="136"/>
      <c r="B120" s="176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spans="1:26" ht="12.75" customHeight="1">
      <c r="A121" s="136"/>
      <c r="B121" s="176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spans="1:26" ht="12.75" customHeight="1">
      <c r="A122" s="136"/>
      <c r="B122" s="176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spans="1:26" ht="12.75" customHeight="1">
      <c r="A123" s="136"/>
      <c r="B123" s="176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spans="1:26" ht="12.75" customHeight="1">
      <c r="A124" s="136"/>
      <c r="B124" s="176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spans="1:26" ht="12.75" customHeight="1">
      <c r="A125" s="136"/>
      <c r="B125" s="176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spans="1:26" ht="12.75" customHeight="1">
      <c r="A126" s="136"/>
      <c r="B126" s="176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spans="1:26" ht="12.75" customHeight="1">
      <c r="A127" s="136"/>
      <c r="B127" s="176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spans="1:26" ht="12.75" customHeight="1">
      <c r="A128" s="136"/>
      <c r="B128" s="176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spans="1:26" ht="12.75" customHeight="1">
      <c r="A129" s="136"/>
      <c r="B129" s="176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spans="1:26" ht="12.75" customHeight="1">
      <c r="A130" s="136"/>
      <c r="B130" s="176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spans="1:26" ht="12.75" customHeight="1">
      <c r="A131" s="136"/>
      <c r="B131" s="176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spans="1:26" ht="12.75" customHeight="1">
      <c r="A132" s="136"/>
      <c r="B132" s="176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spans="1:26" ht="12.75" customHeight="1">
      <c r="A133" s="136"/>
      <c r="B133" s="176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spans="1:26" ht="12.75" customHeight="1">
      <c r="A134" s="136"/>
      <c r="B134" s="176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spans="1:26" ht="12.75" customHeight="1">
      <c r="A135" s="136"/>
      <c r="B135" s="176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spans="1:26" ht="12.75" customHeight="1">
      <c r="A136" s="136"/>
      <c r="B136" s="176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spans="1:26" ht="12.75" customHeight="1">
      <c r="A137" s="136"/>
      <c r="B137" s="176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spans="1:26" ht="12.75" customHeight="1">
      <c r="A138" s="136"/>
      <c r="B138" s="176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spans="1:26" ht="12.75" customHeight="1">
      <c r="A139" s="136"/>
      <c r="B139" s="176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spans="1:26" ht="12.75" customHeight="1">
      <c r="A140" s="136"/>
      <c r="B140" s="176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spans="1:26" ht="12.75" customHeight="1">
      <c r="A141" s="136"/>
      <c r="B141" s="176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spans="1:26" ht="12.75" customHeight="1">
      <c r="A142" s="136"/>
      <c r="B142" s="176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spans="1:26" ht="12.75" customHeight="1">
      <c r="A143" s="136"/>
      <c r="B143" s="176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spans="1:26" ht="12.75" customHeight="1">
      <c r="A144" s="136"/>
      <c r="B144" s="176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spans="1:26" ht="12.75" customHeight="1">
      <c r="A145" s="136"/>
      <c r="B145" s="176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spans="1:26" ht="12.75" customHeight="1">
      <c r="A146" s="136"/>
      <c r="B146" s="176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spans="1:26" ht="12.75" customHeight="1">
      <c r="A147" s="136"/>
      <c r="B147" s="176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spans="1:26" ht="12.75" customHeight="1">
      <c r="A148" s="136"/>
      <c r="B148" s="176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spans="1:26" ht="12.75" customHeight="1">
      <c r="A149" s="136"/>
      <c r="B149" s="176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spans="1:26" ht="12.75" customHeight="1">
      <c r="A150" s="136"/>
      <c r="B150" s="176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spans="1:26" ht="12.75" customHeight="1">
      <c r="A151" s="136"/>
      <c r="B151" s="176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spans="1:26" ht="12.75" customHeight="1">
      <c r="A152" s="136"/>
      <c r="B152" s="176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spans="1:26" ht="12.75" customHeight="1">
      <c r="A153" s="136"/>
      <c r="B153" s="176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spans="1:26" ht="12.75" customHeight="1">
      <c r="A154" s="136"/>
      <c r="B154" s="176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spans="1:26" ht="12.75" customHeight="1">
      <c r="A155" s="136"/>
      <c r="B155" s="176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spans="1:26" ht="12.75" customHeight="1">
      <c r="A156" s="136"/>
      <c r="B156" s="176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spans="1:26" ht="12.75" customHeight="1">
      <c r="A157" s="136"/>
      <c r="B157" s="176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spans="1:26" ht="12.75" customHeight="1">
      <c r="A158" s="136"/>
      <c r="B158" s="176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spans="1:26" ht="12.75" customHeight="1">
      <c r="A159" s="136"/>
      <c r="B159" s="176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spans="1:26" ht="12.75" customHeight="1">
      <c r="A160" s="136"/>
      <c r="B160" s="176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spans="1:26" ht="12.75" customHeight="1">
      <c r="A161" s="136"/>
      <c r="B161" s="176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spans="1:26" ht="12.75" customHeight="1">
      <c r="A162" s="136"/>
      <c r="B162" s="149"/>
      <c r="C162" s="149"/>
      <c r="D162" s="149"/>
      <c r="E162" s="149"/>
      <c r="F162" s="136"/>
      <c r="G162" s="136"/>
      <c r="H162" s="136"/>
      <c r="I162" s="149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 ht="12.75" customHeight="1">
      <c r="A163" s="136"/>
      <c r="B163" s="149"/>
      <c r="C163" s="149"/>
      <c r="D163" s="149"/>
      <c r="E163" s="149"/>
      <c r="F163" s="136"/>
      <c r="G163" s="136"/>
      <c r="H163" s="136"/>
      <c r="I163" s="149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 ht="12.75" customHeight="1">
      <c r="A164" s="136"/>
      <c r="B164" s="149"/>
      <c r="C164" s="149"/>
      <c r="D164" s="149"/>
      <c r="E164" s="149"/>
      <c r="F164" s="136"/>
      <c r="G164" s="136"/>
      <c r="H164" s="136"/>
      <c r="I164" s="149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 ht="12.75" customHeight="1">
      <c r="A165" s="136"/>
      <c r="B165" s="149"/>
      <c r="C165" s="149"/>
      <c r="D165" s="149"/>
      <c r="E165" s="149"/>
      <c r="F165" s="136"/>
      <c r="G165" s="136"/>
      <c r="H165" s="136"/>
      <c r="I165" s="149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 ht="12.75" customHeight="1">
      <c r="A166" s="136"/>
      <c r="B166" s="149"/>
      <c r="C166" s="149"/>
      <c r="D166" s="149"/>
      <c r="E166" s="149"/>
      <c r="F166" s="136"/>
      <c r="G166" s="136"/>
      <c r="H166" s="136"/>
      <c r="I166" s="149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 ht="15.75" customHeight="1">
      <c r="B167" s="22"/>
      <c r="C167" s="22"/>
      <c r="I167" s="22"/>
    </row>
    <row r="168" spans="1:26" ht="15.75" customHeight="1">
      <c r="B168" s="22"/>
      <c r="C168" s="22"/>
      <c r="I168" s="22"/>
    </row>
    <row r="169" spans="1:26" ht="15.75" customHeight="1">
      <c r="B169" s="22"/>
      <c r="C169" s="22"/>
      <c r="I169" s="22"/>
    </row>
    <row r="170" spans="1:26" ht="15.75" customHeight="1">
      <c r="B170" s="22"/>
      <c r="C170" s="22"/>
      <c r="I170" s="22"/>
    </row>
    <row r="171" spans="1:26" ht="15.75" customHeight="1">
      <c r="B171" s="22"/>
      <c r="C171" s="22"/>
      <c r="I171" s="22"/>
    </row>
    <row r="172" spans="1:26" ht="15.75" customHeight="1">
      <c r="B172" s="22"/>
      <c r="C172" s="22"/>
      <c r="I172" s="22"/>
    </row>
    <row r="173" spans="1:26" ht="15.75" customHeight="1">
      <c r="B173" s="22"/>
      <c r="C173" s="22"/>
      <c r="I173" s="22"/>
    </row>
    <row r="174" spans="1:26" ht="15.75" customHeight="1">
      <c r="B174" s="22"/>
      <c r="C174" s="22"/>
      <c r="I174" s="22"/>
    </row>
    <row r="175" spans="1:26" ht="15.75" customHeight="1">
      <c r="B175" s="22"/>
      <c r="C175" s="22"/>
      <c r="I175" s="22"/>
    </row>
    <row r="176" spans="1:26" ht="15.75" customHeight="1">
      <c r="B176" s="22"/>
      <c r="C176" s="22"/>
      <c r="I176" s="22"/>
    </row>
    <row r="177" spans="2:9" ht="15.75" customHeight="1">
      <c r="B177" s="22"/>
      <c r="C177" s="22"/>
      <c r="I177" s="22"/>
    </row>
    <row r="178" spans="2:9" ht="15.75" customHeight="1">
      <c r="B178" s="22"/>
      <c r="C178" s="22"/>
      <c r="I178" s="22"/>
    </row>
    <row r="179" spans="2:9" ht="15.75" customHeight="1">
      <c r="B179" s="22"/>
      <c r="C179" s="22"/>
      <c r="I179" s="22"/>
    </row>
    <row r="180" spans="2:9" ht="15.75" customHeight="1">
      <c r="B180" s="22"/>
      <c r="C180" s="22"/>
      <c r="I180" s="22"/>
    </row>
    <row r="181" spans="2:9" ht="15.75" customHeight="1">
      <c r="B181" s="22"/>
      <c r="C181" s="22"/>
      <c r="I181" s="22"/>
    </row>
    <row r="182" spans="2:9" ht="15.75" customHeight="1">
      <c r="B182" s="22"/>
      <c r="C182" s="22"/>
      <c r="I182" s="22"/>
    </row>
    <row r="183" spans="2:9" ht="15.75" customHeight="1">
      <c r="B183" s="22"/>
      <c r="C183" s="22"/>
      <c r="I183" s="22"/>
    </row>
    <row r="184" spans="2:9" ht="15.75" customHeight="1">
      <c r="B184" s="22"/>
      <c r="C184" s="22"/>
      <c r="I184" s="22"/>
    </row>
    <row r="185" spans="2:9" ht="15.75" customHeight="1">
      <c r="B185" s="22"/>
      <c r="C185" s="22"/>
      <c r="I185" s="22"/>
    </row>
    <row r="186" spans="2:9" ht="15.75" customHeight="1">
      <c r="B186" s="22"/>
      <c r="C186" s="22"/>
      <c r="I186" s="22"/>
    </row>
    <row r="187" spans="2:9" ht="15.75" customHeight="1">
      <c r="B187" s="22"/>
      <c r="C187" s="22"/>
      <c r="I187" s="22"/>
    </row>
    <row r="188" spans="2:9" ht="15.75" customHeight="1">
      <c r="B188" s="22"/>
      <c r="C188" s="22"/>
      <c r="I188" s="22"/>
    </row>
    <row r="189" spans="2:9" ht="15.75" customHeight="1">
      <c r="B189" s="22"/>
      <c r="C189" s="22"/>
      <c r="I189" s="22"/>
    </row>
    <row r="190" spans="2:9" ht="15.75" customHeight="1">
      <c r="B190" s="22"/>
      <c r="C190" s="22"/>
      <c r="I190" s="22"/>
    </row>
    <row r="191" spans="2:9" ht="15.75" customHeight="1">
      <c r="B191" s="22"/>
      <c r="C191" s="22"/>
      <c r="I191" s="22"/>
    </row>
    <row r="192" spans="2:9" ht="15.75" customHeight="1">
      <c r="B192" s="22"/>
      <c r="C192" s="22"/>
      <c r="I192" s="22"/>
    </row>
    <row r="193" spans="2:9" ht="15.75" customHeight="1">
      <c r="B193" s="22"/>
      <c r="C193" s="22"/>
      <c r="I193" s="22"/>
    </row>
    <row r="194" spans="2:9" ht="15.75" customHeight="1">
      <c r="B194" s="22"/>
      <c r="C194" s="22"/>
      <c r="I194" s="22"/>
    </row>
    <row r="195" spans="2:9" ht="15.75" customHeight="1">
      <c r="B195" s="22"/>
      <c r="C195" s="22"/>
      <c r="I195" s="22"/>
    </row>
    <row r="196" spans="2:9" ht="15.75" customHeight="1">
      <c r="B196" s="22"/>
      <c r="C196" s="22"/>
      <c r="I196" s="22"/>
    </row>
    <row r="197" spans="2:9" ht="15.75" customHeight="1">
      <c r="B197" s="22"/>
      <c r="C197" s="22"/>
      <c r="I197" s="22"/>
    </row>
    <row r="198" spans="2:9" ht="15.75" customHeight="1">
      <c r="B198" s="22"/>
      <c r="C198" s="22"/>
      <c r="I198" s="22"/>
    </row>
    <row r="199" spans="2:9" ht="15.75" customHeight="1">
      <c r="B199" s="22"/>
      <c r="C199" s="22"/>
      <c r="I199" s="22"/>
    </row>
    <row r="200" spans="2:9" ht="15.75" customHeight="1">
      <c r="B200" s="22"/>
      <c r="C200" s="22"/>
      <c r="I200" s="22"/>
    </row>
    <row r="201" spans="2:9" ht="15.75" customHeight="1">
      <c r="B201" s="22"/>
      <c r="C201" s="22"/>
      <c r="I201" s="22"/>
    </row>
    <row r="202" spans="2:9" ht="15.75" customHeight="1">
      <c r="B202" s="22"/>
      <c r="C202" s="22"/>
      <c r="I202" s="22"/>
    </row>
    <row r="203" spans="2:9" ht="15.75" customHeight="1">
      <c r="B203" s="22"/>
      <c r="C203" s="22"/>
      <c r="I203" s="22"/>
    </row>
    <row r="204" spans="2:9" ht="15.75" customHeight="1">
      <c r="B204" s="22"/>
      <c r="C204" s="22"/>
      <c r="I204" s="22"/>
    </row>
    <row r="205" spans="2:9" ht="15.75" customHeight="1">
      <c r="B205" s="22"/>
      <c r="C205" s="22"/>
      <c r="I205" s="22"/>
    </row>
    <row r="206" spans="2:9" ht="15.75" customHeight="1">
      <c r="B206" s="22"/>
      <c r="C206" s="22"/>
      <c r="I206" s="22"/>
    </row>
    <row r="207" spans="2:9" ht="15.75" customHeight="1">
      <c r="B207" s="22"/>
      <c r="C207" s="22"/>
      <c r="I207" s="22"/>
    </row>
    <row r="208" spans="2:9" ht="15.75" customHeight="1">
      <c r="B208" s="22"/>
      <c r="C208" s="22"/>
      <c r="I208" s="22"/>
    </row>
    <row r="209" spans="2:9" ht="15.75" customHeight="1">
      <c r="B209" s="22"/>
      <c r="C209" s="22"/>
      <c r="I209" s="22"/>
    </row>
    <row r="210" spans="2:9" ht="15.75" customHeight="1">
      <c r="B210" s="22"/>
      <c r="C210" s="22"/>
      <c r="I210" s="22"/>
    </row>
    <row r="211" spans="2:9" ht="15.75" customHeight="1">
      <c r="B211" s="22"/>
      <c r="C211" s="22"/>
      <c r="I211" s="22"/>
    </row>
    <row r="212" spans="2:9" ht="15.75" customHeight="1">
      <c r="B212" s="22"/>
      <c r="C212" s="22"/>
      <c r="I212" s="22"/>
    </row>
    <row r="213" spans="2:9" ht="15.75" customHeight="1">
      <c r="B213" s="22"/>
      <c r="C213" s="22"/>
      <c r="I213" s="22"/>
    </row>
    <row r="214" spans="2:9" ht="15.75" customHeight="1">
      <c r="B214" s="22"/>
      <c r="C214" s="22"/>
      <c r="I214" s="22"/>
    </row>
    <row r="215" spans="2:9" ht="15.75" customHeight="1">
      <c r="B215" s="22"/>
      <c r="C215" s="22"/>
      <c r="I215" s="22"/>
    </row>
    <row r="216" spans="2:9" ht="15.75" customHeight="1">
      <c r="B216" s="22"/>
      <c r="C216" s="22"/>
      <c r="I216" s="22"/>
    </row>
    <row r="217" spans="2:9" ht="15.75" customHeight="1">
      <c r="B217" s="22"/>
      <c r="C217" s="22"/>
      <c r="I217" s="22"/>
    </row>
    <row r="218" spans="2:9" ht="15.75" customHeight="1">
      <c r="B218" s="22"/>
      <c r="C218" s="22"/>
      <c r="I218" s="22"/>
    </row>
    <row r="219" spans="2:9" ht="15.75" customHeight="1">
      <c r="B219" s="22"/>
      <c r="C219" s="22"/>
      <c r="I219" s="22"/>
    </row>
    <row r="220" spans="2:9" ht="15.75" customHeight="1">
      <c r="B220" s="22"/>
      <c r="C220" s="22"/>
      <c r="I220" s="22"/>
    </row>
    <row r="221" spans="2:9" ht="15.75" customHeight="1">
      <c r="B221" s="22"/>
      <c r="C221" s="22"/>
      <c r="I221" s="22"/>
    </row>
    <row r="222" spans="2:9" ht="15.75" customHeight="1">
      <c r="B222" s="22"/>
      <c r="C222" s="22"/>
      <c r="I222" s="22"/>
    </row>
    <row r="223" spans="2:9" ht="15.75" customHeight="1">
      <c r="B223" s="22"/>
      <c r="C223" s="22"/>
      <c r="I223" s="22"/>
    </row>
    <row r="224" spans="2:9" ht="15.75" customHeight="1">
      <c r="B224" s="22"/>
      <c r="C224" s="22"/>
      <c r="I224" s="22"/>
    </row>
    <row r="225" spans="2:9" ht="15.75" customHeight="1">
      <c r="B225" s="22"/>
      <c r="C225" s="22"/>
      <c r="I225" s="22"/>
    </row>
    <row r="226" spans="2:9" ht="15.75" customHeight="1">
      <c r="B226" s="22"/>
      <c r="C226" s="22"/>
      <c r="I226" s="22"/>
    </row>
    <row r="227" spans="2:9" ht="15.75" customHeight="1">
      <c r="B227" s="22"/>
      <c r="C227" s="22"/>
      <c r="I227" s="22"/>
    </row>
    <row r="228" spans="2:9" ht="15.75" customHeight="1">
      <c r="B228" s="22"/>
      <c r="C228" s="22"/>
      <c r="I228" s="22"/>
    </row>
    <row r="229" spans="2:9" ht="15.75" customHeight="1">
      <c r="B229" s="22"/>
      <c r="C229" s="22"/>
      <c r="I229" s="22"/>
    </row>
    <row r="230" spans="2:9" ht="15.75" customHeight="1">
      <c r="B230" s="22"/>
      <c r="C230" s="22"/>
      <c r="I230" s="22"/>
    </row>
    <row r="231" spans="2:9" ht="15.75" customHeight="1">
      <c r="B231" s="22"/>
      <c r="C231" s="22"/>
      <c r="I231" s="22"/>
    </row>
    <row r="232" spans="2:9" ht="15.75" customHeight="1">
      <c r="B232" s="22"/>
      <c r="C232" s="22"/>
      <c r="I232" s="22"/>
    </row>
    <row r="233" spans="2:9" ht="15.75" customHeight="1">
      <c r="B233" s="22"/>
      <c r="C233" s="22"/>
      <c r="I233" s="22"/>
    </row>
    <row r="234" spans="2:9" ht="15.75" customHeight="1">
      <c r="B234" s="22"/>
      <c r="C234" s="22"/>
      <c r="I234" s="22"/>
    </row>
    <row r="235" spans="2:9" ht="15.75" customHeight="1">
      <c r="B235" s="22"/>
      <c r="C235" s="22"/>
      <c r="I235" s="22"/>
    </row>
    <row r="236" spans="2:9" ht="15.75" customHeight="1">
      <c r="B236" s="22"/>
      <c r="C236" s="22"/>
      <c r="I236" s="22"/>
    </row>
    <row r="237" spans="2:9" ht="15.75" customHeight="1">
      <c r="B237" s="22"/>
      <c r="C237" s="22"/>
      <c r="I237" s="22"/>
    </row>
    <row r="238" spans="2:9" ht="15.75" customHeight="1">
      <c r="B238" s="22"/>
      <c r="C238" s="22"/>
      <c r="I238" s="22"/>
    </row>
    <row r="239" spans="2:9" ht="15.75" customHeight="1">
      <c r="B239" s="22"/>
      <c r="C239" s="22"/>
      <c r="I239" s="22"/>
    </row>
    <row r="240" spans="2:9" ht="15.75" customHeight="1">
      <c r="B240" s="22"/>
      <c r="C240" s="22"/>
      <c r="I240" s="22"/>
    </row>
    <row r="241" spans="2:9" ht="15.75" customHeight="1">
      <c r="B241" s="22"/>
      <c r="C241" s="22"/>
      <c r="I241" s="22"/>
    </row>
    <row r="242" spans="2:9" ht="15.75" customHeight="1">
      <c r="B242" s="22"/>
      <c r="C242" s="22"/>
      <c r="I242" s="22"/>
    </row>
    <row r="243" spans="2:9" ht="15.75" customHeight="1">
      <c r="B243" s="22"/>
      <c r="C243" s="22"/>
      <c r="I243" s="22"/>
    </row>
    <row r="244" spans="2:9" ht="15.75" customHeight="1">
      <c r="B244" s="22"/>
      <c r="C244" s="22"/>
      <c r="I244" s="22"/>
    </row>
    <row r="245" spans="2:9" ht="15.75" customHeight="1">
      <c r="B245" s="22"/>
      <c r="C245" s="22"/>
      <c r="I245" s="22"/>
    </row>
    <row r="246" spans="2:9" ht="15.75" customHeight="1">
      <c r="B246" s="22"/>
      <c r="C246" s="22"/>
      <c r="I246" s="22"/>
    </row>
    <row r="247" spans="2:9" ht="15.75" customHeight="1">
      <c r="B247" s="22"/>
      <c r="C247" s="22"/>
      <c r="I247" s="22"/>
    </row>
    <row r="248" spans="2:9" ht="15.75" customHeight="1">
      <c r="B248" s="22"/>
      <c r="C248" s="22"/>
      <c r="I248" s="22"/>
    </row>
    <row r="249" spans="2:9" ht="15.75" customHeight="1">
      <c r="B249" s="22"/>
      <c r="C249" s="22"/>
      <c r="I249" s="22"/>
    </row>
    <row r="250" spans="2:9" ht="15.75" customHeight="1">
      <c r="B250" s="22"/>
      <c r="C250" s="22"/>
      <c r="I250" s="22"/>
    </row>
    <row r="251" spans="2:9" ht="15.75" customHeight="1">
      <c r="B251" s="22"/>
      <c r="C251" s="22"/>
      <c r="I251" s="22"/>
    </row>
    <row r="252" spans="2:9" ht="15.75" customHeight="1">
      <c r="B252" s="22"/>
      <c r="C252" s="22"/>
      <c r="I252" s="22"/>
    </row>
    <row r="253" spans="2:9" ht="15.75" customHeight="1">
      <c r="B253" s="22"/>
      <c r="C253" s="22"/>
      <c r="I253" s="22"/>
    </row>
    <row r="254" spans="2:9" ht="15.75" customHeight="1">
      <c r="B254" s="22"/>
      <c r="C254" s="22"/>
      <c r="I254" s="22"/>
    </row>
    <row r="255" spans="2:9" ht="15.75" customHeight="1">
      <c r="B255" s="22"/>
      <c r="C255" s="22"/>
      <c r="I255" s="22"/>
    </row>
    <row r="256" spans="2:9" ht="15.75" customHeight="1">
      <c r="B256" s="22"/>
      <c r="C256" s="22"/>
      <c r="I256" s="22"/>
    </row>
    <row r="257" spans="2:9" ht="15.75" customHeight="1">
      <c r="B257" s="22"/>
      <c r="C257" s="22"/>
      <c r="I257" s="22"/>
    </row>
    <row r="258" spans="2:9" ht="15.75" customHeight="1">
      <c r="B258" s="22"/>
      <c r="C258" s="22"/>
      <c r="I258" s="22"/>
    </row>
    <row r="259" spans="2:9" ht="15.75" customHeight="1">
      <c r="B259" s="22"/>
      <c r="C259" s="22"/>
      <c r="I259" s="22"/>
    </row>
    <row r="260" spans="2:9" ht="15.75" customHeight="1">
      <c r="B260" s="22"/>
      <c r="C260" s="22"/>
      <c r="I260" s="22"/>
    </row>
    <row r="261" spans="2:9" ht="15.75" customHeight="1">
      <c r="B261" s="22"/>
      <c r="C261" s="22"/>
      <c r="I261" s="22"/>
    </row>
    <row r="262" spans="2:9" ht="15.75" customHeight="1">
      <c r="B262" s="22"/>
      <c r="C262" s="22"/>
      <c r="I262" s="22"/>
    </row>
    <row r="263" spans="2:9" ht="15.75" customHeight="1">
      <c r="B263" s="22"/>
      <c r="C263" s="22"/>
      <c r="I263" s="22"/>
    </row>
    <row r="264" spans="2:9" ht="15.75" customHeight="1">
      <c r="B264" s="22"/>
      <c r="C264" s="22"/>
      <c r="I264" s="22"/>
    </row>
    <row r="265" spans="2:9" ht="15.75" customHeight="1">
      <c r="B265" s="22"/>
      <c r="C265" s="22"/>
      <c r="I265" s="22"/>
    </row>
    <row r="266" spans="2:9" ht="15.75" customHeight="1">
      <c r="B266" s="22"/>
      <c r="C266" s="22"/>
      <c r="I266" s="22"/>
    </row>
    <row r="267" spans="2:9" ht="15.75" customHeight="1">
      <c r="B267" s="22"/>
      <c r="C267" s="22"/>
      <c r="I267" s="22"/>
    </row>
    <row r="268" spans="2:9" ht="15.75" customHeight="1">
      <c r="B268" s="22"/>
      <c r="C268" s="22"/>
      <c r="I268" s="22"/>
    </row>
    <row r="269" spans="2:9" ht="15.75" customHeight="1">
      <c r="B269" s="22"/>
      <c r="C269" s="22"/>
      <c r="I269" s="22"/>
    </row>
    <row r="270" spans="2:9" ht="15.75" customHeight="1">
      <c r="B270" s="22"/>
      <c r="C270" s="22"/>
      <c r="I270" s="22"/>
    </row>
    <row r="271" spans="2:9" ht="15.75" customHeight="1">
      <c r="B271" s="22"/>
      <c r="C271" s="22"/>
      <c r="I271" s="22"/>
    </row>
    <row r="272" spans="2:9" ht="15.75" customHeight="1">
      <c r="B272" s="22"/>
      <c r="C272" s="22"/>
      <c r="I272" s="22"/>
    </row>
    <row r="273" spans="2:9" ht="15.75" customHeight="1">
      <c r="B273" s="22"/>
      <c r="C273" s="22"/>
      <c r="I273" s="22"/>
    </row>
    <row r="274" spans="2:9" ht="15.75" customHeight="1">
      <c r="B274" s="22"/>
      <c r="C274" s="22"/>
      <c r="I274" s="22"/>
    </row>
    <row r="275" spans="2:9" ht="15.75" customHeight="1">
      <c r="B275" s="22"/>
      <c r="C275" s="22"/>
      <c r="I275" s="22"/>
    </row>
    <row r="276" spans="2:9" ht="15.75" customHeight="1">
      <c r="B276" s="22"/>
      <c r="C276" s="22"/>
      <c r="I276" s="22"/>
    </row>
    <row r="277" spans="2:9" ht="15.75" customHeight="1">
      <c r="B277" s="22"/>
      <c r="C277" s="22"/>
      <c r="I277" s="22"/>
    </row>
    <row r="278" spans="2:9" ht="15.75" customHeight="1">
      <c r="B278" s="22"/>
      <c r="C278" s="22"/>
      <c r="I278" s="22"/>
    </row>
    <row r="279" spans="2:9" ht="15.75" customHeight="1">
      <c r="B279" s="22"/>
      <c r="C279" s="22"/>
      <c r="I279" s="22"/>
    </row>
    <row r="280" spans="2:9" ht="15.75" customHeight="1">
      <c r="B280" s="22"/>
      <c r="C280" s="22"/>
      <c r="I280" s="22"/>
    </row>
    <row r="281" spans="2:9" ht="15.75" customHeight="1">
      <c r="B281" s="22"/>
      <c r="C281" s="22"/>
      <c r="I281" s="22"/>
    </row>
    <row r="282" spans="2:9" ht="15.75" customHeight="1">
      <c r="B282" s="22"/>
      <c r="C282" s="22"/>
      <c r="I282" s="22"/>
    </row>
    <row r="283" spans="2:9" ht="15.75" customHeight="1">
      <c r="B283" s="22"/>
      <c r="C283" s="22"/>
      <c r="I283" s="22"/>
    </row>
    <row r="284" spans="2:9" ht="15.75" customHeight="1">
      <c r="B284" s="22"/>
      <c r="C284" s="22"/>
      <c r="I284" s="22"/>
    </row>
    <row r="285" spans="2:9" ht="15.75" customHeight="1">
      <c r="B285" s="22"/>
      <c r="C285" s="22"/>
      <c r="I285" s="22"/>
    </row>
    <row r="286" spans="2:9" ht="15.75" customHeight="1">
      <c r="B286" s="22"/>
      <c r="C286" s="22"/>
      <c r="I286" s="22"/>
    </row>
    <row r="287" spans="2:9" ht="15.75" customHeight="1">
      <c r="B287" s="22"/>
      <c r="C287" s="22"/>
      <c r="I287" s="22"/>
    </row>
    <row r="288" spans="2:9" ht="15.75" customHeight="1">
      <c r="B288" s="22"/>
      <c r="C288" s="22"/>
      <c r="I288" s="22"/>
    </row>
    <row r="289" spans="2:9" ht="15.75" customHeight="1">
      <c r="B289" s="22"/>
      <c r="C289" s="22"/>
      <c r="I289" s="22"/>
    </row>
    <row r="290" spans="2:9" ht="15.75" customHeight="1">
      <c r="B290" s="22"/>
      <c r="C290" s="22"/>
      <c r="I290" s="22"/>
    </row>
    <row r="291" spans="2:9" ht="15.75" customHeight="1">
      <c r="B291" s="22"/>
      <c r="C291" s="22"/>
      <c r="I291" s="22"/>
    </row>
    <row r="292" spans="2:9" ht="15.75" customHeight="1">
      <c r="B292" s="22"/>
      <c r="C292" s="22"/>
      <c r="I292" s="22"/>
    </row>
    <row r="293" spans="2:9" ht="15.75" customHeight="1">
      <c r="B293" s="22"/>
      <c r="C293" s="22"/>
      <c r="I293" s="22"/>
    </row>
    <row r="294" spans="2:9" ht="15.75" customHeight="1">
      <c r="B294" s="22"/>
      <c r="C294" s="22"/>
      <c r="I294" s="22"/>
    </row>
    <row r="295" spans="2:9" ht="15.75" customHeight="1">
      <c r="B295" s="22"/>
      <c r="C295" s="22"/>
      <c r="I295" s="22"/>
    </row>
    <row r="296" spans="2:9" ht="15.75" customHeight="1">
      <c r="B296" s="22"/>
      <c r="C296" s="22"/>
      <c r="I296" s="22"/>
    </row>
    <row r="297" spans="2:9" ht="15.75" customHeight="1">
      <c r="B297" s="22"/>
      <c r="C297" s="22"/>
      <c r="I297" s="22"/>
    </row>
    <row r="298" spans="2:9" ht="15.75" customHeight="1">
      <c r="B298" s="22"/>
      <c r="C298" s="22"/>
      <c r="I298" s="22"/>
    </row>
    <row r="299" spans="2:9" ht="15.75" customHeight="1">
      <c r="B299" s="22"/>
      <c r="C299" s="22"/>
      <c r="I299" s="22"/>
    </row>
    <row r="300" spans="2:9" ht="15.75" customHeight="1">
      <c r="B300" s="22"/>
      <c r="C300" s="22"/>
      <c r="I300" s="22"/>
    </row>
    <row r="301" spans="2:9" ht="15.75" customHeight="1">
      <c r="B301" s="22"/>
      <c r="C301" s="22"/>
      <c r="I301" s="22"/>
    </row>
    <row r="302" spans="2:9" ht="15.75" customHeight="1">
      <c r="B302" s="22"/>
      <c r="C302" s="22"/>
      <c r="I302" s="22"/>
    </row>
    <row r="303" spans="2:9" ht="15.75" customHeight="1">
      <c r="B303" s="22"/>
      <c r="C303" s="22"/>
      <c r="I303" s="22"/>
    </row>
    <row r="304" spans="2:9" ht="15.75" customHeight="1">
      <c r="B304" s="22"/>
      <c r="C304" s="22"/>
      <c r="I304" s="22"/>
    </row>
    <row r="305" spans="2:9" ht="15.75" customHeight="1">
      <c r="B305" s="22"/>
      <c r="C305" s="22"/>
      <c r="I305" s="22"/>
    </row>
    <row r="306" spans="2:9" ht="15.75" customHeight="1">
      <c r="B306" s="22"/>
      <c r="C306" s="22"/>
      <c r="I306" s="22"/>
    </row>
    <row r="307" spans="2:9" ht="15.75" customHeight="1">
      <c r="B307" s="22"/>
      <c r="C307" s="22"/>
      <c r="I307" s="22"/>
    </row>
    <row r="308" spans="2:9" ht="15.75" customHeight="1">
      <c r="B308" s="22"/>
      <c r="C308" s="22"/>
      <c r="I308" s="22"/>
    </row>
    <row r="309" spans="2:9" ht="15.75" customHeight="1">
      <c r="B309" s="22"/>
      <c r="C309" s="22"/>
      <c r="I309" s="22"/>
    </row>
    <row r="310" spans="2:9" ht="15.75" customHeight="1">
      <c r="B310" s="22"/>
      <c r="C310" s="22"/>
      <c r="I310" s="22"/>
    </row>
    <row r="311" spans="2:9" ht="15.75" customHeight="1">
      <c r="B311" s="22"/>
      <c r="C311" s="22"/>
      <c r="I311" s="22"/>
    </row>
    <row r="312" spans="2:9" ht="15.75" customHeight="1">
      <c r="B312" s="22"/>
      <c r="C312" s="22"/>
      <c r="I312" s="22"/>
    </row>
    <row r="313" spans="2:9" ht="15.75" customHeight="1">
      <c r="B313" s="22"/>
      <c r="C313" s="22"/>
      <c r="I313" s="22"/>
    </row>
    <row r="314" spans="2:9" ht="15.75" customHeight="1">
      <c r="B314" s="22"/>
      <c r="C314" s="22"/>
      <c r="I314" s="22"/>
    </row>
    <row r="315" spans="2:9" ht="15.75" customHeight="1">
      <c r="B315" s="22"/>
      <c r="C315" s="22"/>
      <c r="I315" s="22"/>
    </row>
    <row r="316" spans="2:9" ht="15.75" customHeight="1">
      <c r="B316" s="22"/>
      <c r="C316" s="22"/>
      <c r="I316" s="22"/>
    </row>
    <row r="317" spans="2:9" ht="15.75" customHeight="1">
      <c r="B317" s="22"/>
      <c r="C317" s="22"/>
      <c r="I317" s="22"/>
    </row>
    <row r="318" spans="2:9" ht="15.75" customHeight="1">
      <c r="B318" s="22"/>
      <c r="C318" s="22"/>
      <c r="I318" s="22"/>
    </row>
    <row r="319" spans="2:9" ht="15.75" customHeight="1">
      <c r="B319" s="22"/>
      <c r="C319" s="22"/>
      <c r="I319" s="22"/>
    </row>
    <row r="320" spans="2:9" ht="15.75" customHeight="1">
      <c r="B320" s="22"/>
      <c r="C320" s="22"/>
      <c r="I320" s="22"/>
    </row>
    <row r="321" spans="2:9" ht="15.75" customHeight="1">
      <c r="B321" s="22"/>
      <c r="C321" s="22"/>
      <c r="I321" s="22"/>
    </row>
    <row r="322" spans="2:9" ht="15.75" customHeight="1">
      <c r="B322" s="22"/>
      <c r="C322" s="22"/>
      <c r="I322" s="22"/>
    </row>
    <row r="323" spans="2:9" ht="15.75" customHeight="1">
      <c r="B323" s="22"/>
      <c r="C323" s="22"/>
      <c r="I323" s="22"/>
    </row>
    <row r="324" spans="2:9" ht="15.75" customHeight="1">
      <c r="B324" s="22"/>
      <c r="C324" s="22"/>
      <c r="I324" s="22"/>
    </row>
    <row r="325" spans="2:9" ht="15.75" customHeight="1">
      <c r="B325" s="22"/>
      <c r="C325" s="22"/>
      <c r="I325" s="22"/>
    </row>
    <row r="326" spans="2:9" ht="15.75" customHeight="1">
      <c r="B326" s="22"/>
      <c r="C326" s="22"/>
      <c r="I326" s="22"/>
    </row>
    <row r="327" spans="2:9" ht="15.75" customHeight="1">
      <c r="B327" s="22"/>
      <c r="C327" s="22"/>
      <c r="I327" s="22"/>
    </row>
    <row r="328" spans="2:9" ht="15.75" customHeight="1">
      <c r="B328" s="22"/>
      <c r="C328" s="22"/>
      <c r="I328" s="22"/>
    </row>
    <row r="329" spans="2:9" ht="15.75" customHeight="1">
      <c r="B329" s="22"/>
      <c r="C329" s="22"/>
      <c r="I329" s="22"/>
    </row>
    <row r="330" spans="2:9" ht="15.75" customHeight="1">
      <c r="B330" s="22"/>
      <c r="C330" s="22"/>
      <c r="I330" s="22"/>
    </row>
    <row r="331" spans="2:9" ht="15.75" customHeight="1">
      <c r="B331" s="22"/>
      <c r="C331" s="22"/>
      <c r="I331" s="22"/>
    </row>
    <row r="332" spans="2:9" ht="15.75" customHeight="1">
      <c r="B332" s="22"/>
      <c r="C332" s="22"/>
      <c r="I332" s="22"/>
    </row>
    <row r="333" spans="2:9" ht="15.75" customHeight="1">
      <c r="B333" s="22"/>
      <c r="C333" s="22"/>
      <c r="I333" s="22"/>
    </row>
    <row r="334" spans="2:9" ht="15.75" customHeight="1">
      <c r="B334" s="22"/>
      <c r="C334" s="22"/>
      <c r="I334" s="22"/>
    </row>
    <row r="335" spans="2:9" ht="15.75" customHeight="1">
      <c r="B335" s="22"/>
      <c r="C335" s="22"/>
      <c r="I335" s="22"/>
    </row>
    <row r="336" spans="2:9" ht="15.75" customHeight="1">
      <c r="B336" s="22"/>
      <c r="C336" s="22"/>
      <c r="I336" s="22"/>
    </row>
    <row r="337" spans="2:9" ht="15.75" customHeight="1">
      <c r="B337" s="22"/>
      <c r="C337" s="22"/>
      <c r="I337" s="22"/>
    </row>
    <row r="338" spans="2:9" ht="15.75" customHeight="1">
      <c r="B338" s="22"/>
      <c r="C338" s="22"/>
      <c r="I338" s="22"/>
    </row>
    <row r="339" spans="2:9" ht="15.75" customHeight="1">
      <c r="B339" s="22"/>
      <c r="C339" s="22"/>
      <c r="I339" s="22"/>
    </row>
    <row r="340" spans="2:9" ht="15.75" customHeight="1">
      <c r="B340" s="22"/>
      <c r="C340" s="22"/>
      <c r="I340" s="22"/>
    </row>
    <row r="341" spans="2:9" ht="15.75" customHeight="1">
      <c r="B341" s="22"/>
      <c r="C341" s="22"/>
      <c r="I341" s="22"/>
    </row>
    <row r="342" spans="2:9" ht="15.75" customHeight="1">
      <c r="B342" s="22"/>
      <c r="C342" s="22"/>
      <c r="I342" s="22"/>
    </row>
    <row r="343" spans="2:9" ht="15.75" customHeight="1">
      <c r="B343" s="22"/>
      <c r="C343" s="22"/>
      <c r="I343" s="22"/>
    </row>
    <row r="344" spans="2:9" ht="15.75" customHeight="1">
      <c r="B344" s="22"/>
      <c r="C344" s="22"/>
      <c r="I344" s="22"/>
    </row>
    <row r="345" spans="2:9" ht="15.75" customHeight="1">
      <c r="B345" s="22"/>
      <c r="C345" s="22"/>
      <c r="I345" s="22"/>
    </row>
    <row r="346" spans="2:9" ht="15.75" customHeight="1">
      <c r="B346" s="22"/>
      <c r="C346" s="22"/>
      <c r="I346" s="22"/>
    </row>
    <row r="347" spans="2:9" ht="15.75" customHeight="1">
      <c r="B347" s="22"/>
      <c r="C347" s="22"/>
      <c r="I347" s="22"/>
    </row>
    <row r="348" spans="2:9" ht="15.75" customHeight="1">
      <c r="B348" s="22"/>
      <c r="C348" s="22"/>
      <c r="I348" s="22"/>
    </row>
    <row r="349" spans="2:9" ht="15.75" customHeight="1">
      <c r="B349" s="22"/>
      <c r="C349" s="22"/>
      <c r="I349" s="22"/>
    </row>
    <row r="350" spans="2:9" ht="15.75" customHeight="1">
      <c r="B350" s="22"/>
      <c r="C350" s="22"/>
      <c r="I350" s="22"/>
    </row>
    <row r="351" spans="2:9" ht="15.75" customHeight="1">
      <c r="B351" s="22"/>
      <c r="C351" s="22"/>
      <c r="I351" s="22"/>
    </row>
    <row r="352" spans="2:9" ht="15.75" customHeight="1">
      <c r="B352" s="22"/>
      <c r="C352" s="22"/>
      <c r="I352" s="22"/>
    </row>
    <row r="353" spans="2:9" ht="15.75" customHeight="1">
      <c r="B353" s="22"/>
      <c r="C353" s="22"/>
      <c r="I353" s="22"/>
    </row>
    <row r="354" spans="2:9" ht="15.75" customHeight="1">
      <c r="B354" s="22"/>
      <c r="C354" s="22"/>
      <c r="I354" s="22"/>
    </row>
    <row r="355" spans="2:9" ht="15.75" customHeight="1">
      <c r="B355" s="22"/>
      <c r="C355" s="22"/>
      <c r="I355" s="22"/>
    </row>
    <row r="356" spans="2:9" ht="15.75" customHeight="1">
      <c r="B356" s="22"/>
      <c r="C356" s="22"/>
      <c r="I356" s="22"/>
    </row>
    <row r="357" spans="2:9" ht="15.75" customHeight="1">
      <c r="B357" s="22"/>
      <c r="C357" s="22"/>
      <c r="I357" s="22"/>
    </row>
    <row r="358" spans="2:9" ht="15.75" customHeight="1">
      <c r="B358" s="22"/>
      <c r="C358" s="22"/>
      <c r="I358" s="22"/>
    </row>
    <row r="359" spans="2:9" ht="15.75" customHeight="1">
      <c r="B359" s="22"/>
      <c r="C359" s="22"/>
      <c r="I359" s="22"/>
    </row>
    <row r="360" spans="2:9" ht="15.75" customHeight="1">
      <c r="B360" s="22"/>
      <c r="C360" s="22"/>
      <c r="I360" s="22"/>
    </row>
    <row r="361" spans="2:9" ht="15.75" customHeight="1">
      <c r="B361" s="22"/>
      <c r="C361" s="22"/>
      <c r="I361" s="22"/>
    </row>
    <row r="362" spans="2:9" ht="15.75" customHeight="1">
      <c r="B362" s="22"/>
      <c r="C362" s="22"/>
      <c r="I362" s="22"/>
    </row>
    <row r="363" spans="2:9" ht="15.75" customHeight="1">
      <c r="B363" s="22"/>
      <c r="C363" s="22"/>
      <c r="I363" s="22"/>
    </row>
    <row r="364" spans="2:9" ht="15.75" customHeight="1">
      <c r="B364" s="22"/>
      <c r="C364" s="22"/>
      <c r="I364" s="22"/>
    </row>
    <row r="365" spans="2:9" ht="15.75" customHeight="1">
      <c r="B365" s="22"/>
      <c r="C365" s="22"/>
      <c r="I365" s="22"/>
    </row>
    <row r="366" spans="2:9" ht="15.75" customHeight="1">
      <c r="B366" s="22"/>
      <c r="C366" s="22"/>
      <c r="I366" s="22"/>
    </row>
    <row r="367" spans="2:9" ht="15.75" customHeight="1">
      <c r="B367" s="22"/>
      <c r="C367" s="22"/>
      <c r="I367" s="22"/>
    </row>
    <row r="368" spans="2:9" ht="15.75" customHeight="1">
      <c r="B368" s="22"/>
      <c r="C368" s="22"/>
      <c r="I368" s="22"/>
    </row>
    <row r="369" spans="2:9" ht="15.75" customHeight="1">
      <c r="B369" s="22"/>
      <c r="C369" s="22"/>
      <c r="I369" s="22"/>
    </row>
    <row r="370" spans="2:9" ht="15.75" customHeight="1">
      <c r="B370" s="22"/>
      <c r="C370" s="22"/>
      <c r="I370" s="22"/>
    </row>
    <row r="371" spans="2:9" ht="15.75" customHeight="1">
      <c r="B371" s="22"/>
      <c r="C371" s="22"/>
      <c r="I371" s="22"/>
    </row>
    <row r="372" spans="2:9" ht="15.75" customHeight="1">
      <c r="B372" s="22"/>
      <c r="C372" s="22"/>
      <c r="I372" s="22"/>
    </row>
    <row r="373" spans="2:9" ht="15.75" customHeight="1">
      <c r="B373" s="22"/>
      <c r="C373" s="22"/>
      <c r="I373" s="22"/>
    </row>
    <row r="374" spans="2:9" ht="15.75" customHeight="1">
      <c r="B374" s="22"/>
      <c r="C374" s="22"/>
      <c r="I374" s="22"/>
    </row>
    <row r="375" spans="2:9" ht="15.75" customHeight="1">
      <c r="B375" s="22"/>
      <c r="C375" s="22"/>
      <c r="I375" s="22"/>
    </row>
    <row r="376" spans="2:9" ht="15.75" customHeight="1">
      <c r="B376" s="22"/>
      <c r="C376" s="22"/>
      <c r="I376" s="22"/>
    </row>
    <row r="377" spans="2:9" ht="15.75" customHeight="1">
      <c r="B377" s="22"/>
      <c r="C377" s="22"/>
      <c r="I377" s="22"/>
    </row>
    <row r="378" spans="2:9" ht="15.75" customHeight="1">
      <c r="B378" s="22"/>
      <c r="C378" s="22"/>
      <c r="I378" s="22"/>
    </row>
    <row r="379" spans="2:9" ht="15.75" customHeight="1">
      <c r="B379" s="22"/>
      <c r="C379" s="22"/>
      <c r="I379" s="22"/>
    </row>
    <row r="380" spans="2:9" ht="15.75" customHeight="1">
      <c r="B380" s="22"/>
      <c r="C380" s="22"/>
      <c r="I380" s="22"/>
    </row>
    <row r="381" spans="2:9" ht="15.75" customHeight="1">
      <c r="B381" s="22"/>
      <c r="C381" s="22"/>
      <c r="I381" s="22"/>
    </row>
    <row r="382" spans="2:9" ht="15.75" customHeight="1">
      <c r="B382" s="22"/>
      <c r="C382" s="22"/>
      <c r="I382" s="22"/>
    </row>
    <row r="383" spans="2:9" ht="15.75" customHeight="1">
      <c r="B383" s="22"/>
      <c r="C383" s="22"/>
      <c r="I383" s="22"/>
    </row>
    <row r="384" spans="2:9" ht="15.75" customHeight="1">
      <c r="B384" s="22"/>
      <c r="C384" s="22"/>
      <c r="I384" s="22"/>
    </row>
    <row r="385" spans="2:9" ht="15.75" customHeight="1">
      <c r="B385" s="22"/>
      <c r="C385" s="22"/>
      <c r="I385" s="22"/>
    </row>
    <row r="386" spans="2:9" ht="15.75" customHeight="1">
      <c r="B386" s="22"/>
      <c r="C386" s="22"/>
      <c r="I386" s="22"/>
    </row>
    <row r="387" spans="2:9" ht="15.75" customHeight="1">
      <c r="B387" s="22"/>
      <c r="C387" s="22"/>
      <c r="I387" s="22"/>
    </row>
    <row r="388" spans="2:9" ht="15.75" customHeight="1">
      <c r="B388" s="22"/>
      <c r="C388" s="22"/>
      <c r="I388" s="22"/>
    </row>
    <row r="389" spans="2:9" ht="15.75" customHeight="1">
      <c r="B389" s="22"/>
      <c r="C389" s="22"/>
      <c r="I389" s="22"/>
    </row>
    <row r="390" spans="2:9" ht="15.75" customHeight="1">
      <c r="B390" s="22"/>
      <c r="C390" s="22"/>
      <c r="I390" s="22"/>
    </row>
    <row r="391" spans="2:9" ht="15.75" customHeight="1">
      <c r="B391" s="22"/>
      <c r="C391" s="22"/>
      <c r="I391" s="22"/>
    </row>
    <row r="392" spans="2:9" ht="15.75" customHeight="1">
      <c r="B392" s="22"/>
      <c r="C392" s="22"/>
      <c r="I392" s="22"/>
    </row>
    <row r="393" spans="2:9" ht="15.75" customHeight="1">
      <c r="B393" s="22"/>
      <c r="C393" s="22"/>
      <c r="I393" s="22"/>
    </row>
    <row r="394" spans="2:9" ht="15.75" customHeight="1">
      <c r="B394" s="22"/>
      <c r="C394" s="22"/>
      <c r="I394" s="22"/>
    </row>
    <row r="395" spans="2:9" ht="15.75" customHeight="1">
      <c r="B395" s="22"/>
      <c r="C395" s="22"/>
      <c r="I395" s="22"/>
    </row>
    <row r="396" spans="2:9" ht="15.75" customHeight="1">
      <c r="B396" s="22"/>
      <c r="C396" s="22"/>
      <c r="I396" s="22"/>
    </row>
    <row r="397" spans="2:9" ht="15.75" customHeight="1">
      <c r="B397" s="22"/>
      <c r="C397" s="22"/>
      <c r="I397" s="22"/>
    </row>
    <row r="398" spans="2:9" ht="15.75" customHeight="1">
      <c r="B398" s="22"/>
      <c r="C398" s="22"/>
      <c r="I398" s="22"/>
    </row>
    <row r="399" spans="2:9" ht="15.75" customHeight="1">
      <c r="B399" s="22"/>
      <c r="C399" s="22"/>
      <c r="I399" s="22"/>
    </row>
    <row r="400" spans="2:9" ht="15.75" customHeight="1">
      <c r="B400" s="22"/>
      <c r="C400" s="22"/>
      <c r="I400" s="22"/>
    </row>
    <row r="401" spans="2:9" ht="15.75" customHeight="1">
      <c r="B401" s="22"/>
      <c r="C401" s="22"/>
      <c r="I401" s="22"/>
    </row>
    <row r="402" spans="2:9" ht="15.75" customHeight="1">
      <c r="B402" s="22"/>
      <c r="C402" s="22"/>
      <c r="I402" s="22"/>
    </row>
    <row r="403" spans="2:9" ht="15.75" customHeight="1">
      <c r="B403" s="22"/>
      <c r="C403" s="22"/>
      <c r="I403" s="22"/>
    </row>
    <row r="404" spans="2:9" ht="15.75" customHeight="1">
      <c r="B404" s="22"/>
      <c r="C404" s="22"/>
      <c r="I404" s="22"/>
    </row>
    <row r="405" spans="2:9" ht="15.75" customHeight="1">
      <c r="B405" s="22"/>
      <c r="C405" s="22"/>
      <c r="I405" s="22"/>
    </row>
    <row r="406" spans="2:9" ht="15.75" customHeight="1">
      <c r="B406" s="22"/>
      <c r="C406" s="22"/>
      <c r="I406" s="22"/>
    </row>
    <row r="407" spans="2:9" ht="15.75" customHeight="1">
      <c r="B407" s="22"/>
      <c r="C407" s="22"/>
      <c r="I407" s="22"/>
    </row>
    <row r="408" spans="2:9" ht="15.75" customHeight="1">
      <c r="B408" s="22"/>
      <c r="C408" s="22"/>
      <c r="I408" s="22"/>
    </row>
    <row r="409" spans="2:9" ht="15.75" customHeight="1">
      <c r="B409" s="22"/>
      <c r="C409" s="22"/>
      <c r="I409" s="22"/>
    </row>
    <row r="410" spans="2:9" ht="15.75" customHeight="1">
      <c r="B410" s="22"/>
      <c r="C410" s="22"/>
      <c r="I410" s="22"/>
    </row>
    <row r="411" spans="2:9" ht="15.75" customHeight="1">
      <c r="B411" s="22"/>
      <c r="C411" s="22"/>
      <c r="I411" s="22"/>
    </row>
    <row r="412" spans="2:9" ht="15.75" customHeight="1">
      <c r="B412" s="22"/>
      <c r="C412" s="22"/>
      <c r="I412" s="22"/>
    </row>
    <row r="413" spans="2:9" ht="15.75" customHeight="1">
      <c r="B413" s="22"/>
      <c r="C413" s="22"/>
      <c r="I413" s="22"/>
    </row>
    <row r="414" spans="2:9" ht="15.75" customHeight="1">
      <c r="B414" s="22"/>
      <c r="C414" s="22"/>
      <c r="I414" s="22"/>
    </row>
    <row r="415" spans="2:9" ht="15.75" customHeight="1">
      <c r="B415" s="22"/>
      <c r="C415" s="22"/>
      <c r="I415" s="22"/>
    </row>
    <row r="416" spans="2:9" ht="15.75" customHeight="1">
      <c r="B416" s="22"/>
      <c r="C416" s="22"/>
      <c r="I416" s="22"/>
    </row>
    <row r="417" spans="2:9" ht="15.75" customHeight="1">
      <c r="B417" s="22"/>
      <c r="C417" s="22"/>
      <c r="I417" s="22"/>
    </row>
    <row r="418" spans="2:9" ht="15.75" customHeight="1">
      <c r="B418" s="22"/>
      <c r="C418" s="22"/>
      <c r="I418" s="22"/>
    </row>
    <row r="419" spans="2:9" ht="15.75" customHeight="1">
      <c r="B419" s="22"/>
      <c r="C419" s="22"/>
      <c r="I419" s="22"/>
    </row>
    <row r="420" spans="2:9" ht="15.75" customHeight="1">
      <c r="B420" s="22"/>
      <c r="C420" s="22"/>
      <c r="I420" s="22"/>
    </row>
    <row r="421" spans="2:9" ht="15.75" customHeight="1">
      <c r="B421" s="22"/>
      <c r="C421" s="22"/>
      <c r="I421" s="22"/>
    </row>
    <row r="422" spans="2:9" ht="15.75" customHeight="1">
      <c r="B422" s="22"/>
      <c r="C422" s="22"/>
      <c r="I422" s="22"/>
    </row>
    <row r="423" spans="2:9" ht="15.75" customHeight="1">
      <c r="B423" s="22"/>
      <c r="C423" s="22"/>
      <c r="I423" s="22"/>
    </row>
    <row r="424" spans="2:9" ht="15.75" customHeight="1">
      <c r="B424" s="22"/>
      <c r="C424" s="22"/>
      <c r="I424" s="22"/>
    </row>
    <row r="425" spans="2:9" ht="15.75" customHeight="1">
      <c r="B425" s="22"/>
      <c r="C425" s="22"/>
      <c r="I425" s="22"/>
    </row>
    <row r="426" spans="2:9" ht="15.75" customHeight="1">
      <c r="B426" s="22"/>
      <c r="C426" s="22"/>
      <c r="I426" s="22"/>
    </row>
    <row r="427" spans="2:9" ht="15.75" customHeight="1">
      <c r="B427" s="22"/>
      <c r="C427" s="22"/>
      <c r="I427" s="22"/>
    </row>
    <row r="428" spans="2:9" ht="15.75" customHeight="1">
      <c r="B428" s="22"/>
      <c r="C428" s="22"/>
      <c r="I428" s="22"/>
    </row>
    <row r="429" spans="2:9" ht="15.75" customHeight="1">
      <c r="B429" s="22"/>
      <c r="C429" s="22"/>
      <c r="I429" s="22"/>
    </row>
    <row r="430" spans="2:9" ht="15.75" customHeight="1">
      <c r="B430" s="22"/>
      <c r="C430" s="22"/>
      <c r="I430" s="22"/>
    </row>
    <row r="431" spans="2:9" ht="15.75" customHeight="1">
      <c r="B431" s="22"/>
      <c r="C431" s="22"/>
      <c r="I431" s="22"/>
    </row>
    <row r="432" spans="2:9" ht="15.75" customHeight="1">
      <c r="B432" s="22"/>
      <c r="C432" s="22"/>
      <c r="I432" s="22"/>
    </row>
    <row r="433" spans="2:9" ht="15.75" customHeight="1">
      <c r="B433" s="22"/>
      <c r="C433" s="22"/>
      <c r="I433" s="22"/>
    </row>
    <row r="434" spans="2:9" ht="15.75" customHeight="1">
      <c r="B434" s="22"/>
      <c r="C434" s="22"/>
      <c r="I434" s="22"/>
    </row>
    <row r="435" spans="2:9" ht="15.75" customHeight="1">
      <c r="B435" s="22"/>
      <c r="C435" s="22"/>
      <c r="I435" s="22"/>
    </row>
    <row r="436" spans="2:9" ht="15.75" customHeight="1">
      <c r="B436" s="22"/>
      <c r="C436" s="22"/>
      <c r="I436" s="22"/>
    </row>
    <row r="437" spans="2:9" ht="15.75" customHeight="1">
      <c r="B437" s="22"/>
      <c r="C437" s="22"/>
      <c r="I437" s="22"/>
    </row>
    <row r="438" spans="2:9" ht="15.75" customHeight="1">
      <c r="B438" s="22"/>
      <c r="C438" s="22"/>
      <c r="I438" s="22"/>
    </row>
    <row r="439" spans="2:9" ht="15.75" customHeight="1">
      <c r="B439" s="22"/>
      <c r="C439" s="22"/>
      <c r="I439" s="22"/>
    </row>
    <row r="440" spans="2:9" ht="15.75" customHeight="1">
      <c r="B440" s="22"/>
      <c r="C440" s="22"/>
      <c r="I440" s="22"/>
    </row>
    <row r="441" spans="2:9" ht="15.75" customHeight="1">
      <c r="B441" s="22"/>
      <c r="C441" s="22"/>
      <c r="I441" s="22"/>
    </row>
    <row r="442" spans="2:9" ht="15.75" customHeight="1">
      <c r="B442" s="22"/>
      <c r="C442" s="22"/>
      <c r="I442" s="22"/>
    </row>
    <row r="443" spans="2:9" ht="15.75" customHeight="1">
      <c r="B443" s="22"/>
      <c r="C443" s="22"/>
      <c r="I443" s="22"/>
    </row>
    <row r="444" spans="2:9" ht="15.75" customHeight="1">
      <c r="B444" s="22"/>
      <c r="C444" s="22"/>
      <c r="I444" s="22"/>
    </row>
    <row r="445" spans="2:9" ht="15.75" customHeight="1">
      <c r="B445" s="22"/>
      <c r="C445" s="22"/>
      <c r="I445" s="22"/>
    </row>
    <row r="446" spans="2:9" ht="15.75" customHeight="1">
      <c r="B446" s="22"/>
      <c r="C446" s="22"/>
      <c r="I446" s="22"/>
    </row>
    <row r="447" spans="2:9" ht="15.75" customHeight="1">
      <c r="B447" s="22"/>
      <c r="C447" s="22"/>
      <c r="I447" s="22"/>
    </row>
    <row r="448" spans="2:9" ht="15.75" customHeight="1">
      <c r="B448" s="22"/>
      <c r="C448" s="22"/>
      <c r="I448" s="22"/>
    </row>
    <row r="449" spans="2:9" ht="15.75" customHeight="1">
      <c r="B449" s="22"/>
      <c r="C449" s="22"/>
      <c r="I449" s="22"/>
    </row>
    <row r="450" spans="2:9" ht="15.75" customHeight="1">
      <c r="B450" s="22"/>
      <c r="C450" s="22"/>
      <c r="I450" s="22"/>
    </row>
    <row r="451" spans="2:9" ht="15.75" customHeight="1">
      <c r="B451" s="22"/>
      <c r="C451" s="22"/>
      <c r="I451" s="22"/>
    </row>
    <row r="452" spans="2:9" ht="15.75" customHeight="1">
      <c r="B452" s="22"/>
      <c r="C452" s="22"/>
      <c r="I452" s="22"/>
    </row>
    <row r="453" spans="2:9" ht="15.75" customHeight="1">
      <c r="B453" s="22"/>
      <c r="C453" s="22"/>
      <c r="I453" s="22"/>
    </row>
    <row r="454" spans="2:9" ht="15.75" customHeight="1">
      <c r="B454" s="22"/>
      <c r="C454" s="22"/>
      <c r="I454" s="22"/>
    </row>
    <row r="455" spans="2:9" ht="15.75" customHeight="1">
      <c r="B455" s="22"/>
      <c r="C455" s="22"/>
      <c r="I455" s="22"/>
    </row>
    <row r="456" spans="2:9" ht="15.75" customHeight="1">
      <c r="B456" s="22"/>
      <c r="C456" s="22"/>
      <c r="I456" s="22"/>
    </row>
    <row r="457" spans="2:9" ht="15.75" customHeight="1">
      <c r="B457" s="22"/>
      <c r="C457" s="22"/>
      <c r="I457" s="22"/>
    </row>
    <row r="458" spans="2:9" ht="15.75" customHeight="1">
      <c r="B458" s="22"/>
      <c r="C458" s="22"/>
      <c r="I458" s="22"/>
    </row>
    <row r="459" spans="2:9" ht="15.75" customHeight="1">
      <c r="B459" s="22"/>
      <c r="C459" s="22"/>
      <c r="I459" s="22"/>
    </row>
    <row r="460" spans="2:9" ht="15.75" customHeight="1">
      <c r="B460" s="22"/>
      <c r="C460" s="22"/>
      <c r="I460" s="22"/>
    </row>
    <row r="461" spans="2:9" ht="15.75" customHeight="1">
      <c r="B461" s="22"/>
      <c r="C461" s="22"/>
      <c r="I461" s="22"/>
    </row>
    <row r="462" spans="2:9" ht="15.75" customHeight="1">
      <c r="B462" s="22"/>
      <c r="C462" s="22"/>
      <c r="I462" s="22"/>
    </row>
    <row r="463" spans="2:9" ht="15.75" customHeight="1">
      <c r="B463" s="22"/>
      <c r="C463" s="22"/>
      <c r="I463" s="22"/>
    </row>
    <row r="464" spans="2:9" ht="15.75" customHeight="1">
      <c r="B464" s="22"/>
      <c r="C464" s="22"/>
      <c r="I464" s="22"/>
    </row>
    <row r="465" spans="2:9" ht="15.75" customHeight="1">
      <c r="B465" s="22"/>
      <c r="C465" s="22"/>
      <c r="I465" s="22"/>
    </row>
    <row r="466" spans="2:9" ht="15.75" customHeight="1">
      <c r="B466" s="22"/>
      <c r="C466" s="22"/>
      <c r="I466" s="22"/>
    </row>
    <row r="467" spans="2:9" ht="15.75" customHeight="1">
      <c r="B467" s="22"/>
      <c r="C467" s="22"/>
      <c r="I467" s="22"/>
    </row>
    <row r="468" spans="2:9" ht="15.75" customHeight="1">
      <c r="B468" s="22"/>
      <c r="C468" s="22"/>
      <c r="I468" s="22"/>
    </row>
    <row r="469" spans="2:9" ht="15.75" customHeight="1">
      <c r="B469" s="22"/>
      <c r="C469" s="22"/>
      <c r="I469" s="22"/>
    </row>
    <row r="470" spans="2:9" ht="15.75" customHeight="1">
      <c r="B470" s="22"/>
      <c r="C470" s="22"/>
      <c r="I470" s="22"/>
    </row>
    <row r="471" spans="2:9" ht="15.75" customHeight="1">
      <c r="B471" s="22"/>
      <c r="C471" s="22"/>
      <c r="I471" s="22"/>
    </row>
    <row r="472" spans="2:9" ht="15.75" customHeight="1">
      <c r="B472" s="22"/>
      <c r="C472" s="22"/>
      <c r="I472" s="22"/>
    </row>
    <row r="473" spans="2:9" ht="15.75" customHeight="1">
      <c r="B473" s="22"/>
      <c r="C473" s="22"/>
      <c r="I473" s="22"/>
    </row>
    <row r="474" spans="2:9" ht="15.75" customHeight="1">
      <c r="B474" s="22"/>
      <c r="C474" s="22"/>
      <c r="I474" s="22"/>
    </row>
    <row r="475" spans="2:9" ht="15.75" customHeight="1">
      <c r="B475" s="22"/>
      <c r="C475" s="22"/>
      <c r="I475" s="22"/>
    </row>
    <row r="476" spans="2:9" ht="15.75" customHeight="1">
      <c r="B476" s="22"/>
      <c r="C476" s="22"/>
      <c r="I476" s="22"/>
    </row>
    <row r="477" spans="2:9" ht="15.75" customHeight="1">
      <c r="B477" s="22"/>
      <c r="C477" s="22"/>
      <c r="I477" s="22"/>
    </row>
    <row r="478" spans="2:9" ht="15.75" customHeight="1">
      <c r="B478" s="22"/>
      <c r="C478" s="22"/>
      <c r="I478" s="22"/>
    </row>
    <row r="479" spans="2:9" ht="15.75" customHeight="1">
      <c r="B479" s="22"/>
      <c r="C479" s="22"/>
      <c r="I479" s="22"/>
    </row>
    <row r="480" spans="2:9" ht="15.75" customHeight="1">
      <c r="B480" s="22"/>
      <c r="C480" s="22"/>
      <c r="I480" s="22"/>
    </row>
    <row r="481" spans="2:9" ht="15.75" customHeight="1">
      <c r="B481" s="22"/>
      <c r="C481" s="22"/>
      <c r="I481" s="22"/>
    </row>
    <row r="482" spans="2:9" ht="15.75" customHeight="1">
      <c r="B482" s="22"/>
      <c r="C482" s="22"/>
      <c r="I482" s="22"/>
    </row>
    <row r="483" spans="2:9" ht="15.75" customHeight="1">
      <c r="B483" s="22"/>
      <c r="C483" s="22"/>
      <c r="I483" s="22"/>
    </row>
    <row r="484" spans="2:9" ht="15.75" customHeight="1">
      <c r="B484" s="22"/>
      <c r="C484" s="22"/>
      <c r="I484" s="22"/>
    </row>
    <row r="485" spans="2:9" ht="15.75" customHeight="1">
      <c r="B485" s="22"/>
      <c r="C485" s="22"/>
      <c r="I485" s="22"/>
    </row>
    <row r="486" spans="2:9" ht="15.75" customHeight="1">
      <c r="B486" s="22"/>
      <c r="C486" s="22"/>
      <c r="I486" s="22"/>
    </row>
    <row r="487" spans="2:9" ht="15.75" customHeight="1">
      <c r="B487" s="22"/>
      <c r="C487" s="22"/>
      <c r="I487" s="22"/>
    </row>
    <row r="488" spans="2:9" ht="15.75" customHeight="1">
      <c r="B488" s="22"/>
      <c r="C488" s="22"/>
      <c r="I488" s="22"/>
    </row>
    <row r="489" spans="2:9" ht="15.75" customHeight="1">
      <c r="B489" s="22"/>
      <c r="C489" s="22"/>
      <c r="I489" s="22"/>
    </row>
    <row r="490" spans="2:9" ht="15.75" customHeight="1">
      <c r="B490" s="22"/>
      <c r="C490" s="22"/>
      <c r="I490" s="22"/>
    </row>
    <row r="491" spans="2:9" ht="15.75" customHeight="1">
      <c r="B491" s="22"/>
      <c r="C491" s="22"/>
      <c r="I491" s="22"/>
    </row>
    <row r="492" spans="2:9" ht="15.75" customHeight="1">
      <c r="B492" s="22"/>
      <c r="C492" s="22"/>
      <c r="I492" s="22"/>
    </row>
    <row r="493" spans="2:9" ht="15.75" customHeight="1">
      <c r="B493" s="22"/>
      <c r="C493" s="22"/>
      <c r="I493" s="22"/>
    </row>
    <row r="494" spans="2:9" ht="15.75" customHeight="1">
      <c r="B494" s="22"/>
      <c r="C494" s="22"/>
      <c r="I494" s="22"/>
    </row>
    <row r="495" spans="2:9" ht="15.75" customHeight="1">
      <c r="B495" s="22"/>
      <c r="C495" s="22"/>
      <c r="I495" s="22"/>
    </row>
    <row r="496" spans="2:9" ht="15.75" customHeight="1">
      <c r="B496" s="22"/>
      <c r="C496" s="22"/>
      <c r="I496" s="22"/>
    </row>
    <row r="497" spans="2:9" ht="15.75" customHeight="1">
      <c r="B497" s="22"/>
      <c r="C497" s="22"/>
      <c r="I497" s="22"/>
    </row>
    <row r="498" spans="2:9" ht="15.75" customHeight="1">
      <c r="B498" s="22"/>
      <c r="C498" s="22"/>
      <c r="I498" s="22"/>
    </row>
    <row r="499" spans="2:9" ht="15.75" customHeight="1">
      <c r="B499" s="22"/>
      <c r="C499" s="22"/>
      <c r="I499" s="22"/>
    </row>
    <row r="500" spans="2:9" ht="15.75" customHeight="1">
      <c r="B500" s="22"/>
      <c r="C500" s="22"/>
      <c r="I500" s="22"/>
    </row>
    <row r="501" spans="2:9" ht="15.75" customHeight="1">
      <c r="B501" s="22"/>
      <c r="C501" s="22"/>
      <c r="I501" s="22"/>
    </row>
    <row r="502" spans="2:9" ht="15.75" customHeight="1">
      <c r="B502" s="22"/>
      <c r="C502" s="22"/>
      <c r="I502" s="22"/>
    </row>
    <row r="503" spans="2:9" ht="15.75" customHeight="1">
      <c r="B503" s="22"/>
      <c r="C503" s="22"/>
      <c r="I503" s="22"/>
    </row>
    <row r="504" spans="2:9" ht="15.75" customHeight="1">
      <c r="B504" s="22"/>
      <c r="C504" s="22"/>
      <c r="I504" s="22"/>
    </row>
    <row r="505" spans="2:9" ht="15.75" customHeight="1">
      <c r="B505" s="22"/>
      <c r="C505" s="22"/>
      <c r="I505" s="22"/>
    </row>
    <row r="506" spans="2:9" ht="15.75" customHeight="1">
      <c r="B506" s="22"/>
      <c r="C506" s="22"/>
      <c r="I506" s="22"/>
    </row>
    <row r="507" spans="2:9" ht="15.75" customHeight="1">
      <c r="B507" s="22"/>
      <c r="C507" s="22"/>
      <c r="I507" s="22"/>
    </row>
    <row r="508" spans="2:9" ht="15.75" customHeight="1">
      <c r="B508" s="22"/>
      <c r="C508" s="22"/>
      <c r="I508" s="22"/>
    </row>
    <row r="509" spans="2:9" ht="15.75" customHeight="1">
      <c r="B509" s="22"/>
      <c r="C509" s="22"/>
      <c r="I509" s="22"/>
    </row>
    <row r="510" spans="2:9" ht="15.75" customHeight="1">
      <c r="B510" s="22"/>
      <c r="C510" s="22"/>
      <c r="I510" s="22"/>
    </row>
    <row r="511" spans="2:9" ht="15.75" customHeight="1">
      <c r="B511" s="22"/>
      <c r="C511" s="22"/>
      <c r="I511" s="22"/>
    </row>
    <row r="512" spans="2:9" ht="15.75" customHeight="1">
      <c r="B512" s="22"/>
      <c r="C512" s="22"/>
      <c r="I512" s="22"/>
    </row>
    <row r="513" spans="2:9" ht="15.75" customHeight="1">
      <c r="B513" s="22"/>
      <c r="C513" s="22"/>
      <c r="I513" s="22"/>
    </row>
    <row r="514" spans="2:9" ht="15.75" customHeight="1">
      <c r="B514" s="22"/>
      <c r="C514" s="22"/>
      <c r="I514" s="22"/>
    </row>
    <row r="515" spans="2:9" ht="15.75" customHeight="1">
      <c r="B515" s="22"/>
      <c r="C515" s="22"/>
      <c r="I515" s="22"/>
    </row>
    <row r="516" spans="2:9" ht="15.75" customHeight="1">
      <c r="B516" s="22"/>
      <c r="C516" s="22"/>
      <c r="I516" s="22"/>
    </row>
    <row r="517" spans="2:9" ht="15.75" customHeight="1">
      <c r="B517" s="22"/>
      <c r="C517" s="22"/>
      <c r="I517" s="22"/>
    </row>
    <row r="518" spans="2:9" ht="15.75" customHeight="1">
      <c r="B518" s="22"/>
      <c r="C518" s="22"/>
      <c r="I518" s="22"/>
    </row>
    <row r="519" spans="2:9" ht="15.75" customHeight="1">
      <c r="B519" s="22"/>
      <c r="C519" s="22"/>
      <c r="I519" s="22"/>
    </row>
    <row r="520" spans="2:9" ht="15.75" customHeight="1">
      <c r="B520" s="22"/>
      <c r="C520" s="22"/>
      <c r="I520" s="22"/>
    </row>
    <row r="521" spans="2:9" ht="15.75" customHeight="1">
      <c r="B521" s="22"/>
      <c r="C521" s="22"/>
      <c r="I521" s="22"/>
    </row>
    <row r="522" spans="2:9" ht="15.75" customHeight="1">
      <c r="B522" s="22"/>
      <c r="C522" s="22"/>
      <c r="I522" s="22"/>
    </row>
    <row r="523" spans="2:9" ht="15.75" customHeight="1">
      <c r="B523" s="22"/>
      <c r="C523" s="22"/>
      <c r="I523" s="22"/>
    </row>
    <row r="524" spans="2:9" ht="15.75" customHeight="1">
      <c r="B524" s="22"/>
      <c r="C524" s="22"/>
      <c r="I524" s="22"/>
    </row>
    <row r="525" spans="2:9" ht="15.75" customHeight="1">
      <c r="B525" s="22"/>
      <c r="C525" s="22"/>
      <c r="I525" s="22"/>
    </row>
    <row r="526" spans="2:9" ht="15.75" customHeight="1">
      <c r="B526" s="22"/>
      <c r="C526" s="22"/>
      <c r="I526" s="22"/>
    </row>
    <row r="527" spans="2:9" ht="15.75" customHeight="1">
      <c r="B527" s="22"/>
      <c r="C527" s="22"/>
      <c r="I527" s="22"/>
    </row>
    <row r="528" spans="2:9" ht="15.75" customHeight="1">
      <c r="B528" s="22"/>
      <c r="C528" s="22"/>
      <c r="I528" s="22"/>
    </row>
    <row r="529" spans="2:9" ht="15.75" customHeight="1">
      <c r="B529" s="22"/>
      <c r="C529" s="22"/>
      <c r="I529" s="22"/>
    </row>
    <row r="530" spans="2:9" ht="15.75" customHeight="1">
      <c r="B530" s="22"/>
      <c r="C530" s="22"/>
      <c r="I530" s="22"/>
    </row>
    <row r="531" spans="2:9" ht="15.75" customHeight="1">
      <c r="B531" s="22"/>
      <c r="C531" s="22"/>
      <c r="I531" s="22"/>
    </row>
    <row r="532" spans="2:9" ht="15.75" customHeight="1">
      <c r="B532" s="22"/>
      <c r="C532" s="22"/>
      <c r="I532" s="22"/>
    </row>
    <row r="533" spans="2:9" ht="15.75" customHeight="1">
      <c r="B533" s="22"/>
      <c r="C533" s="22"/>
      <c r="I533" s="22"/>
    </row>
    <row r="534" spans="2:9" ht="15.75" customHeight="1">
      <c r="B534" s="22"/>
      <c r="C534" s="22"/>
      <c r="I534" s="22"/>
    </row>
    <row r="535" spans="2:9" ht="15.75" customHeight="1">
      <c r="B535" s="22"/>
      <c r="C535" s="22"/>
      <c r="I535" s="22"/>
    </row>
    <row r="536" spans="2:9" ht="15.75" customHeight="1">
      <c r="B536" s="22"/>
      <c r="C536" s="22"/>
      <c r="I536" s="22"/>
    </row>
    <row r="537" spans="2:9" ht="15.75" customHeight="1">
      <c r="B537" s="22"/>
      <c r="C537" s="22"/>
      <c r="I537" s="22"/>
    </row>
    <row r="538" spans="2:9" ht="15.75" customHeight="1">
      <c r="B538" s="22"/>
      <c r="C538" s="22"/>
      <c r="I538" s="22"/>
    </row>
    <row r="539" spans="2:9" ht="15.75" customHeight="1">
      <c r="B539" s="22"/>
      <c r="C539" s="22"/>
      <c r="I539" s="22"/>
    </row>
    <row r="540" spans="2:9" ht="15.75" customHeight="1">
      <c r="B540" s="22"/>
      <c r="C540" s="22"/>
      <c r="I540" s="22"/>
    </row>
    <row r="541" spans="2:9" ht="15.75" customHeight="1">
      <c r="B541" s="22"/>
      <c r="C541" s="22"/>
      <c r="I541" s="22"/>
    </row>
    <row r="542" spans="2:9" ht="15.75" customHeight="1">
      <c r="B542" s="22"/>
      <c r="C542" s="22"/>
      <c r="I542" s="22"/>
    </row>
    <row r="543" spans="2:9" ht="15.75" customHeight="1">
      <c r="B543" s="22"/>
      <c r="C543" s="22"/>
      <c r="I543" s="22"/>
    </row>
    <row r="544" spans="2:9" ht="15.75" customHeight="1">
      <c r="B544" s="22"/>
      <c r="C544" s="22"/>
      <c r="I544" s="22"/>
    </row>
    <row r="545" spans="2:9" ht="15.75" customHeight="1">
      <c r="B545" s="22"/>
      <c r="C545" s="22"/>
      <c r="I545" s="22"/>
    </row>
    <row r="546" spans="2:9" ht="15.75" customHeight="1">
      <c r="B546" s="22"/>
      <c r="C546" s="22"/>
      <c r="I546" s="22"/>
    </row>
    <row r="547" spans="2:9" ht="15.75" customHeight="1">
      <c r="B547" s="22"/>
      <c r="C547" s="22"/>
      <c r="I547" s="22"/>
    </row>
    <row r="548" spans="2:9" ht="15.75" customHeight="1">
      <c r="B548" s="22"/>
      <c r="C548" s="22"/>
      <c r="I548" s="22"/>
    </row>
    <row r="549" spans="2:9" ht="15.75" customHeight="1">
      <c r="B549" s="22"/>
      <c r="C549" s="22"/>
      <c r="I549" s="22"/>
    </row>
    <row r="550" spans="2:9" ht="15.75" customHeight="1">
      <c r="B550" s="22"/>
      <c r="C550" s="22"/>
      <c r="I550" s="22"/>
    </row>
    <row r="551" spans="2:9" ht="15.75" customHeight="1">
      <c r="B551" s="22"/>
      <c r="C551" s="22"/>
      <c r="I551" s="22"/>
    </row>
    <row r="552" spans="2:9" ht="15.75" customHeight="1">
      <c r="B552" s="22"/>
      <c r="C552" s="22"/>
      <c r="I552" s="22"/>
    </row>
    <row r="553" spans="2:9" ht="15.75" customHeight="1">
      <c r="B553" s="22"/>
      <c r="C553" s="22"/>
      <c r="I553" s="22"/>
    </row>
    <row r="554" spans="2:9" ht="15.75" customHeight="1">
      <c r="B554" s="22"/>
      <c r="C554" s="22"/>
      <c r="I554" s="22"/>
    </row>
    <row r="555" spans="2:9" ht="15.75" customHeight="1">
      <c r="B555" s="22"/>
      <c r="C555" s="22"/>
      <c r="I555" s="22"/>
    </row>
    <row r="556" spans="2:9" ht="15.75" customHeight="1">
      <c r="B556" s="22"/>
      <c r="C556" s="22"/>
      <c r="I556" s="22"/>
    </row>
    <row r="557" spans="2:9" ht="15.75" customHeight="1">
      <c r="B557" s="22"/>
      <c r="C557" s="22"/>
      <c r="I557" s="22"/>
    </row>
    <row r="558" spans="2:9" ht="15.75" customHeight="1">
      <c r="B558" s="22"/>
      <c r="C558" s="22"/>
      <c r="I558" s="22"/>
    </row>
    <row r="559" spans="2:9" ht="15.75" customHeight="1">
      <c r="B559" s="22"/>
      <c r="C559" s="22"/>
      <c r="I559" s="22"/>
    </row>
    <row r="560" spans="2:9" ht="15.75" customHeight="1">
      <c r="B560" s="22"/>
      <c r="C560" s="22"/>
      <c r="I560" s="22"/>
    </row>
    <row r="561" spans="2:9" ht="15.75" customHeight="1">
      <c r="B561" s="22"/>
      <c r="C561" s="22"/>
      <c r="I561" s="22"/>
    </row>
    <row r="562" spans="2:9" ht="15.75" customHeight="1">
      <c r="B562" s="22"/>
      <c r="C562" s="22"/>
      <c r="I562" s="22"/>
    </row>
    <row r="563" spans="2:9" ht="15.75" customHeight="1">
      <c r="B563" s="22"/>
      <c r="C563" s="22"/>
      <c r="I563" s="22"/>
    </row>
    <row r="564" spans="2:9" ht="15.75" customHeight="1">
      <c r="B564" s="22"/>
      <c r="C564" s="22"/>
      <c r="I564" s="22"/>
    </row>
    <row r="565" spans="2:9" ht="15.75" customHeight="1">
      <c r="B565" s="22"/>
      <c r="C565" s="22"/>
      <c r="I565" s="22"/>
    </row>
    <row r="566" spans="2:9" ht="15.75" customHeight="1">
      <c r="B566" s="22"/>
      <c r="C566" s="22"/>
      <c r="I566" s="22"/>
    </row>
    <row r="567" spans="2:9" ht="15.75" customHeight="1">
      <c r="B567" s="22"/>
      <c r="C567" s="22"/>
      <c r="I567" s="22"/>
    </row>
    <row r="568" spans="2:9" ht="15.75" customHeight="1">
      <c r="B568" s="22"/>
      <c r="C568" s="22"/>
      <c r="I568" s="22"/>
    </row>
    <row r="569" spans="2:9" ht="15.75" customHeight="1">
      <c r="B569" s="22"/>
      <c r="C569" s="22"/>
      <c r="I569" s="22"/>
    </row>
    <row r="570" spans="2:9" ht="15.75" customHeight="1">
      <c r="B570" s="22"/>
      <c r="C570" s="22"/>
      <c r="I570" s="22"/>
    </row>
    <row r="571" spans="2:9" ht="15.75" customHeight="1">
      <c r="B571" s="22"/>
      <c r="C571" s="22"/>
      <c r="I571" s="22"/>
    </row>
    <row r="572" spans="2:9" ht="15.75" customHeight="1">
      <c r="B572" s="22"/>
      <c r="C572" s="22"/>
      <c r="I572" s="22"/>
    </row>
    <row r="573" spans="2:9" ht="15.75" customHeight="1">
      <c r="B573" s="22"/>
      <c r="C573" s="22"/>
      <c r="I573" s="22"/>
    </row>
    <row r="574" spans="2:9" ht="15.75" customHeight="1">
      <c r="B574" s="22"/>
      <c r="C574" s="22"/>
      <c r="I574" s="22"/>
    </row>
    <row r="575" spans="2:9" ht="15.75" customHeight="1">
      <c r="B575" s="22"/>
      <c r="C575" s="22"/>
      <c r="I575" s="22"/>
    </row>
    <row r="576" spans="2:9" ht="15.75" customHeight="1">
      <c r="B576" s="22"/>
      <c r="C576" s="22"/>
      <c r="I576" s="22"/>
    </row>
    <row r="577" spans="2:9" ht="15.75" customHeight="1">
      <c r="B577" s="22"/>
      <c r="C577" s="22"/>
      <c r="I577" s="22"/>
    </row>
    <row r="578" spans="2:9" ht="15.75" customHeight="1">
      <c r="B578" s="22"/>
      <c r="C578" s="22"/>
      <c r="I578" s="22"/>
    </row>
    <row r="579" spans="2:9" ht="15.75" customHeight="1">
      <c r="B579" s="22"/>
      <c r="C579" s="22"/>
      <c r="I579" s="22"/>
    </row>
    <row r="580" spans="2:9" ht="15.75" customHeight="1">
      <c r="B580" s="22"/>
      <c r="C580" s="22"/>
      <c r="I580" s="22"/>
    </row>
    <row r="581" spans="2:9" ht="15.75" customHeight="1">
      <c r="B581" s="22"/>
      <c r="C581" s="22"/>
      <c r="I581" s="22"/>
    </row>
    <row r="582" spans="2:9" ht="15.75" customHeight="1">
      <c r="B582" s="22"/>
      <c r="C582" s="22"/>
      <c r="I582" s="22"/>
    </row>
    <row r="583" spans="2:9" ht="15.75" customHeight="1">
      <c r="B583" s="22"/>
      <c r="C583" s="22"/>
      <c r="I583" s="22"/>
    </row>
    <row r="584" spans="2:9" ht="15.75" customHeight="1">
      <c r="B584" s="22"/>
      <c r="C584" s="22"/>
      <c r="I584" s="22"/>
    </row>
    <row r="585" spans="2:9" ht="15.75" customHeight="1">
      <c r="B585" s="22"/>
      <c r="C585" s="22"/>
      <c r="I585" s="22"/>
    </row>
    <row r="586" spans="2:9" ht="15.75" customHeight="1">
      <c r="B586" s="22"/>
      <c r="C586" s="22"/>
      <c r="I586" s="22"/>
    </row>
    <row r="587" spans="2:9" ht="15.75" customHeight="1">
      <c r="B587" s="22"/>
      <c r="C587" s="22"/>
      <c r="I587" s="22"/>
    </row>
    <row r="588" spans="2:9" ht="15.75" customHeight="1">
      <c r="B588" s="22"/>
      <c r="C588" s="22"/>
      <c r="I588" s="22"/>
    </row>
    <row r="589" spans="2:9" ht="15.75" customHeight="1">
      <c r="B589" s="22"/>
      <c r="C589" s="22"/>
      <c r="I589" s="22"/>
    </row>
    <row r="590" spans="2:9" ht="15.75" customHeight="1">
      <c r="B590" s="22"/>
      <c r="C590" s="22"/>
      <c r="I590" s="22"/>
    </row>
    <row r="591" spans="2:9" ht="15.75" customHeight="1">
      <c r="B591" s="22"/>
      <c r="C591" s="22"/>
      <c r="I591" s="22"/>
    </row>
    <row r="592" spans="2:9" ht="15.75" customHeight="1">
      <c r="B592" s="22"/>
      <c r="C592" s="22"/>
      <c r="I592" s="22"/>
    </row>
    <row r="593" spans="2:9" ht="15.75" customHeight="1">
      <c r="B593" s="22"/>
      <c r="C593" s="22"/>
      <c r="I593" s="22"/>
    </row>
    <row r="594" spans="2:9" ht="15.75" customHeight="1">
      <c r="B594" s="22"/>
      <c r="C594" s="22"/>
      <c r="I594" s="22"/>
    </row>
    <row r="595" spans="2:9" ht="15.75" customHeight="1">
      <c r="B595" s="22"/>
      <c r="C595" s="22"/>
      <c r="I595" s="22"/>
    </row>
    <row r="596" spans="2:9" ht="15.75" customHeight="1">
      <c r="B596" s="22"/>
      <c r="C596" s="22"/>
      <c r="I596" s="22"/>
    </row>
    <row r="597" spans="2:9" ht="15.75" customHeight="1">
      <c r="B597" s="22"/>
      <c r="C597" s="22"/>
      <c r="I597" s="22"/>
    </row>
    <row r="598" spans="2:9" ht="15.75" customHeight="1">
      <c r="B598" s="22"/>
      <c r="C598" s="22"/>
      <c r="I598" s="22"/>
    </row>
    <row r="599" spans="2:9" ht="15.75" customHeight="1">
      <c r="B599" s="22"/>
      <c r="C599" s="22"/>
      <c r="I599" s="22"/>
    </row>
    <row r="600" spans="2:9" ht="15.75" customHeight="1">
      <c r="B600" s="22"/>
      <c r="C600" s="22"/>
      <c r="I600" s="22"/>
    </row>
    <row r="601" spans="2:9" ht="15.75" customHeight="1">
      <c r="B601" s="22"/>
      <c r="C601" s="22"/>
      <c r="I601" s="22"/>
    </row>
    <row r="602" spans="2:9" ht="15.75" customHeight="1">
      <c r="B602" s="22"/>
      <c r="C602" s="22"/>
      <c r="I602" s="22"/>
    </row>
    <row r="603" spans="2:9" ht="15.75" customHeight="1">
      <c r="B603" s="22"/>
      <c r="C603" s="22"/>
      <c r="I603" s="22"/>
    </row>
    <row r="604" spans="2:9" ht="15.75" customHeight="1">
      <c r="B604" s="22"/>
      <c r="C604" s="22"/>
      <c r="I604" s="22"/>
    </row>
    <row r="605" spans="2:9" ht="15.75" customHeight="1">
      <c r="B605" s="22"/>
      <c r="C605" s="22"/>
      <c r="I605" s="22"/>
    </row>
    <row r="606" spans="2:9" ht="15.75" customHeight="1">
      <c r="B606" s="22"/>
      <c r="C606" s="22"/>
      <c r="I606" s="22"/>
    </row>
    <row r="607" spans="2:9" ht="15.75" customHeight="1">
      <c r="B607" s="22"/>
      <c r="C607" s="22"/>
      <c r="I607" s="22"/>
    </row>
    <row r="608" spans="2:9" ht="15.75" customHeight="1">
      <c r="B608" s="22"/>
      <c r="C608" s="22"/>
      <c r="I608" s="22"/>
    </row>
    <row r="609" spans="2:9" ht="15.75" customHeight="1">
      <c r="B609" s="22"/>
      <c r="C609" s="22"/>
      <c r="I609" s="22"/>
    </row>
    <row r="610" spans="2:9" ht="15.75" customHeight="1">
      <c r="B610" s="22"/>
      <c r="C610" s="22"/>
      <c r="I610" s="22"/>
    </row>
    <row r="611" spans="2:9" ht="15.75" customHeight="1">
      <c r="B611" s="22"/>
      <c r="C611" s="22"/>
      <c r="I611" s="22"/>
    </row>
    <row r="612" spans="2:9" ht="15.75" customHeight="1">
      <c r="B612" s="22"/>
      <c r="C612" s="22"/>
      <c r="I612" s="22"/>
    </row>
    <row r="613" spans="2:9" ht="15.75" customHeight="1">
      <c r="B613" s="22"/>
      <c r="C613" s="22"/>
      <c r="I613" s="22"/>
    </row>
    <row r="614" spans="2:9" ht="15.75" customHeight="1">
      <c r="B614" s="22"/>
      <c r="C614" s="22"/>
      <c r="I614" s="22"/>
    </row>
    <row r="615" spans="2:9" ht="15.75" customHeight="1">
      <c r="B615" s="22"/>
      <c r="C615" s="22"/>
      <c r="I615" s="22"/>
    </row>
    <row r="616" spans="2:9" ht="15.75" customHeight="1">
      <c r="B616" s="22"/>
      <c r="C616" s="22"/>
      <c r="I616" s="22"/>
    </row>
    <row r="617" spans="2:9" ht="15.75" customHeight="1">
      <c r="B617" s="22"/>
      <c r="C617" s="22"/>
      <c r="I617" s="22"/>
    </row>
    <row r="618" spans="2:9" ht="15.75" customHeight="1">
      <c r="B618" s="22"/>
      <c r="C618" s="22"/>
      <c r="I618" s="22"/>
    </row>
    <row r="619" spans="2:9" ht="15.75" customHeight="1">
      <c r="B619" s="22"/>
      <c r="C619" s="22"/>
      <c r="I619" s="22"/>
    </row>
    <row r="620" spans="2:9" ht="15.75" customHeight="1">
      <c r="B620" s="22"/>
      <c r="C620" s="22"/>
      <c r="I620" s="22"/>
    </row>
    <row r="621" spans="2:9" ht="15.75" customHeight="1">
      <c r="B621" s="22"/>
      <c r="C621" s="22"/>
      <c r="I621" s="22"/>
    </row>
    <row r="622" spans="2:9" ht="15.75" customHeight="1">
      <c r="B622" s="22"/>
      <c r="C622" s="22"/>
      <c r="I622" s="22"/>
    </row>
    <row r="623" spans="2:9" ht="15.75" customHeight="1">
      <c r="B623" s="22"/>
      <c r="C623" s="22"/>
      <c r="I623" s="22"/>
    </row>
    <row r="624" spans="2:9" ht="15.75" customHeight="1">
      <c r="B624" s="22"/>
      <c r="C624" s="22"/>
      <c r="I624" s="22"/>
    </row>
    <row r="625" spans="2:9" ht="15.75" customHeight="1">
      <c r="B625" s="22"/>
      <c r="C625" s="22"/>
      <c r="I625" s="22"/>
    </row>
    <row r="626" spans="2:9" ht="15.75" customHeight="1">
      <c r="B626" s="22"/>
      <c r="C626" s="22"/>
      <c r="I626" s="22"/>
    </row>
    <row r="627" spans="2:9" ht="15.75" customHeight="1">
      <c r="B627" s="22"/>
      <c r="C627" s="22"/>
      <c r="I627" s="22"/>
    </row>
    <row r="628" spans="2:9" ht="15.75" customHeight="1">
      <c r="B628" s="22"/>
      <c r="C628" s="22"/>
      <c r="I628" s="22"/>
    </row>
    <row r="629" spans="2:9" ht="15.75" customHeight="1">
      <c r="B629" s="22"/>
      <c r="C629" s="22"/>
      <c r="I629" s="22"/>
    </row>
    <row r="630" spans="2:9" ht="15.75" customHeight="1">
      <c r="B630" s="22"/>
      <c r="C630" s="22"/>
      <c r="I630" s="22"/>
    </row>
    <row r="631" spans="2:9" ht="15.75" customHeight="1">
      <c r="B631" s="22"/>
      <c r="C631" s="22"/>
      <c r="I631" s="22"/>
    </row>
    <row r="632" spans="2:9" ht="15.75" customHeight="1">
      <c r="B632" s="22"/>
      <c r="C632" s="22"/>
      <c r="I632" s="22"/>
    </row>
    <row r="633" spans="2:9" ht="15.75" customHeight="1">
      <c r="B633" s="22"/>
      <c r="C633" s="22"/>
      <c r="I633" s="22"/>
    </row>
    <row r="634" spans="2:9" ht="15.75" customHeight="1">
      <c r="B634" s="22"/>
      <c r="C634" s="22"/>
      <c r="I634" s="22"/>
    </row>
    <row r="635" spans="2:9" ht="15.75" customHeight="1">
      <c r="B635" s="22"/>
      <c r="C635" s="22"/>
      <c r="I635" s="22"/>
    </row>
    <row r="636" spans="2:9" ht="15.75" customHeight="1">
      <c r="B636" s="22"/>
      <c r="C636" s="22"/>
      <c r="I636" s="22"/>
    </row>
    <row r="637" spans="2:9" ht="15.75" customHeight="1">
      <c r="B637" s="22"/>
      <c r="C637" s="22"/>
      <c r="I637" s="22"/>
    </row>
    <row r="638" spans="2:9" ht="15.75" customHeight="1">
      <c r="B638" s="22"/>
      <c r="C638" s="22"/>
      <c r="I638" s="22"/>
    </row>
    <row r="639" spans="2:9" ht="15.75" customHeight="1">
      <c r="B639" s="22"/>
      <c r="C639" s="22"/>
      <c r="I639" s="22"/>
    </row>
    <row r="640" spans="2:9" ht="15.75" customHeight="1">
      <c r="B640" s="22"/>
      <c r="C640" s="22"/>
      <c r="I640" s="22"/>
    </row>
    <row r="641" spans="2:9" ht="15.75" customHeight="1">
      <c r="B641" s="22"/>
      <c r="C641" s="22"/>
      <c r="I641" s="22"/>
    </row>
    <row r="642" spans="2:9" ht="15.75" customHeight="1">
      <c r="B642" s="22"/>
      <c r="C642" s="22"/>
      <c r="I642" s="22"/>
    </row>
    <row r="643" spans="2:9" ht="15.75" customHeight="1">
      <c r="B643" s="22"/>
      <c r="C643" s="22"/>
      <c r="I643" s="22"/>
    </row>
    <row r="644" spans="2:9" ht="15.75" customHeight="1">
      <c r="B644" s="22"/>
      <c r="C644" s="22"/>
      <c r="I644" s="22"/>
    </row>
    <row r="645" spans="2:9" ht="15.75" customHeight="1">
      <c r="B645" s="22"/>
      <c r="C645" s="22"/>
      <c r="I645" s="22"/>
    </row>
    <row r="646" spans="2:9" ht="15.75" customHeight="1">
      <c r="B646" s="22"/>
      <c r="C646" s="22"/>
      <c r="I646" s="22"/>
    </row>
    <row r="647" spans="2:9" ht="15.75" customHeight="1">
      <c r="B647" s="22"/>
      <c r="C647" s="22"/>
      <c r="I647" s="22"/>
    </row>
    <row r="648" spans="2:9" ht="15.75" customHeight="1">
      <c r="B648" s="22"/>
      <c r="C648" s="22"/>
      <c r="I648" s="22"/>
    </row>
    <row r="649" spans="2:9" ht="15.75" customHeight="1">
      <c r="B649" s="22"/>
      <c r="C649" s="22"/>
      <c r="I649" s="22"/>
    </row>
    <row r="650" spans="2:9" ht="15.75" customHeight="1">
      <c r="B650" s="22"/>
      <c r="C650" s="22"/>
      <c r="I650" s="22"/>
    </row>
    <row r="651" spans="2:9" ht="15.75" customHeight="1">
      <c r="B651" s="22"/>
      <c r="C651" s="22"/>
      <c r="I651" s="22"/>
    </row>
    <row r="652" spans="2:9" ht="15.75" customHeight="1">
      <c r="B652" s="22"/>
      <c r="C652" s="22"/>
      <c r="I652" s="22"/>
    </row>
    <row r="653" spans="2:9" ht="15.75" customHeight="1">
      <c r="B653" s="22"/>
      <c r="C653" s="22"/>
      <c r="I653" s="22"/>
    </row>
    <row r="654" spans="2:9" ht="15.75" customHeight="1">
      <c r="B654" s="22"/>
      <c r="C654" s="22"/>
      <c r="I654" s="22"/>
    </row>
    <row r="655" spans="2:9" ht="15.75" customHeight="1">
      <c r="B655" s="22"/>
      <c r="C655" s="22"/>
      <c r="I655" s="22"/>
    </row>
    <row r="656" spans="2:9" ht="15.75" customHeight="1">
      <c r="B656" s="22"/>
      <c r="C656" s="22"/>
      <c r="I656" s="22"/>
    </row>
    <row r="657" spans="2:9" ht="15.75" customHeight="1">
      <c r="B657" s="22"/>
      <c r="C657" s="22"/>
      <c r="I657" s="22"/>
    </row>
    <row r="658" spans="2:9" ht="15.75" customHeight="1">
      <c r="B658" s="22"/>
      <c r="C658" s="22"/>
      <c r="I658" s="22"/>
    </row>
    <row r="659" spans="2:9" ht="15.75" customHeight="1">
      <c r="B659" s="22"/>
      <c r="C659" s="22"/>
      <c r="I659" s="22"/>
    </row>
    <row r="660" spans="2:9" ht="15.75" customHeight="1">
      <c r="B660" s="22"/>
      <c r="C660" s="22"/>
      <c r="I660" s="22"/>
    </row>
    <row r="661" spans="2:9" ht="15.75" customHeight="1">
      <c r="B661" s="22"/>
      <c r="C661" s="22"/>
      <c r="I661" s="22"/>
    </row>
    <row r="662" spans="2:9" ht="15.75" customHeight="1">
      <c r="B662" s="22"/>
      <c r="C662" s="22"/>
      <c r="I662" s="22"/>
    </row>
    <row r="663" spans="2:9" ht="15.75" customHeight="1">
      <c r="B663" s="22"/>
      <c r="C663" s="22"/>
      <c r="I663" s="22"/>
    </row>
    <row r="664" spans="2:9" ht="15.75" customHeight="1">
      <c r="B664" s="22"/>
      <c r="C664" s="22"/>
      <c r="I664" s="22"/>
    </row>
    <row r="665" spans="2:9" ht="15.75" customHeight="1">
      <c r="B665" s="22"/>
      <c r="C665" s="22"/>
      <c r="I665" s="22"/>
    </row>
    <row r="666" spans="2:9" ht="15.75" customHeight="1">
      <c r="B666" s="22"/>
      <c r="C666" s="22"/>
      <c r="I666" s="22"/>
    </row>
    <row r="667" spans="2:9" ht="15.75" customHeight="1">
      <c r="B667" s="22"/>
      <c r="C667" s="22"/>
      <c r="I667" s="22"/>
    </row>
    <row r="668" spans="2:9" ht="15.75" customHeight="1">
      <c r="B668" s="22"/>
      <c r="C668" s="22"/>
      <c r="I668" s="22"/>
    </row>
    <row r="669" spans="2:9" ht="15.75" customHeight="1">
      <c r="B669" s="22"/>
      <c r="C669" s="22"/>
      <c r="I669" s="22"/>
    </row>
    <row r="670" spans="2:9" ht="15.75" customHeight="1">
      <c r="B670" s="22"/>
      <c r="C670" s="22"/>
      <c r="I670" s="22"/>
    </row>
    <row r="671" spans="2:9" ht="15.75" customHeight="1">
      <c r="B671" s="22"/>
      <c r="C671" s="22"/>
      <c r="I671" s="22"/>
    </row>
    <row r="672" spans="2:9" ht="15.75" customHeight="1">
      <c r="B672" s="22"/>
      <c r="C672" s="22"/>
      <c r="I672" s="22"/>
    </row>
    <row r="673" spans="2:9" ht="15.75" customHeight="1">
      <c r="B673" s="22"/>
      <c r="C673" s="22"/>
      <c r="I673" s="22"/>
    </row>
    <row r="674" spans="2:9" ht="15.75" customHeight="1">
      <c r="B674" s="22"/>
      <c r="C674" s="22"/>
      <c r="I674" s="22"/>
    </row>
    <row r="675" spans="2:9" ht="15.75" customHeight="1">
      <c r="B675" s="22"/>
      <c r="C675" s="22"/>
      <c r="I675" s="22"/>
    </row>
    <row r="676" spans="2:9" ht="15.75" customHeight="1">
      <c r="B676" s="22"/>
      <c r="C676" s="22"/>
      <c r="I676" s="22"/>
    </row>
    <row r="677" spans="2:9" ht="15.75" customHeight="1">
      <c r="B677" s="22"/>
      <c r="C677" s="22"/>
      <c r="I677" s="22"/>
    </row>
    <row r="678" spans="2:9" ht="15.75" customHeight="1">
      <c r="B678" s="22"/>
      <c r="C678" s="22"/>
      <c r="I678" s="22"/>
    </row>
    <row r="679" spans="2:9" ht="15.75" customHeight="1">
      <c r="B679" s="22"/>
      <c r="C679" s="22"/>
      <c r="I679" s="22"/>
    </row>
    <row r="680" spans="2:9" ht="15.75" customHeight="1">
      <c r="B680" s="22"/>
      <c r="C680" s="22"/>
      <c r="I680" s="22"/>
    </row>
    <row r="681" spans="2:9" ht="15.75" customHeight="1">
      <c r="B681" s="22"/>
      <c r="C681" s="22"/>
      <c r="I681" s="22"/>
    </row>
    <row r="682" spans="2:9" ht="15.75" customHeight="1">
      <c r="B682" s="22"/>
      <c r="C682" s="22"/>
      <c r="I682" s="22"/>
    </row>
    <row r="683" spans="2:9" ht="15.75" customHeight="1">
      <c r="B683" s="22"/>
      <c r="C683" s="22"/>
      <c r="I683" s="22"/>
    </row>
    <row r="684" spans="2:9" ht="15.75" customHeight="1">
      <c r="B684" s="22"/>
      <c r="C684" s="22"/>
      <c r="I684" s="22"/>
    </row>
    <row r="685" spans="2:9" ht="15.75" customHeight="1">
      <c r="B685" s="22"/>
      <c r="C685" s="22"/>
      <c r="I685" s="22"/>
    </row>
    <row r="686" spans="2:9" ht="15.75" customHeight="1">
      <c r="B686" s="22"/>
      <c r="C686" s="22"/>
      <c r="I686" s="22"/>
    </row>
    <row r="687" spans="2:9" ht="15.75" customHeight="1">
      <c r="B687" s="22"/>
      <c r="C687" s="22"/>
      <c r="I687" s="22"/>
    </row>
    <row r="688" spans="2:9" ht="15.75" customHeight="1">
      <c r="B688" s="22"/>
      <c r="C688" s="22"/>
      <c r="I688" s="22"/>
    </row>
    <row r="689" spans="2:9" ht="15.75" customHeight="1">
      <c r="B689" s="22"/>
      <c r="C689" s="22"/>
      <c r="I689" s="22"/>
    </row>
    <row r="690" spans="2:9" ht="15.75" customHeight="1">
      <c r="B690" s="22"/>
      <c r="C690" s="22"/>
      <c r="I690" s="22"/>
    </row>
    <row r="691" spans="2:9" ht="15.75" customHeight="1">
      <c r="B691" s="22"/>
      <c r="C691" s="22"/>
      <c r="I691" s="22"/>
    </row>
    <row r="692" spans="2:9" ht="15.75" customHeight="1">
      <c r="B692" s="22"/>
      <c r="C692" s="22"/>
      <c r="I692" s="22"/>
    </row>
    <row r="693" spans="2:9" ht="15.75" customHeight="1">
      <c r="B693" s="22"/>
      <c r="C693" s="22"/>
      <c r="I693" s="22"/>
    </row>
    <row r="694" spans="2:9" ht="15.75" customHeight="1">
      <c r="B694" s="22"/>
      <c r="C694" s="22"/>
      <c r="I694" s="22"/>
    </row>
    <row r="695" spans="2:9" ht="15.75" customHeight="1">
      <c r="B695" s="22"/>
      <c r="C695" s="22"/>
      <c r="I695" s="22"/>
    </row>
    <row r="696" spans="2:9" ht="15.75" customHeight="1">
      <c r="B696" s="22"/>
      <c r="C696" s="22"/>
      <c r="I696" s="22"/>
    </row>
    <row r="697" spans="2:9" ht="15.75" customHeight="1">
      <c r="B697" s="22"/>
      <c r="C697" s="22"/>
      <c r="I697" s="22"/>
    </row>
    <row r="698" spans="2:9" ht="15.75" customHeight="1">
      <c r="B698" s="22"/>
      <c r="C698" s="22"/>
      <c r="I698" s="22"/>
    </row>
    <row r="699" spans="2:9" ht="15.75" customHeight="1">
      <c r="B699" s="22"/>
      <c r="C699" s="22"/>
      <c r="I699" s="22"/>
    </row>
    <row r="700" spans="2:9" ht="15.75" customHeight="1">
      <c r="B700" s="22"/>
      <c r="C700" s="22"/>
      <c r="I700" s="22"/>
    </row>
    <row r="701" spans="2:9" ht="15.75" customHeight="1">
      <c r="B701" s="22"/>
      <c r="C701" s="22"/>
      <c r="I701" s="22"/>
    </row>
    <row r="702" spans="2:9" ht="15.75" customHeight="1">
      <c r="B702" s="22"/>
      <c r="C702" s="22"/>
      <c r="I702" s="22"/>
    </row>
    <row r="703" spans="2:9" ht="15.75" customHeight="1">
      <c r="B703" s="22"/>
      <c r="C703" s="22"/>
      <c r="I703" s="22"/>
    </row>
    <row r="704" spans="2:9" ht="15.75" customHeight="1">
      <c r="B704" s="22"/>
      <c r="C704" s="22"/>
      <c r="I704" s="22"/>
    </row>
    <row r="705" spans="2:9" ht="15.75" customHeight="1">
      <c r="B705" s="22"/>
      <c r="C705" s="22"/>
      <c r="I705" s="22"/>
    </row>
    <row r="706" spans="2:9" ht="15.75" customHeight="1">
      <c r="B706" s="22"/>
      <c r="C706" s="22"/>
      <c r="I706" s="22"/>
    </row>
    <row r="707" spans="2:9" ht="15.75" customHeight="1">
      <c r="B707" s="22"/>
      <c r="C707" s="22"/>
      <c r="I707" s="22"/>
    </row>
    <row r="708" spans="2:9" ht="15.75" customHeight="1">
      <c r="B708" s="22"/>
      <c r="C708" s="22"/>
      <c r="I708" s="22"/>
    </row>
    <row r="709" spans="2:9" ht="15.75" customHeight="1">
      <c r="B709" s="22"/>
      <c r="C709" s="22"/>
      <c r="I709" s="22"/>
    </row>
    <row r="710" spans="2:9" ht="15.75" customHeight="1">
      <c r="B710" s="22"/>
      <c r="C710" s="22"/>
      <c r="I710" s="22"/>
    </row>
    <row r="711" spans="2:9" ht="15.75" customHeight="1">
      <c r="B711" s="22"/>
      <c r="C711" s="22"/>
      <c r="I711" s="22"/>
    </row>
    <row r="712" spans="2:9" ht="15.75" customHeight="1">
      <c r="B712" s="22"/>
      <c r="C712" s="22"/>
      <c r="I712" s="22"/>
    </row>
    <row r="713" spans="2:9" ht="15.75" customHeight="1">
      <c r="B713" s="22"/>
      <c r="C713" s="22"/>
      <c r="I713" s="22"/>
    </row>
    <row r="714" spans="2:9" ht="15.75" customHeight="1">
      <c r="B714" s="22"/>
      <c r="C714" s="22"/>
      <c r="I714" s="22"/>
    </row>
    <row r="715" spans="2:9" ht="15.75" customHeight="1">
      <c r="B715" s="22"/>
      <c r="C715" s="22"/>
      <c r="I715" s="22"/>
    </row>
    <row r="716" spans="2:9" ht="15.75" customHeight="1">
      <c r="B716" s="22"/>
      <c r="C716" s="22"/>
      <c r="I716" s="22"/>
    </row>
    <row r="717" spans="2:9" ht="15.75" customHeight="1">
      <c r="B717" s="22"/>
      <c r="C717" s="22"/>
      <c r="I717" s="22"/>
    </row>
    <row r="718" spans="2:9" ht="15.75" customHeight="1">
      <c r="B718" s="22"/>
      <c r="C718" s="22"/>
      <c r="I718" s="22"/>
    </row>
    <row r="719" spans="2:9" ht="15.75" customHeight="1">
      <c r="B719" s="22"/>
      <c r="C719" s="22"/>
      <c r="I719" s="22"/>
    </row>
    <row r="720" spans="2:9" ht="15.75" customHeight="1">
      <c r="B720" s="22"/>
      <c r="C720" s="22"/>
      <c r="I720" s="22"/>
    </row>
    <row r="721" spans="2:9" ht="15.75" customHeight="1">
      <c r="B721" s="22"/>
      <c r="C721" s="22"/>
      <c r="I721" s="22"/>
    </row>
    <row r="722" spans="2:9" ht="15.75" customHeight="1">
      <c r="B722" s="22"/>
      <c r="C722" s="22"/>
      <c r="I722" s="22"/>
    </row>
    <row r="723" spans="2:9" ht="15.75" customHeight="1">
      <c r="B723" s="22"/>
      <c r="C723" s="22"/>
      <c r="I723" s="22"/>
    </row>
    <row r="724" spans="2:9" ht="15.75" customHeight="1">
      <c r="B724" s="22"/>
      <c r="C724" s="22"/>
      <c r="I724" s="22"/>
    </row>
    <row r="725" spans="2:9" ht="15.75" customHeight="1">
      <c r="B725" s="22"/>
      <c r="C725" s="22"/>
      <c r="I725" s="22"/>
    </row>
    <row r="726" spans="2:9" ht="15.75" customHeight="1">
      <c r="B726" s="22"/>
      <c r="C726" s="22"/>
      <c r="I726" s="22"/>
    </row>
    <row r="727" spans="2:9" ht="15.75" customHeight="1">
      <c r="B727" s="22"/>
      <c r="C727" s="22"/>
      <c r="I727" s="22"/>
    </row>
    <row r="728" spans="2:9" ht="15.75" customHeight="1">
      <c r="B728" s="22"/>
      <c r="C728" s="22"/>
      <c r="I728" s="22"/>
    </row>
    <row r="729" spans="2:9" ht="15.75" customHeight="1">
      <c r="B729" s="22"/>
      <c r="C729" s="22"/>
      <c r="I729" s="22"/>
    </row>
    <row r="730" spans="2:9" ht="15.75" customHeight="1">
      <c r="B730" s="22"/>
      <c r="C730" s="22"/>
      <c r="I730" s="22"/>
    </row>
    <row r="731" spans="2:9" ht="15.75" customHeight="1">
      <c r="B731" s="22"/>
      <c r="C731" s="22"/>
      <c r="I731" s="22"/>
    </row>
    <row r="732" spans="2:9" ht="15.75" customHeight="1">
      <c r="B732" s="22"/>
      <c r="C732" s="22"/>
      <c r="I732" s="22"/>
    </row>
    <row r="733" spans="2:9" ht="15.75" customHeight="1">
      <c r="B733" s="22"/>
      <c r="C733" s="22"/>
      <c r="I733" s="22"/>
    </row>
    <row r="734" spans="2:9" ht="15.75" customHeight="1">
      <c r="B734" s="22"/>
      <c r="C734" s="22"/>
      <c r="I734" s="22"/>
    </row>
    <row r="735" spans="2:9" ht="15.75" customHeight="1">
      <c r="B735" s="22"/>
      <c r="C735" s="22"/>
      <c r="I735" s="22"/>
    </row>
    <row r="736" spans="2:9" ht="15.75" customHeight="1">
      <c r="B736" s="22"/>
      <c r="C736" s="22"/>
      <c r="I736" s="22"/>
    </row>
    <row r="737" spans="2:9" ht="15.75" customHeight="1">
      <c r="B737" s="22"/>
      <c r="C737" s="22"/>
      <c r="I737" s="22"/>
    </row>
    <row r="738" spans="2:9" ht="15.75" customHeight="1">
      <c r="B738" s="22"/>
      <c r="C738" s="22"/>
      <c r="I738" s="22"/>
    </row>
    <row r="739" spans="2:9" ht="15.75" customHeight="1">
      <c r="B739" s="22"/>
      <c r="C739" s="22"/>
      <c r="I739" s="22"/>
    </row>
    <row r="740" spans="2:9" ht="15.75" customHeight="1">
      <c r="B740" s="22"/>
      <c r="C740" s="22"/>
      <c r="I740" s="22"/>
    </row>
    <row r="741" spans="2:9" ht="15.75" customHeight="1">
      <c r="B741" s="22"/>
      <c r="C741" s="22"/>
      <c r="I741" s="22"/>
    </row>
    <row r="742" spans="2:9" ht="15.75" customHeight="1">
      <c r="B742" s="22"/>
      <c r="C742" s="22"/>
      <c r="I742" s="22"/>
    </row>
    <row r="743" spans="2:9" ht="15.75" customHeight="1">
      <c r="B743" s="22"/>
      <c r="C743" s="22"/>
      <c r="I743" s="22"/>
    </row>
    <row r="744" spans="2:9" ht="15.75" customHeight="1">
      <c r="B744" s="22"/>
      <c r="C744" s="22"/>
      <c r="I744" s="22"/>
    </row>
    <row r="745" spans="2:9" ht="15.75" customHeight="1">
      <c r="B745" s="22"/>
      <c r="C745" s="22"/>
      <c r="I745" s="22"/>
    </row>
    <row r="746" spans="2:9" ht="15.75" customHeight="1">
      <c r="B746" s="22"/>
      <c r="C746" s="22"/>
      <c r="I746" s="22"/>
    </row>
    <row r="747" spans="2:9" ht="15.75" customHeight="1">
      <c r="B747" s="22"/>
      <c r="C747" s="22"/>
      <c r="I747" s="22"/>
    </row>
    <row r="748" spans="2:9" ht="15.75" customHeight="1">
      <c r="B748" s="22"/>
      <c r="C748" s="22"/>
      <c r="I748" s="22"/>
    </row>
    <row r="749" spans="2:9" ht="15.75" customHeight="1">
      <c r="B749" s="22"/>
      <c r="C749" s="22"/>
      <c r="I749" s="22"/>
    </row>
    <row r="750" spans="2:9" ht="15.75" customHeight="1">
      <c r="B750" s="22"/>
      <c r="C750" s="22"/>
      <c r="I750" s="22"/>
    </row>
    <row r="751" spans="2:9" ht="15.75" customHeight="1">
      <c r="B751" s="22"/>
      <c r="C751" s="22"/>
      <c r="I751" s="22"/>
    </row>
    <row r="752" spans="2:9" ht="15.75" customHeight="1">
      <c r="B752" s="22"/>
      <c r="C752" s="22"/>
      <c r="I752" s="22"/>
    </row>
    <row r="753" spans="2:9" ht="15.75" customHeight="1">
      <c r="B753" s="22"/>
      <c r="C753" s="22"/>
      <c r="I753" s="22"/>
    </row>
    <row r="754" spans="2:9" ht="15.75" customHeight="1">
      <c r="B754" s="22"/>
      <c r="C754" s="22"/>
      <c r="I754" s="22"/>
    </row>
    <row r="755" spans="2:9" ht="15.75" customHeight="1">
      <c r="B755" s="22"/>
      <c r="C755" s="22"/>
      <c r="I755" s="22"/>
    </row>
    <row r="756" spans="2:9" ht="15.75" customHeight="1">
      <c r="B756" s="22"/>
      <c r="C756" s="22"/>
      <c r="I756" s="22"/>
    </row>
    <row r="757" spans="2:9" ht="15.75" customHeight="1">
      <c r="B757" s="22"/>
      <c r="C757" s="22"/>
      <c r="I757" s="22"/>
    </row>
    <row r="758" spans="2:9" ht="15.75" customHeight="1">
      <c r="B758" s="22"/>
      <c r="C758" s="22"/>
      <c r="I758" s="22"/>
    </row>
    <row r="759" spans="2:9" ht="15.75" customHeight="1">
      <c r="B759" s="22"/>
      <c r="C759" s="22"/>
      <c r="I759" s="22"/>
    </row>
    <row r="760" spans="2:9" ht="15.75" customHeight="1">
      <c r="B760" s="22"/>
      <c r="C760" s="22"/>
      <c r="I760" s="22"/>
    </row>
    <row r="761" spans="2:9" ht="15.75" customHeight="1">
      <c r="B761" s="22"/>
      <c r="C761" s="22"/>
      <c r="I761" s="22"/>
    </row>
    <row r="762" spans="2:9" ht="15.75" customHeight="1">
      <c r="B762" s="22"/>
      <c r="C762" s="22"/>
      <c r="I762" s="22"/>
    </row>
    <row r="763" spans="2:9" ht="15.75" customHeight="1">
      <c r="B763" s="22"/>
      <c r="C763" s="22"/>
      <c r="I763" s="22"/>
    </row>
    <row r="764" spans="2:9" ht="15.75" customHeight="1">
      <c r="B764" s="22"/>
      <c r="C764" s="22"/>
      <c r="I764" s="22"/>
    </row>
    <row r="765" spans="2:9" ht="15.75" customHeight="1">
      <c r="B765" s="22"/>
      <c r="C765" s="22"/>
      <c r="I765" s="22"/>
    </row>
    <row r="766" spans="2:9" ht="15.75" customHeight="1">
      <c r="B766" s="22"/>
      <c r="C766" s="22"/>
      <c r="I766" s="22"/>
    </row>
    <row r="767" spans="2:9" ht="15.75" customHeight="1">
      <c r="B767" s="22"/>
      <c r="C767" s="22"/>
      <c r="I767" s="22"/>
    </row>
    <row r="768" spans="2:9" ht="15.75" customHeight="1">
      <c r="B768" s="22"/>
      <c r="C768" s="22"/>
      <c r="I768" s="22"/>
    </row>
    <row r="769" spans="2:9" ht="15.75" customHeight="1">
      <c r="B769" s="22"/>
      <c r="C769" s="22"/>
      <c r="I769" s="22"/>
    </row>
    <row r="770" spans="2:9" ht="15.75" customHeight="1">
      <c r="B770" s="22"/>
      <c r="C770" s="22"/>
      <c r="I770" s="22"/>
    </row>
    <row r="771" spans="2:9" ht="15.75" customHeight="1">
      <c r="B771" s="22"/>
      <c r="C771" s="22"/>
      <c r="I771" s="22"/>
    </row>
    <row r="772" spans="2:9" ht="15.75" customHeight="1">
      <c r="B772" s="22"/>
      <c r="C772" s="22"/>
      <c r="I772" s="22"/>
    </row>
    <row r="773" spans="2:9" ht="15.75" customHeight="1">
      <c r="B773" s="22"/>
      <c r="C773" s="22"/>
      <c r="I773" s="22"/>
    </row>
    <row r="774" spans="2:9" ht="15.75" customHeight="1">
      <c r="B774" s="22"/>
      <c r="C774" s="22"/>
      <c r="I774" s="22"/>
    </row>
    <row r="775" spans="2:9" ht="15.75" customHeight="1">
      <c r="B775" s="22"/>
      <c r="C775" s="22"/>
      <c r="I775" s="22"/>
    </row>
    <row r="776" spans="2:9" ht="15.75" customHeight="1">
      <c r="B776" s="22"/>
      <c r="C776" s="22"/>
      <c r="I776" s="22"/>
    </row>
    <row r="777" spans="2:9" ht="15.75" customHeight="1">
      <c r="B777" s="22"/>
      <c r="C777" s="22"/>
      <c r="I777" s="22"/>
    </row>
    <row r="778" spans="2:9" ht="15.75" customHeight="1">
      <c r="B778" s="22"/>
      <c r="C778" s="22"/>
      <c r="I778" s="22"/>
    </row>
    <row r="779" spans="2:9" ht="15.75" customHeight="1">
      <c r="B779" s="22"/>
      <c r="C779" s="22"/>
      <c r="I779" s="22"/>
    </row>
    <row r="780" spans="2:9" ht="15.75" customHeight="1">
      <c r="B780" s="22"/>
      <c r="C780" s="22"/>
      <c r="I780" s="22"/>
    </row>
    <row r="781" spans="2:9" ht="15.75" customHeight="1">
      <c r="B781" s="22"/>
      <c r="C781" s="22"/>
      <c r="I781" s="22"/>
    </row>
    <row r="782" spans="2:9" ht="15.75" customHeight="1">
      <c r="B782" s="22"/>
      <c r="C782" s="22"/>
      <c r="I782" s="22"/>
    </row>
    <row r="783" spans="2:9" ht="15.75" customHeight="1">
      <c r="B783" s="22"/>
      <c r="C783" s="22"/>
      <c r="I783" s="22"/>
    </row>
    <row r="784" spans="2:9" ht="15.75" customHeight="1">
      <c r="B784" s="22"/>
      <c r="C784" s="22"/>
      <c r="I784" s="22"/>
    </row>
    <row r="785" spans="2:9" ht="15.75" customHeight="1">
      <c r="B785" s="22"/>
      <c r="C785" s="22"/>
      <c r="I785" s="22"/>
    </row>
    <row r="786" spans="2:9" ht="15.75" customHeight="1">
      <c r="B786" s="22"/>
      <c r="C786" s="22"/>
      <c r="I786" s="22"/>
    </row>
    <row r="787" spans="2:9" ht="15.75" customHeight="1">
      <c r="B787" s="22"/>
      <c r="C787" s="22"/>
      <c r="I787" s="22"/>
    </row>
    <row r="788" spans="2:9" ht="15.75" customHeight="1">
      <c r="B788" s="22"/>
      <c r="C788" s="22"/>
      <c r="I788" s="22"/>
    </row>
    <row r="789" spans="2:9" ht="15.75" customHeight="1">
      <c r="B789" s="22"/>
      <c r="C789" s="22"/>
      <c r="I789" s="22"/>
    </row>
    <row r="790" spans="2:9" ht="15.75" customHeight="1">
      <c r="B790" s="22"/>
      <c r="C790" s="22"/>
      <c r="I790" s="22"/>
    </row>
    <row r="791" spans="2:9" ht="15.75" customHeight="1">
      <c r="B791" s="22"/>
      <c r="C791" s="22"/>
      <c r="I791" s="22"/>
    </row>
    <row r="792" spans="2:9" ht="15.75" customHeight="1">
      <c r="B792" s="22"/>
      <c r="C792" s="22"/>
      <c r="I792" s="22"/>
    </row>
    <row r="793" spans="2:9" ht="15.75" customHeight="1">
      <c r="B793" s="22"/>
      <c r="C793" s="22"/>
      <c r="I793" s="22"/>
    </row>
    <row r="794" spans="2:9" ht="15.75" customHeight="1">
      <c r="B794" s="22"/>
      <c r="C794" s="22"/>
      <c r="I794" s="22"/>
    </row>
    <row r="795" spans="2:9" ht="15.75" customHeight="1">
      <c r="B795" s="22"/>
      <c r="C795" s="22"/>
      <c r="I795" s="22"/>
    </row>
    <row r="796" spans="2:9" ht="15.75" customHeight="1">
      <c r="B796" s="22"/>
      <c r="C796" s="22"/>
      <c r="I796" s="22"/>
    </row>
    <row r="797" spans="2:9" ht="15.75" customHeight="1">
      <c r="B797" s="22"/>
      <c r="C797" s="22"/>
      <c r="I797" s="22"/>
    </row>
    <row r="798" spans="2:9" ht="15.75" customHeight="1">
      <c r="B798" s="22"/>
      <c r="C798" s="22"/>
      <c r="I798" s="22"/>
    </row>
    <row r="799" spans="2:9" ht="15.75" customHeight="1">
      <c r="B799" s="22"/>
      <c r="C799" s="22"/>
      <c r="I799" s="22"/>
    </row>
    <row r="800" spans="2:9" ht="15.75" customHeight="1">
      <c r="B800" s="22"/>
      <c r="C800" s="22"/>
      <c r="I800" s="22"/>
    </row>
    <row r="801" spans="2:9" ht="15.75" customHeight="1">
      <c r="B801" s="22"/>
      <c r="C801" s="22"/>
      <c r="I801" s="22"/>
    </row>
    <row r="802" spans="2:9" ht="15.75" customHeight="1">
      <c r="B802" s="22"/>
      <c r="C802" s="22"/>
      <c r="I802" s="22"/>
    </row>
    <row r="803" spans="2:9" ht="15.75" customHeight="1">
      <c r="B803" s="22"/>
      <c r="C803" s="22"/>
      <c r="I803" s="22"/>
    </row>
    <row r="804" spans="2:9" ht="15.75" customHeight="1">
      <c r="B804" s="22"/>
      <c r="C804" s="22"/>
      <c r="I804" s="22"/>
    </row>
    <row r="805" spans="2:9" ht="15.75" customHeight="1">
      <c r="B805" s="22"/>
      <c r="C805" s="22"/>
      <c r="I805" s="22"/>
    </row>
    <row r="806" spans="2:9" ht="15.75" customHeight="1">
      <c r="B806" s="22"/>
      <c r="C806" s="22"/>
      <c r="I806" s="22"/>
    </row>
    <row r="807" spans="2:9" ht="15.75" customHeight="1">
      <c r="B807" s="22"/>
      <c r="C807" s="22"/>
      <c r="I807" s="22"/>
    </row>
    <row r="808" spans="2:9" ht="15.75" customHeight="1">
      <c r="B808" s="22"/>
      <c r="C808" s="22"/>
      <c r="I808" s="22"/>
    </row>
    <row r="809" spans="2:9" ht="15.75" customHeight="1">
      <c r="B809" s="22"/>
      <c r="C809" s="22"/>
      <c r="I809" s="22"/>
    </row>
    <row r="810" spans="2:9" ht="15.75" customHeight="1">
      <c r="B810" s="22"/>
      <c r="C810" s="22"/>
      <c r="I810" s="22"/>
    </row>
    <row r="811" spans="2:9" ht="15.75" customHeight="1">
      <c r="B811" s="22"/>
      <c r="C811" s="22"/>
      <c r="I811" s="22"/>
    </row>
    <row r="812" spans="2:9" ht="15.75" customHeight="1">
      <c r="B812" s="22"/>
      <c r="C812" s="22"/>
      <c r="I812" s="22"/>
    </row>
    <row r="813" spans="2:9" ht="15.75" customHeight="1">
      <c r="B813" s="22"/>
      <c r="C813" s="22"/>
      <c r="I813" s="22"/>
    </row>
    <row r="814" spans="2:9" ht="15.75" customHeight="1">
      <c r="B814" s="22"/>
      <c r="C814" s="22"/>
      <c r="I814" s="22"/>
    </row>
    <row r="815" spans="2:9" ht="15.75" customHeight="1">
      <c r="B815" s="22"/>
      <c r="C815" s="22"/>
      <c r="I815" s="22"/>
    </row>
    <row r="816" spans="2:9" ht="15.75" customHeight="1">
      <c r="B816" s="22"/>
      <c r="C816" s="22"/>
      <c r="I816" s="22"/>
    </row>
    <row r="817" spans="2:9" ht="15.75" customHeight="1">
      <c r="B817" s="22"/>
      <c r="C817" s="22"/>
      <c r="I817" s="22"/>
    </row>
    <row r="818" spans="2:9" ht="15.75" customHeight="1">
      <c r="B818" s="22"/>
      <c r="C818" s="22"/>
      <c r="I818" s="22"/>
    </row>
    <row r="819" spans="2:9" ht="15.75" customHeight="1">
      <c r="B819" s="22"/>
      <c r="C819" s="22"/>
      <c r="I819" s="22"/>
    </row>
    <row r="820" spans="2:9" ht="15.75" customHeight="1">
      <c r="B820" s="22"/>
      <c r="C820" s="22"/>
      <c r="I820" s="22"/>
    </row>
    <row r="821" spans="2:9" ht="15.75" customHeight="1">
      <c r="B821" s="22"/>
      <c r="C821" s="22"/>
      <c r="I821" s="22"/>
    </row>
    <row r="822" spans="2:9" ht="15.75" customHeight="1">
      <c r="B822" s="22"/>
      <c r="C822" s="22"/>
      <c r="I822" s="22"/>
    </row>
    <row r="823" spans="2:9" ht="15.75" customHeight="1">
      <c r="B823" s="22"/>
      <c r="C823" s="22"/>
      <c r="I823" s="22"/>
    </row>
    <row r="824" spans="2:9" ht="15.75" customHeight="1">
      <c r="B824" s="22"/>
      <c r="C824" s="22"/>
      <c r="I824" s="22"/>
    </row>
    <row r="825" spans="2:9" ht="15.75" customHeight="1">
      <c r="B825" s="22"/>
      <c r="C825" s="22"/>
      <c r="I825" s="22"/>
    </row>
    <row r="826" spans="2:9" ht="15.75" customHeight="1">
      <c r="B826" s="22"/>
      <c r="C826" s="22"/>
      <c r="I826" s="22"/>
    </row>
    <row r="827" spans="2:9" ht="15.75" customHeight="1">
      <c r="B827" s="22"/>
      <c r="C827" s="22"/>
      <c r="I827" s="22"/>
    </row>
    <row r="828" spans="2:9" ht="15.75" customHeight="1">
      <c r="B828" s="22"/>
      <c r="C828" s="22"/>
      <c r="I828" s="22"/>
    </row>
    <row r="829" spans="2:9" ht="15.75" customHeight="1">
      <c r="B829" s="22"/>
      <c r="C829" s="22"/>
      <c r="I829" s="22"/>
    </row>
    <row r="830" spans="2:9" ht="15.75" customHeight="1">
      <c r="B830" s="22"/>
      <c r="C830" s="22"/>
      <c r="I830" s="22"/>
    </row>
    <row r="831" spans="2:9" ht="15.75" customHeight="1">
      <c r="B831" s="22"/>
      <c r="C831" s="22"/>
      <c r="I831" s="22"/>
    </row>
    <row r="832" spans="2:9" ht="15.75" customHeight="1">
      <c r="B832" s="22"/>
      <c r="C832" s="22"/>
      <c r="I832" s="22"/>
    </row>
    <row r="833" spans="2:9" ht="15.75" customHeight="1">
      <c r="B833" s="22"/>
      <c r="C833" s="22"/>
      <c r="I833" s="22"/>
    </row>
    <row r="834" spans="2:9" ht="15.75" customHeight="1">
      <c r="B834" s="22"/>
      <c r="C834" s="22"/>
      <c r="I834" s="22"/>
    </row>
    <row r="835" spans="2:9" ht="15.75" customHeight="1">
      <c r="B835" s="22"/>
      <c r="C835" s="22"/>
      <c r="I835" s="22"/>
    </row>
    <row r="836" spans="2:9" ht="15.75" customHeight="1">
      <c r="B836" s="22"/>
      <c r="C836" s="22"/>
      <c r="I836" s="22"/>
    </row>
    <row r="837" spans="2:9" ht="15.75" customHeight="1">
      <c r="B837" s="22"/>
      <c r="C837" s="22"/>
      <c r="I837" s="22"/>
    </row>
    <row r="838" spans="2:9" ht="15.75" customHeight="1">
      <c r="B838" s="22"/>
      <c r="C838" s="22"/>
      <c r="I838" s="22"/>
    </row>
    <row r="839" spans="2:9" ht="15.75" customHeight="1">
      <c r="B839" s="22"/>
      <c r="C839" s="22"/>
      <c r="I839" s="22"/>
    </row>
    <row r="840" spans="2:9" ht="15.75" customHeight="1">
      <c r="B840" s="22"/>
      <c r="C840" s="22"/>
      <c r="I840" s="22"/>
    </row>
    <row r="841" spans="2:9" ht="15.75" customHeight="1">
      <c r="B841" s="22"/>
      <c r="C841" s="22"/>
      <c r="I841" s="22"/>
    </row>
    <row r="842" spans="2:9" ht="15.75" customHeight="1">
      <c r="B842" s="22"/>
      <c r="C842" s="22"/>
      <c r="I842" s="22"/>
    </row>
    <row r="843" spans="2:9" ht="15.75" customHeight="1">
      <c r="B843" s="22"/>
      <c r="C843" s="22"/>
      <c r="I843" s="22"/>
    </row>
    <row r="844" spans="2:9" ht="15.75" customHeight="1">
      <c r="B844" s="22"/>
      <c r="C844" s="22"/>
      <c r="I844" s="22"/>
    </row>
    <row r="845" spans="2:9" ht="15.75" customHeight="1">
      <c r="B845" s="22"/>
      <c r="C845" s="22"/>
      <c r="I845" s="22"/>
    </row>
    <row r="846" spans="2:9" ht="15.75" customHeight="1">
      <c r="B846" s="22"/>
      <c r="C846" s="22"/>
      <c r="I846" s="22"/>
    </row>
    <row r="847" spans="2:9" ht="15.75" customHeight="1">
      <c r="B847" s="22"/>
      <c r="C847" s="22"/>
      <c r="I847" s="22"/>
    </row>
    <row r="848" spans="2:9" ht="15.75" customHeight="1">
      <c r="B848" s="22"/>
      <c r="C848" s="22"/>
      <c r="I848" s="22"/>
    </row>
    <row r="849" spans="2:9" ht="15.75" customHeight="1">
      <c r="B849" s="22"/>
      <c r="C849" s="22"/>
      <c r="I849" s="22"/>
    </row>
    <row r="850" spans="2:9" ht="15.75" customHeight="1">
      <c r="B850" s="22"/>
      <c r="C850" s="22"/>
      <c r="I850" s="22"/>
    </row>
    <row r="851" spans="2:9" ht="15.75" customHeight="1">
      <c r="B851" s="22"/>
      <c r="C851" s="22"/>
      <c r="I851" s="22"/>
    </row>
    <row r="852" spans="2:9" ht="15.75" customHeight="1">
      <c r="B852" s="22"/>
      <c r="C852" s="22"/>
      <c r="I852" s="22"/>
    </row>
    <row r="853" spans="2:9" ht="15.75" customHeight="1">
      <c r="B853" s="22"/>
      <c r="C853" s="22"/>
      <c r="I853" s="22"/>
    </row>
    <row r="854" spans="2:9" ht="15.75" customHeight="1">
      <c r="B854" s="22"/>
      <c r="C854" s="22"/>
      <c r="I854" s="22"/>
    </row>
    <row r="855" spans="2:9" ht="15.75" customHeight="1">
      <c r="B855" s="22"/>
      <c r="C855" s="22"/>
      <c r="I855" s="22"/>
    </row>
    <row r="856" spans="2:9" ht="15.75" customHeight="1">
      <c r="B856" s="22"/>
      <c r="C856" s="22"/>
      <c r="I856" s="22"/>
    </row>
    <row r="857" spans="2:9" ht="15.75" customHeight="1">
      <c r="B857" s="22"/>
      <c r="C857" s="22"/>
      <c r="I857" s="22"/>
    </row>
    <row r="858" spans="2:9" ht="15.75" customHeight="1">
      <c r="B858" s="22"/>
      <c r="C858" s="22"/>
      <c r="I858" s="22"/>
    </row>
    <row r="859" spans="2:9" ht="15.75" customHeight="1">
      <c r="B859" s="22"/>
      <c r="C859" s="22"/>
      <c r="I859" s="22"/>
    </row>
    <row r="860" spans="2:9" ht="15.75" customHeight="1">
      <c r="B860" s="22"/>
      <c r="C860" s="22"/>
      <c r="I860" s="22"/>
    </row>
    <row r="861" spans="2:9" ht="15.75" customHeight="1">
      <c r="B861" s="22"/>
      <c r="C861" s="22"/>
      <c r="I861" s="22"/>
    </row>
    <row r="862" spans="2:9" ht="15.75" customHeight="1">
      <c r="B862" s="22"/>
      <c r="C862" s="22"/>
      <c r="I862" s="22"/>
    </row>
    <row r="863" spans="2:9" ht="15.75" customHeight="1">
      <c r="B863" s="22"/>
      <c r="C863" s="22"/>
      <c r="I863" s="22"/>
    </row>
    <row r="864" spans="2:9" ht="15.75" customHeight="1">
      <c r="B864" s="22"/>
      <c r="C864" s="22"/>
      <c r="I864" s="22"/>
    </row>
    <row r="865" spans="2:9" ht="15.75" customHeight="1">
      <c r="B865" s="22"/>
      <c r="C865" s="22"/>
      <c r="I865" s="22"/>
    </row>
    <row r="866" spans="2:9" ht="15.75" customHeight="1">
      <c r="B866" s="22"/>
      <c r="C866" s="22"/>
      <c r="I866" s="22"/>
    </row>
    <row r="867" spans="2:9" ht="15.75" customHeight="1">
      <c r="B867" s="22"/>
      <c r="C867" s="22"/>
      <c r="I867" s="22"/>
    </row>
    <row r="868" spans="2:9" ht="15.75" customHeight="1">
      <c r="B868" s="22"/>
      <c r="C868" s="22"/>
      <c r="I868" s="22"/>
    </row>
    <row r="869" spans="2:9" ht="15.75" customHeight="1">
      <c r="B869" s="22"/>
      <c r="C869" s="22"/>
      <c r="I869" s="22"/>
    </row>
    <row r="870" spans="2:9" ht="15.75" customHeight="1">
      <c r="B870" s="22"/>
      <c r="C870" s="22"/>
      <c r="I870" s="22"/>
    </row>
    <row r="871" spans="2:9" ht="15.75" customHeight="1">
      <c r="B871" s="22"/>
      <c r="C871" s="22"/>
      <c r="I871" s="22"/>
    </row>
    <row r="872" spans="2:9" ht="15.75" customHeight="1">
      <c r="B872" s="22"/>
      <c r="C872" s="22"/>
      <c r="I872" s="22"/>
    </row>
    <row r="873" spans="2:9" ht="15.75" customHeight="1">
      <c r="B873" s="22"/>
      <c r="C873" s="22"/>
      <c r="I873" s="22"/>
    </row>
    <row r="874" spans="2:9" ht="15.75" customHeight="1">
      <c r="B874" s="22"/>
      <c r="C874" s="22"/>
      <c r="I874" s="22"/>
    </row>
    <row r="875" spans="2:9" ht="15.75" customHeight="1">
      <c r="B875" s="22"/>
      <c r="C875" s="22"/>
      <c r="I875" s="22"/>
    </row>
    <row r="876" spans="2:9" ht="15.75" customHeight="1">
      <c r="B876" s="22"/>
      <c r="C876" s="22"/>
      <c r="I876" s="22"/>
    </row>
    <row r="877" spans="2:9" ht="15.75" customHeight="1">
      <c r="B877" s="22"/>
      <c r="C877" s="22"/>
      <c r="I877" s="22"/>
    </row>
    <row r="878" spans="2:9" ht="15.75" customHeight="1">
      <c r="B878" s="22"/>
      <c r="C878" s="22"/>
      <c r="I878" s="22"/>
    </row>
    <row r="879" spans="2:9" ht="15.75" customHeight="1">
      <c r="B879" s="22"/>
      <c r="C879" s="22"/>
      <c r="I879" s="22"/>
    </row>
    <row r="880" spans="2:9" ht="15.75" customHeight="1">
      <c r="B880" s="22"/>
      <c r="C880" s="22"/>
      <c r="I880" s="22"/>
    </row>
    <row r="881" spans="2:9" ht="15.75" customHeight="1">
      <c r="B881" s="22"/>
      <c r="C881" s="22"/>
      <c r="I881" s="22"/>
    </row>
    <row r="882" spans="2:9" ht="15.75" customHeight="1">
      <c r="B882" s="22"/>
      <c r="C882" s="22"/>
      <c r="I882" s="22"/>
    </row>
    <row r="883" spans="2:9" ht="15.75" customHeight="1">
      <c r="B883" s="22"/>
      <c r="C883" s="22"/>
      <c r="I883" s="22"/>
    </row>
    <row r="884" spans="2:9" ht="15.75" customHeight="1">
      <c r="B884" s="22"/>
      <c r="C884" s="22"/>
      <c r="I884" s="22"/>
    </row>
    <row r="885" spans="2:9" ht="15.75" customHeight="1">
      <c r="B885" s="22"/>
      <c r="C885" s="22"/>
      <c r="I885" s="22"/>
    </row>
    <row r="886" spans="2:9" ht="15.75" customHeight="1">
      <c r="B886" s="22"/>
      <c r="C886" s="22"/>
      <c r="I886" s="22"/>
    </row>
    <row r="887" spans="2:9" ht="15.75" customHeight="1">
      <c r="B887" s="22"/>
      <c r="C887" s="22"/>
      <c r="I887" s="22"/>
    </row>
    <row r="888" spans="2:9" ht="15.75" customHeight="1">
      <c r="B888" s="22"/>
      <c r="C888" s="22"/>
      <c r="I888" s="22"/>
    </row>
    <row r="889" spans="2:9" ht="15.75" customHeight="1">
      <c r="B889" s="22"/>
      <c r="C889" s="22"/>
      <c r="I889" s="22"/>
    </row>
    <row r="890" spans="2:9" ht="15.75" customHeight="1">
      <c r="B890" s="22"/>
      <c r="C890" s="22"/>
      <c r="I890" s="22"/>
    </row>
    <row r="891" spans="2:9" ht="15.75" customHeight="1">
      <c r="B891" s="22"/>
      <c r="C891" s="22"/>
      <c r="I891" s="22"/>
    </row>
    <row r="892" spans="2:9" ht="15.75" customHeight="1">
      <c r="B892" s="22"/>
      <c r="C892" s="22"/>
      <c r="I892" s="22"/>
    </row>
    <row r="893" spans="2:9" ht="15.75" customHeight="1">
      <c r="B893" s="22"/>
      <c r="C893" s="22"/>
      <c r="I893" s="22"/>
    </row>
    <row r="894" spans="2:9" ht="15.75" customHeight="1">
      <c r="B894" s="22"/>
      <c r="C894" s="22"/>
      <c r="I894" s="22"/>
    </row>
    <row r="895" spans="2:9" ht="15.75" customHeight="1">
      <c r="B895" s="22"/>
      <c r="C895" s="22"/>
      <c r="I895" s="22"/>
    </row>
    <row r="896" spans="2:9" ht="15.75" customHeight="1">
      <c r="B896" s="22"/>
      <c r="C896" s="22"/>
      <c r="I896" s="22"/>
    </row>
    <row r="897" spans="2:9" ht="15.75" customHeight="1">
      <c r="B897" s="22"/>
      <c r="C897" s="22"/>
      <c r="I897" s="22"/>
    </row>
    <row r="898" spans="2:9" ht="15.75" customHeight="1">
      <c r="B898" s="22"/>
      <c r="C898" s="22"/>
      <c r="I898" s="22"/>
    </row>
    <row r="899" spans="2:9" ht="15.75" customHeight="1">
      <c r="B899" s="22"/>
      <c r="C899" s="22"/>
      <c r="I899" s="22"/>
    </row>
    <row r="900" spans="2:9" ht="15.75" customHeight="1">
      <c r="B900" s="22"/>
      <c r="C900" s="22"/>
      <c r="I900" s="22"/>
    </row>
    <row r="901" spans="2:9" ht="15.75" customHeight="1">
      <c r="B901" s="22"/>
      <c r="C901" s="22"/>
      <c r="I901" s="22"/>
    </row>
    <row r="902" spans="2:9" ht="15.75" customHeight="1">
      <c r="B902" s="22"/>
      <c r="C902" s="22"/>
      <c r="I902" s="22"/>
    </row>
    <row r="903" spans="2:9" ht="15.75" customHeight="1">
      <c r="B903" s="22"/>
      <c r="C903" s="22"/>
      <c r="I903" s="22"/>
    </row>
    <row r="904" spans="2:9" ht="15.75" customHeight="1">
      <c r="B904" s="22"/>
      <c r="C904" s="22"/>
      <c r="I904" s="22"/>
    </row>
    <row r="905" spans="2:9" ht="15.75" customHeight="1">
      <c r="B905" s="22"/>
      <c r="C905" s="22"/>
      <c r="I905" s="22"/>
    </row>
    <row r="906" spans="2:9" ht="15.75" customHeight="1">
      <c r="B906" s="22"/>
      <c r="C906" s="22"/>
      <c r="I906" s="22"/>
    </row>
    <row r="907" spans="2:9" ht="15.75" customHeight="1">
      <c r="B907" s="22"/>
      <c r="C907" s="22"/>
      <c r="I907" s="22"/>
    </row>
    <row r="908" spans="2:9" ht="15.75" customHeight="1">
      <c r="B908" s="22"/>
      <c r="C908" s="22"/>
      <c r="I908" s="22"/>
    </row>
    <row r="909" spans="2:9" ht="15.75" customHeight="1">
      <c r="B909" s="22"/>
      <c r="C909" s="22"/>
      <c r="I909" s="22"/>
    </row>
    <row r="910" spans="2:9" ht="15.75" customHeight="1">
      <c r="B910" s="22"/>
      <c r="C910" s="22"/>
      <c r="I910" s="22"/>
    </row>
    <row r="911" spans="2:9" ht="15.75" customHeight="1">
      <c r="B911" s="22"/>
      <c r="C911" s="22"/>
      <c r="I911" s="22"/>
    </row>
    <row r="912" spans="2:9" ht="15.75" customHeight="1">
      <c r="B912" s="22"/>
      <c r="C912" s="22"/>
      <c r="I912" s="22"/>
    </row>
    <row r="913" spans="2:9" ht="15.75" customHeight="1">
      <c r="B913" s="22"/>
      <c r="C913" s="22"/>
      <c r="I913" s="22"/>
    </row>
    <row r="914" spans="2:9" ht="15.75" customHeight="1">
      <c r="B914" s="22"/>
      <c r="C914" s="22"/>
      <c r="I914" s="22"/>
    </row>
    <row r="915" spans="2:9" ht="15.75" customHeight="1">
      <c r="B915" s="22"/>
      <c r="C915" s="22"/>
      <c r="I915" s="22"/>
    </row>
    <row r="916" spans="2:9" ht="15.75" customHeight="1">
      <c r="B916" s="22"/>
      <c r="C916" s="22"/>
      <c r="I916" s="22"/>
    </row>
    <row r="917" spans="2:9" ht="15.75" customHeight="1">
      <c r="B917" s="22"/>
      <c r="C917" s="22"/>
      <c r="I917" s="22"/>
    </row>
    <row r="918" spans="2:9" ht="15.75" customHeight="1">
      <c r="B918" s="22"/>
      <c r="C918" s="22"/>
      <c r="I918" s="22"/>
    </row>
    <row r="919" spans="2:9" ht="15.75" customHeight="1">
      <c r="B919" s="22"/>
      <c r="C919" s="22"/>
      <c r="I919" s="22"/>
    </row>
    <row r="920" spans="2:9" ht="15.75" customHeight="1">
      <c r="B920" s="22"/>
      <c r="C920" s="22"/>
      <c r="I920" s="22"/>
    </row>
    <row r="921" spans="2:9" ht="15.75" customHeight="1">
      <c r="B921" s="22"/>
      <c r="C921" s="22"/>
      <c r="I921" s="22"/>
    </row>
    <row r="922" spans="2:9" ht="15.75" customHeight="1">
      <c r="B922" s="22"/>
      <c r="C922" s="22"/>
      <c r="I922" s="22"/>
    </row>
    <row r="923" spans="2:9" ht="15.75" customHeight="1">
      <c r="B923" s="22"/>
      <c r="C923" s="22"/>
      <c r="I923" s="22"/>
    </row>
    <row r="924" spans="2:9" ht="15.75" customHeight="1">
      <c r="B924" s="22"/>
      <c r="C924" s="22"/>
      <c r="I924" s="22"/>
    </row>
    <row r="925" spans="2:9" ht="15.75" customHeight="1">
      <c r="B925" s="22"/>
      <c r="C925" s="22"/>
      <c r="I925" s="22"/>
    </row>
    <row r="926" spans="2:9" ht="15.75" customHeight="1">
      <c r="B926" s="22"/>
      <c r="C926" s="22"/>
      <c r="I926" s="22"/>
    </row>
    <row r="927" spans="2:9" ht="15.75" customHeight="1">
      <c r="B927" s="22"/>
      <c r="C927" s="22"/>
      <c r="I927" s="22"/>
    </row>
    <row r="928" spans="2:9" ht="15.75" customHeight="1">
      <c r="B928" s="22"/>
      <c r="C928" s="22"/>
      <c r="I928" s="22"/>
    </row>
    <row r="929" spans="2:9" ht="15.75" customHeight="1">
      <c r="B929" s="22"/>
      <c r="C929" s="22"/>
      <c r="I929" s="22"/>
    </row>
    <row r="930" spans="2:9" ht="15.75" customHeight="1">
      <c r="B930" s="22"/>
      <c r="C930" s="22"/>
      <c r="I930" s="22"/>
    </row>
    <row r="931" spans="2:9" ht="15.75" customHeight="1">
      <c r="B931" s="22"/>
      <c r="C931" s="22"/>
      <c r="I931" s="22"/>
    </row>
    <row r="932" spans="2:9" ht="15.75" customHeight="1">
      <c r="B932" s="22"/>
      <c r="C932" s="22"/>
      <c r="I932" s="22"/>
    </row>
    <row r="933" spans="2:9" ht="15.75" customHeight="1">
      <c r="B933" s="22"/>
      <c r="C933" s="22"/>
      <c r="I933" s="22"/>
    </row>
    <row r="934" spans="2:9" ht="15.75" customHeight="1">
      <c r="B934" s="22"/>
      <c r="C934" s="22"/>
      <c r="I934" s="22"/>
    </row>
    <row r="935" spans="2:9" ht="15.75" customHeight="1">
      <c r="B935" s="22"/>
      <c r="C935" s="22"/>
      <c r="I935" s="22"/>
    </row>
    <row r="936" spans="2:9" ht="15.75" customHeight="1">
      <c r="B936" s="22"/>
      <c r="C936" s="22"/>
      <c r="I936" s="22"/>
    </row>
    <row r="937" spans="2:9" ht="15.75" customHeight="1">
      <c r="B937" s="22"/>
      <c r="C937" s="22"/>
      <c r="I937" s="22"/>
    </row>
    <row r="938" spans="2:9" ht="15.75" customHeight="1">
      <c r="B938" s="22"/>
      <c r="C938" s="22"/>
      <c r="I938" s="22"/>
    </row>
    <row r="939" spans="2:9" ht="13.2">
      <c r="B939" s="22"/>
      <c r="C939" s="22"/>
      <c r="I939" s="22"/>
    </row>
    <row r="940" spans="2:9" ht="13.2">
      <c r="B940" s="22"/>
      <c r="C940" s="22"/>
      <c r="I940" s="22"/>
    </row>
    <row r="941" spans="2:9" ht="13.2">
      <c r="B941" s="22"/>
      <c r="C941" s="22"/>
      <c r="I941" s="22"/>
    </row>
    <row r="942" spans="2:9" ht="13.2">
      <c r="B942" s="22"/>
      <c r="C942" s="22"/>
      <c r="I942" s="22"/>
    </row>
    <row r="943" spans="2:9" ht="13.2">
      <c r="B943" s="22"/>
      <c r="C943" s="22"/>
      <c r="I943" s="22"/>
    </row>
    <row r="944" spans="2:9" ht="13.2">
      <c r="B944" s="22"/>
      <c r="C944" s="22"/>
      <c r="I944" s="22"/>
    </row>
    <row r="945" spans="2:9" ht="13.2">
      <c r="B945" s="22"/>
      <c r="C945" s="22"/>
      <c r="I945" s="22"/>
    </row>
    <row r="946" spans="2:9" ht="13.2">
      <c r="B946" s="22"/>
      <c r="C946" s="22"/>
      <c r="I946" s="22"/>
    </row>
    <row r="947" spans="2:9" ht="13.2">
      <c r="B947" s="22"/>
      <c r="C947" s="22"/>
      <c r="I947" s="22"/>
    </row>
    <row r="948" spans="2:9" ht="13.2">
      <c r="B948" s="22"/>
      <c r="C948" s="22"/>
      <c r="I948" s="22"/>
    </row>
    <row r="949" spans="2:9" ht="13.2">
      <c r="B949" s="22"/>
      <c r="C949" s="22"/>
      <c r="I949" s="22"/>
    </row>
    <row r="950" spans="2:9" ht="13.2">
      <c r="B950" s="22"/>
      <c r="C950" s="22"/>
      <c r="I950" s="22"/>
    </row>
    <row r="951" spans="2:9" ht="13.2">
      <c r="B951" s="22"/>
      <c r="C951" s="22"/>
      <c r="I951" s="22"/>
    </row>
    <row r="952" spans="2:9" ht="13.2">
      <c r="B952" s="22"/>
      <c r="C952" s="22"/>
      <c r="I952" s="22"/>
    </row>
    <row r="953" spans="2:9" ht="13.2">
      <c r="B953" s="22"/>
      <c r="C953" s="22"/>
      <c r="I953" s="22"/>
    </row>
    <row r="954" spans="2:9" ht="13.2">
      <c r="B954" s="22"/>
      <c r="C954" s="22"/>
      <c r="I954" s="22"/>
    </row>
    <row r="955" spans="2:9" ht="13.2">
      <c r="B955" s="22"/>
      <c r="C955" s="22"/>
      <c r="I955" s="22"/>
    </row>
    <row r="956" spans="2:9" ht="13.2">
      <c r="B956" s="22"/>
      <c r="C956" s="22"/>
      <c r="I956" s="22"/>
    </row>
    <row r="957" spans="2:9" ht="13.2">
      <c r="B957" s="22"/>
      <c r="C957" s="22"/>
      <c r="I957" s="22"/>
    </row>
    <row r="958" spans="2:9" ht="13.2">
      <c r="B958" s="22"/>
      <c r="C958" s="22"/>
      <c r="I958" s="22"/>
    </row>
    <row r="959" spans="2:9" ht="13.2">
      <c r="B959" s="22"/>
      <c r="C959" s="22"/>
      <c r="I959" s="22"/>
    </row>
    <row r="960" spans="2:9" ht="13.2">
      <c r="B960" s="22"/>
      <c r="C960" s="22"/>
      <c r="I960" s="22"/>
    </row>
    <row r="961" spans="2:9" ht="13.2">
      <c r="B961" s="22"/>
      <c r="C961" s="22"/>
      <c r="I961" s="22"/>
    </row>
    <row r="962" spans="2:9" ht="13.2">
      <c r="B962" s="22"/>
      <c r="C962" s="22"/>
      <c r="I962" s="22"/>
    </row>
    <row r="963" spans="2:9" ht="13.2">
      <c r="B963" s="22"/>
      <c r="C963" s="22"/>
      <c r="I963" s="22"/>
    </row>
  </sheetData>
  <mergeCells count="4">
    <mergeCell ref="A1:Z1"/>
    <mergeCell ref="A2:Z2"/>
    <mergeCell ref="D3:E3"/>
    <mergeCell ref="F3:Y3"/>
  </mergeCells>
  <pageMargins left="0.25" right="0.25" top="0.75" bottom="0.75" header="0" footer="0"/>
  <pageSetup paperSize="9" scale="6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1015"/>
  <sheetViews>
    <sheetView topLeftCell="A9" workbookViewId="0">
      <selection activeCell="D22" sqref="D22"/>
    </sheetView>
  </sheetViews>
  <sheetFormatPr defaultColWidth="12.6640625" defaultRowHeight="15" customHeight="1"/>
  <cols>
    <col min="1" max="1" width="8.6640625" customWidth="1"/>
    <col min="2" max="2" width="13" customWidth="1"/>
    <col min="3" max="3" width="31.33203125" customWidth="1"/>
    <col min="4" max="73" width="8.6640625" customWidth="1"/>
  </cols>
  <sheetData>
    <row r="1" spans="1:73" ht="12.75" customHeight="1">
      <c r="A1" s="20"/>
      <c r="B1" s="21"/>
      <c r="C1" s="247"/>
      <c r="D1" s="235"/>
      <c r="E1" s="235"/>
      <c r="F1" s="235"/>
      <c r="G1" s="235"/>
      <c r="H1" s="235"/>
      <c r="I1" s="235"/>
      <c r="J1" s="22"/>
      <c r="K1" s="22"/>
      <c r="L1" s="20"/>
      <c r="M1" s="20"/>
      <c r="N1" s="20"/>
      <c r="O1" s="20"/>
      <c r="P1" s="20"/>
      <c r="Q1" s="21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41" t="s">
        <v>27</v>
      </c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42"/>
      <c r="BJ1" s="243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</row>
    <row r="2" spans="1:73" ht="12.75" customHeight="1">
      <c r="A2" s="20"/>
      <c r="B2" s="21"/>
      <c r="C2" s="23" t="s">
        <v>28</v>
      </c>
      <c r="D2" s="24" t="s">
        <v>29</v>
      </c>
      <c r="E2" s="25" t="s">
        <v>30</v>
      </c>
      <c r="F2" s="25" t="s">
        <v>31</v>
      </c>
      <c r="G2" s="26" t="s">
        <v>32</v>
      </c>
      <c r="H2" s="26" t="s">
        <v>33</v>
      </c>
      <c r="I2" s="26" t="s">
        <v>34</v>
      </c>
      <c r="J2" s="27" t="s">
        <v>35</v>
      </c>
      <c r="K2" s="27" t="s">
        <v>36</v>
      </c>
      <c r="L2" s="27" t="s">
        <v>37</v>
      </c>
      <c r="M2" s="26" t="s">
        <v>38</v>
      </c>
      <c r="N2" s="20"/>
      <c r="O2" s="20"/>
      <c r="P2" s="20"/>
      <c r="Q2" s="21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X2" s="28"/>
      <c r="AY2" s="29" t="s">
        <v>39</v>
      </c>
      <c r="AZ2" s="30" t="s">
        <v>40</v>
      </c>
      <c r="BA2" s="30" t="s">
        <v>41</v>
      </c>
      <c r="BB2" s="30" t="s">
        <v>42</v>
      </c>
      <c r="BC2" s="30" t="s">
        <v>43</v>
      </c>
      <c r="BD2" s="30" t="s">
        <v>44</v>
      </c>
      <c r="BE2" s="30" t="s">
        <v>45</v>
      </c>
      <c r="BF2" s="30" t="s">
        <v>46</v>
      </c>
      <c r="BG2" s="30" t="s">
        <v>47</v>
      </c>
      <c r="BH2" s="30" t="s">
        <v>48</v>
      </c>
      <c r="BI2" s="30" t="s">
        <v>49</v>
      </c>
      <c r="BJ2" s="27" t="s">
        <v>50</v>
      </c>
      <c r="BK2" s="20"/>
      <c r="BL2" s="20"/>
      <c r="BM2" s="20"/>
      <c r="BN2" s="20"/>
    </row>
    <row r="3" spans="1:73" ht="12.75" customHeight="1">
      <c r="A3" s="20"/>
      <c r="B3" s="21"/>
      <c r="C3" s="31" t="s">
        <v>51</v>
      </c>
      <c r="D3" s="32">
        <v>6</v>
      </c>
      <c r="E3" s="33">
        <v>3</v>
      </c>
      <c r="F3" s="34">
        <v>3</v>
      </c>
      <c r="G3" s="35">
        <v>3</v>
      </c>
      <c r="H3" s="35">
        <v>6</v>
      </c>
      <c r="I3" s="36">
        <v>3</v>
      </c>
      <c r="J3" s="37">
        <v>3</v>
      </c>
      <c r="K3" s="37">
        <v>3</v>
      </c>
      <c r="L3" s="37"/>
      <c r="M3" s="38"/>
      <c r="N3" s="20"/>
      <c r="O3" s="20"/>
      <c r="P3" s="20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X3" s="39" t="s">
        <v>29</v>
      </c>
      <c r="AY3" s="40">
        <v>0</v>
      </c>
      <c r="AZ3" s="41">
        <v>0</v>
      </c>
      <c r="BA3" s="41">
        <v>0</v>
      </c>
      <c r="BB3" s="41">
        <v>0</v>
      </c>
      <c r="BC3" s="41">
        <v>0</v>
      </c>
      <c r="BD3" s="41">
        <v>0</v>
      </c>
      <c r="BE3" s="41">
        <v>0</v>
      </c>
      <c r="BF3" s="41">
        <v>0</v>
      </c>
      <c r="BG3" s="41">
        <v>0</v>
      </c>
      <c r="BH3" s="41">
        <v>0</v>
      </c>
      <c r="BI3" s="41">
        <v>0</v>
      </c>
      <c r="BJ3" s="42">
        <v>1</v>
      </c>
      <c r="BK3" s="20"/>
      <c r="BL3" s="20"/>
      <c r="BM3" s="20"/>
      <c r="BN3" s="20"/>
    </row>
    <row r="4" spans="1:73" ht="12.75" customHeight="1">
      <c r="A4" s="20"/>
      <c r="B4" s="21"/>
      <c r="C4" s="43" t="s">
        <v>52</v>
      </c>
      <c r="D4" s="44"/>
      <c r="E4" s="45"/>
      <c r="F4" s="46"/>
      <c r="G4" s="37"/>
      <c r="H4" s="37"/>
      <c r="I4" s="47"/>
      <c r="J4" s="37"/>
      <c r="K4" s="37"/>
      <c r="L4" s="37">
        <v>5</v>
      </c>
      <c r="M4" s="48"/>
      <c r="N4" s="20"/>
      <c r="O4" s="20"/>
      <c r="P4" s="20"/>
      <c r="Q4" s="21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X4" s="49" t="s">
        <v>30</v>
      </c>
      <c r="AY4" s="50">
        <v>0</v>
      </c>
      <c r="AZ4" s="51">
        <v>0</v>
      </c>
      <c r="BA4" s="51">
        <v>0</v>
      </c>
      <c r="BB4" s="51">
        <v>0</v>
      </c>
      <c r="BC4" s="51">
        <v>0</v>
      </c>
      <c r="BD4" s="51">
        <v>0</v>
      </c>
      <c r="BE4" s="51">
        <v>0</v>
      </c>
      <c r="BF4" s="51">
        <v>0</v>
      </c>
      <c r="BG4" s="51">
        <v>0</v>
      </c>
      <c r="BH4" s="51">
        <v>0</v>
      </c>
      <c r="BI4" s="51">
        <v>1</v>
      </c>
      <c r="BJ4" s="52">
        <v>0</v>
      </c>
      <c r="BK4" s="20"/>
      <c r="BL4" s="20"/>
      <c r="BM4" s="20"/>
      <c r="BN4" s="20"/>
    </row>
    <row r="5" spans="1:73" ht="12.75" customHeight="1">
      <c r="A5" s="20"/>
      <c r="B5" s="21"/>
      <c r="C5" s="53" t="s">
        <v>53</v>
      </c>
      <c r="D5" s="54"/>
      <c r="E5" s="55"/>
      <c r="F5" s="56"/>
      <c r="G5" s="37"/>
      <c r="H5" s="37"/>
      <c r="I5" s="57"/>
      <c r="J5" s="37"/>
      <c r="K5" s="37"/>
      <c r="L5" s="37"/>
      <c r="M5" s="58">
        <v>10</v>
      </c>
      <c r="N5" s="20"/>
      <c r="O5" s="20"/>
      <c r="P5" s="20"/>
      <c r="Q5" s="21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X5" s="49" t="s">
        <v>31</v>
      </c>
      <c r="AY5" s="50">
        <v>0</v>
      </c>
      <c r="AZ5" s="51">
        <v>0</v>
      </c>
      <c r="BA5" s="51">
        <v>0</v>
      </c>
      <c r="BB5" s="51">
        <v>0</v>
      </c>
      <c r="BC5" s="51">
        <v>1</v>
      </c>
      <c r="BD5" s="51">
        <v>0</v>
      </c>
      <c r="BE5" s="51">
        <v>0</v>
      </c>
      <c r="BF5" s="51">
        <v>0</v>
      </c>
      <c r="BG5" s="51">
        <v>0</v>
      </c>
      <c r="BH5" s="51">
        <v>0</v>
      </c>
      <c r="BI5" s="51">
        <v>0</v>
      </c>
      <c r="BJ5" s="52">
        <v>0</v>
      </c>
      <c r="BK5" s="20"/>
      <c r="BL5" s="20"/>
      <c r="BM5" s="20"/>
      <c r="BN5" s="20"/>
    </row>
    <row r="6" spans="1:73" ht="12.75" customHeight="1">
      <c r="A6" s="20"/>
      <c r="B6" s="21"/>
      <c r="C6" s="53" t="s">
        <v>54</v>
      </c>
      <c r="D6" s="54"/>
      <c r="E6" s="55"/>
      <c r="F6" s="56"/>
      <c r="G6" s="59"/>
      <c r="H6" s="60">
        <v>20</v>
      </c>
      <c r="I6" s="61"/>
      <c r="J6" s="62"/>
      <c r="K6" s="62"/>
      <c r="L6" s="63"/>
      <c r="M6" s="64"/>
      <c r="N6" s="20"/>
      <c r="O6" s="20"/>
      <c r="P6" s="20"/>
      <c r="Q6" s="21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X6" s="49" t="s">
        <v>32</v>
      </c>
      <c r="AY6" s="50">
        <v>0</v>
      </c>
      <c r="AZ6" s="51">
        <v>0</v>
      </c>
      <c r="BA6" s="51">
        <v>1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2">
        <v>0</v>
      </c>
      <c r="BK6" s="20"/>
      <c r="BL6" s="20"/>
      <c r="BM6" s="20"/>
      <c r="BN6" s="20"/>
    </row>
    <row r="7" spans="1:73" ht="12.75" customHeight="1">
      <c r="A7" s="20"/>
      <c r="B7" s="21"/>
      <c r="C7" s="23" t="s">
        <v>23</v>
      </c>
      <c r="D7" s="65">
        <f t="shared" ref="D7:M7" si="0">SUM(D3:D6)</f>
        <v>6</v>
      </c>
      <c r="E7" s="66">
        <f t="shared" si="0"/>
        <v>3</v>
      </c>
      <c r="F7" s="66">
        <f t="shared" si="0"/>
        <v>3</v>
      </c>
      <c r="G7" s="67">
        <f t="shared" si="0"/>
        <v>3</v>
      </c>
      <c r="H7" s="67">
        <f t="shared" si="0"/>
        <v>26</v>
      </c>
      <c r="I7" s="67">
        <f t="shared" si="0"/>
        <v>3</v>
      </c>
      <c r="J7" s="68">
        <f t="shared" si="0"/>
        <v>3</v>
      </c>
      <c r="K7" s="68">
        <f t="shared" si="0"/>
        <v>3</v>
      </c>
      <c r="L7" s="68">
        <f t="shared" si="0"/>
        <v>5</v>
      </c>
      <c r="M7" s="67">
        <f t="shared" si="0"/>
        <v>10</v>
      </c>
      <c r="N7" s="20"/>
      <c r="O7" s="20"/>
      <c r="P7" s="20"/>
      <c r="Q7" s="21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X7" s="69" t="s">
        <v>33</v>
      </c>
      <c r="AY7" s="50">
        <v>0</v>
      </c>
      <c r="AZ7" s="51">
        <v>0</v>
      </c>
      <c r="BA7" s="51">
        <v>0</v>
      </c>
      <c r="BB7" s="51">
        <v>1</v>
      </c>
      <c r="BC7" s="51">
        <v>0</v>
      </c>
      <c r="BD7" s="51">
        <v>0</v>
      </c>
      <c r="BE7" s="51">
        <v>0</v>
      </c>
      <c r="BF7" s="51">
        <v>0</v>
      </c>
      <c r="BG7" s="51">
        <v>0</v>
      </c>
      <c r="BH7" s="51">
        <v>0</v>
      </c>
      <c r="BI7" s="51">
        <v>0</v>
      </c>
      <c r="BJ7" s="52">
        <v>0</v>
      </c>
      <c r="BK7" s="20"/>
      <c r="BL7" s="20"/>
      <c r="BM7" s="20"/>
      <c r="BN7" s="20"/>
    </row>
    <row r="8" spans="1:73" ht="12.75" customHeight="1">
      <c r="A8" s="20"/>
      <c r="B8" s="21"/>
      <c r="C8" s="21"/>
      <c r="D8" s="20"/>
      <c r="E8" s="20"/>
      <c r="F8" s="20"/>
      <c r="G8" s="21"/>
      <c r="H8" s="21"/>
      <c r="I8" s="21"/>
      <c r="J8" s="21"/>
      <c r="K8" s="21"/>
      <c r="L8" s="20"/>
      <c r="M8" s="20"/>
      <c r="N8" s="20"/>
      <c r="O8" s="20"/>
      <c r="P8" s="20"/>
      <c r="Q8" s="21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X8" s="69" t="s">
        <v>34</v>
      </c>
      <c r="AY8" s="70">
        <v>0</v>
      </c>
      <c r="AZ8" s="71">
        <v>0</v>
      </c>
      <c r="BA8" s="71">
        <v>0</v>
      </c>
      <c r="BB8" s="71">
        <v>0</v>
      </c>
      <c r="BC8" s="71">
        <v>0</v>
      </c>
      <c r="BD8" s="71">
        <v>1</v>
      </c>
      <c r="BE8" s="71">
        <v>0</v>
      </c>
      <c r="BF8" s="71">
        <v>0</v>
      </c>
      <c r="BG8" s="71">
        <v>0</v>
      </c>
      <c r="BH8" s="71">
        <v>0</v>
      </c>
      <c r="BI8" s="71">
        <v>0</v>
      </c>
      <c r="BJ8" s="72">
        <v>0</v>
      </c>
      <c r="BK8" s="20"/>
      <c r="BL8" s="20"/>
      <c r="BM8" s="20"/>
      <c r="BN8" s="20"/>
    </row>
    <row r="9" spans="1:73" ht="12.75" customHeight="1">
      <c r="A9" s="20"/>
      <c r="B9" s="21"/>
      <c r="C9" s="21"/>
      <c r="D9" s="20"/>
      <c r="E9" s="20"/>
      <c r="F9" s="20"/>
      <c r="G9" s="21"/>
      <c r="H9" s="21"/>
      <c r="I9" s="21"/>
      <c r="J9" s="21"/>
      <c r="K9" s="21"/>
      <c r="L9" s="20"/>
      <c r="M9" s="20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X9" s="49" t="s">
        <v>35</v>
      </c>
      <c r="AY9" s="70">
        <v>0</v>
      </c>
      <c r="AZ9" s="71">
        <v>0</v>
      </c>
      <c r="BA9" s="71">
        <v>0</v>
      </c>
      <c r="BB9" s="71">
        <v>0</v>
      </c>
      <c r="BC9" s="71">
        <v>0</v>
      </c>
      <c r="BD9" s="71">
        <v>0</v>
      </c>
      <c r="BE9" s="71">
        <v>1</v>
      </c>
      <c r="BF9" s="71">
        <v>0</v>
      </c>
      <c r="BG9" s="71">
        <v>0</v>
      </c>
      <c r="BH9" s="71">
        <v>0</v>
      </c>
      <c r="BI9" s="71">
        <v>0</v>
      </c>
      <c r="BJ9" s="72">
        <v>0</v>
      </c>
      <c r="BK9" s="20"/>
      <c r="BL9" s="20"/>
      <c r="BM9" s="20"/>
      <c r="BN9" s="20"/>
    </row>
    <row r="10" spans="1:73" ht="12.75" customHeight="1">
      <c r="A10" s="20"/>
      <c r="B10" s="21"/>
      <c r="C10" s="21"/>
      <c r="D10" s="20"/>
      <c r="E10" s="20"/>
      <c r="F10" s="20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1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X10" s="49" t="s">
        <v>36</v>
      </c>
      <c r="AY10" s="70">
        <v>0</v>
      </c>
      <c r="AZ10" s="71">
        <v>0</v>
      </c>
      <c r="BA10" s="71">
        <v>0</v>
      </c>
      <c r="BB10" s="71">
        <v>0</v>
      </c>
      <c r="BC10" s="71">
        <v>0</v>
      </c>
      <c r="BD10" s="71">
        <v>0</v>
      </c>
      <c r="BE10" s="71">
        <v>0</v>
      </c>
      <c r="BF10" s="71">
        <v>1</v>
      </c>
      <c r="BG10" s="71">
        <v>0</v>
      </c>
      <c r="BH10" s="71">
        <v>0</v>
      </c>
      <c r="BI10" s="71">
        <v>0</v>
      </c>
      <c r="BJ10" s="72">
        <v>0</v>
      </c>
      <c r="BK10" s="20"/>
      <c r="BL10" s="20"/>
      <c r="BM10" s="20"/>
      <c r="BN10" s="20"/>
    </row>
    <row r="11" spans="1:73" ht="12.75" customHeight="1">
      <c r="A11" s="20"/>
      <c r="B11" s="21"/>
      <c r="C11" s="21"/>
      <c r="D11" s="20"/>
      <c r="E11" s="20"/>
      <c r="F11" s="20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X11" s="49" t="s">
        <v>37</v>
      </c>
      <c r="AY11" s="70">
        <v>0</v>
      </c>
      <c r="AZ11" s="71">
        <v>0</v>
      </c>
      <c r="BA11" s="71">
        <v>0</v>
      </c>
      <c r="BB11" s="71">
        <v>0</v>
      </c>
      <c r="BC11" s="71">
        <v>0</v>
      </c>
      <c r="BD11" s="71">
        <v>0</v>
      </c>
      <c r="BE11" s="71">
        <v>0</v>
      </c>
      <c r="BF11" s="71">
        <v>0</v>
      </c>
      <c r="BG11" s="71">
        <v>1</v>
      </c>
      <c r="BH11" s="71">
        <v>0</v>
      </c>
      <c r="BI11" s="71">
        <v>0</v>
      </c>
      <c r="BJ11" s="72">
        <v>0</v>
      </c>
      <c r="BK11" s="20"/>
      <c r="BL11" s="20"/>
      <c r="BM11" s="20"/>
      <c r="BN11" s="20"/>
    </row>
    <row r="12" spans="1:73" ht="12.75" customHeight="1">
      <c r="A12" s="20"/>
      <c r="B12" s="21"/>
      <c r="C12" s="21"/>
      <c r="D12" s="20"/>
      <c r="E12" s="20"/>
      <c r="F12" s="20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1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X12" s="73" t="s">
        <v>38</v>
      </c>
      <c r="AY12" s="70">
        <v>0</v>
      </c>
      <c r="AZ12" s="71">
        <v>0</v>
      </c>
      <c r="BA12" s="71">
        <v>0</v>
      </c>
      <c r="BB12" s="71">
        <v>0</v>
      </c>
      <c r="BC12" s="71">
        <v>0</v>
      </c>
      <c r="BD12" s="71">
        <v>0</v>
      </c>
      <c r="BE12" s="71">
        <v>0</v>
      </c>
      <c r="BF12" s="71">
        <v>0</v>
      </c>
      <c r="BG12" s="71">
        <v>0</v>
      </c>
      <c r="BH12" s="71">
        <v>1</v>
      </c>
      <c r="BI12" s="71">
        <v>0</v>
      </c>
      <c r="BJ12" s="72">
        <v>0</v>
      </c>
      <c r="BK12" s="20"/>
      <c r="BL12" s="20"/>
      <c r="BM12" s="20"/>
      <c r="BN12" s="20"/>
    </row>
    <row r="13" spans="1:73" ht="12.75" customHeight="1">
      <c r="A13" s="20"/>
      <c r="B13" s="21"/>
      <c r="C13" s="21"/>
      <c r="D13" s="20"/>
      <c r="E13" s="20"/>
      <c r="F13" s="20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X13" s="74" t="s">
        <v>23</v>
      </c>
      <c r="AY13" s="24">
        <f t="shared" ref="AY13:BJ13" si="1">SUM(AY3:AY12)</f>
        <v>0</v>
      </c>
      <c r="AZ13" s="24">
        <f t="shared" si="1"/>
        <v>0</v>
      </c>
      <c r="BA13" s="24">
        <f t="shared" si="1"/>
        <v>1</v>
      </c>
      <c r="BB13" s="24">
        <f t="shared" si="1"/>
        <v>1</v>
      </c>
      <c r="BC13" s="24">
        <f t="shared" si="1"/>
        <v>1</v>
      </c>
      <c r="BD13" s="24">
        <f t="shared" si="1"/>
        <v>1</v>
      </c>
      <c r="BE13" s="24">
        <f t="shared" si="1"/>
        <v>1</v>
      </c>
      <c r="BF13" s="24">
        <f t="shared" si="1"/>
        <v>1</v>
      </c>
      <c r="BG13" s="24">
        <f t="shared" si="1"/>
        <v>1</v>
      </c>
      <c r="BH13" s="24">
        <f t="shared" si="1"/>
        <v>1</v>
      </c>
      <c r="BI13" s="24">
        <f t="shared" si="1"/>
        <v>1</v>
      </c>
      <c r="BJ13" s="24">
        <f t="shared" si="1"/>
        <v>1</v>
      </c>
      <c r="BK13" s="20"/>
      <c r="BL13" s="20"/>
      <c r="BM13" s="20"/>
      <c r="BN13" s="20"/>
    </row>
    <row r="14" spans="1:73" ht="12.75" customHeight="1">
      <c r="A14" s="20"/>
      <c r="B14" s="21"/>
      <c r="C14" s="21"/>
      <c r="D14" s="20"/>
      <c r="E14" s="20"/>
      <c r="F14" s="20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1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ht="12.75" customHeight="1">
      <c r="A15" s="248" t="s">
        <v>204</v>
      </c>
      <c r="B15" s="242"/>
      <c r="C15" s="243"/>
      <c r="D15" s="75"/>
      <c r="E15" s="75"/>
      <c r="F15" s="75"/>
      <c r="G15" s="76"/>
      <c r="H15" s="76"/>
      <c r="I15" s="76"/>
      <c r="J15" s="76"/>
      <c r="K15" s="76"/>
      <c r="L15" s="77"/>
      <c r="M15" s="77"/>
      <c r="N15" s="75"/>
      <c r="O15" s="75"/>
      <c r="P15" s="75"/>
      <c r="Q15" s="76"/>
      <c r="R15" s="75"/>
      <c r="S15" s="250" t="s">
        <v>55</v>
      </c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/>
      <c r="AU15" s="251"/>
      <c r="AV15" s="233"/>
      <c r="AX15" s="252" t="s">
        <v>56</v>
      </c>
      <c r="AY15" s="251"/>
      <c r="AZ15" s="251"/>
      <c r="BA15" s="251"/>
      <c r="BB15" s="251"/>
      <c r="BC15" s="251"/>
      <c r="BD15" s="251"/>
      <c r="BE15" s="251"/>
      <c r="BF15" s="251"/>
      <c r="BG15" s="251"/>
      <c r="BH15" s="251"/>
      <c r="BI15" s="251"/>
      <c r="BJ15" s="251"/>
      <c r="BK15" s="251"/>
      <c r="BL15" s="251"/>
      <c r="BM15" s="251"/>
      <c r="BN15" s="251"/>
      <c r="BO15" s="251"/>
      <c r="BP15" s="251"/>
      <c r="BQ15" s="251"/>
      <c r="BR15" s="251"/>
      <c r="BS15" s="251"/>
      <c r="BT15" s="251"/>
      <c r="BU15" s="233"/>
    </row>
    <row r="16" spans="1:73" ht="12.75" customHeight="1">
      <c r="A16" s="249"/>
      <c r="B16" s="235"/>
      <c r="C16" s="236"/>
      <c r="D16" s="253" t="str">
        <f>C3</f>
        <v>Report</v>
      </c>
      <c r="E16" s="251"/>
      <c r="F16" s="251"/>
      <c r="G16" s="251"/>
      <c r="H16" s="251"/>
      <c r="I16" s="251"/>
      <c r="J16" s="251"/>
      <c r="K16" s="251"/>
      <c r="L16" s="254" t="s">
        <v>52</v>
      </c>
      <c r="M16" s="233"/>
      <c r="N16" s="255" t="s">
        <v>57</v>
      </c>
      <c r="O16" s="240"/>
      <c r="P16" s="255" t="s">
        <v>54</v>
      </c>
      <c r="Q16" s="239"/>
      <c r="R16" s="240"/>
      <c r="S16" s="234" t="s">
        <v>58</v>
      </c>
      <c r="T16" s="235"/>
      <c r="U16" s="235"/>
      <c r="V16" s="235"/>
      <c r="W16" s="235"/>
      <c r="X16" s="236"/>
      <c r="Y16" s="78"/>
      <c r="Z16" s="78"/>
      <c r="AA16" s="78"/>
      <c r="AB16" s="78"/>
      <c r="AC16" s="237" t="s">
        <v>59</v>
      </c>
      <c r="AD16" s="235"/>
      <c r="AE16" s="235"/>
      <c r="AF16" s="235"/>
      <c r="AG16" s="235"/>
      <c r="AH16" s="235"/>
      <c r="AI16" s="235"/>
      <c r="AJ16" s="235"/>
      <c r="AK16" s="235"/>
      <c r="AL16" s="235"/>
      <c r="AM16" s="238" t="s">
        <v>60</v>
      </c>
      <c r="AN16" s="239"/>
      <c r="AO16" s="239"/>
      <c r="AP16" s="239"/>
      <c r="AQ16" s="239"/>
      <c r="AR16" s="239"/>
      <c r="AS16" s="239"/>
      <c r="AT16" s="239"/>
      <c r="AU16" s="239"/>
      <c r="AV16" s="240"/>
      <c r="AX16" s="241" t="s">
        <v>59</v>
      </c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3"/>
      <c r="BJ16" s="241" t="s">
        <v>61</v>
      </c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  <c r="BU16" s="243"/>
    </row>
    <row r="17" spans="1:73" ht="12.75" customHeight="1">
      <c r="A17" s="249"/>
      <c r="B17" s="235"/>
      <c r="C17" s="236"/>
      <c r="D17" s="79" t="s">
        <v>29</v>
      </c>
      <c r="E17" s="80" t="s">
        <v>30</v>
      </c>
      <c r="F17" s="80" t="s">
        <v>31</v>
      </c>
      <c r="G17" s="81" t="s">
        <v>32</v>
      </c>
      <c r="H17" s="81" t="s">
        <v>33</v>
      </c>
      <c r="I17" s="82" t="s">
        <v>34</v>
      </c>
      <c r="J17" s="82" t="s">
        <v>35</v>
      </c>
      <c r="K17" s="83" t="s">
        <v>36</v>
      </c>
      <c r="L17" s="84" t="s">
        <v>37</v>
      </c>
      <c r="M17" s="85" t="s">
        <v>38</v>
      </c>
      <c r="N17" s="86" t="s">
        <v>38</v>
      </c>
      <c r="O17" s="87" t="s">
        <v>62</v>
      </c>
      <c r="P17" s="86" t="s">
        <v>32</v>
      </c>
      <c r="Q17" s="86" t="s">
        <v>33</v>
      </c>
      <c r="R17" s="87" t="s">
        <v>34</v>
      </c>
      <c r="S17" s="24" t="s">
        <v>29</v>
      </c>
      <c r="T17" s="24" t="s">
        <v>30</v>
      </c>
      <c r="U17" s="24" t="s">
        <v>31</v>
      </c>
      <c r="V17" s="24" t="s">
        <v>32</v>
      </c>
      <c r="W17" s="24" t="s">
        <v>33</v>
      </c>
      <c r="X17" s="24" t="s">
        <v>34</v>
      </c>
      <c r="Y17" s="29" t="s">
        <v>35</v>
      </c>
      <c r="Z17" s="29" t="s">
        <v>36</v>
      </c>
      <c r="AA17" s="29" t="s">
        <v>37</v>
      </c>
      <c r="AB17" s="88" t="s">
        <v>38</v>
      </c>
      <c r="AC17" s="89" t="s">
        <v>29</v>
      </c>
      <c r="AD17" s="90" t="s">
        <v>30</v>
      </c>
      <c r="AE17" s="30" t="s">
        <v>31</v>
      </c>
      <c r="AF17" s="27" t="s">
        <v>32</v>
      </c>
      <c r="AG17" s="91" t="s">
        <v>33</v>
      </c>
      <c r="AH17" s="89" t="s">
        <v>34</v>
      </c>
      <c r="AI17" s="92" t="s">
        <v>35</v>
      </c>
      <c r="AJ17" s="89" t="s">
        <v>36</v>
      </c>
      <c r="AK17" s="89" t="s">
        <v>37</v>
      </c>
      <c r="AL17" s="88" t="s">
        <v>38</v>
      </c>
      <c r="AM17" s="29" t="s">
        <v>29</v>
      </c>
      <c r="AN17" s="30" t="s">
        <v>30</v>
      </c>
      <c r="AO17" s="30" t="s">
        <v>31</v>
      </c>
      <c r="AP17" s="91" t="s">
        <v>32</v>
      </c>
      <c r="AQ17" s="91" t="s">
        <v>33</v>
      </c>
      <c r="AR17" s="27" t="s">
        <v>34</v>
      </c>
      <c r="AS17" s="27" t="s">
        <v>35</v>
      </c>
      <c r="AT17" s="27" t="s">
        <v>36</v>
      </c>
      <c r="AU17" s="27" t="s">
        <v>37</v>
      </c>
      <c r="AV17" s="27" t="s">
        <v>38</v>
      </c>
      <c r="AX17" s="29" t="s">
        <v>39</v>
      </c>
      <c r="AY17" s="30" t="s">
        <v>40</v>
      </c>
      <c r="AZ17" s="30" t="s">
        <v>41</v>
      </c>
      <c r="BA17" s="30" t="s">
        <v>42</v>
      </c>
      <c r="BB17" s="30" t="s">
        <v>43</v>
      </c>
      <c r="BC17" s="30" t="s">
        <v>44</v>
      </c>
      <c r="BD17" s="30" t="s">
        <v>45</v>
      </c>
      <c r="BE17" s="30" t="s">
        <v>46</v>
      </c>
      <c r="BF17" s="30" t="s">
        <v>47</v>
      </c>
      <c r="BG17" s="30" t="s">
        <v>48</v>
      </c>
      <c r="BH17" s="30" t="s">
        <v>49</v>
      </c>
      <c r="BI17" s="27" t="s">
        <v>50</v>
      </c>
      <c r="BJ17" s="24" t="s">
        <v>39</v>
      </c>
      <c r="BK17" s="25" t="s">
        <v>40</v>
      </c>
      <c r="BL17" s="25" t="s">
        <v>41</v>
      </c>
      <c r="BM17" s="25" t="s">
        <v>42</v>
      </c>
      <c r="BN17" s="25" t="s">
        <v>43</v>
      </c>
      <c r="BO17" s="25" t="s">
        <v>44</v>
      </c>
      <c r="BP17" s="25" t="s">
        <v>45</v>
      </c>
      <c r="BQ17" s="25" t="s">
        <v>46</v>
      </c>
      <c r="BR17" s="25" t="s">
        <v>47</v>
      </c>
      <c r="BS17" s="25" t="s">
        <v>48</v>
      </c>
      <c r="BT17" s="25" t="s">
        <v>49</v>
      </c>
      <c r="BU17" s="26" t="s">
        <v>50</v>
      </c>
    </row>
    <row r="18" spans="1:73" ht="12.75" customHeight="1" thickBot="1">
      <c r="A18" s="93" t="s">
        <v>63</v>
      </c>
      <c r="B18" s="94" t="s">
        <v>3</v>
      </c>
      <c r="C18" s="95" t="s">
        <v>64</v>
      </c>
      <c r="D18" s="96">
        <f t="shared" ref="D18:K18" si="2">D3</f>
        <v>6</v>
      </c>
      <c r="E18" s="97">
        <f t="shared" si="2"/>
        <v>3</v>
      </c>
      <c r="F18" s="97">
        <f t="shared" si="2"/>
        <v>3</v>
      </c>
      <c r="G18" s="98">
        <f t="shared" si="2"/>
        <v>3</v>
      </c>
      <c r="H18" s="99">
        <f t="shared" si="2"/>
        <v>6</v>
      </c>
      <c r="I18" s="100">
        <f t="shared" si="2"/>
        <v>3</v>
      </c>
      <c r="J18" s="101">
        <f t="shared" si="2"/>
        <v>3</v>
      </c>
      <c r="K18" s="102">
        <f t="shared" si="2"/>
        <v>3</v>
      </c>
      <c r="L18" s="103">
        <f>L4</f>
        <v>5</v>
      </c>
      <c r="M18" s="104">
        <f>H4</f>
        <v>0</v>
      </c>
      <c r="N18" s="97">
        <f>M5</f>
        <v>10</v>
      </c>
      <c r="O18" s="105">
        <f>I5</f>
        <v>0</v>
      </c>
      <c r="P18" s="105">
        <f t="shared" ref="P18:R18" si="3">G6</f>
        <v>0</v>
      </c>
      <c r="Q18" s="105">
        <f t="shared" si="3"/>
        <v>20</v>
      </c>
      <c r="R18" s="105">
        <f t="shared" si="3"/>
        <v>0</v>
      </c>
      <c r="S18" s="103">
        <f t="shared" ref="S18:S83" si="4">D18</f>
        <v>6</v>
      </c>
      <c r="T18" s="97">
        <f t="shared" ref="T18:AB18" si="5">E7</f>
        <v>3</v>
      </c>
      <c r="U18" s="97">
        <f t="shared" si="5"/>
        <v>3</v>
      </c>
      <c r="V18" s="97">
        <f t="shared" si="5"/>
        <v>3</v>
      </c>
      <c r="W18" s="97">
        <f t="shared" si="5"/>
        <v>26</v>
      </c>
      <c r="X18" s="97">
        <f t="shared" si="5"/>
        <v>3</v>
      </c>
      <c r="Y18" s="96">
        <f t="shared" si="5"/>
        <v>3</v>
      </c>
      <c r="Z18" s="96">
        <f t="shared" si="5"/>
        <v>3</v>
      </c>
      <c r="AA18" s="96">
        <f t="shared" si="5"/>
        <v>5</v>
      </c>
      <c r="AB18" s="106">
        <f t="shared" si="5"/>
        <v>10</v>
      </c>
      <c r="AC18" s="107">
        <v>1</v>
      </c>
      <c r="AD18" s="108">
        <v>1</v>
      </c>
      <c r="AE18" s="109">
        <v>1</v>
      </c>
      <c r="AF18" s="110">
        <v>1</v>
      </c>
      <c r="AG18" s="111">
        <v>1</v>
      </c>
      <c r="AH18" s="107">
        <v>1</v>
      </c>
      <c r="AI18" s="107">
        <v>1</v>
      </c>
      <c r="AJ18" s="112">
        <v>1</v>
      </c>
      <c r="AK18" s="113">
        <v>1</v>
      </c>
      <c r="AL18" s="114">
        <v>1</v>
      </c>
      <c r="AM18" s="244" t="s">
        <v>65</v>
      </c>
      <c r="AN18" s="245"/>
      <c r="AO18" s="245"/>
      <c r="AP18" s="245"/>
      <c r="AQ18" s="245"/>
      <c r="AR18" s="245"/>
      <c r="AS18" s="245"/>
      <c r="AT18" s="245"/>
      <c r="AU18" s="245"/>
      <c r="AV18" s="246"/>
      <c r="AX18" s="115">
        <v>1</v>
      </c>
      <c r="AY18" s="116">
        <v>1</v>
      </c>
      <c r="AZ18" s="116">
        <v>1</v>
      </c>
      <c r="BA18" s="116">
        <v>1</v>
      </c>
      <c r="BB18" s="116">
        <v>1</v>
      </c>
      <c r="BC18" s="116">
        <v>1</v>
      </c>
      <c r="BD18" s="116">
        <v>1</v>
      </c>
      <c r="BE18" s="116">
        <v>1</v>
      </c>
      <c r="BF18" s="116">
        <v>1</v>
      </c>
      <c r="BG18" s="116">
        <v>1</v>
      </c>
      <c r="BH18" s="116">
        <v>1</v>
      </c>
      <c r="BI18" s="117">
        <v>1</v>
      </c>
      <c r="BJ18" s="244" t="s">
        <v>66</v>
      </c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6"/>
    </row>
    <row r="19" spans="1:73" ht="12.75" customHeight="1" thickBot="1">
      <c r="A19" s="118">
        <v>1</v>
      </c>
      <c r="B19" s="221">
        <v>201014036</v>
      </c>
      <c r="C19" s="221" t="s">
        <v>205</v>
      </c>
      <c r="D19" s="119">
        <f>CO_Report_Evaluation!AG4</f>
        <v>0</v>
      </c>
      <c r="E19" s="119">
        <f>CO_Report_Evaluation!AH4</f>
        <v>0</v>
      </c>
      <c r="F19" s="119">
        <f>CO_Report_Evaluation!AI4</f>
        <v>0</v>
      </c>
      <c r="G19" s="119">
        <f>CO_Report_Evaluation!AJ4</f>
        <v>0</v>
      </c>
      <c r="H19" s="119">
        <f>CO_Report_Evaluation!AK4</f>
        <v>0</v>
      </c>
      <c r="I19" s="119">
        <f>CO_Report_Evaluation!AL4</f>
        <v>0</v>
      </c>
      <c r="J19" s="119">
        <f>CO_Report_Evaluation!AM4</f>
        <v>0</v>
      </c>
      <c r="K19" s="119">
        <f>CO_Report_Evaluation!AN4</f>
        <v>0</v>
      </c>
      <c r="L19" s="119">
        <f>CSE4098C_Summer2026_Grade!G5</f>
        <v>0</v>
      </c>
      <c r="M19" s="119"/>
      <c r="N19" s="33">
        <f>((CSE4098C_Summer2026_Grade!E5)*10)/25</f>
        <v>1.6</v>
      </c>
      <c r="O19" s="120"/>
      <c r="P19" s="121"/>
      <c r="Q19" s="122">
        <v>16.11</v>
      </c>
      <c r="R19" s="121"/>
      <c r="S19" s="123">
        <f t="shared" si="4"/>
        <v>0</v>
      </c>
      <c r="T19" s="124">
        <f t="shared" ref="T19:U19" si="6">E19</f>
        <v>0</v>
      </c>
      <c r="U19" s="124">
        <f t="shared" si="6"/>
        <v>0</v>
      </c>
      <c r="V19" s="124">
        <f t="shared" ref="V19:X19" si="7">SUM(G19,P19)</f>
        <v>0</v>
      </c>
      <c r="W19" s="124">
        <f t="shared" si="7"/>
        <v>16.11</v>
      </c>
      <c r="X19" s="124">
        <f t="shared" si="7"/>
        <v>0</v>
      </c>
      <c r="Y19" s="125">
        <f t="shared" ref="Y19:AA19" si="8">J19</f>
        <v>0</v>
      </c>
      <c r="Z19" s="125">
        <f t="shared" si="8"/>
        <v>0</v>
      </c>
      <c r="AA19" s="125">
        <f t="shared" si="8"/>
        <v>0</v>
      </c>
      <c r="AB19" s="125">
        <f t="shared" ref="AB19:AB83" si="9">SUM(M19,N19)</f>
        <v>1.6</v>
      </c>
      <c r="AC19" s="126">
        <f t="shared" ref="AC19:AL19" si="10">IF(S19 = 0, 0, S19/S$18)</f>
        <v>0</v>
      </c>
      <c r="AD19" s="127">
        <f t="shared" si="10"/>
        <v>0</v>
      </c>
      <c r="AE19" s="128">
        <f t="shared" si="10"/>
        <v>0</v>
      </c>
      <c r="AF19" s="128">
        <f t="shared" si="10"/>
        <v>0</v>
      </c>
      <c r="AG19" s="128">
        <f t="shared" si="10"/>
        <v>0.61961538461538457</v>
      </c>
      <c r="AH19" s="128">
        <f t="shared" si="10"/>
        <v>0</v>
      </c>
      <c r="AI19" s="128">
        <f t="shared" si="10"/>
        <v>0</v>
      </c>
      <c r="AJ19" s="128">
        <f t="shared" si="10"/>
        <v>0</v>
      </c>
      <c r="AK19" s="128">
        <f t="shared" si="10"/>
        <v>0</v>
      </c>
      <c r="AL19" s="128">
        <f t="shared" si="10"/>
        <v>0.16</v>
      </c>
      <c r="AM19" s="129" t="e">
        <f>IF(OR(CSE4098C_Summer2026_Grade!$J5="W (Withdrawn)", CSE4098C_Summer2026_Grade!$J5="I (Incomplete)"), 0, IF(AC19&gt;=55%, 1, 0))</f>
        <v>#DIV/0!</v>
      </c>
      <c r="AN19" s="129" t="e">
        <f>IF(OR(CSE4098C_Summer2026_Grade!$J5="W (Withdrawn)", CSE4098C_Summer2026_Grade!$J5="I (Incomplete)"), 0, IF(AD19&gt;=55%, 1, 0))</f>
        <v>#DIV/0!</v>
      </c>
      <c r="AO19" s="129" t="e">
        <f>IF(OR(CSE4098C_Summer2026_Grade!$J5="W (Withdrawn)", CSE4098C_Summer2026_Grade!$J5="I (Incomplete)"), 0, IF(AE19&gt;=55%, 1, 0))</f>
        <v>#DIV/0!</v>
      </c>
      <c r="AP19" s="129" t="e">
        <f>IF(OR(CSE4098C_Summer2026_Grade!$J5="W (Withdrawn)", CSE4098C_Summer2026_Grade!$J5="I (Incomplete)"), 0, IF(AF19&gt;=55%, 1, 0))</f>
        <v>#DIV/0!</v>
      </c>
      <c r="AQ19" s="129" t="e">
        <f>IF(OR(CSE4098C_Summer2026_Grade!$J5="W (Withdrawn)", CSE4098C_Summer2026_Grade!$J5="I (Incomplete)"), 0, IF(AG19&gt;=55%, 1, 0))</f>
        <v>#DIV/0!</v>
      </c>
      <c r="AR19" s="129" t="e">
        <f>IF(OR(CSE4098C_Summer2026_Grade!$J5="W (Withdrawn)", CSE4098C_Summer2026_Grade!$J5="I (Incomplete)"), 0, IF(AH19&gt;=55%, 1, 0))</f>
        <v>#DIV/0!</v>
      </c>
      <c r="AS19" s="129" t="e">
        <f>IF(OR(CSE4098C_Summer2026_Grade!$J5="W (Withdrawn)", CSE4098C_Summer2026_Grade!$J5="I (Incomplete)"), 0, IF(AI19&gt;=55%, 1, 0))</f>
        <v>#DIV/0!</v>
      </c>
      <c r="AT19" s="129" t="e">
        <f>IF(OR(CSE4098C_Summer2026_Grade!$J5="W (Withdrawn)", CSE4098C_Summer2026_Grade!$J5="I (Incomplete)"), 0, IF(AJ19&gt;=55%, 1, 0))</f>
        <v>#DIV/0!</v>
      </c>
      <c r="AU19" s="129" t="e">
        <f>IF(OR(CSE4098C_Summer2026_Grade!$J5="W (Withdrawn)", CSE4098C_Summer2026_Grade!$J5="I (Incomplete)"), 0, IF(AK19&gt;=55%, 1, 0))</f>
        <v>#DIV/0!</v>
      </c>
      <c r="AV19" s="129" t="e">
        <f>IF(OR(CSE4098C_Summer2026_Grade!$J5="W (Withdrawn)", CSE4098C_Summer2026_Grade!$J5="I (Incomplete)"), 0, IF(AL19&gt;=55%, 1, 0))</f>
        <v>#DIV/0!</v>
      </c>
      <c r="AX19" s="130">
        <f t="array" ref="AX19">IF($AY$13=0,0,MMULT($AC19:$AL19, AY$3:AY$12)/$AY$13)</f>
        <v>0</v>
      </c>
      <c r="AY19" s="130">
        <f t="array" ref="AY19">IF($AZ$13=0,0,MMULT($AC19:$AL19, AZ$3:AZ$12)/$AZ$13)</f>
        <v>0</v>
      </c>
      <c r="AZ19" s="130">
        <f t="array" ref="AZ19">IF($BA$13=0,0,MMULT($AC19:$AL19, BA$3:BA$12)/$BA$13)</f>
        <v>0</v>
      </c>
      <c r="BA19" s="130">
        <f t="array" ref="BA19">IF($BB$13=0,0,MMULT($AC19:$AL19, BB$3:BB$12)/$BB$13)</f>
        <v>0.61961538461538457</v>
      </c>
      <c r="BB19" s="130">
        <f t="array" ref="BB19">IF($BC$13=0,0,MMULT($AC19:$AL19, BC$3:BC$12)/$BC$13)</f>
        <v>0</v>
      </c>
      <c r="BC19" s="130">
        <f t="array" ref="BC19">IF($BD$13=0,0,MMULT($AC19:$AL19, BD$3:BD$12)/$BD$13)</f>
        <v>0</v>
      </c>
      <c r="BD19" s="130">
        <f t="array" ref="BD19">IF($BE$13=0,0,MMULT($AC19:$AL19, BE$3:BE$12)/$BE$13)</f>
        <v>0</v>
      </c>
      <c r="BE19" s="130">
        <f t="array" ref="BE19">IF($BF$13=0,0,MMULT($AC19:$AL19, BF$3:BF$12)/$BF$13)</f>
        <v>0</v>
      </c>
      <c r="BF19" s="130">
        <f t="array" ref="BF19">IF($BG$13=0,0,MMULT($AC19:$AL19, BG$3:BG$12)/$BG$13)</f>
        <v>0</v>
      </c>
      <c r="BG19" s="130">
        <f t="array" ref="BG19">IF($BH$13=0,0,MMULT($AC19:$AL19, BH$3:BH$12)/$BH$13)</f>
        <v>0.16</v>
      </c>
      <c r="BH19" s="130">
        <f t="array" ref="BH19">IF($BI$13=0,0,MMULT($AC19:$AL19, BI$3:BI$12)/$BI$13)</f>
        <v>0</v>
      </c>
      <c r="BI19" s="130">
        <f t="array" ref="BI19">IF($BJ$13=0,0,MMULT($AC19:$AL19, BJ$3:BJ$12)/$BJ$13)</f>
        <v>0</v>
      </c>
      <c r="BJ19" s="129" t="e">
        <f>IF(OR(CSE4098C_Summer2026_Grade!$J5="W (Withdrawn)", CSE4098C_Summer2026_Grade!$J5="I (Incomplete)"), 0, IF(AX19&gt;=55%, 1, 0))</f>
        <v>#DIV/0!</v>
      </c>
      <c r="BK19" s="129" t="e">
        <f>IF(OR(CSE4098C_Summer2026_Grade!$J5="W (Withdrawn)", CSE4098C_Summer2026_Grade!$J5="I (Incomplete)"), 0, IF(AY19&gt;=55%, 1, 0))</f>
        <v>#DIV/0!</v>
      </c>
      <c r="BL19" s="129" t="e">
        <f>IF(OR(CSE4098C_Summer2026_Grade!$J5="W (Withdrawn)", CSE4098C_Summer2026_Grade!$J5="I (Incomplete)"), 0, IF(AZ19&gt;=55%, 1, 0))</f>
        <v>#DIV/0!</v>
      </c>
      <c r="BM19" s="129" t="e">
        <f>IF(OR(CSE4098C_Summer2026_Grade!$J5="W (Withdrawn)", CSE4098C_Summer2026_Grade!$J5="I (Incomplete)"), 0, IF(BA19&gt;=55%, 1, 0))</f>
        <v>#DIV/0!</v>
      </c>
      <c r="BN19" s="129" t="e">
        <f>IF(OR(CSE4098C_Summer2026_Grade!$J5="W (Withdrawn)", CSE4098C_Summer2026_Grade!$J5="I (Incomplete)"), 0, IF(BB19&gt;=55%, 1, 0))</f>
        <v>#DIV/0!</v>
      </c>
      <c r="BO19" s="129" t="e">
        <f>IF(OR(CSE4098C_Summer2026_Grade!$J5="W (Withdrawn)", CSE4098C_Summer2026_Grade!$J5="I (Incomplete)"), 0, IF(BC19&gt;=55%, 1, 0))</f>
        <v>#DIV/0!</v>
      </c>
      <c r="BP19" s="129" t="e">
        <f>IF(OR(CSE4098C_Summer2026_Grade!$J5="W (Withdrawn)", CSE4098C_Summer2026_Grade!$J5="I (Incomplete)"), 0, IF(BD19&gt;=55%, 1, 0))</f>
        <v>#DIV/0!</v>
      </c>
      <c r="BQ19" s="129" t="e">
        <f>IF(OR(CSE4098C_Summer2026_Grade!$J5="W (Withdrawn)", CSE4098C_Summer2026_Grade!$J5="I (Incomplete)"), 0, IF(BE19&gt;=55%, 1, 0))</f>
        <v>#DIV/0!</v>
      </c>
      <c r="BR19" s="129" t="e">
        <f>IF(OR(CSE4098C_Summer2026_Grade!$J5="W (Withdrawn)", CSE4098C_Summer2026_Grade!$J5="I (Incomplete)"), 0, IF(BF19&gt;=55%, 1, 0))</f>
        <v>#DIV/0!</v>
      </c>
      <c r="BS19" s="129" t="e">
        <f>IF(OR(CSE4098C_Summer2026_Grade!$J5="W (Withdrawn)", CSE4098C_Summer2026_Grade!$J5="I (Incomplete)"), 0, IF(BG19&gt;=55%, 1, 0))</f>
        <v>#DIV/0!</v>
      </c>
      <c r="BT19" s="129" t="e">
        <f>IF(OR(CSE4098C_Summer2026_Grade!$J5="W (Withdrawn)", CSE4098C_Summer2026_Grade!$J5="I (Incomplete)"), 0, IF(BH19&gt;=55%, 1, 0))</f>
        <v>#DIV/0!</v>
      </c>
      <c r="BU19" s="129" t="e">
        <f>IF(OR(CSE4098C_Summer2026_Grade!$J5="W (Withdrawn)", CSE4098C_Summer2026_Grade!$J5="I (Incomplete)"), 0, IF(BI19&gt;=55%, 1, 0))</f>
        <v>#DIV/0!</v>
      </c>
    </row>
    <row r="20" spans="1:73" ht="12.75" customHeight="1" thickBot="1">
      <c r="A20" s="118">
        <f t="shared" ref="A20:A83" si="11">A19+1</f>
        <v>2</v>
      </c>
      <c r="B20" s="222">
        <v>201014080</v>
      </c>
      <c r="C20" s="222" t="s">
        <v>206</v>
      </c>
      <c r="D20" s="119">
        <f>CO_Report_Evaluation!AG5</f>
        <v>0</v>
      </c>
      <c r="E20" s="119">
        <f>CO_Report_Evaluation!AH5</f>
        <v>0</v>
      </c>
      <c r="F20" s="119">
        <f>CO_Report_Evaluation!AI5</f>
        <v>0</v>
      </c>
      <c r="G20" s="119">
        <f>CO_Report_Evaluation!AJ5</f>
        <v>0</v>
      </c>
      <c r="H20" s="119">
        <f>CO_Report_Evaluation!AK5</f>
        <v>0</v>
      </c>
      <c r="I20" s="119">
        <f>CO_Report_Evaluation!AL5</f>
        <v>0</v>
      </c>
      <c r="J20" s="119">
        <f>CO_Report_Evaluation!AM5</f>
        <v>0</v>
      </c>
      <c r="K20" s="119">
        <f>CO_Report_Evaluation!AN5</f>
        <v>0</v>
      </c>
      <c r="L20" s="119">
        <f>CSE4098C_Summer2026_Grade!G6</f>
        <v>0</v>
      </c>
      <c r="M20" s="119"/>
      <c r="N20" s="33">
        <f>((CSE4098C_Summer2026_Grade!E6)*10)/25</f>
        <v>1.6</v>
      </c>
      <c r="O20" s="120"/>
      <c r="P20" s="121"/>
      <c r="Q20" s="122">
        <v>16.11</v>
      </c>
      <c r="R20" s="121"/>
      <c r="S20" s="123">
        <f t="shared" si="4"/>
        <v>0</v>
      </c>
      <c r="T20" s="124">
        <f t="shared" ref="T20:U20" si="12">E20</f>
        <v>0</v>
      </c>
      <c r="U20" s="124">
        <f t="shared" si="12"/>
        <v>0</v>
      </c>
      <c r="V20" s="124">
        <f t="shared" ref="V20:X20" si="13">SUM(G20,P20)</f>
        <v>0</v>
      </c>
      <c r="W20" s="124">
        <f t="shared" si="13"/>
        <v>16.11</v>
      </c>
      <c r="X20" s="124">
        <f t="shared" si="13"/>
        <v>0</v>
      </c>
      <c r="Y20" s="125">
        <f t="shared" ref="Y20:AA20" si="14">J20</f>
        <v>0</v>
      </c>
      <c r="Z20" s="125">
        <f t="shared" si="14"/>
        <v>0</v>
      </c>
      <c r="AA20" s="125">
        <f t="shared" si="14"/>
        <v>0</v>
      </c>
      <c r="AB20" s="125">
        <f t="shared" si="9"/>
        <v>1.6</v>
      </c>
      <c r="AC20" s="126">
        <f t="shared" ref="AC20:AL20" si="15">IF(S20 = 0, 0, S20/S$18)</f>
        <v>0</v>
      </c>
      <c r="AD20" s="127">
        <f t="shared" si="15"/>
        <v>0</v>
      </c>
      <c r="AE20" s="128">
        <f t="shared" si="15"/>
        <v>0</v>
      </c>
      <c r="AF20" s="128">
        <f t="shared" si="15"/>
        <v>0</v>
      </c>
      <c r="AG20" s="128">
        <f t="shared" si="15"/>
        <v>0.61961538461538457</v>
      </c>
      <c r="AH20" s="128">
        <f t="shared" si="15"/>
        <v>0</v>
      </c>
      <c r="AI20" s="128">
        <f t="shared" si="15"/>
        <v>0</v>
      </c>
      <c r="AJ20" s="128">
        <f t="shared" si="15"/>
        <v>0</v>
      </c>
      <c r="AK20" s="128">
        <f t="shared" si="15"/>
        <v>0</v>
      </c>
      <c r="AL20" s="128">
        <f t="shared" si="15"/>
        <v>0.16</v>
      </c>
      <c r="AM20" s="129" t="e">
        <f>IF(OR(CSE4098C_Summer2026_Grade!$J6="W (Withdrawn)", CSE4098C_Summer2026_Grade!$J6="I (Incomplete)"), 0, IF(AC20&gt;=55%, 1, 0))</f>
        <v>#DIV/0!</v>
      </c>
      <c r="AN20" s="129" t="e">
        <f>IF(OR(CSE4098C_Summer2026_Grade!$J6="W (Withdrawn)", CSE4098C_Summer2026_Grade!$J6="I (Incomplete)"), 0, IF(AD20&gt;=55%, 1, 0))</f>
        <v>#DIV/0!</v>
      </c>
      <c r="AO20" s="129" t="e">
        <f>IF(OR(CSE4098C_Summer2026_Grade!$J6="W (Withdrawn)", CSE4098C_Summer2026_Grade!$J6="I (Incomplete)"), 0, IF(AE20&gt;=55%, 1, 0))</f>
        <v>#DIV/0!</v>
      </c>
      <c r="AP20" s="129" t="e">
        <f>IF(OR(CSE4098C_Summer2026_Grade!$J6="W (Withdrawn)", CSE4098C_Summer2026_Grade!$J6="I (Incomplete)"), 0, IF(AF20&gt;=55%, 1, 0))</f>
        <v>#DIV/0!</v>
      </c>
      <c r="AQ20" s="129" t="e">
        <f>IF(OR(CSE4098C_Summer2026_Grade!$J6="W (Withdrawn)", CSE4098C_Summer2026_Grade!$J6="I (Incomplete)"), 0, IF(AG20&gt;=55%, 1, 0))</f>
        <v>#DIV/0!</v>
      </c>
      <c r="AR20" s="129" t="e">
        <f>IF(OR(CSE4098C_Summer2026_Grade!$J6="W (Withdrawn)", CSE4098C_Summer2026_Grade!$J6="I (Incomplete)"), 0, IF(AH20&gt;=55%, 1, 0))</f>
        <v>#DIV/0!</v>
      </c>
      <c r="AS20" s="129" t="e">
        <f>IF(OR(CSE4098C_Summer2026_Grade!$J6="W (Withdrawn)", CSE4098C_Summer2026_Grade!$J6="I (Incomplete)"), 0, IF(AI20&gt;=55%, 1, 0))</f>
        <v>#DIV/0!</v>
      </c>
      <c r="AT20" s="129" t="e">
        <f>IF(OR(CSE4098C_Summer2026_Grade!$J6="W (Withdrawn)", CSE4098C_Summer2026_Grade!$J6="I (Incomplete)"), 0, IF(AJ20&gt;=55%, 1, 0))</f>
        <v>#DIV/0!</v>
      </c>
      <c r="AU20" s="129" t="e">
        <f>IF(OR(CSE4098C_Summer2026_Grade!$J6="W (Withdrawn)", CSE4098C_Summer2026_Grade!$J6="I (Incomplete)"), 0, IF(AK20&gt;=55%, 1, 0))</f>
        <v>#DIV/0!</v>
      </c>
      <c r="AV20" s="129" t="e">
        <f>IF(OR(CSE4098C_Summer2026_Grade!$J6="W (Withdrawn)", CSE4098C_Summer2026_Grade!$J6="I (Incomplete)"), 0, IF(AL20&gt;=55%, 1, 0))</f>
        <v>#DIV/0!</v>
      </c>
      <c r="AX20" s="130">
        <f t="array" ref="AX20">IF($AY$13=0,0,MMULT($AC20:$AL20, AY$3:AY$12)/$AY$13)</f>
        <v>0</v>
      </c>
      <c r="AY20" s="130">
        <f t="array" ref="AY20">IF($AZ$13=0,0,MMULT($AC20:$AL20, AZ$3:AZ$12)/$AZ$13)</f>
        <v>0</v>
      </c>
      <c r="AZ20" s="130">
        <f t="array" ref="AZ20">IF($BA$13=0,0,MMULT($AC20:$AL20, BA$3:BA$12)/$BA$13)</f>
        <v>0</v>
      </c>
      <c r="BA20" s="130">
        <f t="array" ref="BA20">IF($BB$13=0,0,MMULT($AC20:$AL20, BB$3:BB$12)/$BB$13)</f>
        <v>0.61961538461538457</v>
      </c>
      <c r="BB20" s="130">
        <f t="array" ref="BB20">IF($BC$13=0,0,MMULT($AC20:$AL20, BC$3:BC$12)/$BC$13)</f>
        <v>0</v>
      </c>
      <c r="BC20" s="130">
        <f t="array" ref="BC20">IF($BD$13=0,0,MMULT($AC20:$AL20, BD$3:BD$12)/$BD$13)</f>
        <v>0</v>
      </c>
      <c r="BD20" s="130">
        <f t="array" ref="BD20">IF($BE$13=0,0,MMULT($AC20:$AL20, BE$3:BE$12)/$BE$13)</f>
        <v>0</v>
      </c>
      <c r="BE20" s="130">
        <f t="array" ref="BE20">IF($BF$13=0,0,MMULT($AC20:$AL20, BF$3:BF$12)/$BF$13)</f>
        <v>0</v>
      </c>
      <c r="BF20" s="130">
        <f t="array" ref="BF20">IF($BG$13=0,0,MMULT($AC20:$AL20, BG$3:BG$12)/$BG$13)</f>
        <v>0</v>
      </c>
      <c r="BG20" s="130">
        <f t="array" ref="BG20">IF($BH$13=0,0,MMULT($AC20:$AL20, BH$3:BH$12)/$BH$13)</f>
        <v>0.16</v>
      </c>
      <c r="BH20" s="130">
        <f t="array" ref="BH20">IF($BI$13=0,0,MMULT($AC20:$AL20, BI$3:BI$12)/$BI$13)</f>
        <v>0</v>
      </c>
      <c r="BI20" s="130">
        <f t="array" ref="BI20">IF($BJ$13=0,0,MMULT($AC20:$AL20, BJ$3:BJ$12)/$BJ$13)</f>
        <v>0</v>
      </c>
      <c r="BJ20" s="129" t="e">
        <f>IF(OR(CSE4098C_Summer2026_Grade!$J6="W (Withdrawn)", CSE4098C_Summer2026_Grade!$J6="I (Incomplete)"), 0, IF(AX20&gt;=55%, 1, 0))</f>
        <v>#DIV/0!</v>
      </c>
      <c r="BK20" s="129" t="e">
        <f>IF(OR(CSE4098C_Summer2026_Grade!$J6="W (Withdrawn)", CSE4098C_Summer2026_Grade!$J6="I (Incomplete)"), 0, IF(AY20&gt;=55%, 1, 0))</f>
        <v>#DIV/0!</v>
      </c>
      <c r="BL20" s="129" t="e">
        <f>IF(OR(CSE4098C_Summer2026_Grade!$J6="W (Withdrawn)", CSE4098C_Summer2026_Grade!$J6="I (Incomplete)"), 0, IF(AZ20&gt;=55%, 1, 0))</f>
        <v>#DIV/0!</v>
      </c>
      <c r="BM20" s="129" t="e">
        <f>IF(OR(CSE4098C_Summer2026_Grade!$J6="W (Withdrawn)", CSE4098C_Summer2026_Grade!$J6="I (Incomplete)"), 0, IF(BA20&gt;=55%, 1, 0))</f>
        <v>#DIV/0!</v>
      </c>
      <c r="BN20" s="129" t="e">
        <f>IF(OR(CSE4098C_Summer2026_Grade!$J6="W (Withdrawn)", CSE4098C_Summer2026_Grade!$J6="I (Incomplete)"), 0, IF(BB20&gt;=55%, 1, 0))</f>
        <v>#DIV/0!</v>
      </c>
      <c r="BO20" s="129" t="e">
        <f>IF(OR(CSE4098C_Summer2026_Grade!$J6="W (Withdrawn)", CSE4098C_Summer2026_Grade!$J6="I (Incomplete)"), 0, IF(BC20&gt;=55%, 1, 0))</f>
        <v>#DIV/0!</v>
      </c>
      <c r="BP20" s="129" t="e">
        <f>IF(OR(CSE4098C_Summer2026_Grade!$J6="W (Withdrawn)", CSE4098C_Summer2026_Grade!$J6="I (Incomplete)"), 0, IF(BD20&gt;=55%, 1, 0))</f>
        <v>#DIV/0!</v>
      </c>
      <c r="BQ20" s="129" t="e">
        <f>IF(OR(CSE4098C_Summer2026_Grade!$J6="W (Withdrawn)", CSE4098C_Summer2026_Grade!$J6="I (Incomplete)"), 0, IF(BE20&gt;=55%, 1, 0))</f>
        <v>#DIV/0!</v>
      </c>
      <c r="BR20" s="129" t="e">
        <f>IF(OR(CSE4098C_Summer2026_Grade!$J6="W (Withdrawn)", CSE4098C_Summer2026_Grade!$J6="I (Incomplete)"), 0, IF(BF20&gt;=55%, 1, 0))</f>
        <v>#DIV/0!</v>
      </c>
      <c r="BS20" s="129" t="e">
        <f>IF(OR(CSE4098C_Summer2026_Grade!$J6="W (Withdrawn)", CSE4098C_Summer2026_Grade!$J6="I (Incomplete)"), 0, IF(BG20&gt;=55%, 1, 0))</f>
        <v>#DIV/0!</v>
      </c>
      <c r="BT20" s="129" t="e">
        <f>IF(OR(CSE4098C_Summer2026_Grade!$J6="W (Withdrawn)", CSE4098C_Summer2026_Grade!$J6="I (Incomplete)"), 0, IF(BH20&gt;=55%, 1, 0))</f>
        <v>#DIV/0!</v>
      </c>
      <c r="BU20" s="129" t="e">
        <f>IF(OR(CSE4098C_Summer2026_Grade!$J6="W (Withdrawn)", CSE4098C_Summer2026_Grade!$J6="I (Incomplete)"), 0, IF(BI20&gt;=55%, 1, 0))</f>
        <v>#DIV/0!</v>
      </c>
    </row>
    <row r="21" spans="1:73" ht="12.75" customHeight="1" thickBot="1">
      <c r="A21" s="118">
        <f t="shared" si="11"/>
        <v>3</v>
      </c>
      <c r="B21" s="222">
        <v>201014035</v>
      </c>
      <c r="C21" s="222" t="s">
        <v>207</v>
      </c>
      <c r="D21" s="119">
        <f>CO_Report_Evaluation!AG6</f>
        <v>0</v>
      </c>
      <c r="E21" s="119">
        <f>CO_Report_Evaluation!AH6</f>
        <v>0</v>
      </c>
      <c r="F21" s="119">
        <f>CO_Report_Evaluation!AI6</f>
        <v>0</v>
      </c>
      <c r="G21" s="119">
        <f>CO_Report_Evaluation!AJ6</f>
        <v>0</v>
      </c>
      <c r="H21" s="119">
        <f>CO_Report_Evaluation!AK6</f>
        <v>0</v>
      </c>
      <c r="I21" s="119">
        <f>CO_Report_Evaluation!AL6</f>
        <v>0</v>
      </c>
      <c r="J21" s="119">
        <f>CO_Report_Evaluation!AM6</f>
        <v>0</v>
      </c>
      <c r="K21" s="119">
        <f>CO_Report_Evaluation!AN6</f>
        <v>0</v>
      </c>
      <c r="L21" s="119">
        <f>CSE4098C_Summer2026_Grade!G7</f>
        <v>0</v>
      </c>
      <c r="M21" s="119"/>
      <c r="N21" s="33">
        <f>((CSE4098C_Summer2026_Grade!E7)*10)/25</f>
        <v>1.4680000000000002</v>
      </c>
      <c r="O21" s="120"/>
      <c r="P21" s="121"/>
      <c r="Q21" s="122">
        <v>16.11</v>
      </c>
      <c r="R21" s="120"/>
      <c r="S21" s="123">
        <f t="shared" si="4"/>
        <v>0</v>
      </c>
      <c r="T21" s="124">
        <f t="shared" ref="T21:U21" si="16">E21</f>
        <v>0</v>
      </c>
      <c r="U21" s="124">
        <f t="shared" si="16"/>
        <v>0</v>
      </c>
      <c r="V21" s="124">
        <f t="shared" ref="V21:X21" si="17">SUM(G21,P21)</f>
        <v>0</v>
      </c>
      <c r="W21" s="124">
        <f t="shared" si="17"/>
        <v>16.11</v>
      </c>
      <c r="X21" s="124">
        <f t="shared" si="17"/>
        <v>0</v>
      </c>
      <c r="Y21" s="125">
        <f t="shared" ref="Y21:AA21" si="18">J21</f>
        <v>0</v>
      </c>
      <c r="Z21" s="125">
        <f t="shared" si="18"/>
        <v>0</v>
      </c>
      <c r="AA21" s="125">
        <f t="shared" si="18"/>
        <v>0</v>
      </c>
      <c r="AB21" s="125">
        <f t="shared" si="9"/>
        <v>1.4680000000000002</v>
      </c>
      <c r="AC21" s="126">
        <f t="shared" ref="AC21:AL21" si="19">IF(S21 = 0, 0, S21/S$18)</f>
        <v>0</v>
      </c>
      <c r="AD21" s="127">
        <f t="shared" si="19"/>
        <v>0</v>
      </c>
      <c r="AE21" s="128">
        <f t="shared" si="19"/>
        <v>0</v>
      </c>
      <c r="AF21" s="128">
        <f t="shared" si="19"/>
        <v>0</v>
      </c>
      <c r="AG21" s="128">
        <f t="shared" si="19"/>
        <v>0.61961538461538457</v>
      </c>
      <c r="AH21" s="128">
        <f t="shared" si="19"/>
        <v>0</v>
      </c>
      <c r="AI21" s="128">
        <f t="shared" si="19"/>
        <v>0</v>
      </c>
      <c r="AJ21" s="128">
        <f t="shared" si="19"/>
        <v>0</v>
      </c>
      <c r="AK21" s="128">
        <f t="shared" si="19"/>
        <v>0</v>
      </c>
      <c r="AL21" s="128">
        <f t="shared" si="19"/>
        <v>0.14680000000000001</v>
      </c>
      <c r="AM21" s="129" t="e">
        <f>IF(OR(CSE4098C_Summer2026_Grade!$J7="W (Withdrawn)", CSE4098C_Summer2026_Grade!$J7="I (Incomplete)"), 0, IF(AC21&gt;=55%, 1, 0))</f>
        <v>#DIV/0!</v>
      </c>
      <c r="AN21" s="129" t="e">
        <f>IF(OR(CSE4098C_Summer2026_Grade!$J7="W (Withdrawn)", CSE4098C_Summer2026_Grade!$J7="I (Incomplete)"), 0, IF(AD21&gt;=55%, 1, 0))</f>
        <v>#DIV/0!</v>
      </c>
      <c r="AO21" s="129" t="e">
        <f>IF(OR(CSE4098C_Summer2026_Grade!$J7="W (Withdrawn)", CSE4098C_Summer2026_Grade!$J7="I (Incomplete)"), 0, IF(AE21&gt;=55%, 1, 0))</f>
        <v>#DIV/0!</v>
      </c>
      <c r="AP21" s="129" t="e">
        <f>IF(OR(CSE4098C_Summer2026_Grade!$J7="W (Withdrawn)", CSE4098C_Summer2026_Grade!$J7="I (Incomplete)"), 0, IF(AF21&gt;=55%, 1, 0))</f>
        <v>#DIV/0!</v>
      </c>
      <c r="AQ21" s="129" t="e">
        <f>IF(OR(CSE4098C_Summer2026_Grade!$J7="W (Withdrawn)", CSE4098C_Summer2026_Grade!$J7="I (Incomplete)"), 0, IF(AG21&gt;=55%, 1, 0))</f>
        <v>#DIV/0!</v>
      </c>
      <c r="AR21" s="129" t="e">
        <f>IF(OR(CSE4098C_Summer2026_Grade!$J7="W (Withdrawn)", CSE4098C_Summer2026_Grade!$J7="I (Incomplete)"), 0, IF(AH21&gt;=55%, 1, 0))</f>
        <v>#DIV/0!</v>
      </c>
      <c r="AS21" s="129" t="e">
        <f>IF(OR(CSE4098C_Summer2026_Grade!$J7="W (Withdrawn)", CSE4098C_Summer2026_Grade!$J7="I (Incomplete)"), 0, IF(AI21&gt;=55%, 1, 0))</f>
        <v>#DIV/0!</v>
      </c>
      <c r="AT21" s="129" t="e">
        <f>IF(OR(CSE4098C_Summer2026_Grade!$J7="W (Withdrawn)", CSE4098C_Summer2026_Grade!$J7="I (Incomplete)"), 0, IF(AJ21&gt;=55%, 1, 0))</f>
        <v>#DIV/0!</v>
      </c>
      <c r="AU21" s="129" t="e">
        <f>IF(OR(CSE4098C_Summer2026_Grade!$J7="W (Withdrawn)", CSE4098C_Summer2026_Grade!$J7="I (Incomplete)"), 0, IF(AK21&gt;=55%, 1, 0))</f>
        <v>#DIV/0!</v>
      </c>
      <c r="AV21" s="129" t="e">
        <f>IF(OR(CSE4098C_Summer2026_Grade!$J7="W (Withdrawn)", CSE4098C_Summer2026_Grade!$J7="I (Incomplete)"), 0, IF(AL21&gt;=55%, 1, 0))</f>
        <v>#DIV/0!</v>
      </c>
      <c r="AX21" s="130">
        <f t="array" ref="AX21">IF($AY$13=0,0,MMULT($AC21:$AL21, AY$3:AY$12)/$AY$13)</f>
        <v>0</v>
      </c>
      <c r="AY21" s="130">
        <f t="array" ref="AY21">IF($AZ$13=0,0,MMULT($AC21:$AL21, AZ$3:AZ$12)/$AZ$13)</f>
        <v>0</v>
      </c>
      <c r="AZ21" s="130">
        <f t="array" ref="AZ21">IF($BA$13=0,0,MMULT($AC21:$AL21, BA$3:BA$12)/$BA$13)</f>
        <v>0</v>
      </c>
      <c r="BA21" s="130">
        <f t="array" ref="BA21">IF($BB$13=0,0,MMULT($AC21:$AL21, BB$3:BB$12)/$BB$13)</f>
        <v>0.61961538461538457</v>
      </c>
      <c r="BB21" s="130">
        <f t="array" ref="BB21">IF($BC$13=0,0,MMULT($AC21:$AL21, BC$3:BC$12)/$BC$13)</f>
        <v>0</v>
      </c>
      <c r="BC21" s="130">
        <f t="array" ref="BC21">IF($BD$13=0,0,MMULT($AC21:$AL21, BD$3:BD$12)/$BD$13)</f>
        <v>0</v>
      </c>
      <c r="BD21" s="130">
        <f t="array" ref="BD21">IF($BE$13=0,0,MMULT($AC21:$AL21, BE$3:BE$12)/$BE$13)</f>
        <v>0</v>
      </c>
      <c r="BE21" s="130">
        <f t="array" ref="BE21">IF($BF$13=0,0,MMULT($AC21:$AL21, BF$3:BF$12)/$BF$13)</f>
        <v>0</v>
      </c>
      <c r="BF21" s="130">
        <f t="array" ref="BF21">IF($BG$13=0,0,MMULT($AC21:$AL21, BG$3:BG$12)/$BG$13)</f>
        <v>0</v>
      </c>
      <c r="BG21" s="130">
        <f t="array" ref="BG21">IF($BH$13=0,0,MMULT($AC21:$AL21, BH$3:BH$12)/$BH$13)</f>
        <v>0.14680000000000001</v>
      </c>
      <c r="BH21" s="130">
        <f t="array" ref="BH21">IF($BI$13=0,0,MMULT($AC21:$AL21, BI$3:BI$12)/$BI$13)</f>
        <v>0</v>
      </c>
      <c r="BI21" s="130">
        <f t="array" ref="BI21">IF($BJ$13=0,0,MMULT($AC21:$AL21, BJ$3:BJ$12)/$BJ$13)</f>
        <v>0</v>
      </c>
      <c r="BJ21" s="129" t="e">
        <f>IF(OR(CSE4098C_Summer2026_Grade!$J7="W (Withdrawn)", CSE4098C_Summer2026_Grade!$J7="I (Incomplete)"), 0, IF(AX21&gt;=55%, 1, 0))</f>
        <v>#DIV/0!</v>
      </c>
      <c r="BK21" s="129" t="e">
        <f>IF(OR(CSE4098C_Summer2026_Grade!$J7="W (Withdrawn)", CSE4098C_Summer2026_Grade!$J7="I (Incomplete)"), 0, IF(AY21&gt;=55%, 1, 0))</f>
        <v>#DIV/0!</v>
      </c>
      <c r="BL21" s="129" t="e">
        <f>IF(OR(CSE4098C_Summer2026_Grade!$J7="W (Withdrawn)", CSE4098C_Summer2026_Grade!$J7="I (Incomplete)"), 0, IF(AZ21&gt;=55%, 1, 0))</f>
        <v>#DIV/0!</v>
      </c>
      <c r="BM21" s="129" t="e">
        <f>IF(OR(CSE4098C_Summer2026_Grade!$J7="W (Withdrawn)", CSE4098C_Summer2026_Grade!$J7="I (Incomplete)"), 0, IF(BA21&gt;=55%, 1, 0))</f>
        <v>#DIV/0!</v>
      </c>
      <c r="BN21" s="129" t="e">
        <f>IF(OR(CSE4098C_Summer2026_Grade!$J7="W (Withdrawn)", CSE4098C_Summer2026_Grade!$J7="I (Incomplete)"), 0, IF(BB21&gt;=55%, 1, 0))</f>
        <v>#DIV/0!</v>
      </c>
      <c r="BO21" s="129" t="e">
        <f>IF(OR(CSE4098C_Summer2026_Grade!$J7="W (Withdrawn)", CSE4098C_Summer2026_Grade!$J7="I (Incomplete)"), 0, IF(BC21&gt;=55%, 1, 0))</f>
        <v>#DIV/0!</v>
      </c>
      <c r="BP21" s="129" t="e">
        <f>IF(OR(CSE4098C_Summer2026_Grade!$J7="W (Withdrawn)", CSE4098C_Summer2026_Grade!$J7="I (Incomplete)"), 0, IF(BD21&gt;=55%, 1, 0))</f>
        <v>#DIV/0!</v>
      </c>
      <c r="BQ21" s="129" t="e">
        <f>IF(OR(CSE4098C_Summer2026_Grade!$J7="W (Withdrawn)", CSE4098C_Summer2026_Grade!$J7="I (Incomplete)"), 0, IF(BE21&gt;=55%, 1, 0))</f>
        <v>#DIV/0!</v>
      </c>
      <c r="BR21" s="129" t="e">
        <f>IF(OR(CSE4098C_Summer2026_Grade!$J7="W (Withdrawn)", CSE4098C_Summer2026_Grade!$J7="I (Incomplete)"), 0, IF(BF21&gt;=55%, 1, 0))</f>
        <v>#DIV/0!</v>
      </c>
      <c r="BS21" s="129" t="e">
        <f>IF(OR(CSE4098C_Summer2026_Grade!$J7="W (Withdrawn)", CSE4098C_Summer2026_Grade!$J7="I (Incomplete)"), 0, IF(BG21&gt;=55%, 1, 0))</f>
        <v>#DIV/0!</v>
      </c>
      <c r="BT21" s="129" t="e">
        <f>IF(OR(CSE4098C_Summer2026_Grade!$J7="W (Withdrawn)", CSE4098C_Summer2026_Grade!$J7="I (Incomplete)"), 0, IF(BH21&gt;=55%, 1, 0))</f>
        <v>#DIV/0!</v>
      </c>
      <c r="BU21" s="129" t="e">
        <f>IF(OR(CSE4098C_Summer2026_Grade!$J7="W (Withdrawn)", CSE4098C_Summer2026_Grade!$J7="I (Incomplete)"), 0, IF(BI21&gt;=55%, 1, 0))</f>
        <v>#DIV/0!</v>
      </c>
    </row>
    <row r="22" spans="1:73" ht="12.75" customHeight="1" thickBot="1">
      <c r="A22" s="118">
        <f t="shared" si="11"/>
        <v>4</v>
      </c>
      <c r="B22" s="222">
        <v>223014152</v>
      </c>
      <c r="C22" s="222" t="s">
        <v>208</v>
      </c>
      <c r="D22" s="119">
        <f>CO_Report_Evaluation!AG7</f>
        <v>0</v>
      </c>
      <c r="E22" s="119">
        <f>CO_Report_Evaluation!AH7</f>
        <v>0</v>
      </c>
      <c r="F22" s="119">
        <f>CO_Report_Evaluation!AI7</f>
        <v>0</v>
      </c>
      <c r="G22" s="119">
        <f>CO_Report_Evaluation!AJ7</f>
        <v>0</v>
      </c>
      <c r="H22" s="119">
        <f>CO_Report_Evaluation!AK7</f>
        <v>0</v>
      </c>
      <c r="I22" s="119">
        <f>CO_Report_Evaluation!AL7</f>
        <v>0</v>
      </c>
      <c r="J22" s="119">
        <f>CO_Report_Evaluation!AM7</f>
        <v>0</v>
      </c>
      <c r="K22" s="119">
        <f>CO_Report_Evaluation!AN7</f>
        <v>0</v>
      </c>
      <c r="L22" s="119">
        <f>CSE4098C_Summer2026_Grade!G8</f>
        <v>0</v>
      </c>
      <c r="M22" s="119"/>
      <c r="N22" s="33">
        <f>((CSE4098C_Summer2026_Grade!E8)*10)/25</f>
        <v>1.6</v>
      </c>
      <c r="O22" s="120"/>
      <c r="P22" s="121"/>
      <c r="Q22" s="122">
        <v>16.11</v>
      </c>
      <c r="R22" s="120"/>
      <c r="S22" s="123">
        <f t="shared" si="4"/>
        <v>0</v>
      </c>
      <c r="T22" s="124">
        <f t="shared" ref="T22:U22" si="20">E22</f>
        <v>0</v>
      </c>
      <c r="U22" s="124">
        <f t="shared" si="20"/>
        <v>0</v>
      </c>
      <c r="V22" s="124">
        <f t="shared" ref="V22:X22" si="21">SUM(G22,P22)</f>
        <v>0</v>
      </c>
      <c r="W22" s="124">
        <f t="shared" si="21"/>
        <v>16.11</v>
      </c>
      <c r="X22" s="124">
        <f t="shared" si="21"/>
        <v>0</v>
      </c>
      <c r="Y22" s="125">
        <f t="shared" ref="Y22:AA22" si="22">J22</f>
        <v>0</v>
      </c>
      <c r="Z22" s="125">
        <f t="shared" si="22"/>
        <v>0</v>
      </c>
      <c r="AA22" s="125">
        <f t="shared" si="22"/>
        <v>0</v>
      </c>
      <c r="AB22" s="125">
        <f t="shared" si="9"/>
        <v>1.6</v>
      </c>
      <c r="AC22" s="126">
        <f t="shared" ref="AC22:AL22" si="23">IF(S22 = 0, 0, S22/S$18)</f>
        <v>0</v>
      </c>
      <c r="AD22" s="127">
        <f t="shared" si="23"/>
        <v>0</v>
      </c>
      <c r="AE22" s="128">
        <f t="shared" si="23"/>
        <v>0</v>
      </c>
      <c r="AF22" s="128">
        <f t="shared" si="23"/>
        <v>0</v>
      </c>
      <c r="AG22" s="128">
        <f t="shared" si="23"/>
        <v>0.61961538461538457</v>
      </c>
      <c r="AH22" s="128">
        <f t="shared" si="23"/>
        <v>0</v>
      </c>
      <c r="AI22" s="128">
        <f t="shared" si="23"/>
        <v>0</v>
      </c>
      <c r="AJ22" s="128">
        <f t="shared" si="23"/>
        <v>0</v>
      </c>
      <c r="AK22" s="128">
        <f t="shared" si="23"/>
        <v>0</v>
      </c>
      <c r="AL22" s="128">
        <f t="shared" si="23"/>
        <v>0.16</v>
      </c>
      <c r="AM22" s="129" t="e">
        <f>IF(OR(CSE4098C_Summer2026_Grade!$J8="W (Withdrawn)", CSE4098C_Summer2026_Grade!$J8="I (Incomplete)"), 0, IF(AC22&gt;=55%, 1, 0))</f>
        <v>#DIV/0!</v>
      </c>
      <c r="AN22" s="129" t="e">
        <f>IF(OR(CSE4098C_Summer2026_Grade!$J8="W (Withdrawn)", CSE4098C_Summer2026_Grade!$J8="I (Incomplete)"), 0, IF(AD22&gt;=55%, 1, 0))</f>
        <v>#DIV/0!</v>
      </c>
      <c r="AO22" s="129" t="e">
        <f>IF(OR(CSE4098C_Summer2026_Grade!$J8="W (Withdrawn)", CSE4098C_Summer2026_Grade!$J8="I (Incomplete)"), 0, IF(AE22&gt;=55%, 1, 0))</f>
        <v>#DIV/0!</v>
      </c>
      <c r="AP22" s="129" t="e">
        <f>IF(OR(CSE4098C_Summer2026_Grade!$J8="W (Withdrawn)", CSE4098C_Summer2026_Grade!$J8="I (Incomplete)"), 0, IF(AF22&gt;=55%, 1, 0))</f>
        <v>#DIV/0!</v>
      </c>
      <c r="AQ22" s="129" t="e">
        <f>IF(OR(CSE4098C_Summer2026_Grade!$J8="W (Withdrawn)", CSE4098C_Summer2026_Grade!$J8="I (Incomplete)"), 0, IF(AG22&gt;=55%, 1, 0))</f>
        <v>#DIV/0!</v>
      </c>
      <c r="AR22" s="129" t="e">
        <f>IF(OR(CSE4098C_Summer2026_Grade!$J8="W (Withdrawn)", CSE4098C_Summer2026_Grade!$J8="I (Incomplete)"), 0, IF(AH22&gt;=55%, 1, 0))</f>
        <v>#DIV/0!</v>
      </c>
      <c r="AS22" s="129" t="e">
        <f>IF(OR(CSE4098C_Summer2026_Grade!$J8="W (Withdrawn)", CSE4098C_Summer2026_Grade!$J8="I (Incomplete)"), 0, IF(AI22&gt;=55%, 1, 0))</f>
        <v>#DIV/0!</v>
      </c>
      <c r="AT22" s="129" t="e">
        <f>IF(OR(CSE4098C_Summer2026_Grade!$J8="W (Withdrawn)", CSE4098C_Summer2026_Grade!$J8="I (Incomplete)"), 0, IF(AJ22&gt;=55%, 1, 0))</f>
        <v>#DIV/0!</v>
      </c>
      <c r="AU22" s="129" t="e">
        <f>IF(OR(CSE4098C_Summer2026_Grade!$J8="W (Withdrawn)", CSE4098C_Summer2026_Grade!$J8="I (Incomplete)"), 0, IF(AK22&gt;=55%, 1, 0))</f>
        <v>#DIV/0!</v>
      </c>
      <c r="AV22" s="129" t="e">
        <f>IF(OR(CSE4098C_Summer2026_Grade!$J8="W (Withdrawn)", CSE4098C_Summer2026_Grade!$J8="I (Incomplete)"), 0, IF(AL22&gt;=55%, 1, 0))</f>
        <v>#DIV/0!</v>
      </c>
      <c r="AX22" s="130">
        <f t="array" ref="AX22">IF($AY$13=0,0,MMULT($AC22:$AL22, AY$3:AY$12)/$AY$13)</f>
        <v>0</v>
      </c>
      <c r="AY22" s="130">
        <f t="array" ref="AY22">IF($AZ$13=0,0,MMULT($AC22:$AL22, AZ$3:AZ$12)/$AZ$13)</f>
        <v>0</v>
      </c>
      <c r="AZ22" s="130">
        <f t="array" ref="AZ22">IF($BA$13=0,0,MMULT($AC22:$AL22, BA$3:BA$12)/$BA$13)</f>
        <v>0</v>
      </c>
      <c r="BA22" s="130">
        <f t="array" ref="BA22">IF($BB$13=0,0,MMULT($AC22:$AL22, BB$3:BB$12)/$BB$13)</f>
        <v>0.61961538461538457</v>
      </c>
      <c r="BB22" s="130">
        <f t="array" ref="BB22">IF($BC$13=0,0,MMULT($AC22:$AL22, BC$3:BC$12)/$BC$13)</f>
        <v>0</v>
      </c>
      <c r="BC22" s="130">
        <f t="array" ref="BC22">IF($BD$13=0,0,MMULT($AC22:$AL22, BD$3:BD$12)/$BD$13)</f>
        <v>0</v>
      </c>
      <c r="BD22" s="130">
        <f t="array" ref="BD22">IF($BE$13=0,0,MMULT($AC22:$AL22, BE$3:BE$12)/$BE$13)</f>
        <v>0</v>
      </c>
      <c r="BE22" s="130">
        <f t="array" ref="BE22">IF($BF$13=0,0,MMULT($AC22:$AL22, BF$3:BF$12)/$BF$13)</f>
        <v>0</v>
      </c>
      <c r="BF22" s="130">
        <f t="array" ref="BF22">IF($BG$13=0,0,MMULT($AC22:$AL22, BG$3:BG$12)/$BG$13)</f>
        <v>0</v>
      </c>
      <c r="BG22" s="130">
        <f t="array" ref="BG22">IF($BH$13=0,0,MMULT($AC22:$AL22, BH$3:BH$12)/$BH$13)</f>
        <v>0.16</v>
      </c>
      <c r="BH22" s="130">
        <f t="array" ref="BH22">IF($BI$13=0,0,MMULT($AC22:$AL22, BI$3:BI$12)/$BI$13)</f>
        <v>0</v>
      </c>
      <c r="BI22" s="130">
        <f t="array" ref="BI22">IF($BJ$13=0,0,MMULT($AC22:$AL22, BJ$3:BJ$12)/$BJ$13)</f>
        <v>0</v>
      </c>
      <c r="BJ22" s="129" t="e">
        <f>IF(OR(CSE4098C_Summer2026_Grade!$J8="W (Withdrawn)", CSE4098C_Summer2026_Grade!$J8="I (Incomplete)"), 0, IF(AX22&gt;=55%, 1, 0))</f>
        <v>#DIV/0!</v>
      </c>
      <c r="BK22" s="129" t="e">
        <f>IF(OR(CSE4098C_Summer2026_Grade!$J8="W (Withdrawn)", CSE4098C_Summer2026_Grade!$J8="I (Incomplete)"), 0, IF(AY22&gt;=55%, 1, 0))</f>
        <v>#DIV/0!</v>
      </c>
      <c r="BL22" s="129" t="e">
        <f>IF(OR(CSE4098C_Summer2026_Grade!$J8="W (Withdrawn)", CSE4098C_Summer2026_Grade!$J8="I (Incomplete)"), 0, IF(AZ22&gt;=55%, 1, 0))</f>
        <v>#DIV/0!</v>
      </c>
      <c r="BM22" s="129" t="e">
        <f>IF(OR(CSE4098C_Summer2026_Grade!$J8="W (Withdrawn)", CSE4098C_Summer2026_Grade!$J8="I (Incomplete)"), 0, IF(BA22&gt;=55%, 1, 0))</f>
        <v>#DIV/0!</v>
      </c>
      <c r="BN22" s="129" t="e">
        <f>IF(OR(CSE4098C_Summer2026_Grade!$J8="W (Withdrawn)", CSE4098C_Summer2026_Grade!$J8="I (Incomplete)"), 0, IF(BB22&gt;=55%, 1, 0))</f>
        <v>#DIV/0!</v>
      </c>
      <c r="BO22" s="129" t="e">
        <f>IF(OR(CSE4098C_Summer2026_Grade!$J8="W (Withdrawn)", CSE4098C_Summer2026_Grade!$J8="I (Incomplete)"), 0, IF(BC22&gt;=55%, 1, 0))</f>
        <v>#DIV/0!</v>
      </c>
      <c r="BP22" s="129" t="e">
        <f>IF(OR(CSE4098C_Summer2026_Grade!$J8="W (Withdrawn)", CSE4098C_Summer2026_Grade!$J8="I (Incomplete)"), 0, IF(BD22&gt;=55%, 1, 0))</f>
        <v>#DIV/0!</v>
      </c>
      <c r="BQ22" s="129" t="e">
        <f>IF(OR(CSE4098C_Summer2026_Grade!$J8="W (Withdrawn)", CSE4098C_Summer2026_Grade!$J8="I (Incomplete)"), 0, IF(BE22&gt;=55%, 1, 0))</f>
        <v>#DIV/0!</v>
      </c>
      <c r="BR22" s="129" t="e">
        <f>IF(OR(CSE4098C_Summer2026_Grade!$J8="W (Withdrawn)", CSE4098C_Summer2026_Grade!$J8="I (Incomplete)"), 0, IF(BF22&gt;=55%, 1, 0))</f>
        <v>#DIV/0!</v>
      </c>
      <c r="BS22" s="129" t="e">
        <f>IF(OR(CSE4098C_Summer2026_Grade!$J8="W (Withdrawn)", CSE4098C_Summer2026_Grade!$J8="I (Incomplete)"), 0, IF(BG22&gt;=55%, 1, 0))</f>
        <v>#DIV/0!</v>
      </c>
      <c r="BT22" s="129" t="e">
        <f>IF(OR(CSE4098C_Summer2026_Grade!$J8="W (Withdrawn)", CSE4098C_Summer2026_Grade!$J8="I (Incomplete)"), 0, IF(BH22&gt;=55%, 1, 0))</f>
        <v>#DIV/0!</v>
      </c>
      <c r="BU22" s="129" t="e">
        <f>IF(OR(CSE4098C_Summer2026_Grade!$J8="W (Withdrawn)", CSE4098C_Summer2026_Grade!$J8="I (Incomplete)"), 0, IF(BI22&gt;=55%, 1, 0))</f>
        <v>#DIV/0!</v>
      </c>
    </row>
    <row r="23" spans="1:73" ht="12.75" customHeight="1" thickBot="1">
      <c r="A23" s="118">
        <f t="shared" si="11"/>
        <v>5</v>
      </c>
      <c r="B23" s="222">
        <v>223014049</v>
      </c>
      <c r="C23" s="222" t="s">
        <v>209</v>
      </c>
      <c r="D23" s="119">
        <f>CO_Report_Evaluation!AG8</f>
        <v>0</v>
      </c>
      <c r="E23" s="119">
        <f>CO_Report_Evaluation!AH8</f>
        <v>0</v>
      </c>
      <c r="F23" s="119">
        <f>CO_Report_Evaluation!AI8</f>
        <v>0</v>
      </c>
      <c r="G23" s="119">
        <f>CO_Report_Evaluation!AJ8</f>
        <v>0</v>
      </c>
      <c r="H23" s="119">
        <f>CO_Report_Evaluation!AK8</f>
        <v>0</v>
      </c>
      <c r="I23" s="119">
        <f>CO_Report_Evaluation!AL8</f>
        <v>0</v>
      </c>
      <c r="J23" s="119">
        <f>CO_Report_Evaluation!AM8</f>
        <v>0</v>
      </c>
      <c r="K23" s="119">
        <f>CO_Report_Evaluation!AN8</f>
        <v>0</v>
      </c>
      <c r="L23" s="119">
        <f>CSE4098C_Summer2026_Grade!G9</f>
        <v>0</v>
      </c>
      <c r="M23" s="119"/>
      <c r="N23" s="33">
        <f>((CSE4098C_Summer2026_Grade!E9)*10)/25</f>
        <v>1.736</v>
      </c>
      <c r="O23" s="120"/>
      <c r="P23" s="121"/>
      <c r="Q23" s="122">
        <v>16.11</v>
      </c>
      <c r="R23" s="120"/>
      <c r="S23" s="123">
        <f t="shared" si="4"/>
        <v>0</v>
      </c>
      <c r="T23" s="124">
        <f t="shared" ref="T23:U23" si="24">E23</f>
        <v>0</v>
      </c>
      <c r="U23" s="124">
        <f t="shared" si="24"/>
        <v>0</v>
      </c>
      <c r="V23" s="124">
        <f t="shared" ref="V23:X23" si="25">SUM(G23,P23)</f>
        <v>0</v>
      </c>
      <c r="W23" s="124">
        <f t="shared" si="25"/>
        <v>16.11</v>
      </c>
      <c r="X23" s="124">
        <f t="shared" si="25"/>
        <v>0</v>
      </c>
      <c r="Y23" s="125">
        <f t="shared" ref="Y23:AA23" si="26">J23</f>
        <v>0</v>
      </c>
      <c r="Z23" s="125">
        <f t="shared" si="26"/>
        <v>0</v>
      </c>
      <c r="AA23" s="125">
        <f t="shared" si="26"/>
        <v>0</v>
      </c>
      <c r="AB23" s="125">
        <f t="shared" si="9"/>
        <v>1.736</v>
      </c>
      <c r="AC23" s="126">
        <f t="shared" ref="AC23:AL23" si="27">IF(S23 = 0, 0, S23/S$18)</f>
        <v>0</v>
      </c>
      <c r="AD23" s="127">
        <f t="shared" si="27"/>
        <v>0</v>
      </c>
      <c r="AE23" s="128">
        <f t="shared" si="27"/>
        <v>0</v>
      </c>
      <c r="AF23" s="128">
        <f t="shared" si="27"/>
        <v>0</v>
      </c>
      <c r="AG23" s="128">
        <f t="shared" si="27"/>
        <v>0.61961538461538457</v>
      </c>
      <c r="AH23" s="128">
        <f t="shared" si="27"/>
        <v>0</v>
      </c>
      <c r="AI23" s="128">
        <f t="shared" si="27"/>
        <v>0</v>
      </c>
      <c r="AJ23" s="128">
        <f t="shared" si="27"/>
        <v>0</v>
      </c>
      <c r="AK23" s="128">
        <f t="shared" si="27"/>
        <v>0</v>
      </c>
      <c r="AL23" s="128">
        <f t="shared" si="27"/>
        <v>0.1736</v>
      </c>
      <c r="AM23" s="129" t="e">
        <f>IF(OR(CSE4098C_Summer2026_Grade!$J9="W (Withdrawn)", CSE4098C_Summer2026_Grade!$J9="I (Incomplete)"), 0, IF(AC23&gt;=55%, 1, 0))</f>
        <v>#DIV/0!</v>
      </c>
      <c r="AN23" s="129" t="e">
        <f>IF(OR(CSE4098C_Summer2026_Grade!$J9="W (Withdrawn)", CSE4098C_Summer2026_Grade!$J9="I (Incomplete)"), 0, IF(AD23&gt;=55%, 1, 0))</f>
        <v>#DIV/0!</v>
      </c>
      <c r="AO23" s="129" t="e">
        <f>IF(OR(CSE4098C_Summer2026_Grade!$J9="W (Withdrawn)", CSE4098C_Summer2026_Grade!$J9="I (Incomplete)"), 0, IF(AE23&gt;=55%, 1, 0))</f>
        <v>#DIV/0!</v>
      </c>
      <c r="AP23" s="129" t="e">
        <f>IF(OR(CSE4098C_Summer2026_Grade!$J9="W (Withdrawn)", CSE4098C_Summer2026_Grade!$J9="I (Incomplete)"), 0, IF(AF23&gt;=55%, 1, 0))</f>
        <v>#DIV/0!</v>
      </c>
      <c r="AQ23" s="129" t="e">
        <f>IF(OR(CSE4098C_Summer2026_Grade!$J9="W (Withdrawn)", CSE4098C_Summer2026_Grade!$J9="I (Incomplete)"), 0, IF(AG23&gt;=55%, 1, 0))</f>
        <v>#DIV/0!</v>
      </c>
      <c r="AR23" s="129" t="e">
        <f>IF(OR(CSE4098C_Summer2026_Grade!$J9="W (Withdrawn)", CSE4098C_Summer2026_Grade!$J9="I (Incomplete)"), 0, IF(AH23&gt;=55%, 1, 0))</f>
        <v>#DIV/0!</v>
      </c>
      <c r="AS23" s="129" t="e">
        <f>IF(OR(CSE4098C_Summer2026_Grade!$J9="W (Withdrawn)", CSE4098C_Summer2026_Grade!$J9="I (Incomplete)"), 0, IF(AI23&gt;=55%, 1, 0))</f>
        <v>#DIV/0!</v>
      </c>
      <c r="AT23" s="129" t="e">
        <f>IF(OR(CSE4098C_Summer2026_Grade!$J9="W (Withdrawn)", CSE4098C_Summer2026_Grade!$J9="I (Incomplete)"), 0, IF(AJ23&gt;=55%, 1, 0))</f>
        <v>#DIV/0!</v>
      </c>
      <c r="AU23" s="129" t="e">
        <f>IF(OR(CSE4098C_Summer2026_Grade!$J9="W (Withdrawn)", CSE4098C_Summer2026_Grade!$J9="I (Incomplete)"), 0, IF(AK23&gt;=55%, 1, 0))</f>
        <v>#DIV/0!</v>
      </c>
      <c r="AV23" s="129" t="e">
        <f>IF(OR(CSE4098C_Summer2026_Grade!$J9="W (Withdrawn)", CSE4098C_Summer2026_Grade!$J9="I (Incomplete)"), 0, IF(AL23&gt;=55%, 1, 0))</f>
        <v>#DIV/0!</v>
      </c>
      <c r="AX23" s="130">
        <f t="array" ref="AX23">IF($AY$13=0,0,MMULT($AC23:$AL23, AY$3:AY$12)/$AY$13)</f>
        <v>0</v>
      </c>
      <c r="AY23" s="130">
        <f t="array" ref="AY23">IF($AZ$13=0,0,MMULT($AC23:$AL23, AZ$3:AZ$12)/$AZ$13)</f>
        <v>0</v>
      </c>
      <c r="AZ23" s="130">
        <f t="array" ref="AZ23">IF($BA$13=0,0,MMULT($AC23:$AL23, BA$3:BA$12)/$BA$13)</f>
        <v>0</v>
      </c>
      <c r="BA23" s="130">
        <f t="array" ref="BA23">IF($BB$13=0,0,MMULT($AC23:$AL23, BB$3:BB$12)/$BB$13)</f>
        <v>0.61961538461538457</v>
      </c>
      <c r="BB23" s="130">
        <f t="array" ref="BB23">IF($BC$13=0,0,MMULT($AC23:$AL23, BC$3:BC$12)/$BC$13)</f>
        <v>0</v>
      </c>
      <c r="BC23" s="130">
        <f t="array" ref="BC23">IF($BD$13=0,0,MMULT($AC23:$AL23, BD$3:BD$12)/$BD$13)</f>
        <v>0</v>
      </c>
      <c r="BD23" s="130">
        <f t="array" ref="BD23">IF($BE$13=0,0,MMULT($AC23:$AL23, BE$3:BE$12)/$BE$13)</f>
        <v>0</v>
      </c>
      <c r="BE23" s="130">
        <f t="array" ref="BE23">IF($BF$13=0,0,MMULT($AC23:$AL23, BF$3:BF$12)/$BF$13)</f>
        <v>0</v>
      </c>
      <c r="BF23" s="130">
        <f t="array" ref="BF23">IF($BG$13=0,0,MMULT($AC23:$AL23, BG$3:BG$12)/$BG$13)</f>
        <v>0</v>
      </c>
      <c r="BG23" s="130">
        <f t="array" ref="BG23">IF($BH$13=0,0,MMULT($AC23:$AL23, BH$3:BH$12)/$BH$13)</f>
        <v>0.1736</v>
      </c>
      <c r="BH23" s="130">
        <f t="array" ref="BH23">IF($BI$13=0,0,MMULT($AC23:$AL23, BI$3:BI$12)/$BI$13)</f>
        <v>0</v>
      </c>
      <c r="BI23" s="130">
        <f t="array" ref="BI23">IF($BJ$13=0,0,MMULT($AC23:$AL23, BJ$3:BJ$12)/$BJ$13)</f>
        <v>0</v>
      </c>
      <c r="BJ23" s="129" t="e">
        <f>IF(OR(CSE4098C_Summer2026_Grade!$J9="W (Withdrawn)", CSE4098C_Summer2026_Grade!$J9="I (Incomplete)"), 0, IF(AX23&gt;=55%, 1, 0))</f>
        <v>#DIV/0!</v>
      </c>
      <c r="BK23" s="129" t="e">
        <f>IF(OR(CSE4098C_Summer2026_Grade!$J9="W (Withdrawn)", CSE4098C_Summer2026_Grade!$J9="I (Incomplete)"), 0, IF(AY23&gt;=55%, 1, 0))</f>
        <v>#DIV/0!</v>
      </c>
      <c r="BL23" s="129" t="e">
        <f>IF(OR(CSE4098C_Summer2026_Grade!$J9="W (Withdrawn)", CSE4098C_Summer2026_Grade!$J9="I (Incomplete)"), 0, IF(AZ23&gt;=55%, 1, 0))</f>
        <v>#DIV/0!</v>
      </c>
      <c r="BM23" s="129" t="e">
        <f>IF(OR(CSE4098C_Summer2026_Grade!$J9="W (Withdrawn)", CSE4098C_Summer2026_Grade!$J9="I (Incomplete)"), 0, IF(BA23&gt;=55%, 1, 0))</f>
        <v>#DIV/0!</v>
      </c>
      <c r="BN23" s="129" t="e">
        <f>IF(OR(CSE4098C_Summer2026_Grade!$J9="W (Withdrawn)", CSE4098C_Summer2026_Grade!$J9="I (Incomplete)"), 0, IF(BB23&gt;=55%, 1, 0))</f>
        <v>#DIV/0!</v>
      </c>
      <c r="BO23" s="129" t="e">
        <f>IF(OR(CSE4098C_Summer2026_Grade!$J9="W (Withdrawn)", CSE4098C_Summer2026_Grade!$J9="I (Incomplete)"), 0, IF(BC23&gt;=55%, 1, 0))</f>
        <v>#DIV/0!</v>
      </c>
      <c r="BP23" s="129" t="e">
        <f>IF(OR(CSE4098C_Summer2026_Grade!$J9="W (Withdrawn)", CSE4098C_Summer2026_Grade!$J9="I (Incomplete)"), 0, IF(BD23&gt;=55%, 1, 0))</f>
        <v>#DIV/0!</v>
      </c>
      <c r="BQ23" s="129" t="e">
        <f>IF(OR(CSE4098C_Summer2026_Grade!$J9="W (Withdrawn)", CSE4098C_Summer2026_Grade!$J9="I (Incomplete)"), 0, IF(BE23&gt;=55%, 1, 0))</f>
        <v>#DIV/0!</v>
      </c>
      <c r="BR23" s="129" t="e">
        <f>IF(OR(CSE4098C_Summer2026_Grade!$J9="W (Withdrawn)", CSE4098C_Summer2026_Grade!$J9="I (Incomplete)"), 0, IF(BF23&gt;=55%, 1, 0))</f>
        <v>#DIV/0!</v>
      </c>
      <c r="BS23" s="129" t="e">
        <f>IF(OR(CSE4098C_Summer2026_Grade!$J9="W (Withdrawn)", CSE4098C_Summer2026_Grade!$J9="I (Incomplete)"), 0, IF(BG23&gt;=55%, 1, 0))</f>
        <v>#DIV/0!</v>
      </c>
      <c r="BT23" s="129" t="e">
        <f>IF(OR(CSE4098C_Summer2026_Grade!$J9="W (Withdrawn)", CSE4098C_Summer2026_Grade!$J9="I (Incomplete)"), 0, IF(BH23&gt;=55%, 1, 0))</f>
        <v>#DIV/0!</v>
      </c>
      <c r="BU23" s="129" t="e">
        <f>IF(OR(CSE4098C_Summer2026_Grade!$J9="W (Withdrawn)", CSE4098C_Summer2026_Grade!$J9="I (Incomplete)"), 0, IF(BI23&gt;=55%, 1, 0))</f>
        <v>#DIV/0!</v>
      </c>
    </row>
    <row r="24" spans="1:73" ht="12.75" customHeight="1" thickBot="1">
      <c r="A24" s="118">
        <f t="shared" si="11"/>
        <v>6</v>
      </c>
      <c r="B24" s="222">
        <v>222014039</v>
      </c>
      <c r="C24" s="222" t="s">
        <v>210</v>
      </c>
      <c r="D24" s="119">
        <f>CO_Report_Evaluation!AG9</f>
        <v>0</v>
      </c>
      <c r="E24" s="119">
        <f>CO_Report_Evaluation!AH9</f>
        <v>0</v>
      </c>
      <c r="F24" s="119">
        <f>CO_Report_Evaluation!AI9</f>
        <v>0</v>
      </c>
      <c r="G24" s="119">
        <f>CO_Report_Evaluation!AJ9</f>
        <v>0</v>
      </c>
      <c r="H24" s="119">
        <f>CO_Report_Evaluation!AK9</f>
        <v>0</v>
      </c>
      <c r="I24" s="119">
        <f>CO_Report_Evaluation!AL9</f>
        <v>0</v>
      </c>
      <c r="J24" s="119">
        <f>CO_Report_Evaluation!AM9</f>
        <v>0</v>
      </c>
      <c r="K24" s="119">
        <f>CO_Report_Evaluation!AN9</f>
        <v>0</v>
      </c>
      <c r="L24" s="119">
        <f>CSE4098C_Summer2026_Grade!G10</f>
        <v>0</v>
      </c>
      <c r="M24" s="119"/>
      <c r="N24" s="33">
        <f>((CSE4098C_Summer2026_Grade!E10)*10)/25</f>
        <v>6.8439999999999994</v>
      </c>
      <c r="O24" s="120"/>
      <c r="P24" s="121"/>
      <c r="Q24" s="122">
        <v>15</v>
      </c>
      <c r="R24" s="120"/>
      <c r="S24" s="123">
        <f t="shared" si="4"/>
        <v>0</v>
      </c>
      <c r="T24" s="124">
        <f t="shared" ref="T24:U24" si="28">E24</f>
        <v>0</v>
      </c>
      <c r="U24" s="124">
        <f t="shared" si="28"/>
        <v>0</v>
      </c>
      <c r="V24" s="124">
        <f t="shared" ref="V24:X24" si="29">SUM(G24,P24)</f>
        <v>0</v>
      </c>
      <c r="W24" s="124">
        <f t="shared" si="29"/>
        <v>15</v>
      </c>
      <c r="X24" s="124">
        <f t="shared" si="29"/>
        <v>0</v>
      </c>
      <c r="Y24" s="125">
        <f t="shared" ref="Y24:AA24" si="30">J24</f>
        <v>0</v>
      </c>
      <c r="Z24" s="125">
        <f t="shared" si="30"/>
        <v>0</v>
      </c>
      <c r="AA24" s="125">
        <f t="shared" si="30"/>
        <v>0</v>
      </c>
      <c r="AB24" s="125">
        <f t="shared" si="9"/>
        <v>6.8439999999999994</v>
      </c>
      <c r="AC24" s="126">
        <f t="shared" ref="AC24:AL24" si="31">IF(S24 = 0, 0, S24/S$18)</f>
        <v>0</v>
      </c>
      <c r="AD24" s="127">
        <f t="shared" si="31"/>
        <v>0</v>
      </c>
      <c r="AE24" s="128">
        <f t="shared" si="31"/>
        <v>0</v>
      </c>
      <c r="AF24" s="128">
        <f t="shared" si="31"/>
        <v>0</v>
      </c>
      <c r="AG24" s="128">
        <f t="shared" si="31"/>
        <v>0.57692307692307687</v>
      </c>
      <c r="AH24" s="128">
        <f t="shared" si="31"/>
        <v>0</v>
      </c>
      <c r="AI24" s="128">
        <f t="shared" si="31"/>
        <v>0</v>
      </c>
      <c r="AJ24" s="128">
        <f t="shared" si="31"/>
        <v>0</v>
      </c>
      <c r="AK24" s="128">
        <f t="shared" si="31"/>
        <v>0</v>
      </c>
      <c r="AL24" s="128">
        <f t="shared" si="31"/>
        <v>0.6843999999999999</v>
      </c>
      <c r="AM24" s="129" t="e">
        <f>IF(OR(CSE4098C_Summer2026_Grade!$J10="W (Withdrawn)", CSE4098C_Summer2026_Grade!$J10="I (Incomplete)"), 0, IF(AC24&gt;=55%, 1, 0))</f>
        <v>#DIV/0!</v>
      </c>
      <c r="AN24" s="129" t="e">
        <f>IF(OR(CSE4098C_Summer2026_Grade!$J10="W (Withdrawn)", CSE4098C_Summer2026_Grade!$J10="I (Incomplete)"), 0, IF(AD24&gt;=55%, 1, 0))</f>
        <v>#DIV/0!</v>
      </c>
      <c r="AO24" s="129" t="e">
        <f>IF(OR(CSE4098C_Summer2026_Grade!$J10="W (Withdrawn)", CSE4098C_Summer2026_Grade!$J10="I (Incomplete)"), 0, IF(AE24&gt;=55%, 1, 0))</f>
        <v>#DIV/0!</v>
      </c>
      <c r="AP24" s="129" t="e">
        <f>IF(OR(CSE4098C_Summer2026_Grade!$J10="W (Withdrawn)", CSE4098C_Summer2026_Grade!$J10="I (Incomplete)"), 0, IF(AF24&gt;=55%, 1, 0))</f>
        <v>#DIV/0!</v>
      </c>
      <c r="AQ24" s="129" t="e">
        <f>IF(OR(CSE4098C_Summer2026_Grade!$J10="W (Withdrawn)", CSE4098C_Summer2026_Grade!$J10="I (Incomplete)"), 0, IF(AG24&gt;=55%, 1, 0))</f>
        <v>#DIV/0!</v>
      </c>
      <c r="AR24" s="129" t="e">
        <f>IF(OR(CSE4098C_Summer2026_Grade!$J10="W (Withdrawn)", CSE4098C_Summer2026_Grade!$J10="I (Incomplete)"), 0, IF(AH24&gt;=55%, 1, 0))</f>
        <v>#DIV/0!</v>
      </c>
      <c r="AS24" s="129" t="e">
        <f>IF(OR(CSE4098C_Summer2026_Grade!$J10="W (Withdrawn)", CSE4098C_Summer2026_Grade!$J10="I (Incomplete)"), 0, IF(AI24&gt;=55%, 1, 0))</f>
        <v>#DIV/0!</v>
      </c>
      <c r="AT24" s="129" t="e">
        <f>IF(OR(CSE4098C_Summer2026_Grade!$J10="W (Withdrawn)", CSE4098C_Summer2026_Grade!$J10="I (Incomplete)"), 0, IF(AJ24&gt;=55%, 1, 0))</f>
        <v>#DIV/0!</v>
      </c>
      <c r="AU24" s="129" t="e">
        <f>IF(OR(CSE4098C_Summer2026_Grade!$J10="W (Withdrawn)", CSE4098C_Summer2026_Grade!$J10="I (Incomplete)"), 0, IF(AK24&gt;=55%, 1, 0))</f>
        <v>#DIV/0!</v>
      </c>
      <c r="AV24" s="129" t="e">
        <f>IF(OR(CSE4098C_Summer2026_Grade!$J10="W (Withdrawn)", CSE4098C_Summer2026_Grade!$J10="I (Incomplete)"), 0, IF(AL24&gt;=55%, 1, 0))</f>
        <v>#DIV/0!</v>
      </c>
      <c r="AX24" s="130">
        <f t="array" ref="AX24">IF($AY$13=0,0,MMULT($AC24:$AL24, AY$3:AY$12)/$AY$13)</f>
        <v>0</v>
      </c>
      <c r="AY24" s="130">
        <f t="array" ref="AY24">IF($AZ$13=0,0,MMULT($AC24:$AL24, AZ$3:AZ$12)/$AZ$13)</f>
        <v>0</v>
      </c>
      <c r="AZ24" s="130">
        <f t="array" ref="AZ24">IF($BA$13=0,0,MMULT($AC24:$AL24, BA$3:BA$12)/$BA$13)</f>
        <v>0</v>
      </c>
      <c r="BA24" s="130">
        <f t="array" ref="BA24">IF($BB$13=0,0,MMULT($AC24:$AL24, BB$3:BB$12)/$BB$13)</f>
        <v>0.57692307692307687</v>
      </c>
      <c r="BB24" s="130">
        <f t="array" ref="BB24">IF($BC$13=0,0,MMULT($AC24:$AL24, BC$3:BC$12)/$BC$13)</f>
        <v>0</v>
      </c>
      <c r="BC24" s="130">
        <f t="array" ref="BC24">IF($BD$13=0,0,MMULT($AC24:$AL24, BD$3:BD$12)/$BD$13)</f>
        <v>0</v>
      </c>
      <c r="BD24" s="130">
        <f t="array" ref="BD24">IF($BE$13=0,0,MMULT($AC24:$AL24, BE$3:BE$12)/$BE$13)</f>
        <v>0</v>
      </c>
      <c r="BE24" s="130">
        <f t="array" ref="BE24">IF($BF$13=0,0,MMULT($AC24:$AL24, BF$3:BF$12)/$BF$13)</f>
        <v>0</v>
      </c>
      <c r="BF24" s="130">
        <f t="array" ref="BF24">IF($BG$13=0,0,MMULT($AC24:$AL24, BG$3:BG$12)/$BG$13)</f>
        <v>0</v>
      </c>
      <c r="BG24" s="130">
        <f t="array" ref="BG24">IF($BH$13=0,0,MMULT($AC24:$AL24, BH$3:BH$12)/$BH$13)</f>
        <v>0.6843999999999999</v>
      </c>
      <c r="BH24" s="130">
        <f t="array" ref="BH24">IF($BI$13=0,0,MMULT($AC24:$AL24, BI$3:BI$12)/$BI$13)</f>
        <v>0</v>
      </c>
      <c r="BI24" s="130">
        <f t="array" ref="BI24">IF($BJ$13=0,0,MMULT($AC24:$AL24, BJ$3:BJ$12)/$BJ$13)</f>
        <v>0</v>
      </c>
      <c r="BJ24" s="129" t="e">
        <f>IF(OR(CSE4098C_Summer2026_Grade!$J10="W (Withdrawn)", CSE4098C_Summer2026_Grade!$J10="I (Incomplete)"), 0, IF(AX24&gt;=55%, 1, 0))</f>
        <v>#DIV/0!</v>
      </c>
      <c r="BK24" s="129" t="e">
        <f>IF(OR(CSE4098C_Summer2026_Grade!$J10="W (Withdrawn)", CSE4098C_Summer2026_Grade!$J10="I (Incomplete)"), 0, IF(AY24&gt;=55%, 1, 0))</f>
        <v>#DIV/0!</v>
      </c>
      <c r="BL24" s="129" t="e">
        <f>IF(OR(CSE4098C_Summer2026_Grade!$J10="W (Withdrawn)", CSE4098C_Summer2026_Grade!$J10="I (Incomplete)"), 0, IF(AZ24&gt;=55%, 1, 0))</f>
        <v>#DIV/0!</v>
      </c>
      <c r="BM24" s="129" t="e">
        <f>IF(OR(CSE4098C_Summer2026_Grade!$J10="W (Withdrawn)", CSE4098C_Summer2026_Grade!$J10="I (Incomplete)"), 0, IF(BA24&gt;=55%, 1, 0))</f>
        <v>#DIV/0!</v>
      </c>
      <c r="BN24" s="129" t="e">
        <f>IF(OR(CSE4098C_Summer2026_Grade!$J10="W (Withdrawn)", CSE4098C_Summer2026_Grade!$J10="I (Incomplete)"), 0, IF(BB24&gt;=55%, 1, 0))</f>
        <v>#DIV/0!</v>
      </c>
      <c r="BO24" s="129" t="e">
        <f>IF(OR(CSE4098C_Summer2026_Grade!$J10="W (Withdrawn)", CSE4098C_Summer2026_Grade!$J10="I (Incomplete)"), 0, IF(BC24&gt;=55%, 1, 0))</f>
        <v>#DIV/0!</v>
      </c>
      <c r="BP24" s="129" t="e">
        <f>IF(OR(CSE4098C_Summer2026_Grade!$J10="W (Withdrawn)", CSE4098C_Summer2026_Grade!$J10="I (Incomplete)"), 0, IF(BD24&gt;=55%, 1, 0))</f>
        <v>#DIV/0!</v>
      </c>
      <c r="BQ24" s="129" t="e">
        <f>IF(OR(CSE4098C_Summer2026_Grade!$J10="W (Withdrawn)", CSE4098C_Summer2026_Grade!$J10="I (Incomplete)"), 0, IF(BE24&gt;=55%, 1, 0))</f>
        <v>#DIV/0!</v>
      </c>
      <c r="BR24" s="129" t="e">
        <f>IF(OR(CSE4098C_Summer2026_Grade!$J10="W (Withdrawn)", CSE4098C_Summer2026_Grade!$J10="I (Incomplete)"), 0, IF(BF24&gt;=55%, 1, 0))</f>
        <v>#DIV/0!</v>
      </c>
      <c r="BS24" s="129" t="e">
        <f>IF(OR(CSE4098C_Summer2026_Grade!$J10="W (Withdrawn)", CSE4098C_Summer2026_Grade!$J10="I (Incomplete)"), 0, IF(BG24&gt;=55%, 1, 0))</f>
        <v>#DIV/0!</v>
      </c>
      <c r="BT24" s="129" t="e">
        <f>IF(OR(CSE4098C_Summer2026_Grade!$J10="W (Withdrawn)", CSE4098C_Summer2026_Grade!$J10="I (Incomplete)"), 0, IF(BH24&gt;=55%, 1, 0))</f>
        <v>#DIV/0!</v>
      </c>
      <c r="BU24" s="129" t="e">
        <f>IF(OR(CSE4098C_Summer2026_Grade!$J10="W (Withdrawn)", CSE4098C_Summer2026_Grade!$J10="I (Incomplete)"), 0, IF(BI24&gt;=55%, 1, 0))</f>
        <v>#DIV/0!</v>
      </c>
    </row>
    <row r="25" spans="1:73" ht="12.75" customHeight="1" thickBot="1">
      <c r="A25" s="118">
        <f t="shared" si="11"/>
        <v>7</v>
      </c>
      <c r="B25" s="222">
        <v>222014012</v>
      </c>
      <c r="C25" s="222" t="s">
        <v>211</v>
      </c>
      <c r="D25" s="119">
        <f>CO_Report_Evaluation!AG10</f>
        <v>0</v>
      </c>
      <c r="E25" s="119">
        <f>CO_Report_Evaluation!AH10</f>
        <v>0</v>
      </c>
      <c r="F25" s="119">
        <f>CO_Report_Evaluation!AI10</f>
        <v>0</v>
      </c>
      <c r="G25" s="119">
        <f>CO_Report_Evaluation!AJ10</f>
        <v>0</v>
      </c>
      <c r="H25" s="119">
        <f>CO_Report_Evaluation!AK10</f>
        <v>0</v>
      </c>
      <c r="I25" s="119">
        <f>CO_Report_Evaluation!AL10</f>
        <v>0</v>
      </c>
      <c r="J25" s="119">
        <f>CO_Report_Evaluation!AM10</f>
        <v>0</v>
      </c>
      <c r="K25" s="119">
        <f>CO_Report_Evaluation!AN10</f>
        <v>0</v>
      </c>
      <c r="L25" s="119">
        <f>CSE4098C_Summer2026_Grade!G11</f>
        <v>0</v>
      </c>
      <c r="M25" s="119"/>
      <c r="N25" s="33">
        <f>((CSE4098C_Summer2026_Grade!E11)*10)/25</f>
        <v>6.9040000000000008</v>
      </c>
      <c r="O25" s="120"/>
      <c r="P25" s="121"/>
      <c r="Q25" s="122">
        <v>15</v>
      </c>
      <c r="R25" s="120"/>
      <c r="S25" s="123">
        <f t="shared" si="4"/>
        <v>0</v>
      </c>
      <c r="T25" s="124">
        <f t="shared" ref="T25:U25" si="32">E25</f>
        <v>0</v>
      </c>
      <c r="U25" s="124">
        <f t="shared" si="32"/>
        <v>0</v>
      </c>
      <c r="V25" s="124">
        <f t="shared" ref="V25:X25" si="33">SUM(G25,P25)</f>
        <v>0</v>
      </c>
      <c r="W25" s="124">
        <f t="shared" si="33"/>
        <v>15</v>
      </c>
      <c r="X25" s="124">
        <f t="shared" si="33"/>
        <v>0</v>
      </c>
      <c r="Y25" s="125">
        <f t="shared" ref="Y25:AA25" si="34">J25</f>
        <v>0</v>
      </c>
      <c r="Z25" s="125">
        <f t="shared" si="34"/>
        <v>0</v>
      </c>
      <c r="AA25" s="125">
        <f t="shared" si="34"/>
        <v>0</v>
      </c>
      <c r="AB25" s="125">
        <f t="shared" si="9"/>
        <v>6.9040000000000008</v>
      </c>
      <c r="AC25" s="126">
        <f t="shared" ref="AC25:AL25" si="35">IF(S25 = 0, 0, S25/S$18)</f>
        <v>0</v>
      </c>
      <c r="AD25" s="127">
        <f t="shared" si="35"/>
        <v>0</v>
      </c>
      <c r="AE25" s="128">
        <f t="shared" si="35"/>
        <v>0</v>
      </c>
      <c r="AF25" s="128">
        <f t="shared" si="35"/>
        <v>0</v>
      </c>
      <c r="AG25" s="128">
        <f t="shared" si="35"/>
        <v>0.57692307692307687</v>
      </c>
      <c r="AH25" s="128">
        <f t="shared" si="35"/>
        <v>0</v>
      </c>
      <c r="AI25" s="128">
        <f t="shared" si="35"/>
        <v>0</v>
      </c>
      <c r="AJ25" s="128">
        <f t="shared" si="35"/>
        <v>0</v>
      </c>
      <c r="AK25" s="128">
        <f t="shared" si="35"/>
        <v>0</v>
      </c>
      <c r="AL25" s="128">
        <f t="shared" si="35"/>
        <v>0.69040000000000012</v>
      </c>
      <c r="AM25" s="129" t="e">
        <f>IF(OR(CSE4098C_Summer2026_Grade!$J11="W (Withdrawn)", CSE4098C_Summer2026_Grade!$J11="I (Incomplete)"), 0, IF(AC25&gt;=55%, 1, 0))</f>
        <v>#DIV/0!</v>
      </c>
      <c r="AN25" s="129" t="e">
        <f>IF(OR(CSE4098C_Summer2026_Grade!$J11="W (Withdrawn)", CSE4098C_Summer2026_Grade!$J11="I (Incomplete)"), 0, IF(AD25&gt;=55%, 1, 0))</f>
        <v>#DIV/0!</v>
      </c>
      <c r="AO25" s="129" t="e">
        <f>IF(OR(CSE4098C_Summer2026_Grade!$J11="W (Withdrawn)", CSE4098C_Summer2026_Grade!$J11="I (Incomplete)"), 0, IF(AE25&gt;=55%, 1, 0))</f>
        <v>#DIV/0!</v>
      </c>
      <c r="AP25" s="129" t="e">
        <f>IF(OR(CSE4098C_Summer2026_Grade!$J11="W (Withdrawn)", CSE4098C_Summer2026_Grade!$J11="I (Incomplete)"), 0, IF(AF25&gt;=55%, 1, 0))</f>
        <v>#DIV/0!</v>
      </c>
      <c r="AQ25" s="129" t="e">
        <f>IF(OR(CSE4098C_Summer2026_Grade!$J11="W (Withdrawn)", CSE4098C_Summer2026_Grade!$J11="I (Incomplete)"), 0, IF(AG25&gt;=55%, 1, 0))</f>
        <v>#DIV/0!</v>
      </c>
      <c r="AR25" s="129" t="e">
        <f>IF(OR(CSE4098C_Summer2026_Grade!$J11="W (Withdrawn)", CSE4098C_Summer2026_Grade!$J11="I (Incomplete)"), 0, IF(AH25&gt;=55%, 1, 0))</f>
        <v>#DIV/0!</v>
      </c>
      <c r="AS25" s="129" t="e">
        <f>IF(OR(CSE4098C_Summer2026_Grade!$J11="W (Withdrawn)", CSE4098C_Summer2026_Grade!$J11="I (Incomplete)"), 0, IF(AI25&gt;=55%, 1, 0))</f>
        <v>#DIV/0!</v>
      </c>
      <c r="AT25" s="129" t="e">
        <f>IF(OR(CSE4098C_Summer2026_Grade!$J11="W (Withdrawn)", CSE4098C_Summer2026_Grade!$J11="I (Incomplete)"), 0, IF(AJ25&gt;=55%, 1, 0))</f>
        <v>#DIV/0!</v>
      </c>
      <c r="AU25" s="129" t="e">
        <f>IF(OR(CSE4098C_Summer2026_Grade!$J11="W (Withdrawn)", CSE4098C_Summer2026_Grade!$J11="I (Incomplete)"), 0, IF(AK25&gt;=55%, 1, 0))</f>
        <v>#DIV/0!</v>
      </c>
      <c r="AV25" s="129" t="e">
        <f>IF(OR(CSE4098C_Summer2026_Grade!$J11="W (Withdrawn)", CSE4098C_Summer2026_Grade!$J11="I (Incomplete)"), 0, IF(AL25&gt;=55%, 1, 0))</f>
        <v>#DIV/0!</v>
      </c>
      <c r="AX25" s="130">
        <f t="array" ref="AX25">IF($AY$13=0,0,MMULT($AC25:$AL25, AY$3:AY$12)/$AY$13)</f>
        <v>0</v>
      </c>
      <c r="AY25" s="130">
        <f t="array" ref="AY25">IF($AZ$13=0,0,MMULT($AC25:$AL25, AZ$3:AZ$12)/$AZ$13)</f>
        <v>0</v>
      </c>
      <c r="AZ25" s="130">
        <f t="array" ref="AZ25">IF($BA$13=0,0,MMULT($AC25:$AL25, BA$3:BA$12)/$BA$13)</f>
        <v>0</v>
      </c>
      <c r="BA25" s="130">
        <f t="array" ref="BA25">IF($BB$13=0,0,MMULT($AC25:$AL25, BB$3:BB$12)/$BB$13)</f>
        <v>0.57692307692307687</v>
      </c>
      <c r="BB25" s="130">
        <f t="array" ref="BB25">IF($BC$13=0,0,MMULT($AC25:$AL25, BC$3:BC$12)/$BC$13)</f>
        <v>0</v>
      </c>
      <c r="BC25" s="130">
        <f t="array" ref="BC25">IF($BD$13=0,0,MMULT($AC25:$AL25, BD$3:BD$12)/$BD$13)</f>
        <v>0</v>
      </c>
      <c r="BD25" s="130">
        <f t="array" ref="BD25">IF($BE$13=0,0,MMULT($AC25:$AL25, BE$3:BE$12)/$BE$13)</f>
        <v>0</v>
      </c>
      <c r="BE25" s="130">
        <f t="array" ref="BE25">IF($BF$13=0,0,MMULT($AC25:$AL25, BF$3:BF$12)/$BF$13)</f>
        <v>0</v>
      </c>
      <c r="BF25" s="130">
        <f t="array" ref="BF25">IF($BG$13=0,0,MMULT($AC25:$AL25, BG$3:BG$12)/$BG$13)</f>
        <v>0</v>
      </c>
      <c r="BG25" s="130">
        <f t="array" ref="BG25">IF($BH$13=0,0,MMULT($AC25:$AL25, BH$3:BH$12)/$BH$13)</f>
        <v>0.69040000000000012</v>
      </c>
      <c r="BH25" s="130">
        <f t="array" ref="BH25">IF($BI$13=0,0,MMULT($AC25:$AL25, BI$3:BI$12)/$BI$13)</f>
        <v>0</v>
      </c>
      <c r="BI25" s="130">
        <f t="array" ref="BI25">IF($BJ$13=0,0,MMULT($AC25:$AL25, BJ$3:BJ$12)/$BJ$13)</f>
        <v>0</v>
      </c>
      <c r="BJ25" s="129" t="e">
        <f>IF(OR(CSE4098C_Summer2026_Grade!$J11="W (Withdrawn)", CSE4098C_Summer2026_Grade!$J11="I (Incomplete)"), 0, IF(AX25&gt;=55%, 1, 0))</f>
        <v>#DIV/0!</v>
      </c>
      <c r="BK25" s="129" t="e">
        <f>IF(OR(CSE4098C_Summer2026_Grade!$J11="W (Withdrawn)", CSE4098C_Summer2026_Grade!$J11="I (Incomplete)"), 0, IF(AY25&gt;=55%, 1, 0))</f>
        <v>#DIV/0!</v>
      </c>
      <c r="BL25" s="129" t="e">
        <f>IF(OR(CSE4098C_Summer2026_Grade!$J11="W (Withdrawn)", CSE4098C_Summer2026_Grade!$J11="I (Incomplete)"), 0, IF(AZ25&gt;=55%, 1, 0))</f>
        <v>#DIV/0!</v>
      </c>
      <c r="BM25" s="129" t="e">
        <f>IF(OR(CSE4098C_Summer2026_Grade!$J11="W (Withdrawn)", CSE4098C_Summer2026_Grade!$J11="I (Incomplete)"), 0, IF(BA25&gt;=55%, 1, 0))</f>
        <v>#DIV/0!</v>
      </c>
      <c r="BN25" s="129" t="e">
        <f>IF(OR(CSE4098C_Summer2026_Grade!$J11="W (Withdrawn)", CSE4098C_Summer2026_Grade!$J11="I (Incomplete)"), 0, IF(BB25&gt;=55%, 1, 0))</f>
        <v>#DIV/0!</v>
      </c>
      <c r="BO25" s="129" t="e">
        <f>IF(OR(CSE4098C_Summer2026_Grade!$J11="W (Withdrawn)", CSE4098C_Summer2026_Grade!$J11="I (Incomplete)"), 0, IF(BC25&gt;=55%, 1, 0))</f>
        <v>#DIV/0!</v>
      </c>
      <c r="BP25" s="129" t="e">
        <f>IF(OR(CSE4098C_Summer2026_Grade!$J11="W (Withdrawn)", CSE4098C_Summer2026_Grade!$J11="I (Incomplete)"), 0, IF(BD25&gt;=55%, 1, 0))</f>
        <v>#DIV/0!</v>
      </c>
      <c r="BQ25" s="129" t="e">
        <f>IF(OR(CSE4098C_Summer2026_Grade!$J11="W (Withdrawn)", CSE4098C_Summer2026_Grade!$J11="I (Incomplete)"), 0, IF(BE25&gt;=55%, 1, 0))</f>
        <v>#DIV/0!</v>
      </c>
      <c r="BR25" s="129" t="e">
        <f>IF(OR(CSE4098C_Summer2026_Grade!$J11="W (Withdrawn)", CSE4098C_Summer2026_Grade!$J11="I (Incomplete)"), 0, IF(BF25&gt;=55%, 1, 0))</f>
        <v>#DIV/0!</v>
      </c>
      <c r="BS25" s="129" t="e">
        <f>IF(OR(CSE4098C_Summer2026_Grade!$J11="W (Withdrawn)", CSE4098C_Summer2026_Grade!$J11="I (Incomplete)"), 0, IF(BG25&gt;=55%, 1, 0))</f>
        <v>#DIV/0!</v>
      </c>
      <c r="BT25" s="129" t="e">
        <f>IF(OR(CSE4098C_Summer2026_Grade!$J11="W (Withdrawn)", CSE4098C_Summer2026_Grade!$J11="I (Incomplete)"), 0, IF(BH25&gt;=55%, 1, 0))</f>
        <v>#DIV/0!</v>
      </c>
      <c r="BU25" s="129" t="e">
        <f>IF(OR(CSE4098C_Summer2026_Grade!$J11="W (Withdrawn)", CSE4098C_Summer2026_Grade!$J11="I (Incomplete)"), 0, IF(BI25&gt;=55%, 1, 0))</f>
        <v>#DIV/0!</v>
      </c>
    </row>
    <row r="26" spans="1:73" ht="12.75" customHeight="1" thickBot="1">
      <c r="A26" s="118">
        <f t="shared" si="11"/>
        <v>8</v>
      </c>
      <c r="B26" s="222">
        <v>222014096</v>
      </c>
      <c r="C26" s="222" t="s">
        <v>212</v>
      </c>
      <c r="D26" s="119">
        <f>CO_Report_Evaluation!AG11</f>
        <v>0</v>
      </c>
      <c r="E26" s="119">
        <f>CO_Report_Evaluation!AH11</f>
        <v>0</v>
      </c>
      <c r="F26" s="119">
        <f>CO_Report_Evaluation!AI11</f>
        <v>0</v>
      </c>
      <c r="G26" s="119">
        <f>CO_Report_Evaluation!AJ11</f>
        <v>0</v>
      </c>
      <c r="H26" s="119">
        <f>CO_Report_Evaluation!AK11</f>
        <v>0</v>
      </c>
      <c r="I26" s="119">
        <f>CO_Report_Evaluation!AL11</f>
        <v>0</v>
      </c>
      <c r="J26" s="119">
        <f>CO_Report_Evaluation!AM11</f>
        <v>0</v>
      </c>
      <c r="K26" s="119">
        <f>CO_Report_Evaluation!AN11</f>
        <v>0</v>
      </c>
      <c r="L26" s="119">
        <f>CSE4098C_Summer2026_Grade!G12</f>
        <v>0</v>
      </c>
      <c r="M26" s="119"/>
      <c r="N26" s="33">
        <f>((CSE4098C_Summer2026_Grade!E12)*10)/25</f>
        <v>6.8439999999999994</v>
      </c>
      <c r="O26" s="120"/>
      <c r="P26" s="121"/>
      <c r="Q26" s="122">
        <v>15</v>
      </c>
      <c r="R26" s="120"/>
      <c r="S26" s="123">
        <f t="shared" si="4"/>
        <v>0</v>
      </c>
      <c r="T26" s="124">
        <f t="shared" ref="T26:U26" si="36">E26</f>
        <v>0</v>
      </c>
      <c r="U26" s="124">
        <f t="shared" si="36"/>
        <v>0</v>
      </c>
      <c r="V26" s="124">
        <f t="shared" ref="V26:X26" si="37">SUM(G26,P26)</f>
        <v>0</v>
      </c>
      <c r="W26" s="124">
        <f t="shared" si="37"/>
        <v>15</v>
      </c>
      <c r="X26" s="124">
        <f t="shared" si="37"/>
        <v>0</v>
      </c>
      <c r="Y26" s="125">
        <f t="shared" ref="Y26:AA26" si="38">J26</f>
        <v>0</v>
      </c>
      <c r="Z26" s="125">
        <f t="shared" si="38"/>
        <v>0</v>
      </c>
      <c r="AA26" s="125">
        <f t="shared" si="38"/>
        <v>0</v>
      </c>
      <c r="AB26" s="125">
        <f t="shared" si="9"/>
        <v>6.8439999999999994</v>
      </c>
      <c r="AC26" s="126">
        <f t="shared" ref="AC26:AL26" si="39">IF(S26 = 0, 0, S26/S$18)</f>
        <v>0</v>
      </c>
      <c r="AD26" s="127">
        <f t="shared" si="39"/>
        <v>0</v>
      </c>
      <c r="AE26" s="128">
        <f t="shared" si="39"/>
        <v>0</v>
      </c>
      <c r="AF26" s="128">
        <f t="shared" si="39"/>
        <v>0</v>
      </c>
      <c r="AG26" s="128">
        <f t="shared" si="39"/>
        <v>0.57692307692307687</v>
      </c>
      <c r="AH26" s="128">
        <f t="shared" si="39"/>
        <v>0</v>
      </c>
      <c r="AI26" s="128">
        <f t="shared" si="39"/>
        <v>0</v>
      </c>
      <c r="AJ26" s="128">
        <f t="shared" si="39"/>
        <v>0</v>
      </c>
      <c r="AK26" s="128">
        <f t="shared" si="39"/>
        <v>0</v>
      </c>
      <c r="AL26" s="128">
        <f t="shared" si="39"/>
        <v>0.6843999999999999</v>
      </c>
      <c r="AM26" s="129" t="e">
        <f>IF(OR(CSE4098C_Summer2026_Grade!$J12="W (Withdrawn)", CSE4098C_Summer2026_Grade!$J12="I (Incomplete)"), 0, IF(AC26&gt;=55%, 1, 0))</f>
        <v>#DIV/0!</v>
      </c>
      <c r="AN26" s="129" t="e">
        <f>IF(OR(CSE4098C_Summer2026_Grade!$J12="W (Withdrawn)", CSE4098C_Summer2026_Grade!$J12="I (Incomplete)"), 0, IF(AD26&gt;=55%, 1, 0))</f>
        <v>#DIV/0!</v>
      </c>
      <c r="AO26" s="129" t="e">
        <f>IF(OR(CSE4098C_Summer2026_Grade!$J12="W (Withdrawn)", CSE4098C_Summer2026_Grade!$J12="I (Incomplete)"), 0, IF(AE26&gt;=55%, 1, 0))</f>
        <v>#DIV/0!</v>
      </c>
      <c r="AP26" s="129" t="e">
        <f>IF(OR(CSE4098C_Summer2026_Grade!$J12="W (Withdrawn)", CSE4098C_Summer2026_Grade!$J12="I (Incomplete)"), 0, IF(AF26&gt;=55%, 1, 0))</f>
        <v>#DIV/0!</v>
      </c>
      <c r="AQ26" s="129" t="e">
        <f>IF(OR(CSE4098C_Summer2026_Grade!$J12="W (Withdrawn)", CSE4098C_Summer2026_Grade!$J12="I (Incomplete)"), 0, IF(AG26&gt;=55%, 1, 0))</f>
        <v>#DIV/0!</v>
      </c>
      <c r="AR26" s="129" t="e">
        <f>IF(OR(CSE4098C_Summer2026_Grade!$J12="W (Withdrawn)", CSE4098C_Summer2026_Grade!$J12="I (Incomplete)"), 0, IF(AH26&gt;=55%, 1, 0))</f>
        <v>#DIV/0!</v>
      </c>
      <c r="AS26" s="129" t="e">
        <f>IF(OR(CSE4098C_Summer2026_Grade!$J12="W (Withdrawn)", CSE4098C_Summer2026_Grade!$J12="I (Incomplete)"), 0, IF(AI26&gt;=55%, 1, 0))</f>
        <v>#DIV/0!</v>
      </c>
      <c r="AT26" s="129" t="e">
        <f>IF(OR(CSE4098C_Summer2026_Grade!$J12="W (Withdrawn)", CSE4098C_Summer2026_Grade!$J12="I (Incomplete)"), 0, IF(AJ26&gt;=55%, 1, 0))</f>
        <v>#DIV/0!</v>
      </c>
      <c r="AU26" s="129" t="e">
        <f>IF(OR(CSE4098C_Summer2026_Grade!$J12="W (Withdrawn)", CSE4098C_Summer2026_Grade!$J12="I (Incomplete)"), 0, IF(AK26&gt;=55%, 1, 0))</f>
        <v>#DIV/0!</v>
      </c>
      <c r="AV26" s="129" t="e">
        <f>IF(OR(CSE4098C_Summer2026_Grade!$J12="W (Withdrawn)", CSE4098C_Summer2026_Grade!$J12="I (Incomplete)"), 0, IF(AL26&gt;=55%, 1, 0))</f>
        <v>#DIV/0!</v>
      </c>
      <c r="AX26" s="130">
        <f t="array" ref="AX26">IF($AY$13=0,0,MMULT($AC26:$AL26, AY$3:AY$12)/$AY$13)</f>
        <v>0</v>
      </c>
      <c r="AY26" s="130">
        <f t="array" ref="AY26">IF($AZ$13=0,0,MMULT($AC26:$AL26, AZ$3:AZ$12)/$AZ$13)</f>
        <v>0</v>
      </c>
      <c r="AZ26" s="130">
        <f t="array" ref="AZ26">IF($BA$13=0,0,MMULT($AC26:$AL26, BA$3:BA$12)/$BA$13)</f>
        <v>0</v>
      </c>
      <c r="BA26" s="130">
        <f t="array" ref="BA26">IF($BB$13=0,0,MMULT($AC26:$AL26, BB$3:BB$12)/$BB$13)</f>
        <v>0.57692307692307687</v>
      </c>
      <c r="BB26" s="130">
        <f t="array" ref="BB26">IF($BC$13=0,0,MMULT($AC26:$AL26, BC$3:BC$12)/$BC$13)</f>
        <v>0</v>
      </c>
      <c r="BC26" s="130">
        <f t="array" ref="BC26">IF($BD$13=0,0,MMULT($AC26:$AL26, BD$3:BD$12)/$BD$13)</f>
        <v>0</v>
      </c>
      <c r="BD26" s="130">
        <f t="array" ref="BD26">IF($BE$13=0,0,MMULT($AC26:$AL26, BE$3:BE$12)/$BE$13)</f>
        <v>0</v>
      </c>
      <c r="BE26" s="130">
        <f t="array" ref="BE26">IF($BF$13=0,0,MMULT($AC26:$AL26, BF$3:BF$12)/$BF$13)</f>
        <v>0</v>
      </c>
      <c r="BF26" s="130">
        <f t="array" ref="BF26">IF($BG$13=0,0,MMULT($AC26:$AL26, BG$3:BG$12)/$BG$13)</f>
        <v>0</v>
      </c>
      <c r="BG26" s="130">
        <f t="array" ref="BG26">IF($BH$13=0,0,MMULT($AC26:$AL26, BH$3:BH$12)/$BH$13)</f>
        <v>0.6843999999999999</v>
      </c>
      <c r="BH26" s="130">
        <f t="array" ref="BH26">IF($BI$13=0,0,MMULT($AC26:$AL26, BI$3:BI$12)/$BI$13)</f>
        <v>0</v>
      </c>
      <c r="BI26" s="130">
        <f t="array" ref="BI26">IF($BJ$13=0,0,MMULT($AC26:$AL26, BJ$3:BJ$12)/$BJ$13)</f>
        <v>0</v>
      </c>
      <c r="BJ26" s="129" t="e">
        <f>IF(OR(CSE4098C_Summer2026_Grade!$J12="W (Withdrawn)", CSE4098C_Summer2026_Grade!$J12="I (Incomplete)"), 0, IF(AX26&gt;=55%, 1, 0))</f>
        <v>#DIV/0!</v>
      </c>
      <c r="BK26" s="129" t="e">
        <f>IF(OR(CSE4098C_Summer2026_Grade!$J12="W (Withdrawn)", CSE4098C_Summer2026_Grade!$J12="I (Incomplete)"), 0, IF(AY26&gt;=55%, 1, 0))</f>
        <v>#DIV/0!</v>
      </c>
      <c r="BL26" s="129" t="e">
        <f>IF(OR(CSE4098C_Summer2026_Grade!$J12="W (Withdrawn)", CSE4098C_Summer2026_Grade!$J12="I (Incomplete)"), 0, IF(AZ26&gt;=55%, 1, 0))</f>
        <v>#DIV/0!</v>
      </c>
      <c r="BM26" s="129" t="e">
        <f>IF(OR(CSE4098C_Summer2026_Grade!$J12="W (Withdrawn)", CSE4098C_Summer2026_Grade!$J12="I (Incomplete)"), 0, IF(BA26&gt;=55%, 1, 0))</f>
        <v>#DIV/0!</v>
      </c>
      <c r="BN26" s="129" t="e">
        <f>IF(OR(CSE4098C_Summer2026_Grade!$J12="W (Withdrawn)", CSE4098C_Summer2026_Grade!$J12="I (Incomplete)"), 0, IF(BB26&gt;=55%, 1, 0))</f>
        <v>#DIV/0!</v>
      </c>
      <c r="BO26" s="129" t="e">
        <f>IF(OR(CSE4098C_Summer2026_Grade!$J12="W (Withdrawn)", CSE4098C_Summer2026_Grade!$J12="I (Incomplete)"), 0, IF(BC26&gt;=55%, 1, 0))</f>
        <v>#DIV/0!</v>
      </c>
      <c r="BP26" s="129" t="e">
        <f>IF(OR(CSE4098C_Summer2026_Grade!$J12="W (Withdrawn)", CSE4098C_Summer2026_Grade!$J12="I (Incomplete)"), 0, IF(BD26&gt;=55%, 1, 0))</f>
        <v>#DIV/0!</v>
      </c>
      <c r="BQ26" s="129" t="e">
        <f>IF(OR(CSE4098C_Summer2026_Grade!$J12="W (Withdrawn)", CSE4098C_Summer2026_Grade!$J12="I (Incomplete)"), 0, IF(BE26&gt;=55%, 1, 0))</f>
        <v>#DIV/0!</v>
      </c>
      <c r="BR26" s="129" t="e">
        <f>IF(OR(CSE4098C_Summer2026_Grade!$J12="W (Withdrawn)", CSE4098C_Summer2026_Grade!$J12="I (Incomplete)"), 0, IF(BF26&gt;=55%, 1, 0))</f>
        <v>#DIV/0!</v>
      </c>
      <c r="BS26" s="129" t="e">
        <f>IF(OR(CSE4098C_Summer2026_Grade!$J12="W (Withdrawn)", CSE4098C_Summer2026_Grade!$J12="I (Incomplete)"), 0, IF(BG26&gt;=55%, 1, 0))</f>
        <v>#DIV/0!</v>
      </c>
      <c r="BT26" s="129" t="e">
        <f>IF(OR(CSE4098C_Summer2026_Grade!$J12="W (Withdrawn)", CSE4098C_Summer2026_Grade!$J12="I (Incomplete)"), 0, IF(BH26&gt;=55%, 1, 0))</f>
        <v>#DIV/0!</v>
      </c>
      <c r="BU26" s="129" t="e">
        <f>IF(OR(CSE4098C_Summer2026_Grade!$J12="W (Withdrawn)", CSE4098C_Summer2026_Grade!$J12="I (Incomplete)"), 0, IF(BI26&gt;=55%, 1, 0))</f>
        <v>#DIV/0!</v>
      </c>
    </row>
    <row r="27" spans="1:73" ht="12.75" customHeight="1" thickBot="1">
      <c r="A27" s="118">
        <f t="shared" si="11"/>
        <v>9</v>
      </c>
      <c r="B27" s="222">
        <v>221014135</v>
      </c>
      <c r="C27" s="223" t="s">
        <v>67</v>
      </c>
      <c r="D27" s="119">
        <f>CO_Report_Evaluation!AG12</f>
        <v>0</v>
      </c>
      <c r="E27" s="119">
        <f>CO_Report_Evaluation!AH12</f>
        <v>0</v>
      </c>
      <c r="F27" s="119">
        <f>CO_Report_Evaluation!AI12</f>
        <v>0</v>
      </c>
      <c r="G27" s="119">
        <f>CO_Report_Evaluation!AJ12</f>
        <v>0</v>
      </c>
      <c r="H27" s="119">
        <f>CO_Report_Evaluation!AK12</f>
        <v>0</v>
      </c>
      <c r="I27" s="119">
        <f>CO_Report_Evaluation!AL12</f>
        <v>0</v>
      </c>
      <c r="J27" s="119">
        <f>CO_Report_Evaluation!AM12</f>
        <v>0</v>
      </c>
      <c r="K27" s="119">
        <f>CO_Report_Evaluation!AN12</f>
        <v>0</v>
      </c>
      <c r="L27" s="119">
        <f>CSE4098C_Summer2026_Grade!G13</f>
        <v>0</v>
      </c>
      <c r="M27" s="119"/>
      <c r="N27" s="33">
        <f>((CSE4098C_Summer2026_Grade!E13)*10)/25</f>
        <v>6.2240000000000002</v>
      </c>
      <c r="O27" s="120"/>
      <c r="P27" s="121"/>
      <c r="Q27" s="122">
        <v>15</v>
      </c>
      <c r="R27" s="120"/>
      <c r="S27" s="123">
        <f t="shared" si="4"/>
        <v>0</v>
      </c>
      <c r="T27" s="124">
        <f t="shared" ref="T27:U27" si="40">E27</f>
        <v>0</v>
      </c>
      <c r="U27" s="124">
        <f t="shared" si="40"/>
        <v>0</v>
      </c>
      <c r="V27" s="124">
        <f t="shared" ref="V27:X27" si="41">SUM(G27,P27)</f>
        <v>0</v>
      </c>
      <c r="W27" s="124">
        <f t="shared" si="41"/>
        <v>15</v>
      </c>
      <c r="X27" s="124">
        <f t="shared" si="41"/>
        <v>0</v>
      </c>
      <c r="Y27" s="125">
        <f t="shared" ref="Y27:AA27" si="42">J27</f>
        <v>0</v>
      </c>
      <c r="Z27" s="125">
        <f t="shared" si="42"/>
        <v>0</v>
      </c>
      <c r="AA27" s="125">
        <f t="shared" si="42"/>
        <v>0</v>
      </c>
      <c r="AB27" s="125">
        <f t="shared" si="9"/>
        <v>6.2240000000000002</v>
      </c>
      <c r="AC27" s="126">
        <f t="shared" ref="AC27:AL27" si="43">IF(S27 = 0, 0, S27/S$18)</f>
        <v>0</v>
      </c>
      <c r="AD27" s="127">
        <f t="shared" si="43"/>
        <v>0</v>
      </c>
      <c r="AE27" s="128">
        <f t="shared" si="43"/>
        <v>0</v>
      </c>
      <c r="AF27" s="128">
        <f t="shared" si="43"/>
        <v>0</v>
      </c>
      <c r="AG27" s="128">
        <f t="shared" si="43"/>
        <v>0.57692307692307687</v>
      </c>
      <c r="AH27" s="128">
        <f t="shared" si="43"/>
        <v>0</v>
      </c>
      <c r="AI27" s="128">
        <f t="shared" si="43"/>
        <v>0</v>
      </c>
      <c r="AJ27" s="128">
        <f t="shared" si="43"/>
        <v>0</v>
      </c>
      <c r="AK27" s="128">
        <f t="shared" si="43"/>
        <v>0</v>
      </c>
      <c r="AL27" s="128">
        <f t="shared" si="43"/>
        <v>0.62240000000000006</v>
      </c>
      <c r="AM27" s="129" t="e">
        <f>IF(OR(CSE4098C_Summer2026_Grade!$J13="W (Withdrawn)", CSE4098C_Summer2026_Grade!$J13="I (Incomplete)"), 0, IF(AC27&gt;=55%, 1, 0))</f>
        <v>#DIV/0!</v>
      </c>
      <c r="AN27" s="129" t="e">
        <f>IF(OR(CSE4098C_Summer2026_Grade!$J13="W (Withdrawn)", CSE4098C_Summer2026_Grade!$J13="I (Incomplete)"), 0, IF(AD27&gt;=55%, 1, 0))</f>
        <v>#DIV/0!</v>
      </c>
      <c r="AO27" s="129" t="e">
        <f>IF(OR(CSE4098C_Summer2026_Grade!$J13="W (Withdrawn)", CSE4098C_Summer2026_Grade!$J13="I (Incomplete)"), 0, IF(AE27&gt;=55%, 1, 0))</f>
        <v>#DIV/0!</v>
      </c>
      <c r="AP27" s="129" t="e">
        <f>IF(OR(CSE4098C_Summer2026_Grade!$J13="W (Withdrawn)", CSE4098C_Summer2026_Grade!$J13="I (Incomplete)"), 0, IF(AF27&gt;=55%, 1, 0))</f>
        <v>#DIV/0!</v>
      </c>
      <c r="AQ27" s="129" t="e">
        <f>IF(OR(CSE4098C_Summer2026_Grade!$J13="W (Withdrawn)", CSE4098C_Summer2026_Grade!$J13="I (Incomplete)"), 0, IF(AG27&gt;=55%, 1, 0))</f>
        <v>#DIV/0!</v>
      </c>
      <c r="AR27" s="129" t="e">
        <f>IF(OR(CSE4098C_Summer2026_Grade!$J13="W (Withdrawn)", CSE4098C_Summer2026_Grade!$J13="I (Incomplete)"), 0, IF(AH27&gt;=55%, 1, 0))</f>
        <v>#DIV/0!</v>
      </c>
      <c r="AS27" s="129" t="e">
        <f>IF(OR(CSE4098C_Summer2026_Grade!$J13="W (Withdrawn)", CSE4098C_Summer2026_Grade!$J13="I (Incomplete)"), 0, IF(AI27&gt;=55%, 1, 0))</f>
        <v>#DIV/0!</v>
      </c>
      <c r="AT27" s="129" t="e">
        <f>IF(OR(CSE4098C_Summer2026_Grade!$J13="W (Withdrawn)", CSE4098C_Summer2026_Grade!$J13="I (Incomplete)"), 0, IF(AJ27&gt;=55%, 1, 0))</f>
        <v>#DIV/0!</v>
      </c>
      <c r="AU27" s="129" t="e">
        <f>IF(OR(CSE4098C_Summer2026_Grade!$J13="W (Withdrawn)", CSE4098C_Summer2026_Grade!$J13="I (Incomplete)"), 0, IF(AK27&gt;=55%, 1, 0))</f>
        <v>#DIV/0!</v>
      </c>
      <c r="AV27" s="129" t="e">
        <f>IF(OR(CSE4098C_Summer2026_Grade!$J13="W (Withdrawn)", CSE4098C_Summer2026_Grade!$J13="I (Incomplete)"), 0, IF(AL27&gt;=55%, 1, 0))</f>
        <v>#DIV/0!</v>
      </c>
      <c r="AX27" s="130">
        <f t="array" ref="AX27">IF($AY$13=0,0,MMULT($AC27:$AL27, AY$3:AY$12)/$AY$13)</f>
        <v>0</v>
      </c>
      <c r="AY27" s="130">
        <f t="array" ref="AY27">IF($AZ$13=0,0,MMULT($AC27:$AL27, AZ$3:AZ$12)/$AZ$13)</f>
        <v>0</v>
      </c>
      <c r="AZ27" s="130">
        <f t="array" ref="AZ27">IF($BA$13=0,0,MMULT($AC27:$AL27, BA$3:BA$12)/$BA$13)</f>
        <v>0</v>
      </c>
      <c r="BA27" s="130">
        <f t="array" ref="BA27">IF($BB$13=0,0,MMULT($AC27:$AL27, BB$3:BB$12)/$BB$13)</f>
        <v>0.57692307692307687</v>
      </c>
      <c r="BB27" s="130">
        <f t="array" ref="BB27">IF($BC$13=0,0,MMULT($AC27:$AL27, BC$3:BC$12)/$BC$13)</f>
        <v>0</v>
      </c>
      <c r="BC27" s="130">
        <f t="array" ref="BC27">IF($BD$13=0,0,MMULT($AC27:$AL27, BD$3:BD$12)/$BD$13)</f>
        <v>0</v>
      </c>
      <c r="BD27" s="130">
        <f t="array" ref="BD27">IF($BE$13=0,0,MMULT($AC27:$AL27, BE$3:BE$12)/$BE$13)</f>
        <v>0</v>
      </c>
      <c r="BE27" s="130">
        <f t="array" ref="BE27">IF($BF$13=0,0,MMULT($AC27:$AL27, BF$3:BF$12)/$BF$13)</f>
        <v>0</v>
      </c>
      <c r="BF27" s="130">
        <f t="array" ref="BF27">IF($BG$13=0,0,MMULT($AC27:$AL27, BG$3:BG$12)/$BG$13)</f>
        <v>0</v>
      </c>
      <c r="BG27" s="130">
        <f t="array" ref="BG27">IF($BH$13=0,0,MMULT($AC27:$AL27, BH$3:BH$12)/$BH$13)</f>
        <v>0.62240000000000006</v>
      </c>
      <c r="BH27" s="130">
        <f t="array" ref="BH27">IF($BI$13=0,0,MMULT($AC27:$AL27, BI$3:BI$12)/$BI$13)</f>
        <v>0</v>
      </c>
      <c r="BI27" s="130">
        <f t="array" ref="BI27">IF($BJ$13=0,0,MMULT($AC27:$AL27, BJ$3:BJ$12)/$BJ$13)</f>
        <v>0</v>
      </c>
      <c r="BJ27" s="129" t="e">
        <f>IF(OR(CSE4098C_Summer2026_Grade!$J13="W (Withdrawn)", CSE4098C_Summer2026_Grade!$J13="I (Incomplete)"), 0, IF(AX27&gt;=55%, 1, 0))</f>
        <v>#DIV/0!</v>
      </c>
      <c r="BK27" s="129" t="e">
        <f>IF(OR(CSE4098C_Summer2026_Grade!$J13="W (Withdrawn)", CSE4098C_Summer2026_Grade!$J13="I (Incomplete)"), 0, IF(AY27&gt;=55%, 1, 0))</f>
        <v>#DIV/0!</v>
      </c>
      <c r="BL27" s="129" t="e">
        <f>IF(OR(CSE4098C_Summer2026_Grade!$J13="W (Withdrawn)", CSE4098C_Summer2026_Grade!$J13="I (Incomplete)"), 0, IF(AZ27&gt;=55%, 1, 0))</f>
        <v>#DIV/0!</v>
      </c>
      <c r="BM27" s="129" t="e">
        <f>IF(OR(CSE4098C_Summer2026_Grade!$J13="W (Withdrawn)", CSE4098C_Summer2026_Grade!$J13="I (Incomplete)"), 0, IF(BA27&gt;=55%, 1, 0))</f>
        <v>#DIV/0!</v>
      </c>
      <c r="BN27" s="129" t="e">
        <f>IF(OR(CSE4098C_Summer2026_Grade!$J13="W (Withdrawn)", CSE4098C_Summer2026_Grade!$J13="I (Incomplete)"), 0, IF(BB27&gt;=55%, 1, 0))</f>
        <v>#DIV/0!</v>
      </c>
      <c r="BO27" s="129" t="e">
        <f>IF(OR(CSE4098C_Summer2026_Grade!$J13="W (Withdrawn)", CSE4098C_Summer2026_Grade!$J13="I (Incomplete)"), 0, IF(BC27&gt;=55%, 1, 0))</f>
        <v>#DIV/0!</v>
      </c>
      <c r="BP27" s="129" t="e">
        <f>IF(OR(CSE4098C_Summer2026_Grade!$J13="W (Withdrawn)", CSE4098C_Summer2026_Grade!$J13="I (Incomplete)"), 0, IF(BD27&gt;=55%, 1, 0))</f>
        <v>#DIV/0!</v>
      </c>
      <c r="BQ27" s="129" t="e">
        <f>IF(OR(CSE4098C_Summer2026_Grade!$J13="W (Withdrawn)", CSE4098C_Summer2026_Grade!$J13="I (Incomplete)"), 0, IF(BE27&gt;=55%, 1, 0))</f>
        <v>#DIV/0!</v>
      </c>
      <c r="BR27" s="129" t="e">
        <f>IF(OR(CSE4098C_Summer2026_Grade!$J13="W (Withdrawn)", CSE4098C_Summer2026_Grade!$J13="I (Incomplete)"), 0, IF(BF27&gt;=55%, 1, 0))</f>
        <v>#DIV/0!</v>
      </c>
      <c r="BS27" s="129" t="e">
        <f>IF(OR(CSE4098C_Summer2026_Grade!$J13="W (Withdrawn)", CSE4098C_Summer2026_Grade!$J13="I (Incomplete)"), 0, IF(BG27&gt;=55%, 1, 0))</f>
        <v>#DIV/0!</v>
      </c>
      <c r="BT27" s="129" t="e">
        <f>IF(OR(CSE4098C_Summer2026_Grade!$J13="W (Withdrawn)", CSE4098C_Summer2026_Grade!$J13="I (Incomplete)"), 0, IF(BH27&gt;=55%, 1, 0))</f>
        <v>#DIV/0!</v>
      </c>
      <c r="BU27" s="129" t="e">
        <f>IF(OR(CSE4098C_Summer2026_Grade!$J13="W (Withdrawn)", CSE4098C_Summer2026_Grade!$J13="I (Incomplete)"), 0, IF(BI27&gt;=55%, 1, 0))</f>
        <v>#DIV/0!</v>
      </c>
    </row>
    <row r="28" spans="1:73" ht="12.75" customHeight="1" thickBot="1">
      <c r="A28" s="118">
        <f t="shared" si="11"/>
        <v>10</v>
      </c>
      <c r="B28" s="222">
        <v>221014018</v>
      </c>
      <c r="C28" s="223" t="s">
        <v>213</v>
      </c>
      <c r="D28" s="119">
        <f>CO_Report_Evaluation!AG13</f>
        <v>0</v>
      </c>
      <c r="E28" s="119">
        <f>CO_Report_Evaluation!AH13</f>
        <v>0</v>
      </c>
      <c r="F28" s="119">
        <f>CO_Report_Evaluation!AI13</f>
        <v>0</v>
      </c>
      <c r="G28" s="119">
        <f>CO_Report_Evaluation!AJ13</f>
        <v>0</v>
      </c>
      <c r="H28" s="119">
        <f>CO_Report_Evaluation!AK13</f>
        <v>0</v>
      </c>
      <c r="I28" s="119">
        <f>CO_Report_Evaluation!AL13</f>
        <v>0</v>
      </c>
      <c r="J28" s="119">
        <f>CO_Report_Evaluation!AM13</f>
        <v>0</v>
      </c>
      <c r="K28" s="119">
        <f>CO_Report_Evaluation!AN13</f>
        <v>0</v>
      </c>
      <c r="L28" s="119">
        <f>CSE4098C_Summer2026_Grade!G14</f>
        <v>0</v>
      </c>
      <c r="M28" s="119"/>
      <c r="N28" s="33">
        <f>((CSE4098C_Summer2026_Grade!E14)*10)/25</f>
        <v>6.7560000000000002</v>
      </c>
      <c r="O28" s="120"/>
      <c r="P28" s="121"/>
      <c r="Q28" s="122">
        <v>15</v>
      </c>
      <c r="R28" s="120"/>
      <c r="S28" s="123">
        <f t="shared" si="4"/>
        <v>0</v>
      </c>
      <c r="T28" s="124">
        <f t="shared" ref="T28:U28" si="44">E28</f>
        <v>0</v>
      </c>
      <c r="U28" s="124">
        <f t="shared" si="44"/>
        <v>0</v>
      </c>
      <c r="V28" s="124">
        <f t="shared" ref="V28:X28" si="45">SUM(G28,P28)</f>
        <v>0</v>
      </c>
      <c r="W28" s="124">
        <f t="shared" si="45"/>
        <v>15</v>
      </c>
      <c r="X28" s="124">
        <f t="shared" si="45"/>
        <v>0</v>
      </c>
      <c r="Y28" s="125">
        <f t="shared" ref="Y28:AA28" si="46">J28</f>
        <v>0</v>
      </c>
      <c r="Z28" s="125">
        <f t="shared" si="46"/>
        <v>0</v>
      </c>
      <c r="AA28" s="125">
        <f t="shared" si="46"/>
        <v>0</v>
      </c>
      <c r="AB28" s="125">
        <f t="shared" si="9"/>
        <v>6.7560000000000002</v>
      </c>
      <c r="AC28" s="126">
        <f t="shared" ref="AC28:AL28" si="47">IF(S28 = 0, 0, S28/S$18)</f>
        <v>0</v>
      </c>
      <c r="AD28" s="127">
        <f t="shared" si="47"/>
        <v>0</v>
      </c>
      <c r="AE28" s="128">
        <f t="shared" si="47"/>
        <v>0</v>
      </c>
      <c r="AF28" s="128">
        <f t="shared" si="47"/>
        <v>0</v>
      </c>
      <c r="AG28" s="128">
        <f t="shared" si="47"/>
        <v>0.57692307692307687</v>
      </c>
      <c r="AH28" s="128">
        <f t="shared" si="47"/>
        <v>0</v>
      </c>
      <c r="AI28" s="128">
        <f t="shared" si="47"/>
        <v>0</v>
      </c>
      <c r="AJ28" s="128">
        <f t="shared" si="47"/>
        <v>0</v>
      </c>
      <c r="AK28" s="128">
        <f t="shared" si="47"/>
        <v>0</v>
      </c>
      <c r="AL28" s="128">
        <f t="shared" si="47"/>
        <v>0.67559999999999998</v>
      </c>
      <c r="AM28" s="129" t="e">
        <f>IF(OR(CSE4098C_Summer2026_Grade!$J14="W (Withdrawn)", CSE4098C_Summer2026_Grade!$J14="I (Incomplete)"), 0, IF(AC28&gt;=55%, 1, 0))</f>
        <v>#DIV/0!</v>
      </c>
      <c r="AN28" s="129" t="e">
        <f>IF(OR(CSE4098C_Summer2026_Grade!$J14="W (Withdrawn)", CSE4098C_Summer2026_Grade!$J14="I (Incomplete)"), 0, IF(AD28&gt;=55%, 1, 0))</f>
        <v>#DIV/0!</v>
      </c>
      <c r="AO28" s="129" t="e">
        <f>IF(OR(CSE4098C_Summer2026_Grade!$J14="W (Withdrawn)", CSE4098C_Summer2026_Grade!$J14="I (Incomplete)"), 0, IF(AE28&gt;=55%, 1, 0))</f>
        <v>#DIV/0!</v>
      </c>
      <c r="AP28" s="129" t="e">
        <f>IF(OR(CSE4098C_Summer2026_Grade!$J14="W (Withdrawn)", CSE4098C_Summer2026_Grade!$J14="I (Incomplete)"), 0, IF(AF28&gt;=55%, 1, 0))</f>
        <v>#DIV/0!</v>
      </c>
      <c r="AQ28" s="129" t="e">
        <f>IF(OR(CSE4098C_Summer2026_Grade!$J14="W (Withdrawn)", CSE4098C_Summer2026_Grade!$J14="I (Incomplete)"), 0, IF(AG28&gt;=55%, 1, 0))</f>
        <v>#DIV/0!</v>
      </c>
      <c r="AR28" s="129" t="e">
        <f>IF(OR(CSE4098C_Summer2026_Grade!$J14="W (Withdrawn)", CSE4098C_Summer2026_Grade!$J14="I (Incomplete)"), 0, IF(AH28&gt;=55%, 1, 0))</f>
        <v>#DIV/0!</v>
      </c>
      <c r="AS28" s="129" t="e">
        <f>IF(OR(CSE4098C_Summer2026_Grade!$J14="W (Withdrawn)", CSE4098C_Summer2026_Grade!$J14="I (Incomplete)"), 0, IF(AI28&gt;=55%, 1, 0))</f>
        <v>#DIV/0!</v>
      </c>
      <c r="AT28" s="129" t="e">
        <f>IF(OR(CSE4098C_Summer2026_Grade!$J14="W (Withdrawn)", CSE4098C_Summer2026_Grade!$J14="I (Incomplete)"), 0, IF(AJ28&gt;=55%, 1, 0))</f>
        <v>#DIV/0!</v>
      </c>
      <c r="AU28" s="129" t="e">
        <f>IF(OR(CSE4098C_Summer2026_Grade!$J14="W (Withdrawn)", CSE4098C_Summer2026_Grade!$J14="I (Incomplete)"), 0, IF(AK28&gt;=55%, 1, 0))</f>
        <v>#DIV/0!</v>
      </c>
      <c r="AV28" s="129" t="e">
        <f>IF(OR(CSE4098C_Summer2026_Grade!$J14="W (Withdrawn)", CSE4098C_Summer2026_Grade!$J14="I (Incomplete)"), 0, IF(AL28&gt;=55%, 1, 0))</f>
        <v>#DIV/0!</v>
      </c>
      <c r="AX28" s="130">
        <f t="array" ref="AX28">IF($AY$13=0,0,MMULT($AC28:$AL28, AY$3:AY$12)/$AY$13)</f>
        <v>0</v>
      </c>
      <c r="AY28" s="130">
        <f t="array" ref="AY28">IF($AZ$13=0,0,MMULT($AC28:$AL28, AZ$3:AZ$12)/$AZ$13)</f>
        <v>0</v>
      </c>
      <c r="AZ28" s="130">
        <f t="array" ref="AZ28">IF($BA$13=0,0,MMULT($AC28:$AL28, BA$3:BA$12)/$BA$13)</f>
        <v>0</v>
      </c>
      <c r="BA28" s="130">
        <f t="array" ref="BA28">IF($BB$13=0,0,MMULT($AC28:$AL28, BB$3:BB$12)/$BB$13)</f>
        <v>0.57692307692307687</v>
      </c>
      <c r="BB28" s="130">
        <f t="array" ref="BB28">IF($BC$13=0,0,MMULT($AC28:$AL28, BC$3:BC$12)/$BC$13)</f>
        <v>0</v>
      </c>
      <c r="BC28" s="130">
        <f t="array" ref="BC28">IF($BD$13=0,0,MMULT($AC28:$AL28, BD$3:BD$12)/$BD$13)</f>
        <v>0</v>
      </c>
      <c r="BD28" s="130">
        <f t="array" ref="BD28">IF($BE$13=0,0,MMULT($AC28:$AL28, BE$3:BE$12)/$BE$13)</f>
        <v>0</v>
      </c>
      <c r="BE28" s="130">
        <f t="array" ref="BE28">IF($BF$13=0,0,MMULT($AC28:$AL28, BF$3:BF$12)/$BF$13)</f>
        <v>0</v>
      </c>
      <c r="BF28" s="130">
        <f t="array" ref="BF28">IF($BG$13=0,0,MMULT($AC28:$AL28, BG$3:BG$12)/$BG$13)</f>
        <v>0</v>
      </c>
      <c r="BG28" s="130">
        <f t="array" ref="BG28">IF($BH$13=0,0,MMULT($AC28:$AL28, BH$3:BH$12)/$BH$13)</f>
        <v>0.67559999999999998</v>
      </c>
      <c r="BH28" s="130">
        <f t="array" ref="BH28">IF($BI$13=0,0,MMULT($AC28:$AL28, BI$3:BI$12)/$BI$13)</f>
        <v>0</v>
      </c>
      <c r="BI28" s="130">
        <f t="array" ref="BI28">IF($BJ$13=0,0,MMULT($AC28:$AL28, BJ$3:BJ$12)/$BJ$13)</f>
        <v>0</v>
      </c>
      <c r="BJ28" s="129" t="e">
        <f>IF(OR(CSE4098C_Summer2026_Grade!$J14="W (Withdrawn)", CSE4098C_Summer2026_Grade!$J14="I (Incomplete)"), 0, IF(AX28&gt;=55%, 1, 0))</f>
        <v>#DIV/0!</v>
      </c>
      <c r="BK28" s="129" t="e">
        <f>IF(OR(CSE4098C_Summer2026_Grade!$J14="W (Withdrawn)", CSE4098C_Summer2026_Grade!$J14="I (Incomplete)"), 0, IF(AY28&gt;=55%, 1, 0))</f>
        <v>#DIV/0!</v>
      </c>
      <c r="BL28" s="129" t="e">
        <f>IF(OR(CSE4098C_Summer2026_Grade!$J14="W (Withdrawn)", CSE4098C_Summer2026_Grade!$J14="I (Incomplete)"), 0, IF(AZ28&gt;=55%, 1, 0))</f>
        <v>#DIV/0!</v>
      </c>
      <c r="BM28" s="129" t="e">
        <f>IF(OR(CSE4098C_Summer2026_Grade!$J14="W (Withdrawn)", CSE4098C_Summer2026_Grade!$J14="I (Incomplete)"), 0, IF(BA28&gt;=55%, 1, 0))</f>
        <v>#DIV/0!</v>
      </c>
      <c r="BN28" s="129" t="e">
        <f>IF(OR(CSE4098C_Summer2026_Grade!$J14="W (Withdrawn)", CSE4098C_Summer2026_Grade!$J14="I (Incomplete)"), 0, IF(BB28&gt;=55%, 1, 0))</f>
        <v>#DIV/0!</v>
      </c>
      <c r="BO28" s="129" t="e">
        <f>IF(OR(CSE4098C_Summer2026_Grade!$J14="W (Withdrawn)", CSE4098C_Summer2026_Grade!$J14="I (Incomplete)"), 0, IF(BC28&gt;=55%, 1, 0))</f>
        <v>#DIV/0!</v>
      </c>
      <c r="BP28" s="129" t="e">
        <f>IF(OR(CSE4098C_Summer2026_Grade!$J14="W (Withdrawn)", CSE4098C_Summer2026_Grade!$J14="I (Incomplete)"), 0, IF(BD28&gt;=55%, 1, 0))</f>
        <v>#DIV/0!</v>
      </c>
      <c r="BQ28" s="129" t="e">
        <f>IF(OR(CSE4098C_Summer2026_Grade!$J14="W (Withdrawn)", CSE4098C_Summer2026_Grade!$J14="I (Incomplete)"), 0, IF(BE28&gt;=55%, 1, 0))</f>
        <v>#DIV/0!</v>
      </c>
      <c r="BR28" s="129" t="e">
        <f>IF(OR(CSE4098C_Summer2026_Grade!$J14="W (Withdrawn)", CSE4098C_Summer2026_Grade!$J14="I (Incomplete)"), 0, IF(BF28&gt;=55%, 1, 0))</f>
        <v>#DIV/0!</v>
      </c>
      <c r="BS28" s="129" t="e">
        <f>IF(OR(CSE4098C_Summer2026_Grade!$J14="W (Withdrawn)", CSE4098C_Summer2026_Grade!$J14="I (Incomplete)"), 0, IF(BG28&gt;=55%, 1, 0))</f>
        <v>#DIV/0!</v>
      </c>
      <c r="BT28" s="129" t="e">
        <f>IF(OR(CSE4098C_Summer2026_Grade!$J14="W (Withdrawn)", CSE4098C_Summer2026_Grade!$J14="I (Incomplete)"), 0, IF(BH28&gt;=55%, 1, 0))</f>
        <v>#DIV/0!</v>
      </c>
      <c r="BU28" s="129" t="e">
        <f>IF(OR(CSE4098C_Summer2026_Grade!$J14="W (Withdrawn)", CSE4098C_Summer2026_Grade!$J14="I (Incomplete)"), 0, IF(BI28&gt;=55%, 1, 0))</f>
        <v>#DIV/0!</v>
      </c>
    </row>
    <row r="29" spans="1:73" ht="12.75" customHeight="1" thickBot="1">
      <c r="A29" s="118">
        <f t="shared" si="11"/>
        <v>11</v>
      </c>
      <c r="B29" s="222">
        <v>221014008</v>
      </c>
      <c r="C29" s="223" t="s">
        <v>214</v>
      </c>
      <c r="D29" s="119">
        <f>CO_Report_Evaluation!AG14</f>
        <v>0</v>
      </c>
      <c r="E29" s="119">
        <f>CO_Report_Evaluation!AH14</f>
        <v>0</v>
      </c>
      <c r="F29" s="119">
        <f>CO_Report_Evaluation!AI14</f>
        <v>0</v>
      </c>
      <c r="G29" s="119">
        <f>CO_Report_Evaluation!AJ14</f>
        <v>0</v>
      </c>
      <c r="H29" s="119">
        <f>CO_Report_Evaluation!AK14</f>
        <v>0</v>
      </c>
      <c r="I29" s="119">
        <f>CO_Report_Evaluation!AL14</f>
        <v>0</v>
      </c>
      <c r="J29" s="119">
        <f>CO_Report_Evaluation!AM14</f>
        <v>0</v>
      </c>
      <c r="K29" s="119">
        <f>CO_Report_Evaluation!AN14</f>
        <v>0</v>
      </c>
      <c r="L29" s="119">
        <f>CSE4098C_Summer2026_Grade!G15</f>
        <v>0</v>
      </c>
      <c r="M29" s="119"/>
      <c r="N29" s="33">
        <f>((CSE4098C_Summer2026_Grade!E15)*10)/25</f>
        <v>5.6880000000000006</v>
      </c>
      <c r="O29" s="120"/>
      <c r="P29" s="121"/>
      <c r="Q29" s="122">
        <v>15</v>
      </c>
      <c r="R29" s="120"/>
      <c r="S29" s="123">
        <f t="shared" si="4"/>
        <v>0</v>
      </c>
      <c r="T29" s="124">
        <f t="shared" ref="T29:U29" si="48">E29</f>
        <v>0</v>
      </c>
      <c r="U29" s="124">
        <f t="shared" si="48"/>
        <v>0</v>
      </c>
      <c r="V29" s="124">
        <f t="shared" ref="V29:X29" si="49">SUM(G29,P29)</f>
        <v>0</v>
      </c>
      <c r="W29" s="124">
        <f t="shared" si="49"/>
        <v>15</v>
      </c>
      <c r="X29" s="124">
        <f t="shared" si="49"/>
        <v>0</v>
      </c>
      <c r="Y29" s="125">
        <f t="shared" ref="Y29:AA29" si="50">J29</f>
        <v>0</v>
      </c>
      <c r="Z29" s="125">
        <f t="shared" si="50"/>
        <v>0</v>
      </c>
      <c r="AA29" s="125">
        <f t="shared" si="50"/>
        <v>0</v>
      </c>
      <c r="AB29" s="125">
        <f t="shared" si="9"/>
        <v>5.6880000000000006</v>
      </c>
      <c r="AC29" s="126">
        <f t="shared" ref="AC29:AL29" si="51">IF(S29 = 0, 0, S29/S$18)</f>
        <v>0</v>
      </c>
      <c r="AD29" s="127">
        <f t="shared" si="51"/>
        <v>0</v>
      </c>
      <c r="AE29" s="128">
        <f t="shared" si="51"/>
        <v>0</v>
      </c>
      <c r="AF29" s="128">
        <f t="shared" si="51"/>
        <v>0</v>
      </c>
      <c r="AG29" s="128">
        <f t="shared" si="51"/>
        <v>0.57692307692307687</v>
      </c>
      <c r="AH29" s="128">
        <f t="shared" si="51"/>
        <v>0</v>
      </c>
      <c r="AI29" s="128">
        <f t="shared" si="51"/>
        <v>0</v>
      </c>
      <c r="AJ29" s="128">
        <f t="shared" si="51"/>
        <v>0</v>
      </c>
      <c r="AK29" s="128">
        <f t="shared" si="51"/>
        <v>0</v>
      </c>
      <c r="AL29" s="128">
        <f t="shared" si="51"/>
        <v>0.56880000000000008</v>
      </c>
      <c r="AM29" s="129" t="e">
        <f>IF(OR(CSE4098C_Summer2026_Grade!$J15="W (Withdrawn)", CSE4098C_Summer2026_Grade!$J15="I (Incomplete)"), 0, IF(AC29&gt;=55%, 1, 0))</f>
        <v>#DIV/0!</v>
      </c>
      <c r="AN29" s="129" t="e">
        <f>IF(OR(CSE4098C_Summer2026_Grade!$J15="W (Withdrawn)", CSE4098C_Summer2026_Grade!$J15="I (Incomplete)"), 0, IF(AD29&gt;=55%, 1, 0))</f>
        <v>#DIV/0!</v>
      </c>
      <c r="AO29" s="129" t="e">
        <f>IF(OR(CSE4098C_Summer2026_Grade!$J15="W (Withdrawn)", CSE4098C_Summer2026_Grade!$J15="I (Incomplete)"), 0, IF(AE29&gt;=55%, 1, 0))</f>
        <v>#DIV/0!</v>
      </c>
      <c r="AP29" s="129" t="e">
        <f>IF(OR(CSE4098C_Summer2026_Grade!$J15="W (Withdrawn)", CSE4098C_Summer2026_Grade!$J15="I (Incomplete)"), 0, IF(AF29&gt;=55%, 1, 0))</f>
        <v>#DIV/0!</v>
      </c>
      <c r="AQ29" s="129" t="e">
        <f>IF(OR(CSE4098C_Summer2026_Grade!$J15="W (Withdrawn)", CSE4098C_Summer2026_Grade!$J15="I (Incomplete)"), 0, IF(AG29&gt;=55%, 1, 0))</f>
        <v>#DIV/0!</v>
      </c>
      <c r="AR29" s="129" t="e">
        <f>IF(OR(CSE4098C_Summer2026_Grade!$J15="W (Withdrawn)", CSE4098C_Summer2026_Grade!$J15="I (Incomplete)"), 0, IF(AH29&gt;=55%, 1, 0))</f>
        <v>#DIV/0!</v>
      </c>
      <c r="AS29" s="129" t="e">
        <f>IF(OR(CSE4098C_Summer2026_Grade!$J15="W (Withdrawn)", CSE4098C_Summer2026_Grade!$J15="I (Incomplete)"), 0, IF(AI29&gt;=55%, 1, 0))</f>
        <v>#DIV/0!</v>
      </c>
      <c r="AT29" s="129" t="e">
        <f>IF(OR(CSE4098C_Summer2026_Grade!$J15="W (Withdrawn)", CSE4098C_Summer2026_Grade!$J15="I (Incomplete)"), 0, IF(AJ29&gt;=55%, 1, 0))</f>
        <v>#DIV/0!</v>
      </c>
      <c r="AU29" s="129" t="e">
        <f>IF(OR(CSE4098C_Summer2026_Grade!$J15="W (Withdrawn)", CSE4098C_Summer2026_Grade!$J15="I (Incomplete)"), 0, IF(AK29&gt;=55%, 1, 0))</f>
        <v>#DIV/0!</v>
      </c>
      <c r="AV29" s="129" t="e">
        <f>IF(OR(CSE4098C_Summer2026_Grade!$J15="W (Withdrawn)", CSE4098C_Summer2026_Grade!$J15="I (Incomplete)"), 0, IF(AL29&gt;=55%, 1, 0))</f>
        <v>#DIV/0!</v>
      </c>
      <c r="AX29" s="130">
        <f t="array" ref="AX29">IF($AY$13=0,0,MMULT($AC29:$AL29, AY$3:AY$12)/$AY$13)</f>
        <v>0</v>
      </c>
      <c r="AY29" s="130">
        <f t="array" ref="AY29">IF($AZ$13=0,0,MMULT($AC29:$AL29, AZ$3:AZ$12)/$AZ$13)</f>
        <v>0</v>
      </c>
      <c r="AZ29" s="130">
        <f t="array" ref="AZ29">IF($BA$13=0,0,MMULT($AC29:$AL29, BA$3:BA$12)/$BA$13)</f>
        <v>0</v>
      </c>
      <c r="BA29" s="130">
        <f t="array" ref="BA29">IF($BB$13=0,0,MMULT($AC29:$AL29, BB$3:BB$12)/$BB$13)</f>
        <v>0.57692307692307687</v>
      </c>
      <c r="BB29" s="130">
        <f t="array" ref="BB29">IF($BC$13=0,0,MMULT($AC29:$AL29, BC$3:BC$12)/$BC$13)</f>
        <v>0</v>
      </c>
      <c r="BC29" s="130">
        <f t="array" ref="BC29">IF($BD$13=0,0,MMULT($AC29:$AL29, BD$3:BD$12)/$BD$13)</f>
        <v>0</v>
      </c>
      <c r="BD29" s="130">
        <f t="array" ref="BD29">IF($BE$13=0,0,MMULT($AC29:$AL29, BE$3:BE$12)/$BE$13)</f>
        <v>0</v>
      </c>
      <c r="BE29" s="130">
        <f t="array" ref="BE29">IF($BF$13=0,0,MMULT($AC29:$AL29, BF$3:BF$12)/$BF$13)</f>
        <v>0</v>
      </c>
      <c r="BF29" s="130">
        <f t="array" ref="BF29">IF($BG$13=0,0,MMULT($AC29:$AL29, BG$3:BG$12)/$BG$13)</f>
        <v>0</v>
      </c>
      <c r="BG29" s="130">
        <f t="array" ref="BG29">IF($BH$13=0,0,MMULT($AC29:$AL29, BH$3:BH$12)/$BH$13)</f>
        <v>0.56880000000000008</v>
      </c>
      <c r="BH29" s="130">
        <f t="array" ref="BH29">IF($BI$13=0,0,MMULT($AC29:$AL29, BI$3:BI$12)/$BI$13)</f>
        <v>0</v>
      </c>
      <c r="BI29" s="130">
        <f t="array" ref="BI29">IF($BJ$13=0,0,MMULT($AC29:$AL29, BJ$3:BJ$12)/$BJ$13)</f>
        <v>0</v>
      </c>
      <c r="BJ29" s="129" t="e">
        <f>IF(OR(CSE4098C_Summer2026_Grade!$J15="W (Withdrawn)", CSE4098C_Summer2026_Grade!$J15="I (Incomplete)"), 0, IF(AX29&gt;=55%, 1, 0))</f>
        <v>#DIV/0!</v>
      </c>
      <c r="BK29" s="129" t="e">
        <f>IF(OR(CSE4098C_Summer2026_Grade!$J15="W (Withdrawn)", CSE4098C_Summer2026_Grade!$J15="I (Incomplete)"), 0, IF(AY29&gt;=55%, 1, 0))</f>
        <v>#DIV/0!</v>
      </c>
      <c r="BL29" s="129" t="e">
        <f>IF(OR(CSE4098C_Summer2026_Grade!$J15="W (Withdrawn)", CSE4098C_Summer2026_Grade!$J15="I (Incomplete)"), 0, IF(AZ29&gt;=55%, 1, 0))</f>
        <v>#DIV/0!</v>
      </c>
      <c r="BM29" s="129" t="e">
        <f>IF(OR(CSE4098C_Summer2026_Grade!$J15="W (Withdrawn)", CSE4098C_Summer2026_Grade!$J15="I (Incomplete)"), 0, IF(BA29&gt;=55%, 1, 0))</f>
        <v>#DIV/0!</v>
      </c>
      <c r="BN29" s="129" t="e">
        <f>IF(OR(CSE4098C_Summer2026_Grade!$J15="W (Withdrawn)", CSE4098C_Summer2026_Grade!$J15="I (Incomplete)"), 0, IF(BB29&gt;=55%, 1, 0))</f>
        <v>#DIV/0!</v>
      </c>
      <c r="BO29" s="129" t="e">
        <f>IF(OR(CSE4098C_Summer2026_Grade!$J15="W (Withdrawn)", CSE4098C_Summer2026_Grade!$J15="I (Incomplete)"), 0, IF(BC29&gt;=55%, 1, 0))</f>
        <v>#DIV/0!</v>
      </c>
      <c r="BP29" s="129" t="e">
        <f>IF(OR(CSE4098C_Summer2026_Grade!$J15="W (Withdrawn)", CSE4098C_Summer2026_Grade!$J15="I (Incomplete)"), 0, IF(BD29&gt;=55%, 1, 0))</f>
        <v>#DIV/0!</v>
      </c>
      <c r="BQ29" s="129" t="e">
        <f>IF(OR(CSE4098C_Summer2026_Grade!$J15="W (Withdrawn)", CSE4098C_Summer2026_Grade!$J15="I (Incomplete)"), 0, IF(BE29&gt;=55%, 1, 0))</f>
        <v>#DIV/0!</v>
      </c>
      <c r="BR29" s="129" t="e">
        <f>IF(OR(CSE4098C_Summer2026_Grade!$J15="W (Withdrawn)", CSE4098C_Summer2026_Grade!$J15="I (Incomplete)"), 0, IF(BF29&gt;=55%, 1, 0))</f>
        <v>#DIV/0!</v>
      </c>
      <c r="BS29" s="129" t="e">
        <f>IF(OR(CSE4098C_Summer2026_Grade!$J15="W (Withdrawn)", CSE4098C_Summer2026_Grade!$J15="I (Incomplete)"), 0, IF(BG29&gt;=55%, 1, 0))</f>
        <v>#DIV/0!</v>
      </c>
      <c r="BT29" s="129" t="e">
        <f>IF(OR(CSE4098C_Summer2026_Grade!$J15="W (Withdrawn)", CSE4098C_Summer2026_Grade!$J15="I (Incomplete)"), 0, IF(BH29&gt;=55%, 1, 0))</f>
        <v>#DIV/0!</v>
      </c>
      <c r="BU29" s="129" t="e">
        <f>IF(OR(CSE4098C_Summer2026_Grade!$J15="W (Withdrawn)", CSE4098C_Summer2026_Grade!$J15="I (Incomplete)"), 0, IF(BI29&gt;=55%, 1, 0))</f>
        <v>#DIV/0!</v>
      </c>
    </row>
    <row r="30" spans="1:73" ht="12.75" customHeight="1" thickBot="1">
      <c r="A30" s="118">
        <f t="shared" si="11"/>
        <v>12</v>
      </c>
      <c r="B30" s="223">
        <v>223014142</v>
      </c>
      <c r="C30" s="223" t="s">
        <v>215</v>
      </c>
      <c r="D30" s="119">
        <f>CO_Report_Evaluation!AG15</f>
        <v>0</v>
      </c>
      <c r="E30" s="119">
        <f>CO_Report_Evaluation!AH15</f>
        <v>0</v>
      </c>
      <c r="F30" s="119">
        <f>CO_Report_Evaluation!AI15</f>
        <v>0</v>
      </c>
      <c r="G30" s="119">
        <f>CO_Report_Evaluation!AJ15</f>
        <v>0</v>
      </c>
      <c r="H30" s="119">
        <f>CO_Report_Evaluation!AK15</f>
        <v>0</v>
      </c>
      <c r="I30" s="119">
        <f>CO_Report_Evaluation!AL15</f>
        <v>0</v>
      </c>
      <c r="J30" s="119">
        <f>CO_Report_Evaluation!AM15</f>
        <v>0</v>
      </c>
      <c r="K30" s="119">
        <f>CO_Report_Evaluation!AN15</f>
        <v>0</v>
      </c>
      <c r="L30" s="119">
        <f>CSE4098C_Summer2026_Grade!G16</f>
        <v>0</v>
      </c>
      <c r="M30" s="119"/>
      <c r="N30" s="33">
        <f>((CSE4098C_Summer2026_Grade!E16)*10)/25</f>
        <v>5.9560000000000004</v>
      </c>
      <c r="O30" s="120"/>
      <c r="P30" s="121"/>
      <c r="Q30" s="122">
        <v>14.99</v>
      </c>
      <c r="R30" s="120"/>
      <c r="S30" s="123">
        <f t="shared" si="4"/>
        <v>0</v>
      </c>
      <c r="T30" s="124">
        <f t="shared" ref="T30:U30" si="52">E30</f>
        <v>0</v>
      </c>
      <c r="U30" s="124">
        <f t="shared" si="52"/>
        <v>0</v>
      </c>
      <c r="V30" s="124">
        <f t="shared" ref="V30:X30" si="53">SUM(G30,P30)</f>
        <v>0</v>
      </c>
      <c r="W30" s="124">
        <f t="shared" si="53"/>
        <v>14.99</v>
      </c>
      <c r="X30" s="124">
        <f t="shared" si="53"/>
        <v>0</v>
      </c>
      <c r="Y30" s="125">
        <f t="shared" ref="Y30:AA30" si="54">J30</f>
        <v>0</v>
      </c>
      <c r="Z30" s="125">
        <f t="shared" si="54"/>
        <v>0</v>
      </c>
      <c r="AA30" s="125">
        <f t="shared" si="54"/>
        <v>0</v>
      </c>
      <c r="AB30" s="125">
        <f t="shared" si="9"/>
        <v>5.9560000000000004</v>
      </c>
      <c r="AC30" s="126">
        <f t="shared" ref="AC30:AL30" si="55">IF(S30 = 0, 0, S30/S$18)</f>
        <v>0</v>
      </c>
      <c r="AD30" s="127">
        <f t="shared" si="55"/>
        <v>0</v>
      </c>
      <c r="AE30" s="128">
        <f t="shared" si="55"/>
        <v>0</v>
      </c>
      <c r="AF30" s="128">
        <f t="shared" si="55"/>
        <v>0</v>
      </c>
      <c r="AG30" s="128">
        <f t="shared" si="55"/>
        <v>0.57653846153846156</v>
      </c>
      <c r="AH30" s="128">
        <f t="shared" si="55"/>
        <v>0</v>
      </c>
      <c r="AI30" s="128">
        <f t="shared" si="55"/>
        <v>0</v>
      </c>
      <c r="AJ30" s="128">
        <f t="shared" si="55"/>
        <v>0</v>
      </c>
      <c r="AK30" s="128">
        <f t="shared" si="55"/>
        <v>0</v>
      </c>
      <c r="AL30" s="128">
        <f t="shared" si="55"/>
        <v>0.59560000000000002</v>
      </c>
      <c r="AM30" s="129" t="e">
        <f>IF(OR(CSE4098C_Summer2026_Grade!$J16="W (Withdrawn)", CSE4098C_Summer2026_Grade!$J16="I (Incomplete)"), 0, IF(AC30&gt;=55%, 1, 0))</f>
        <v>#DIV/0!</v>
      </c>
      <c r="AN30" s="129" t="e">
        <f>IF(OR(CSE4098C_Summer2026_Grade!$J16="W (Withdrawn)", CSE4098C_Summer2026_Grade!$J16="I (Incomplete)"), 0, IF(AD30&gt;=55%, 1, 0))</f>
        <v>#DIV/0!</v>
      </c>
      <c r="AO30" s="129" t="e">
        <f>IF(OR(CSE4098C_Summer2026_Grade!$J16="W (Withdrawn)", CSE4098C_Summer2026_Grade!$J16="I (Incomplete)"), 0, IF(AE30&gt;=55%, 1, 0))</f>
        <v>#DIV/0!</v>
      </c>
      <c r="AP30" s="129" t="e">
        <f>IF(OR(CSE4098C_Summer2026_Grade!$J16="W (Withdrawn)", CSE4098C_Summer2026_Grade!$J16="I (Incomplete)"), 0, IF(AF30&gt;=55%, 1, 0))</f>
        <v>#DIV/0!</v>
      </c>
      <c r="AQ30" s="129" t="e">
        <f>IF(OR(CSE4098C_Summer2026_Grade!$J16="W (Withdrawn)", CSE4098C_Summer2026_Grade!$J16="I (Incomplete)"), 0, IF(AG30&gt;=55%, 1, 0))</f>
        <v>#DIV/0!</v>
      </c>
      <c r="AR30" s="129" t="e">
        <f>IF(OR(CSE4098C_Summer2026_Grade!$J16="W (Withdrawn)", CSE4098C_Summer2026_Grade!$J16="I (Incomplete)"), 0, IF(AH30&gt;=55%, 1, 0))</f>
        <v>#DIV/0!</v>
      </c>
      <c r="AS30" s="129" t="e">
        <f>IF(OR(CSE4098C_Summer2026_Grade!$J16="W (Withdrawn)", CSE4098C_Summer2026_Grade!$J16="I (Incomplete)"), 0, IF(AI30&gt;=55%, 1, 0))</f>
        <v>#DIV/0!</v>
      </c>
      <c r="AT30" s="129" t="e">
        <f>IF(OR(CSE4098C_Summer2026_Grade!$J16="W (Withdrawn)", CSE4098C_Summer2026_Grade!$J16="I (Incomplete)"), 0, IF(AJ30&gt;=55%, 1, 0))</f>
        <v>#DIV/0!</v>
      </c>
      <c r="AU30" s="129" t="e">
        <f>IF(OR(CSE4098C_Summer2026_Grade!$J16="W (Withdrawn)", CSE4098C_Summer2026_Grade!$J16="I (Incomplete)"), 0, IF(AK30&gt;=55%, 1, 0))</f>
        <v>#DIV/0!</v>
      </c>
      <c r="AV30" s="129" t="e">
        <f>IF(OR(CSE4098C_Summer2026_Grade!$J16="W (Withdrawn)", CSE4098C_Summer2026_Grade!$J16="I (Incomplete)"), 0, IF(AL30&gt;=55%, 1, 0))</f>
        <v>#DIV/0!</v>
      </c>
      <c r="AX30" s="130">
        <f t="array" ref="AX30">IF($AY$13=0,0,MMULT($AC30:$AL30, AY$3:AY$12)/$AY$13)</f>
        <v>0</v>
      </c>
      <c r="AY30" s="130">
        <f t="array" ref="AY30">IF($AZ$13=0,0,MMULT($AC30:$AL30, AZ$3:AZ$12)/$AZ$13)</f>
        <v>0</v>
      </c>
      <c r="AZ30" s="130">
        <f t="array" ref="AZ30">IF($BA$13=0,0,MMULT($AC30:$AL30, BA$3:BA$12)/$BA$13)</f>
        <v>0</v>
      </c>
      <c r="BA30" s="130">
        <f t="array" ref="BA30">IF($BB$13=0,0,MMULT($AC30:$AL30, BB$3:BB$12)/$BB$13)</f>
        <v>0.57653846153846156</v>
      </c>
      <c r="BB30" s="130">
        <f t="array" ref="BB30">IF($BC$13=0,0,MMULT($AC30:$AL30, BC$3:BC$12)/$BC$13)</f>
        <v>0</v>
      </c>
      <c r="BC30" s="130">
        <f t="array" ref="BC30">IF($BD$13=0,0,MMULT($AC30:$AL30, BD$3:BD$12)/$BD$13)</f>
        <v>0</v>
      </c>
      <c r="BD30" s="130">
        <f t="array" ref="BD30">IF($BE$13=0,0,MMULT($AC30:$AL30, BE$3:BE$12)/$BE$13)</f>
        <v>0</v>
      </c>
      <c r="BE30" s="130">
        <f t="array" ref="BE30">IF($BF$13=0,0,MMULT($AC30:$AL30, BF$3:BF$12)/$BF$13)</f>
        <v>0</v>
      </c>
      <c r="BF30" s="130">
        <f t="array" ref="BF30">IF($BG$13=0,0,MMULT($AC30:$AL30, BG$3:BG$12)/$BG$13)</f>
        <v>0</v>
      </c>
      <c r="BG30" s="130">
        <f t="array" ref="BG30">IF($BH$13=0,0,MMULT($AC30:$AL30, BH$3:BH$12)/$BH$13)</f>
        <v>0.59560000000000002</v>
      </c>
      <c r="BH30" s="130">
        <f t="array" ref="BH30">IF($BI$13=0,0,MMULT($AC30:$AL30, BI$3:BI$12)/$BI$13)</f>
        <v>0</v>
      </c>
      <c r="BI30" s="130">
        <f t="array" ref="BI30">IF($BJ$13=0,0,MMULT($AC30:$AL30, BJ$3:BJ$12)/$BJ$13)</f>
        <v>0</v>
      </c>
      <c r="BJ30" s="129" t="e">
        <f>IF(OR(CSE4098C_Summer2026_Grade!$J16="W (Withdrawn)", CSE4098C_Summer2026_Grade!$J16="I (Incomplete)"), 0, IF(AX30&gt;=55%, 1, 0))</f>
        <v>#DIV/0!</v>
      </c>
      <c r="BK30" s="129" t="e">
        <f>IF(OR(CSE4098C_Summer2026_Grade!$J16="W (Withdrawn)", CSE4098C_Summer2026_Grade!$J16="I (Incomplete)"), 0, IF(AY30&gt;=55%, 1, 0))</f>
        <v>#DIV/0!</v>
      </c>
      <c r="BL30" s="129" t="e">
        <f>IF(OR(CSE4098C_Summer2026_Grade!$J16="W (Withdrawn)", CSE4098C_Summer2026_Grade!$J16="I (Incomplete)"), 0, IF(AZ30&gt;=55%, 1, 0))</f>
        <v>#DIV/0!</v>
      </c>
      <c r="BM30" s="129" t="e">
        <f>IF(OR(CSE4098C_Summer2026_Grade!$J16="W (Withdrawn)", CSE4098C_Summer2026_Grade!$J16="I (Incomplete)"), 0, IF(BA30&gt;=55%, 1, 0))</f>
        <v>#DIV/0!</v>
      </c>
      <c r="BN30" s="129" t="e">
        <f>IF(OR(CSE4098C_Summer2026_Grade!$J16="W (Withdrawn)", CSE4098C_Summer2026_Grade!$J16="I (Incomplete)"), 0, IF(BB30&gt;=55%, 1, 0))</f>
        <v>#DIV/0!</v>
      </c>
      <c r="BO30" s="129" t="e">
        <f>IF(OR(CSE4098C_Summer2026_Grade!$J16="W (Withdrawn)", CSE4098C_Summer2026_Grade!$J16="I (Incomplete)"), 0, IF(BC30&gt;=55%, 1, 0))</f>
        <v>#DIV/0!</v>
      </c>
      <c r="BP30" s="129" t="e">
        <f>IF(OR(CSE4098C_Summer2026_Grade!$J16="W (Withdrawn)", CSE4098C_Summer2026_Grade!$J16="I (Incomplete)"), 0, IF(BD30&gt;=55%, 1, 0))</f>
        <v>#DIV/0!</v>
      </c>
      <c r="BQ30" s="129" t="e">
        <f>IF(OR(CSE4098C_Summer2026_Grade!$J16="W (Withdrawn)", CSE4098C_Summer2026_Grade!$J16="I (Incomplete)"), 0, IF(BE30&gt;=55%, 1, 0))</f>
        <v>#DIV/0!</v>
      </c>
      <c r="BR30" s="129" t="e">
        <f>IF(OR(CSE4098C_Summer2026_Grade!$J16="W (Withdrawn)", CSE4098C_Summer2026_Grade!$J16="I (Incomplete)"), 0, IF(BF30&gt;=55%, 1, 0))</f>
        <v>#DIV/0!</v>
      </c>
      <c r="BS30" s="129" t="e">
        <f>IF(OR(CSE4098C_Summer2026_Grade!$J16="W (Withdrawn)", CSE4098C_Summer2026_Grade!$J16="I (Incomplete)"), 0, IF(BG30&gt;=55%, 1, 0))</f>
        <v>#DIV/0!</v>
      </c>
      <c r="BT30" s="129" t="e">
        <f>IF(OR(CSE4098C_Summer2026_Grade!$J16="W (Withdrawn)", CSE4098C_Summer2026_Grade!$J16="I (Incomplete)"), 0, IF(BH30&gt;=55%, 1, 0))</f>
        <v>#DIV/0!</v>
      </c>
      <c r="BU30" s="129" t="e">
        <f>IF(OR(CSE4098C_Summer2026_Grade!$J16="W (Withdrawn)", CSE4098C_Summer2026_Grade!$J16="I (Incomplete)"), 0, IF(BI30&gt;=55%, 1, 0))</f>
        <v>#DIV/0!</v>
      </c>
    </row>
    <row r="31" spans="1:73" ht="12.75" customHeight="1" thickBot="1">
      <c r="A31" s="118">
        <f t="shared" si="11"/>
        <v>13</v>
      </c>
      <c r="B31" s="223">
        <v>223014204</v>
      </c>
      <c r="C31" s="222" t="s">
        <v>216</v>
      </c>
      <c r="D31" s="119">
        <f>CO_Report_Evaluation!AG16</f>
        <v>0</v>
      </c>
      <c r="E31" s="119">
        <f>CO_Report_Evaluation!AH16</f>
        <v>0</v>
      </c>
      <c r="F31" s="119">
        <f>CO_Report_Evaluation!AI16</f>
        <v>0</v>
      </c>
      <c r="G31" s="119">
        <f>CO_Report_Evaluation!AJ16</f>
        <v>0</v>
      </c>
      <c r="H31" s="119">
        <f>CO_Report_Evaluation!AK16</f>
        <v>0</v>
      </c>
      <c r="I31" s="119">
        <f>CO_Report_Evaluation!AL16</f>
        <v>0</v>
      </c>
      <c r="J31" s="119">
        <f>CO_Report_Evaluation!AM16</f>
        <v>0</v>
      </c>
      <c r="K31" s="119">
        <f>CO_Report_Evaluation!AN16</f>
        <v>0</v>
      </c>
      <c r="L31" s="119">
        <f>CSE4098C_Summer2026_Grade!G17</f>
        <v>0</v>
      </c>
      <c r="M31" s="119"/>
      <c r="N31" s="33">
        <f>((CSE4098C_Summer2026_Grade!E17)*10)/25</f>
        <v>9.0680000000000014</v>
      </c>
      <c r="O31" s="120"/>
      <c r="P31" s="121"/>
      <c r="Q31" s="122">
        <v>14.99</v>
      </c>
      <c r="R31" s="120"/>
      <c r="S31" s="123">
        <f t="shared" si="4"/>
        <v>0</v>
      </c>
      <c r="T31" s="124">
        <f t="shared" ref="T31:U31" si="56">E31</f>
        <v>0</v>
      </c>
      <c r="U31" s="124">
        <f t="shared" si="56"/>
        <v>0</v>
      </c>
      <c r="V31" s="124">
        <f t="shared" ref="V31:X31" si="57">SUM(G31,P31)</f>
        <v>0</v>
      </c>
      <c r="W31" s="124">
        <f t="shared" si="57"/>
        <v>14.99</v>
      </c>
      <c r="X31" s="124">
        <f t="shared" si="57"/>
        <v>0</v>
      </c>
      <c r="Y31" s="125">
        <f t="shared" ref="Y31:AA31" si="58">J31</f>
        <v>0</v>
      </c>
      <c r="Z31" s="125">
        <f t="shared" si="58"/>
        <v>0</v>
      </c>
      <c r="AA31" s="125">
        <f t="shared" si="58"/>
        <v>0</v>
      </c>
      <c r="AB31" s="125">
        <f t="shared" si="9"/>
        <v>9.0680000000000014</v>
      </c>
      <c r="AC31" s="126">
        <f t="shared" ref="AC31:AL31" si="59">IF(S31 = 0, 0, S31/S$18)</f>
        <v>0</v>
      </c>
      <c r="AD31" s="127">
        <f t="shared" si="59"/>
        <v>0</v>
      </c>
      <c r="AE31" s="128">
        <f t="shared" si="59"/>
        <v>0</v>
      </c>
      <c r="AF31" s="128">
        <f t="shared" si="59"/>
        <v>0</v>
      </c>
      <c r="AG31" s="128">
        <f t="shared" si="59"/>
        <v>0.57653846153846156</v>
      </c>
      <c r="AH31" s="128">
        <f t="shared" si="59"/>
        <v>0</v>
      </c>
      <c r="AI31" s="128">
        <f t="shared" si="59"/>
        <v>0</v>
      </c>
      <c r="AJ31" s="128">
        <f t="shared" si="59"/>
        <v>0</v>
      </c>
      <c r="AK31" s="128">
        <f t="shared" si="59"/>
        <v>0</v>
      </c>
      <c r="AL31" s="128">
        <f t="shared" si="59"/>
        <v>0.90680000000000016</v>
      </c>
      <c r="AM31" s="129" t="e">
        <f>IF(OR(CSE4098C_Summer2026_Grade!$J17="W (Withdrawn)", CSE4098C_Summer2026_Grade!$J17="I (Incomplete)"), 0, IF(AC31&gt;=55%, 1, 0))</f>
        <v>#DIV/0!</v>
      </c>
      <c r="AN31" s="129" t="e">
        <f>IF(OR(CSE4098C_Summer2026_Grade!$J17="W (Withdrawn)", CSE4098C_Summer2026_Grade!$J17="I (Incomplete)"), 0, IF(AD31&gt;=55%, 1, 0))</f>
        <v>#DIV/0!</v>
      </c>
      <c r="AO31" s="129" t="e">
        <f>IF(OR(CSE4098C_Summer2026_Grade!$J17="W (Withdrawn)", CSE4098C_Summer2026_Grade!$J17="I (Incomplete)"), 0, IF(AE31&gt;=55%, 1, 0))</f>
        <v>#DIV/0!</v>
      </c>
      <c r="AP31" s="129" t="e">
        <f>IF(OR(CSE4098C_Summer2026_Grade!$J17="W (Withdrawn)", CSE4098C_Summer2026_Grade!$J17="I (Incomplete)"), 0, IF(AF31&gt;=55%, 1, 0))</f>
        <v>#DIV/0!</v>
      </c>
      <c r="AQ31" s="129" t="e">
        <f>IF(OR(CSE4098C_Summer2026_Grade!$J17="W (Withdrawn)", CSE4098C_Summer2026_Grade!$J17="I (Incomplete)"), 0, IF(AG31&gt;=55%, 1, 0))</f>
        <v>#DIV/0!</v>
      </c>
      <c r="AR31" s="129" t="e">
        <f>IF(OR(CSE4098C_Summer2026_Grade!$J17="W (Withdrawn)", CSE4098C_Summer2026_Grade!$J17="I (Incomplete)"), 0, IF(AH31&gt;=55%, 1, 0))</f>
        <v>#DIV/0!</v>
      </c>
      <c r="AS31" s="129" t="e">
        <f>IF(OR(CSE4098C_Summer2026_Grade!$J17="W (Withdrawn)", CSE4098C_Summer2026_Grade!$J17="I (Incomplete)"), 0, IF(AI31&gt;=55%, 1, 0))</f>
        <v>#DIV/0!</v>
      </c>
      <c r="AT31" s="129" t="e">
        <f>IF(OR(CSE4098C_Summer2026_Grade!$J17="W (Withdrawn)", CSE4098C_Summer2026_Grade!$J17="I (Incomplete)"), 0, IF(AJ31&gt;=55%, 1, 0))</f>
        <v>#DIV/0!</v>
      </c>
      <c r="AU31" s="129" t="e">
        <f>IF(OR(CSE4098C_Summer2026_Grade!$J17="W (Withdrawn)", CSE4098C_Summer2026_Grade!$J17="I (Incomplete)"), 0, IF(AK31&gt;=55%, 1, 0))</f>
        <v>#DIV/0!</v>
      </c>
      <c r="AV31" s="129" t="e">
        <f>IF(OR(CSE4098C_Summer2026_Grade!$J17="W (Withdrawn)", CSE4098C_Summer2026_Grade!$J17="I (Incomplete)"), 0, IF(AL31&gt;=55%, 1, 0))</f>
        <v>#DIV/0!</v>
      </c>
      <c r="AX31" s="130">
        <f t="array" ref="AX31">IF($AY$13=0,0,MMULT($AC31:$AL31, AY$3:AY$12)/$AY$13)</f>
        <v>0</v>
      </c>
      <c r="AY31" s="130">
        <f t="array" ref="AY31">IF($AZ$13=0,0,MMULT($AC31:$AL31, AZ$3:AZ$12)/$AZ$13)</f>
        <v>0</v>
      </c>
      <c r="AZ31" s="130">
        <f t="array" ref="AZ31">IF($BA$13=0,0,MMULT($AC31:$AL31, BA$3:BA$12)/$BA$13)</f>
        <v>0</v>
      </c>
      <c r="BA31" s="130">
        <f t="array" ref="BA31">IF($BB$13=0,0,MMULT($AC31:$AL31, BB$3:BB$12)/$BB$13)</f>
        <v>0.57653846153846156</v>
      </c>
      <c r="BB31" s="130">
        <f t="array" ref="BB31">IF($BC$13=0,0,MMULT($AC31:$AL31, BC$3:BC$12)/$BC$13)</f>
        <v>0</v>
      </c>
      <c r="BC31" s="130">
        <f t="array" ref="BC31">IF($BD$13=0,0,MMULT($AC31:$AL31, BD$3:BD$12)/$BD$13)</f>
        <v>0</v>
      </c>
      <c r="BD31" s="130">
        <f t="array" ref="BD31">IF($BE$13=0,0,MMULT($AC31:$AL31, BE$3:BE$12)/$BE$13)</f>
        <v>0</v>
      </c>
      <c r="BE31" s="130">
        <f t="array" ref="BE31">IF($BF$13=0,0,MMULT($AC31:$AL31, BF$3:BF$12)/$BF$13)</f>
        <v>0</v>
      </c>
      <c r="BF31" s="130">
        <f t="array" ref="BF31">IF($BG$13=0,0,MMULT($AC31:$AL31, BG$3:BG$12)/$BG$13)</f>
        <v>0</v>
      </c>
      <c r="BG31" s="130">
        <f t="array" ref="BG31">IF($BH$13=0,0,MMULT($AC31:$AL31, BH$3:BH$12)/$BH$13)</f>
        <v>0.90680000000000016</v>
      </c>
      <c r="BH31" s="130">
        <f t="array" ref="BH31">IF($BI$13=0,0,MMULT($AC31:$AL31, BI$3:BI$12)/$BI$13)</f>
        <v>0</v>
      </c>
      <c r="BI31" s="130">
        <f t="array" ref="BI31">IF($BJ$13=0,0,MMULT($AC31:$AL31, BJ$3:BJ$12)/$BJ$13)</f>
        <v>0</v>
      </c>
      <c r="BJ31" s="129" t="e">
        <f>IF(OR(CSE4098C_Summer2026_Grade!$J17="W (Withdrawn)", CSE4098C_Summer2026_Grade!$J17="I (Incomplete)"), 0, IF(AX31&gt;=55%, 1, 0))</f>
        <v>#DIV/0!</v>
      </c>
      <c r="BK31" s="129" t="e">
        <f>IF(OR(CSE4098C_Summer2026_Grade!$J17="W (Withdrawn)", CSE4098C_Summer2026_Grade!$J17="I (Incomplete)"), 0, IF(AY31&gt;=55%, 1, 0))</f>
        <v>#DIV/0!</v>
      </c>
      <c r="BL31" s="129" t="e">
        <f>IF(OR(CSE4098C_Summer2026_Grade!$J17="W (Withdrawn)", CSE4098C_Summer2026_Grade!$J17="I (Incomplete)"), 0, IF(AZ31&gt;=55%, 1, 0))</f>
        <v>#DIV/0!</v>
      </c>
      <c r="BM31" s="129" t="e">
        <f>IF(OR(CSE4098C_Summer2026_Grade!$J17="W (Withdrawn)", CSE4098C_Summer2026_Grade!$J17="I (Incomplete)"), 0, IF(BA31&gt;=55%, 1, 0))</f>
        <v>#DIV/0!</v>
      </c>
      <c r="BN31" s="129" t="e">
        <f>IF(OR(CSE4098C_Summer2026_Grade!$J17="W (Withdrawn)", CSE4098C_Summer2026_Grade!$J17="I (Incomplete)"), 0, IF(BB31&gt;=55%, 1, 0))</f>
        <v>#DIV/0!</v>
      </c>
      <c r="BO31" s="129" t="e">
        <f>IF(OR(CSE4098C_Summer2026_Grade!$J17="W (Withdrawn)", CSE4098C_Summer2026_Grade!$J17="I (Incomplete)"), 0, IF(BC31&gt;=55%, 1, 0))</f>
        <v>#DIV/0!</v>
      </c>
      <c r="BP31" s="129" t="e">
        <f>IF(OR(CSE4098C_Summer2026_Grade!$J17="W (Withdrawn)", CSE4098C_Summer2026_Grade!$J17="I (Incomplete)"), 0, IF(BD31&gt;=55%, 1, 0))</f>
        <v>#DIV/0!</v>
      </c>
      <c r="BQ31" s="129" t="e">
        <f>IF(OR(CSE4098C_Summer2026_Grade!$J17="W (Withdrawn)", CSE4098C_Summer2026_Grade!$J17="I (Incomplete)"), 0, IF(BE31&gt;=55%, 1, 0))</f>
        <v>#DIV/0!</v>
      </c>
      <c r="BR31" s="129" t="e">
        <f>IF(OR(CSE4098C_Summer2026_Grade!$J17="W (Withdrawn)", CSE4098C_Summer2026_Grade!$J17="I (Incomplete)"), 0, IF(BF31&gt;=55%, 1, 0))</f>
        <v>#DIV/0!</v>
      </c>
      <c r="BS31" s="129" t="e">
        <f>IF(OR(CSE4098C_Summer2026_Grade!$J17="W (Withdrawn)", CSE4098C_Summer2026_Grade!$J17="I (Incomplete)"), 0, IF(BG31&gt;=55%, 1, 0))</f>
        <v>#DIV/0!</v>
      </c>
      <c r="BT31" s="129" t="e">
        <f>IF(OR(CSE4098C_Summer2026_Grade!$J17="W (Withdrawn)", CSE4098C_Summer2026_Grade!$J17="I (Incomplete)"), 0, IF(BH31&gt;=55%, 1, 0))</f>
        <v>#DIV/0!</v>
      </c>
      <c r="BU31" s="129" t="e">
        <f>IF(OR(CSE4098C_Summer2026_Grade!$J17="W (Withdrawn)", CSE4098C_Summer2026_Grade!$J17="I (Incomplete)"), 0, IF(BI31&gt;=55%, 1, 0))</f>
        <v>#DIV/0!</v>
      </c>
    </row>
    <row r="32" spans="1:73" ht="15" customHeight="1" thickBot="1">
      <c r="A32" s="118">
        <f t="shared" si="11"/>
        <v>14</v>
      </c>
      <c r="B32" s="223">
        <v>213014052</v>
      </c>
      <c r="C32" s="222" t="s">
        <v>217</v>
      </c>
      <c r="D32" s="119">
        <f>CO_Report_Evaluation!AG17</f>
        <v>0</v>
      </c>
      <c r="E32" s="119">
        <f>CO_Report_Evaluation!AH17</f>
        <v>0</v>
      </c>
      <c r="F32" s="119">
        <f>CO_Report_Evaluation!AI17</f>
        <v>0</v>
      </c>
      <c r="G32" s="119">
        <f>CO_Report_Evaluation!AJ17</f>
        <v>0</v>
      </c>
      <c r="H32" s="119">
        <f>CO_Report_Evaluation!AK17</f>
        <v>0</v>
      </c>
      <c r="I32" s="119">
        <f>CO_Report_Evaluation!AL17</f>
        <v>0</v>
      </c>
      <c r="J32" s="119">
        <f>CO_Report_Evaluation!AM17</f>
        <v>0</v>
      </c>
      <c r="K32" s="119">
        <f>CO_Report_Evaluation!AN17</f>
        <v>0</v>
      </c>
      <c r="L32" s="119">
        <f>CSE4098C_Summer2026_Grade!G18</f>
        <v>0</v>
      </c>
      <c r="M32" s="119"/>
      <c r="N32" s="33">
        <f>((CSE4098C_Summer2026_Grade!E18)*10)/25</f>
        <v>9.0680000000000014</v>
      </c>
      <c r="O32" s="120"/>
      <c r="P32" s="121"/>
      <c r="Q32" s="122">
        <v>14.99</v>
      </c>
      <c r="R32" s="120"/>
      <c r="S32" s="123">
        <f t="shared" si="4"/>
        <v>0</v>
      </c>
      <c r="T32" s="124">
        <f t="shared" ref="T32:U32" si="60">E32</f>
        <v>0</v>
      </c>
      <c r="U32" s="124">
        <f t="shared" si="60"/>
        <v>0</v>
      </c>
      <c r="V32" s="124">
        <f t="shared" ref="V32:X32" si="61">SUM(G32,P32)</f>
        <v>0</v>
      </c>
      <c r="W32" s="124">
        <f t="shared" si="61"/>
        <v>14.99</v>
      </c>
      <c r="X32" s="124">
        <f t="shared" si="61"/>
        <v>0</v>
      </c>
      <c r="Y32" s="125">
        <f t="shared" ref="Y32:AA32" si="62">J32</f>
        <v>0</v>
      </c>
      <c r="Z32" s="125">
        <f t="shared" si="62"/>
        <v>0</v>
      </c>
      <c r="AA32" s="125">
        <f t="shared" si="62"/>
        <v>0</v>
      </c>
      <c r="AB32" s="125">
        <f t="shared" si="9"/>
        <v>9.0680000000000014</v>
      </c>
      <c r="AC32" s="126">
        <f t="shared" ref="AC32:AL32" si="63">IF(S32 = 0, 0, S32/S$18)</f>
        <v>0</v>
      </c>
      <c r="AD32" s="127">
        <f t="shared" si="63"/>
        <v>0</v>
      </c>
      <c r="AE32" s="128">
        <f t="shared" si="63"/>
        <v>0</v>
      </c>
      <c r="AF32" s="128">
        <f t="shared" si="63"/>
        <v>0</v>
      </c>
      <c r="AG32" s="128">
        <f t="shared" si="63"/>
        <v>0.57653846153846156</v>
      </c>
      <c r="AH32" s="128">
        <f t="shared" si="63"/>
        <v>0</v>
      </c>
      <c r="AI32" s="128">
        <f t="shared" si="63"/>
        <v>0</v>
      </c>
      <c r="AJ32" s="128">
        <f t="shared" si="63"/>
        <v>0</v>
      </c>
      <c r="AK32" s="128">
        <f t="shared" si="63"/>
        <v>0</v>
      </c>
      <c r="AL32" s="128">
        <f t="shared" si="63"/>
        <v>0.90680000000000016</v>
      </c>
      <c r="AM32" s="129" t="e">
        <f>IF(OR(CSE4098C_Summer2026_Grade!$J18="W (Withdrawn)", CSE4098C_Summer2026_Grade!$J18="I (Incomplete)"), 0, IF(AC32&gt;=55%, 1, 0))</f>
        <v>#DIV/0!</v>
      </c>
      <c r="AN32" s="129" t="e">
        <f>IF(OR(CSE4098C_Summer2026_Grade!$J18="W (Withdrawn)", CSE4098C_Summer2026_Grade!$J18="I (Incomplete)"), 0, IF(AD32&gt;=55%, 1, 0))</f>
        <v>#DIV/0!</v>
      </c>
      <c r="AO32" s="129" t="e">
        <f>IF(OR(CSE4098C_Summer2026_Grade!$J18="W (Withdrawn)", CSE4098C_Summer2026_Grade!$J18="I (Incomplete)"), 0, IF(AE32&gt;=55%, 1, 0))</f>
        <v>#DIV/0!</v>
      </c>
      <c r="AP32" s="129" t="e">
        <f>IF(OR(CSE4098C_Summer2026_Grade!$J18="W (Withdrawn)", CSE4098C_Summer2026_Grade!$J18="I (Incomplete)"), 0, IF(AF32&gt;=55%, 1, 0))</f>
        <v>#DIV/0!</v>
      </c>
      <c r="AQ32" s="129" t="e">
        <f>IF(OR(CSE4098C_Summer2026_Grade!$J18="W (Withdrawn)", CSE4098C_Summer2026_Grade!$J18="I (Incomplete)"), 0, IF(AG32&gt;=55%, 1, 0))</f>
        <v>#DIV/0!</v>
      </c>
      <c r="AR32" s="129" t="e">
        <f>IF(OR(CSE4098C_Summer2026_Grade!$J18="W (Withdrawn)", CSE4098C_Summer2026_Grade!$J18="I (Incomplete)"), 0, IF(AH32&gt;=55%, 1, 0))</f>
        <v>#DIV/0!</v>
      </c>
      <c r="AS32" s="129" t="e">
        <f>IF(OR(CSE4098C_Summer2026_Grade!$J18="W (Withdrawn)", CSE4098C_Summer2026_Grade!$J18="I (Incomplete)"), 0, IF(AI32&gt;=55%, 1, 0))</f>
        <v>#DIV/0!</v>
      </c>
      <c r="AT32" s="129" t="e">
        <f>IF(OR(CSE4098C_Summer2026_Grade!$J18="W (Withdrawn)", CSE4098C_Summer2026_Grade!$J18="I (Incomplete)"), 0, IF(AJ32&gt;=55%, 1, 0))</f>
        <v>#DIV/0!</v>
      </c>
      <c r="AU32" s="129" t="e">
        <f>IF(OR(CSE4098C_Summer2026_Grade!$J18="W (Withdrawn)", CSE4098C_Summer2026_Grade!$J18="I (Incomplete)"), 0, IF(AK32&gt;=55%, 1, 0))</f>
        <v>#DIV/0!</v>
      </c>
      <c r="AV32" s="129" t="e">
        <f>IF(OR(CSE4098C_Summer2026_Grade!$J18="W (Withdrawn)", CSE4098C_Summer2026_Grade!$J18="I (Incomplete)"), 0, IF(AL32&gt;=55%, 1, 0))</f>
        <v>#DIV/0!</v>
      </c>
      <c r="AX32" s="130">
        <f t="array" ref="AX32">IF($AY$13=0,0,MMULT($AC32:$AL32, AY$3:AY$12)/$AY$13)</f>
        <v>0</v>
      </c>
      <c r="AY32" s="130">
        <f t="array" ref="AY32">IF($AZ$13=0,0,MMULT($AC32:$AL32, AZ$3:AZ$12)/$AZ$13)</f>
        <v>0</v>
      </c>
      <c r="AZ32" s="130">
        <f t="array" ref="AZ32">IF($BA$13=0,0,MMULT($AC32:$AL32, BA$3:BA$12)/$BA$13)</f>
        <v>0</v>
      </c>
      <c r="BA32" s="130">
        <f t="array" ref="BA32">IF($BB$13=0,0,MMULT($AC32:$AL32, BB$3:BB$12)/$BB$13)</f>
        <v>0.57653846153846156</v>
      </c>
      <c r="BB32" s="130">
        <f t="array" ref="BB32">IF($BC$13=0,0,MMULT($AC32:$AL32, BC$3:BC$12)/$BC$13)</f>
        <v>0</v>
      </c>
      <c r="BC32" s="130">
        <f t="array" ref="BC32">IF($BD$13=0,0,MMULT($AC32:$AL32, BD$3:BD$12)/$BD$13)</f>
        <v>0</v>
      </c>
      <c r="BD32" s="130">
        <f t="array" ref="BD32">IF($BE$13=0,0,MMULT($AC32:$AL32, BE$3:BE$12)/$BE$13)</f>
        <v>0</v>
      </c>
      <c r="BE32" s="130">
        <f t="array" ref="BE32">IF($BF$13=0,0,MMULT($AC32:$AL32, BF$3:BF$12)/$BF$13)</f>
        <v>0</v>
      </c>
      <c r="BF32" s="130">
        <f t="array" ref="BF32">IF($BG$13=0,0,MMULT($AC32:$AL32, BG$3:BG$12)/$BG$13)</f>
        <v>0</v>
      </c>
      <c r="BG32" s="130">
        <f t="array" ref="BG32">IF($BH$13=0,0,MMULT($AC32:$AL32, BH$3:BH$12)/$BH$13)</f>
        <v>0.90680000000000016</v>
      </c>
      <c r="BH32" s="130">
        <f t="array" ref="BH32">IF($BI$13=0,0,MMULT($AC32:$AL32, BI$3:BI$12)/$BI$13)</f>
        <v>0</v>
      </c>
      <c r="BI32" s="130">
        <f t="array" ref="BI32">IF($BJ$13=0,0,MMULT($AC32:$AL32, BJ$3:BJ$12)/$BJ$13)</f>
        <v>0</v>
      </c>
      <c r="BJ32" s="129" t="e">
        <f>IF(OR(CSE4098C_Summer2026_Grade!$J18="W (Withdrawn)", CSE4098C_Summer2026_Grade!$J18="I (Incomplete)"), 0, IF(AX32&gt;=55%, 1, 0))</f>
        <v>#DIV/0!</v>
      </c>
      <c r="BK32" s="129" t="e">
        <f>IF(OR(CSE4098C_Summer2026_Grade!$J18="W (Withdrawn)", CSE4098C_Summer2026_Grade!$J18="I (Incomplete)"), 0, IF(AY32&gt;=55%, 1, 0))</f>
        <v>#DIV/0!</v>
      </c>
      <c r="BL32" s="129" t="e">
        <f>IF(OR(CSE4098C_Summer2026_Grade!$J18="W (Withdrawn)", CSE4098C_Summer2026_Grade!$J18="I (Incomplete)"), 0, IF(AZ32&gt;=55%, 1, 0))</f>
        <v>#DIV/0!</v>
      </c>
      <c r="BM32" s="129" t="e">
        <f>IF(OR(CSE4098C_Summer2026_Grade!$J18="W (Withdrawn)", CSE4098C_Summer2026_Grade!$J18="I (Incomplete)"), 0, IF(BA32&gt;=55%, 1, 0))</f>
        <v>#DIV/0!</v>
      </c>
      <c r="BN32" s="129" t="e">
        <f>IF(OR(CSE4098C_Summer2026_Grade!$J18="W (Withdrawn)", CSE4098C_Summer2026_Grade!$J18="I (Incomplete)"), 0, IF(BB32&gt;=55%, 1, 0))</f>
        <v>#DIV/0!</v>
      </c>
      <c r="BO32" s="129" t="e">
        <f>IF(OR(CSE4098C_Summer2026_Grade!$J18="W (Withdrawn)", CSE4098C_Summer2026_Grade!$J18="I (Incomplete)"), 0, IF(BC32&gt;=55%, 1, 0))</f>
        <v>#DIV/0!</v>
      </c>
      <c r="BP32" s="129" t="e">
        <f>IF(OR(CSE4098C_Summer2026_Grade!$J18="W (Withdrawn)", CSE4098C_Summer2026_Grade!$J18="I (Incomplete)"), 0, IF(BD32&gt;=55%, 1, 0))</f>
        <v>#DIV/0!</v>
      </c>
      <c r="BQ32" s="129" t="e">
        <f>IF(OR(CSE4098C_Summer2026_Grade!$J18="W (Withdrawn)", CSE4098C_Summer2026_Grade!$J18="I (Incomplete)"), 0, IF(BE32&gt;=55%, 1, 0))</f>
        <v>#DIV/0!</v>
      </c>
      <c r="BR32" s="129" t="e">
        <f>IF(OR(CSE4098C_Summer2026_Grade!$J18="W (Withdrawn)", CSE4098C_Summer2026_Grade!$J18="I (Incomplete)"), 0, IF(BF32&gt;=55%, 1, 0))</f>
        <v>#DIV/0!</v>
      </c>
      <c r="BS32" s="129" t="e">
        <f>IF(OR(CSE4098C_Summer2026_Grade!$J18="W (Withdrawn)", CSE4098C_Summer2026_Grade!$J18="I (Incomplete)"), 0, IF(BG32&gt;=55%, 1, 0))</f>
        <v>#DIV/0!</v>
      </c>
      <c r="BT32" s="129" t="e">
        <f>IF(OR(CSE4098C_Summer2026_Grade!$J18="W (Withdrawn)", CSE4098C_Summer2026_Grade!$J18="I (Incomplete)"), 0, IF(BH32&gt;=55%, 1, 0))</f>
        <v>#DIV/0!</v>
      </c>
      <c r="BU32" s="129" t="e">
        <f>IF(OR(CSE4098C_Summer2026_Grade!$J18="W (Withdrawn)", CSE4098C_Summer2026_Grade!$J18="I (Incomplete)"), 0, IF(BI32&gt;=55%, 1, 0))</f>
        <v>#DIV/0!</v>
      </c>
    </row>
    <row r="33" spans="1:73" ht="12.75" customHeight="1" thickBot="1">
      <c r="A33" s="118">
        <f t="shared" si="11"/>
        <v>15</v>
      </c>
      <c r="B33" s="223">
        <v>221014035</v>
      </c>
      <c r="C33" s="222" t="s">
        <v>218</v>
      </c>
      <c r="D33" s="119">
        <f>CO_Report_Evaluation!AG18</f>
        <v>0</v>
      </c>
      <c r="E33" s="119">
        <f>CO_Report_Evaluation!AH18</f>
        <v>0</v>
      </c>
      <c r="F33" s="119">
        <f>CO_Report_Evaluation!AI18</f>
        <v>0</v>
      </c>
      <c r="G33" s="119">
        <f>CO_Report_Evaluation!AJ18</f>
        <v>0</v>
      </c>
      <c r="H33" s="119">
        <f>CO_Report_Evaluation!AK18</f>
        <v>0</v>
      </c>
      <c r="I33" s="119">
        <f>CO_Report_Evaluation!AL18</f>
        <v>0</v>
      </c>
      <c r="J33" s="119">
        <f>CO_Report_Evaluation!AM18</f>
        <v>0</v>
      </c>
      <c r="K33" s="119">
        <f>CO_Report_Evaluation!AN18</f>
        <v>0</v>
      </c>
      <c r="L33" s="119">
        <f>CSE4098C_Summer2026_Grade!G19</f>
        <v>0</v>
      </c>
      <c r="M33" s="119"/>
      <c r="N33" s="33">
        <f>((CSE4098C_Summer2026_Grade!E19)*10)/25</f>
        <v>9.0680000000000014</v>
      </c>
      <c r="O33" s="120"/>
      <c r="P33" s="121"/>
      <c r="Q33" s="122">
        <v>17.77</v>
      </c>
      <c r="R33" s="120"/>
      <c r="S33" s="123">
        <f t="shared" si="4"/>
        <v>0</v>
      </c>
      <c r="T33" s="124">
        <f t="shared" ref="T33:U33" si="64">E33</f>
        <v>0</v>
      </c>
      <c r="U33" s="124">
        <f t="shared" si="64"/>
        <v>0</v>
      </c>
      <c r="V33" s="124">
        <f t="shared" ref="V33:X33" si="65">SUM(G33,P33)</f>
        <v>0</v>
      </c>
      <c r="W33" s="124">
        <f t="shared" si="65"/>
        <v>17.77</v>
      </c>
      <c r="X33" s="124">
        <f t="shared" si="65"/>
        <v>0</v>
      </c>
      <c r="Y33" s="125">
        <f t="shared" ref="Y33:AA33" si="66">J33</f>
        <v>0</v>
      </c>
      <c r="Z33" s="125">
        <f t="shared" si="66"/>
        <v>0</v>
      </c>
      <c r="AA33" s="125">
        <f t="shared" si="66"/>
        <v>0</v>
      </c>
      <c r="AB33" s="125">
        <f t="shared" si="9"/>
        <v>9.0680000000000014</v>
      </c>
      <c r="AC33" s="126">
        <f t="shared" ref="AC33:AL33" si="67">IF(S33 = 0, 0, S33/S$18)</f>
        <v>0</v>
      </c>
      <c r="AD33" s="127">
        <f t="shared" si="67"/>
        <v>0</v>
      </c>
      <c r="AE33" s="128">
        <f t="shared" si="67"/>
        <v>0</v>
      </c>
      <c r="AF33" s="128">
        <f t="shared" si="67"/>
        <v>0</v>
      </c>
      <c r="AG33" s="128">
        <f t="shared" si="67"/>
        <v>0.68346153846153845</v>
      </c>
      <c r="AH33" s="128">
        <f t="shared" si="67"/>
        <v>0</v>
      </c>
      <c r="AI33" s="128">
        <f t="shared" si="67"/>
        <v>0</v>
      </c>
      <c r="AJ33" s="128">
        <f t="shared" si="67"/>
        <v>0</v>
      </c>
      <c r="AK33" s="128">
        <f t="shared" si="67"/>
        <v>0</v>
      </c>
      <c r="AL33" s="128">
        <f t="shared" si="67"/>
        <v>0.90680000000000016</v>
      </c>
      <c r="AM33" s="129" t="e">
        <f>IF(OR(CSE4098C_Summer2026_Grade!$J19="W (Withdrawn)", CSE4098C_Summer2026_Grade!$J19="I (Incomplete)"), 0, IF(AC33&gt;=55%, 1, 0))</f>
        <v>#DIV/0!</v>
      </c>
      <c r="AN33" s="129" t="e">
        <f>IF(OR(CSE4098C_Summer2026_Grade!$J19="W (Withdrawn)", CSE4098C_Summer2026_Grade!$J19="I (Incomplete)"), 0, IF(AD33&gt;=55%, 1, 0))</f>
        <v>#DIV/0!</v>
      </c>
      <c r="AO33" s="129" t="e">
        <f>IF(OR(CSE4098C_Summer2026_Grade!$J19="W (Withdrawn)", CSE4098C_Summer2026_Grade!$J19="I (Incomplete)"), 0, IF(AE33&gt;=55%, 1, 0))</f>
        <v>#DIV/0!</v>
      </c>
      <c r="AP33" s="129" t="e">
        <f>IF(OR(CSE4098C_Summer2026_Grade!$J19="W (Withdrawn)", CSE4098C_Summer2026_Grade!$J19="I (Incomplete)"), 0, IF(AF33&gt;=55%, 1, 0))</f>
        <v>#DIV/0!</v>
      </c>
      <c r="AQ33" s="129" t="e">
        <f>IF(OR(CSE4098C_Summer2026_Grade!$J19="W (Withdrawn)", CSE4098C_Summer2026_Grade!$J19="I (Incomplete)"), 0, IF(AG33&gt;=55%, 1, 0))</f>
        <v>#DIV/0!</v>
      </c>
      <c r="AR33" s="129" t="e">
        <f>IF(OR(CSE4098C_Summer2026_Grade!$J19="W (Withdrawn)", CSE4098C_Summer2026_Grade!$J19="I (Incomplete)"), 0, IF(AH33&gt;=55%, 1, 0))</f>
        <v>#DIV/0!</v>
      </c>
      <c r="AS33" s="129" t="e">
        <f>IF(OR(CSE4098C_Summer2026_Grade!$J19="W (Withdrawn)", CSE4098C_Summer2026_Grade!$J19="I (Incomplete)"), 0, IF(AI33&gt;=55%, 1, 0))</f>
        <v>#DIV/0!</v>
      </c>
      <c r="AT33" s="129" t="e">
        <f>IF(OR(CSE4098C_Summer2026_Grade!$J19="W (Withdrawn)", CSE4098C_Summer2026_Grade!$J19="I (Incomplete)"), 0, IF(AJ33&gt;=55%, 1, 0))</f>
        <v>#DIV/0!</v>
      </c>
      <c r="AU33" s="129" t="e">
        <f>IF(OR(CSE4098C_Summer2026_Grade!$J19="W (Withdrawn)", CSE4098C_Summer2026_Grade!$J19="I (Incomplete)"), 0, IF(AK33&gt;=55%, 1, 0))</f>
        <v>#DIV/0!</v>
      </c>
      <c r="AV33" s="129" t="e">
        <f>IF(OR(CSE4098C_Summer2026_Grade!$J19="W (Withdrawn)", CSE4098C_Summer2026_Grade!$J19="I (Incomplete)"), 0, IF(AL33&gt;=55%, 1, 0))</f>
        <v>#DIV/0!</v>
      </c>
      <c r="AX33" s="130">
        <f t="array" ref="AX33">IF($AY$13=0,0,MMULT($AC33:$AL33, AY$3:AY$12)/$AY$13)</f>
        <v>0</v>
      </c>
      <c r="AY33" s="130">
        <f t="array" ref="AY33">IF($AZ$13=0,0,MMULT($AC33:$AL33, AZ$3:AZ$12)/$AZ$13)</f>
        <v>0</v>
      </c>
      <c r="AZ33" s="130">
        <f t="array" ref="AZ33">IF($BA$13=0,0,MMULT($AC33:$AL33, BA$3:BA$12)/$BA$13)</f>
        <v>0</v>
      </c>
      <c r="BA33" s="130">
        <f t="array" ref="BA33">IF($BB$13=0,0,MMULT($AC33:$AL33, BB$3:BB$12)/$BB$13)</f>
        <v>0.68346153846153845</v>
      </c>
      <c r="BB33" s="130">
        <f t="array" ref="BB33">IF($BC$13=0,0,MMULT($AC33:$AL33, BC$3:BC$12)/$BC$13)</f>
        <v>0</v>
      </c>
      <c r="BC33" s="130">
        <f t="array" ref="BC33">IF($BD$13=0,0,MMULT($AC33:$AL33, BD$3:BD$12)/$BD$13)</f>
        <v>0</v>
      </c>
      <c r="BD33" s="130">
        <f t="array" ref="BD33">IF($BE$13=0,0,MMULT($AC33:$AL33, BE$3:BE$12)/$BE$13)</f>
        <v>0</v>
      </c>
      <c r="BE33" s="130">
        <f t="array" ref="BE33">IF($BF$13=0,0,MMULT($AC33:$AL33, BF$3:BF$12)/$BF$13)</f>
        <v>0</v>
      </c>
      <c r="BF33" s="130">
        <f t="array" ref="BF33">IF($BG$13=0,0,MMULT($AC33:$AL33, BG$3:BG$12)/$BG$13)</f>
        <v>0</v>
      </c>
      <c r="BG33" s="130">
        <f t="array" ref="BG33">IF($BH$13=0,0,MMULT($AC33:$AL33, BH$3:BH$12)/$BH$13)</f>
        <v>0.90680000000000016</v>
      </c>
      <c r="BH33" s="130">
        <f t="array" ref="BH33">IF($BI$13=0,0,MMULT($AC33:$AL33, BI$3:BI$12)/$BI$13)</f>
        <v>0</v>
      </c>
      <c r="BI33" s="130">
        <f t="array" ref="BI33">IF($BJ$13=0,0,MMULT($AC33:$AL33, BJ$3:BJ$12)/$BJ$13)</f>
        <v>0</v>
      </c>
      <c r="BJ33" s="129" t="e">
        <f>IF(OR(CSE4098C_Summer2026_Grade!$J19="W (Withdrawn)", CSE4098C_Summer2026_Grade!$J19="I (Incomplete)"), 0, IF(AX33&gt;=55%, 1, 0))</f>
        <v>#DIV/0!</v>
      </c>
      <c r="BK33" s="129" t="e">
        <f>IF(OR(CSE4098C_Summer2026_Grade!$J19="W (Withdrawn)", CSE4098C_Summer2026_Grade!$J19="I (Incomplete)"), 0, IF(AY33&gt;=55%, 1, 0))</f>
        <v>#DIV/0!</v>
      </c>
      <c r="BL33" s="129" t="e">
        <f>IF(OR(CSE4098C_Summer2026_Grade!$J19="W (Withdrawn)", CSE4098C_Summer2026_Grade!$J19="I (Incomplete)"), 0, IF(AZ33&gt;=55%, 1, 0))</f>
        <v>#DIV/0!</v>
      </c>
      <c r="BM33" s="129" t="e">
        <f>IF(OR(CSE4098C_Summer2026_Grade!$J19="W (Withdrawn)", CSE4098C_Summer2026_Grade!$J19="I (Incomplete)"), 0, IF(BA33&gt;=55%, 1, 0))</f>
        <v>#DIV/0!</v>
      </c>
      <c r="BN33" s="129" t="e">
        <f>IF(OR(CSE4098C_Summer2026_Grade!$J19="W (Withdrawn)", CSE4098C_Summer2026_Grade!$J19="I (Incomplete)"), 0, IF(BB33&gt;=55%, 1, 0))</f>
        <v>#DIV/0!</v>
      </c>
      <c r="BO33" s="129" t="e">
        <f>IF(OR(CSE4098C_Summer2026_Grade!$J19="W (Withdrawn)", CSE4098C_Summer2026_Grade!$J19="I (Incomplete)"), 0, IF(BC33&gt;=55%, 1, 0))</f>
        <v>#DIV/0!</v>
      </c>
      <c r="BP33" s="129" t="e">
        <f>IF(OR(CSE4098C_Summer2026_Grade!$J19="W (Withdrawn)", CSE4098C_Summer2026_Grade!$J19="I (Incomplete)"), 0, IF(BD33&gt;=55%, 1, 0))</f>
        <v>#DIV/0!</v>
      </c>
      <c r="BQ33" s="129" t="e">
        <f>IF(OR(CSE4098C_Summer2026_Grade!$J19="W (Withdrawn)", CSE4098C_Summer2026_Grade!$J19="I (Incomplete)"), 0, IF(BE33&gt;=55%, 1, 0))</f>
        <v>#DIV/0!</v>
      </c>
      <c r="BR33" s="129" t="e">
        <f>IF(OR(CSE4098C_Summer2026_Grade!$J19="W (Withdrawn)", CSE4098C_Summer2026_Grade!$J19="I (Incomplete)"), 0, IF(BF33&gt;=55%, 1, 0))</f>
        <v>#DIV/0!</v>
      </c>
      <c r="BS33" s="129" t="e">
        <f>IF(OR(CSE4098C_Summer2026_Grade!$J19="W (Withdrawn)", CSE4098C_Summer2026_Grade!$J19="I (Incomplete)"), 0, IF(BG33&gt;=55%, 1, 0))</f>
        <v>#DIV/0!</v>
      </c>
      <c r="BT33" s="129" t="e">
        <f>IF(OR(CSE4098C_Summer2026_Grade!$J19="W (Withdrawn)", CSE4098C_Summer2026_Grade!$J19="I (Incomplete)"), 0, IF(BH33&gt;=55%, 1, 0))</f>
        <v>#DIV/0!</v>
      </c>
      <c r="BU33" s="129" t="e">
        <f>IF(OR(CSE4098C_Summer2026_Grade!$J19="W (Withdrawn)", CSE4098C_Summer2026_Grade!$J19="I (Incomplete)"), 0, IF(BI33&gt;=55%, 1, 0))</f>
        <v>#DIV/0!</v>
      </c>
    </row>
    <row r="34" spans="1:73" ht="12.75" customHeight="1" thickBot="1">
      <c r="A34" s="118">
        <f t="shared" si="11"/>
        <v>16</v>
      </c>
      <c r="B34" s="222">
        <v>223014074</v>
      </c>
      <c r="C34" s="222" t="s">
        <v>219</v>
      </c>
      <c r="D34" s="119">
        <f>CO_Report_Evaluation!AG19</f>
        <v>0</v>
      </c>
      <c r="E34" s="119">
        <f>CO_Report_Evaluation!AH19</f>
        <v>0</v>
      </c>
      <c r="F34" s="119">
        <f>CO_Report_Evaluation!AI19</f>
        <v>0</v>
      </c>
      <c r="G34" s="119">
        <f>CO_Report_Evaluation!AJ19</f>
        <v>0</v>
      </c>
      <c r="H34" s="119">
        <f>CO_Report_Evaluation!AK19</f>
        <v>0</v>
      </c>
      <c r="I34" s="119">
        <f>CO_Report_Evaluation!AL19</f>
        <v>0</v>
      </c>
      <c r="J34" s="119">
        <f>CO_Report_Evaluation!AM19</f>
        <v>0</v>
      </c>
      <c r="K34" s="119">
        <f>CO_Report_Evaluation!AN19</f>
        <v>0</v>
      </c>
      <c r="L34" s="119">
        <f>CSE4098C_Summer2026_Grade!G20</f>
        <v>0</v>
      </c>
      <c r="M34" s="119"/>
      <c r="N34" s="33">
        <f>((CSE4098C_Summer2026_Grade!E20)*10)/25</f>
        <v>9.136000000000001</v>
      </c>
      <c r="O34" s="120"/>
      <c r="P34" s="121"/>
      <c r="Q34" s="122">
        <v>17.77</v>
      </c>
      <c r="R34" s="120"/>
      <c r="S34" s="123">
        <f t="shared" si="4"/>
        <v>0</v>
      </c>
      <c r="T34" s="124">
        <f t="shared" ref="T34:U34" si="68">E34</f>
        <v>0</v>
      </c>
      <c r="U34" s="124">
        <f t="shared" si="68"/>
        <v>0</v>
      </c>
      <c r="V34" s="124">
        <f t="shared" ref="V34:X34" si="69">SUM(G34,P34)</f>
        <v>0</v>
      </c>
      <c r="W34" s="124">
        <f t="shared" si="69"/>
        <v>17.77</v>
      </c>
      <c r="X34" s="124">
        <f t="shared" si="69"/>
        <v>0</v>
      </c>
      <c r="Y34" s="125">
        <f t="shared" ref="Y34:AA34" si="70">J34</f>
        <v>0</v>
      </c>
      <c r="Z34" s="125">
        <f t="shared" si="70"/>
        <v>0</v>
      </c>
      <c r="AA34" s="125">
        <f t="shared" si="70"/>
        <v>0</v>
      </c>
      <c r="AB34" s="125">
        <f t="shared" si="9"/>
        <v>9.136000000000001</v>
      </c>
      <c r="AC34" s="126">
        <f t="shared" ref="AC34:AL34" si="71">IF(S34 = 0, 0, S34/S$18)</f>
        <v>0</v>
      </c>
      <c r="AD34" s="127">
        <f t="shared" si="71"/>
        <v>0</v>
      </c>
      <c r="AE34" s="128">
        <f t="shared" si="71"/>
        <v>0</v>
      </c>
      <c r="AF34" s="128">
        <f t="shared" si="71"/>
        <v>0</v>
      </c>
      <c r="AG34" s="128">
        <f t="shared" si="71"/>
        <v>0.68346153846153845</v>
      </c>
      <c r="AH34" s="128">
        <f t="shared" si="71"/>
        <v>0</v>
      </c>
      <c r="AI34" s="128">
        <f t="shared" si="71"/>
        <v>0</v>
      </c>
      <c r="AJ34" s="128">
        <f t="shared" si="71"/>
        <v>0</v>
      </c>
      <c r="AK34" s="128">
        <f t="shared" si="71"/>
        <v>0</v>
      </c>
      <c r="AL34" s="128">
        <f t="shared" si="71"/>
        <v>0.91360000000000008</v>
      </c>
      <c r="AM34" s="129" t="e">
        <f>IF(OR(CSE4098C_Summer2026_Grade!$J20="W (Withdrawn)", CSE4098C_Summer2026_Grade!$J20="I (Incomplete)"), 0, IF(AC34&gt;=55%, 1, 0))</f>
        <v>#DIV/0!</v>
      </c>
      <c r="AN34" s="129" t="e">
        <f>IF(OR(CSE4098C_Summer2026_Grade!$J20="W (Withdrawn)", CSE4098C_Summer2026_Grade!$J20="I (Incomplete)"), 0, IF(AD34&gt;=55%, 1, 0))</f>
        <v>#DIV/0!</v>
      </c>
      <c r="AO34" s="129" t="e">
        <f>IF(OR(CSE4098C_Summer2026_Grade!$J20="W (Withdrawn)", CSE4098C_Summer2026_Grade!$J20="I (Incomplete)"), 0, IF(AE34&gt;=55%, 1, 0))</f>
        <v>#DIV/0!</v>
      </c>
      <c r="AP34" s="129" t="e">
        <f>IF(OR(CSE4098C_Summer2026_Grade!$J20="W (Withdrawn)", CSE4098C_Summer2026_Grade!$J20="I (Incomplete)"), 0, IF(AF34&gt;=55%, 1, 0))</f>
        <v>#DIV/0!</v>
      </c>
      <c r="AQ34" s="129" t="e">
        <f>IF(OR(CSE4098C_Summer2026_Grade!$J20="W (Withdrawn)", CSE4098C_Summer2026_Grade!$J20="I (Incomplete)"), 0, IF(AG34&gt;=55%, 1, 0))</f>
        <v>#DIV/0!</v>
      </c>
      <c r="AR34" s="129" t="e">
        <f>IF(OR(CSE4098C_Summer2026_Grade!$J20="W (Withdrawn)", CSE4098C_Summer2026_Grade!$J20="I (Incomplete)"), 0, IF(AH34&gt;=55%, 1, 0))</f>
        <v>#DIV/0!</v>
      </c>
      <c r="AS34" s="129" t="e">
        <f>IF(OR(CSE4098C_Summer2026_Grade!$J20="W (Withdrawn)", CSE4098C_Summer2026_Grade!$J20="I (Incomplete)"), 0, IF(AI34&gt;=55%, 1, 0))</f>
        <v>#DIV/0!</v>
      </c>
      <c r="AT34" s="129" t="e">
        <f>IF(OR(CSE4098C_Summer2026_Grade!$J20="W (Withdrawn)", CSE4098C_Summer2026_Grade!$J20="I (Incomplete)"), 0, IF(AJ34&gt;=55%, 1, 0))</f>
        <v>#DIV/0!</v>
      </c>
      <c r="AU34" s="129" t="e">
        <f>IF(OR(CSE4098C_Summer2026_Grade!$J20="W (Withdrawn)", CSE4098C_Summer2026_Grade!$J20="I (Incomplete)"), 0, IF(AK34&gt;=55%, 1, 0))</f>
        <v>#DIV/0!</v>
      </c>
      <c r="AV34" s="129" t="e">
        <f>IF(OR(CSE4098C_Summer2026_Grade!$J20="W (Withdrawn)", CSE4098C_Summer2026_Grade!$J20="I (Incomplete)"), 0, IF(AL34&gt;=55%, 1, 0))</f>
        <v>#DIV/0!</v>
      </c>
      <c r="AX34" s="130">
        <f t="array" ref="AX34">IF($AY$13=0,0,MMULT($AC34:$AL34, AY$3:AY$12)/$AY$13)</f>
        <v>0</v>
      </c>
      <c r="AY34" s="130">
        <f t="array" ref="AY34">IF($AZ$13=0,0,MMULT($AC34:$AL34, AZ$3:AZ$12)/$AZ$13)</f>
        <v>0</v>
      </c>
      <c r="AZ34" s="130">
        <f t="array" ref="AZ34">IF($BA$13=0,0,MMULT($AC34:$AL34, BA$3:BA$12)/$BA$13)</f>
        <v>0</v>
      </c>
      <c r="BA34" s="130">
        <f t="array" ref="BA34">IF($BB$13=0,0,MMULT($AC34:$AL34, BB$3:BB$12)/$BB$13)</f>
        <v>0.68346153846153845</v>
      </c>
      <c r="BB34" s="130">
        <f t="array" ref="BB34">IF($BC$13=0,0,MMULT($AC34:$AL34, BC$3:BC$12)/$BC$13)</f>
        <v>0</v>
      </c>
      <c r="BC34" s="130">
        <f t="array" ref="BC34">IF($BD$13=0,0,MMULT($AC34:$AL34, BD$3:BD$12)/$BD$13)</f>
        <v>0</v>
      </c>
      <c r="BD34" s="130">
        <f t="array" ref="BD34">IF($BE$13=0,0,MMULT($AC34:$AL34, BE$3:BE$12)/$BE$13)</f>
        <v>0</v>
      </c>
      <c r="BE34" s="130">
        <f t="array" ref="BE34">IF($BF$13=0,0,MMULT($AC34:$AL34, BF$3:BF$12)/$BF$13)</f>
        <v>0</v>
      </c>
      <c r="BF34" s="130">
        <f t="array" ref="BF34">IF($BG$13=0,0,MMULT($AC34:$AL34, BG$3:BG$12)/$BG$13)</f>
        <v>0</v>
      </c>
      <c r="BG34" s="130">
        <f t="array" ref="BG34">IF($BH$13=0,0,MMULT($AC34:$AL34, BH$3:BH$12)/$BH$13)</f>
        <v>0.91360000000000008</v>
      </c>
      <c r="BH34" s="130">
        <f t="array" ref="BH34">IF($BI$13=0,0,MMULT($AC34:$AL34, BI$3:BI$12)/$BI$13)</f>
        <v>0</v>
      </c>
      <c r="BI34" s="130">
        <f t="array" ref="BI34">IF($BJ$13=0,0,MMULT($AC34:$AL34, BJ$3:BJ$12)/$BJ$13)</f>
        <v>0</v>
      </c>
      <c r="BJ34" s="129" t="e">
        <f>IF(OR(CSE4098C_Summer2026_Grade!$J20="W (Withdrawn)", CSE4098C_Summer2026_Grade!$J20="I (Incomplete)"), 0, IF(AX34&gt;=55%, 1, 0))</f>
        <v>#DIV/0!</v>
      </c>
      <c r="BK34" s="129" t="e">
        <f>IF(OR(CSE4098C_Summer2026_Grade!$J20="W (Withdrawn)", CSE4098C_Summer2026_Grade!$J20="I (Incomplete)"), 0, IF(AY34&gt;=55%, 1, 0))</f>
        <v>#DIV/0!</v>
      </c>
      <c r="BL34" s="129" t="e">
        <f>IF(OR(CSE4098C_Summer2026_Grade!$J20="W (Withdrawn)", CSE4098C_Summer2026_Grade!$J20="I (Incomplete)"), 0, IF(AZ34&gt;=55%, 1, 0))</f>
        <v>#DIV/0!</v>
      </c>
      <c r="BM34" s="129" t="e">
        <f>IF(OR(CSE4098C_Summer2026_Grade!$J20="W (Withdrawn)", CSE4098C_Summer2026_Grade!$J20="I (Incomplete)"), 0, IF(BA34&gt;=55%, 1, 0))</f>
        <v>#DIV/0!</v>
      </c>
      <c r="BN34" s="129" t="e">
        <f>IF(OR(CSE4098C_Summer2026_Grade!$J20="W (Withdrawn)", CSE4098C_Summer2026_Grade!$J20="I (Incomplete)"), 0, IF(BB34&gt;=55%, 1, 0))</f>
        <v>#DIV/0!</v>
      </c>
      <c r="BO34" s="129" t="e">
        <f>IF(OR(CSE4098C_Summer2026_Grade!$J20="W (Withdrawn)", CSE4098C_Summer2026_Grade!$J20="I (Incomplete)"), 0, IF(BC34&gt;=55%, 1, 0))</f>
        <v>#DIV/0!</v>
      </c>
      <c r="BP34" s="129" t="e">
        <f>IF(OR(CSE4098C_Summer2026_Grade!$J20="W (Withdrawn)", CSE4098C_Summer2026_Grade!$J20="I (Incomplete)"), 0, IF(BD34&gt;=55%, 1, 0))</f>
        <v>#DIV/0!</v>
      </c>
      <c r="BQ34" s="129" t="e">
        <f>IF(OR(CSE4098C_Summer2026_Grade!$J20="W (Withdrawn)", CSE4098C_Summer2026_Grade!$J20="I (Incomplete)"), 0, IF(BE34&gt;=55%, 1, 0))</f>
        <v>#DIV/0!</v>
      </c>
      <c r="BR34" s="129" t="e">
        <f>IF(OR(CSE4098C_Summer2026_Grade!$J20="W (Withdrawn)", CSE4098C_Summer2026_Grade!$J20="I (Incomplete)"), 0, IF(BF34&gt;=55%, 1, 0))</f>
        <v>#DIV/0!</v>
      </c>
      <c r="BS34" s="129" t="e">
        <f>IF(OR(CSE4098C_Summer2026_Grade!$J20="W (Withdrawn)", CSE4098C_Summer2026_Grade!$J20="I (Incomplete)"), 0, IF(BG34&gt;=55%, 1, 0))</f>
        <v>#DIV/0!</v>
      </c>
      <c r="BT34" s="129" t="e">
        <f>IF(OR(CSE4098C_Summer2026_Grade!$J20="W (Withdrawn)", CSE4098C_Summer2026_Grade!$J20="I (Incomplete)"), 0, IF(BH34&gt;=55%, 1, 0))</f>
        <v>#DIV/0!</v>
      </c>
      <c r="BU34" s="129" t="e">
        <f>IF(OR(CSE4098C_Summer2026_Grade!$J20="W (Withdrawn)", CSE4098C_Summer2026_Grade!$J20="I (Incomplete)"), 0, IF(BI34&gt;=55%, 1, 0))</f>
        <v>#DIV/0!</v>
      </c>
    </row>
    <row r="35" spans="1:73" ht="12.75" customHeight="1" thickBot="1">
      <c r="A35" s="118">
        <f t="shared" si="11"/>
        <v>17</v>
      </c>
      <c r="B35" s="222">
        <v>223014133</v>
      </c>
      <c r="C35" s="222" t="s">
        <v>220</v>
      </c>
      <c r="D35" s="119">
        <f>CO_Report_Evaluation!AG20</f>
        <v>0</v>
      </c>
      <c r="E35" s="119">
        <f>CO_Report_Evaluation!AH20</f>
        <v>0</v>
      </c>
      <c r="F35" s="119">
        <f>CO_Report_Evaluation!AI20</f>
        <v>0</v>
      </c>
      <c r="G35" s="119">
        <f>CO_Report_Evaluation!AJ20</f>
        <v>0</v>
      </c>
      <c r="H35" s="119">
        <f>CO_Report_Evaluation!AK20</f>
        <v>0</v>
      </c>
      <c r="I35" s="119">
        <f>CO_Report_Evaluation!AL20</f>
        <v>0</v>
      </c>
      <c r="J35" s="119">
        <f>CO_Report_Evaluation!AM20</f>
        <v>0</v>
      </c>
      <c r="K35" s="119">
        <f>CO_Report_Evaluation!AN20</f>
        <v>0</v>
      </c>
      <c r="L35" s="119">
        <f>CSE4098C_Summer2026_Grade!G21</f>
        <v>0</v>
      </c>
      <c r="M35" s="119"/>
      <c r="N35" s="33">
        <f>((CSE4098C_Summer2026_Grade!E21)*10)/25</f>
        <v>9</v>
      </c>
      <c r="O35" s="120"/>
      <c r="P35" s="121"/>
      <c r="Q35" s="122">
        <v>17.77</v>
      </c>
      <c r="R35" s="120"/>
      <c r="S35" s="123">
        <f t="shared" si="4"/>
        <v>0</v>
      </c>
      <c r="T35" s="124">
        <f t="shared" ref="T35:U35" si="72">E35</f>
        <v>0</v>
      </c>
      <c r="U35" s="124">
        <f t="shared" si="72"/>
        <v>0</v>
      </c>
      <c r="V35" s="124">
        <f t="shared" ref="V35:X35" si="73">SUM(G35,P35)</f>
        <v>0</v>
      </c>
      <c r="W35" s="124">
        <f t="shared" si="73"/>
        <v>17.77</v>
      </c>
      <c r="X35" s="124">
        <f t="shared" si="73"/>
        <v>0</v>
      </c>
      <c r="Y35" s="125">
        <f t="shared" ref="Y35:AA35" si="74">J35</f>
        <v>0</v>
      </c>
      <c r="Z35" s="125">
        <f t="shared" si="74"/>
        <v>0</v>
      </c>
      <c r="AA35" s="125">
        <f t="shared" si="74"/>
        <v>0</v>
      </c>
      <c r="AB35" s="125">
        <f t="shared" si="9"/>
        <v>9</v>
      </c>
      <c r="AC35" s="126">
        <f t="shared" ref="AC35:AL35" si="75">IF(S35 = 0, 0, S35/S$18)</f>
        <v>0</v>
      </c>
      <c r="AD35" s="127">
        <f t="shared" si="75"/>
        <v>0</v>
      </c>
      <c r="AE35" s="128">
        <f t="shared" si="75"/>
        <v>0</v>
      </c>
      <c r="AF35" s="128">
        <f t="shared" si="75"/>
        <v>0</v>
      </c>
      <c r="AG35" s="128">
        <f t="shared" si="75"/>
        <v>0.68346153846153845</v>
      </c>
      <c r="AH35" s="128">
        <f t="shared" si="75"/>
        <v>0</v>
      </c>
      <c r="AI35" s="128">
        <f t="shared" si="75"/>
        <v>0</v>
      </c>
      <c r="AJ35" s="128">
        <f t="shared" si="75"/>
        <v>0</v>
      </c>
      <c r="AK35" s="128">
        <f t="shared" si="75"/>
        <v>0</v>
      </c>
      <c r="AL35" s="128">
        <f t="shared" si="75"/>
        <v>0.9</v>
      </c>
      <c r="AM35" s="129" t="e">
        <f>IF(OR(CSE4098C_Summer2026_Grade!$J21="W (Withdrawn)", CSE4098C_Summer2026_Grade!$J21="I (Incomplete)"), 0, IF(AC35&gt;=55%, 1, 0))</f>
        <v>#DIV/0!</v>
      </c>
      <c r="AN35" s="129" t="e">
        <f>IF(OR(CSE4098C_Summer2026_Grade!$J21="W (Withdrawn)", CSE4098C_Summer2026_Grade!$J21="I (Incomplete)"), 0, IF(AD35&gt;=55%, 1, 0))</f>
        <v>#DIV/0!</v>
      </c>
      <c r="AO35" s="129" t="e">
        <f>IF(OR(CSE4098C_Summer2026_Grade!$J21="W (Withdrawn)", CSE4098C_Summer2026_Grade!$J21="I (Incomplete)"), 0, IF(AE35&gt;=55%, 1, 0))</f>
        <v>#DIV/0!</v>
      </c>
      <c r="AP35" s="129" t="e">
        <f>IF(OR(CSE4098C_Summer2026_Grade!$J21="W (Withdrawn)", CSE4098C_Summer2026_Grade!$J21="I (Incomplete)"), 0, IF(AF35&gt;=55%, 1, 0))</f>
        <v>#DIV/0!</v>
      </c>
      <c r="AQ35" s="129" t="e">
        <f>IF(OR(CSE4098C_Summer2026_Grade!$J21="W (Withdrawn)", CSE4098C_Summer2026_Grade!$J21="I (Incomplete)"), 0, IF(AG35&gt;=55%, 1, 0))</f>
        <v>#DIV/0!</v>
      </c>
      <c r="AR35" s="129" t="e">
        <f>IF(OR(CSE4098C_Summer2026_Grade!$J21="W (Withdrawn)", CSE4098C_Summer2026_Grade!$J21="I (Incomplete)"), 0, IF(AH35&gt;=55%, 1, 0))</f>
        <v>#DIV/0!</v>
      </c>
      <c r="AS35" s="129" t="e">
        <f>IF(OR(CSE4098C_Summer2026_Grade!$J21="W (Withdrawn)", CSE4098C_Summer2026_Grade!$J21="I (Incomplete)"), 0, IF(AI35&gt;=55%, 1, 0))</f>
        <v>#DIV/0!</v>
      </c>
      <c r="AT35" s="129" t="e">
        <f>IF(OR(CSE4098C_Summer2026_Grade!$J21="W (Withdrawn)", CSE4098C_Summer2026_Grade!$J21="I (Incomplete)"), 0, IF(AJ35&gt;=55%, 1, 0))</f>
        <v>#DIV/0!</v>
      </c>
      <c r="AU35" s="129" t="e">
        <f>IF(OR(CSE4098C_Summer2026_Grade!$J21="W (Withdrawn)", CSE4098C_Summer2026_Grade!$J21="I (Incomplete)"), 0, IF(AK35&gt;=55%, 1, 0))</f>
        <v>#DIV/0!</v>
      </c>
      <c r="AV35" s="129" t="e">
        <f>IF(OR(CSE4098C_Summer2026_Grade!$J21="W (Withdrawn)", CSE4098C_Summer2026_Grade!$J21="I (Incomplete)"), 0, IF(AL35&gt;=55%, 1, 0))</f>
        <v>#DIV/0!</v>
      </c>
      <c r="AX35" s="130">
        <f t="array" ref="AX35">IF($AY$13=0,0,MMULT($AC35:$AL35, AY$3:AY$12)/$AY$13)</f>
        <v>0</v>
      </c>
      <c r="AY35" s="130">
        <f t="array" ref="AY35">IF($AZ$13=0,0,MMULT($AC35:$AL35, AZ$3:AZ$12)/$AZ$13)</f>
        <v>0</v>
      </c>
      <c r="AZ35" s="130">
        <f t="array" ref="AZ35">IF($BA$13=0,0,MMULT($AC35:$AL35, BA$3:BA$12)/$BA$13)</f>
        <v>0</v>
      </c>
      <c r="BA35" s="130">
        <f t="array" ref="BA35">IF($BB$13=0,0,MMULT($AC35:$AL35, BB$3:BB$12)/$BB$13)</f>
        <v>0.68346153846153845</v>
      </c>
      <c r="BB35" s="130">
        <f t="array" ref="BB35">IF($BC$13=0,0,MMULT($AC35:$AL35, BC$3:BC$12)/$BC$13)</f>
        <v>0</v>
      </c>
      <c r="BC35" s="130">
        <f t="array" ref="BC35">IF($BD$13=0,0,MMULT($AC35:$AL35, BD$3:BD$12)/$BD$13)</f>
        <v>0</v>
      </c>
      <c r="BD35" s="130">
        <f t="array" ref="BD35">IF($BE$13=0,0,MMULT($AC35:$AL35, BE$3:BE$12)/$BE$13)</f>
        <v>0</v>
      </c>
      <c r="BE35" s="130">
        <f t="array" ref="BE35">IF($BF$13=0,0,MMULT($AC35:$AL35, BF$3:BF$12)/$BF$13)</f>
        <v>0</v>
      </c>
      <c r="BF35" s="130">
        <f t="array" ref="BF35">IF($BG$13=0,0,MMULT($AC35:$AL35, BG$3:BG$12)/$BG$13)</f>
        <v>0</v>
      </c>
      <c r="BG35" s="130">
        <f t="array" ref="BG35">IF($BH$13=0,0,MMULT($AC35:$AL35, BH$3:BH$12)/$BH$13)</f>
        <v>0.9</v>
      </c>
      <c r="BH35" s="130">
        <f t="array" ref="BH35">IF($BI$13=0,0,MMULT($AC35:$AL35, BI$3:BI$12)/$BI$13)</f>
        <v>0</v>
      </c>
      <c r="BI35" s="130">
        <f t="array" ref="BI35">IF($BJ$13=0,0,MMULT($AC35:$AL35, BJ$3:BJ$12)/$BJ$13)</f>
        <v>0</v>
      </c>
      <c r="BJ35" s="129" t="e">
        <f>IF(OR(CSE4098C_Summer2026_Grade!$J21="W (Withdrawn)", CSE4098C_Summer2026_Grade!$J21="I (Incomplete)"), 0, IF(AX35&gt;=55%, 1, 0))</f>
        <v>#DIV/0!</v>
      </c>
      <c r="BK35" s="129" t="e">
        <f>IF(OR(CSE4098C_Summer2026_Grade!$J21="W (Withdrawn)", CSE4098C_Summer2026_Grade!$J21="I (Incomplete)"), 0, IF(AY35&gt;=55%, 1, 0))</f>
        <v>#DIV/0!</v>
      </c>
      <c r="BL35" s="129" t="e">
        <f>IF(OR(CSE4098C_Summer2026_Grade!$J21="W (Withdrawn)", CSE4098C_Summer2026_Grade!$J21="I (Incomplete)"), 0, IF(AZ35&gt;=55%, 1, 0))</f>
        <v>#DIV/0!</v>
      </c>
      <c r="BM35" s="129" t="e">
        <f>IF(OR(CSE4098C_Summer2026_Grade!$J21="W (Withdrawn)", CSE4098C_Summer2026_Grade!$J21="I (Incomplete)"), 0, IF(BA35&gt;=55%, 1, 0))</f>
        <v>#DIV/0!</v>
      </c>
      <c r="BN35" s="129" t="e">
        <f>IF(OR(CSE4098C_Summer2026_Grade!$J21="W (Withdrawn)", CSE4098C_Summer2026_Grade!$J21="I (Incomplete)"), 0, IF(BB35&gt;=55%, 1, 0))</f>
        <v>#DIV/0!</v>
      </c>
      <c r="BO35" s="129" t="e">
        <f>IF(OR(CSE4098C_Summer2026_Grade!$J21="W (Withdrawn)", CSE4098C_Summer2026_Grade!$J21="I (Incomplete)"), 0, IF(BC35&gt;=55%, 1, 0))</f>
        <v>#DIV/0!</v>
      </c>
      <c r="BP35" s="129" t="e">
        <f>IF(OR(CSE4098C_Summer2026_Grade!$J21="W (Withdrawn)", CSE4098C_Summer2026_Grade!$J21="I (Incomplete)"), 0, IF(BD35&gt;=55%, 1, 0))</f>
        <v>#DIV/0!</v>
      </c>
      <c r="BQ35" s="129" t="e">
        <f>IF(OR(CSE4098C_Summer2026_Grade!$J21="W (Withdrawn)", CSE4098C_Summer2026_Grade!$J21="I (Incomplete)"), 0, IF(BE35&gt;=55%, 1, 0))</f>
        <v>#DIV/0!</v>
      </c>
      <c r="BR35" s="129" t="e">
        <f>IF(OR(CSE4098C_Summer2026_Grade!$J21="W (Withdrawn)", CSE4098C_Summer2026_Grade!$J21="I (Incomplete)"), 0, IF(BF35&gt;=55%, 1, 0))</f>
        <v>#DIV/0!</v>
      </c>
      <c r="BS35" s="129" t="e">
        <f>IF(OR(CSE4098C_Summer2026_Grade!$J21="W (Withdrawn)", CSE4098C_Summer2026_Grade!$J21="I (Incomplete)"), 0, IF(BG35&gt;=55%, 1, 0))</f>
        <v>#DIV/0!</v>
      </c>
      <c r="BT35" s="129" t="e">
        <f>IF(OR(CSE4098C_Summer2026_Grade!$J21="W (Withdrawn)", CSE4098C_Summer2026_Grade!$J21="I (Incomplete)"), 0, IF(BH35&gt;=55%, 1, 0))</f>
        <v>#DIV/0!</v>
      </c>
      <c r="BU35" s="129" t="e">
        <f>IF(OR(CSE4098C_Summer2026_Grade!$J21="W (Withdrawn)", CSE4098C_Summer2026_Grade!$J21="I (Incomplete)"), 0, IF(BI35&gt;=55%, 1, 0))</f>
        <v>#DIV/0!</v>
      </c>
    </row>
    <row r="36" spans="1:73" ht="12.75" customHeight="1" thickBot="1">
      <c r="A36" s="118">
        <f t="shared" si="11"/>
        <v>18</v>
      </c>
      <c r="B36" s="222">
        <v>223014052</v>
      </c>
      <c r="C36" s="224" t="s">
        <v>221</v>
      </c>
      <c r="D36" s="119">
        <f>CO_Report_Evaluation!AG21</f>
        <v>0</v>
      </c>
      <c r="E36" s="119">
        <f>CO_Report_Evaluation!AH21</f>
        <v>0</v>
      </c>
      <c r="F36" s="119">
        <f>CO_Report_Evaluation!AI21</f>
        <v>0</v>
      </c>
      <c r="G36" s="119">
        <f>CO_Report_Evaluation!AJ21</f>
        <v>0</v>
      </c>
      <c r="H36" s="119">
        <f>CO_Report_Evaluation!AK21</f>
        <v>0</v>
      </c>
      <c r="I36" s="119">
        <f>CO_Report_Evaluation!AL21</f>
        <v>0</v>
      </c>
      <c r="J36" s="119">
        <f>CO_Report_Evaluation!AM21</f>
        <v>0</v>
      </c>
      <c r="K36" s="119">
        <f>CO_Report_Evaluation!AN21</f>
        <v>0</v>
      </c>
      <c r="L36" s="119">
        <f>CSE4098C_Summer2026_Grade!G22</f>
        <v>0</v>
      </c>
      <c r="M36" s="119"/>
      <c r="N36" s="33">
        <f>((CSE4098C_Summer2026_Grade!E22)*10)/25</f>
        <v>7.6440000000000001</v>
      </c>
      <c r="O36" s="120"/>
      <c r="P36" s="121"/>
      <c r="Q36" s="122">
        <v>15.55</v>
      </c>
      <c r="R36" s="120"/>
      <c r="S36" s="123">
        <f t="shared" si="4"/>
        <v>0</v>
      </c>
      <c r="T36" s="124">
        <f t="shared" ref="T36:U36" si="76">E36</f>
        <v>0</v>
      </c>
      <c r="U36" s="124">
        <f t="shared" si="76"/>
        <v>0</v>
      </c>
      <c r="V36" s="124">
        <f t="shared" ref="V36:X36" si="77">SUM(G36,P36)</f>
        <v>0</v>
      </c>
      <c r="W36" s="124">
        <f t="shared" si="77"/>
        <v>15.55</v>
      </c>
      <c r="X36" s="124">
        <f t="shared" si="77"/>
        <v>0</v>
      </c>
      <c r="Y36" s="125">
        <f t="shared" ref="Y36:AA36" si="78">J36</f>
        <v>0</v>
      </c>
      <c r="Z36" s="125">
        <f t="shared" si="78"/>
        <v>0</v>
      </c>
      <c r="AA36" s="125">
        <f t="shared" si="78"/>
        <v>0</v>
      </c>
      <c r="AB36" s="125">
        <f t="shared" si="9"/>
        <v>7.6440000000000001</v>
      </c>
      <c r="AC36" s="126">
        <f t="shared" ref="AC36:AL36" si="79">IF(S36 = 0, 0, S36/S$18)</f>
        <v>0</v>
      </c>
      <c r="AD36" s="127">
        <f t="shared" si="79"/>
        <v>0</v>
      </c>
      <c r="AE36" s="128">
        <f t="shared" si="79"/>
        <v>0</v>
      </c>
      <c r="AF36" s="128">
        <f t="shared" si="79"/>
        <v>0</v>
      </c>
      <c r="AG36" s="128">
        <f t="shared" si="79"/>
        <v>0.59807692307692306</v>
      </c>
      <c r="AH36" s="128">
        <f t="shared" si="79"/>
        <v>0</v>
      </c>
      <c r="AI36" s="128">
        <f t="shared" si="79"/>
        <v>0</v>
      </c>
      <c r="AJ36" s="128">
        <f t="shared" si="79"/>
        <v>0</v>
      </c>
      <c r="AK36" s="128">
        <f t="shared" si="79"/>
        <v>0</v>
      </c>
      <c r="AL36" s="128">
        <f t="shared" si="79"/>
        <v>0.76439999999999997</v>
      </c>
      <c r="AM36" s="129" t="e">
        <f>IF(OR(CSE4098C_Summer2026_Grade!$J22="W (Withdrawn)", CSE4098C_Summer2026_Grade!$J22="I (Incomplete)"), 0, IF(AC36&gt;=55%, 1, 0))</f>
        <v>#DIV/0!</v>
      </c>
      <c r="AN36" s="129" t="e">
        <f>IF(OR(CSE4098C_Summer2026_Grade!$J22="W (Withdrawn)", CSE4098C_Summer2026_Grade!$J22="I (Incomplete)"), 0, IF(AD36&gt;=55%, 1, 0))</f>
        <v>#DIV/0!</v>
      </c>
      <c r="AO36" s="129" t="e">
        <f>IF(OR(CSE4098C_Summer2026_Grade!$J22="W (Withdrawn)", CSE4098C_Summer2026_Grade!$J22="I (Incomplete)"), 0, IF(AE36&gt;=55%, 1, 0))</f>
        <v>#DIV/0!</v>
      </c>
      <c r="AP36" s="129" t="e">
        <f>IF(OR(CSE4098C_Summer2026_Grade!$J22="W (Withdrawn)", CSE4098C_Summer2026_Grade!$J22="I (Incomplete)"), 0, IF(AF36&gt;=55%, 1, 0))</f>
        <v>#DIV/0!</v>
      </c>
      <c r="AQ36" s="129" t="e">
        <f>IF(OR(CSE4098C_Summer2026_Grade!$J22="W (Withdrawn)", CSE4098C_Summer2026_Grade!$J22="I (Incomplete)"), 0, IF(AG36&gt;=55%, 1, 0))</f>
        <v>#DIV/0!</v>
      </c>
      <c r="AR36" s="129" t="e">
        <f>IF(OR(CSE4098C_Summer2026_Grade!$J22="W (Withdrawn)", CSE4098C_Summer2026_Grade!$J22="I (Incomplete)"), 0, IF(AH36&gt;=55%, 1, 0))</f>
        <v>#DIV/0!</v>
      </c>
      <c r="AS36" s="129" t="e">
        <f>IF(OR(CSE4098C_Summer2026_Grade!$J22="W (Withdrawn)", CSE4098C_Summer2026_Grade!$J22="I (Incomplete)"), 0, IF(AI36&gt;=55%, 1, 0))</f>
        <v>#DIV/0!</v>
      </c>
      <c r="AT36" s="129" t="e">
        <f>IF(OR(CSE4098C_Summer2026_Grade!$J22="W (Withdrawn)", CSE4098C_Summer2026_Grade!$J22="I (Incomplete)"), 0, IF(AJ36&gt;=55%, 1, 0))</f>
        <v>#DIV/0!</v>
      </c>
      <c r="AU36" s="129" t="e">
        <f>IF(OR(CSE4098C_Summer2026_Grade!$J22="W (Withdrawn)", CSE4098C_Summer2026_Grade!$J22="I (Incomplete)"), 0, IF(AK36&gt;=55%, 1, 0))</f>
        <v>#DIV/0!</v>
      </c>
      <c r="AV36" s="129" t="e">
        <f>IF(OR(CSE4098C_Summer2026_Grade!$J22="W (Withdrawn)", CSE4098C_Summer2026_Grade!$J22="I (Incomplete)"), 0, IF(AL36&gt;=55%, 1, 0))</f>
        <v>#DIV/0!</v>
      </c>
      <c r="AX36" s="130">
        <f t="array" ref="AX36">IF($AY$13=0,0,MMULT($AC36:$AL36, AY$3:AY$12)/$AY$13)</f>
        <v>0</v>
      </c>
      <c r="AY36" s="130">
        <f t="array" ref="AY36">IF($AZ$13=0,0,MMULT($AC36:$AL36, AZ$3:AZ$12)/$AZ$13)</f>
        <v>0</v>
      </c>
      <c r="AZ36" s="130">
        <f t="array" ref="AZ36">IF($BA$13=0,0,MMULT($AC36:$AL36, BA$3:BA$12)/$BA$13)</f>
        <v>0</v>
      </c>
      <c r="BA36" s="130">
        <f t="array" ref="BA36">IF($BB$13=0,0,MMULT($AC36:$AL36, BB$3:BB$12)/$BB$13)</f>
        <v>0.59807692307692306</v>
      </c>
      <c r="BB36" s="130">
        <f t="array" ref="BB36">IF($BC$13=0,0,MMULT($AC36:$AL36, BC$3:BC$12)/$BC$13)</f>
        <v>0</v>
      </c>
      <c r="BC36" s="130">
        <f t="array" ref="BC36">IF($BD$13=0,0,MMULT($AC36:$AL36, BD$3:BD$12)/$BD$13)</f>
        <v>0</v>
      </c>
      <c r="BD36" s="130">
        <f t="array" ref="BD36">IF($BE$13=0,0,MMULT($AC36:$AL36, BE$3:BE$12)/$BE$13)</f>
        <v>0</v>
      </c>
      <c r="BE36" s="130">
        <f t="array" ref="BE36">IF($BF$13=0,0,MMULT($AC36:$AL36, BF$3:BF$12)/$BF$13)</f>
        <v>0</v>
      </c>
      <c r="BF36" s="130">
        <f t="array" ref="BF36">IF($BG$13=0,0,MMULT($AC36:$AL36, BG$3:BG$12)/$BG$13)</f>
        <v>0</v>
      </c>
      <c r="BG36" s="130">
        <f t="array" ref="BG36">IF($BH$13=0,0,MMULT($AC36:$AL36, BH$3:BH$12)/$BH$13)</f>
        <v>0.76439999999999997</v>
      </c>
      <c r="BH36" s="130">
        <f t="array" ref="BH36">IF($BI$13=0,0,MMULT($AC36:$AL36, BI$3:BI$12)/$BI$13)</f>
        <v>0</v>
      </c>
      <c r="BI36" s="130">
        <f t="array" ref="BI36">IF($BJ$13=0,0,MMULT($AC36:$AL36, BJ$3:BJ$12)/$BJ$13)</f>
        <v>0</v>
      </c>
      <c r="BJ36" s="129" t="e">
        <f>IF(OR(CSE4098C_Summer2026_Grade!$J22="W (Withdrawn)", CSE4098C_Summer2026_Grade!$J22="I (Incomplete)"), 0, IF(AX36&gt;=55%, 1, 0))</f>
        <v>#DIV/0!</v>
      </c>
      <c r="BK36" s="129" t="e">
        <f>IF(OR(CSE4098C_Summer2026_Grade!$J22="W (Withdrawn)", CSE4098C_Summer2026_Grade!$J22="I (Incomplete)"), 0, IF(AY36&gt;=55%, 1, 0))</f>
        <v>#DIV/0!</v>
      </c>
      <c r="BL36" s="129" t="e">
        <f>IF(OR(CSE4098C_Summer2026_Grade!$J22="W (Withdrawn)", CSE4098C_Summer2026_Grade!$J22="I (Incomplete)"), 0, IF(AZ36&gt;=55%, 1, 0))</f>
        <v>#DIV/0!</v>
      </c>
      <c r="BM36" s="129" t="e">
        <f>IF(OR(CSE4098C_Summer2026_Grade!$J22="W (Withdrawn)", CSE4098C_Summer2026_Grade!$J22="I (Incomplete)"), 0, IF(BA36&gt;=55%, 1, 0))</f>
        <v>#DIV/0!</v>
      </c>
      <c r="BN36" s="129" t="e">
        <f>IF(OR(CSE4098C_Summer2026_Grade!$J22="W (Withdrawn)", CSE4098C_Summer2026_Grade!$J22="I (Incomplete)"), 0, IF(BB36&gt;=55%, 1, 0))</f>
        <v>#DIV/0!</v>
      </c>
      <c r="BO36" s="129" t="e">
        <f>IF(OR(CSE4098C_Summer2026_Grade!$J22="W (Withdrawn)", CSE4098C_Summer2026_Grade!$J22="I (Incomplete)"), 0, IF(BC36&gt;=55%, 1, 0))</f>
        <v>#DIV/0!</v>
      </c>
      <c r="BP36" s="129" t="e">
        <f>IF(OR(CSE4098C_Summer2026_Grade!$J22="W (Withdrawn)", CSE4098C_Summer2026_Grade!$J22="I (Incomplete)"), 0, IF(BD36&gt;=55%, 1, 0))</f>
        <v>#DIV/0!</v>
      </c>
      <c r="BQ36" s="129" t="e">
        <f>IF(OR(CSE4098C_Summer2026_Grade!$J22="W (Withdrawn)", CSE4098C_Summer2026_Grade!$J22="I (Incomplete)"), 0, IF(BE36&gt;=55%, 1, 0))</f>
        <v>#DIV/0!</v>
      </c>
      <c r="BR36" s="129" t="e">
        <f>IF(OR(CSE4098C_Summer2026_Grade!$J22="W (Withdrawn)", CSE4098C_Summer2026_Grade!$J22="I (Incomplete)"), 0, IF(BF36&gt;=55%, 1, 0))</f>
        <v>#DIV/0!</v>
      </c>
      <c r="BS36" s="129" t="e">
        <f>IF(OR(CSE4098C_Summer2026_Grade!$J22="W (Withdrawn)", CSE4098C_Summer2026_Grade!$J22="I (Incomplete)"), 0, IF(BG36&gt;=55%, 1, 0))</f>
        <v>#DIV/0!</v>
      </c>
      <c r="BT36" s="129" t="e">
        <f>IF(OR(CSE4098C_Summer2026_Grade!$J22="W (Withdrawn)", CSE4098C_Summer2026_Grade!$J22="I (Incomplete)"), 0, IF(BH36&gt;=55%, 1, 0))</f>
        <v>#DIV/0!</v>
      </c>
      <c r="BU36" s="129" t="e">
        <f>IF(OR(CSE4098C_Summer2026_Grade!$J22="W (Withdrawn)", CSE4098C_Summer2026_Grade!$J22="I (Incomplete)"), 0, IF(BI36&gt;=55%, 1, 0))</f>
        <v>#DIV/0!</v>
      </c>
    </row>
    <row r="37" spans="1:73" ht="12.75" customHeight="1" thickBot="1">
      <c r="A37" s="118">
        <f t="shared" si="11"/>
        <v>19</v>
      </c>
      <c r="B37" s="222">
        <v>223014105</v>
      </c>
      <c r="C37" s="224" t="s">
        <v>222</v>
      </c>
      <c r="D37" s="119">
        <f>CO_Report_Evaluation!AG22</f>
        <v>0</v>
      </c>
      <c r="E37" s="119">
        <f>CO_Report_Evaluation!AH22</f>
        <v>0</v>
      </c>
      <c r="F37" s="119">
        <f>CO_Report_Evaluation!AI22</f>
        <v>0</v>
      </c>
      <c r="G37" s="119">
        <f>CO_Report_Evaluation!AJ22</f>
        <v>0</v>
      </c>
      <c r="H37" s="119">
        <f>CO_Report_Evaluation!AK22</f>
        <v>0</v>
      </c>
      <c r="I37" s="119">
        <f>CO_Report_Evaluation!AL22</f>
        <v>0</v>
      </c>
      <c r="J37" s="119">
        <f>CO_Report_Evaluation!AM22</f>
        <v>0</v>
      </c>
      <c r="K37" s="119">
        <f>CO_Report_Evaluation!AN22</f>
        <v>0</v>
      </c>
      <c r="L37" s="119">
        <f>CSE4098C_Summer2026_Grade!G23</f>
        <v>0</v>
      </c>
      <c r="M37" s="119"/>
      <c r="N37" s="33">
        <f>((CSE4098C_Summer2026_Grade!E23)*10)/25</f>
        <v>5.5360000000000005</v>
      </c>
      <c r="O37" s="120"/>
      <c r="P37" s="121"/>
      <c r="Q37" s="122">
        <v>15.55</v>
      </c>
      <c r="R37" s="120"/>
      <c r="S37" s="123">
        <f t="shared" si="4"/>
        <v>0</v>
      </c>
      <c r="T37" s="124">
        <f t="shared" ref="T37:U37" si="80">E37</f>
        <v>0</v>
      </c>
      <c r="U37" s="124">
        <f t="shared" si="80"/>
        <v>0</v>
      </c>
      <c r="V37" s="124">
        <f t="shared" ref="V37:X37" si="81">SUM(G37,P37)</f>
        <v>0</v>
      </c>
      <c r="W37" s="124">
        <f t="shared" si="81"/>
        <v>15.55</v>
      </c>
      <c r="X37" s="124">
        <f t="shared" si="81"/>
        <v>0</v>
      </c>
      <c r="Y37" s="125">
        <f t="shared" ref="Y37:AA37" si="82">J37</f>
        <v>0</v>
      </c>
      <c r="Z37" s="125">
        <f t="shared" si="82"/>
        <v>0</v>
      </c>
      <c r="AA37" s="125">
        <f t="shared" si="82"/>
        <v>0</v>
      </c>
      <c r="AB37" s="125">
        <f t="shared" si="9"/>
        <v>5.5360000000000005</v>
      </c>
      <c r="AC37" s="126">
        <f t="shared" ref="AC37:AL37" si="83">IF(S37 = 0, 0, S37/S$18)</f>
        <v>0</v>
      </c>
      <c r="AD37" s="127">
        <f t="shared" si="83"/>
        <v>0</v>
      </c>
      <c r="AE37" s="128">
        <f t="shared" si="83"/>
        <v>0</v>
      </c>
      <c r="AF37" s="128">
        <f t="shared" si="83"/>
        <v>0</v>
      </c>
      <c r="AG37" s="128">
        <f t="shared" si="83"/>
        <v>0.59807692307692306</v>
      </c>
      <c r="AH37" s="128">
        <f t="shared" si="83"/>
        <v>0</v>
      </c>
      <c r="AI37" s="128">
        <f t="shared" si="83"/>
        <v>0</v>
      </c>
      <c r="AJ37" s="128">
        <f t="shared" si="83"/>
        <v>0</v>
      </c>
      <c r="AK37" s="128">
        <f t="shared" si="83"/>
        <v>0</v>
      </c>
      <c r="AL37" s="128">
        <f t="shared" si="83"/>
        <v>0.55360000000000009</v>
      </c>
      <c r="AM37" s="129" t="e">
        <f>IF(OR(CSE4098C_Summer2026_Grade!$J23="W (Withdrawn)", CSE4098C_Summer2026_Grade!$J23="I (Incomplete)"), 0, IF(AC37&gt;=55%, 1, 0))</f>
        <v>#DIV/0!</v>
      </c>
      <c r="AN37" s="129" t="e">
        <f>IF(OR(CSE4098C_Summer2026_Grade!$J23="W (Withdrawn)", CSE4098C_Summer2026_Grade!$J23="I (Incomplete)"), 0, IF(AD37&gt;=55%, 1, 0))</f>
        <v>#DIV/0!</v>
      </c>
      <c r="AO37" s="129" t="e">
        <f>IF(OR(CSE4098C_Summer2026_Grade!$J23="W (Withdrawn)", CSE4098C_Summer2026_Grade!$J23="I (Incomplete)"), 0, IF(AE37&gt;=55%, 1, 0))</f>
        <v>#DIV/0!</v>
      </c>
      <c r="AP37" s="129" t="e">
        <f>IF(OR(CSE4098C_Summer2026_Grade!$J23="W (Withdrawn)", CSE4098C_Summer2026_Grade!$J23="I (Incomplete)"), 0, IF(AF37&gt;=55%, 1, 0))</f>
        <v>#DIV/0!</v>
      </c>
      <c r="AQ37" s="129" t="e">
        <f>IF(OR(CSE4098C_Summer2026_Grade!$J23="W (Withdrawn)", CSE4098C_Summer2026_Grade!$J23="I (Incomplete)"), 0, IF(AG37&gt;=55%, 1, 0))</f>
        <v>#DIV/0!</v>
      </c>
      <c r="AR37" s="129" t="e">
        <f>IF(OR(CSE4098C_Summer2026_Grade!$J23="W (Withdrawn)", CSE4098C_Summer2026_Grade!$J23="I (Incomplete)"), 0, IF(AH37&gt;=55%, 1, 0))</f>
        <v>#DIV/0!</v>
      </c>
      <c r="AS37" s="129" t="e">
        <f>IF(OR(CSE4098C_Summer2026_Grade!$J23="W (Withdrawn)", CSE4098C_Summer2026_Grade!$J23="I (Incomplete)"), 0, IF(AI37&gt;=55%, 1, 0))</f>
        <v>#DIV/0!</v>
      </c>
      <c r="AT37" s="129" t="e">
        <f>IF(OR(CSE4098C_Summer2026_Grade!$J23="W (Withdrawn)", CSE4098C_Summer2026_Grade!$J23="I (Incomplete)"), 0, IF(AJ37&gt;=55%, 1, 0))</f>
        <v>#DIV/0!</v>
      </c>
      <c r="AU37" s="129" t="e">
        <f>IF(OR(CSE4098C_Summer2026_Grade!$J23="W (Withdrawn)", CSE4098C_Summer2026_Grade!$J23="I (Incomplete)"), 0, IF(AK37&gt;=55%, 1, 0))</f>
        <v>#DIV/0!</v>
      </c>
      <c r="AV37" s="129" t="e">
        <f>IF(OR(CSE4098C_Summer2026_Grade!$J23="W (Withdrawn)", CSE4098C_Summer2026_Grade!$J23="I (Incomplete)"), 0, IF(AL37&gt;=55%, 1, 0))</f>
        <v>#DIV/0!</v>
      </c>
      <c r="AX37" s="130">
        <f t="array" ref="AX37">IF($AY$13=0,0,MMULT($AC37:$AL37, AY$3:AY$12)/$AY$13)</f>
        <v>0</v>
      </c>
      <c r="AY37" s="130">
        <f t="array" ref="AY37">IF($AZ$13=0,0,MMULT($AC37:$AL37, AZ$3:AZ$12)/$AZ$13)</f>
        <v>0</v>
      </c>
      <c r="AZ37" s="130">
        <f t="array" ref="AZ37">IF($BA$13=0,0,MMULT($AC37:$AL37, BA$3:BA$12)/$BA$13)</f>
        <v>0</v>
      </c>
      <c r="BA37" s="130">
        <f t="array" ref="BA37">IF($BB$13=0,0,MMULT($AC37:$AL37, BB$3:BB$12)/$BB$13)</f>
        <v>0.59807692307692306</v>
      </c>
      <c r="BB37" s="130">
        <f t="array" ref="BB37">IF($BC$13=0,0,MMULT($AC37:$AL37, BC$3:BC$12)/$BC$13)</f>
        <v>0</v>
      </c>
      <c r="BC37" s="130">
        <f t="array" ref="BC37">IF($BD$13=0,0,MMULT($AC37:$AL37, BD$3:BD$12)/$BD$13)</f>
        <v>0</v>
      </c>
      <c r="BD37" s="130">
        <f t="array" ref="BD37">IF($BE$13=0,0,MMULT($AC37:$AL37, BE$3:BE$12)/$BE$13)</f>
        <v>0</v>
      </c>
      <c r="BE37" s="130">
        <f t="array" ref="BE37">IF($BF$13=0,0,MMULT($AC37:$AL37, BF$3:BF$12)/$BF$13)</f>
        <v>0</v>
      </c>
      <c r="BF37" s="130">
        <f t="array" ref="BF37">IF($BG$13=0,0,MMULT($AC37:$AL37, BG$3:BG$12)/$BG$13)</f>
        <v>0</v>
      </c>
      <c r="BG37" s="130">
        <f t="array" ref="BG37">IF($BH$13=0,0,MMULT($AC37:$AL37, BH$3:BH$12)/$BH$13)</f>
        <v>0.55360000000000009</v>
      </c>
      <c r="BH37" s="130">
        <f t="array" ref="BH37">IF($BI$13=0,0,MMULT($AC37:$AL37, BI$3:BI$12)/$BI$13)</f>
        <v>0</v>
      </c>
      <c r="BI37" s="130">
        <f t="array" ref="BI37">IF($BJ$13=0,0,MMULT($AC37:$AL37, BJ$3:BJ$12)/$BJ$13)</f>
        <v>0</v>
      </c>
      <c r="BJ37" s="129" t="e">
        <f>IF(OR(CSE4098C_Summer2026_Grade!$J23="W (Withdrawn)", CSE4098C_Summer2026_Grade!$J23="I (Incomplete)"), 0, IF(AX37&gt;=55%, 1, 0))</f>
        <v>#DIV/0!</v>
      </c>
      <c r="BK37" s="129" t="e">
        <f>IF(OR(CSE4098C_Summer2026_Grade!$J23="W (Withdrawn)", CSE4098C_Summer2026_Grade!$J23="I (Incomplete)"), 0, IF(AY37&gt;=55%, 1, 0))</f>
        <v>#DIV/0!</v>
      </c>
      <c r="BL37" s="129" t="e">
        <f>IF(OR(CSE4098C_Summer2026_Grade!$J23="W (Withdrawn)", CSE4098C_Summer2026_Grade!$J23="I (Incomplete)"), 0, IF(AZ37&gt;=55%, 1, 0))</f>
        <v>#DIV/0!</v>
      </c>
      <c r="BM37" s="129" t="e">
        <f>IF(OR(CSE4098C_Summer2026_Grade!$J23="W (Withdrawn)", CSE4098C_Summer2026_Grade!$J23="I (Incomplete)"), 0, IF(BA37&gt;=55%, 1, 0))</f>
        <v>#DIV/0!</v>
      </c>
      <c r="BN37" s="129" t="e">
        <f>IF(OR(CSE4098C_Summer2026_Grade!$J23="W (Withdrawn)", CSE4098C_Summer2026_Grade!$J23="I (Incomplete)"), 0, IF(BB37&gt;=55%, 1, 0))</f>
        <v>#DIV/0!</v>
      </c>
      <c r="BO37" s="129" t="e">
        <f>IF(OR(CSE4098C_Summer2026_Grade!$J23="W (Withdrawn)", CSE4098C_Summer2026_Grade!$J23="I (Incomplete)"), 0, IF(BC37&gt;=55%, 1, 0))</f>
        <v>#DIV/0!</v>
      </c>
      <c r="BP37" s="129" t="e">
        <f>IF(OR(CSE4098C_Summer2026_Grade!$J23="W (Withdrawn)", CSE4098C_Summer2026_Grade!$J23="I (Incomplete)"), 0, IF(BD37&gt;=55%, 1, 0))</f>
        <v>#DIV/0!</v>
      </c>
      <c r="BQ37" s="129" t="e">
        <f>IF(OR(CSE4098C_Summer2026_Grade!$J23="W (Withdrawn)", CSE4098C_Summer2026_Grade!$J23="I (Incomplete)"), 0, IF(BE37&gt;=55%, 1, 0))</f>
        <v>#DIV/0!</v>
      </c>
      <c r="BR37" s="129" t="e">
        <f>IF(OR(CSE4098C_Summer2026_Grade!$J23="W (Withdrawn)", CSE4098C_Summer2026_Grade!$J23="I (Incomplete)"), 0, IF(BF37&gt;=55%, 1, 0))</f>
        <v>#DIV/0!</v>
      </c>
      <c r="BS37" s="129" t="e">
        <f>IF(OR(CSE4098C_Summer2026_Grade!$J23="W (Withdrawn)", CSE4098C_Summer2026_Grade!$J23="I (Incomplete)"), 0, IF(BG37&gt;=55%, 1, 0))</f>
        <v>#DIV/0!</v>
      </c>
      <c r="BT37" s="129" t="e">
        <f>IF(OR(CSE4098C_Summer2026_Grade!$J23="W (Withdrawn)", CSE4098C_Summer2026_Grade!$J23="I (Incomplete)"), 0, IF(BH37&gt;=55%, 1, 0))</f>
        <v>#DIV/0!</v>
      </c>
      <c r="BU37" s="129" t="e">
        <f>IF(OR(CSE4098C_Summer2026_Grade!$J23="W (Withdrawn)", CSE4098C_Summer2026_Grade!$J23="I (Incomplete)"), 0, IF(BI37&gt;=55%, 1, 0))</f>
        <v>#DIV/0!</v>
      </c>
    </row>
    <row r="38" spans="1:73" ht="12.75" customHeight="1" thickBot="1">
      <c r="A38" s="118">
        <f t="shared" si="11"/>
        <v>20</v>
      </c>
      <c r="B38" s="222">
        <v>223014196</v>
      </c>
      <c r="C38" s="224" t="s">
        <v>223</v>
      </c>
      <c r="D38" s="119">
        <f>CO_Report_Evaluation!AG23</f>
        <v>0</v>
      </c>
      <c r="E38" s="119">
        <f>CO_Report_Evaluation!AH23</f>
        <v>0</v>
      </c>
      <c r="F38" s="119">
        <f>CO_Report_Evaluation!AI23</f>
        <v>0</v>
      </c>
      <c r="G38" s="119">
        <f>CO_Report_Evaluation!AJ23</f>
        <v>0</v>
      </c>
      <c r="H38" s="119">
        <f>CO_Report_Evaluation!AK23</f>
        <v>0</v>
      </c>
      <c r="I38" s="119">
        <f>CO_Report_Evaluation!AL23</f>
        <v>0</v>
      </c>
      <c r="J38" s="119">
        <f>CO_Report_Evaluation!AM23</f>
        <v>0</v>
      </c>
      <c r="K38" s="119">
        <f>CO_Report_Evaluation!AN23</f>
        <v>0</v>
      </c>
      <c r="L38" s="119">
        <f>CSE4098C_Summer2026_Grade!G24</f>
        <v>0</v>
      </c>
      <c r="M38" s="119"/>
      <c r="N38" s="33">
        <f>((CSE4098C_Summer2026_Grade!E24)*10)/25</f>
        <v>5.6679999999999993</v>
      </c>
      <c r="O38" s="120"/>
      <c r="P38" s="121"/>
      <c r="Q38" s="122">
        <v>15.55</v>
      </c>
      <c r="R38" s="120"/>
      <c r="S38" s="123">
        <f t="shared" si="4"/>
        <v>0</v>
      </c>
      <c r="T38" s="124">
        <f t="shared" ref="T38:U38" si="84">E38</f>
        <v>0</v>
      </c>
      <c r="U38" s="124">
        <f t="shared" si="84"/>
        <v>0</v>
      </c>
      <c r="V38" s="124">
        <f t="shared" ref="V38:X38" si="85">SUM(G38,P38)</f>
        <v>0</v>
      </c>
      <c r="W38" s="124">
        <f t="shared" si="85"/>
        <v>15.55</v>
      </c>
      <c r="X38" s="124">
        <f t="shared" si="85"/>
        <v>0</v>
      </c>
      <c r="Y38" s="125">
        <f t="shared" ref="Y38:AA38" si="86">J38</f>
        <v>0</v>
      </c>
      <c r="Z38" s="125">
        <f t="shared" si="86"/>
        <v>0</v>
      </c>
      <c r="AA38" s="125">
        <f t="shared" si="86"/>
        <v>0</v>
      </c>
      <c r="AB38" s="125">
        <f t="shared" si="9"/>
        <v>5.6679999999999993</v>
      </c>
      <c r="AC38" s="126">
        <f t="shared" ref="AC38:AL38" si="87">IF(S38 = 0, 0, S38/S$18)</f>
        <v>0</v>
      </c>
      <c r="AD38" s="127">
        <f t="shared" si="87"/>
        <v>0</v>
      </c>
      <c r="AE38" s="128">
        <f t="shared" si="87"/>
        <v>0</v>
      </c>
      <c r="AF38" s="128">
        <f t="shared" si="87"/>
        <v>0</v>
      </c>
      <c r="AG38" s="128">
        <f t="shared" si="87"/>
        <v>0.59807692307692306</v>
      </c>
      <c r="AH38" s="128">
        <f t="shared" si="87"/>
        <v>0</v>
      </c>
      <c r="AI38" s="128">
        <f t="shared" si="87"/>
        <v>0</v>
      </c>
      <c r="AJ38" s="128">
        <f t="shared" si="87"/>
        <v>0</v>
      </c>
      <c r="AK38" s="128">
        <f t="shared" si="87"/>
        <v>0</v>
      </c>
      <c r="AL38" s="128">
        <f t="shared" si="87"/>
        <v>0.56679999999999997</v>
      </c>
      <c r="AM38" s="129" t="e">
        <f>IF(OR(CSE4098C_Summer2026_Grade!$J24="W (Withdrawn)", CSE4098C_Summer2026_Grade!$J24="I (Incomplete)"), 0, IF(AC38&gt;=55%, 1, 0))</f>
        <v>#DIV/0!</v>
      </c>
      <c r="AN38" s="129" t="e">
        <f>IF(OR(CSE4098C_Summer2026_Grade!$J24="W (Withdrawn)", CSE4098C_Summer2026_Grade!$J24="I (Incomplete)"), 0, IF(AD38&gt;=55%, 1, 0))</f>
        <v>#DIV/0!</v>
      </c>
      <c r="AO38" s="129" t="e">
        <f>IF(OR(CSE4098C_Summer2026_Grade!$J24="W (Withdrawn)", CSE4098C_Summer2026_Grade!$J24="I (Incomplete)"), 0, IF(AE38&gt;=55%, 1, 0))</f>
        <v>#DIV/0!</v>
      </c>
      <c r="AP38" s="129" t="e">
        <f>IF(OR(CSE4098C_Summer2026_Grade!$J24="W (Withdrawn)", CSE4098C_Summer2026_Grade!$J24="I (Incomplete)"), 0, IF(AF38&gt;=55%, 1, 0))</f>
        <v>#DIV/0!</v>
      </c>
      <c r="AQ38" s="129" t="e">
        <f>IF(OR(CSE4098C_Summer2026_Grade!$J24="W (Withdrawn)", CSE4098C_Summer2026_Grade!$J24="I (Incomplete)"), 0, IF(AG38&gt;=55%, 1, 0))</f>
        <v>#DIV/0!</v>
      </c>
      <c r="AR38" s="129" t="e">
        <f>IF(OR(CSE4098C_Summer2026_Grade!$J24="W (Withdrawn)", CSE4098C_Summer2026_Grade!$J24="I (Incomplete)"), 0, IF(AH38&gt;=55%, 1, 0))</f>
        <v>#DIV/0!</v>
      </c>
      <c r="AS38" s="129" t="e">
        <f>IF(OR(CSE4098C_Summer2026_Grade!$J24="W (Withdrawn)", CSE4098C_Summer2026_Grade!$J24="I (Incomplete)"), 0, IF(AI38&gt;=55%, 1, 0))</f>
        <v>#DIV/0!</v>
      </c>
      <c r="AT38" s="129" t="e">
        <f>IF(OR(CSE4098C_Summer2026_Grade!$J24="W (Withdrawn)", CSE4098C_Summer2026_Grade!$J24="I (Incomplete)"), 0, IF(AJ38&gt;=55%, 1, 0))</f>
        <v>#DIV/0!</v>
      </c>
      <c r="AU38" s="129" t="e">
        <f>IF(OR(CSE4098C_Summer2026_Grade!$J24="W (Withdrawn)", CSE4098C_Summer2026_Grade!$J24="I (Incomplete)"), 0, IF(AK38&gt;=55%, 1, 0))</f>
        <v>#DIV/0!</v>
      </c>
      <c r="AV38" s="129" t="e">
        <f>IF(OR(CSE4098C_Summer2026_Grade!$J24="W (Withdrawn)", CSE4098C_Summer2026_Grade!$J24="I (Incomplete)"), 0, IF(AL38&gt;=55%, 1, 0))</f>
        <v>#DIV/0!</v>
      </c>
      <c r="AX38" s="130">
        <f t="array" ref="AX38">IF($AY$13=0,0,MMULT($AC38:$AL38, AY$3:AY$12)/$AY$13)</f>
        <v>0</v>
      </c>
      <c r="AY38" s="130">
        <f t="array" ref="AY38">IF($AZ$13=0,0,MMULT($AC38:$AL38, AZ$3:AZ$12)/$AZ$13)</f>
        <v>0</v>
      </c>
      <c r="AZ38" s="130">
        <f t="array" ref="AZ38">IF($BA$13=0,0,MMULT($AC38:$AL38, BA$3:BA$12)/$BA$13)</f>
        <v>0</v>
      </c>
      <c r="BA38" s="130">
        <f t="array" ref="BA38">IF($BB$13=0,0,MMULT($AC38:$AL38, BB$3:BB$12)/$BB$13)</f>
        <v>0.59807692307692306</v>
      </c>
      <c r="BB38" s="130">
        <f t="array" ref="BB38">IF($BC$13=0,0,MMULT($AC38:$AL38, BC$3:BC$12)/$BC$13)</f>
        <v>0</v>
      </c>
      <c r="BC38" s="130">
        <f t="array" ref="BC38">IF($BD$13=0,0,MMULT($AC38:$AL38, BD$3:BD$12)/$BD$13)</f>
        <v>0</v>
      </c>
      <c r="BD38" s="130">
        <f t="array" ref="BD38">IF($BE$13=0,0,MMULT($AC38:$AL38, BE$3:BE$12)/$BE$13)</f>
        <v>0</v>
      </c>
      <c r="BE38" s="130">
        <f t="array" ref="BE38">IF($BF$13=0,0,MMULT($AC38:$AL38, BF$3:BF$12)/$BF$13)</f>
        <v>0</v>
      </c>
      <c r="BF38" s="130">
        <f t="array" ref="BF38">IF($BG$13=0,0,MMULT($AC38:$AL38, BG$3:BG$12)/$BG$13)</f>
        <v>0</v>
      </c>
      <c r="BG38" s="130">
        <f t="array" ref="BG38">IF($BH$13=0,0,MMULT($AC38:$AL38, BH$3:BH$12)/$BH$13)</f>
        <v>0.56679999999999997</v>
      </c>
      <c r="BH38" s="130">
        <f t="array" ref="BH38">IF($BI$13=0,0,MMULT($AC38:$AL38, BI$3:BI$12)/$BI$13)</f>
        <v>0</v>
      </c>
      <c r="BI38" s="130">
        <f t="array" ref="BI38">IF($BJ$13=0,0,MMULT($AC38:$AL38, BJ$3:BJ$12)/$BJ$13)</f>
        <v>0</v>
      </c>
      <c r="BJ38" s="129" t="e">
        <f>IF(OR(CSE4098C_Summer2026_Grade!$J24="W (Withdrawn)", CSE4098C_Summer2026_Grade!$J24="I (Incomplete)"), 0, IF(AX38&gt;=55%, 1, 0))</f>
        <v>#DIV/0!</v>
      </c>
      <c r="BK38" s="129" t="e">
        <f>IF(OR(CSE4098C_Summer2026_Grade!$J24="W (Withdrawn)", CSE4098C_Summer2026_Grade!$J24="I (Incomplete)"), 0, IF(AY38&gt;=55%, 1, 0))</f>
        <v>#DIV/0!</v>
      </c>
      <c r="BL38" s="129" t="e">
        <f>IF(OR(CSE4098C_Summer2026_Grade!$J24="W (Withdrawn)", CSE4098C_Summer2026_Grade!$J24="I (Incomplete)"), 0, IF(AZ38&gt;=55%, 1, 0))</f>
        <v>#DIV/0!</v>
      </c>
      <c r="BM38" s="129" t="e">
        <f>IF(OR(CSE4098C_Summer2026_Grade!$J24="W (Withdrawn)", CSE4098C_Summer2026_Grade!$J24="I (Incomplete)"), 0, IF(BA38&gt;=55%, 1, 0))</f>
        <v>#DIV/0!</v>
      </c>
      <c r="BN38" s="129" t="e">
        <f>IF(OR(CSE4098C_Summer2026_Grade!$J24="W (Withdrawn)", CSE4098C_Summer2026_Grade!$J24="I (Incomplete)"), 0, IF(BB38&gt;=55%, 1, 0))</f>
        <v>#DIV/0!</v>
      </c>
      <c r="BO38" s="129" t="e">
        <f>IF(OR(CSE4098C_Summer2026_Grade!$J24="W (Withdrawn)", CSE4098C_Summer2026_Grade!$J24="I (Incomplete)"), 0, IF(BC38&gt;=55%, 1, 0))</f>
        <v>#DIV/0!</v>
      </c>
      <c r="BP38" s="129" t="e">
        <f>IF(OR(CSE4098C_Summer2026_Grade!$J24="W (Withdrawn)", CSE4098C_Summer2026_Grade!$J24="I (Incomplete)"), 0, IF(BD38&gt;=55%, 1, 0))</f>
        <v>#DIV/0!</v>
      </c>
      <c r="BQ38" s="129" t="e">
        <f>IF(OR(CSE4098C_Summer2026_Grade!$J24="W (Withdrawn)", CSE4098C_Summer2026_Grade!$J24="I (Incomplete)"), 0, IF(BE38&gt;=55%, 1, 0))</f>
        <v>#DIV/0!</v>
      </c>
      <c r="BR38" s="129" t="e">
        <f>IF(OR(CSE4098C_Summer2026_Grade!$J24="W (Withdrawn)", CSE4098C_Summer2026_Grade!$J24="I (Incomplete)"), 0, IF(BF38&gt;=55%, 1, 0))</f>
        <v>#DIV/0!</v>
      </c>
      <c r="BS38" s="129" t="e">
        <f>IF(OR(CSE4098C_Summer2026_Grade!$J24="W (Withdrawn)", CSE4098C_Summer2026_Grade!$J24="I (Incomplete)"), 0, IF(BG38&gt;=55%, 1, 0))</f>
        <v>#DIV/0!</v>
      </c>
      <c r="BT38" s="129" t="e">
        <f>IF(OR(CSE4098C_Summer2026_Grade!$J24="W (Withdrawn)", CSE4098C_Summer2026_Grade!$J24="I (Incomplete)"), 0, IF(BH38&gt;=55%, 1, 0))</f>
        <v>#DIV/0!</v>
      </c>
      <c r="BU38" s="129" t="e">
        <f>IF(OR(CSE4098C_Summer2026_Grade!$J24="W (Withdrawn)", CSE4098C_Summer2026_Grade!$J24="I (Incomplete)"), 0, IF(BI38&gt;=55%, 1, 0))</f>
        <v>#DIV/0!</v>
      </c>
    </row>
    <row r="39" spans="1:73" ht="12.75" customHeight="1" thickBot="1">
      <c r="A39" s="118">
        <f t="shared" si="11"/>
        <v>21</v>
      </c>
      <c r="B39" s="224">
        <v>201014026</v>
      </c>
      <c r="C39" s="224" t="s">
        <v>224</v>
      </c>
      <c r="D39" s="119">
        <f>CO_Report_Evaluation!AG24</f>
        <v>0</v>
      </c>
      <c r="E39" s="119">
        <f>CO_Report_Evaluation!AH24</f>
        <v>0</v>
      </c>
      <c r="F39" s="119">
        <f>CO_Report_Evaluation!AI24</f>
        <v>0</v>
      </c>
      <c r="G39" s="119">
        <f>CO_Report_Evaluation!AJ24</f>
        <v>0</v>
      </c>
      <c r="H39" s="119">
        <f>CO_Report_Evaluation!AK24</f>
        <v>0</v>
      </c>
      <c r="I39" s="119">
        <f>CO_Report_Evaluation!AL24</f>
        <v>0</v>
      </c>
      <c r="J39" s="119">
        <f>CO_Report_Evaluation!AM24</f>
        <v>0</v>
      </c>
      <c r="K39" s="119">
        <f>CO_Report_Evaluation!AN24</f>
        <v>0</v>
      </c>
      <c r="L39" s="119">
        <f>CSE4098C_Summer2026_Grade!G25</f>
        <v>0</v>
      </c>
      <c r="M39" s="119"/>
      <c r="N39" s="33">
        <f>((CSE4098C_Summer2026_Grade!E25)*10)/25</f>
        <v>5.6679999999999993</v>
      </c>
      <c r="O39" s="120"/>
      <c r="P39" s="121"/>
      <c r="Q39" s="122">
        <v>15.55</v>
      </c>
      <c r="R39" s="120"/>
      <c r="S39" s="123">
        <f t="shared" si="4"/>
        <v>0</v>
      </c>
      <c r="T39" s="124">
        <f t="shared" ref="T39:U39" si="88">E39</f>
        <v>0</v>
      </c>
      <c r="U39" s="124">
        <f t="shared" si="88"/>
        <v>0</v>
      </c>
      <c r="V39" s="124">
        <f t="shared" ref="V39:X39" si="89">SUM(G39,P39)</f>
        <v>0</v>
      </c>
      <c r="W39" s="124">
        <f t="shared" si="89"/>
        <v>15.55</v>
      </c>
      <c r="X39" s="124">
        <f t="shared" si="89"/>
        <v>0</v>
      </c>
      <c r="Y39" s="125">
        <f t="shared" ref="Y39:AA39" si="90">J39</f>
        <v>0</v>
      </c>
      <c r="Z39" s="125">
        <f t="shared" si="90"/>
        <v>0</v>
      </c>
      <c r="AA39" s="125">
        <f t="shared" si="90"/>
        <v>0</v>
      </c>
      <c r="AB39" s="125">
        <f t="shared" si="9"/>
        <v>5.6679999999999993</v>
      </c>
      <c r="AC39" s="126">
        <f t="shared" ref="AC39:AL39" si="91">IF(S39 = 0, 0, S39/S$18)</f>
        <v>0</v>
      </c>
      <c r="AD39" s="127">
        <f t="shared" si="91"/>
        <v>0</v>
      </c>
      <c r="AE39" s="128">
        <f t="shared" si="91"/>
        <v>0</v>
      </c>
      <c r="AF39" s="128">
        <f t="shared" si="91"/>
        <v>0</v>
      </c>
      <c r="AG39" s="128">
        <f t="shared" si="91"/>
        <v>0.59807692307692306</v>
      </c>
      <c r="AH39" s="128">
        <f t="shared" si="91"/>
        <v>0</v>
      </c>
      <c r="AI39" s="128">
        <f t="shared" si="91"/>
        <v>0</v>
      </c>
      <c r="AJ39" s="128">
        <f t="shared" si="91"/>
        <v>0</v>
      </c>
      <c r="AK39" s="128">
        <f t="shared" si="91"/>
        <v>0</v>
      </c>
      <c r="AL39" s="128">
        <f t="shared" si="91"/>
        <v>0.56679999999999997</v>
      </c>
      <c r="AM39" s="129" t="e">
        <f>IF(OR(CSE4098C_Summer2026_Grade!$J25="W (Withdrawn)", CSE4098C_Summer2026_Grade!$J25="I (Incomplete)"), 0, IF(AC39&gt;=55%, 1, 0))</f>
        <v>#DIV/0!</v>
      </c>
      <c r="AN39" s="129" t="e">
        <f>IF(OR(CSE4098C_Summer2026_Grade!$J25="W (Withdrawn)", CSE4098C_Summer2026_Grade!$J25="I (Incomplete)"), 0, IF(AD39&gt;=55%, 1, 0))</f>
        <v>#DIV/0!</v>
      </c>
      <c r="AO39" s="129" t="e">
        <f>IF(OR(CSE4098C_Summer2026_Grade!$J25="W (Withdrawn)", CSE4098C_Summer2026_Grade!$J25="I (Incomplete)"), 0, IF(AE39&gt;=55%, 1, 0))</f>
        <v>#DIV/0!</v>
      </c>
      <c r="AP39" s="129" t="e">
        <f>IF(OR(CSE4098C_Summer2026_Grade!$J25="W (Withdrawn)", CSE4098C_Summer2026_Grade!$J25="I (Incomplete)"), 0, IF(AF39&gt;=55%, 1, 0))</f>
        <v>#DIV/0!</v>
      </c>
      <c r="AQ39" s="129" t="e">
        <f>IF(OR(CSE4098C_Summer2026_Grade!$J25="W (Withdrawn)", CSE4098C_Summer2026_Grade!$J25="I (Incomplete)"), 0, IF(AG39&gt;=55%, 1, 0))</f>
        <v>#DIV/0!</v>
      </c>
      <c r="AR39" s="129" t="e">
        <f>IF(OR(CSE4098C_Summer2026_Grade!$J25="W (Withdrawn)", CSE4098C_Summer2026_Grade!$J25="I (Incomplete)"), 0, IF(AH39&gt;=55%, 1, 0))</f>
        <v>#DIV/0!</v>
      </c>
      <c r="AS39" s="129" t="e">
        <f>IF(OR(CSE4098C_Summer2026_Grade!$J25="W (Withdrawn)", CSE4098C_Summer2026_Grade!$J25="I (Incomplete)"), 0, IF(AI39&gt;=55%, 1, 0))</f>
        <v>#DIV/0!</v>
      </c>
      <c r="AT39" s="129" t="e">
        <f>IF(OR(CSE4098C_Summer2026_Grade!$J25="W (Withdrawn)", CSE4098C_Summer2026_Grade!$J25="I (Incomplete)"), 0, IF(AJ39&gt;=55%, 1, 0))</f>
        <v>#DIV/0!</v>
      </c>
      <c r="AU39" s="129" t="e">
        <f>IF(OR(CSE4098C_Summer2026_Grade!$J25="W (Withdrawn)", CSE4098C_Summer2026_Grade!$J25="I (Incomplete)"), 0, IF(AK39&gt;=55%, 1, 0))</f>
        <v>#DIV/0!</v>
      </c>
      <c r="AV39" s="129" t="e">
        <f>IF(OR(CSE4098C_Summer2026_Grade!$J25="W (Withdrawn)", CSE4098C_Summer2026_Grade!$J25="I (Incomplete)"), 0, IF(AL39&gt;=55%, 1, 0))</f>
        <v>#DIV/0!</v>
      </c>
      <c r="AX39" s="130">
        <f t="array" ref="AX39">IF($AY$13=0,0,MMULT($AC39:$AL39, AY$3:AY$12)/$AY$13)</f>
        <v>0</v>
      </c>
      <c r="AY39" s="130">
        <f t="array" ref="AY39">IF($AZ$13=0,0,MMULT($AC39:$AL39, AZ$3:AZ$12)/$AZ$13)</f>
        <v>0</v>
      </c>
      <c r="AZ39" s="130">
        <f t="array" ref="AZ39">IF($BA$13=0,0,MMULT($AC39:$AL39, BA$3:BA$12)/$BA$13)</f>
        <v>0</v>
      </c>
      <c r="BA39" s="130">
        <f t="array" ref="BA39">IF($BB$13=0,0,MMULT($AC39:$AL39, BB$3:BB$12)/$BB$13)</f>
        <v>0.59807692307692306</v>
      </c>
      <c r="BB39" s="130">
        <f t="array" ref="BB39">IF($BC$13=0,0,MMULT($AC39:$AL39, BC$3:BC$12)/$BC$13)</f>
        <v>0</v>
      </c>
      <c r="BC39" s="130">
        <f t="array" ref="BC39">IF($BD$13=0,0,MMULT($AC39:$AL39, BD$3:BD$12)/$BD$13)</f>
        <v>0</v>
      </c>
      <c r="BD39" s="130">
        <f t="array" ref="BD39">IF($BE$13=0,0,MMULT($AC39:$AL39, BE$3:BE$12)/$BE$13)</f>
        <v>0</v>
      </c>
      <c r="BE39" s="130">
        <f t="array" ref="BE39">IF($BF$13=0,0,MMULT($AC39:$AL39, BF$3:BF$12)/$BF$13)</f>
        <v>0</v>
      </c>
      <c r="BF39" s="130">
        <f t="array" ref="BF39">IF($BG$13=0,0,MMULT($AC39:$AL39, BG$3:BG$12)/$BG$13)</f>
        <v>0</v>
      </c>
      <c r="BG39" s="130">
        <f t="array" ref="BG39">IF($BH$13=0,0,MMULT($AC39:$AL39, BH$3:BH$12)/$BH$13)</f>
        <v>0.56679999999999997</v>
      </c>
      <c r="BH39" s="130">
        <f t="array" ref="BH39">IF($BI$13=0,0,MMULT($AC39:$AL39, BI$3:BI$12)/$BI$13)</f>
        <v>0</v>
      </c>
      <c r="BI39" s="130">
        <f t="array" ref="BI39">IF($BJ$13=0,0,MMULT($AC39:$AL39, BJ$3:BJ$12)/$BJ$13)</f>
        <v>0</v>
      </c>
      <c r="BJ39" s="129" t="e">
        <f>IF(OR(CSE4098C_Summer2026_Grade!$J25="W (Withdrawn)", CSE4098C_Summer2026_Grade!$J25="I (Incomplete)"), 0, IF(AX39&gt;=55%, 1, 0))</f>
        <v>#DIV/0!</v>
      </c>
      <c r="BK39" s="129" t="e">
        <f>IF(OR(CSE4098C_Summer2026_Grade!$J25="W (Withdrawn)", CSE4098C_Summer2026_Grade!$J25="I (Incomplete)"), 0, IF(AY39&gt;=55%, 1, 0))</f>
        <v>#DIV/0!</v>
      </c>
      <c r="BL39" s="129" t="e">
        <f>IF(OR(CSE4098C_Summer2026_Grade!$J25="W (Withdrawn)", CSE4098C_Summer2026_Grade!$J25="I (Incomplete)"), 0, IF(AZ39&gt;=55%, 1, 0))</f>
        <v>#DIV/0!</v>
      </c>
      <c r="BM39" s="129" t="e">
        <f>IF(OR(CSE4098C_Summer2026_Grade!$J25="W (Withdrawn)", CSE4098C_Summer2026_Grade!$J25="I (Incomplete)"), 0, IF(BA39&gt;=55%, 1, 0))</f>
        <v>#DIV/0!</v>
      </c>
      <c r="BN39" s="129" t="e">
        <f>IF(OR(CSE4098C_Summer2026_Grade!$J25="W (Withdrawn)", CSE4098C_Summer2026_Grade!$J25="I (Incomplete)"), 0, IF(BB39&gt;=55%, 1, 0))</f>
        <v>#DIV/0!</v>
      </c>
      <c r="BO39" s="129" t="e">
        <f>IF(OR(CSE4098C_Summer2026_Grade!$J25="W (Withdrawn)", CSE4098C_Summer2026_Grade!$J25="I (Incomplete)"), 0, IF(BC39&gt;=55%, 1, 0))</f>
        <v>#DIV/0!</v>
      </c>
      <c r="BP39" s="129" t="e">
        <f>IF(OR(CSE4098C_Summer2026_Grade!$J25="W (Withdrawn)", CSE4098C_Summer2026_Grade!$J25="I (Incomplete)"), 0, IF(BD39&gt;=55%, 1, 0))</f>
        <v>#DIV/0!</v>
      </c>
      <c r="BQ39" s="129" t="e">
        <f>IF(OR(CSE4098C_Summer2026_Grade!$J25="W (Withdrawn)", CSE4098C_Summer2026_Grade!$J25="I (Incomplete)"), 0, IF(BE39&gt;=55%, 1, 0))</f>
        <v>#DIV/0!</v>
      </c>
      <c r="BR39" s="129" t="e">
        <f>IF(OR(CSE4098C_Summer2026_Grade!$J25="W (Withdrawn)", CSE4098C_Summer2026_Grade!$J25="I (Incomplete)"), 0, IF(BF39&gt;=55%, 1, 0))</f>
        <v>#DIV/0!</v>
      </c>
      <c r="BS39" s="129" t="e">
        <f>IF(OR(CSE4098C_Summer2026_Grade!$J25="W (Withdrawn)", CSE4098C_Summer2026_Grade!$J25="I (Incomplete)"), 0, IF(BG39&gt;=55%, 1, 0))</f>
        <v>#DIV/0!</v>
      </c>
      <c r="BT39" s="129" t="e">
        <f>IF(OR(CSE4098C_Summer2026_Grade!$J25="W (Withdrawn)", CSE4098C_Summer2026_Grade!$J25="I (Incomplete)"), 0, IF(BH39&gt;=55%, 1, 0))</f>
        <v>#DIV/0!</v>
      </c>
      <c r="BU39" s="129" t="e">
        <f>IF(OR(CSE4098C_Summer2026_Grade!$J25="W (Withdrawn)", CSE4098C_Summer2026_Grade!$J25="I (Incomplete)"), 0, IF(BI39&gt;=55%, 1, 0))</f>
        <v>#DIV/0!</v>
      </c>
    </row>
    <row r="40" spans="1:73" ht="12.75" customHeight="1" thickBot="1">
      <c r="A40" s="118">
        <f t="shared" si="11"/>
        <v>22</v>
      </c>
      <c r="B40" s="224">
        <v>173014054</v>
      </c>
      <c r="C40" s="224" t="s">
        <v>225</v>
      </c>
      <c r="D40" s="119">
        <f>CO_Report_Evaluation!AG25</f>
        <v>0</v>
      </c>
      <c r="E40" s="119">
        <f>CO_Report_Evaluation!AH25</f>
        <v>0</v>
      </c>
      <c r="F40" s="119">
        <f>CO_Report_Evaluation!AI25</f>
        <v>0</v>
      </c>
      <c r="G40" s="119">
        <f>CO_Report_Evaluation!AJ25</f>
        <v>0</v>
      </c>
      <c r="H40" s="119">
        <f>CO_Report_Evaluation!AK25</f>
        <v>0</v>
      </c>
      <c r="I40" s="119">
        <f>CO_Report_Evaluation!AL25</f>
        <v>0</v>
      </c>
      <c r="J40" s="119">
        <f>CO_Report_Evaluation!AM25</f>
        <v>0</v>
      </c>
      <c r="K40" s="119">
        <f>CO_Report_Evaluation!AN25</f>
        <v>0</v>
      </c>
      <c r="L40" s="119">
        <f>CSE4098C_Summer2026_Grade!G26</f>
        <v>0</v>
      </c>
      <c r="M40" s="119"/>
      <c r="N40" s="33" t="e">
        <f>((CSE4098C_Summer2026_Grade!E26)*10)/25</f>
        <v>#DIV/0!</v>
      </c>
      <c r="O40" s="120"/>
      <c r="P40" s="121"/>
      <c r="Q40" s="122">
        <v>13.88</v>
      </c>
      <c r="R40" s="120"/>
      <c r="S40" s="123">
        <f t="shared" si="4"/>
        <v>0</v>
      </c>
      <c r="T40" s="124">
        <f t="shared" ref="T40:U40" si="92">E40</f>
        <v>0</v>
      </c>
      <c r="U40" s="124">
        <f t="shared" si="92"/>
        <v>0</v>
      </c>
      <c r="V40" s="124">
        <f t="shared" ref="V40:X40" si="93">SUM(G40,P40)</f>
        <v>0</v>
      </c>
      <c r="W40" s="124">
        <f t="shared" si="93"/>
        <v>13.88</v>
      </c>
      <c r="X40" s="124">
        <f t="shared" si="93"/>
        <v>0</v>
      </c>
      <c r="Y40" s="125">
        <f t="shared" ref="Y40:AA40" si="94">J40</f>
        <v>0</v>
      </c>
      <c r="Z40" s="125">
        <f t="shared" si="94"/>
        <v>0</v>
      </c>
      <c r="AA40" s="125">
        <f t="shared" si="94"/>
        <v>0</v>
      </c>
      <c r="AB40" s="125" t="e">
        <f t="shared" si="9"/>
        <v>#DIV/0!</v>
      </c>
      <c r="AC40" s="126">
        <f t="shared" ref="AC40:AL40" si="95">IF(S40 = 0, 0, S40/S$18)</f>
        <v>0</v>
      </c>
      <c r="AD40" s="127">
        <f t="shared" si="95"/>
        <v>0</v>
      </c>
      <c r="AE40" s="128">
        <f t="shared" si="95"/>
        <v>0</v>
      </c>
      <c r="AF40" s="128">
        <f t="shared" si="95"/>
        <v>0</v>
      </c>
      <c r="AG40" s="128">
        <f t="shared" si="95"/>
        <v>0.53384615384615386</v>
      </c>
      <c r="AH40" s="128">
        <f t="shared" si="95"/>
        <v>0</v>
      </c>
      <c r="AI40" s="128">
        <f t="shared" si="95"/>
        <v>0</v>
      </c>
      <c r="AJ40" s="128">
        <f t="shared" si="95"/>
        <v>0</v>
      </c>
      <c r="AK40" s="128">
        <f t="shared" si="95"/>
        <v>0</v>
      </c>
      <c r="AL40" s="128" t="e">
        <f t="shared" si="95"/>
        <v>#DIV/0!</v>
      </c>
      <c r="AM40" s="129" t="e">
        <f>IF(OR(CSE4098C_Summer2026_Grade!$J26="W (Withdrawn)", CSE4098C_Summer2026_Grade!$J26="I (Incomplete)"), 0, IF(AC40&gt;=55%, 1, 0))</f>
        <v>#DIV/0!</v>
      </c>
      <c r="AN40" s="129" t="e">
        <f>IF(OR(CSE4098C_Summer2026_Grade!$J26="W (Withdrawn)", CSE4098C_Summer2026_Grade!$J26="I (Incomplete)"), 0, IF(AD40&gt;=55%, 1, 0))</f>
        <v>#DIV/0!</v>
      </c>
      <c r="AO40" s="129" t="e">
        <f>IF(OR(CSE4098C_Summer2026_Grade!$J26="W (Withdrawn)", CSE4098C_Summer2026_Grade!$J26="I (Incomplete)"), 0, IF(AE40&gt;=55%, 1, 0))</f>
        <v>#DIV/0!</v>
      </c>
      <c r="AP40" s="129" t="e">
        <f>IF(OR(CSE4098C_Summer2026_Grade!$J26="W (Withdrawn)", CSE4098C_Summer2026_Grade!$J26="I (Incomplete)"), 0, IF(AF40&gt;=55%, 1, 0))</f>
        <v>#DIV/0!</v>
      </c>
      <c r="AQ40" s="129" t="e">
        <f>IF(OR(CSE4098C_Summer2026_Grade!$J26="W (Withdrawn)", CSE4098C_Summer2026_Grade!$J26="I (Incomplete)"), 0, IF(AG40&gt;=55%, 1, 0))</f>
        <v>#DIV/0!</v>
      </c>
      <c r="AR40" s="129" t="e">
        <f>IF(OR(CSE4098C_Summer2026_Grade!$J26="W (Withdrawn)", CSE4098C_Summer2026_Grade!$J26="I (Incomplete)"), 0, IF(AH40&gt;=55%, 1, 0))</f>
        <v>#DIV/0!</v>
      </c>
      <c r="AS40" s="129" t="e">
        <f>IF(OR(CSE4098C_Summer2026_Grade!$J26="W (Withdrawn)", CSE4098C_Summer2026_Grade!$J26="I (Incomplete)"), 0, IF(AI40&gt;=55%, 1, 0))</f>
        <v>#DIV/0!</v>
      </c>
      <c r="AT40" s="129" t="e">
        <f>IF(OR(CSE4098C_Summer2026_Grade!$J26="W (Withdrawn)", CSE4098C_Summer2026_Grade!$J26="I (Incomplete)"), 0, IF(AJ40&gt;=55%, 1, 0))</f>
        <v>#DIV/0!</v>
      </c>
      <c r="AU40" s="129" t="e">
        <f>IF(OR(CSE4098C_Summer2026_Grade!$J26="W (Withdrawn)", CSE4098C_Summer2026_Grade!$J26="I (Incomplete)"), 0, IF(AK40&gt;=55%, 1, 0))</f>
        <v>#DIV/0!</v>
      </c>
      <c r="AV40" s="129" t="e">
        <f>IF(OR(CSE4098C_Summer2026_Grade!$J26="W (Withdrawn)", CSE4098C_Summer2026_Grade!$J26="I (Incomplete)"), 0, IF(AL40&gt;=55%, 1, 0))</f>
        <v>#DIV/0!</v>
      </c>
      <c r="AX40" s="130">
        <f t="array" ref="AX40">IF($AY$13=0,0,MMULT($AC40:$AL40, AY$3:AY$12)/$AY$13)</f>
        <v>0</v>
      </c>
      <c r="AY40" s="130">
        <f t="array" ref="AY40">IF($AZ$13=0,0,MMULT($AC40:$AL40, AZ$3:AZ$12)/$AZ$13)</f>
        <v>0</v>
      </c>
      <c r="AZ40" s="130" t="e">
        <f t="array" ref="AZ40">IF($BA$13=0,0,MMULT($AC40:$AL40, BA$3:BA$12)/$BA$13)</f>
        <v>#DIV/0!</v>
      </c>
      <c r="BA40" s="130" t="e">
        <f t="array" ref="BA40">IF($BB$13=0,0,MMULT($AC40:$AL40, BB$3:BB$12)/$BB$13)</f>
        <v>#DIV/0!</v>
      </c>
      <c r="BB40" s="130" t="e">
        <f t="array" ref="BB40">IF($BC$13=0,0,MMULT($AC40:$AL40, BC$3:BC$12)/$BC$13)</f>
        <v>#DIV/0!</v>
      </c>
      <c r="BC40" s="130" t="e">
        <f t="array" ref="BC40">IF($BD$13=0,0,MMULT($AC40:$AL40, BD$3:BD$12)/$BD$13)</f>
        <v>#DIV/0!</v>
      </c>
      <c r="BD40" s="130" t="e">
        <f t="array" ref="BD40">IF($BE$13=0,0,MMULT($AC40:$AL40, BE$3:BE$12)/$BE$13)</f>
        <v>#DIV/0!</v>
      </c>
      <c r="BE40" s="130" t="e">
        <f t="array" ref="BE40">IF($BF$13=0,0,MMULT($AC40:$AL40, BF$3:BF$12)/$BF$13)</f>
        <v>#DIV/0!</v>
      </c>
      <c r="BF40" s="130" t="e">
        <f t="array" ref="BF40">IF($BG$13=0,0,MMULT($AC40:$AL40, BG$3:BG$12)/$BG$13)</f>
        <v>#DIV/0!</v>
      </c>
      <c r="BG40" s="130" t="e">
        <f t="array" ref="BG40">IF($BH$13=0,0,MMULT($AC40:$AL40, BH$3:BH$12)/$BH$13)</f>
        <v>#DIV/0!</v>
      </c>
      <c r="BH40" s="130" t="e">
        <f t="array" ref="BH40">IF($BI$13=0,0,MMULT($AC40:$AL40, BI$3:BI$12)/$BI$13)</f>
        <v>#DIV/0!</v>
      </c>
      <c r="BI40" s="130" t="e">
        <f t="array" ref="BI40">IF($BJ$13=0,0,MMULT($AC40:$AL40, BJ$3:BJ$12)/$BJ$13)</f>
        <v>#DIV/0!</v>
      </c>
      <c r="BJ40" s="129" t="e">
        <f>IF(OR(CSE4098C_Summer2026_Grade!$J26="W (Withdrawn)", CSE4098C_Summer2026_Grade!$J26="I (Incomplete)"), 0, IF(AX40&gt;=55%, 1, 0))</f>
        <v>#DIV/0!</v>
      </c>
      <c r="BK40" s="129" t="e">
        <f>IF(OR(CSE4098C_Summer2026_Grade!$J26="W (Withdrawn)", CSE4098C_Summer2026_Grade!$J26="I (Incomplete)"), 0, IF(AY40&gt;=55%, 1, 0))</f>
        <v>#DIV/0!</v>
      </c>
      <c r="BL40" s="129" t="e">
        <f>IF(OR(CSE4098C_Summer2026_Grade!$J26="W (Withdrawn)", CSE4098C_Summer2026_Grade!$J26="I (Incomplete)"), 0, IF(AZ40&gt;=55%, 1, 0))</f>
        <v>#DIV/0!</v>
      </c>
      <c r="BM40" s="129" t="e">
        <f>IF(OR(CSE4098C_Summer2026_Grade!$J26="W (Withdrawn)", CSE4098C_Summer2026_Grade!$J26="I (Incomplete)"), 0, IF(BA40&gt;=55%, 1, 0))</f>
        <v>#DIV/0!</v>
      </c>
      <c r="BN40" s="129" t="e">
        <f>IF(OR(CSE4098C_Summer2026_Grade!$J26="W (Withdrawn)", CSE4098C_Summer2026_Grade!$J26="I (Incomplete)"), 0, IF(BB40&gt;=55%, 1, 0))</f>
        <v>#DIV/0!</v>
      </c>
      <c r="BO40" s="129" t="e">
        <f>IF(OR(CSE4098C_Summer2026_Grade!$J26="W (Withdrawn)", CSE4098C_Summer2026_Grade!$J26="I (Incomplete)"), 0, IF(BC40&gt;=55%, 1, 0))</f>
        <v>#DIV/0!</v>
      </c>
      <c r="BP40" s="129" t="e">
        <f>IF(OR(CSE4098C_Summer2026_Grade!$J26="W (Withdrawn)", CSE4098C_Summer2026_Grade!$J26="I (Incomplete)"), 0, IF(BD40&gt;=55%, 1, 0))</f>
        <v>#DIV/0!</v>
      </c>
      <c r="BQ40" s="129" t="e">
        <f>IF(OR(CSE4098C_Summer2026_Grade!$J26="W (Withdrawn)", CSE4098C_Summer2026_Grade!$J26="I (Incomplete)"), 0, IF(BE40&gt;=55%, 1, 0))</f>
        <v>#DIV/0!</v>
      </c>
      <c r="BR40" s="129" t="e">
        <f>IF(OR(CSE4098C_Summer2026_Grade!$J26="W (Withdrawn)", CSE4098C_Summer2026_Grade!$J26="I (Incomplete)"), 0, IF(BF40&gt;=55%, 1, 0))</f>
        <v>#DIV/0!</v>
      </c>
      <c r="BS40" s="129" t="e">
        <f>IF(OR(CSE4098C_Summer2026_Grade!$J26="W (Withdrawn)", CSE4098C_Summer2026_Grade!$J26="I (Incomplete)"), 0, IF(BG40&gt;=55%, 1, 0))</f>
        <v>#DIV/0!</v>
      </c>
      <c r="BT40" s="129" t="e">
        <f>IF(OR(CSE4098C_Summer2026_Grade!$J26="W (Withdrawn)", CSE4098C_Summer2026_Grade!$J26="I (Incomplete)"), 0, IF(BH40&gt;=55%, 1, 0))</f>
        <v>#DIV/0!</v>
      </c>
      <c r="BU40" s="129" t="e">
        <f>IF(OR(CSE4098C_Summer2026_Grade!$J26="W (Withdrawn)", CSE4098C_Summer2026_Grade!$J26="I (Incomplete)"), 0, IF(BI40&gt;=55%, 1, 0))</f>
        <v>#DIV/0!</v>
      </c>
    </row>
    <row r="41" spans="1:73" ht="12.75" customHeight="1" thickBot="1">
      <c r="A41" s="118">
        <f t="shared" si="11"/>
        <v>23</v>
      </c>
      <c r="B41" s="224">
        <v>201014068</v>
      </c>
      <c r="C41" s="224" t="s">
        <v>208</v>
      </c>
      <c r="D41" s="119">
        <f>CO_Report_Evaluation!AG26</f>
        <v>0</v>
      </c>
      <c r="E41" s="119">
        <f>CO_Report_Evaluation!AH26</f>
        <v>0</v>
      </c>
      <c r="F41" s="119">
        <f>CO_Report_Evaluation!AI26</f>
        <v>0</v>
      </c>
      <c r="G41" s="119">
        <f>CO_Report_Evaluation!AJ26</f>
        <v>0</v>
      </c>
      <c r="H41" s="119">
        <f>CO_Report_Evaluation!AK26</f>
        <v>0</v>
      </c>
      <c r="I41" s="119">
        <f>CO_Report_Evaluation!AL26</f>
        <v>0</v>
      </c>
      <c r="J41" s="119">
        <f>CO_Report_Evaluation!AM26</f>
        <v>0</v>
      </c>
      <c r="K41" s="119">
        <f>CO_Report_Evaluation!AN26</f>
        <v>0</v>
      </c>
      <c r="L41" s="119">
        <f>CSE4098C_Summer2026_Grade!G27</f>
        <v>0</v>
      </c>
      <c r="M41" s="119"/>
      <c r="N41" s="33">
        <f>((CSE4098C_Summer2026_Grade!E27)*10)/25</f>
        <v>7.5120000000000005</v>
      </c>
      <c r="O41" s="120"/>
      <c r="P41" s="121"/>
      <c r="Q41" s="122">
        <v>13.88</v>
      </c>
      <c r="R41" s="120"/>
      <c r="S41" s="123">
        <f t="shared" si="4"/>
        <v>0</v>
      </c>
      <c r="T41" s="124">
        <f t="shared" ref="T41:U41" si="96">E41</f>
        <v>0</v>
      </c>
      <c r="U41" s="124">
        <f t="shared" si="96"/>
        <v>0</v>
      </c>
      <c r="V41" s="124">
        <f t="shared" ref="V41:X41" si="97">SUM(G41,P41)</f>
        <v>0</v>
      </c>
      <c r="W41" s="124">
        <f t="shared" si="97"/>
        <v>13.88</v>
      </c>
      <c r="X41" s="124">
        <f t="shared" si="97"/>
        <v>0</v>
      </c>
      <c r="Y41" s="125">
        <f t="shared" ref="Y41:AA41" si="98">J41</f>
        <v>0</v>
      </c>
      <c r="Z41" s="125">
        <f t="shared" si="98"/>
        <v>0</v>
      </c>
      <c r="AA41" s="125">
        <f t="shared" si="98"/>
        <v>0</v>
      </c>
      <c r="AB41" s="125">
        <f t="shared" si="9"/>
        <v>7.5120000000000005</v>
      </c>
      <c r="AC41" s="126">
        <f t="shared" ref="AC41:AL41" si="99">IF(S41 = 0, 0, S41/S$18)</f>
        <v>0</v>
      </c>
      <c r="AD41" s="127">
        <f t="shared" si="99"/>
        <v>0</v>
      </c>
      <c r="AE41" s="128">
        <f t="shared" si="99"/>
        <v>0</v>
      </c>
      <c r="AF41" s="128">
        <f t="shared" si="99"/>
        <v>0</v>
      </c>
      <c r="AG41" s="128">
        <f t="shared" si="99"/>
        <v>0.53384615384615386</v>
      </c>
      <c r="AH41" s="128">
        <f t="shared" si="99"/>
        <v>0</v>
      </c>
      <c r="AI41" s="128">
        <f t="shared" si="99"/>
        <v>0</v>
      </c>
      <c r="AJ41" s="128">
        <f t="shared" si="99"/>
        <v>0</v>
      </c>
      <c r="AK41" s="128">
        <f t="shared" si="99"/>
        <v>0</v>
      </c>
      <c r="AL41" s="128">
        <f t="shared" si="99"/>
        <v>0.75120000000000009</v>
      </c>
      <c r="AM41" s="129" t="e">
        <f>IF(OR(CSE4098C_Summer2026_Grade!$J27="W (Withdrawn)", CSE4098C_Summer2026_Grade!$J27="I (Incomplete)"), 0, IF(AC41&gt;=55%, 1, 0))</f>
        <v>#DIV/0!</v>
      </c>
      <c r="AN41" s="129" t="e">
        <f>IF(OR(CSE4098C_Summer2026_Grade!$J27="W (Withdrawn)", CSE4098C_Summer2026_Grade!$J27="I (Incomplete)"), 0, IF(AD41&gt;=55%, 1, 0))</f>
        <v>#DIV/0!</v>
      </c>
      <c r="AO41" s="129" t="e">
        <f>IF(OR(CSE4098C_Summer2026_Grade!$J27="W (Withdrawn)", CSE4098C_Summer2026_Grade!$J27="I (Incomplete)"), 0, IF(AE41&gt;=55%, 1, 0))</f>
        <v>#DIV/0!</v>
      </c>
      <c r="AP41" s="129" t="e">
        <f>IF(OR(CSE4098C_Summer2026_Grade!$J27="W (Withdrawn)", CSE4098C_Summer2026_Grade!$J27="I (Incomplete)"), 0, IF(AF41&gt;=55%, 1, 0))</f>
        <v>#DIV/0!</v>
      </c>
      <c r="AQ41" s="129" t="e">
        <f>IF(OR(CSE4098C_Summer2026_Grade!$J27="W (Withdrawn)", CSE4098C_Summer2026_Grade!$J27="I (Incomplete)"), 0, IF(AG41&gt;=55%, 1, 0))</f>
        <v>#DIV/0!</v>
      </c>
      <c r="AR41" s="129" t="e">
        <f>IF(OR(CSE4098C_Summer2026_Grade!$J27="W (Withdrawn)", CSE4098C_Summer2026_Grade!$J27="I (Incomplete)"), 0, IF(AH41&gt;=55%, 1, 0))</f>
        <v>#DIV/0!</v>
      </c>
      <c r="AS41" s="129" t="e">
        <f>IF(OR(CSE4098C_Summer2026_Grade!$J27="W (Withdrawn)", CSE4098C_Summer2026_Grade!$J27="I (Incomplete)"), 0, IF(AI41&gt;=55%, 1, 0))</f>
        <v>#DIV/0!</v>
      </c>
      <c r="AT41" s="129" t="e">
        <f>IF(OR(CSE4098C_Summer2026_Grade!$J27="W (Withdrawn)", CSE4098C_Summer2026_Grade!$J27="I (Incomplete)"), 0, IF(AJ41&gt;=55%, 1, 0))</f>
        <v>#DIV/0!</v>
      </c>
      <c r="AU41" s="129" t="e">
        <f>IF(OR(CSE4098C_Summer2026_Grade!$J27="W (Withdrawn)", CSE4098C_Summer2026_Grade!$J27="I (Incomplete)"), 0, IF(AK41&gt;=55%, 1, 0))</f>
        <v>#DIV/0!</v>
      </c>
      <c r="AV41" s="129" t="e">
        <f>IF(OR(CSE4098C_Summer2026_Grade!$J27="W (Withdrawn)", CSE4098C_Summer2026_Grade!$J27="I (Incomplete)"), 0, IF(AL41&gt;=55%, 1, 0))</f>
        <v>#DIV/0!</v>
      </c>
      <c r="AX41" s="130">
        <f t="array" ref="AX41">IF($AY$13=0,0,MMULT($AC41:$AL41, AY$3:AY$12)/$AY$13)</f>
        <v>0</v>
      </c>
      <c r="AY41" s="130">
        <f t="array" ref="AY41">IF($AZ$13=0,0,MMULT($AC41:$AL41, AZ$3:AZ$12)/$AZ$13)</f>
        <v>0</v>
      </c>
      <c r="AZ41" s="130">
        <f t="array" ref="AZ41">IF($BA$13=0,0,MMULT($AC41:$AL41, BA$3:BA$12)/$BA$13)</f>
        <v>0</v>
      </c>
      <c r="BA41" s="130">
        <f t="array" ref="BA41">IF($BB$13=0,0,MMULT($AC41:$AL41, BB$3:BB$12)/$BB$13)</f>
        <v>0.53384615384615386</v>
      </c>
      <c r="BB41" s="130">
        <f t="array" ref="BB41">IF($BC$13=0,0,MMULT($AC41:$AL41, BC$3:BC$12)/$BC$13)</f>
        <v>0</v>
      </c>
      <c r="BC41" s="130">
        <f t="array" ref="BC41">IF($BD$13=0,0,MMULT($AC41:$AL41, BD$3:BD$12)/$BD$13)</f>
        <v>0</v>
      </c>
      <c r="BD41" s="130">
        <f t="array" ref="BD41">IF($BE$13=0,0,MMULT($AC41:$AL41, BE$3:BE$12)/$BE$13)</f>
        <v>0</v>
      </c>
      <c r="BE41" s="130">
        <f t="array" ref="BE41">IF($BF$13=0,0,MMULT($AC41:$AL41, BF$3:BF$12)/$BF$13)</f>
        <v>0</v>
      </c>
      <c r="BF41" s="130">
        <f t="array" ref="BF41">IF($BG$13=0,0,MMULT($AC41:$AL41, BG$3:BG$12)/$BG$13)</f>
        <v>0</v>
      </c>
      <c r="BG41" s="130">
        <f t="array" ref="BG41">IF($BH$13=0,0,MMULT($AC41:$AL41, BH$3:BH$12)/$BH$13)</f>
        <v>0.75120000000000009</v>
      </c>
      <c r="BH41" s="130">
        <f t="array" ref="BH41">IF($BI$13=0,0,MMULT($AC41:$AL41, BI$3:BI$12)/$BI$13)</f>
        <v>0</v>
      </c>
      <c r="BI41" s="130">
        <f t="array" ref="BI41">IF($BJ$13=0,0,MMULT($AC41:$AL41, BJ$3:BJ$12)/$BJ$13)</f>
        <v>0</v>
      </c>
      <c r="BJ41" s="129" t="e">
        <f>IF(OR(CSE4098C_Summer2026_Grade!$J27="W (Withdrawn)", CSE4098C_Summer2026_Grade!$J27="I (Incomplete)"), 0, IF(AX41&gt;=55%, 1, 0))</f>
        <v>#DIV/0!</v>
      </c>
      <c r="BK41" s="129" t="e">
        <f>IF(OR(CSE4098C_Summer2026_Grade!$J27="W (Withdrawn)", CSE4098C_Summer2026_Grade!$J27="I (Incomplete)"), 0, IF(AY41&gt;=55%, 1, 0))</f>
        <v>#DIV/0!</v>
      </c>
      <c r="BL41" s="129" t="e">
        <f>IF(OR(CSE4098C_Summer2026_Grade!$J27="W (Withdrawn)", CSE4098C_Summer2026_Grade!$J27="I (Incomplete)"), 0, IF(AZ41&gt;=55%, 1, 0))</f>
        <v>#DIV/0!</v>
      </c>
      <c r="BM41" s="129" t="e">
        <f>IF(OR(CSE4098C_Summer2026_Grade!$J27="W (Withdrawn)", CSE4098C_Summer2026_Grade!$J27="I (Incomplete)"), 0, IF(BA41&gt;=55%, 1, 0))</f>
        <v>#DIV/0!</v>
      </c>
      <c r="BN41" s="129" t="e">
        <f>IF(OR(CSE4098C_Summer2026_Grade!$J27="W (Withdrawn)", CSE4098C_Summer2026_Grade!$J27="I (Incomplete)"), 0, IF(BB41&gt;=55%, 1, 0))</f>
        <v>#DIV/0!</v>
      </c>
      <c r="BO41" s="129" t="e">
        <f>IF(OR(CSE4098C_Summer2026_Grade!$J27="W (Withdrawn)", CSE4098C_Summer2026_Grade!$J27="I (Incomplete)"), 0, IF(BC41&gt;=55%, 1, 0))</f>
        <v>#DIV/0!</v>
      </c>
      <c r="BP41" s="129" t="e">
        <f>IF(OR(CSE4098C_Summer2026_Grade!$J27="W (Withdrawn)", CSE4098C_Summer2026_Grade!$J27="I (Incomplete)"), 0, IF(BD41&gt;=55%, 1, 0))</f>
        <v>#DIV/0!</v>
      </c>
      <c r="BQ41" s="129" t="e">
        <f>IF(OR(CSE4098C_Summer2026_Grade!$J27="W (Withdrawn)", CSE4098C_Summer2026_Grade!$J27="I (Incomplete)"), 0, IF(BE41&gt;=55%, 1, 0))</f>
        <v>#DIV/0!</v>
      </c>
      <c r="BR41" s="129" t="e">
        <f>IF(OR(CSE4098C_Summer2026_Grade!$J27="W (Withdrawn)", CSE4098C_Summer2026_Grade!$J27="I (Incomplete)"), 0, IF(BF41&gt;=55%, 1, 0))</f>
        <v>#DIV/0!</v>
      </c>
      <c r="BS41" s="129" t="e">
        <f>IF(OR(CSE4098C_Summer2026_Grade!$J27="W (Withdrawn)", CSE4098C_Summer2026_Grade!$J27="I (Incomplete)"), 0, IF(BG41&gt;=55%, 1, 0))</f>
        <v>#DIV/0!</v>
      </c>
      <c r="BT41" s="129" t="e">
        <f>IF(OR(CSE4098C_Summer2026_Grade!$J27="W (Withdrawn)", CSE4098C_Summer2026_Grade!$J27="I (Incomplete)"), 0, IF(BH41&gt;=55%, 1, 0))</f>
        <v>#DIV/0!</v>
      </c>
      <c r="BU41" s="129" t="e">
        <f>IF(OR(CSE4098C_Summer2026_Grade!$J27="W (Withdrawn)", CSE4098C_Summer2026_Grade!$J27="I (Incomplete)"), 0, IF(BI41&gt;=55%, 1, 0))</f>
        <v>#DIV/0!</v>
      </c>
    </row>
    <row r="42" spans="1:73" ht="12.75" customHeight="1" thickBot="1">
      <c r="A42" s="118">
        <f t="shared" si="11"/>
        <v>24</v>
      </c>
      <c r="B42" s="224">
        <v>201014030</v>
      </c>
      <c r="C42" s="224" t="s">
        <v>226</v>
      </c>
      <c r="D42" s="119">
        <f>CO_Report_Evaluation!AG27</f>
        <v>0</v>
      </c>
      <c r="E42" s="119">
        <f>CO_Report_Evaluation!AH27</f>
        <v>0</v>
      </c>
      <c r="F42" s="119">
        <f>CO_Report_Evaluation!AI27</f>
        <v>0</v>
      </c>
      <c r="G42" s="119">
        <f>CO_Report_Evaluation!AJ27</f>
        <v>0</v>
      </c>
      <c r="H42" s="119">
        <f>CO_Report_Evaluation!AK27</f>
        <v>0</v>
      </c>
      <c r="I42" s="119">
        <f>CO_Report_Evaluation!AL27</f>
        <v>0</v>
      </c>
      <c r="J42" s="119">
        <f>CO_Report_Evaluation!AM27</f>
        <v>0</v>
      </c>
      <c r="K42" s="119">
        <f>CO_Report_Evaluation!AN27</f>
        <v>0</v>
      </c>
      <c r="L42" s="119">
        <f>CSE4098C_Summer2026_Grade!G28</f>
        <v>0</v>
      </c>
      <c r="M42" s="119"/>
      <c r="N42" s="33">
        <f>((CSE4098C_Summer2026_Grade!E28)*10)/25</f>
        <v>7.4879999999999995</v>
      </c>
      <c r="O42" s="120"/>
      <c r="P42" s="121"/>
      <c r="Q42" s="122">
        <v>13.88</v>
      </c>
      <c r="R42" s="120"/>
      <c r="S42" s="123">
        <f t="shared" si="4"/>
        <v>0</v>
      </c>
      <c r="T42" s="124">
        <f t="shared" ref="T42:U42" si="100">E42</f>
        <v>0</v>
      </c>
      <c r="U42" s="124">
        <f t="shared" si="100"/>
        <v>0</v>
      </c>
      <c r="V42" s="124">
        <f t="shared" ref="V42:X42" si="101">SUM(G42,P42)</f>
        <v>0</v>
      </c>
      <c r="W42" s="124">
        <f t="shared" si="101"/>
        <v>13.88</v>
      </c>
      <c r="X42" s="124">
        <f t="shared" si="101"/>
        <v>0</v>
      </c>
      <c r="Y42" s="125">
        <f t="shared" ref="Y42:AA42" si="102">J42</f>
        <v>0</v>
      </c>
      <c r="Z42" s="125">
        <f t="shared" si="102"/>
        <v>0</v>
      </c>
      <c r="AA42" s="125">
        <f t="shared" si="102"/>
        <v>0</v>
      </c>
      <c r="AB42" s="125">
        <f t="shared" si="9"/>
        <v>7.4879999999999995</v>
      </c>
      <c r="AC42" s="126">
        <f t="shared" ref="AC42:AL42" si="103">IF(S42 = 0, 0, S42/S$18)</f>
        <v>0</v>
      </c>
      <c r="AD42" s="127">
        <f t="shared" si="103"/>
        <v>0</v>
      </c>
      <c r="AE42" s="128">
        <f t="shared" si="103"/>
        <v>0</v>
      </c>
      <c r="AF42" s="128">
        <f t="shared" si="103"/>
        <v>0</v>
      </c>
      <c r="AG42" s="128">
        <f t="shared" si="103"/>
        <v>0.53384615384615386</v>
      </c>
      <c r="AH42" s="128">
        <f t="shared" si="103"/>
        <v>0</v>
      </c>
      <c r="AI42" s="128">
        <f t="shared" si="103"/>
        <v>0</v>
      </c>
      <c r="AJ42" s="128">
        <f t="shared" si="103"/>
        <v>0</v>
      </c>
      <c r="AK42" s="128">
        <f t="shared" si="103"/>
        <v>0</v>
      </c>
      <c r="AL42" s="128">
        <f t="shared" si="103"/>
        <v>0.74879999999999991</v>
      </c>
      <c r="AM42" s="129" t="e">
        <f>IF(OR(CSE4098C_Summer2026_Grade!$J28="W (Withdrawn)", CSE4098C_Summer2026_Grade!$J28="I (Incomplete)"), 0, IF(AC42&gt;=55%, 1, 0))</f>
        <v>#DIV/0!</v>
      </c>
      <c r="AN42" s="129" t="e">
        <f>IF(OR(CSE4098C_Summer2026_Grade!$J28="W (Withdrawn)", CSE4098C_Summer2026_Grade!$J28="I (Incomplete)"), 0, IF(AD42&gt;=55%, 1, 0))</f>
        <v>#DIV/0!</v>
      </c>
      <c r="AO42" s="129" t="e">
        <f>IF(OR(CSE4098C_Summer2026_Grade!$J28="W (Withdrawn)", CSE4098C_Summer2026_Grade!$J28="I (Incomplete)"), 0, IF(AE42&gt;=55%, 1, 0))</f>
        <v>#DIV/0!</v>
      </c>
      <c r="AP42" s="129" t="e">
        <f>IF(OR(CSE4098C_Summer2026_Grade!$J28="W (Withdrawn)", CSE4098C_Summer2026_Grade!$J28="I (Incomplete)"), 0, IF(AF42&gt;=55%, 1, 0))</f>
        <v>#DIV/0!</v>
      </c>
      <c r="AQ42" s="129" t="e">
        <f>IF(OR(CSE4098C_Summer2026_Grade!$J28="W (Withdrawn)", CSE4098C_Summer2026_Grade!$J28="I (Incomplete)"), 0, IF(AG42&gt;=55%, 1, 0))</f>
        <v>#DIV/0!</v>
      </c>
      <c r="AR42" s="129" t="e">
        <f>IF(OR(CSE4098C_Summer2026_Grade!$J28="W (Withdrawn)", CSE4098C_Summer2026_Grade!$J28="I (Incomplete)"), 0, IF(AH42&gt;=55%, 1, 0))</f>
        <v>#DIV/0!</v>
      </c>
      <c r="AS42" s="129" t="e">
        <f>IF(OR(CSE4098C_Summer2026_Grade!$J28="W (Withdrawn)", CSE4098C_Summer2026_Grade!$J28="I (Incomplete)"), 0, IF(AI42&gt;=55%, 1, 0))</f>
        <v>#DIV/0!</v>
      </c>
      <c r="AT42" s="129" t="e">
        <f>IF(OR(CSE4098C_Summer2026_Grade!$J28="W (Withdrawn)", CSE4098C_Summer2026_Grade!$J28="I (Incomplete)"), 0, IF(AJ42&gt;=55%, 1, 0))</f>
        <v>#DIV/0!</v>
      </c>
      <c r="AU42" s="129" t="e">
        <f>IF(OR(CSE4098C_Summer2026_Grade!$J28="W (Withdrawn)", CSE4098C_Summer2026_Grade!$J28="I (Incomplete)"), 0, IF(AK42&gt;=55%, 1, 0))</f>
        <v>#DIV/0!</v>
      </c>
      <c r="AV42" s="129" t="e">
        <f>IF(OR(CSE4098C_Summer2026_Grade!$J28="W (Withdrawn)", CSE4098C_Summer2026_Grade!$J28="I (Incomplete)"), 0, IF(AL42&gt;=55%, 1, 0))</f>
        <v>#DIV/0!</v>
      </c>
      <c r="AX42" s="130">
        <f t="array" ref="AX42">IF($AY$13=0,0,MMULT($AC42:$AL42, AY$3:AY$12)/$AY$13)</f>
        <v>0</v>
      </c>
      <c r="AY42" s="130">
        <f t="array" ref="AY42">IF($AZ$13=0,0,MMULT($AC42:$AL42, AZ$3:AZ$12)/$AZ$13)</f>
        <v>0</v>
      </c>
      <c r="AZ42" s="130">
        <f t="array" ref="AZ42">IF($BA$13=0,0,MMULT($AC42:$AL42, BA$3:BA$12)/$BA$13)</f>
        <v>0</v>
      </c>
      <c r="BA42" s="130">
        <f t="array" ref="BA42">IF($BB$13=0,0,MMULT($AC42:$AL42, BB$3:BB$12)/$BB$13)</f>
        <v>0.53384615384615386</v>
      </c>
      <c r="BB42" s="130">
        <f t="array" ref="BB42">IF($BC$13=0,0,MMULT($AC42:$AL42, BC$3:BC$12)/$BC$13)</f>
        <v>0</v>
      </c>
      <c r="BC42" s="130">
        <f t="array" ref="BC42">IF($BD$13=0,0,MMULT($AC42:$AL42, BD$3:BD$12)/$BD$13)</f>
        <v>0</v>
      </c>
      <c r="BD42" s="130">
        <f t="array" ref="BD42">IF($BE$13=0,0,MMULT($AC42:$AL42, BE$3:BE$12)/$BE$13)</f>
        <v>0</v>
      </c>
      <c r="BE42" s="130">
        <f t="array" ref="BE42">IF($BF$13=0,0,MMULT($AC42:$AL42, BF$3:BF$12)/$BF$13)</f>
        <v>0</v>
      </c>
      <c r="BF42" s="130">
        <f t="array" ref="BF42">IF($BG$13=0,0,MMULT($AC42:$AL42, BG$3:BG$12)/$BG$13)</f>
        <v>0</v>
      </c>
      <c r="BG42" s="130">
        <f t="array" ref="BG42">IF($BH$13=0,0,MMULT($AC42:$AL42, BH$3:BH$12)/$BH$13)</f>
        <v>0.74879999999999991</v>
      </c>
      <c r="BH42" s="130">
        <f t="array" ref="BH42">IF($BI$13=0,0,MMULT($AC42:$AL42, BI$3:BI$12)/$BI$13)</f>
        <v>0</v>
      </c>
      <c r="BI42" s="130">
        <f t="array" ref="BI42">IF($BJ$13=0,0,MMULT($AC42:$AL42, BJ$3:BJ$12)/$BJ$13)</f>
        <v>0</v>
      </c>
      <c r="BJ42" s="129" t="e">
        <f>IF(OR(CSE4098C_Summer2026_Grade!$J28="W (Withdrawn)", CSE4098C_Summer2026_Grade!$J28="I (Incomplete)"), 0, IF(AX42&gt;=55%, 1, 0))</f>
        <v>#DIV/0!</v>
      </c>
      <c r="BK42" s="129" t="e">
        <f>IF(OR(CSE4098C_Summer2026_Grade!$J28="W (Withdrawn)", CSE4098C_Summer2026_Grade!$J28="I (Incomplete)"), 0, IF(AY42&gt;=55%, 1, 0))</f>
        <v>#DIV/0!</v>
      </c>
      <c r="BL42" s="129" t="e">
        <f>IF(OR(CSE4098C_Summer2026_Grade!$J28="W (Withdrawn)", CSE4098C_Summer2026_Grade!$J28="I (Incomplete)"), 0, IF(AZ42&gt;=55%, 1, 0))</f>
        <v>#DIV/0!</v>
      </c>
      <c r="BM42" s="129" t="e">
        <f>IF(OR(CSE4098C_Summer2026_Grade!$J28="W (Withdrawn)", CSE4098C_Summer2026_Grade!$J28="I (Incomplete)"), 0, IF(BA42&gt;=55%, 1, 0))</f>
        <v>#DIV/0!</v>
      </c>
      <c r="BN42" s="129" t="e">
        <f>IF(OR(CSE4098C_Summer2026_Grade!$J28="W (Withdrawn)", CSE4098C_Summer2026_Grade!$J28="I (Incomplete)"), 0, IF(BB42&gt;=55%, 1, 0))</f>
        <v>#DIV/0!</v>
      </c>
      <c r="BO42" s="129" t="e">
        <f>IF(OR(CSE4098C_Summer2026_Grade!$J28="W (Withdrawn)", CSE4098C_Summer2026_Grade!$J28="I (Incomplete)"), 0, IF(BC42&gt;=55%, 1, 0))</f>
        <v>#DIV/0!</v>
      </c>
      <c r="BP42" s="129" t="e">
        <f>IF(OR(CSE4098C_Summer2026_Grade!$J28="W (Withdrawn)", CSE4098C_Summer2026_Grade!$J28="I (Incomplete)"), 0, IF(BD42&gt;=55%, 1, 0))</f>
        <v>#DIV/0!</v>
      </c>
      <c r="BQ42" s="129" t="e">
        <f>IF(OR(CSE4098C_Summer2026_Grade!$J28="W (Withdrawn)", CSE4098C_Summer2026_Grade!$J28="I (Incomplete)"), 0, IF(BE42&gt;=55%, 1, 0))</f>
        <v>#DIV/0!</v>
      </c>
      <c r="BR42" s="129" t="e">
        <f>IF(OR(CSE4098C_Summer2026_Grade!$J28="W (Withdrawn)", CSE4098C_Summer2026_Grade!$J28="I (Incomplete)"), 0, IF(BF42&gt;=55%, 1, 0))</f>
        <v>#DIV/0!</v>
      </c>
      <c r="BS42" s="129" t="e">
        <f>IF(OR(CSE4098C_Summer2026_Grade!$J28="W (Withdrawn)", CSE4098C_Summer2026_Grade!$J28="I (Incomplete)"), 0, IF(BG42&gt;=55%, 1, 0))</f>
        <v>#DIV/0!</v>
      </c>
      <c r="BT42" s="129" t="e">
        <f>IF(OR(CSE4098C_Summer2026_Grade!$J28="W (Withdrawn)", CSE4098C_Summer2026_Grade!$J28="I (Incomplete)"), 0, IF(BH42&gt;=55%, 1, 0))</f>
        <v>#DIV/0!</v>
      </c>
      <c r="BU42" s="129" t="e">
        <f>IF(OR(CSE4098C_Summer2026_Grade!$J28="W (Withdrawn)", CSE4098C_Summer2026_Grade!$J28="I (Incomplete)"), 0, IF(BI42&gt;=55%, 1, 0))</f>
        <v>#DIV/0!</v>
      </c>
    </row>
    <row r="43" spans="1:73" ht="12.75" customHeight="1" thickBot="1">
      <c r="A43" s="118">
        <f t="shared" si="11"/>
        <v>25</v>
      </c>
      <c r="B43" s="224">
        <v>201014050</v>
      </c>
      <c r="C43" s="226" t="s">
        <v>227</v>
      </c>
      <c r="D43" s="119">
        <f>CO_Report_Evaluation!AG28</f>
        <v>0</v>
      </c>
      <c r="E43" s="119">
        <f>CO_Report_Evaluation!AH28</f>
        <v>0</v>
      </c>
      <c r="F43" s="119">
        <f>CO_Report_Evaluation!AI28</f>
        <v>0</v>
      </c>
      <c r="G43" s="119">
        <f>CO_Report_Evaluation!AJ28</f>
        <v>0</v>
      </c>
      <c r="H43" s="119">
        <f>CO_Report_Evaluation!AK28</f>
        <v>0</v>
      </c>
      <c r="I43" s="119">
        <f>CO_Report_Evaluation!AL28</f>
        <v>0</v>
      </c>
      <c r="J43" s="119">
        <f>CO_Report_Evaluation!AM28</f>
        <v>0</v>
      </c>
      <c r="K43" s="119">
        <f>CO_Report_Evaluation!AN28</f>
        <v>0</v>
      </c>
      <c r="L43" s="119">
        <f>CSE4098C_Summer2026_Grade!G29</f>
        <v>0</v>
      </c>
      <c r="M43" s="119"/>
      <c r="N43" s="33">
        <f>((CSE4098C_Summer2026_Grade!E29)*10)/25</f>
        <v>7.5120000000000005</v>
      </c>
      <c r="O43" s="120"/>
      <c r="P43" s="121"/>
      <c r="Q43" s="122">
        <v>13.88</v>
      </c>
      <c r="R43" s="120"/>
      <c r="S43" s="123">
        <f t="shared" si="4"/>
        <v>0</v>
      </c>
      <c r="T43" s="124">
        <f t="shared" ref="T43:U43" si="104">E43</f>
        <v>0</v>
      </c>
      <c r="U43" s="124">
        <f t="shared" si="104"/>
        <v>0</v>
      </c>
      <c r="V43" s="124">
        <f t="shared" ref="V43:X43" si="105">SUM(G43,P43)</f>
        <v>0</v>
      </c>
      <c r="W43" s="124">
        <f t="shared" si="105"/>
        <v>13.88</v>
      </c>
      <c r="X43" s="124">
        <f t="shared" si="105"/>
        <v>0</v>
      </c>
      <c r="Y43" s="125">
        <f t="shared" ref="Y43:AA43" si="106">J43</f>
        <v>0</v>
      </c>
      <c r="Z43" s="125">
        <f t="shared" si="106"/>
        <v>0</v>
      </c>
      <c r="AA43" s="125">
        <f t="shared" si="106"/>
        <v>0</v>
      </c>
      <c r="AB43" s="125">
        <f t="shared" si="9"/>
        <v>7.5120000000000005</v>
      </c>
      <c r="AC43" s="126">
        <f t="shared" ref="AC43:AL43" si="107">IF(S43 = 0, 0, S43/S$18)</f>
        <v>0</v>
      </c>
      <c r="AD43" s="127">
        <f t="shared" si="107"/>
        <v>0</v>
      </c>
      <c r="AE43" s="128">
        <f t="shared" si="107"/>
        <v>0</v>
      </c>
      <c r="AF43" s="128">
        <f t="shared" si="107"/>
        <v>0</v>
      </c>
      <c r="AG43" s="128">
        <f t="shared" si="107"/>
        <v>0.53384615384615386</v>
      </c>
      <c r="AH43" s="128">
        <f t="shared" si="107"/>
        <v>0</v>
      </c>
      <c r="AI43" s="128">
        <f t="shared" si="107"/>
        <v>0</v>
      </c>
      <c r="AJ43" s="128">
        <f t="shared" si="107"/>
        <v>0</v>
      </c>
      <c r="AK43" s="128">
        <f t="shared" si="107"/>
        <v>0</v>
      </c>
      <c r="AL43" s="128">
        <f t="shared" si="107"/>
        <v>0.75120000000000009</v>
      </c>
      <c r="AM43" s="129" t="e">
        <f>IF(OR(CSE4098C_Summer2026_Grade!$J29="W (Withdrawn)", CSE4098C_Summer2026_Grade!$J29="I (Incomplete)"), 0, IF(AC43&gt;=55%, 1, 0))</f>
        <v>#DIV/0!</v>
      </c>
      <c r="AN43" s="129" t="e">
        <f>IF(OR(CSE4098C_Summer2026_Grade!$J29="W (Withdrawn)", CSE4098C_Summer2026_Grade!$J29="I (Incomplete)"), 0, IF(AD43&gt;=55%, 1, 0))</f>
        <v>#DIV/0!</v>
      </c>
      <c r="AO43" s="129" t="e">
        <f>IF(OR(CSE4098C_Summer2026_Grade!$J29="W (Withdrawn)", CSE4098C_Summer2026_Grade!$J29="I (Incomplete)"), 0, IF(AE43&gt;=55%, 1, 0))</f>
        <v>#DIV/0!</v>
      </c>
      <c r="AP43" s="129" t="e">
        <f>IF(OR(CSE4098C_Summer2026_Grade!$J29="W (Withdrawn)", CSE4098C_Summer2026_Grade!$J29="I (Incomplete)"), 0, IF(AF43&gt;=55%, 1, 0))</f>
        <v>#DIV/0!</v>
      </c>
      <c r="AQ43" s="129" t="e">
        <f>IF(OR(CSE4098C_Summer2026_Grade!$J29="W (Withdrawn)", CSE4098C_Summer2026_Grade!$J29="I (Incomplete)"), 0, IF(AG43&gt;=55%, 1, 0))</f>
        <v>#DIV/0!</v>
      </c>
      <c r="AR43" s="129" t="e">
        <f>IF(OR(CSE4098C_Summer2026_Grade!$J29="W (Withdrawn)", CSE4098C_Summer2026_Grade!$J29="I (Incomplete)"), 0, IF(AH43&gt;=55%, 1, 0))</f>
        <v>#DIV/0!</v>
      </c>
      <c r="AS43" s="129" t="e">
        <f>IF(OR(CSE4098C_Summer2026_Grade!$J29="W (Withdrawn)", CSE4098C_Summer2026_Grade!$J29="I (Incomplete)"), 0, IF(AI43&gt;=55%, 1, 0))</f>
        <v>#DIV/0!</v>
      </c>
      <c r="AT43" s="129" t="e">
        <f>IF(OR(CSE4098C_Summer2026_Grade!$J29="W (Withdrawn)", CSE4098C_Summer2026_Grade!$J29="I (Incomplete)"), 0, IF(AJ43&gt;=55%, 1, 0))</f>
        <v>#DIV/0!</v>
      </c>
      <c r="AU43" s="129" t="e">
        <f>IF(OR(CSE4098C_Summer2026_Grade!$J29="W (Withdrawn)", CSE4098C_Summer2026_Grade!$J29="I (Incomplete)"), 0, IF(AK43&gt;=55%, 1, 0))</f>
        <v>#DIV/0!</v>
      </c>
      <c r="AV43" s="129" t="e">
        <f>IF(OR(CSE4098C_Summer2026_Grade!$J29="W (Withdrawn)", CSE4098C_Summer2026_Grade!$J29="I (Incomplete)"), 0, IF(AL43&gt;=55%, 1, 0))</f>
        <v>#DIV/0!</v>
      </c>
      <c r="AX43" s="130">
        <f t="array" ref="AX43">IF($AY$13=0,0,MMULT($AC43:$AL43, AY$3:AY$12)/$AY$13)</f>
        <v>0</v>
      </c>
      <c r="AY43" s="130">
        <f t="array" ref="AY43">IF($AZ$13=0,0,MMULT($AC43:$AL43, AZ$3:AZ$12)/$AZ$13)</f>
        <v>0</v>
      </c>
      <c r="AZ43" s="130">
        <f t="array" ref="AZ43">IF($BA$13=0,0,MMULT($AC43:$AL43, BA$3:BA$12)/$BA$13)</f>
        <v>0</v>
      </c>
      <c r="BA43" s="130">
        <f t="array" ref="BA43">IF($BB$13=0,0,MMULT($AC43:$AL43, BB$3:BB$12)/$BB$13)</f>
        <v>0.53384615384615386</v>
      </c>
      <c r="BB43" s="130">
        <f t="array" ref="BB43">IF($BC$13=0,0,MMULT($AC43:$AL43, BC$3:BC$12)/$BC$13)</f>
        <v>0</v>
      </c>
      <c r="BC43" s="130">
        <f t="array" ref="BC43">IF($BD$13=0,0,MMULT($AC43:$AL43, BD$3:BD$12)/$BD$13)</f>
        <v>0</v>
      </c>
      <c r="BD43" s="130">
        <f t="array" ref="BD43">IF($BE$13=0,0,MMULT($AC43:$AL43, BE$3:BE$12)/$BE$13)</f>
        <v>0</v>
      </c>
      <c r="BE43" s="130">
        <f t="array" ref="BE43">IF($BF$13=0,0,MMULT($AC43:$AL43, BF$3:BF$12)/$BF$13)</f>
        <v>0</v>
      </c>
      <c r="BF43" s="130">
        <f t="array" ref="BF43">IF($BG$13=0,0,MMULT($AC43:$AL43, BG$3:BG$12)/$BG$13)</f>
        <v>0</v>
      </c>
      <c r="BG43" s="130">
        <f t="array" ref="BG43">IF($BH$13=0,0,MMULT($AC43:$AL43, BH$3:BH$12)/$BH$13)</f>
        <v>0.75120000000000009</v>
      </c>
      <c r="BH43" s="130">
        <f t="array" ref="BH43">IF($BI$13=0,0,MMULT($AC43:$AL43, BI$3:BI$12)/$BI$13)</f>
        <v>0</v>
      </c>
      <c r="BI43" s="130">
        <f t="array" ref="BI43">IF($BJ$13=0,0,MMULT($AC43:$AL43, BJ$3:BJ$12)/$BJ$13)</f>
        <v>0</v>
      </c>
      <c r="BJ43" s="129" t="e">
        <f>IF(OR(CSE4098C_Summer2026_Grade!$J29="W (Withdrawn)", CSE4098C_Summer2026_Grade!$J29="I (Incomplete)"), 0, IF(AX43&gt;=55%, 1, 0))</f>
        <v>#DIV/0!</v>
      </c>
      <c r="BK43" s="129" t="e">
        <f>IF(OR(CSE4098C_Summer2026_Grade!$J29="W (Withdrawn)", CSE4098C_Summer2026_Grade!$J29="I (Incomplete)"), 0, IF(AY43&gt;=55%, 1, 0))</f>
        <v>#DIV/0!</v>
      </c>
      <c r="BL43" s="129" t="e">
        <f>IF(OR(CSE4098C_Summer2026_Grade!$J29="W (Withdrawn)", CSE4098C_Summer2026_Grade!$J29="I (Incomplete)"), 0, IF(AZ43&gt;=55%, 1, 0))</f>
        <v>#DIV/0!</v>
      </c>
      <c r="BM43" s="129" t="e">
        <f>IF(OR(CSE4098C_Summer2026_Grade!$J29="W (Withdrawn)", CSE4098C_Summer2026_Grade!$J29="I (Incomplete)"), 0, IF(BA43&gt;=55%, 1, 0))</f>
        <v>#DIV/0!</v>
      </c>
      <c r="BN43" s="129" t="e">
        <f>IF(OR(CSE4098C_Summer2026_Grade!$J29="W (Withdrawn)", CSE4098C_Summer2026_Grade!$J29="I (Incomplete)"), 0, IF(BB43&gt;=55%, 1, 0))</f>
        <v>#DIV/0!</v>
      </c>
      <c r="BO43" s="129" t="e">
        <f>IF(OR(CSE4098C_Summer2026_Grade!$J29="W (Withdrawn)", CSE4098C_Summer2026_Grade!$J29="I (Incomplete)"), 0, IF(BC43&gt;=55%, 1, 0))</f>
        <v>#DIV/0!</v>
      </c>
      <c r="BP43" s="129" t="e">
        <f>IF(OR(CSE4098C_Summer2026_Grade!$J29="W (Withdrawn)", CSE4098C_Summer2026_Grade!$J29="I (Incomplete)"), 0, IF(BD43&gt;=55%, 1, 0))</f>
        <v>#DIV/0!</v>
      </c>
      <c r="BQ43" s="129" t="e">
        <f>IF(OR(CSE4098C_Summer2026_Grade!$J29="W (Withdrawn)", CSE4098C_Summer2026_Grade!$J29="I (Incomplete)"), 0, IF(BE43&gt;=55%, 1, 0))</f>
        <v>#DIV/0!</v>
      </c>
      <c r="BR43" s="129" t="e">
        <f>IF(OR(CSE4098C_Summer2026_Grade!$J29="W (Withdrawn)", CSE4098C_Summer2026_Grade!$J29="I (Incomplete)"), 0, IF(BF43&gt;=55%, 1, 0))</f>
        <v>#DIV/0!</v>
      </c>
      <c r="BS43" s="129" t="e">
        <f>IF(OR(CSE4098C_Summer2026_Grade!$J29="W (Withdrawn)", CSE4098C_Summer2026_Grade!$J29="I (Incomplete)"), 0, IF(BG43&gt;=55%, 1, 0))</f>
        <v>#DIV/0!</v>
      </c>
      <c r="BT43" s="129" t="e">
        <f>IF(OR(CSE4098C_Summer2026_Grade!$J29="W (Withdrawn)", CSE4098C_Summer2026_Grade!$J29="I (Incomplete)"), 0, IF(BH43&gt;=55%, 1, 0))</f>
        <v>#DIV/0!</v>
      </c>
      <c r="BU43" s="129" t="e">
        <f>IF(OR(CSE4098C_Summer2026_Grade!$J29="W (Withdrawn)", CSE4098C_Summer2026_Grade!$J29="I (Incomplete)"), 0, IF(BI43&gt;=55%, 1, 0))</f>
        <v>#DIV/0!</v>
      </c>
    </row>
    <row r="44" spans="1:73" ht="12.75" customHeight="1" thickBot="1">
      <c r="A44" s="118">
        <f t="shared" si="11"/>
        <v>26</v>
      </c>
      <c r="B44" s="225">
        <v>223014213</v>
      </c>
      <c r="C44" s="227" t="s">
        <v>228</v>
      </c>
      <c r="D44" s="119">
        <f>CO_Report_Evaluation!AG29</f>
        <v>0</v>
      </c>
      <c r="E44" s="119">
        <f>CO_Report_Evaluation!AH29</f>
        <v>0</v>
      </c>
      <c r="F44" s="119">
        <f>CO_Report_Evaluation!AI29</f>
        <v>0</v>
      </c>
      <c r="G44" s="119">
        <f>CO_Report_Evaluation!AJ29</f>
        <v>0</v>
      </c>
      <c r="H44" s="119">
        <f>CO_Report_Evaluation!AK29</f>
        <v>0</v>
      </c>
      <c r="I44" s="119">
        <f>CO_Report_Evaluation!AL29</f>
        <v>0</v>
      </c>
      <c r="J44" s="119">
        <f>CO_Report_Evaluation!AM29</f>
        <v>0</v>
      </c>
      <c r="K44" s="119">
        <f>CO_Report_Evaluation!AN29</f>
        <v>0</v>
      </c>
      <c r="L44" s="119">
        <f>CSE4098C_Summer2026_Grade!G30</f>
        <v>0</v>
      </c>
      <c r="M44" s="119"/>
      <c r="N44" s="33">
        <f>((CSE4098C_Summer2026_Grade!E30)*10)/25</f>
        <v>8.8000000000000007</v>
      </c>
      <c r="O44" s="120"/>
      <c r="P44" s="121"/>
      <c r="Q44" s="122">
        <v>13.88</v>
      </c>
      <c r="R44" s="120"/>
      <c r="S44" s="123">
        <f t="shared" si="4"/>
        <v>0</v>
      </c>
      <c r="T44" s="124">
        <f t="shared" ref="T44:U44" si="108">E44</f>
        <v>0</v>
      </c>
      <c r="U44" s="124">
        <f t="shared" si="108"/>
        <v>0</v>
      </c>
      <c r="V44" s="124">
        <f t="shared" ref="V44:X44" si="109">SUM(G44,P44)</f>
        <v>0</v>
      </c>
      <c r="W44" s="124">
        <f t="shared" si="109"/>
        <v>13.88</v>
      </c>
      <c r="X44" s="124">
        <f t="shared" si="109"/>
        <v>0</v>
      </c>
      <c r="Y44" s="125">
        <f t="shared" ref="Y44:AA44" si="110">J44</f>
        <v>0</v>
      </c>
      <c r="Z44" s="125">
        <f t="shared" si="110"/>
        <v>0</v>
      </c>
      <c r="AA44" s="125">
        <f t="shared" si="110"/>
        <v>0</v>
      </c>
      <c r="AB44" s="125">
        <f t="shared" si="9"/>
        <v>8.8000000000000007</v>
      </c>
      <c r="AC44" s="126">
        <f t="shared" ref="AC44:AL44" si="111">IF(S44 = 0, 0, S44/S$18)</f>
        <v>0</v>
      </c>
      <c r="AD44" s="127">
        <f t="shared" si="111"/>
        <v>0</v>
      </c>
      <c r="AE44" s="128">
        <f t="shared" si="111"/>
        <v>0</v>
      </c>
      <c r="AF44" s="128">
        <f t="shared" si="111"/>
        <v>0</v>
      </c>
      <c r="AG44" s="128">
        <f t="shared" si="111"/>
        <v>0.53384615384615386</v>
      </c>
      <c r="AH44" s="128">
        <f t="shared" si="111"/>
        <v>0</v>
      </c>
      <c r="AI44" s="128">
        <f t="shared" si="111"/>
        <v>0</v>
      </c>
      <c r="AJ44" s="128">
        <f t="shared" si="111"/>
        <v>0</v>
      </c>
      <c r="AK44" s="128">
        <f t="shared" si="111"/>
        <v>0</v>
      </c>
      <c r="AL44" s="128">
        <f t="shared" si="111"/>
        <v>0.88000000000000012</v>
      </c>
      <c r="AM44" s="129" t="e">
        <f>IF(OR(CSE4098C_Summer2026_Grade!$J30="W (Withdrawn)", CSE4098C_Summer2026_Grade!$J30="I (Incomplete)"), 0, IF(AC44&gt;=55%, 1, 0))</f>
        <v>#DIV/0!</v>
      </c>
      <c r="AN44" s="129" t="e">
        <f>IF(OR(CSE4098C_Summer2026_Grade!$J30="W (Withdrawn)", CSE4098C_Summer2026_Grade!$J30="I (Incomplete)"), 0, IF(AD44&gt;=55%, 1, 0))</f>
        <v>#DIV/0!</v>
      </c>
      <c r="AO44" s="129" t="e">
        <f>IF(OR(CSE4098C_Summer2026_Grade!$J30="W (Withdrawn)", CSE4098C_Summer2026_Grade!$J30="I (Incomplete)"), 0, IF(AE44&gt;=55%, 1, 0))</f>
        <v>#DIV/0!</v>
      </c>
      <c r="AP44" s="129" t="e">
        <f>IF(OR(CSE4098C_Summer2026_Grade!$J30="W (Withdrawn)", CSE4098C_Summer2026_Grade!$J30="I (Incomplete)"), 0, IF(AF44&gt;=55%, 1, 0))</f>
        <v>#DIV/0!</v>
      </c>
      <c r="AQ44" s="129" t="e">
        <f>IF(OR(CSE4098C_Summer2026_Grade!$J30="W (Withdrawn)", CSE4098C_Summer2026_Grade!$J30="I (Incomplete)"), 0, IF(AG44&gt;=55%, 1, 0))</f>
        <v>#DIV/0!</v>
      </c>
      <c r="AR44" s="129" t="e">
        <f>IF(OR(CSE4098C_Summer2026_Grade!$J30="W (Withdrawn)", CSE4098C_Summer2026_Grade!$J30="I (Incomplete)"), 0, IF(AH44&gt;=55%, 1, 0))</f>
        <v>#DIV/0!</v>
      </c>
      <c r="AS44" s="129" t="e">
        <f>IF(OR(CSE4098C_Summer2026_Grade!$J30="W (Withdrawn)", CSE4098C_Summer2026_Grade!$J30="I (Incomplete)"), 0, IF(AI44&gt;=55%, 1, 0))</f>
        <v>#DIV/0!</v>
      </c>
      <c r="AT44" s="129" t="e">
        <f>IF(OR(CSE4098C_Summer2026_Grade!$J30="W (Withdrawn)", CSE4098C_Summer2026_Grade!$J30="I (Incomplete)"), 0, IF(AJ44&gt;=55%, 1, 0))</f>
        <v>#DIV/0!</v>
      </c>
      <c r="AU44" s="129" t="e">
        <f>IF(OR(CSE4098C_Summer2026_Grade!$J30="W (Withdrawn)", CSE4098C_Summer2026_Grade!$J30="I (Incomplete)"), 0, IF(AK44&gt;=55%, 1, 0))</f>
        <v>#DIV/0!</v>
      </c>
      <c r="AV44" s="129" t="e">
        <f>IF(OR(CSE4098C_Summer2026_Grade!$J30="W (Withdrawn)", CSE4098C_Summer2026_Grade!$J30="I (Incomplete)"), 0, IF(AL44&gt;=55%, 1, 0))</f>
        <v>#DIV/0!</v>
      </c>
      <c r="AX44" s="130">
        <f t="array" ref="AX44">IF($AY$13=0,0,MMULT($AC44:$AL44, AY$3:AY$12)/$AY$13)</f>
        <v>0</v>
      </c>
      <c r="AY44" s="130">
        <f t="array" ref="AY44">IF($AZ$13=0,0,MMULT($AC44:$AL44, AZ$3:AZ$12)/$AZ$13)</f>
        <v>0</v>
      </c>
      <c r="AZ44" s="130">
        <f t="array" ref="AZ44">IF($BA$13=0,0,MMULT($AC44:$AL44, BA$3:BA$12)/$BA$13)</f>
        <v>0</v>
      </c>
      <c r="BA44" s="130">
        <f t="array" ref="BA44">IF($BB$13=0,0,MMULT($AC44:$AL44, BB$3:BB$12)/$BB$13)</f>
        <v>0.53384615384615386</v>
      </c>
      <c r="BB44" s="130">
        <f t="array" ref="BB44">IF($BC$13=0,0,MMULT($AC44:$AL44, BC$3:BC$12)/$BC$13)</f>
        <v>0</v>
      </c>
      <c r="BC44" s="130">
        <f t="array" ref="BC44">IF($BD$13=0,0,MMULT($AC44:$AL44, BD$3:BD$12)/$BD$13)</f>
        <v>0</v>
      </c>
      <c r="BD44" s="130">
        <f t="array" ref="BD44">IF($BE$13=0,0,MMULT($AC44:$AL44, BE$3:BE$12)/$BE$13)</f>
        <v>0</v>
      </c>
      <c r="BE44" s="130">
        <f t="array" ref="BE44">IF($BF$13=0,0,MMULT($AC44:$AL44, BF$3:BF$12)/$BF$13)</f>
        <v>0</v>
      </c>
      <c r="BF44" s="130">
        <f t="array" ref="BF44">IF($BG$13=0,0,MMULT($AC44:$AL44, BG$3:BG$12)/$BG$13)</f>
        <v>0</v>
      </c>
      <c r="BG44" s="130">
        <f t="array" ref="BG44">IF($BH$13=0,0,MMULT($AC44:$AL44, BH$3:BH$12)/$BH$13)</f>
        <v>0.88000000000000012</v>
      </c>
      <c r="BH44" s="130">
        <f t="array" ref="BH44">IF($BI$13=0,0,MMULT($AC44:$AL44, BI$3:BI$12)/$BI$13)</f>
        <v>0</v>
      </c>
      <c r="BI44" s="130">
        <f t="array" ref="BI44">IF($BJ$13=0,0,MMULT($AC44:$AL44, BJ$3:BJ$12)/$BJ$13)</f>
        <v>0</v>
      </c>
      <c r="BJ44" s="129" t="e">
        <f>IF(OR(CSE4098C_Summer2026_Grade!$J30="W (Withdrawn)", CSE4098C_Summer2026_Grade!$J30="I (Incomplete)"), 0, IF(AX44&gt;=55%, 1, 0))</f>
        <v>#DIV/0!</v>
      </c>
      <c r="BK44" s="129" t="e">
        <f>IF(OR(CSE4098C_Summer2026_Grade!$J30="W (Withdrawn)", CSE4098C_Summer2026_Grade!$J30="I (Incomplete)"), 0, IF(AY44&gt;=55%, 1, 0))</f>
        <v>#DIV/0!</v>
      </c>
      <c r="BL44" s="129" t="e">
        <f>IF(OR(CSE4098C_Summer2026_Grade!$J30="W (Withdrawn)", CSE4098C_Summer2026_Grade!$J30="I (Incomplete)"), 0, IF(AZ44&gt;=55%, 1, 0))</f>
        <v>#DIV/0!</v>
      </c>
      <c r="BM44" s="129" t="e">
        <f>IF(OR(CSE4098C_Summer2026_Grade!$J30="W (Withdrawn)", CSE4098C_Summer2026_Grade!$J30="I (Incomplete)"), 0, IF(BA44&gt;=55%, 1, 0))</f>
        <v>#DIV/0!</v>
      </c>
      <c r="BN44" s="129" t="e">
        <f>IF(OR(CSE4098C_Summer2026_Grade!$J30="W (Withdrawn)", CSE4098C_Summer2026_Grade!$J30="I (Incomplete)"), 0, IF(BB44&gt;=55%, 1, 0))</f>
        <v>#DIV/0!</v>
      </c>
      <c r="BO44" s="129" t="e">
        <f>IF(OR(CSE4098C_Summer2026_Grade!$J30="W (Withdrawn)", CSE4098C_Summer2026_Grade!$J30="I (Incomplete)"), 0, IF(BC44&gt;=55%, 1, 0))</f>
        <v>#DIV/0!</v>
      </c>
      <c r="BP44" s="129" t="e">
        <f>IF(OR(CSE4098C_Summer2026_Grade!$J30="W (Withdrawn)", CSE4098C_Summer2026_Grade!$J30="I (Incomplete)"), 0, IF(BD44&gt;=55%, 1, 0))</f>
        <v>#DIV/0!</v>
      </c>
      <c r="BQ44" s="129" t="e">
        <f>IF(OR(CSE4098C_Summer2026_Grade!$J30="W (Withdrawn)", CSE4098C_Summer2026_Grade!$J30="I (Incomplete)"), 0, IF(BE44&gt;=55%, 1, 0))</f>
        <v>#DIV/0!</v>
      </c>
      <c r="BR44" s="129" t="e">
        <f>IF(OR(CSE4098C_Summer2026_Grade!$J30="W (Withdrawn)", CSE4098C_Summer2026_Grade!$J30="I (Incomplete)"), 0, IF(BF44&gt;=55%, 1, 0))</f>
        <v>#DIV/0!</v>
      </c>
      <c r="BS44" s="129" t="e">
        <f>IF(OR(CSE4098C_Summer2026_Grade!$J30="W (Withdrawn)", CSE4098C_Summer2026_Grade!$J30="I (Incomplete)"), 0, IF(BG44&gt;=55%, 1, 0))</f>
        <v>#DIV/0!</v>
      </c>
      <c r="BT44" s="129" t="e">
        <f>IF(OR(CSE4098C_Summer2026_Grade!$J30="W (Withdrawn)", CSE4098C_Summer2026_Grade!$J30="I (Incomplete)"), 0, IF(BH44&gt;=55%, 1, 0))</f>
        <v>#DIV/0!</v>
      </c>
      <c r="BU44" s="129" t="e">
        <f>IF(OR(CSE4098C_Summer2026_Grade!$J30="W (Withdrawn)", CSE4098C_Summer2026_Grade!$J30="I (Incomplete)"), 0, IF(BI44&gt;=55%, 1, 0))</f>
        <v>#DIV/0!</v>
      </c>
    </row>
    <row r="45" spans="1:73" ht="12.75" customHeight="1" thickBot="1">
      <c r="A45" s="118">
        <f t="shared" si="11"/>
        <v>27</v>
      </c>
      <c r="B45" s="224">
        <v>223014078</v>
      </c>
      <c r="C45" s="224" t="s">
        <v>229</v>
      </c>
      <c r="D45" s="119">
        <f>CO_Report_Evaluation!AG30</f>
        <v>0</v>
      </c>
      <c r="E45" s="119">
        <f>CO_Report_Evaluation!AH30</f>
        <v>0</v>
      </c>
      <c r="F45" s="119">
        <f>CO_Report_Evaluation!AI30</f>
        <v>0</v>
      </c>
      <c r="G45" s="119">
        <f>CO_Report_Evaluation!AJ30</f>
        <v>0</v>
      </c>
      <c r="H45" s="119">
        <f>CO_Report_Evaluation!AK30</f>
        <v>0</v>
      </c>
      <c r="I45" s="119">
        <f>CO_Report_Evaluation!AL30</f>
        <v>0</v>
      </c>
      <c r="J45" s="119">
        <f>CO_Report_Evaluation!AM30</f>
        <v>0</v>
      </c>
      <c r="K45" s="119">
        <f>CO_Report_Evaluation!AN30</f>
        <v>0</v>
      </c>
      <c r="L45" s="119">
        <f>CSE4098C_Summer2026_Grade!G31</f>
        <v>0</v>
      </c>
      <c r="M45" s="119"/>
      <c r="N45" s="33">
        <f>((CSE4098C_Summer2026_Grade!E31)*10)/25</f>
        <v>9.3800000000000008</v>
      </c>
      <c r="O45" s="120"/>
      <c r="P45" s="121"/>
      <c r="Q45" s="122">
        <v>13.329999999999998</v>
      </c>
      <c r="R45" s="120"/>
      <c r="S45" s="123">
        <f t="shared" si="4"/>
        <v>0</v>
      </c>
      <c r="T45" s="124">
        <f t="shared" ref="T45:U45" si="112">E45</f>
        <v>0</v>
      </c>
      <c r="U45" s="124">
        <f t="shared" si="112"/>
        <v>0</v>
      </c>
      <c r="V45" s="124">
        <f t="shared" ref="V45:X45" si="113">SUM(G45,P45)</f>
        <v>0</v>
      </c>
      <c r="W45" s="124">
        <f t="shared" si="113"/>
        <v>13.329999999999998</v>
      </c>
      <c r="X45" s="124">
        <f t="shared" si="113"/>
        <v>0</v>
      </c>
      <c r="Y45" s="125">
        <f t="shared" ref="Y45:AA45" si="114">J45</f>
        <v>0</v>
      </c>
      <c r="Z45" s="125">
        <f t="shared" si="114"/>
        <v>0</v>
      </c>
      <c r="AA45" s="125">
        <f t="shared" si="114"/>
        <v>0</v>
      </c>
      <c r="AB45" s="125">
        <f t="shared" si="9"/>
        <v>9.3800000000000008</v>
      </c>
      <c r="AC45" s="126">
        <f t="shared" ref="AC45:AL45" si="115">IF(S45 = 0, 0, S45/S$18)</f>
        <v>0</v>
      </c>
      <c r="AD45" s="127">
        <f t="shared" si="115"/>
        <v>0</v>
      </c>
      <c r="AE45" s="128">
        <f t="shared" si="115"/>
        <v>0</v>
      </c>
      <c r="AF45" s="128">
        <f t="shared" si="115"/>
        <v>0</v>
      </c>
      <c r="AG45" s="128">
        <f t="shared" si="115"/>
        <v>0.51269230769230767</v>
      </c>
      <c r="AH45" s="128">
        <f t="shared" si="115"/>
        <v>0</v>
      </c>
      <c r="AI45" s="128">
        <f t="shared" si="115"/>
        <v>0</v>
      </c>
      <c r="AJ45" s="128">
        <f t="shared" si="115"/>
        <v>0</v>
      </c>
      <c r="AK45" s="128">
        <f t="shared" si="115"/>
        <v>0</v>
      </c>
      <c r="AL45" s="128">
        <f t="shared" si="115"/>
        <v>0.93800000000000006</v>
      </c>
      <c r="AM45" s="129" t="e">
        <f>IF(OR(CSE4098C_Summer2026_Grade!$J31="W (Withdrawn)", CSE4098C_Summer2026_Grade!$J31="I (Incomplete)"), 0, IF(AC45&gt;=55%, 1, 0))</f>
        <v>#DIV/0!</v>
      </c>
      <c r="AN45" s="129" t="e">
        <f>IF(OR(CSE4098C_Summer2026_Grade!$J31="W (Withdrawn)", CSE4098C_Summer2026_Grade!$J31="I (Incomplete)"), 0, IF(AD45&gt;=55%, 1, 0))</f>
        <v>#DIV/0!</v>
      </c>
      <c r="AO45" s="129" t="e">
        <f>IF(OR(CSE4098C_Summer2026_Grade!$J31="W (Withdrawn)", CSE4098C_Summer2026_Grade!$J31="I (Incomplete)"), 0, IF(AE45&gt;=55%, 1, 0))</f>
        <v>#DIV/0!</v>
      </c>
      <c r="AP45" s="129" t="e">
        <f>IF(OR(CSE4098C_Summer2026_Grade!$J31="W (Withdrawn)", CSE4098C_Summer2026_Grade!$J31="I (Incomplete)"), 0, IF(AF45&gt;=55%, 1, 0))</f>
        <v>#DIV/0!</v>
      </c>
      <c r="AQ45" s="129" t="e">
        <f>IF(OR(CSE4098C_Summer2026_Grade!$J31="W (Withdrawn)", CSE4098C_Summer2026_Grade!$J31="I (Incomplete)"), 0, IF(AG45&gt;=55%, 1, 0))</f>
        <v>#DIV/0!</v>
      </c>
      <c r="AR45" s="129" t="e">
        <f>IF(OR(CSE4098C_Summer2026_Grade!$J31="W (Withdrawn)", CSE4098C_Summer2026_Grade!$J31="I (Incomplete)"), 0, IF(AH45&gt;=55%, 1, 0))</f>
        <v>#DIV/0!</v>
      </c>
      <c r="AS45" s="129" t="e">
        <f>IF(OR(CSE4098C_Summer2026_Grade!$J31="W (Withdrawn)", CSE4098C_Summer2026_Grade!$J31="I (Incomplete)"), 0, IF(AI45&gt;=55%, 1, 0))</f>
        <v>#DIV/0!</v>
      </c>
      <c r="AT45" s="129" t="e">
        <f>IF(OR(CSE4098C_Summer2026_Grade!$J31="W (Withdrawn)", CSE4098C_Summer2026_Grade!$J31="I (Incomplete)"), 0, IF(AJ45&gt;=55%, 1, 0))</f>
        <v>#DIV/0!</v>
      </c>
      <c r="AU45" s="129" t="e">
        <f>IF(OR(CSE4098C_Summer2026_Grade!$J31="W (Withdrawn)", CSE4098C_Summer2026_Grade!$J31="I (Incomplete)"), 0, IF(AK45&gt;=55%, 1, 0))</f>
        <v>#DIV/0!</v>
      </c>
      <c r="AV45" s="129" t="e">
        <f>IF(OR(CSE4098C_Summer2026_Grade!$J31="W (Withdrawn)", CSE4098C_Summer2026_Grade!$J31="I (Incomplete)"), 0, IF(AL45&gt;=55%, 1, 0))</f>
        <v>#DIV/0!</v>
      </c>
      <c r="AX45" s="130">
        <f t="array" ref="AX45">IF($AY$13=0,0,MMULT($AC45:$AL45, AY$3:AY$12)/$AY$13)</f>
        <v>0</v>
      </c>
      <c r="AY45" s="130">
        <f t="array" ref="AY45">IF($AZ$13=0,0,MMULT($AC45:$AL45, AZ$3:AZ$12)/$AZ$13)</f>
        <v>0</v>
      </c>
      <c r="AZ45" s="130">
        <f t="array" ref="AZ45">IF($BA$13=0,0,MMULT($AC45:$AL45, BA$3:BA$12)/$BA$13)</f>
        <v>0</v>
      </c>
      <c r="BA45" s="130">
        <f t="array" ref="BA45">IF($BB$13=0,0,MMULT($AC45:$AL45, BB$3:BB$12)/$BB$13)</f>
        <v>0.51269230769230767</v>
      </c>
      <c r="BB45" s="130">
        <f t="array" ref="BB45">IF($BC$13=0,0,MMULT($AC45:$AL45, BC$3:BC$12)/$BC$13)</f>
        <v>0</v>
      </c>
      <c r="BC45" s="130">
        <f t="array" ref="BC45">IF($BD$13=0,0,MMULT($AC45:$AL45, BD$3:BD$12)/$BD$13)</f>
        <v>0</v>
      </c>
      <c r="BD45" s="130">
        <f t="array" ref="BD45">IF($BE$13=0,0,MMULT($AC45:$AL45, BE$3:BE$12)/$BE$13)</f>
        <v>0</v>
      </c>
      <c r="BE45" s="130">
        <f t="array" ref="BE45">IF($BF$13=0,0,MMULT($AC45:$AL45, BF$3:BF$12)/$BF$13)</f>
        <v>0</v>
      </c>
      <c r="BF45" s="130">
        <f t="array" ref="BF45">IF($BG$13=0,0,MMULT($AC45:$AL45, BG$3:BG$12)/$BG$13)</f>
        <v>0</v>
      </c>
      <c r="BG45" s="130">
        <f t="array" ref="BG45">IF($BH$13=0,0,MMULT($AC45:$AL45, BH$3:BH$12)/$BH$13)</f>
        <v>0.93800000000000006</v>
      </c>
      <c r="BH45" s="130">
        <f t="array" ref="BH45">IF($BI$13=0,0,MMULT($AC45:$AL45, BI$3:BI$12)/$BI$13)</f>
        <v>0</v>
      </c>
      <c r="BI45" s="130">
        <f t="array" ref="BI45">IF($BJ$13=0,0,MMULT($AC45:$AL45, BJ$3:BJ$12)/$BJ$13)</f>
        <v>0</v>
      </c>
      <c r="BJ45" s="129" t="e">
        <f>IF(OR(CSE4098C_Summer2026_Grade!$J31="W (Withdrawn)", CSE4098C_Summer2026_Grade!$J31="I (Incomplete)"), 0, IF(AX45&gt;=55%, 1, 0))</f>
        <v>#DIV/0!</v>
      </c>
      <c r="BK45" s="129" t="e">
        <f>IF(OR(CSE4098C_Summer2026_Grade!$J31="W (Withdrawn)", CSE4098C_Summer2026_Grade!$J31="I (Incomplete)"), 0, IF(AY45&gt;=55%, 1, 0))</f>
        <v>#DIV/0!</v>
      </c>
      <c r="BL45" s="129" t="e">
        <f>IF(OR(CSE4098C_Summer2026_Grade!$J31="W (Withdrawn)", CSE4098C_Summer2026_Grade!$J31="I (Incomplete)"), 0, IF(AZ45&gt;=55%, 1, 0))</f>
        <v>#DIV/0!</v>
      </c>
      <c r="BM45" s="129" t="e">
        <f>IF(OR(CSE4098C_Summer2026_Grade!$J31="W (Withdrawn)", CSE4098C_Summer2026_Grade!$J31="I (Incomplete)"), 0, IF(BA45&gt;=55%, 1, 0))</f>
        <v>#DIV/0!</v>
      </c>
      <c r="BN45" s="129" t="e">
        <f>IF(OR(CSE4098C_Summer2026_Grade!$J31="W (Withdrawn)", CSE4098C_Summer2026_Grade!$J31="I (Incomplete)"), 0, IF(BB45&gt;=55%, 1, 0))</f>
        <v>#DIV/0!</v>
      </c>
      <c r="BO45" s="129" t="e">
        <f>IF(OR(CSE4098C_Summer2026_Grade!$J31="W (Withdrawn)", CSE4098C_Summer2026_Grade!$J31="I (Incomplete)"), 0, IF(BC45&gt;=55%, 1, 0))</f>
        <v>#DIV/0!</v>
      </c>
      <c r="BP45" s="129" t="e">
        <f>IF(OR(CSE4098C_Summer2026_Grade!$J31="W (Withdrawn)", CSE4098C_Summer2026_Grade!$J31="I (Incomplete)"), 0, IF(BD45&gt;=55%, 1, 0))</f>
        <v>#DIV/0!</v>
      </c>
      <c r="BQ45" s="129" t="e">
        <f>IF(OR(CSE4098C_Summer2026_Grade!$J31="W (Withdrawn)", CSE4098C_Summer2026_Grade!$J31="I (Incomplete)"), 0, IF(BE45&gt;=55%, 1, 0))</f>
        <v>#DIV/0!</v>
      </c>
      <c r="BR45" s="129" t="e">
        <f>IF(OR(CSE4098C_Summer2026_Grade!$J31="W (Withdrawn)", CSE4098C_Summer2026_Grade!$J31="I (Incomplete)"), 0, IF(BF45&gt;=55%, 1, 0))</f>
        <v>#DIV/0!</v>
      </c>
      <c r="BS45" s="129" t="e">
        <f>IF(OR(CSE4098C_Summer2026_Grade!$J31="W (Withdrawn)", CSE4098C_Summer2026_Grade!$J31="I (Incomplete)"), 0, IF(BG45&gt;=55%, 1, 0))</f>
        <v>#DIV/0!</v>
      </c>
      <c r="BT45" s="129" t="e">
        <f>IF(OR(CSE4098C_Summer2026_Grade!$J31="W (Withdrawn)", CSE4098C_Summer2026_Grade!$J31="I (Incomplete)"), 0, IF(BH45&gt;=55%, 1, 0))</f>
        <v>#DIV/0!</v>
      </c>
      <c r="BU45" s="129" t="e">
        <f>IF(OR(CSE4098C_Summer2026_Grade!$J31="W (Withdrawn)", CSE4098C_Summer2026_Grade!$J31="I (Incomplete)"), 0, IF(BI45&gt;=55%, 1, 0))</f>
        <v>#DIV/0!</v>
      </c>
    </row>
    <row r="46" spans="1:73" ht="12.75" customHeight="1" thickBot="1">
      <c r="A46" s="118">
        <f t="shared" si="11"/>
        <v>28</v>
      </c>
      <c r="B46" s="226">
        <v>223014212</v>
      </c>
      <c r="C46" s="224" t="s">
        <v>230</v>
      </c>
      <c r="D46" s="119">
        <f>CO_Report_Evaluation!AG31</f>
        <v>0</v>
      </c>
      <c r="E46" s="119">
        <f>CO_Report_Evaluation!AH31</f>
        <v>0</v>
      </c>
      <c r="F46" s="119">
        <f>CO_Report_Evaluation!AI31</f>
        <v>0</v>
      </c>
      <c r="G46" s="119">
        <f>CO_Report_Evaluation!AJ31</f>
        <v>0</v>
      </c>
      <c r="H46" s="119">
        <f>CO_Report_Evaluation!AK31</f>
        <v>0</v>
      </c>
      <c r="I46" s="119">
        <f>CO_Report_Evaluation!AL31</f>
        <v>0</v>
      </c>
      <c r="J46" s="119">
        <f>CO_Report_Evaluation!AM31</f>
        <v>0</v>
      </c>
      <c r="K46" s="119">
        <f>CO_Report_Evaluation!AN31</f>
        <v>0</v>
      </c>
      <c r="L46" s="119">
        <f>CSE4098C_Summer2026_Grade!G32</f>
        <v>0</v>
      </c>
      <c r="M46" s="119"/>
      <c r="N46" s="33">
        <f>((CSE4098C_Summer2026_Grade!E32)*10)/25</f>
        <v>9.5279999999999987</v>
      </c>
      <c r="O46" s="120"/>
      <c r="P46" s="121"/>
      <c r="Q46" s="122">
        <v>13.329999999999998</v>
      </c>
      <c r="R46" s="120"/>
      <c r="S46" s="123">
        <f t="shared" si="4"/>
        <v>0</v>
      </c>
      <c r="T46" s="124">
        <f t="shared" ref="T46:U46" si="116">E46</f>
        <v>0</v>
      </c>
      <c r="U46" s="124">
        <f t="shared" si="116"/>
        <v>0</v>
      </c>
      <c r="V46" s="124">
        <f t="shared" ref="V46:X46" si="117">SUM(G46,P46)</f>
        <v>0</v>
      </c>
      <c r="W46" s="124">
        <f t="shared" si="117"/>
        <v>13.329999999999998</v>
      </c>
      <c r="X46" s="124">
        <f t="shared" si="117"/>
        <v>0</v>
      </c>
      <c r="Y46" s="125">
        <f t="shared" ref="Y46:AA46" si="118">J46</f>
        <v>0</v>
      </c>
      <c r="Z46" s="125">
        <f t="shared" si="118"/>
        <v>0</v>
      </c>
      <c r="AA46" s="125">
        <f t="shared" si="118"/>
        <v>0</v>
      </c>
      <c r="AB46" s="125">
        <f t="shared" si="9"/>
        <v>9.5279999999999987</v>
      </c>
      <c r="AC46" s="126">
        <f t="shared" ref="AC46:AL46" si="119">IF(S46 = 0, 0, S46/S$18)</f>
        <v>0</v>
      </c>
      <c r="AD46" s="127">
        <f t="shared" si="119"/>
        <v>0</v>
      </c>
      <c r="AE46" s="128">
        <f t="shared" si="119"/>
        <v>0</v>
      </c>
      <c r="AF46" s="128">
        <f t="shared" si="119"/>
        <v>0</v>
      </c>
      <c r="AG46" s="128">
        <f t="shared" si="119"/>
        <v>0.51269230769230767</v>
      </c>
      <c r="AH46" s="128">
        <f t="shared" si="119"/>
        <v>0</v>
      </c>
      <c r="AI46" s="128">
        <f t="shared" si="119"/>
        <v>0</v>
      </c>
      <c r="AJ46" s="128">
        <f t="shared" si="119"/>
        <v>0</v>
      </c>
      <c r="AK46" s="128">
        <f t="shared" si="119"/>
        <v>0</v>
      </c>
      <c r="AL46" s="128">
        <f t="shared" si="119"/>
        <v>0.95279999999999987</v>
      </c>
      <c r="AM46" s="129" t="e">
        <f>IF(OR(CSE4098C_Summer2026_Grade!$J32="W (Withdrawn)", CSE4098C_Summer2026_Grade!$J32="I (Incomplete)"), 0, IF(AC46&gt;=55%, 1, 0))</f>
        <v>#DIV/0!</v>
      </c>
      <c r="AN46" s="129" t="e">
        <f>IF(OR(CSE4098C_Summer2026_Grade!$J32="W (Withdrawn)", CSE4098C_Summer2026_Grade!$J32="I (Incomplete)"), 0, IF(AD46&gt;=55%, 1, 0))</f>
        <v>#DIV/0!</v>
      </c>
      <c r="AO46" s="129" t="e">
        <f>IF(OR(CSE4098C_Summer2026_Grade!$J32="W (Withdrawn)", CSE4098C_Summer2026_Grade!$J32="I (Incomplete)"), 0, IF(AE46&gt;=55%, 1, 0))</f>
        <v>#DIV/0!</v>
      </c>
      <c r="AP46" s="129" t="e">
        <f>IF(OR(CSE4098C_Summer2026_Grade!$J32="W (Withdrawn)", CSE4098C_Summer2026_Grade!$J32="I (Incomplete)"), 0, IF(AF46&gt;=55%, 1, 0))</f>
        <v>#DIV/0!</v>
      </c>
      <c r="AQ46" s="129" t="e">
        <f>IF(OR(CSE4098C_Summer2026_Grade!$J32="W (Withdrawn)", CSE4098C_Summer2026_Grade!$J32="I (Incomplete)"), 0, IF(AG46&gt;=55%, 1, 0))</f>
        <v>#DIV/0!</v>
      </c>
      <c r="AR46" s="129" t="e">
        <f>IF(OR(CSE4098C_Summer2026_Grade!$J32="W (Withdrawn)", CSE4098C_Summer2026_Grade!$J32="I (Incomplete)"), 0, IF(AH46&gt;=55%, 1, 0))</f>
        <v>#DIV/0!</v>
      </c>
      <c r="AS46" s="129" t="e">
        <f>IF(OR(CSE4098C_Summer2026_Grade!$J32="W (Withdrawn)", CSE4098C_Summer2026_Grade!$J32="I (Incomplete)"), 0, IF(AI46&gt;=55%, 1, 0))</f>
        <v>#DIV/0!</v>
      </c>
      <c r="AT46" s="129" t="e">
        <f>IF(OR(CSE4098C_Summer2026_Grade!$J32="W (Withdrawn)", CSE4098C_Summer2026_Grade!$J32="I (Incomplete)"), 0, IF(AJ46&gt;=55%, 1, 0))</f>
        <v>#DIV/0!</v>
      </c>
      <c r="AU46" s="129" t="e">
        <f>IF(OR(CSE4098C_Summer2026_Grade!$J32="W (Withdrawn)", CSE4098C_Summer2026_Grade!$J32="I (Incomplete)"), 0, IF(AK46&gt;=55%, 1, 0))</f>
        <v>#DIV/0!</v>
      </c>
      <c r="AV46" s="129" t="e">
        <f>IF(OR(CSE4098C_Summer2026_Grade!$J32="W (Withdrawn)", CSE4098C_Summer2026_Grade!$J32="I (Incomplete)"), 0, IF(AL46&gt;=55%, 1, 0))</f>
        <v>#DIV/0!</v>
      </c>
      <c r="AX46" s="130">
        <f t="array" ref="AX46">IF($AY$13=0,0,MMULT($AC46:$AL46, AY$3:AY$12)/$AY$13)</f>
        <v>0</v>
      </c>
      <c r="AY46" s="130">
        <f t="array" ref="AY46">IF($AZ$13=0,0,MMULT($AC46:$AL46, AZ$3:AZ$12)/$AZ$13)</f>
        <v>0</v>
      </c>
      <c r="AZ46" s="130">
        <f t="array" ref="AZ46">IF($BA$13=0,0,MMULT($AC46:$AL46, BA$3:BA$12)/$BA$13)</f>
        <v>0</v>
      </c>
      <c r="BA46" s="130">
        <f t="array" ref="BA46">IF($BB$13=0,0,MMULT($AC46:$AL46, BB$3:BB$12)/$BB$13)</f>
        <v>0.51269230769230767</v>
      </c>
      <c r="BB46" s="130">
        <f t="array" ref="BB46">IF($BC$13=0,0,MMULT($AC46:$AL46, BC$3:BC$12)/$BC$13)</f>
        <v>0</v>
      </c>
      <c r="BC46" s="130">
        <f t="array" ref="BC46">IF($BD$13=0,0,MMULT($AC46:$AL46, BD$3:BD$12)/$BD$13)</f>
        <v>0</v>
      </c>
      <c r="BD46" s="130">
        <f t="array" ref="BD46">IF($BE$13=0,0,MMULT($AC46:$AL46, BE$3:BE$12)/$BE$13)</f>
        <v>0</v>
      </c>
      <c r="BE46" s="130">
        <f t="array" ref="BE46">IF($BF$13=0,0,MMULT($AC46:$AL46, BF$3:BF$12)/$BF$13)</f>
        <v>0</v>
      </c>
      <c r="BF46" s="130">
        <f t="array" ref="BF46">IF($BG$13=0,0,MMULT($AC46:$AL46, BG$3:BG$12)/$BG$13)</f>
        <v>0</v>
      </c>
      <c r="BG46" s="130">
        <f t="array" ref="BG46">IF($BH$13=0,0,MMULT($AC46:$AL46, BH$3:BH$12)/$BH$13)</f>
        <v>0.95279999999999987</v>
      </c>
      <c r="BH46" s="130">
        <f t="array" ref="BH46">IF($BI$13=0,0,MMULT($AC46:$AL46, BI$3:BI$12)/$BI$13)</f>
        <v>0</v>
      </c>
      <c r="BI46" s="130">
        <f t="array" ref="BI46">IF($BJ$13=0,0,MMULT($AC46:$AL46, BJ$3:BJ$12)/$BJ$13)</f>
        <v>0</v>
      </c>
      <c r="BJ46" s="129" t="e">
        <f>IF(OR(CSE4098C_Summer2026_Grade!$J32="W (Withdrawn)", CSE4098C_Summer2026_Grade!$J32="I (Incomplete)"), 0, IF(AX46&gt;=55%, 1, 0))</f>
        <v>#DIV/0!</v>
      </c>
      <c r="BK46" s="129" t="e">
        <f>IF(OR(CSE4098C_Summer2026_Grade!$J32="W (Withdrawn)", CSE4098C_Summer2026_Grade!$J32="I (Incomplete)"), 0, IF(AY46&gt;=55%, 1, 0))</f>
        <v>#DIV/0!</v>
      </c>
      <c r="BL46" s="129" t="e">
        <f>IF(OR(CSE4098C_Summer2026_Grade!$J32="W (Withdrawn)", CSE4098C_Summer2026_Grade!$J32="I (Incomplete)"), 0, IF(AZ46&gt;=55%, 1, 0))</f>
        <v>#DIV/0!</v>
      </c>
      <c r="BM46" s="129" t="e">
        <f>IF(OR(CSE4098C_Summer2026_Grade!$J32="W (Withdrawn)", CSE4098C_Summer2026_Grade!$J32="I (Incomplete)"), 0, IF(BA46&gt;=55%, 1, 0))</f>
        <v>#DIV/0!</v>
      </c>
      <c r="BN46" s="129" t="e">
        <f>IF(OR(CSE4098C_Summer2026_Grade!$J32="W (Withdrawn)", CSE4098C_Summer2026_Grade!$J32="I (Incomplete)"), 0, IF(BB46&gt;=55%, 1, 0))</f>
        <v>#DIV/0!</v>
      </c>
      <c r="BO46" s="129" t="e">
        <f>IF(OR(CSE4098C_Summer2026_Grade!$J32="W (Withdrawn)", CSE4098C_Summer2026_Grade!$J32="I (Incomplete)"), 0, IF(BC46&gt;=55%, 1, 0))</f>
        <v>#DIV/0!</v>
      </c>
      <c r="BP46" s="129" t="e">
        <f>IF(OR(CSE4098C_Summer2026_Grade!$J32="W (Withdrawn)", CSE4098C_Summer2026_Grade!$J32="I (Incomplete)"), 0, IF(BD46&gt;=55%, 1, 0))</f>
        <v>#DIV/0!</v>
      </c>
      <c r="BQ46" s="129" t="e">
        <f>IF(OR(CSE4098C_Summer2026_Grade!$J32="W (Withdrawn)", CSE4098C_Summer2026_Grade!$J32="I (Incomplete)"), 0, IF(BE46&gt;=55%, 1, 0))</f>
        <v>#DIV/0!</v>
      </c>
      <c r="BR46" s="129" t="e">
        <f>IF(OR(CSE4098C_Summer2026_Grade!$J32="W (Withdrawn)", CSE4098C_Summer2026_Grade!$J32="I (Incomplete)"), 0, IF(BF46&gt;=55%, 1, 0))</f>
        <v>#DIV/0!</v>
      </c>
      <c r="BS46" s="129" t="e">
        <f>IF(OR(CSE4098C_Summer2026_Grade!$J32="W (Withdrawn)", CSE4098C_Summer2026_Grade!$J32="I (Incomplete)"), 0, IF(BG46&gt;=55%, 1, 0))</f>
        <v>#DIV/0!</v>
      </c>
      <c r="BT46" s="129" t="e">
        <f>IF(OR(CSE4098C_Summer2026_Grade!$J32="W (Withdrawn)", CSE4098C_Summer2026_Grade!$J32="I (Incomplete)"), 0, IF(BH46&gt;=55%, 1, 0))</f>
        <v>#DIV/0!</v>
      </c>
      <c r="BU46" s="129" t="e">
        <f>IF(OR(CSE4098C_Summer2026_Grade!$J32="W (Withdrawn)", CSE4098C_Summer2026_Grade!$J32="I (Incomplete)"), 0, IF(BI46&gt;=55%, 1, 0))</f>
        <v>#DIV/0!</v>
      </c>
    </row>
    <row r="47" spans="1:73" ht="12.75" customHeight="1" thickBot="1">
      <c r="A47" s="118">
        <f t="shared" si="11"/>
        <v>29</v>
      </c>
      <c r="B47" s="227">
        <v>223014110</v>
      </c>
      <c r="C47" s="224" t="s">
        <v>231</v>
      </c>
      <c r="D47" s="119">
        <f>CO_Report_Evaluation!AG32</f>
        <v>0</v>
      </c>
      <c r="E47" s="119">
        <f>CO_Report_Evaluation!AH32</f>
        <v>0</v>
      </c>
      <c r="F47" s="119">
        <f>CO_Report_Evaluation!AI32</f>
        <v>0</v>
      </c>
      <c r="G47" s="119">
        <f>CO_Report_Evaluation!AJ32</f>
        <v>0</v>
      </c>
      <c r="H47" s="119">
        <f>CO_Report_Evaluation!AK32</f>
        <v>0</v>
      </c>
      <c r="I47" s="119">
        <f>CO_Report_Evaluation!AL32</f>
        <v>0</v>
      </c>
      <c r="J47" s="119">
        <f>CO_Report_Evaluation!AM32</f>
        <v>0</v>
      </c>
      <c r="K47" s="119">
        <f>CO_Report_Evaluation!AN32</f>
        <v>0</v>
      </c>
      <c r="L47" s="119">
        <f>CSE4098C_Summer2026_Grade!G33</f>
        <v>0</v>
      </c>
      <c r="M47" s="119"/>
      <c r="N47" s="33">
        <f>((CSE4098C_Summer2026_Grade!E33)*10)/25</f>
        <v>9.3800000000000008</v>
      </c>
      <c r="O47" s="120"/>
      <c r="P47" s="121"/>
      <c r="Q47" s="122">
        <v>13.329999999999998</v>
      </c>
      <c r="R47" s="120"/>
      <c r="S47" s="123">
        <f t="shared" si="4"/>
        <v>0</v>
      </c>
      <c r="T47" s="124">
        <f t="shared" ref="T47:U47" si="120">E47</f>
        <v>0</v>
      </c>
      <c r="U47" s="124">
        <f t="shared" si="120"/>
        <v>0</v>
      </c>
      <c r="V47" s="124">
        <f t="shared" ref="V47:X47" si="121">SUM(G47,P47)</f>
        <v>0</v>
      </c>
      <c r="W47" s="124">
        <f t="shared" si="121"/>
        <v>13.329999999999998</v>
      </c>
      <c r="X47" s="124">
        <f t="shared" si="121"/>
        <v>0</v>
      </c>
      <c r="Y47" s="125">
        <f t="shared" ref="Y47:AA47" si="122">J47</f>
        <v>0</v>
      </c>
      <c r="Z47" s="125">
        <f t="shared" si="122"/>
        <v>0</v>
      </c>
      <c r="AA47" s="125">
        <f t="shared" si="122"/>
        <v>0</v>
      </c>
      <c r="AB47" s="125">
        <f t="shared" si="9"/>
        <v>9.3800000000000008</v>
      </c>
      <c r="AC47" s="126">
        <f t="shared" ref="AC47:AL47" si="123">IF(S47 = 0, 0, S47/S$18)</f>
        <v>0</v>
      </c>
      <c r="AD47" s="127">
        <f t="shared" si="123"/>
        <v>0</v>
      </c>
      <c r="AE47" s="128">
        <f t="shared" si="123"/>
        <v>0</v>
      </c>
      <c r="AF47" s="128">
        <f t="shared" si="123"/>
        <v>0</v>
      </c>
      <c r="AG47" s="128">
        <f t="shared" si="123"/>
        <v>0.51269230769230767</v>
      </c>
      <c r="AH47" s="128">
        <f t="shared" si="123"/>
        <v>0</v>
      </c>
      <c r="AI47" s="128">
        <f t="shared" si="123"/>
        <v>0</v>
      </c>
      <c r="AJ47" s="128">
        <f t="shared" si="123"/>
        <v>0</v>
      </c>
      <c r="AK47" s="128">
        <f t="shared" si="123"/>
        <v>0</v>
      </c>
      <c r="AL47" s="128">
        <f t="shared" si="123"/>
        <v>0.93800000000000006</v>
      </c>
      <c r="AM47" s="129" t="e">
        <f>IF(OR(CSE4098C_Summer2026_Grade!$J33="W (Withdrawn)", CSE4098C_Summer2026_Grade!$J33="I (Incomplete)"), 0, IF(AC47&gt;=55%, 1, 0))</f>
        <v>#DIV/0!</v>
      </c>
      <c r="AN47" s="129" t="e">
        <f>IF(OR(CSE4098C_Summer2026_Grade!$J33="W (Withdrawn)", CSE4098C_Summer2026_Grade!$J33="I (Incomplete)"), 0, IF(AD47&gt;=55%, 1, 0))</f>
        <v>#DIV/0!</v>
      </c>
      <c r="AO47" s="129" t="e">
        <f>IF(OR(CSE4098C_Summer2026_Grade!$J33="W (Withdrawn)", CSE4098C_Summer2026_Grade!$J33="I (Incomplete)"), 0, IF(AE47&gt;=55%, 1, 0))</f>
        <v>#DIV/0!</v>
      </c>
      <c r="AP47" s="129" t="e">
        <f>IF(OR(CSE4098C_Summer2026_Grade!$J33="W (Withdrawn)", CSE4098C_Summer2026_Grade!$J33="I (Incomplete)"), 0, IF(AF47&gt;=55%, 1, 0))</f>
        <v>#DIV/0!</v>
      </c>
      <c r="AQ47" s="129" t="e">
        <f>IF(OR(CSE4098C_Summer2026_Grade!$J33="W (Withdrawn)", CSE4098C_Summer2026_Grade!$J33="I (Incomplete)"), 0, IF(AG47&gt;=55%, 1, 0))</f>
        <v>#DIV/0!</v>
      </c>
      <c r="AR47" s="129" t="e">
        <f>IF(OR(CSE4098C_Summer2026_Grade!$J33="W (Withdrawn)", CSE4098C_Summer2026_Grade!$J33="I (Incomplete)"), 0, IF(AH47&gt;=55%, 1, 0))</f>
        <v>#DIV/0!</v>
      </c>
      <c r="AS47" s="129" t="e">
        <f>IF(OR(CSE4098C_Summer2026_Grade!$J33="W (Withdrawn)", CSE4098C_Summer2026_Grade!$J33="I (Incomplete)"), 0, IF(AI47&gt;=55%, 1, 0))</f>
        <v>#DIV/0!</v>
      </c>
      <c r="AT47" s="129" t="e">
        <f>IF(OR(CSE4098C_Summer2026_Grade!$J33="W (Withdrawn)", CSE4098C_Summer2026_Grade!$J33="I (Incomplete)"), 0, IF(AJ47&gt;=55%, 1, 0))</f>
        <v>#DIV/0!</v>
      </c>
      <c r="AU47" s="129" t="e">
        <f>IF(OR(CSE4098C_Summer2026_Grade!$J33="W (Withdrawn)", CSE4098C_Summer2026_Grade!$J33="I (Incomplete)"), 0, IF(AK47&gt;=55%, 1, 0))</f>
        <v>#DIV/0!</v>
      </c>
      <c r="AV47" s="129" t="e">
        <f>IF(OR(CSE4098C_Summer2026_Grade!$J33="W (Withdrawn)", CSE4098C_Summer2026_Grade!$J33="I (Incomplete)"), 0, IF(AL47&gt;=55%, 1, 0))</f>
        <v>#DIV/0!</v>
      </c>
      <c r="AX47" s="130">
        <f t="array" ref="AX47">IF($AY$13=0,0,MMULT($AC47:$AL47, AY$3:AY$12)/$AY$13)</f>
        <v>0</v>
      </c>
      <c r="AY47" s="130">
        <f t="array" ref="AY47">IF($AZ$13=0,0,MMULT($AC47:$AL47, AZ$3:AZ$12)/$AZ$13)</f>
        <v>0</v>
      </c>
      <c r="AZ47" s="130">
        <f t="array" ref="AZ47">IF($BA$13=0,0,MMULT($AC47:$AL47, BA$3:BA$12)/$BA$13)</f>
        <v>0</v>
      </c>
      <c r="BA47" s="130">
        <f t="array" ref="BA47">IF($BB$13=0,0,MMULT($AC47:$AL47, BB$3:BB$12)/$BB$13)</f>
        <v>0.51269230769230767</v>
      </c>
      <c r="BB47" s="130">
        <f t="array" ref="BB47">IF($BC$13=0,0,MMULT($AC47:$AL47, BC$3:BC$12)/$BC$13)</f>
        <v>0</v>
      </c>
      <c r="BC47" s="130">
        <f t="array" ref="BC47">IF($BD$13=0,0,MMULT($AC47:$AL47, BD$3:BD$12)/$BD$13)</f>
        <v>0</v>
      </c>
      <c r="BD47" s="130">
        <f t="array" ref="BD47">IF($BE$13=0,0,MMULT($AC47:$AL47, BE$3:BE$12)/$BE$13)</f>
        <v>0</v>
      </c>
      <c r="BE47" s="130">
        <f t="array" ref="BE47">IF($BF$13=0,0,MMULT($AC47:$AL47, BF$3:BF$12)/$BF$13)</f>
        <v>0</v>
      </c>
      <c r="BF47" s="130">
        <f t="array" ref="BF47">IF($BG$13=0,0,MMULT($AC47:$AL47, BG$3:BG$12)/$BG$13)</f>
        <v>0</v>
      </c>
      <c r="BG47" s="130">
        <f t="array" ref="BG47">IF($BH$13=0,0,MMULT($AC47:$AL47, BH$3:BH$12)/$BH$13)</f>
        <v>0.93800000000000006</v>
      </c>
      <c r="BH47" s="130">
        <f t="array" ref="BH47">IF($BI$13=0,0,MMULT($AC47:$AL47, BI$3:BI$12)/$BI$13)</f>
        <v>0</v>
      </c>
      <c r="BI47" s="130">
        <f t="array" ref="BI47">IF($BJ$13=0,0,MMULT($AC47:$AL47, BJ$3:BJ$12)/$BJ$13)</f>
        <v>0</v>
      </c>
      <c r="BJ47" s="129" t="e">
        <f>IF(OR(CSE4098C_Summer2026_Grade!$J33="W (Withdrawn)", CSE4098C_Summer2026_Grade!$J33="I (Incomplete)"), 0, IF(AX47&gt;=55%, 1, 0))</f>
        <v>#DIV/0!</v>
      </c>
      <c r="BK47" s="129" t="e">
        <f>IF(OR(CSE4098C_Summer2026_Grade!$J33="W (Withdrawn)", CSE4098C_Summer2026_Grade!$J33="I (Incomplete)"), 0, IF(AY47&gt;=55%, 1, 0))</f>
        <v>#DIV/0!</v>
      </c>
      <c r="BL47" s="129" t="e">
        <f>IF(OR(CSE4098C_Summer2026_Grade!$J33="W (Withdrawn)", CSE4098C_Summer2026_Grade!$J33="I (Incomplete)"), 0, IF(AZ47&gt;=55%, 1, 0))</f>
        <v>#DIV/0!</v>
      </c>
      <c r="BM47" s="129" t="e">
        <f>IF(OR(CSE4098C_Summer2026_Grade!$J33="W (Withdrawn)", CSE4098C_Summer2026_Grade!$J33="I (Incomplete)"), 0, IF(BA47&gt;=55%, 1, 0))</f>
        <v>#DIV/0!</v>
      </c>
      <c r="BN47" s="129" t="e">
        <f>IF(OR(CSE4098C_Summer2026_Grade!$J33="W (Withdrawn)", CSE4098C_Summer2026_Grade!$J33="I (Incomplete)"), 0, IF(BB47&gt;=55%, 1, 0))</f>
        <v>#DIV/0!</v>
      </c>
      <c r="BO47" s="129" t="e">
        <f>IF(OR(CSE4098C_Summer2026_Grade!$J33="W (Withdrawn)", CSE4098C_Summer2026_Grade!$J33="I (Incomplete)"), 0, IF(BC47&gt;=55%, 1, 0))</f>
        <v>#DIV/0!</v>
      </c>
      <c r="BP47" s="129" t="e">
        <f>IF(OR(CSE4098C_Summer2026_Grade!$J33="W (Withdrawn)", CSE4098C_Summer2026_Grade!$J33="I (Incomplete)"), 0, IF(BD47&gt;=55%, 1, 0))</f>
        <v>#DIV/0!</v>
      </c>
      <c r="BQ47" s="129" t="e">
        <f>IF(OR(CSE4098C_Summer2026_Grade!$J33="W (Withdrawn)", CSE4098C_Summer2026_Grade!$J33="I (Incomplete)"), 0, IF(BE47&gt;=55%, 1, 0))</f>
        <v>#DIV/0!</v>
      </c>
      <c r="BR47" s="129" t="e">
        <f>IF(OR(CSE4098C_Summer2026_Grade!$J33="W (Withdrawn)", CSE4098C_Summer2026_Grade!$J33="I (Incomplete)"), 0, IF(BF47&gt;=55%, 1, 0))</f>
        <v>#DIV/0!</v>
      </c>
      <c r="BS47" s="129" t="e">
        <f>IF(OR(CSE4098C_Summer2026_Grade!$J33="W (Withdrawn)", CSE4098C_Summer2026_Grade!$J33="I (Incomplete)"), 0, IF(BG47&gt;=55%, 1, 0))</f>
        <v>#DIV/0!</v>
      </c>
      <c r="BT47" s="129" t="e">
        <f>IF(OR(CSE4098C_Summer2026_Grade!$J33="W (Withdrawn)", CSE4098C_Summer2026_Grade!$J33="I (Incomplete)"), 0, IF(BH47&gt;=55%, 1, 0))</f>
        <v>#DIV/0!</v>
      </c>
      <c r="BU47" s="129" t="e">
        <f>IF(OR(CSE4098C_Summer2026_Grade!$J33="W (Withdrawn)", CSE4098C_Summer2026_Grade!$J33="I (Incomplete)"), 0, IF(BI47&gt;=55%, 1, 0))</f>
        <v>#DIV/0!</v>
      </c>
    </row>
    <row r="48" spans="1:73" ht="12.75" customHeight="1" thickBot="1">
      <c r="A48" s="118">
        <f t="shared" si="11"/>
        <v>30</v>
      </c>
      <c r="B48" s="224">
        <v>223014135</v>
      </c>
      <c r="C48" s="228" t="s">
        <v>232</v>
      </c>
      <c r="D48" s="119">
        <f>CO_Report_Evaluation!AG33</f>
        <v>0</v>
      </c>
      <c r="E48" s="119">
        <f>CO_Report_Evaluation!AH33</f>
        <v>0</v>
      </c>
      <c r="F48" s="119">
        <f>CO_Report_Evaluation!AI33</f>
        <v>0</v>
      </c>
      <c r="G48" s="119">
        <f>CO_Report_Evaluation!AJ33</f>
        <v>0</v>
      </c>
      <c r="H48" s="119">
        <f>CO_Report_Evaluation!AK33</f>
        <v>0</v>
      </c>
      <c r="I48" s="119">
        <f>CO_Report_Evaluation!AL33</f>
        <v>0</v>
      </c>
      <c r="J48" s="119">
        <f>CO_Report_Evaluation!AM33</f>
        <v>0</v>
      </c>
      <c r="K48" s="119">
        <f>CO_Report_Evaluation!AN33</f>
        <v>0</v>
      </c>
      <c r="L48" s="119">
        <f>CSE4098C_Summer2026_Grade!G34</f>
        <v>0</v>
      </c>
      <c r="M48" s="119"/>
      <c r="N48" s="33">
        <f>((CSE4098C_Summer2026_Grade!E34)*10)/25</f>
        <v>6.86</v>
      </c>
      <c r="O48" s="120"/>
      <c r="P48" s="121"/>
      <c r="Q48" s="122">
        <v>13.329999999999998</v>
      </c>
      <c r="R48" s="120"/>
      <c r="S48" s="123">
        <f t="shared" si="4"/>
        <v>0</v>
      </c>
      <c r="T48" s="124">
        <f t="shared" ref="T48:U48" si="124">E48</f>
        <v>0</v>
      </c>
      <c r="U48" s="124">
        <f t="shared" si="124"/>
        <v>0</v>
      </c>
      <c r="V48" s="124">
        <f t="shared" ref="V48:X48" si="125">SUM(G48,P48)</f>
        <v>0</v>
      </c>
      <c r="W48" s="124">
        <f t="shared" si="125"/>
        <v>13.329999999999998</v>
      </c>
      <c r="X48" s="124">
        <f t="shared" si="125"/>
        <v>0</v>
      </c>
      <c r="Y48" s="125">
        <f t="shared" ref="Y48:AA48" si="126">J48</f>
        <v>0</v>
      </c>
      <c r="Z48" s="125">
        <f t="shared" si="126"/>
        <v>0</v>
      </c>
      <c r="AA48" s="125">
        <f t="shared" si="126"/>
        <v>0</v>
      </c>
      <c r="AB48" s="125">
        <f t="shared" si="9"/>
        <v>6.86</v>
      </c>
      <c r="AC48" s="126">
        <f t="shared" ref="AC48:AL48" si="127">IF(S48 = 0, 0, S48/S$18)</f>
        <v>0</v>
      </c>
      <c r="AD48" s="127">
        <f t="shared" si="127"/>
        <v>0</v>
      </c>
      <c r="AE48" s="128">
        <f t="shared" si="127"/>
        <v>0</v>
      </c>
      <c r="AF48" s="128">
        <f t="shared" si="127"/>
        <v>0</v>
      </c>
      <c r="AG48" s="128">
        <f t="shared" si="127"/>
        <v>0.51269230769230767</v>
      </c>
      <c r="AH48" s="128">
        <f t="shared" si="127"/>
        <v>0</v>
      </c>
      <c r="AI48" s="128">
        <f t="shared" si="127"/>
        <v>0</v>
      </c>
      <c r="AJ48" s="128">
        <f t="shared" si="127"/>
        <v>0</v>
      </c>
      <c r="AK48" s="128">
        <f t="shared" si="127"/>
        <v>0</v>
      </c>
      <c r="AL48" s="128">
        <f t="shared" si="127"/>
        <v>0.68600000000000005</v>
      </c>
      <c r="AM48" s="129" t="e">
        <f>IF(OR(CSE4098C_Summer2026_Grade!$J34="W (Withdrawn)", CSE4098C_Summer2026_Grade!$J34="I (Incomplete)"), 0, IF(AC48&gt;=55%, 1, 0))</f>
        <v>#DIV/0!</v>
      </c>
      <c r="AN48" s="129" t="e">
        <f>IF(OR(CSE4098C_Summer2026_Grade!$J34="W (Withdrawn)", CSE4098C_Summer2026_Grade!$J34="I (Incomplete)"), 0, IF(AD48&gt;=55%, 1, 0))</f>
        <v>#DIV/0!</v>
      </c>
      <c r="AO48" s="129" t="e">
        <f>IF(OR(CSE4098C_Summer2026_Grade!$J34="W (Withdrawn)", CSE4098C_Summer2026_Grade!$J34="I (Incomplete)"), 0, IF(AE48&gt;=55%, 1, 0))</f>
        <v>#DIV/0!</v>
      </c>
      <c r="AP48" s="129" t="e">
        <f>IF(OR(CSE4098C_Summer2026_Grade!$J34="W (Withdrawn)", CSE4098C_Summer2026_Grade!$J34="I (Incomplete)"), 0, IF(AF48&gt;=55%, 1, 0))</f>
        <v>#DIV/0!</v>
      </c>
      <c r="AQ48" s="129" t="e">
        <f>IF(OR(CSE4098C_Summer2026_Grade!$J34="W (Withdrawn)", CSE4098C_Summer2026_Grade!$J34="I (Incomplete)"), 0, IF(AG48&gt;=55%, 1, 0))</f>
        <v>#DIV/0!</v>
      </c>
      <c r="AR48" s="129" t="e">
        <f>IF(OR(CSE4098C_Summer2026_Grade!$J34="W (Withdrawn)", CSE4098C_Summer2026_Grade!$J34="I (Incomplete)"), 0, IF(AH48&gt;=55%, 1, 0))</f>
        <v>#DIV/0!</v>
      </c>
      <c r="AS48" s="129" t="e">
        <f>IF(OR(CSE4098C_Summer2026_Grade!$J34="W (Withdrawn)", CSE4098C_Summer2026_Grade!$J34="I (Incomplete)"), 0, IF(AI48&gt;=55%, 1, 0))</f>
        <v>#DIV/0!</v>
      </c>
      <c r="AT48" s="129" t="e">
        <f>IF(OR(CSE4098C_Summer2026_Grade!$J34="W (Withdrawn)", CSE4098C_Summer2026_Grade!$J34="I (Incomplete)"), 0, IF(AJ48&gt;=55%, 1, 0))</f>
        <v>#DIV/0!</v>
      </c>
      <c r="AU48" s="129" t="e">
        <f>IF(OR(CSE4098C_Summer2026_Grade!$J34="W (Withdrawn)", CSE4098C_Summer2026_Grade!$J34="I (Incomplete)"), 0, IF(AK48&gt;=55%, 1, 0))</f>
        <v>#DIV/0!</v>
      </c>
      <c r="AV48" s="129" t="e">
        <f>IF(OR(CSE4098C_Summer2026_Grade!$J34="W (Withdrawn)", CSE4098C_Summer2026_Grade!$J34="I (Incomplete)"), 0, IF(AL48&gt;=55%, 1, 0))</f>
        <v>#DIV/0!</v>
      </c>
      <c r="AX48" s="130">
        <f t="array" ref="AX48">IF($AY$13=0,0,MMULT($AC48:$AL48, AY$3:AY$12)/$AY$13)</f>
        <v>0</v>
      </c>
      <c r="AY48" s="130">
        <f t="array" ref="AY48">IF($AZ$13=0,0,MMULT($AC48:$AL48, AZ$3:AZ$12)/$AZ$13)</f>
        <v>0</v>
      </c>
      <c r="AZ48" s="130">
        <f t="array" ref="AZ48">IF($BA$13=0,0,MMULT($AC48:$AL48, BA$3:BA$12)/$BA$13)</f>
        <v>0</v>
      </c>
      <c r="BA48" s="130">
        <f t="array" ref="BA48">IF($BB$13=0,0,MMULT($AC48:$AL48, BB$3:BB$12)/$BB$13)</f>
        <v>0.51269230769230767</v>
      </c>
      <c r="BB48" s="130">
        <f t="array" ref="BB48">IF($BC$13=0,0,MMULT($AC48:$AL48, BC$3:BC$12)/$BC$13)</f>
        <v>0</v>
      </c>
      <c r="BC48" s="130">
        <f t="array" ref="BC48">IF($BD$13=0,0,MMULT($AC48:$AL48, BD$3:BD$12)/$BD$13)</f>
        <v>0</v>
      </c>
      <c r="BD48" s="130">
        <f t="array" ref="BD48">IF($BE$13=0,0,MMULT($AC48:$AL48, BE$3:BE$12)/$BE$13)</f>
        <v>0</v>
      </c>
      <c r="BE48" s="130">
        <f t="array" ref="BE48">IF($BF$13=0,0,MMULT($AC48:$AL48, BF$3:BF$12)/$BF$13)</f>
        <v>0</v>
      </c>
      <c r="BF48" s="130">
        <f t="array" ref="BF48">IF($BG$13=0,0,MMULT($AC48:$AL48, BG$3:BG$12)/$BG$13)</f>
        <v>0</v>
      </c>
      <c r="BG48" s="130">
        <f t="array" ref="BG48">IF($BH$13=0,0,MMULT($AC48:$AL48, BH$3:BH$12)/$BH$13)</f>
        <v>0.68600000000000005</v>
      </c>
      <c r="BH48" s="130">
        <f t="array" ref="BH48">IF($BI$13=0,0,MMULT($AC48:$AL48, BI$3:BI$12)/$BI$13)</f>
        <v>0</v>
      </c>
      <c r="BI48" s="130">
        <f t="array" ref="BI48">IF($BJ$13=0,0,MMULT($AC48:$AL48, BJ$3:BJ$12)/$BJ$13)</f>
        <v>0</v>
      </c>
      <c r="BJ48" s="129" t="e">
        <f>IF(OR(CSE4098C_Summer2026_Grade!$J34="W (Withdrawn)", CSE4098C_Summer2026_Grade!$J34="I (Incomplete)"), 0, IF(AX48&gt;=55%, 1, 0))</f>
        <v>#DIV/0!</v>
      </c>
      <c r="BK48" s="129" t="e">
        <f>IF(OR(CSE4098C_Summer2026_Grade!$J34="W (Withdrawn)", CSE4098C_Summer2026_Grade!$J34="I (Incomplete)"), 0, IF(AY48&gt;=55%, 1, 0))</f>
        <v>#DIV/0!</v>
      </c>
      <c r="BL48" s="129" t="e">
        <f>IF(OR(CSE4098C_Summer2026_Grade!$J34="W (Withdrawn)", CSE4098C_Summer2026_Grade!$J34="I (Incomplete)"), 0, IF(AZ48&gt;=55%, 1, 0))</f>
        <v>#DIV/0!</v>
      </c>
      <c r="BM48" s="129" t="e">
        <f>IF(OR(CSE4098C_Summer2026_Grade!$J34="W (Withdrawn)", CSE4098C_Summer2026_Grade!$J34="I (Incomplete)"), 0, IF(BA48&gt;=55%, 1, 0))</f>
        <v>#DIV/0!</v>
      </c>
      <c r="BN48" s="129" t="e">
        <f>IF(OR(CSE4098C_Summer2026_Grade!$J34="W (Withdrawn)", CSE4098C_Summer2026_Grade!$J34="I (Incomplete)"), 0, IF(BB48&gt;=55%, 1, 0))</f>
        <v>#DIV/0!</v>
      </c>
      <c r="BO48" s="129" t="e">
        <f>IF(OR(CSE4098C_Summer2026_Grade!$J34="W (Withdrawn)", CSE4098C_Summer2026_Grade!$J34="I (Incomplete)"), 0, IF(BC48&gt;=55%, 1, 0))</f>
        <v>#DIV/0!</v>
      </c>
      <c r="BP48" s="129" t="e">
        <f>IF(OR(CSE4098C_Summer2026_Grade!$J34="W (Withdrawn)", CSE4098C_Summer2026_Grade!$J34="I (Incomplete)"), 0, IF(BD48&gt;=55%, 1, 0))</f>
        <v>#DIV/0!</v>
      </c>
      <c r="BQ48" s="129" t="e">
        <f>IF(OR(CSE4098C_Summer2026_Grade!$J34="W (Withdrawn)", CSE4098C_Summer2026_Grade!$J34="I (Incomplete)"), 0, IF(BE48&gt;=55%, 1, 0))</f>
        <v>#DIV/0!</v>
      </c>
      <c r="BR48" s="129" t="e">
        <f>IF(OR(CSE4098C_Summer2026_Grade!$J34="W (Withdrawn)", CSE4098C_Summer2026_Grade!$J34="I (Incomplete)"), 0, IF(BF48&gt;=55%, 1, 0))</f>
        <v>#DIV/0!</v>
      </c>
      <c r="BS48" s="129" t="e">
        <f>IF(OR(CSE4098C_Summer2026_Grade!$J34="W (Withdrawn)", CSE4098C_Summer2026_Grade!$J34="I (Incomplete)"), 0, IF(BG48&gt;=55%, 1, 0))</f>
        <v>#DIV/0!</v>
      </c>
      <c r="BT48" s="129" t="e">
        <f>IF(OR(CSE4098C_Summer2026_Grade!$J34="W (Withdrawn)", CSE4098C_Summer2026_Grade!$J34="I (Incomplete)"), 0, IF(BH48&gt;=55%, 1, 0))</f>
        <v>#DIV/0!</v>
      </c>
      <c r="BU48" s="129" t="e">
        <f>IF(OR(CSE4098C_Summer2026_Grade!$J34="W (Withdrawn)", CSE4098C_Summer2026_Grade!$J34="I (Incomplete)"), 0, IF(BI48&gt;=55%, 1, 0))</f>
        <v>#DIV/0!</v>
      </c>
    </row>
    <row r="49" spans="1:73" ht="12.75" customHeight="1" thickBot="1">
      <c r="A49" s="118">
        <f t="shared" si="11"/>
        <v>31</v>
      </c>
      <c r="B49" s="224">
        <v>223014122</v>
      </c>
      <c r="C49" s="228" t="s">
        <v>233</v>
      </c>
      <c r="D49" s="119">
        <f>CO_Report_Evaluation!AG34</f>
        <v>0</v>
      </c>
      <c r="E49" s="119">
        <f>CO_Report_Evaluation!AH34</f>
        <v>0</v>
      </c>
      <c r="F49" s="119">
        <f>CO_Report_Evaluation!AI34</f>
        <v>0</v>
      </c>
      <c r="G49" s="119">
        <f>CO_Report_Evaluation!AJ34</f>
        <v>0</v>
      </c>
      <c r="H49" s="119">
        <f>CO_Report_Evaluation!AK34</f>
        <v>0</v>
      </c>
      <c r="I49" s="119">
        <f>CO_Report_Evaluation!AL34</f>
        <v>0</v>
      </c>
      <c r="J49" s="119">
        <f>CO_Report_Evaluation!AM34</f>
        <v>0</v>
      </c>
      <c r="K49" s="119">
        <f>CO_Report_Evaluation!AN34</f>
        <v>0</v>
      </c>
      <c r="L49" s="119">
        <f>CSE4098C_Summer2026_Grade!G35</f>
        <v>0</v>
      </c>
      <c r="M49" s="119"/>
      <c r="N49" s="33">
        <f>((CSE4098C_Summer2026_Grade!E35)*10)/25</f>
        <v>6.831999999999999</v>
      </c>
      <c r="O49" s="120"/>
      <c r="P49" s="121"/>
      <c r="Q49" s="122">
        <v>15.55</v>
      </c>
      <c r="R49" s="120"/>
      <c r="S49" s="123">
        <f t="shared" si="4"/>
        <v>0</v>
      </c>
      <c r="T49" s="124">
        <f t="shared" ref="T49:U49" si="128">E49</f>
        <v>0</v>
      </c>
      <c r="U49" s="124">
        <f t="shared" si="128"/>
        <v>0</v>
      </c>
      <c r="V49" s="124">
        <f t="shared" ref="V49:X49" si="129">SUM(G49,P49)</f>
        <v>0</v>
      </c>
      <c r="W49" s="124">
        <f t="shared" si="129"/>
        <v>15.55</v>
      </c>
      <c r="X49" s="124">
        <f t="shared" si="129"/>
        <v>0</v>
      </c>
      <c r="Y49" s="125">
        <f t="shared" ref="Y49:AA49" si="130">J49</f>
        <v>0</v>
      </c>
      <c r="Z49" s="125">
        <f t="shared" si="130"/>
        <v>0</v>
      </c>
      <c r="AA49" s="125">
        <f t="shared" si="130"/>
        <v>0</v>
      </c>
      <c r="AB49" s="125">
        <f t="shared" si="9"/>
        <v>6.831999999999999</v>
      </c>
      <c r="AC49" s="126">
        <f t="shared" ref="AC49:AL49" si="131">IF(S49 = 0, 0, S49/S$18)</f>
        <v>0</v>
      </c>
      <c r="AD49" s="127">
        <f t="shared" si="131"/>
        <v>0</v>
      </c>
      <c r="AE49" s="128">
        <f t="shared" si="131"/>
        <v>0</v>
      </c>
      <c r="AF49" s="128">
        <f t="shared" si="131"/>
        <v>0</v>
      </c>
      <c r="AG49" s="128">
        <f t="shared" si="131"/>
        <v>0.59807692307692306</v>
      </c>
      <c r="AH49" s="128">
        <f t="shared" si="131"/>
        <v>0</v>
      </c>
      <c r="AI49" s="128">
        <f t="shared" si="131"/>
        <v>0</v>
      </c>
      <c r="AJ49" s="128">
        <f t="shared" si="131"/>
        <v>0</v>
      </c>
      <c r="AK49" s="128">
        <f t="shared" si="131"/>
        <v>0</v>
      </c>
      <c r="AL49" s="128">
        <f t="shared" si="131"/>
        <v>0.68319999999999992</v>
      </c>
      <c r="AM49" s="129" t="e">
        <f>IF(OR(CSE4098C_Summer2026_Grade!$J35="W (Withdrawn)", CSE4098C_Summer2026_Grade!$J35="I (Incomplete)"), 0, IF(AC49&gt;=55%, 1, 0))</f>
        <v>#DIV/0!</v>
      </c>
      <c r="AN49" s="129" t="e">
        <f>IF(OR(CSE4098C_Summer2026_Grade!$J35="W (Withdrawn)", CSE4098C_Summer2026_Grade!$J35="I (Incomplete)"), 0, IF(AD49&gt;=55%, 1, 0))</f>
        <v>#DIV/0!</v>
      </c>
      <c r="AO49" s="129" t="e">
        <f>IF(OR(CSE4098C_Summer2026_Grade!$J35="W (Withdrawn)", CSE4098C_Summer2026_Grade!$J35="I (Incomplete)"), 0, IF(AE49&gt;=55%, 1, 0))</f>
        <v>#DIV/0!</v>
      </c>
      <c r="AP49" s="129" t="e">
        <f>IF(OR(CSE4098C_Summer2026_Grade!$J35="W (Withdrawn)", CSE4098C_Summer2026_Grade!$J35="I (Incomplete)"), 0, IF(AF49&gt;=55%, 1, 0))</f>
        <v>#DIV/0!</v>
      </c>
      <c r="AQ49" s="129" t="e">
        <f>IF(OR(CSE4098C_Summer2026_Grade!$J35="W (Withdrawn)", CSE4098C_Summer2026_Grade!$J35="I (Incomplete)"), 0, IF(AG49&gt;=55%, 1, 0))</f>
        <v>#DIV/0!</v>
      </c>
      <c r="AR49" s="129" t="e">
        <f>IF(OR(CSE4098C_Summer2026_Grade!$J35="W (Withdrawn)", CSE4098C_Summer2026_Grade!$J35="I (Incomplete)"), 0, IF(AH49&gt;=55%, 1, 0))</f>
        <v>#DIV/0!</v>
      </c>
      <c r="AS49" s="129" t="e">
        <f>IF(OR(CSE4098C_Summer2026_Grade!$J35="W (Withdrawn)", CSE4098C_Summer2026_Grade!$J35="I (Incomplete)"), 0, IF(AI49&gt;=55%, 1, 0))</f>
        <v>#DIV/0!</v>
      </c>
      <c r="AT49" s="129" t="e">
        <f>IF(OR(CSE4098C_Summer2026_Grade!$J35="W (Withdrawn)", CSE4098C_Summer2026_Grade!$J35="I (Incomplete)"), 0, IF(AJ49&gt;=55%, 1, 0))</f>
        <v>#DIV/0!</v>
      </c>
      <c r="AU49" s="129" t="e">
        <f>IF(OR(CSE4098C_Summer2026_Grade!$J35="W (Withdrawn)", CSE4098C_Summer2026_Grade!$J35="I (Incomplete)"), 0, IF(AK49&gt;=55%, 1, 0))</f>
        <v>#DIV/0!</v>
      </c>
      <c r="AV49" s="129" t="e">
        <f>IF(OR(CSE4098C_Summer2026_Grade!$J35="W (Withdrawn)", CSE4098C_Summer2026_Grade!$J35="I (Incomplete)"), 0, IF(AL49&gt;=55%, 1, 0))</f>
        <v>#DIV/0!</v>
      </c>
      <c r="AX49" s="130">
        <f t="array" ref="AX49">IF($AY$13=0,0,MMULT($AC49:$AL49, AY$3:AY$12)/$AY$13)</f>
        <v>0</v>
      </c>
      <c r="AY49" s="130">
        <f t="array" ref="AY49">IF($AZ$13=0,0,MMULT($AC49:$AL49, AZ$3:AZ$12)/$AZ$13)</f>
        <v>0</v>
      </c>
      <c r="AZ49" s="130">
        <f t="array" ref="AZ49">IF($BA$13=0,0,MMULT($AC49:$AL49, BA$3:BA$12)/$BA$13)</f>
        <v>0</v>
      </c>
      <c r="BA49" s="130">
        <f t="array" ref="BA49">IF($BB$13=0,0,MMULT($AC49:$AL49, BB$3:BB$12)/$BB$13)</f>
        <v>0.59807692307692306</v>
      </c>
      <c r="BB49" s="130">
        <f t="array" ref="BB49">IF($BC$13=0,0,MMULT($AC49:$AL49, BC$3:BC$12)/$BC$13)</f>
        <v>0</v>
      </c>
      <c r="BC49" s="130">
        <f t="array" ref="BC49">IF($BD$13=0,0,MMULT($AC49:$AL49, BD$3:BD$12)/$BD$13)</f>
        <v>0</v>
      </c>
      <c r="BD49" s="130">
        <f t="array" ref="BD49">IF($BE$13=0,0,MMULT($AC49:$AL49, BE$3:BE$12)/$BE$13)</f>
        <v>0</v>
      </c>
      <c r="BE49" s="130">
        <f t="array" ref="BE49">IF($BF$13=0,0,MMULT($AC49:$AL49, BF$3:BF$12)/$BF$13)</f>
        <v>0</v>
      </c>
      <c r="BF49" s="130">
        <f t="array" ref="BF49">IF($BG$13=0,0,MMULT($AC49:$AL49, BG$3:BG$12)/$BG$13)</f>
        <v>0</v>
      </c>
      <c r="BG49" s="130">
        <f t="array" ref="BG49">IF($BH$13=0,0,MMULT($AC49:$AL49, BH$3:BH$12)/$BH$13)</f>
        <v>0.68319999999999992</v>
      </c>
      <c r="BH49" s="130">
        <f t="array" ref="BH49">IF($BI$13=0,0,MMULT($AC49:$AL49, BI$3:BI$12)/$BI$13)</f>
        <v>0</v>
      </c>
      <c r="BI49" s="130">
        <f t="array" ref="BI49">IF($BJ$13=0,0,MMULT($AC49:$AL49, BJ$3:BJ$12)/$BJ$13)</f>
        <v>0</v>
      </c>
      <c r="BJ49" s="129" t="e">
        <f>IF(OR(CSE4098C_Summer2026_Grade!$J35="W (Withdrawn)", CSE4098C_Summer2026_Grade!$J35="I (Incomplete)"), 0, IF(AX49&gt;=55%, 1, 0))</f>
        <v>#DIV/0!</v>
      </c>
      <c r="BK49" s="129" t="e">
        <f>IF(OR(CSE4098C_Summer2026_Grade!$J35="W (Withdrawn)", CSE4098C_Summer2026_Grade!$J35="I (Incomplete)"), 0, IF(AY49&gt;=55%, 1, 0))</f>
        <v>#DIV/0!</v>
      </c>
      <c r="BL49" s="129" t="e">
        <f>IF(OR(CSE4098C_Summer2026_Grade!$J35="W (Withdrawn)", CSE4098C_Summer2026_Grade!$J35="I (Incomplete)"), 0, IF(AZ49&gt;=55%, 1, 0))</f>
        <v>#DIV/0!</v>
      </c>
      <c r="BM49" s="129" t="e">
        <f>IF(OR(CSE4098C_Summer2026_Grade!$J35="W (Withdrawn)", CSE4098C_Summer2026_Grade!$J35="I (Incomplete)"), 0, IF(BA49&gt;=55%, 1, 0))</f>
        <v>#DIV/0!</v>
      </c>
      <c r="BN49" s="129" t="e">
        <f>IF(OR(CSE4098C_Summer2026_Grade!$J35="W (Withdrawn)", CSE4098C_Summer2026_Grade!$J35="I (Incomplete)"), 0, IF(BB49&gt;=55%, 1, 0))</f>
        <v>#DIV/0!</v>
      </c>
      <c r="BO49" s="129" t="e">
        <f>IF(OR(CSE4098C_Summer2026_Grade!$J35="W (Withdrawn)", CSE4098C_Summer2026_Grade!$J35="I (Incomplete)"), 0, IF(BC49&gt;=55%, 1, 0))</f>
        <v>#DIV/0!</v>
      </c>
      <c r="BP49" s="129" t="e">
        <f>IF(OR(CSE4098C_Summer2026_Grade!$J35="W (Withdrawn)", CSE4098C_Summer2026_Grade!$J35="I (Incomplete)"), 0, IF(BD49&gt;=55%, 1, 0))</f>
        <v>#DIV/0!</v>
      </c>
      <c r="BQ49" s="129" t="e">
        <f>IF(OR(CSE4098C_Summer2026_Grade!$J35="W (Withdrawn)", CSE4098C_Summer2026_Grade!$J35="I (Incomplete)"), 0, IF(BE49&gt;=55%, 1, 0))</f>
        <v>#DIV/0!</v>
      </c>
      <c r="BR49" s="129" t="e">
        <f>IF(OR(CSE4098C_Summer2026_Grade!$J35="W (Withdrawn)", CSE4098C_Summer2026_Grade!$J35="I (Incomplete)"), 0, IF(BF49&gt;=55%, 1, 0))</f>
        <v>#DIV/0!</v>
      </c>
      <c r="BS49" s="129" t="e">
        <f>IF(OR(CSE4098C_Summer2026_Grade!$J35="W (Withdrawn)", CSE4098C_Summer2026_Grade!$J35="I (Incomplete)"), 0, IF(BG49&gt;=55%, 1, 0))</f>
        <v>#DIV/0!</v>
      </c>
      <c r="BT49" s="129" t="e">
        <f>IF(OR(CSE4098C_Summer2026_Grade!$J35="W (Withdrawn)", CSE4098C_Summer2026_Grade!$J35="I (Incomplete)"), 0, IF(BH49&gt;=55%, 1, 0))</f>
        <v>#DIV/0!</v>
      </c>
      <c r="BU49" s="129" t="e">
        <f>IF(OR(CSE4098C_Summer2026_Grade!$J35="W (Withdrawn)", CSE4098C_Summer2026_Grade!$J35="I (Incomplete)"), 0, IF(BI49&gt;=55%, 1, 0))</f>
        <v>#DIV/0!</v>
      </c>
    </row>
    <row r="50" spans="1:73" ht="12.75" customHeight="1" thickBot="1">
      <c r="A50" s="118">
        <f t="shared" si="11"/>
        <v>32</v>
      </c>
      <c r="B50" s="224">
        <v>212014030</v>
      </c>
      <c r="C50" s="228" t="s">
        <v>234</v>
      </c>
      <c r="D50" s="119">
        <f>CO_Report_Evaluation!AG35</f>
        <v>0</v>
      </c>
      <c r="E50" s="119">
        <f>CO_Report_Evaluation!AH35</f>
        <v>0</v>
      </c>
      <c r="F50" s="119">
        <f>CO_Report_Evaluation!AI35</f>
        <v>0</v>
      </c>
      <c r="G50" s="119">
        <f>CO_Report_Evaluation!AJ35</f>
        <v>0</v>
      </c>
      <c r="H50" s="119">
        <f>CO_Report_Evaluation!AK35</f>
        <v>0</v>
      </c>
      <c r="I50" s="119">
        <f>CO_Report_Evaluation!AL35</f>
        <v>0</v>
      </c>
      <c r="J50" s="119">
        <f>CO_Report_Evaluation!AM35</f>
        <v>0</v>
      </c>
      <c r="K50" s="119">
        <f>CO_Report_Evaluation!AN35</f>
        <v>0</v>
      </c>
      <c r="L50" s="119">
        <f>CSE4098C_Summer2026_Grade!G36</f>
        <v>0</v>
      </c>
      <c r="M50" s="119"/>
      <c r="N50" s="33">
        <f>((CSE4098C_Summer2026_Grade!E36)*10)/25</f>
        <v>5.5439999999999996</v>
      </c>
      <c r="O50" s="120"/>
      <c r="P50" s="121"/>
      <c r="Q50" s="122">
        <v>15.55</v>
      </c>
      <c r="R50" s="120"/>
      <c r="S50" s="123">
        <f t="shared" si="4"/>
        <v>0</v>
      </c>
      <c r="T50" s="124">
        <f t="shared" ref="T50:U50" si="132">E50</f>
        <v>0</v>
      </c>
      <c r="U50" s="124">
        <f t="shared" si="132"/>
        <v>0</v>
      </c>
      <c r="V50" s="124">
        <f t="shared" ref="V50:X50" si="133">SUM(G50,P50)</f>
        <v>0</v>
      </c>
      <c r="W50" s="124">
        <f t="shared" si="133"/>
        <v>15.55</v>
      </c>
      <c r="X50" s="124">
        <f t="shared" si="133"/>
        <v>0</v>
      </c>
      <c r="Y50" s="125">
        <f t="shared" ref="Y50:AA50" si="134">J50</f>
        <v>0</v>
      </c>
      <c r="Z50" s="125">
        <f t="shared" si="134"/>
        <v>0</v>
      </c>
      <c r="AA50" s="125">
        <f t="shared" si="134"/>
        <v>0</v>
      </c>
      <c r="AB50" s="125">
        <f t="shared" si="9"/>
        <v>5.5439999999999996</v>
      </c>
      <c r="AC50" s="126">
        <f t="shared" ref="AC50:AL50" si="135">IF(S50 = 0, 0, S50/S$18)</f>
        <v>0</v>
      </c>
      <c r="AD50" s="127">
        <f t="shared" si="135"/>
        <v>0</v>
      </c>
      <c r="AE50" s="128">
        <f t="shared" si="135"/>
        <v>0</v>
      </c>
      <c r="AF50" s="128">
        <f t="shared" si="135"/>
        <v>0</v>
      </c>
      <c r="AG50" s="128">
        <f t="shared" si="135"/>
        <v>0.59807692307692306</v>
      </c>
      <c r="AH50" s="128">
        <f t="shared" si="135"/>
        <v>0</v>
      </c>
      <c r="AI50" s="128">
        <f t="shared" si="135"/>
        <v>0</v>
      </c>
      <c r="AJ50" s="128">
        <f t="shared" si="135"/>
        <v>0</v>
      </c>
      <c r="AK50" s="128">
        <f t="shared" si="135"/>
        <v>0</v>
      </c>
      <c r="AL50" s="128">
        <f t="shared" si="135"/>
        <v>0.5544</v>
      </c>
      <c r="AM50" s="129" t="e">
        <f>IF(OR(CSE4098C_Summer2026_Grade!$J36="W (Withdrawn)", CSE4098C_Summer2026_Grade!$J36="I (Incomplete)"), 0, IF(AC50&gt;=55%, 1, 0))</f>
        <v>#DIV/0!</v>
      </c>
      <c r="AN50" s="129" t="e">
        <f>IF(OR(CSE4098C_Summer2026_Grade!$J36="W (Withdrawn)", CSE4098C_Summer2026_Grade!$J36="I (Incomplete)"), 0, IF(AD50&gt;=55%, 1, 0))</f>
        <v>#DIV/0!</v>
      </c>
      <c r="AO50" s="129" t="e">
        <f>IF(OR(CSE4098C_Summer2026_Grade!$J36="W (Withdrawn)", CSE4098C_Summer2026_Grade!$J36="I (Incomplete)"), 0, IF(AE50&gt;=55%, 1, 0))</f>
        <v>#DIV/0!</v>
      </c>
      <c r="AP50" s="129" t="e">
        <f>IF(OR(CSE4098C_Summer2026_Grade!$J36="W (Withdrawn)", CSE4098C_Summer2026_Grade!$J36="I (Incomplete)"), 0, IF(AF50&gt;=55%, 1, 0))</f>
        <v>#DIV/0!</v>
      </c>
      <c r="AQ50" s="129" t="e">
        <f>IF(OR(CSE4098C_Summer2026_Grade!$J36="W (Withdrawn)", CSE4098C_Summer2026_Grade!$J36="I (Incomplete)"), 0, IF(AG50&gt;=55%, 1, 0))</f>
        <v>#DIV/0!</v>
      </c>
      <c r="AR50" s="129" t="e">
        <f>IF(OR(CSE4098C_Summer2026_Grade!$J36="W (Withdrawn)", CSE4098C_Summer2026_Grade!$J36="I (Incomplete)"), 0, IF(AH50&gt;=55%, 1, 0))</f>
        <v>#DIV/0!</v>
      </c>
      <c r="AS50" s="129" t="e">
        <f>IF(OR(CSE4098C_Summer2026_Grade!$J36="W (Withdrawn)", CSE4098C_Summer2026_Grade!$J36="I (Incomplete)"), 0, IF(AI50&gt;=55%, 1, 0))</f>
        <v>#DIV/0!</v>
      </c>
      <c r="AT50" s="129" t="e">
        <f>IF(OR(CSE4098C_Summer2026_Grade!$J36="W (Withdrawn)", CSE4098C_Summer2026_Grade!$J36="I (Incomplete)"), 0, IF(AJ50&gt;=55%, 1, 0))</f>
        <v>#DIV/0!</v>
      </c>
      <c r="AU50" s="129" t="e">
        <f>IF(OR(CSE4098C_Summer2026_Grade!$J36="W (Withdrawn)", CSE4098C_Summer2026_Grade!$J36="I (Incomplete)"), 0, IF(AK50&gt;=55%, 1, 0))</f>
        <v>#DIV/0!</v>
      </c>
      <c r="AV50" s="129" t="e">
        <f>IF(OR(CSE4098C_Summer2026_Grade!$J36="W (Withdrawn)", CSE4098C_Summer2026_Grade!$J36="I (Incomplete)"), 0, IF(AL50&gt;=55%, 1, 0))</f>
        <v>#DIV/0!</v>
      </c>
      <c r="AX50" s="130">
        <f t="array" ref="AX50">IF($AY$13=0,0,MMULT($AC50:$AL50, AY$3:AY$12)/$AY$13)</f>
        <v>0</v>
      </c>
      <c r="AY50" s="130">
        <f t="array" ref="AY50">IF($AZ$13=0,0,MMULT($AC50:$AL50, AZ$3:AZ$12)/$AZ$13)</f>
        <v>0</v>
      </c>
      <c r="AZ50" s="130">
        <f t="array" ref="AZ50">IF($BA$13=0,0,MMULT($AC50:$AL50, BA$3:BA$12)/$BA$13)</f>
        <v>0</v>
      </c>
      <c r="BA50" s="130">
        <f t="array" ref="BA50">IF($BB$13=0,0,MMULT($AC50:$AL50, BB$3:BB$12)/$BB$13)</f>
        <v>0.59807692307692306</v>
      </c>
      <c r="BB50" s="130">
        <f t="array" ref="BB50">IF($BC$13=0,0,MMULT($AC50:$AL50, BC$3:BC$12)/$BC$13)</f>
        <v>0</v>
      </c>
      <c r="BC50" s="130">
        <f t="array" ref="BC50">IF($BD$13=0,0,MMULT($AC50:$AL50, BD$3:BD$12)/$BD$13)</f>
        <v>0</v>
      </c>
      <c r="BD50" s="130">
        <f t="array" ref="BD50">IF($BE$13=0,0,MMULT($AC50:$AL50, BE$3:BE$12)/$BE$13)</f>
        <v>0</v>
      </c>
      <c r="BE50" s="130">
        <f t="array" ref="BE50">IF($BF$13=0,0,MMULT($AC50:$AL50, BF$3:BF$12)/$BF$13)</f>
        <v>0</v>
      </c>
      <c r="BF50" s="130">
        <f t="array" ref="BF50">IF($BG$13=0,0,MMULT($AC50:$AL50, BG$3:BG$12)/$BG$13)</f>
        <v>0</v>
      </c>
      <c r="BG50" s="130">
        <f t="array" ref="BG50">IF($BH$13=0,0,MMULT($AC50:$AL50, BH$3:BH$12)/$BH$13)</f>
        <v>0.5544</v>
      </c>
      <c r="BH50" s="130">
        <f t="array" ref="BH50">IF($BI$13=0,0,MMULT($AC50:$AL50, BI$3:BI$12)/$BI$13)</f>
        <v>0</v>
      </c>
      <c r="BI50" s="130">
        <f t="array" ref="BI50">IF($BJ$13=0,0,MMULT($AC50:$AL50, BJ$3:BJ$12)/$BJ$13)</f>
        <v>0</v>
      </c>
      <c r="BJ50" s="129" t="e">
        <f>IF(OR(CSE4098C_Summer2026_Grade!$J36="W (Withdrawn)", CSE4098C_Summer2026_Grade!$J36="I (Incomplete)"), 0, IF(AX50&gt;=55%, 1, 0))</f>
        <v>#DIV/0!</v>
      </c>
      <c r="BK50" s="129" t="e">
        <f>IF(OR(CSE4098C_Summer2026_Grade!$J36="W (Withdrawn)", CSE4098C_Summer2026_Grade!$J36="I (Incomplete)"), 0, IF(AY50&gt;=55%, 1, 0))</f>
        <v>#DIV/0!</v>
      </c>
      <c r="BL50" s="129" t="e">
        <f>IF(OR(CSE4098C_Summer2026_Grade!$J36="W (Withdrawn)", CSE4098C_Summer2026_Grade!$J36="I (Incomplete)"), 0, IF(AZ50&gt;=55%, 1, 0))</f>
        <v>#DIV/0!</v>
      </c>
      <c r="BM50" s="129" t="e">
        <f>IF(OR(CSE4098C_Summer2026_Grade!$J36="W (Withdrawn)", CSE4098C_Summer2026_Grade!$J36="I (Incomplete)"), 0, IF(BA50&gt;=55%, 1, 0))</f>
        <v>#DIV/0!</v>
      </c>
      <c r="BN50" s="129" t="e">
        <f>IF(OR(CSE4098C_Summer2026_Grade!$J36="W (Withdrawn)", CSE4098C_Summer2026_Grade!$J36="I (Incomplete)"), 0, IF(BB50&gt;=55%, 1, 0))</f>
        <v>#DIV/0!</v>
      </c>
      <c r="BO50" s="129" t="e">
        <f>IF(OR(CSE4098C_Summer2026_Grade!$J36="W (Withdrawn)", CSE4098C_Summer2026_Grade!$J36="I (Incomplete)"), 0, IF(BC50&gt;=55%, 1, 0))</f>
        <v>#DIV/0!</v>
      </c>
      <c r="BP50" s="129" t="e">
        <f>IF(OR(CSE4098C_Summer2026_Grade!$J36="W (Withdrawn)", CSE4098C_Summer2026_Grade!$J36="I (Incomplete)"), 0, IF(BD50&gt;=55%, 1, 0))</f>
        <v>#DIV/0!</v>
      </c>
      <c r="BQ50" s="129" t="e">
        <f>IF(OR(CSE4098C_Summer2026_Grade!$J36="W (Withdrawn)", CSE4098C_Summer2026_Grade!$J36="I (Incomplete)"), 0, IF(BE50&gt;=55%, 1, 0))</f>
        <v>#DIV/0!</v>
      </c>
      <c r="BR50" s="129" t="e">
        <f>IF(OR(CSE4098C_Summer2026_Grade!$J36="W (Withdrawn)", CSE4098C_Summer2026_Grade!$J36="I (Incomplete)"), 0, IF(BF50&gt;=55%, 1, 0))</f>
        <v>#DIV/0!</v>
      </c>
      <c r="BS50" s="129" t="e">
        <f>IF(OR(CSE4098C_Summer2026_Grade!$J36="W (Withdrawn)", CSE4098C_Summer2026_Grade!$J36="I (Incomplete)"), 0, IF(BG50&gt;=55%, 1, 0))</f>
        <v>#DIV/0!</v>
      </c>
      <c r="BT50" s="129" t="e">
        <f>IF(OR(CSE4098C_Summer2026_Grade!$J36="W (Withdrawn)", CSE4098C_Summer2026_Grade!$J36="I (Incomplete)"), 0, IF(BH50&gt;=55%, 1, 0))</f>
        <v>#DIV/0!</v>
      </c>
      <c r="BU50" s="129" t="e">
        <f>IF(OR(CSE4098C_Summer2026_Grade!$J36="W (Withdrawn)", CSE4098C_Summer2026_Grade!$J36="I (Incomplete)"), 0, IF(BI50&gt;=55%, 1, 0))</f>
        <v>#DIV/0!</v>
      </c>
    </row>
    <row r="51" spans="1:73" ht="12.75" customHeight="1" thickBot="1">
      <c r="A51" s="118">
        <f t="shared" si="11"/>
        <v>33</v>
      </c>
      <c r="B51" s="228">
        <v>222014072</v>
      </c>
      <c r="C51" s="228" t="s">
        <v>235</v>
      </c>
      <c r="D51" s="119">
        <f>CO_Report_Evaluation!AG36</f>
        <v>0</v>
      </c>
      <c r="E51" s="119">
        <f>CO_Report_Evaluation!AH36</f>
        <v>0</v>
      </c>
      <c r="F51" s="119">
        <f>CO_Report_Evaluation!AI36</f>
        <v>0</v>
      </c>
      <c r="G51" s="119">
        <f>CO_Report_Evaluation!AJ36</f>
        <v>0</v>
      </c>
      <c r="H51" s="119">
        <f>CO_Report_Evaluation!AK36</f>
        <v>0</v>
      </c>
      <c r="I51" s="119">
        <f>CO_Report_Evaluation!AL36</f>
        <v>0</v>
      </c>
      <c r="J51" s="119">
        <f>CO_Report_Evaluation!AM36</f>
        <v>0</v>
      </c>
      <c r="K51" s="119">
        <f>CO_Report_Evaluation!AN36</f>
        <v>0</v>
      </c>
      <c r="L51" s="119">
        <f>CSE4098C_Summer2026_Grade!G37</f>
        <v>0</v>
      </c>
      <c r="M51" s="119"/>
      <c r="N51" s="33">
        <f>((CSE4098C_Summer2026_Grade!E37)*10)/25</f>
        <v>5.5720000000000001</v>
      </c>
      <c r="O51" s="120"/>
      <c r="P51" s="121"/>
      <c r="Q51" s="122">
        <v>15.55</v>
      </c>
      <c r="R51" s="120"/>
      <c r="S51" s="123">
        <f t="shared" si="4"/>
        <v>0</v>
      </c>
      <c r="T51" s="124">
        <f t="shared" ref="T51:U51" si="136">E51</f>
        <v>0</v>
      </c>
      <c r="U51" s="124">
        <f t="shared" si="136"/>
        <v>0</v>
      </c>
      <c r="V51" s="124">
        <f t="shared" ref="V51:X51" si="137">SUM(G51,P51)</f>
        <v>0</v>
      </c>
      <c r="W51" s="124">
        <f t="shared" si="137"/>
        <v>15.55</v>
      </c>
      <c r="X51" s="124">
        <f t="shared" si="137"/>
        <v>0</v>
      </c>
      <c r="Y51" s="125">
        <f t="shared" ref="Y51:AA51" si="138">J51</f>
        <v>0</v>
      </c>
      <c r="Z51" s="125">
        <f t="shared" si="138"/>
        <v>0</v>
      </c>
      <c r="AA51" s="125">
        <f t="shared" si="138"/>
        <v>0</v>
      </c>
      <c r="AB51" s="125">
        <f t="shared" si="9"/>
        <v>5.5720000000000001</v>
      </c>
      <c r="AC51" s="126">
        <f t="shared" ref="AC51:AL51" si="139">IF(S51 = 0, 0, S51/S$18)</f>
        <v>0</v>
      </c>
      <c r="AD51" s="127">
        <f t="shared" si="139"/>
        <v>0</v>
      </c>
      <c r="AE51" s="128">
        <f t="shared" si="139"/>
        <v>0</v>
      </c>
      <c r="AF51" s="128">
        <f t="shared" si="139"/>
        <v>0</v>
      </c>
      <c r="AG51" s="128">
        <f t="shared" si="139"/>
        <v>0.59807692307692306</v>
      </c>
      <c r="AH51" s="128">
        <f t="shared" si="139"/>
        <v>0</v>
      </c>
      <c r="AI51" s="128">
        <f t="shared" si="139"/>
        <v>0</v>
      </c>
      <c r="AJ51" s="128">
        <f t="shared" si="139"/>
        <v>0</v>
      </c>
      <c r="AK51" s="128">
        <f t="shared" si="139"/>
        <v>0</v>
      </c>
      <c r="AL51" s="128">
        <f t="shared" si="139"/>
        <v>0.55720000000000003</v>
      </c>
      <c r="AM51" s="129" t="e">
        <f>IF(OR(CSE4098C_Summer2026_Grade!$J37="W (Withdrawn)", CSE4098C_Summer2026_Grade!$J37="I (Incomplete)"), 0, IF(AC51&gt;=55%, 1, 0))</f>
        <v>#DIV/0!</v>
      </c>
      <c r="AN51" s="129" t="e">
        <f>IF(OR(CSE4098C_Summer2026_Grade!$J37="W (Withdrawn)", CSE4098C_Summer2026_Grade!$J37="I (Incomplete)"), 0, IF(AD51&gt;=55%, 1, 0))</f>
        <v>#DIV/0!</v>
      </c>
      <c r="AO51" s="129" t="e">
        <f>IF(OR(CSE4098C_Summer2026_Grade!$J37="W (Withdrawn)", CSE4098C_Summer2026_Grade!$J37="I (Incomplete)"), 0, IF(AE51&gt;=55%, 1, 0))</f>
        <v>#DIV/0!</v>
      </c>
      <c r="AP51" s="129" t="e">
        <f>IF(OR(CSE4098C_Summer2026_Grade!$J37="W (Withdrawn)", CSE4098C_Summer2026_Grade!$J37="I (Incomplete)"), 0, IF(AF51&gt;=55%, 1, 0))</f>
        <v>#DIV/0!</v>
      </c>
      <c r="AQ51" s="129" t="e">
        <f>IF(OR(CSE4098C_Summer2026_Grade!$J37="W (Withdrawn)", CSE4098C_Summer2026_Grade!$J37="I (Incomplete)"), 0, IF(AG51&gt;=55%, 1, 0))</f>
        <v>#DIV/0!</v>
      </c>
      <c r="AR51" s="129" t="e">
        <f>IF(OR(CSE4098C_Summer2026_Grade!$J37="W (Withdrawn)", CSE4098C_Summer2026_Grade!$J37="I (Incomplete)"), 0, IF(AH51&gt;=55%, 1, 0))</f>
        <v>#DIV/0!</v>
      </c>
      <c r="AS51" s="129" t="e">
        <f>IF(OR(CSE4098C_Summer2026_Grade!$J37="W (Withdrawn)", CSE4098C_Summer2026_Grade!$J37="I (Incomplete)"), 0, IF(AI51&gt;=55%, 1, 0))</f>
        <v>#DIV/0!</v>
      </c>
      <c r="AT51" s="129" t="e">
        <f>IF(OR(CSE4098C_Summer2026_Grade!$J37="W (Withdrawn)", CSE4098C_Summer2026_Grade!$J37="I (Incomplete)"), 0, IF(AJ51&gt;=55%, 1, 0))</f>
        <v>#DIV/0!</v>
      </c>
      <c r="AU51" s="129" t="e">
        <f>IF(OR(CSE4098C_Summer2026_Grade!$J37="W (Withdrawn)", CSE4098C_Summer2026_Grade!$J37="I (Incomplete)"), 0, IF(AK51&gt;=55%, 1, 0))</f>
        <v>#DIV/0!</v>
      </c>
      <c r="AV51" s="129" t="e">
        <f>IF(OR(CSE4098C_Summer2026_Grade!$J37="W (Withdrawn)", CSE4098C_Summer2026_Grade!$J37="I (Incomplete)"), 0, IF(AL51&gt;=55%, 1, 0))</f>
        <v>#DIV/0!</v>
      </c>
      <c r="AX51" s="130">
        <f t="array" ref="AX51">IF($AY$13=0,0,MMULT($AC51:$AL51, AY$3:AY$12)/$AY$13)</f>
        <v>0</v>
      </c>
      <c r="AY51" s="130">
        <f t="array" ref="AY51">IF($AZ$13=0,0,MMULT($AC51:$AL51, AZ$3:AZ$12)/$AZ$13)</f>
        <v>0</v>
      </c>
      <c r="AZ51" s="130">
        <f t="array" ref="AZ51">IF($BA$13=0,0,MMULT($AC51:$AL51, BA$3:BA$12)/$BA$13)</f>
        <v>0</v>
      </c>
      <c r="BA51" s="130">
        <f t="array" ref="BA51">IF($BB$13=0,0,MMULT($AC51:$AL51, BB$3:BB$12)/$BB$13)</f>
        <v>0.59807692307692306</v>
      </c>
      <c r="BB51" s="130">
        <f t="array" ref="BB51">IF($BC$13=0,0,MMULT($AC51:$AL51, BC$3:BC$12)/$BC$13)</f>
        <v>0</v>
      </c>
      <c r="BC51" s="130">
        <f t="array" ref="BC51">IF($BD$13=0,0,MMULT($AC51:$AL51, BD$3:BD$12)/$BD$13)</f>
        <v>0</v>
      </c>
      <c r="BD51" s="130">
        <f t="array" ref="BD51">IF($BE$13=0,0,MMULT($AC51:$AL51, BE$3:BE$12)/$BE$13)</f>
        <v>0</v>
      </c>
      <c r="BE51" s="130">
        <f t="array" ref="BE51">IF($BF$13=0,0,MMULT($AC51:$AL51, BF$3:BF$12)/$BF$13)</f>
        <v>0</v>
      </c>
      <c r="BF51" s="130">
        <f t="array" ref="BF51">IF($BG$13=0,0,MMULT($AC51:$AL51, BG$3:BG$12)/$BG$13)</f>
        <v>0</v>
      </c>
      <c r="BG51" s="130">
        <f t="array" ref="BG51">IF($BH$13=0,0,MMULT($AC51:$AL51, BH$3:BH$12)/$BH$13)</f>
        <v>0.55720000000000003</v>
      </c>
      <c r="BH51" s="130">
        <f t="array" ref="BH51">IF($BI$13=0,0,MMULT($AC51:$AL51, BI$3:BI$12)/$BI$13)</f>
        <v>0</v>
      </c>
      <c r="BI51" s="130">
        <f t="array" ref="BI51">IF($BJ$13=0,0,MMULT($AC51:$AL51, BJ$3:BJ$12)/$BJ$13)</f>
        <v>0</v>
      </c>
      <c r="BJ51" s="129" t="e">
        <f>IF(OR(CSE4098C_Summer2026_Grade!$J37="W (Withdrawn)", CSE4098C_Summer2026_Grade!$J37="I (Incomplete)"), 0, IF(AX51&gt;=55%, 1, 0))</f>
        <v>#DIV/0!</v>
      </c>
      <c r="BK51" s="129" t="e">
        <f>IF(OR(CSE4098C_Summer2026_Grade!$J37="W (Withdrawn)", CSE4098C_Summer2026_Grade!$J37="I (Incomplete)"), 0, IF(AY51&gt;=55%, 1, 0))</f>
        <v>#DIV/0!</v>
      </c>
      <c r="BL51" s="129" t="e">
        <f>IF(OR(CSE4098C_Summer2026_Grade!$J37="W (Withdrawn)", CSE4098C_Summer2026_Grade!$J37="I (Incomplete)"), 0, IF(AZ51&gt;=55%, 1, 0))</f>
        <v>#DIV/0!</v>
      </c>
      <c r="BM51" s="129" t="e">
        <f>IF(OR(CSE4098C_Summer2026_Grade!$J37="W (Withdrawn)", CSE4098C_Summer2026_Grade!$J37="I (Incomplete)"), 0, IF(BA51&gt;=55%, 1, 0))</f>
        <v>#DIV/0!</v>
      </c>
      <c r="BN51" s="129" t="e">
        <f>IF(OR(CSE4098C_Summer2026_Grade!$J37="W (Withdrawn)", CSE4098C_Summer2026_Grade!$J37="I (Incomplete)"), 0, IF(BB51&gt;=55%, 1, 0))</f>
        <v>#DIV/0!</v>
      </c>
      <c r="BO51" s="129" t="e">
        <f>IF(OR(CSE4098C_Summer2026_Grade!$J37="W (Withdrawn)", CSE4098C_Summer2026_Grade!$J37="I (Incomplete)"), 0, IF(BC51&gt;=55%, 1, 0))</f>
        <v>#DIV/0!</v>
      </c>
      <c r="BP51" s="129" t="e">
        <f>IF(OR(CSE4098C_Summer2026_Grade!$J37="W (Withdrawn)", CSE4098C_Summer2026_Grade!$J37="I (Incomplete)"), 0, IF(BD51&gt;=55%, 1, 0))</f>
        <v>#DIV/0!</v>
      </c>
      <c r="BQ51" s="129" t="e">
        <f>IF(OR(CSE4098C_Summer2026_Grade!$J37="W (Withdrawn)", CSE4098C_Summer2026_Grade!$J37="I (Incomplete)"), 0, IF(BE51&gt;=55%, 1, 0))</f>
        <v>#DIV/0!</v>
      </c>
      <c r="BR51" s="129" t="e">
        <f>IF(OR(CSE4098C_Summer2026_Grade!$J37="W (Withdrawn)", CSE4098C_Summer2026_Grade!$J37="I (Incomplete)"), 0, IF(BF51&gt;=55%, 1, 0))</f>
        <v>#DIV/0!</v>
      </c>
      <c r="BS51" s="129" t="e">
        <f>IF(OR(CSE4098C_Summer2026_Grade!$J37="W (Withdrawn)", CSE4098C_Summer2026_Grade!$J37="I (Incomplete)"), 0, IF(BG51&gt;=55%, 1, 0))</f>
        <v>#DIV/0!</v>
      </c>
      <c r="BT51" s="129" t="e">
        <f>IF(OR(CSE4098C_Summer2026_Grade!$J37="W (Withdrawn)", CSE4098C_Summer2026_Grade!$J37="I (Incomplete)"), 0, IF(BH51&gt;=55%, 1, 0))</f>
        <v>#DIV/0!</v>
      </c>
      <c r="BU51" s="129" t="e">
        <f>IF(OR(CSE4098C_Summer2026_Grade!$J37="W (Withdrawn)", CSE4098C_Summer2026_Grade!$J37="I (Incomplete)"), 0, IF(BI51&gt;=55%, 1, 0))</f>
        <v>#DIV/0!</v>
      </c>
    </row>
    <row r="52" spans="1:73" ht="12.75" customHeight="1" thickBot="1">
      <c r="A52" s="118">
        <f t="shared" si="11"/>
        <v>34</v>
      </c>
      <c r="B52" s="228">
        <v>222014097</v>
      </c>
      <c r="C52" s="228" t="s">
        <v>236</v>
      </c>
      <c r="D52" s="119">
        <f>CO_Report_Evaluation!AG38</f>
        <v>0</v>
      </c>
      <c r="E52" s="119">
        <f>CO_Report_Evaluation!AH38</f>
        <v>0</v>
      </c>
      <c r="F52" s="119">
        <f>CO_Report_Evaluation!AI38</f>
        <v>0</v>
      </c>
      <c r="G52" s="119">
        <f>CO_Report_Evaluation!AJ38</f>
        <v>0</v>
      </c>
      <c r="H52" s="119">
        <f>CO_Report_Evaluation!AK38</f>
        <v>0</v>
      </c>
      <c r="I52" s="119">
        <f>CO_Report_Evaluation!AL38</f>
        <v>0</v>
      </c>
      <c r="J52" s="119">
        <f>CO_Report_Evaluation!AM38</f>
        <v>0</v>
      </c>
      <c r="K52" s="119">
        <f>CO_Report_Evaluation!AN38</f>
        <v>0</v>
      </c>
      <c r="L52" s="119">
        <f>CSE4098C_Summer2026_Grade!G38</f>
        <v>0</v>
      </c>
      <c r="M52" s="119"/>
      <c r="N52" s="33">
        <f>((CSE4098C_Summer2026_Grade!E38)*10)/25</f>
        <v>6.032</v>
      </c>
      <c r="O52" s="120"/>
      <c r="P52" s="121"/>
      <c r="Q52" s="122">
        <v>15.55</v>
      </c>
      <c r="R52" s="120"/>
      <c r="S52" s="123">
        <f t="shared" si="4"/>
        <v>0</v>
      </c>
      <c r="T52" s="124">
        <f t="shared" ref="T52:U52" si="140">E52</f>
        <v>0</v>
      </c>
      <c r="U52" s="124">
        <f t="shared" si="140"/>
        <v>0</v>
      </c>
      <c r="V52" s="124">
        <f t="shared" ref="V52:X52" si="141">SUM(G52,P52)</f>
        <v>0</v>
      </c>
      <c r="W52" s="124">
        <f t="shared" si="141"/>
        <v>15.55</v>
      </c>
      <c r="X52" s="124">
        <f t="shared" si="141"/>
        <v>0</v>
      </c>
      <c r="Y52" s="125">
        <f t="shared" ref="Y52:AA52" si="142">J52</f>
        <v>0</v>
      </c>
      <c r="Z52" s="125">
        <f t="shared" si="142"/>
        <v>0</v>
      </c>
      <c r="AA52" s="125">
        <f t="shared" si="142"/>
        <v>0</v>
      </c>
      <c r="AB52" s="125">
        <f t="shared" si="9"/>
        <v>6.032</v>
      </c>
      <c r="AC52" s="126">
        <f t="shared" ref="AC52:AL52" si="143">IF(S52 = 0, 0, S52/S$18)</f>
        <v>0</v>
      </c>
      <c r="AD52" s="127">
        <f t="shared" si="143"/>
        <v>0</v>
      </c>
      <c r="AE52" s="128">
        <f t="shared" si="143"/>
        <v>0</v>
      </c>
      <c r="AF52" s="128">
        <f t="shared" si="143"/>
        <v>0</v>
      </c>
      <c r="AG52" s="128">
        <f t="shared" si="143"/>
        <v>0.59807692307692306</v>
      </c>
      <c r="AH52" s="128">
        <f t="shared" si="143"/>
        <v>0</v>
      </c>
      <c r="AI52" s="128">
        <f t="shared" si="143"/>
        <v>0</v>
      </c>
      <c r="AJ52" s="128">
        <f t="shared" si="143"/>
        <v>0</v>
      </c>
      <c r="AK52" s="128">
        <f t="shared" si="143"/>
        <v>0</v>
      </c>
      <c r="AL52" s="128">
        <f t="shared" si="143"/>
        <v>0.60319999999999996</v>
      </c>
      <c r="AM52" s="129" t="e">
        <f>IF(OR(CSE4098C_Summer2026_Grade!$J38="W (Withdrawn)", CSE4098C_Summer2026_Grade!$J38="I (Incomplete)"), 0, IF(AC52&gt;=55%, 1, 0))</f>
        <v>#DIV/0!</v>
      </c>
      <c r="AN52" s="129" t="e">
        <f>IF(OR(CSE4098C_Summer2026_Grade!$J38="W (Withdrawn)", CSE4098C_Summer2026_Grade!$J38="I (Incomplete)"), 0, IF(AD52&gt;=55%, 1, 0))</f>
        <v>#DIV/0!</v>
      </c>
      <c r="AO52" s="129" t="e">
        <f>IF(OR(CSE4098C_Summer2026_Grade!$J38="W (Withdrawn)", CSE4098C_Summer2026_Grade!$J38="I (Incomplete)"), 0, IF(AE52&gt;=55%, 1, 0))</f>
        <v>#DIV/0!</v>
      </c>
      <c r="AP52" s="129" t="e">
        <f>IF(OR(CSE4098C_Summer2026_Grade!$J38="W (Withdrawn)", CSE4098C_Summer2026_Grade!$J38="I (Incomplete)"), 0, IF(AF52&gt;=55%, 1, 0))</f>
        <v>#DIV/0!</v>
      </c>
      <c r="AQ52" s="129" t="e">
        <f>IF(OR(CSE4098C_Summer2026_Grade!$J38="W (Withdrawn)", CSE4098C_Summer2026_Grade!$J38="I (Incomplete)"), 0, IF(AG52&gt;=55%, 1, 0))</f>
        <v>#DIV/0!</v>
      </c>
      <c r="AR52" s="129" t="e">
        <f>IF(OR(CSE4098C_Summer2026_Grade!$J38="W (Withdrawn)", CSE4098C_Summer2026_Grade!$J38="I (Incomplete)"), 0, IF(AH52&gt;=55%, 1, 0))</f>
        <v>#DIV/0!</v>
      </c>
      <c r="AS52" s="129" t="e">
        <f>IF(OR(CSE4098C_Summer2026_Grade!$J38="W (Withdrawn)", CSE4098C_Summer2026_Grade!$J38="I (Incomplete)"), 0, IF(AI52&gt;=55%, 1, 0))</f>
        <v>#DIV/0!</v>
      </c>
      <c r="AT52" s="129" t="e">
        <f>IF(OR(CSE4098C_Summer2026_Grade!$J38="W (Withdrawn)", CSE4098C_Summer2026_Grade!$J38="I (Incomplete)"), 0, IF(AJ52&gt;=55%, 1, 0))</f>
        <v>#DIV/0!</v>
      </c>
      <c r="AU52" s="129" t="e">
        <f>IF(OR(CSE4098C_Summer2026_Grade!$J38="W (Withdrawn)", CSE4098C_Summer2026_Grade!$J38="I (Incomplete)"), 0, IF(AK52&gt;=55%, 1, 0))</f>
        <v>#DIV/0!</v>
      </c>
      <c r="AV52" s="129" t="e">
        <f>IF(OR(CSE4098C_Summer2026_Grade!$J38="W (Withdrawn)", CSE4098C_Summer2026_Grade!$J38="I (Incomplete)"), 0, IF(AL52&gt;=55%, 1, 0))</f>
        <v>#DIV/0!</v>
      </c>
      <c r="AX52" s="130">
        <f t="array" ref="AX52">IF($AY$13=0,0,MMULT($AC52:$AL52, AY$3:AY$12)/$AY$13)</f>
        <v>0</v>
      </c>
      <c r="AY52" s="130">
        <f t="array" ref="AY52">IF($AZ$13=0,0,MMULT($AC52:$AL52, AZ$3:AZ$12)/$AZ$13)</f>
        <v>0</v>
      </c>
      <c r="AZ52" s="130">
        <f t="array" ref="AZ52">IF($BA$13=0,0,MMULT($AC52:$AL52, BA$3:BA$12)/$BA$13)</f>
        <v>0</v>
      </c>
      <c r="BA52" s="130">
        <f t="array" ref="BA52">IF($BB$13=0,0,MMULT($AC52:$AL52, BB$3:BB$12)/$BB$13)</f>
        <v>0.59807692307692306</v>
      </c>
      <c r="BB52" s="130">
        <f t="array" ref="BB52">IF($BC$13=0,0,MMULT($AC52:$AL52, BC$3:BC$12)/$BC$13)</f>
        <v>0</v>
      </c>
      <c r="BC52" s="130">
        <f t="array" ref="BC52">IF($BD$13=0,0,MMULT($AC52:$AL52, BD$3:BD$12)/$BD$13)</f>
        <v>0</v>
      </c>
      <c r="BD52" s="130">
        <f t="array" ref="BD52">IF($BE$13=0,0,MMULT($AC52:$AL52, BE$3:BE$12)/$BE$13)</f>
        <v>0</v>
      </c>
      <c r="BE52" s="130">
        <f t="array" ref="BE52">IF($BF$13=0,0,MMULT($AC52:$AL52, BF$3:BF$12)/$BF$13)</f>
        <v>0</v>
      </c>
      <c r="BF52" s="130">
        <f t="array" ref="BF52">IF($BG$13=0,0,MMULT($AC52:$AL52, BG$3:BG$12)/$BG$13)</f>
        <v>0</v>
      </c>
      <c r="BG52" s="130">
        <f t="array" ref="BG52">IF($BH$13=0,0,MMULT($AC52:$AL52, BH$3:BH$12)/$BH$13)</f>
        <v>0.60319999999999996</v>
      </c>
      <c r="BH52" s="130">
        <f t="array" ref="BH52">IF($BI$13=0,0,MMULT($AC52:$AL52, BI$3:BI$12)/$BI$13)</f>
        <v>0</v>
      </c>
      <c r="BI52" s="130">
        <f t="array" ref="BI52">IF($BJ$13=0,0,MMULT($AC52:$AL52, BJ$3:BJ$12)/$BJ$13)</f>
        <v>0</v>
      </c>
      <c r="BJ52" s="129" t="e">
        <f>IF(OR(CSE4098C_Summer2026_Grade!$J38="W (Withdrawn)", CSE4098C_Summer2026_Grade!$J38="I (Incomplete)"), 0, IF(AX52&gt;=55%, 1, 0))</f>
        <v>#DIV/0!</v>
      </c>
      <c r="BK52" s="129" t="e">
        <f>IF(OR(CSE4098C_Summer2026_Grade!$J38="W (Withdrawn)", CSE4098C_Summer2026_Grade!$J38="I (Incomplete)"), 0, IF(AY52&gt;=55%, 1, 0))</f>
        <v>#DIV/0!</v>
      </c>
      <c r="BL52" s="129" t="e">
        <f>IF(OR(CSE4098C_Summer2026_Grade!$J38="W (Withdrawn)", CSE4098C_Summer2026_Grade!$J38="I (Incomplete)"), 0, IF(AZ52&gt;=55%, 1, 0))</f>
        <v>#DIV/0!</v>
      </c>
      <c r="BM52" s="129" t="e">
        <f>IF(OR(CSE4098C_Summer2026_Grade!$J38="W (Withdrawn)", CSE4098C_Summer2026_Grade!$J38="I (Incomplete)"), 0, IF(BA52&gt;=55%, 1, 0))</f>
        <v>#DIV/0!</v>
      </c>
      <c r="BN52" s="129" t="e">
        <f>IF(OR(CSE4098C_Summer2026_Grade!$J38="W (Withdrawn)", CSE4098C_Summer2026_Grade!$J38="I (Incomplete)"), 0, IF(BB52&gt;=55%, 1, 0))</f>
        <v>#DIV/0!</v>
      </c>
      <c r="BO52" s="129" t="e">
        <f>IF(OR(CSE4098C_Summer2026_Grade!$J38="W (Withdrawn)", CSE4098C_Summer2026_Grade!$J38="I (Incomplete)"), 0, IF(BC52&gt;=55%, 1, 0))</f>
        <v>#DIV/0!</v>
      </c>
      <c r="BP52" s="129" t="e">
        <f>IF(OR(CSE4098C_Summer2026_Grade!$J38="W (Withdrawn)", CSE4098C_Summer2026_Grade!$J38="I (Incomplete)"), 0, IF(BD52&gt;=55%, 1, 0))</f>
        <v>#DIV/0!</v>
      </c>
      <c r="BQ52" s="129" t="e">
        <f>IF(OR(CSE4098C_Summer2026_Grade!$J38="W (Withdrawn)", CSE4098C_Summer2026_Grade!$J38="I (Incomplete)"), 0, IF(BE52&gt;=55%, 1, 0))</f>
        <v>#DIV/0!</v>
      </c>
      <c r="BR52" s="129" t="e">
        <f>IF(OR(CSE4098C_Summer2026_Grade!$J38="W (Withdrawn)", CSE4098C_Summer2026_Grade!$J38="I (Incomplete)"), 0, IF(BF52&gt;=55%, 1, 0))</f>
        <v>#DIV/0!</v>
      </c>
      <c r="BS52" s="129" t="e">
        <f>IF(OR(CSE4098C_Summer2026_Grade!$J38="W (Withdrawn)", CSE4098C_Summer2026_Grade!$J38="I (Incomplete)"), 0, IF(BG52&gt;=55%, 1, 0))</f>
        <v>#DIV/0!</v>
      </c>
      <c r="BT52" s="129" t="e">
        <f>IF(OR(CSE4098C_Summer2026_Grade!$J38="W (Withdrawn)", CSE4098C_Summer2026_Grade!$J38="I (Incomplete)"), 0, IF(BH52&gt;=55%, 1, 0))</f>
        <v>#DIV/0!</v>
      </c>
      <c r="BU52" s="129" t="e">
        <f>IF(OR(CSE4098C_Summer2026_Grade!$J38="W (Withdrawn)", CSE4098C_Summer2026_Grade!$J38="I (Incomplete)"), 0, IF(BI52&gt;=55%, 1, 0))</f>
        <v>#DIV/0!</v>
      </c>
    </row>
    <row r="53" spans="1:73" ht="12.75" customHeight="1" thickBot="1">
      <c r="A53" s="118">
        <f t="shared" si="11"/>
        <v>35</v>
      </c>
      <c r="B53" s="228">
        <v>222014040</v>
      </c>
      <c r="C53" s="222" t="s">
        <v>237</v>
      </c>
      <c r="D53" s="119">
        <f>CO_Report_Evaluation!AG39</f>
        <v>0</v>
      </c>
      <c r="E53" s="119">
        <f>CO_Report_Evaluation!AH39</f>
        <v>0</v>
      </c>
      <c r="F53" s="119">
        <f>CO_Report_Evaluation!AI39</f>
        <v>0</v>
      </c>
      <c r="G53" s="119">
        <f>CO_Report_Evaluation!AJ38</f>
        <v>0</v>
      </c>
      <c r="H53" s="119">
        <f>CO_Report_Evaluation!AK39</f>
        <v>0</v>
      </c>
      <c r="I53" s="119">
        <f>CO_Report_Evaluation!AL39</f>
        <v>0</v>
      </c>
      <c r="J53" s="119">
        <f>CO_Report_Evaluation!AM38</f>
        <v>0</v>
      </c>
      <c r="K53" s="119">
        <f>CO_Report_Evaluation!AN39</f>
        <v>0</v>
      </c>
      <c r="L53" s="119">
        <f>CSE4098C_Summer2026_Grade!G39</f>
        <v>0</v>
      </c>
      <c r="M53" s="119"/>
      <c r="N53" s="33">
        <f>((CSE4098C_Summer2026_Grade!E39)*10)/25</f>
        <v>5.6</v>
      </c>
      <c r="O53" s="120"/>
      <c r="P53" s="121"/>
      <c r="Q53" s="122">
        <v>13.89</v>
      </c>
      <c r="R53" s="120"/>
      <c r="S53" s="123">
        <f t="shared" si="4"/>
        <v>0</v>
      </c>
      <c r="T53" s="124">
        <f t="shared" ref="T53:U53" si="144">E53</f>
        <v>0</v>
      </c>
      <c r="U53" s="124">
        <f t="shared" si="144"/>
        <v>0</v>
      </c>
      <c r="V53" s="124">
        <f t="shared" ref="V53:X53" si="145">SUM(G53,P53)</f>
        <v>0</v>
      </c>
      <c r="W53" s="124">
        <f t="shared" si="145"/>
        <v>13.89</v>
      </c>
      <c r="X53" s="124">
        <f t="shared" si="145"/>
        <v>0</v>
      </c>
      <c r="Y53" s="125">
        <f t="shared" ref="Y53:AA53" si="146">J53</f>
        <v>0</v>
      </c>
      <c r="Z53" s="125">
        <f t="shared" si="146"/>
        <v>0</v>
      </c>
      <c r="AA53" s="125">
        <f t="shared" si="146"/>
        <v>0</v>
      </c>
      <c r="AB53" s="125">
        <f t="shared" si="9"/>
        <v>5.6</v>
      </c>
      <c r="AC53" s="126">
        <f t="shared" ref="AC53:AL53" si="147">IF(S53 = 0, 0, S53/S$18)</f>
        <v>0</v>
      </c>
      <c r="AD53" s="127">
        <f t="shared" si="147"/>
        <v>0</v>
      </c>
      <c r="AE53" s="128">
        <f t="shared" si="147"/>
        <v>0</v>
      </c>
      <c r="AF53" s="128">
        <f t="shared" si="147"/>
        <v>0</v>
      </c>
      <c r="AG53" s="128">
        <f t="shared" si="147"/>
        <v>0.53423076923076929</v>
      </c>
      <c r="AH53" s="128">
        <f t="shared" si="147"/>
        <v>0</v>
      </c>
      <c r="AI53" s="128">
        <f t="shared" si="147"/>
        <v>0</v>
      </c>
      <c r="AJ53" s="128">
        <f t="shared" si="147"/>
        <v>0</v>
      </c>
      <c r="AK53" s="128">
        <f t="shared" si="147"/>
        <v>0</v>
      </c>
      <c r="AL53" s="128">
        <f t="shared" si="147"/>
        <v>0.55999999999999994</v>
      </c>
      <c r="AM53" s="129" t="e">
        <f>IF(OR(CSE4098C_Summer2026_Grade!$J39="W (Withdrawn)", CSE4098C_Summer2026_Grade!$J39="I (Incomplete)"), 0, IF(AC53&gt;=55%, 1, 0))</f>
        <v>#DIV/0!</v>
      </c>
      <c r="AN53" s="129" t="e">
        <f>IF(OR(CSE4098C_Summer2026_Grade!$J39="W (Withdrawn)", CSE4098C_Summer2026_Grade!$J39="I (Incomplete)"), 0, IF(AD53&gt;=55%, 1, 0))</f>
        <v>#DIV/0!</v>
      </c>
      <c r="AO53" s="129" t="e">
        <f>IF(OR(CSE4098C_Summer2026_Grade!$J39="W (Withdrawn)", CSE4098C_Summer2026_Grade!$J39="I (Incomplete)"), 0, IF(AE53&gt;=55%, 1, 0))</f>
        <v>#DIV/0!</v>
      </c>
      <c r="AP53" s="129" t="e">
        <f>IF(OR(CSE4098C_Summer2026_Grade!$J39="W (Withdrawn)", CSE4098C_Summer2026_Grade!$J39="I (Incomplete)"), 0, IF(AF53&gt;=55%, 1, 0))</f>
        <v>#DIV/0!</v>
      </c>
      <c r="AQ53" s="129" t="e">
        <f>IF(OR(CSE4098C_Summer2026_Grade!$J39="W (Withdrawn)", CSE4098C_Summer2026_Grade!$J39="I (Incomplete)"), 0, IF(AG53&gt;=55%, 1, 0))</f>
        <v>#DIV/0!</v>
      </c>
      <c r="AR53" s="129" t="e">
        <f>IF(OR(CSE4098C_Summer2026_Grade!$J39="W (Withdrawn)", CSE4098C_Summer2026_Grade!$J39="I (Incomplete)"), 0, IF(AH53&gt;=55%, 1, 0))</f>
        <v>#DIV/0!</v>
      </c>
      <c r="AS53" s="129" t="e">
        <f>IF(OR(CSE4098C_Summer2026_Grade!$J39="W (Withdrawn)", CSE4098C_Summer2026_Grade!$J39="I (Incomplete)"), 0, IF(AI53&gt;=55%, 1, 0))</f>
        <v>#DIV/0!</v>
      </c>
      <c r="AT53" s="129" t="e">
        <f>IF(OR(CSE4098C_Summer2026_Grade!$J39="W (Withdrawn)", CSE4098C_Summer2026_Grade!$J39="I (Incomplete)"), 0, IF(AJ53&gt;=55%, 1, 0))</f>
        <v>#DIV/0!</v>
      </c>
      <c r="AU53" s="129" t="e">
        <f>IF(OR(CSE4098C_Summer2026_Grade!$J39="W (Withdrawn)", CSE4098C_Summer2026_Grade!$J39="I (Incomplete)"), 0, IF(AK53&gt;=55%, 1, 0))</f>
        <v>#DIV/0!</v>
      </c>
      <c r="AV53" s="129" t="e">
        <f>IF(OR(CSE4098C_Summer2026_Grade!$J39="W (Withdrawn)", CSE4098C_Summer2026_Grade!$J39="I (Incomplete)"), 0, IF(AL53&gt;=55%, 1, 0))</f>
        <v>#DIV/0!</v>
      </c>
      <c r="AX53" s="130">
        <f t="array" ref="AX53">IF($AY$13=0,0,MMULT($AC53:$AL53, AY$3:AY$12)/$AY$13)</f>
        <v>0</v>
      </c>
      <c r="AY53" s="130">
        <f t="array" ref="AY53">IF($AZ$13=0,0,MMULT($AC53:$AL53, AZ$3:AZ$12)/$AZ$13)</f>
        <v>0</v>
      </c>
      <c r="AZ53" s="130">
        <f t="array" ref="AZ53">IF($BA$13=0,0,MMULT($AC53:$AL53, BA$3:BA$12)/$BA$13)</f>
        <v>0</v>
      </c>
      <c r="BA53" s="130">
        <f t="array" ref="BA53">IF($BB$13=0,0,MMULT($AC53:$AL53, BB$3:BB$12)/$BB$13)</f>
        <v>0.53423076923076929</v>
      </c>
      <c r="BB53" s="130">
        <f t="array" ref="BB53">IF($BC$13=0,0,MMULT($AC53:$AL53, BC$3:BC$12)/$BC$13)</f>
        <v>0</v>
      </c>
      <c r="BC53" s="130">
        <f t="array" ref="BC53">IF($BD$13=0,0,MMULT($AC53:$AL53, BD$3:BD$12)/$BD$13)</f>
        <v>0</v>
      </c>
      <c r="BD53" s="130">
        <f t="array" ref="BD53">IF($BE$13=0,0,MMULT($AC53:$AL53, BE$3:BE$12)/$BE$13)</f>
        <v>0</v>
      </c>
      <c r="BE53" s="130">
        <f t="array" ref="BE53">IF($BF$13=0,0,MMULT($AC53:$AL53, BF$3:BF$12)/$BF$13)</f>
        <v>0</v>
      </c>
      <c r="BF53" s="130">
        <f t="array" ref="BF53">IF($BG$13=0,0,MMULT($AC53:$AL53, BG$3:BG$12)/$BG$13)</f>
        <v>0</v>
      </c>
      <c r="BG53" s="130">
        <f t="array" ref="BG53">IF($BH$13=0,0,MMULT($AC53:$AL53, BH$3:BH$12)/$BH$13)</f>
        <v>0.55999999999999994</v>
      </c>
      <c r="BH53" s="130">
        <f t="array" ref="BH53">IF($BI$13=0,0,MMULT($AC53:$AL53, BI$3:BI$12)/$BI$13)</f>
        <v>0</v>
      </c>
      <c r="BI53" s="130">
        <f t="array" ref="BI53">IF($BJ$13=0,0,MMULT($AC53:$AL53, BJ$3:BJ$12)/$BJ$13)</f>
        <v>0</v>
      </c>
      <c r="BJ53" s="129" t="e">
        <f>IF(OR(CSE4098C_Summer2026_Grade!$J39="W (Withdrawn)", CSE4098C_Summer2026_Grade!$J39="I (Incomplete)"), 0, IF(AX53&gt;=55%, 1, 0))</f>
        <v>#DIV/0!</v>
      </c>
      <c r="BK53" s="129" t="e">
        <f>IF(OR(CSE4098C_Summer2026_Grade!$J39="W (Withdrawn)", CSE4098C_Summer2026_Grade!$J39="I (Incomplete)"), 0, IF(AY53&gt;=55%, 1, 0))</f>
        <v>#DIV/0!</v>
      </c>
      <c r="BL53" s="129" t="e">
        <f>IF(OR(CSE4098C_Summer2026_Grade!$J39="W (Withdrawn)", CSE4098C_Summer2026_Grade!$J39="I (Incomplete)"), 0, IF(AZ53&gt;=55%, 1, 0))</f>
        <v>#DIV/0!</v>
      </c>
      <c r="BM53" s="129" t="e">
        <f>IF(OR(CSE4098C_Summer2026_Grade!$J39="W (Withdrawn)", CSE4098C_Summer2026_Grade!$J39="I (Incomplete)"), 0, IF(BA53&gt;=55%, 1, 0))</f>
        <v>#DIV/0!</v>
      </c>
      <c r="BN53" s="129" t="e">
        <f>IF(OR(CSE4098C_Summer2026_Grade!$J39="W (Withdrawn)", CSE4098C_Summer2026_Grade!$J39="I (Incomplete)"), 0, IF(BB53&gt;=55%, 1, 0))</f>
        <v>#DIV/0!</v>
      </c>
      <c r="BO53" s="129" t="e">
        <f>IF(OR(CSE4098C_Summer2026_Grade!$J39="W (Withdrawn)", CSE4098C_Summer2026_Grade!$J39="I (Incomplete)"), 0, IF(BC53&gt;=55%, 1, 0))</f>
        <v>#DIV/0!</v>
      </c>
      <c r="BP53" s="129" t="e">
        <f>IF(OR(CSE4098C_Summer2026_Grade!$J39="W (Withdrawn)", CSE4098C_Summer2026_Grade!$J39="I (Incomplete)"), 0, IF(BD53&gt;=55%, 1, 0))</f>
        <v>#DIV/0!</v>
      </c>
      <c r="BQ53" s="129" t="e">
        <f>IF(OR(CSE4098C_Summer2026_Grade!$J39="W (Withdrawn)", CSE4098C_Summer2026_Grade!$J39="I (Incomplete)"), 0, IF(BE53&gt;=55%, 1, 0))</f>
        <v>#DIV/0!</v>
      </c>
      <c r="BR53" s="129" t="e">
        <f>IF(OR(CSE4098C_Summer2026_Grade!$J39="W (Withdrawn)", CSE4098C_Summer2026_Grade!$J39="I (Incomplete)"), 0, IF(BF53&gt;=55%, 1, 0))</f>
        <v>#DIV/0!</v>
      </c>
      <c r="BS53" s="129" t="e">
        <f>IF(OR(CSE4098C_Summer2026_Grade!$J39="W (Withdrawn)", CSE4098C_Summer2026_Grade!$J39="I (Incomplete)"), 0, IF(BG53&gt;=55%, 1, 0))</f>
        <v>#DIV/0!</v>
      </c>
      <c r="BT53" s="129" t="e">
        <f>IF(OR(CSE4098C_Summer2026_Grade!$J39="W (Withdrawn)", CSE4098C_Summer2026_Grade!$J39="I (Incomplete)"), 0, IF(BH53&gt;=55%, 1, 0))</f>
        <v>#DIV/0!</v>
      </c>
      <c r="BU53" s="129" t="e">
        <f>IF(OR(CSE4098C_Summer2026_Grade!$J39="W (Withdrawn)", CSE4098C_Summer2026_Grade!$J39="I (Incomplete)"), 0, IF(BI53&gt;=55%, 1, 0))</f>
        <v>#DIV/0!</v>
      </c>
    </row>
    <row r="54" spans="1:73" ht="12.75" customHeight="1" thickBot="1">
      <c r="A54" s="118">
        <f t="shared" si="11"/>
        <v>36</v>
      </c>
      <c r="B54" s="228">
        <v>222014071</v>
      </c>
      <c r="C54" s="231" t="s">
        <v>238</v>
      </c>
      <c r="D54" s="119">
        <f>CO_Report_Evaluation!AG39</f>
        <v>0</v>
      </c>
      <c r="E54" s="119">
        <f>CO_Report_Evaluation!AH39</f>
        <v>0</v>
      </c>
      <c r="F54" s="119">
        <f>CO_Report_Evaluation!AI40</f>
        <v>0</v>
      </c>
      <c r="G54" s="119">
        <f>CO_Report_Evaluation!AJ39</f>
        <v>0</v>
      </c>
      <c r="H54" s="119">
        <f>CO_Report_Evaluation!AK39</f>
        <v>0</v>
      </c>
      <c r="I54" s="119">
        <f>CO_Report_Evaluation!AL40</f>
        <v>0</v>
      </c>
      <c r="J54" s="119">
        <f>CO_Report_Evaluation!AM39</f>
        <v>0</v>
      </c>
      <c r="K54" s="119">
        <f>CO_Report_Evaluation!AN39</f>
        <v>0</v>
      </c>
      <c r="L54" s="119">
        <f>CSE4098C_Summer2026_Grade!G40</f>
        <v>0</v>
      </c>
      <c r="M54" s="119"/>
      <c r="N54" s="33">
        <f>((CSE4098C_Summer2026_Grade!E40)*10)/25</f>
        <v>7.38</v>
      </c>
      <c r="O54" s="120"/>
      <c r="P54" s="121"/>
      <c r="Q54" s="122">
        <v>13.89</v>
      </c>
      <c r="R54" s="120"/>
      <c r="S54" s="123">
        <f t="shared" si="4"/>
        <v>0</v>
      </c>
      <c r="T54" s="124">
        <f t="shared" ref="T54:U54" si="148">E54</f>
        <v>0</v>
      </c>
      <c r="U54" s="124">
        <f t="shared" si="148"/>
        <v>0</v>
      </c>
      <c r="V54" s="124">
        <f t="shared" ref="V54:X54" si="149">SUM(G54,P54)</f>
        <v>0</v>
      </c>
      <c r="W54" s="124">
        <f t="shared" si="149"/>
        <v>13.89</v>
      </c>
      <c r="X54" s="124">
        <f t="shared" si="149"/>
        <v>0</v>
      </c>
      <c r="Y54" s="125">
        <f t="shared" ref="Y54:AA54" si="150">J54</f>
        <v>0</v>
      </c>
      <c r="Z54" s="125">
        <f t="shared" si="150"/>
        <v>0</v>
      </c>
      <c r="AA54" s="125">
        <f t="shared" si="150"/>
        <v>0</v>
      </c>
      <c r="AB54" s="125">
        <f t="shared" si="9"/>
        <v>7.38</v>
      </c>
      <c r="AC54" s="126">
        <f t="shared" ref="AC54:AL54" si="151">IF(S54 = 0, 0, S54/S$18)</f>
        <v>0</v>
      </c>
      <c r="AD54" s="127">
        <f t="shared" si="151"/>
        <v>0</v>
      </c>
      <c r="AE54" s="128">
        <f t="shared" si="151"/>
        <v>0</v>
      </c>
      <c r="AF54" s="128">
        <f t="shared" si="151"/>
        <v>0</v>
      </c>
      <c r="AG54" s="128">
        <f t="shared" si="151"/>
        <v>0.53423076923076929</v>
      </c>
      <c r="AH54" s="128">
        <f t="shared" si="151"/>
        <v>0</v>
      </c>
      <c r="AI54" s="128">
        <f t="shared" si="151"/>
        <v>0</v>
      </c>
      <c r="AJ54" s="128">
        <f t="shared" si="151"/>
        <v>0</v>
      </c>
      <c r="AK54" s="128">
        <f t="shared" si="151"/>
        <v>0</v>
      </c>
      <c r="AL54" s="128">
        <f t="shared" si="151"/>
        <v>0.73799999999999999</v>
      </c>
      <c r="AM54" s="129" t="e">
        <f>IF(OR(CSE4098C_Summer2026_Grade!$J40="W (Withdrawn)", CSE4098C_Summer2026_Grade!$J40="I (Incomplete)"), 0, IF(AC54&gt;=55%, 1, 0))</f>
        <v>#DIV/0!</v>
      </c>
      <c r="AN54" s="129" t="e">
        <f>IF(OR(CSE4098C_Summer2026_Grade!$J40="W (Withdrawn)", CSE4098C_Summer2026_Grade!$J40="I (Incomplete)"), 0, IF(AD54&gt;=55%, 1, 0))</f>
        <v>#DIV/0!</v>
      </c>
      <c r="AO54" s="129" t="e">
        <f>IF(OR(CSE4098C_Summer2026_Grade!$J40="W (Withdrawn)", CSE4098C_Summer2026_Grade!$J40="I (Incomplete)"), 0, IF(AE54&gt;=55%, 1, 0))</f>
        <v>#DIV/0!</v>
      </c>
      <c r="AP54" s="129" t="e">
        <f>IF(OR(CSE4098C_Summer2026_Grade!$J40="W (Withdrawn)", CSE4098C_Summer2026_Grade!$J40="I (Incomplete)"), 0, IF(AF54&gt;=55%, 1, 0))</f>
        <v>#DIV/0!</v>
      </c>
      <c r="AQ54" s="129" t="e">
        <f>IF(OR(CSE4098C_Summer2026_Grade!$J40="W (Withdrawn)", CSE4098C_Summer2026_Grade!$J40="I (Incomplete)"), 0, IF(AG54&gt;=55%, 1, 0))</f>
        <v>#DIV/0!</v>
      </c>
      <c r="AR54" s="129" t="e">
        <f>IF(OR(CSE4098C_Summer2026_Grade!$J40="W (Withdrawn)", CSE4098C_Summer2026_Grade!$J40="I (Incomplete)"), 0, IF(AH54&gt;=55%, 1, 0))</f>
        <v>#DIV/0!</v>
      </c>
      <c r="AS54" s="129" t="e">
        <f>IF(OR(CSE4098C_Summer2026_Grade!$J40="W (Withdrawn)", CSE4098C_Summer2026_Grade!$J40="I (Incomplete)"), 0, IF(AI54&gt;=55%, 1, 0))</f>
        <v>#DIV/0!</v>
      </c>
      <c r="AT54" s="129" t="e">
        <f>IF(OR(CSE4098C_Summer2026_Grade!$J40="W (Withdrawn)", CSE4098C_Summer2026_Grade!$J40="I (Incomplete)"), 0, IF(AJ54&gt;=55%, 1, 0))</f>
        <v>#DIV/0!</v>
      </c>
      <c r="AU54" s="129" t="e">
        <f>IF(OR(CSE4098C_Summer2026_Grade!$J40="W (Withdrawn)", CSE4098C_Summer2026_Grade!$J40="I (Incomplete)"), 0, IF(AK54&gt;=55%, 1, 0))</f>
        <v>#DIV/0!</v>
      </c>
      <c r="AV54" s="129" t="e">
        <f>IF(OR(CSE4098C_Summer2026_Grade!$J40="W (Withdrawn)", CSE4098C_Summer2026_Grade!$J40="I (Incomplete)"), 0, IF(AL54&gt;=55%, 1, 0))</f>
        <v>#DIV/0!</v>
      </c>
      <c r="AX54" s="130">
        <f t="array" ref="AX54">IF($AY$13=0,0,MMULT($AC54:$AL54, AY$3:AY$12)/$AY$13)</f>
        <v>0</v>
      </c>
      <c r="AY54" s="130">
        <f t="array" ref="AY54">IF($AZ$13=0,0,MMULT($AC54:$AL54, AZ$3:AZ$12)/$AZ$13)</f>
        <v>0</v>
      </c>
      <c r="AZ54" s="130">
        <f t="array" ref="AZ54">IF($BA$13=0,0,MMULT($AC54:$AL54, BA$3:BA$12)/$BA$13)</f>
        <v>0</v>
      </c>
      <c r="BA54" s="130">
        <f t="array" ref="BA54">IF($BB$13=0,0,MMULT($AC54:$AL54, BB$3:BB$12)/$BB$13)</f>
        <v>0.53423076923076929</v>
      </c>
      <c r="BB54" s="130">
        <f t="array" ref="BB54">IF($BC$13=0,0,MMULT($AC54:$AL54, BC$3:BC$12)/$BC$13)</f>
        <v>0</v>
      </c>
      <c r="BC54" s="130">
        <f t="array" ref="BC54">IF($BD$13=0,0,MMULT($AC54:$AL54, BD$3:BD$12)/$BD$13)</f>
        <v>0</v>
      </c>
      <c r="BD54" s="130">
        <f t="array" ref="BD54">IF($BE$13=0,0,MMULT($AC54:$AL54, BE$3:BE$12)/$BE$13)</f>
        <v>0</v>
      </c>
      <c r="BE54" s="130">
        <f t="array" ref="BE54">IF($BF$13=0,0,MMULT($AC54:$AL54, BF$3:BF$12)/$BF$13)</f>
        <v>0</v>
      </c>
      <c r="BF54" s="130">
        <f t="array" ref="BF54">IF($BG$13=0,0,MMULT($AC54:$AL54, BG$3:BG$12)/$BG$13)</f>
        <v>0</v>
      </c>
      <c r="BG54" s="130">
        <f t="array" ref="BG54">IF($BH$13=0,0,MMULT($AC54:$AL54, BH$3:BH$12)/$BH$13)</f>
        <v>0.73799999999999999</v>
      </c>
      <c r="BH54" s="130">
        <f t="array" ref="BH54">IF($BI$13=0,0,MMULT($AC54:$AL54, BI$3:BI$12)/$BI$13)</f>
        <v>0</v>
      </c>
      <c r="BI54" s="130">
        <f t="array" ref="BI54">IF($BJ$13=0,0,MMULT($AC54:$AL54, BJ$3:BJ$12)/$BJ$13)</f>
        <v>0</v>
      </c>
      <c r="BJ54" s="129" t="e">
        <f>IF(OR(CSE4098C_Summer2026_Grade!$J40="W (Withdrawn)", CSE4098C_Summer2026_Grade!$J40="I (Incomplete)"), 0, IF(AX54&gt;=55%, 1, 0))</f>
        <v>#DIV/0!</v>
      </c>
      <c r="BK54" s="129" t="e">
        <f>IF(OR(CSE4098C_Summer2026_Grade!$J40="W (Withdrawn)", CSE4098C_Summer2026_Grade!$J40="I (Incomplete)"), 0, IF(AY54&gt;=55%, 1, 0))</f>
        <v>#DIV/0!</v>
      </c>
      <c r="BL54" s="129" t="e">
        <f>IF(OR(CSE4098C_Summer2026_Grade!$J40="W (Withdrawn)", CSE4098C_Summer2026_Grade!$J40="I (Incomplete)"), 0, IF(AZ54&gt;=55%, 1, 0))</f>
        <v>#DIV/0!</v>
      </c>
      <c r="BM54" s="129" t="e">
        <f>IF(OR(CSE4098C_Summer2026_Grade!$J40="W (Withdrawn)", CSE4098C_Summer2026_Grade!$J40="I (Incomplete)"), 0, IF(BA54&gt;=55%, 1, 0))</f>
        <v>#DIV/0!</v>
      </c>
      <c r="BN54" s="129" t="e">
        <f>IF(OR(CSE4098C_Summer2026_Grade!$J40="W (Withdrawn)", CSE4098C_Summer2026_Grade!$J40="I (Incomplete)"), 0, IF(BB54&gt;=55%, 1, 0))</f>
        <v>#DIV/0!</v>
      </c>
      <c r="BO54" s="129" t="e">
        <f>IF(OR(CSE4098C_Summer2026_Grade!$J40="W (Withdrawn)", CSE4098C_Summer2026_Grade!$J40="I (Incomplete)"), 0, IF(BC54&gt;=55%, 1, 0))</f>
        <v>#DIV/0!</v>
      </c>
      <c r="BP54" s="129" t="e">
        <f>IF(OR(CSE4098C_Summer2026_Grade!$J40="W (Withdrawn)", CSE4098C_Summer2026_Grade!$J40="I (Incomplete)"), 0, IF(BD54&gt;=55%, 1, 0))</f>
        <v>#DIV/0!</v>
      </c>
      <c r="BQ54" s="129" t="e">
        <f>IF(OR(CSE4098C_Summer2026_Grade!$J40="W (Withdrawn)", CSE4098C_Summer2026_Grade!$J40="I (Incomplete)"), 0, IF(BE54&gt;=55%, 1, 0))</f>
        <v>#DIV/0!</v>
      </c>
      <c r="BR54" s="129" t="e">
        <f>IF(OR(CSE4098C_Summer2026_Grade!$J40="W (Withdrawn)", CSE4098C_Summer2026_Grade!$J40="I (Incomplete)"), 0, IF(BF54&gt;=55%, 1, 0))</f>
        <v>#DIV/0!</v>
      </c>
      <c r="BS54" s="129" t="e">
        <f>IF(OR(CSE4098C_Summer2026_Grade!$J40="W (Withdrawn)", CSE4098C_Summer2026_Grade!$J40="I (Incomplete)"), 0, IF(BG54&gt;=55%, 1, 0))</f>
        <v>#DIV/0!</v>
      </c>
      <c r="BT54" s="129" t="e">
        <f>IF(OR(CSE4098C_Summer2026_Grade!$J40="W (Withdrawn)", CSE4098C_Summer2026_Grade!$J40="I (Incomplete)"), 0, IF(BH54&gt;=55%, 1, 0))</f>
        <v>#DIV/0!</v>
      </c>
      <c r="BU54" s="129" t="e">
        <f>IF(OR(CSE4098C_Summer2026_Grade!$J40="W (Withdrawn)", CSE4098C_Summer2026_Grade!$J40="I (Incomplete)"), 0, IF(BI54&gt;=55%, 1, 0))</f>
        <v>#DIV/0!</v>
      </c>
    </row>
    <row r="55" spans="1:73" ht="12.75" customHeight="1" thickBot="1">
      <c r="A55" s="118">
        <f t="shared" si="11"/>
        <v>37</v>
      </c>
      <c r="B55" s="228">
        <v>223014195</v>
      </c>
      <c r="C55" s="222" t="s">
        <v>239</v>
      </c>
      <c r="D55" s="119">
        <f>CO_Report_Evaluation!AG40</f>
        <v>0</v>
      </c>
      <c r="E55" s="119">
        <f>CO_Report_Evaluation!AH40</f>
        <v>0</v>
      </c>
      <c r="F55" s="119">
        <f>CO_Report_Evaluation!AI40</f>
        <v>0</v>
      </c>
      <c r="G55" s="119">
        <f>CO_Report_Evaluation!AJ40</f>
        <v>0</v>
      </c>
      <c r="H55" s="119">
        <f>CO_Report_Evaluation!AK40</f>
        <v>0</v>
      </c>
      <c r="I55" s="119">
        <f>CO_Report_Evaluation!AL40</f>
        <v>0</v>
      </c>
      <c r="J55" s="119">
        <f>CO_Report_Evaluation!AM40</f>
        <v>0</v>
      </c>
      <c r="K55" s="119">
        <f>CO_Report_Evaluation!AN40</f>
        <v>0</v>
      </c>
      <c r="L55" s="119">
        <f>CSE4098C_Summer2026_Grade!G41</f>
        <v>0</v>
      </c>
      <c r="M55" s="119"/>
      <c r="N55" s="33">
        <f>((CSE4098C_Summer2026_Grade!E41)*10)/25</f>
        <v>7.4680000000000009</v>
      </c>
      <c r="O55" s="120"/>
      <c r="P55" s="121"/>
      <c r="Q55" s="122">
        <v>13.89</v>
      </c>
      <c r="R55" s="120"/>
      <c r="S55" s="123">
        <f t="shared" si="4"/>
        <v>0</v>
      </c>
      <c r="T55" s="124">
        <f t="shared" ref="T55:U55" si="152">E55</f>
        <v>0</v>
      </c>
      <c r="U55" s="124">
        <f t="shared" si="152"/>
        <v>0</v>
      </c>
      <c r="V55" s="124">
        <f t="shared" ref="V55:X55" si="153">SUM(G55,P55)</f>
        <v>0</v>
      </c>
      <c r="W55" s="124">
        <f t="shared" si="153"/>
        <v>13.89</v>
      </c>
      <c r="X55" s="124">
        <f t="shared" si="153"/>
        <v>0</v>
      </c>
      <c r="Y55" s="125">
        <f t="shared" ref="Y55:AA55" si="154">J55</f>
        <v>0</v>
      </c>
      <c r="Z55" s="125">
        <f t="shared" si="154"/>
        <v>0</v>
      </c>
      <c r="AA55" s="125">
        <f t="shared" si="154"/>
        <v>0</v>
      </c>
      <c r="AB55" s="125">
        <f t="shared" si="9"/>
        <v>7.4680000000000009</v>
      </c>
      <c r="AC55" s="126">
        <f t="shared" ref="AC55:AL55" si="155">IF(S55 = 0, 0, S55/S$18)</f>
        <v>0</v>
      </c>
      <c r="AD55" s="127">
        <f t="shared" si="155"/>
        <v>0</v>
      </c>
      <c r="AE55" s="128">
        <f t="shared" si="155"/>
        <v>0</v>
      </c>
      <c r="AF55" s="128">
        <f t="shared" si="155"/>
        <v>0</v>
      </c>
      <c r="AG55" s="128">
        <f t="shared" si="155"/>
        <v>0.53423076923076929</v>
      </c>
      <c r="AH55" s="128">
        <f t="shared" si="155"/>
        <v>0</v>
      </c>
      <c r="AI55" s="128">
        <f t="shared" si="155"/>
        <v>0</v>
      </c>
      <c r="AJ55" s="128">
        <f t="shared" si="155"/>
        <v>0</v>
      </c>
      <c r="AK55" s="128">
        <f t="shared" si="155"/>
        <v>0</v>
      </c>
      <c r="AL55" s="128">
        <f t="shared" si="155"/>
        <v>0.74680000000000013</v>
      </c>
      <c r="AM55" s="129" t="e">
        <f>IF(OR(CSE4098C_Summer2026_Grade!$J41="W (Withdrawn)", CSE4098C_Summer2026_Grade!$J41="I (Incomplete)"), 0, IF(AC55&gt;=55%, 1, 0))</f>
        <v>#DIV/0!</v>
      </c>
      <c r="AN55" s="129" t="e">
        <f>IF(OR(CSE4098C_Summer2026_Grade!$J41="W (Withdrawn)", CSE4098C_Summer2026_Grade!$J41="I (Incomplete)"), 0, IF(AD55&gt;=55%, 1, 0))</f>
        <v>#DIV/0!</v>
      </c>
      <c r="AO55" s="129" t="e">
        <f>IF(OR(CSE4098C_Summer2026_Grade!$J41="W (Withdrawn)", CSE4098C_Summer2026_Grade!$J41="I (Incomplete)"), 0, IF(AE55&gt;=55%, 1, 0))</f>
        <v>#DIV/0!</v>
      </c>
      <c r="AP55" s="129" t="e">
        <f>IF(OR(CSE4098C_Summer2026_Grade!$J41="W (Withdrawn)", CSE4098C_Summer2026_Grade!$J41="I (Incomplete)"), 0, IF(AF55&gt;=55%, 1, 0))</f>
        <v>#DIV/0!</v>
      </c>
      <c r="AQ55" s="129" t="e">
        <f>IF(OR(CSE4098C_Summer2026_Grade!$J41="W (Withdrawn)", CSE4098C_Summer2026_Grade!$J41="I (Incomplete)"), 0, IF(AG55&gt;=55%, 1, 0))</f>
        <v>#DIV/0!</v>
      </c>
      <c r="AR55" s="129" t="e">
        <f>IF(OR(CSE4098C_Summer2026_Grade!$J41="W (Withdrawn)", CSE4098C_Summer2026_Grade!$J41="I (Incomplete)"), 0, IF(AH55&gt;=55%, 1, 0))</f>
        <v>#DIV/0!</v>
      </c>
      <c r="AS55" s="129" t="e">
        <f>IF(OR(CSE4098C_Summer2026_Grade!$J41="W (Withdrawn)", CSE4098C_Summer2026_Grade!$J41="I (Incomplete)"), 0, IF(AI55&gt;=55%, 1, 0))</f>
        <v>#DIV/0!</v>
      </c>
      <c r="AT55" s="129" t="e">
        <f>IF(OR(CSE4098C_Summer2026_Grade!$J41="W (Withdrawn)", CSE4098C_Summer2026_Grade!$J41="I (Incomplete)"), 0, IF(AJ55&gt;=55%, 1, 0))</f>
        <v>#DIV/0!</v>
      </c>
      <c r="AU55" s="129" t="e">
        <f>IF(OR(CSE4098C_Summer2026_Grade!$J41="W (Withdrawn)", CSE4098C_Summer2026_Grade!$J41="I (Incomplete)"), 0, IF(AK55&gt;=55%, 1, 0))</f>
        <v>#DIV/0!</v>
      </c>
      <c r="AV55" s="129" t="e">
        <f>IF(OR(CSE4098C_Summer2026_Grade!$J41="W (Withdrawn)", CSE4098C_Summer2026_Grade!$J41="I (Incomplete)"), 0, IF(AL55&gt;=55%, 1, 0))</f>
        <v>#DIV/0!</v>
      </c>
      <c r="AX55" s="130">
        <f t="array" ref="AX55">IF($AY$13=0,0,MMULT($AC55:$AL55, AY$3:AY$12)/$AY$13)</f>
        <v>0</v>
      </c>
      <c r="AY55" s="130">
        <f t="array" ref="AY55">IF($AZ$13=0,0,MMULT($AC55:$AL55, AZ$3:AZ$12)/$AZ$13)</f>
        <v>0</v>
      </c>
      <c r="AZ55" s="130">
        <f t="array" ref="AZ55">IF($BA$13=0,0,MMULT($AC55:$AL55, BA$3:BA$12)/$BA$13)</f>
        <v>0</v>
      </c>
      <c r="BA55" s="130">
        <f t="array" ref="BA55">IF($BB$13=0,0,MMULT($AC55:$AL55, BB$3:BB$12)/$BB$13)</f>
        <v>0.53423076923076929</v>
      </c>
      <c r="BB55" s="130">
        <f t="array" ref="BB55">IF($BC$13=0,0,MMULT($AC55:$AL55, BC$3:BC$12)/$BC$13)</f>
        <v>0</v>
      </c>
      <c r="BC55" s="130">
        <f t="array" ref="BC55">IF($BD$13=0,0,MMULT($AC55:$AL55, BD$3:BD$12)/$BD$13)</f>
        <v>0</v>
      </c>
      <c r="BD55" s="130">
        <f t="array" ref="BD55">IF($BE$13=0,0,MMULT($AC55:$AL55, BE$3:BE$12)/$BE$13)</f>
        <v>0</v>
      </c>
      <c r="BE55" s="130">
        <f t="array" ref="BE55">IF($BF$13=0,0,MMULT($AC55:$AL55, BF$3:BF$12)/$BF$13)</f>
        <v>0</v>
      </c>
      <c r="BF55" s="130">
        <f t="array" ref="BF55">IF($BG$13=0,0,MMULT($AC55:$AL55, BG$3:BG$12)/$BG$13)</f>
        <v>0</v>
      </c>
      <c r="BG55" s="130">
        <f t="array" ref="BG55">IF($BH$13=0,0,MMULT($AC55:$AL55, BH$3:BH$12)/$BH$13)</f>
        <v>0.74680000000000013</v>
      </c>
      <c r="BH55" s="130">
        <f t="array" ref="BH55">IF($BI$13=0,0,MMULT($AC55:$AL55, BI$3:BI$12)/$BI$13)</f>
        <v>0</v>
      </c>
      <c r="BI55" s="130">
        <f t="array" ref="BI55">IF($BJ$13=0,0,MMULT($AC55:$AL55, BJ$3:BJ$12)/$BJ$13)</f>
        <v>0</v>
      </c>
      <c r="BJ55" s="129" t="e">
        <f>IF(OR(CSE4098C_Summer2026_Grade!$J41="W (Withdrawn)", CSE4098C_Summer2026_Grade!$J41="I (Incomplete)"), 0, IF(AX55&gt;=55%, 1, 0))</f>
        <v>#DIV/0!</v>
      </c>
      <c r="BK55" s="129" t="e">
        <f>IF(OR(CSE4098C_Summer2026_Grade!$J41="W (Withdrawn)", CSE4098C_Summer2026_Grade!$J41="I (Incomplete)"), 0, IF(AY55&gt;=55%, 1, 0))</f>
        <v>#DIV/0!</v>
      </c>
      <c r="BL55" s="129" t="e">
        <f>IF(OR(CSE4098C_Summer2026_Grade!$J41="W (Withdrawn)", CSE4098C_Summer2026_Grade!$J41="I (Incomplete)"), 0, IF(AZ55&gt;=55%, 1, 0))</f>
        <v>#DIV/0!</v>
      </c>
      <c r="BM55" s="129" t="e">
        <f>IF(OR(CSE4098C_Summer2026_Grade!$J41="W (Withdrawn)", CSE4098C_Summer2026_Grade!$J41="I (Incomplete)"), 0, IF(BA55&gt;=55%, 1, 0))</f>
        <v>#DIV/0!</v>
      </c>
      <c r="BN55" s="129" t="e">
        <f>IF(OR(CSE4098C_Summer2026_Grade!$J41="W (Withdrawn)", CSE4098C_Summer2026_Grade!$J41="I (Incomplete)"), 0, IF(BB55&gt;=55%, 1, 0))</f>
        <v>#DIV/0!</v>
      </c>
      <c r="BO55" s="129" t="e">
        <f>IF(OR(CSE4098C_Summer2026_Grade!$J41="W (Withdrawn)", CSE4098C_Summer2026_Grade!$J41="I (Incomplete)"), 0, IF(BC55&gt;=55%, 1, 0))</f>
        <v>#DIV/0!</v>
      </c>
      <c r="BP55" s="129" t="e">
        <f>IF(OR(CSE4098C_Summer2026_Grade!$J41="W (Withdrawn)", CSE4098C_Summer2026_Grade!$J41="I (Incomplete)"), 0, IF(BD55&gt;=55%, 1, 0))</f>
        <v>#DIV/0!</v>
      </c>
      <c r="BQ55" s="129" t="e">
        <f>IF(OR(CSE4098C_Summer2026_Grade!$J41="W (Withdrawn)", CSE4098C_Summer2026_Grade!$J41="I (Incomplete)"), 0, IF(BE55&gt;=55%, 1, 0))</f>
        <v>#DIV/0!</v>
      </c>
      <c r="BR55" s="129" t="e">
        <f>IF(OR(CSE4098C_Summer2026_Grade!$J41="W (Withdrawn)", CSE4098C_Summer2026_Grade!$J41="I (Incomplete)"), 0, IF(BF55&gt;=55%, 1, 0))</f>
        <v>#DIV/0!</v>
      </c>
      <c r="BS55" s="129" t="e">
        <f>IF(OR(CSE4098C_Summer2026_Grade!$J41="W (Withdrawn)", CSE4098C_Summer2026_Grade!$J41="I (Incomplete)"), 0, IF(BG55&gt;=55%, 1, 0))</f>
        <v>#DIV/0!</v>
      </c>
      <c r="BT55" s="129" t="e">
        <f>IF(OR(CSE4098C_Summer2026_Grade!$J41="W (Withdrawn)", CSE4098C_Summer2026_Grade!$J41="I (Incomplete)"), 0, IF(BH55&gt;=55%, 1, 0))</f>
        <v>#DIV/0!</v>
      </c>
      <c r="BU55" s="129" t="e">
        <f>IF(OR(CSE4098C_Summer2026_Grade!$J41="W (Withdrawn)", CSE4098C_Summer2026_Grade!$J41="I (Incomplete)"), 0, IF(BI55&gt;=55%, 1, 0))</f>
        <v>#DIV/0!</v>
      </c>
    </row>
    <row r="56" spans="1:73" ht="12.75" customHeight="1" thickBot="1">
      <c r="A56" s="118">
        <f t="shared" si="11"/>
        <v>38</v>
      </c>
      <c r="B56" s="222">
        <v>223014143</v>
      </c>
      <c r="C56" s="222" t="s">
        <v>240</v>
      </c>
      <c r="D56" s="119">
        <f>CO_Report_Evaluation!AG41</f>
        <v>0</v>
      </c>
      <c r="E56" s="119">
        <f>CO_Report_Evaluation!AH41</f>
        <v>0</v>
      </c>
      <c r="F56" s="119">
        <f>CO_Report_Evaluation!AI41</f>
        <v>0</v>
      </c>
      <c r="G56" s="119">
        <f>CO_Report_Evaluation!AJ41</f>
        <v>0</v>
      </c>
      <c r="H56" s="119">
        <f>CO_Report_Evaluation!AK41</f>
        <v>0</v>
      </c>
      <c r="I56" s="119">
        <f>CO_Report_Evaluation!AL41</f>
        <v>0</v>
      </c>
      <c r="J56" s="119">
        <f>CO_Report_Evaluation!AM41</f>
        <v>0</v>
      </c>
      <c r="K56" s="119">
        <f>CO_Report_Evaluation!AN41</f>
        <v>0</v>
      </c>
      <c r="L56" s="119">
        <f>CSE4098C_Summer2026_Grade!G42</f>
        <v>0</v>
      </c>
      <c r="M56" s="119"/>
      <c r="N56" s="33">
        <f>((CSE4098C_Summer2026_Grade!E42)*10)/25</f>
        <v>5.3360000000000003</v>
      </c>
      <c r="O56" s="120"/>
      <c r="P56" s="121"/>
      <c r="Q56" s="122">
        <v>13.89</v>
      </c>
      <c r="R56" s="120"/>
      <c r="S56" s="123">
        <f t="shared" si="4"/>
        <v>0</v>
      </c>
      <c r="T56" s="124">
        <f t="shared" ref="T56:U56" si="156">E56</f>
        <v>0</v>
      </c>
      <c r="U56" s="124">
        <f t="shared" si="156"/>
        <v>0</v>
      </c>
      <c r="V56" s="124">
        <f t="shared" ref="V56:X56" si="157">SUM(G56,P56)</f>
        <v>0</v>
      </c>
      <c r="W56" s="124">
        <f t="shared" si="157"/>
        <v>13.89</v>
      </c>
      <c r="X56" s="124">
        <f t="shared" si="157"/>
        <v>0</v>
      </c>
      <c r="Y56" s="125">
        <f t="shared" ref="Y56:AA56" si="158">J56</f>
        <v>0</v>
      </c>
      <c r="Z56" s="125">
        <f t="shared" si="158"/>
        <v>0</v>
      </c>
      <c r="AA56" s="125">
        <f t="shared" si="158"/>
        <v>0</v>
      </c>
      <c r="AB56" s="125">
        <f t="shared" si="9"/>
        <v>5.3360000000000003</v>
      </c>
      <c r="AC56" s="126">
        <f t="shared" ref="AC56:AL56" si="159">IF(S56 = 0, 0, S56/S$18)</f>
        <v>0</v>
      </c>
      <c r="AD56" s="127">
        <f t="shared" si="159"/>
        <v>0</v>
      </c>
      <c r="AE56" s="128">
        <f t="shared" si="159"/>
        <v>0</v>
      </c>
      <c r="AF56" s="128">
        <f t="shared" si="159"/>
        <v>0</v>
      </c>
      <c r="AG56" s="128">
        <f t="shared" si="159"/>
        <v>0.53423076923076929</v>
      </c>
      <c r="AH56" s="128">
        <f t="shared" si="159"/>
        <v>0</v>
      </c>
      <c r="AI56" s="128">
        <f t="shared" si="159"/>
        <v>0</v>
      </c>
      <c r="AJ56" s="128">
        <f t="shared" si="159"/>
        <v>0</v>
      </c>
      <c r="AK56" s="128">
        <f t="shared" si="159"/>
        <v>0</v>
      </c>
      <c r="AL56" s="128">
        <f t="shared" si="159"/>
        <v>0.53360000000000007</v>
      </c>
      <c r="AM56" s="129" t="e">
        <f>IF(OR(CSE4098C_Summer2026_Grade!$J42="W (Withdrawn)", CSE4098C_Summer2026_Grade!$J42="I (Incomplete)"), 0, IF(AC56&gt;=55%, 1, 0))</f>
        <v>#DIV/0!</v>
      </c>
      <c r="AN56" s="129" t="e">
        <f>IF(OR(CSE4098C_Summer2026_Grade!$J42="W (Withdrawn)", CSE4098C_Summer2026_Grade!$J42="I (Incomplete)"), 0, IF(AD56&gt;=55%, 1, 0))</f>
        <v>#DIV/0!</v>
      </c>
      <c r="AO56" s="129" t="e">
        <f>IF(OR(CSE4098C_Summer2026_Grade!$J42="W (Withdrawn)", CSE4098C_Summer2026_Grade!$J42="I (Incomplete)"), 0, IF(AE56&gt;=55%, 1, 0))</f>
        <v>#DIV/0!</v>
      </c>
      <c r="AP56" s="129" t="e">
        <f>IF(OR(CSE4098C_Summer2026_Grade!$J42="W (Withdrawn)", CSE4098C_Summer2026_Grade!$J42="I (Incomplete)"), 0, IF(AF56&gt;=55%, 1, 0))</f>
        <v>#DIV/0!</v>
      </c>
      <c r="AQ56" s="129" t="e">
        <f>IF(OR(CSE4098C_Summer2026_Grade!$J42="W (Withdrawn)", CSE4098C_Summer2026_Grade!$J42="I (Incomplete)"), 0, IF(AG56&gt;=55%, 1, 0))</f>
        <v>#DIV/0!</v>
      </c>
      <c r="AR56" s="129" t="e">
        <f>IF(OR(CSE4098C_Summer2026_Grade!$J42="W (Withdrawn)", CSE4098C_Summer2026_Grade!$J42="I (Incomplete)"), 0, IF(AH56&gt;=55%, 1, 0))</f>
        <v>#DIV/0!</v>
      </c>
      <c r="AS56" s="129" t="e">
        <f>IF(OR(CSE4098C_Summer2026_Grade!$J42="W (Withdrawn)", CSE4098C_Summer2026_Grade!$J42="I (Incomplete)"), 0, IF(AI56&gt;=55%, 1, 0))</f>
        <v>#DIV/0!</v>
      </c>
      <c r="AT56" s="129" t="e">
        <f>IF(OR(CSE4098C_Summer2026_Grade!$J42="W (Withdrawn)", CSE4098C_Summer2026_Grade!$J42="I (Incomplete)"), 0, IF(AJ56&gt;=55%, 1, 0))</f>
        <v>#DIV/0!</v>
      </c>
      <c r="AU56" s="129" t="e">
        <f>IF(OR(CSE4098C_Summer2026_Grade!$J42="W (Withdrawn)", CSE4098C_Summer2026_Grade!$J42="I (Incomplete)"), 0, IF(AK56&gt;=55%, 1, 0))</f>
        <v>#DIV/0!</v>
      </c>
      <c r="AV56" s="129" t="e">
        <f>IF(OR(CSE4098C_Summer2026_Grade!$J42="W (Withdrawn)", CSE4098C_Summer2026_Grade!$J42="I (Incomplete)"), 0, IF(AL56&gt;=55%, 1, 0))</f>
        <v>#DIV/0!</v>
      </c>
      <c r="AX56" s="130">
        <f t="array" ref="AX56">IF($AY$13=0,0,MMULT($AC56:$AL56, AY$3:AY$12)/$AY$13)</f>
        <v>0</v>
      </c>
      <c r="AY56" s="130">
        <f t="array" ref="AY56">IF($AZ$13=0,0,MMULT($AC56:$AL56, AZ$3:AZ$12)/$AZ$13)</f>
        <v>0</v>
      </c>
      <c r="AZ56" s="130">
        <f t="array" ref="AZ56">IF($BA$13=0,0,MMULT($AC56:$AL56, BA$3:BA$12)/$BA$13)</f>
        <v>0</v>
      </c>
      <c r="BA56" s="130">
        <f t="array" ref="BA56">IF($BB$13=0,0,MMULT($AC56:$AL56, BB$3:BB$12)/$BB$13)</f>
        <v>0.53423076923076929</v>
      </c>
      <c r="BB56" s="130">
        <f t="array" ref="BB56">IF($BC$13=0,0,MMULT($AC56:$AL56, BC$3:BC$12)/$BC$13)</f>
        <v>0</v>
      </c>
      <c r="BC56" s="130">
        <f t="array" ref="BC56">IF($BD$13=0,0,MMULT($AC56:$AL56, BD$3:BD$12)/$BD$13)</f>
        <v>0</v>
      </c>
      <c r="BD56" s="130">
        <f t="array" ref="BD56">IF($BE$13=0,0,MMULT($AC56:$AL56, BE$3:BE$12)/$BE$13)</f>
        <v>0</v>
      </c>
      <c r="BE56" s="130">
        <f t="array" ref="BE56">IF($BF$13=0,0,MMULT($AC56:$AL56, BF$3:BF$12)/$BF$13)</f>
        <v>0</v>
      </c>
      <c r="BF56" s="130">
        <f t="array" ref="BF56">IF($BG$13=0,0,MMULT($AC56:$AL56, BG$3:BG$12)/$BG$13)</f>
        <v>0</v>
      </c>
      <c r="BG56" s="130">
        <f t="array" ref="BG56">IF($BH$13=0,0,MMULT($AC56:$AL56, BH$3:BH$12)/$BH$13)</f>
        <v>0.53360000000000007</v>
      </c>
      <c r="BH56" s="130">
        <f t="array" ref="BH56">IF($BI$13=0,0,MMULT($AC56:$AL56, BI$3:BI$12)/$BI$13)</f>
        <v>0</v>
      </c>
      <c r="BI56" s="130">
        <f t="array" ref="BI56">IF($BJ$13=0,0,MMULT($AC56:$AL56, BJ$3:BJ$12)/$BJ$13)</f>
        <v>0</v>
      </c>
      <c r="BJ56" s="129" t="e">
        <f>IF(OR(CSE4098C_Summer2026_Grade!$J42="W (Withdrawn)", CSE4098C_Summer2026_Grade!$J42="I (Incomplete)"), 0, IF(AX56&gt;=55%, 1, 0))</f>
        <v>#DIV/0!</v>
      </c>
      <c r="BK56" s="129" t="e">
        <f>IF(OR(CSE4098C_Summer2026_Grade!$J42="W (Withdrawn)", CSE4098C_Summer2026_Grade!$J42="I (Incomplete)"), 0, IF(AY56&gt;=55%, 1, 0))</f>
        <v>#DIV/0!</v>
      </c>
      <c r="BL56" s="129" t="e">
        <f>IF(OR(CSE4098C_Summer2026_Grade!$J42="W (Withdrawn)", CSE4098C_Summer2026_Grade!$J42="I (Incomplete)"), 0, IF(AZ56&gt;=55%, 1, 0))</f>
        <v>#DIV/0!</v>
      </c>
      <c r="BM56" s="129" t="e">
        <f>IF(OR(CSE4098C_Summer2026_Grade!$J42="W (Withdrawn)", CSE4098C_Summer2026_Grade!$J42="I (Incomplete)"), 0, IF(BA56&gt;=55%, 1, 0))</f>
        <v>#DIV/0!</v>
      </c>
      <c r="BN56" s="129" t="e">
        <f>IF(OR(CSE4098C_Summer2026_Grade!$J42="W (Withdrawn)", CSE4098C_Summer2026_Grade!$J42="I (Incomplete)"), 0, IF(BB56&gt;=55%, 1, 0))</f>
        <v>#DIV/0!</v>
      </c>
      <c r="BO56" s="129" t="e">
        <f>IF(OR(CSE4098C_Summer2026_Grade!$J42="W (Withdrawn)", CSE4098C_Summer2026_Grade!$J42="I (Incomplete)"), 0, IF(BC56&gt;=55%, 1, 0))</f>
        <v>#DIV/0!</v>
      </c>
      <c r="BP56" s="129" t="e">
        <f>IF(OR(CSE4098C_Summer2026_Grade!$J42="W (Withdrawn)", CSE4098C_Summer2026_Grade!$J42="I (Incomplete)"), 0, IF(BD56&gt;=55%, 1, 0))</f>
        <v>#DIV/0!</v>
      </c>
      <c r="BQ56" s="129" t="e">
        <f>IF(OR(CSE4098C_Summer2026_Grade!$J42="W (Withdrawn)", CSE4098C_Summer2026_Grade!$J42="I (Incomplete)"), 0, IF(BE56&gt;=55%, 1, 0))</f>
        <v>#DIV/0!</v>
      </c>
      <c r="BR56" s="129" t="e">
        <f>IF(OR(CSE4098C_Summer2026_Grade!$J42="W (Withdrawn)", CSE4098C_Summer2026_Grade!$J42="I (Incomplete)"), 0, IF(BF56&gt;=55%, 1, 0))</f>
        <v>#DIV/0!</v>
      </c>
      <c r="BS56" s="129" t="e">
        <f>IF(OR(CSE4098C_Summer2026_Grade!$J42="W (Withdrawn)", CSE4098C_Summer2026_Grade!$J42="I (Incomplete)"), 0, IF(BG56&gt;=55%, 1, 0))</f>
        <v>#DIV/0!</v>
      </c>
      <c r="BT56" s="129" t="e">
        <f>IF(OR(CSE4098C_Summer2026_Grade!$J42="W (Withdrawn)", CSE4098C_Summer2026_Grade!$J42="I (Incomplete)"), 0, IF(BH56&gt;=55%, 1, 0))</f>
        <v>#DIV/0!</v>
      </c>
      <c r="BU56" s="129" t="e">
        <f>IF(OR(CSE4098C_Summer2026_Grade!$J42="W (Withdrawn)", CSE4098C_Summer2026_Grade!$J42="I (Incomplete)"), 0, IF(BI56&gt;=55%, 1, 0))</f>
        <v>#DIV/0!</v>
      </c>
    </row>
    <row r="57" spans="1:73" ht="12.75" customHeight="1" thickBot="1">
      <c r="A57" s="118">
        <f t="shared" si="11"/>
        <v>39</v>
      </c>
      <c r="B57" s="222">
        <v>231014167</v>
      </c>
      <c r="C57" s="222" t="s">
        <v>241</v>
      </c>
      <c r="D57" s="119">
        <f>CO_Report_Evaluation!AG42</f>
        <v>0</v>
      </c>
      <c r="E57" s="119">
        <f>CO_Report_Evaluation!AH42</f>
        <v>0</v>
      </c>
      <c r="F57" s="119">
        <f>CO_Report_Evaluation!AI42</f>
        <v>0</v>
      </c>
      <c r="G57" s="119">
        <f>CO_Report_Evaluation!AJ42</f>
        <v>0</v>
      </c>
      <c r="H57" s="119">
        <f>CO_Report_Evaluation!AK42</f>
        <v>0</v>
      </c>
      <c r="I57" s="119">
        <f>CO_Report_Evaluation!AL42</f>
        <v>0</v>
      </c>
      <c r="J57" s="119">
        <f>CO_Report_Evaluation!AM42</f>
        <v>0</v>
      </c>
      <c r="K57" s="119">
        <f>CO_Report_Evaluation!AN42</f>
        <v>0</v>
      </c>
      <c r="L57" s="119">
        <f>CSE4098C_Summer2026_Grade!G43</f>
        <v>0</v>
      </c>
      <c r="M57" s="119"/>
      <c r="N57" s="33">
        <f>((CSE4098C_Summer2026_Grade!E43)*10)/25</f>
        <v>8.7360000000000007</v>
      </c>
      <c r="O57" s="120"/>
      <c r="P57" s="121"/>
      <c r="Q57" s="122">
        <v>13.89</v>
      </c>
      <c r="R57" s="120"/>
      <c r="S57" s="123">
        <f t="shared" si="4"/>
        <v>0</v>
      </c>
      <c r="T57" s="124">
        <f t="shared" ref="T57:U57" si="160">E57</f>
        <v>0</v>
      </c>
      <c r="U57" s="124">
        <f t="shared" si="160"/>
        <v>0</v>
      </c>
      <c r="V57" s="124">
        <f t="shared" ref="V57:X57" si="161">SUM(G57,P57)</f>
        <v>0</v>
      </c>
      <c r="W57" s="124">
        <f t="shared" si="161"/>
        <v>13.89</v>
      </c>
      <c r="X57" s="124">
        <f t="shared" si="161"/>
        <v>0</v>
      </c>
      <c r="Y57" s="125">
        <f t="shared" ref="Y57:AA57" si="162">J57</f>
        <v>0</v>
      </c>
      <c r="Z57" s="125">
        <f t="shared" si="162"/>
        <v>0</v>
      </c>
      <c r="AA57" s="125">
        <f t="shared" si="162"/>
        <v>0</v>
      </c>
      <c r="AB57" s="125">
        <f t="shared" si="9"/>
        <v>8.7360000000000007</v>
      </c>
      <c r="AC57" s="126">
        <f t="shared" ref="AC57:AL57" si="163">IF(S57 = 0, 0, S57/S$18)</f>
        <v>0</v>
      </c>
      <c r="AD57" s="127">
        <f t="shared" si="163"/>
        <v>0</v>
      </c>
      <c r="AE57" s="128">
        <f t="shared" si="163"/>
        <v>0</v>
      </c>
      <c r="AF57" s="128">
        <f t="shared" si="163"/>
        <v>0</v>
      </c>
      <c r="AG57" s="128">
        <f t="shared" si="163"/>
        <v>0.53423076923076929</v>
      </c>
      <c r="AH57" s="128">
        <f t="shared" si="163"/>
        <v>0</v>
      </c>
      <c r="AI57" s="128">
        <f t="shared" si="163"/>
        <v>0</v>
      </c>
      <c r="AJ57" s="128">
        <f t="shared" si="163"/>
        <v>0</v>
      </c>
      <c r="AK57" s="128">
        <f t="shared" si="163"/>
        <v>0</v>
      </c>
      <c r="AL57" s="128">
        <f t="shared" si="163"/>
        <v>0.87360000000000004</v>
      </c>
      <c r="AM57" s="129" t="e">
        <f>IF(OR(CSE4098C_Summer2026_Grade!$J43="W (Withdrawn)", CSE4098C_Summer2026_Grade!$J43="I (Incomplete)"), 0, IF(AC57&gt;=55%, 1, 0))</f>
        <v>#DIV/0!</v>
      </c>
      <c r="AN57" s="129" t="e">
        <f>IF(OR(CSE4098C_Summer2026_Grade!$J43="W (Withdrawn)", CSE4098C_Summer2026_Grade!$J43="I (Incomplete)"), 0, IF(AD57&gt;=55%, 1, 0))</f>
        <v>#DIV/0!</v>
      </c>
      <c r="AO57" s="129" t="e">
        <f>IF(OR(CSE4098C_Summer2026_Grade!$J43="W (Withdrawn)", CSE4098C_Summer2026_Grade!$J43="I (Incomplete)"), 0, IF(AE57&gt;=55%, 1, 0))</f>
        <v>#DIV/0!</v>
      </c>
      <c r="AP57" s="129" t="e">
        <f>IF(OR(CSE4098C_Summer2026_Grade!$J43="W (Withdrawn)", CSE4098C_Summer2026_Grade!$J43="I (Incomplete)"), 0, IF(AF57&gt;=55%, 1, 0))</f>
        <v>#DIV/0!</v>
      </c>
      <c r="AQ57" s="129" t="e">
        <f>IF(OR(CSE4098C_Summer2026_Grade!$J43="W (Withdrawn)", CSE4098C_Summer2026_Grade!$J43="I (Incomplete)"), 0, IF(AG57&gt;=55%, 1, 0))</f>
        <v>#DIV/0!</v>
      </c>
      <c r="AR57" s="129" t="e">
        <f>IF(OR(CSE4098C_Summer2026_Grade!$J43="W (Withdrawn)", CSE4098C_Summer2026_Grade!$J43="I (Incomplete)"), 0, IF(AH57&gt;=55%, 1, 0))</f>
        <v>#DIV/0!</v>
      </c>
      <c r="AS57" s="129" t="e">
        <f>IF(OR(CSE4098C_Summer2026_Grade!$J43="W (Withdrawn)", CSE4098C_Summer2026_Grade!$J43="I (Incomplete)"), 0, IF(AI57&gt;=55%, 1, 0))</f>
        <v>#DIV/0!</v>
      </c>
      <c r="AT57" s="129" t="e">
        <f>IF(OR(CSE4098C_Summer2026_Grade!$J43="W (Withdrawn)", CSE4098C_Summer2026_Grade!$J43="I (Incomplete)"), 0, IF(AJ57&gt;=55%, 1, 0))</f>
        <v>#DIV/0!</v>
      </c>
      <c r="AU57" s="129" t="e">
        <f>IF(OR(CSE4098C_Summer2026_Grade!$J43="W (Withdrawn)", CSE4098C_Summer2026_Grade!$J43="I (Incomplete)"), 0, IF(AK57&gt;=55%, 1, 0))</f>
        <v>#DIV/0!</v>
      </c>
      <c r="AV57" s="129" t="e">
        <f>IF(OR(CSE4098C_Summer2026_Grade!$J43="W (Withdrawn)", CSE4098C_Summer2026_Grade!$J43="I (Incomplete)"), 0, IF(AL57&gt;=55%, 1, 0))</f>
        <v>#DIV/0!</v>
      </c>
      <c r="AX57" s="130">
        <f t="array" ref="AX57">IF($AY$13=0,0,MMULT($AC57:$AL57, AY$3:AY$12)/$AY$13)</f>
        <v>0</v>
      </c>
      <c r="AY57" s="130">
        <f t="array" ref="AY57">IF($AZ$13=0,0,MMULT($AC57:$AL57, AZ$3:AZ$12)/$AZ$13)</f>
        <v>0</v>
      </c>
      <c r="AZ57" s="130">
        <f t="array" ref="AZ57">IF($BA$13=0,0,MMULT($AC57:$AL57, BA$3:BA$12)/$BA$13)</f>
        <v>0</v>
      </c>
      <c r="BA57" s="130">
        <f t="array" ref="BA57">IF($BB$13=0,0,MMULT($AC57:$AL57, BB$3:BB$12)/$BB$13)</f>
        <v>0.53423076923076929</v>
      </c>
      <c r="BB57" s="130">
        <f t="array" ref="BB57">IF($BC$13=0,0,MMULT($AC57:$AL57, BC$3:BC$12)/$BC$13)</f>
        <v>0</v>
      </c>
      <c r="BC57" s="130">
        <f t="array" ref="BC57">IF($BD$13=0,0,MMULT($AC57:$AL57, BD$3:BD$12)/$BD$13)</f>
        <v>0</v>
      </c>
      <c r="BD57" s="130">
        <f t="array" ref="BD57">IF($BE$13=0,0,MMULT($AC57:$AL57, BE$3:BE$12)/$BE$13)</f>
        <v>0</v>
      </c>
      <c r="BE57" s="130">
        <f t="array" ref="BE57">IF($BF$13=0,0,MMULT($AC57:$AL57, BF$3:BF$12)/$BF$13)</f>
        <v>0</v>
      </c>
      <c r="BF57" s="130">
        <f t="array" ref="BF57">IF($BG$13=0,0,MMULT($AC57:$AL57, BG$3:BG$12)/$BG$13)</f>
        <v>0</v>
      </c>
      <c r="BG57" s="130">
        <f t="array" ref="BG57">IF($BH$13=0,0,MMULT($AC57:$AL57, BH$3:BH$12)/$BH$13)</f>
        <v>0.87360000000000004</v>
      </c>
      <c r="BH57" s="130">
        <f t="array" ref="BH57">IF($BI$13=0,0,MMULT($AC57:$AL57, BI$3:BI$12)/$BI$13)</f>
        <v>0</v>
      </c>
      <c r="BI57" s="130">
        <f t="array" ref="BI57">IF($BJ$13=0,0,MMULT($AC57:$AL57, BJ$3:BJ$12)/$BJ$13)</f>
        <v>0</v>
      </c>
      <c r="BJ57" s="129" t="e">
        <f>IF(OR(CSE4098C_Summer2026_Grade!$J43="W (Withdrawn)", CSE4098C_Summer2026_Grade!$J43="I (Incomplete)"), 0, IF(AX57&gt;=55%, 1, 0))</f>
        <v>#DIV/0!</v>
      </c>
      <c r="BK57" s="129" t="e">
        <f>IF(OR(CSE4098C_Summer2026_Grade!$J43="W (Withdrawn)", CSE4098C_Summer2026_Grade!$J43="I (Incomplete)"), 0, IF(AY57&gt;=55%, 1, 0))</f>
        <v>#DIV/0!</v>
      </c>
      <c r="BL57" s="129" t="e">
        <f>IF(OR(CSE4098C_Summer2026_Grade!$J43="W (Withdrawn)", CSE4098C_Summer2026_Grade!$J43="I (Incomplete)"), 0, IF(AZ57&gt;=55%, 1, 0))</f>
        <v>#DIV/0!</v>
      </c>
      <c r="BM57" s="129" t="e">
        <f>IF(OR(CSE4098C_Summer2026_Grade!$J43="W (Withdrawn)", CSE4098C_Summer2026_Grade!$J43="I (Incomplete)"), 0, IF(BA57&gt;=55%, 1, 0))</f>
        <v>#DIV/0!</v>
      </c>
      <c r="BN57" s="129" t="e">
        <f>IF(OR(CSE4098C_Summer2026_Grade!$J43="W (Withdrawn)", CSE4098C_Summer2026_Grade!$J43="I (Incomplete)"), 0, IF(BB57&gt;=55%, 1, 0))</f>
        <v>#DIV/0!</v>
      </c>
      <c r="BO57" s="129" t="e">
        <f>IF(OR(CSE4098C_Summer2026_Grade!$J43="W (Withdrawn)", CSE4098C_Summer2026_Grade!$J43="I (Incomplete)"), 0, IF(BC57&gt;=55%, 1, 0))</f>
        <v>#DIV/0!</v>
      </c>
      <c r="BP57" s="129" t="e">
        <f>IF(OR(CSE4098C_Summer2026_Grade!$J43="W (Withdrawn)", CSE4098C_Summer2026_Grade!$J43="I (Incomplete)"), 0, IF(BD57&gt;=55%, 1, 0))</f>
        <v>#DIV/0!</v>
      </c>
      <c r="BQ57" s="129" t="e">
        <f>IF(OR(CSE4098C_Summer2026_Grade!$J43="W (Withdrawn)", CSE4098C_Summer2026_Grade!$J43="I (Incomplete)"), 0, IF(BE57&gt;=55%, 1, 0))</f>
        <v>#DIV/0!</v>
      </c>
      <c r="BR57" s="129" t="e">
        <f>IF(OR(CSE4098C_Summer2026_Grade!$J43="W (Withdrawn)", CSE4098C_Summer2026_Grade!$J43="I (Incomplete)"), 0, IF(BF57&gt;=55%, 1, 0))</f>
        <v>#DIV/0!</v>
      </c>
      <c r="BS57" s="129" t="e">
        <f>IF(OR(CSE4098C_Summer2026_Grade!$J43="W (Withdrawn)", CSE4098C_Summer2026_Grade!$J43="I (Incomplete)"), 0, IF(BG57&gt;=55%, 1, 0))</f>
        <v>#DIV/0!</v>
      </c>
      <c r="BT57" s="129" t="e">
        <f>IF(OR(CSE4098C_Summer2026_Grade!$J43="W (Withdrawn)", CSE4098C_Summer2026_Grade!$J43="I (Incomplete)"), 0, IF(BH57&gt;=55%, 1, 0))</f>
        <v>#DIV/0!</v>
      </c>
      <c r="BU57" s="129" t="e">
        <f>IF(OR(CSE4098C_Summer2026_Grade!$J43="W (Withdrawn)", CSE4098C_Summer2026_Grade!$J43="I (Incomplete)"), 0, IF(BI57&gt;=55%, 1, 0))</f>
        <v>#DIV/0!</v>
      </c>
    </row>
    <row r="58" spans="1:73" ht="12.75" customHeight="1" thickBot="1">
      <c r="A58" s="118">
        <f t="shared" si="11"/>
        <v>40</v>
      </c>
      <c r="B58" s="222">
        <v>231014073</v>
      </c>
      <c r="C58" s="222" t="s">
        <v>242</v>
      </c>
      <c r="D58" s="119">
        <f>CO_Report_Evaluation!AG43</f>
        <v>0</v>
      </c>
      <c r="E58" s="119">
        <f>CO_Report_Evaluation!AH43</f>
        <v>0</v>
      </c>
      <c r="F58" s="119">
        <f>CO_Report_Evaluation!AI43</f>
        <v>0</v>
      </c>
      <c r="G58" s="119">
        <f>CO_Report_Evaluation!AJ43</f>
        <v>0</v>
      </c>
      <c r="H58" s="119">
        <f>CO_Report_Evaluation!AK43</f>
        <v>0</v>
      </c>
      <c r="I58" s="119">
        <f>CO_Report_Evaluation!AL43</f>
        <v>0</v>
      </c>
      <c r="J58" s="119">
        <f>CO_Report_Evaluation!AM43</f>
        <v>0</v>
      </c>
      <c r="K58" s="119">
        <f>CO_Report_Evaluation!AN43</f>
        <v>0</v>
      </c>
      <c r="L58" s="119">
        <f>CSE4098C_Summer2026_Grade!G44</f>
        <v>0</v>
      </c>
      <c r="M58" s="119"/>
      <c r="N58" s="33">
        <f>((CSE4098C_Summer2026_Grade!E44)*10)/25</f>
        <v>9.3360000000000003</v>
      </c>
      <c r="O58" s="120"/>
      <c r="P58" s="121"/>
      <c r="Q58" s="122">
        <v>17.22</v>
      </c>
      <c r="R58" s="120"/>
      <c r="S58" s="123">
        <f t="shared" si="4"/>
        <v>0</v>
      </c>
      <c r="T58" s="124">
        <f t="shared" ref="T58:U58" si="164">E58</f>
        <v>0</v>
      </c>
      <c r="U58" s="124">
        <f t="shared" si="164"/>
        <v>0</v>
      </c>
      <c r="V58" s="124">
        <f t="shared" ref="V58:X58" si="165">SUM(G58,P58)</f>
        <v>0</v>
      </c>
      <c r="W58" s="124">
        <f t="shared" si="165"/>
        <v>17.22</v>
      </c>
      <c r="X58" s="124">
        <f t="shared" si="165"/>
        <v>0</v>
      </c>
      <c r="Y58" s="125">
        <f t="shared" ref="Y58:AA58" si="166">J58</f>
        <v>0</v>
      </c>
      <c r="Z58" s="125">
        <f t="shared" si="166"/>
        <v>0</v>
      </c>
      <c r="AA58" s="125">
        <f t="shared" si="166"/>
        <v>0</v>
      </c>
      <c r="AB58" s="125">
        <f t="shared" si="9"/>
        <v>9.3360000000000003</v>
      </c>
      <c r="AC58" s="126">
        <f t="shared" ref="AC58:AL58" si="167">IF(S58 = 0, 0, S58/S$18)</f>
        <v>0</v>
      </c>
      <c r="AD58" s="127">
        <f t="shared" si="167"/>
        <v>0</v>
      </c>
      <c r="AE58" s="128">
        <f t="shared" si="167"/>
        <v>0</v>
      </c>
      <c r="AF58" s="128">
        <f t="shared" si="167"/>
        <v>0</v>
      </c>
      <c r="AG58" s="128">
        <f t="shared" si="167"/>
        <v>0.66230769230769226</v>
      </c>
      <c r="AH58" s="128">
        <f t="shared" si="167"/>
        <v>0</v>
      </c>
      <c r="AI58" s="128">
        <f t="shared" si="167"/>
        <v>0</v>
      </c>
      <c r="AJ58" s="128">
        <f t="shared" si="167"/>
        <v>0</v>
      </c>
      <c r="AK58" s="128">
        <f t="shared" si="167"/>
        <v>0</v>
      </c>
      <c r="AL58" s="128">
        <f t="shared" si="167"/>
        <v>0.93359999999999999</v>
      </c>
      <c r="AM58" s="129" t="e">
        <f>IF(OR(CSE4098C_Summer2026_Grade!$J44="W (Withdrawn)", CSE4098C_Summer2026_Grade!$J44="I (Incomplete)"), 0, IF(AC58&gt;=55%, 1, 0))</f>
        <v>#DIV/0!</v>
      </c>
      <c r="AN58" s="129" t="e">
        <f>IF(OR(CSE4098C_Summer2026_Grade!$J44="W (Withdrawn)", CSE4098C_Summer2026_Grade!$J44="I (Incomplete)"), 0, IF(AD58&gt;=55%, 1, 0))</f>
        <v>#DIV/0!</v>
      </c>
      <c r="AO58" s="129" t="e">
        <f>IF(OR(CSE4098C_Summer2026_Grade!$J44="W (Withdrawn)", CSE4098C_Summer2026_Grade!$J44="I (Incomplete)"), 0, IF(AE58&gt;=55%, 1, 0))</f>
        <v>#DIV/0!</v>
      </c>
      <c r="AP58" s="129" t="e">
        <f>IF(OR(CSE4098C_Summer2026_Grade!$J44="W (Withdrawn)", CSE4098C_Summer2026_Grade!$J44="I (Incomplete)"), 0, IF(AF58&gt;=55%, 1, 0))</f>
        <v>#DIV/0!</v>
      </c>
      <c r="AQ58" s="129" t="e">
        <f>IF(OR(CSE4098C_Summer2026_Grade!$J44="W (Withdrawn)", CSE4098C_Summer2026_Grade!$J44="I (Incomplete)"), 0, IF(AG58&gt;=55%, 1, 0))</f>
        <v>#DIV/0!</v>
      </c>
      <c r="AR58" s="129" t="e">
        <f>IF(OR(CSE4098C_Summer2026_Grade!$J44="W (Withdrawn)", CSE4098C_Summer2026_Grade!$J44="I (Incomplete)"), 0, IF(AH58&gt;=55%, 1, 0))</f>
        <v>#DIV/0!</v>
      </c>
      <c r="AS58" s="129" t="e">
        <f>IF(OR(CSE4098C_Summer2026_Grade!$J44="W (Withdrawn)", CSE4098C_Summer2026_Grade!$J44="I (Incomplete)"), 0, IF(AI58&gt;=55%, 1, 0))</f>
        <v>#DIV/0!</v>
      </c>
      <c r="AT58" s="129" t="e">
        <f>IF(OR(CSE4098C_Summer2026_Grade!$J44="W (Withdrawn)", CSE4098C_Summer2026_Grade!$J44="I (Incomplete)"), 0, IF(AJ58&gt;=55%, 1, 0))</f>
        <v>#DIV/0!</v>
      </c>
      <c r="AU58" s="129" t="e">
        <f>IF(OR(CSE4098C_Summer2026_Grade!$J44="W (Withdrawn)", CSE4098C_Summer2026_Grade!$J44="I (Incomplete)"), 0, IF(AK58&gt;=55%, 1, 0))</f>
        <v>#DIV/0!</v>
      </c>
      <c r="AV58" s="129" t="e">
        <f>IF(OR(CSE4098C_Summer2026_Grade!$J44="W (Withdrawn)", CSE4098C_Summer2026_Grade!$J44="I (Incomplete)"), 0, IF(AL58&gt;=55%, 1, 0))</f>
        <v>#DIV/0!</v>
      </c>
      <c r="AX58" s="130">
        <f t="array" ref="AX58">IF($AY$13=0,0,MMULT($AC58:$AL58, AY$3:AY$12)/$AY$13)</f>
        <v>0</v>
      </c>
      <c r="AY58" s="130">
        <f t="array" ref="AY58">IF($AZ$13=0,0,MMULT($AC58:$AL58, AZ$3:AZ$12)/$AZ$13)</f>
        <v>0</v>
      </c>
      <c r="AZ58" s="130">
        <f t="array" ref="AZ58">IF($BA$13=0,0,MMULT($AC58:$AL58, BA$3:BA$12)/$BA$13)</f>
        <v>0</v>
      </c>
      <c r="BA58" s="130">
        <f t="array" ref="BA58">IF($BB$13=0,0,MMULT($AC58:$AL58, BB$3:BB$12)/$BB$13)</f>
        <v>0.66230769230769226</v>
      </c>
      <c r="BB58" s="130">
        <f t="array" ref="BB58">IF($BC$13=0,0,MMULT($AC58:$AL58, BC$3:BC$12)/$BC$13)</f>
        <v>0</v>
      </c>
      <c r="BC58" s="130">
        <f t="array" ref="BC58">IF($BD$13=0,0,MMULT($AC58:$AL58, BD$3:BD$12)/$BD$13)</f>
        <v>0</v>
      </c>
      <c r="BD58" s="130">
        <f t="array" ref="BD58">IF($BE$13=0,0,MMULT($AC58:$AL58, BE$3:BE$12)/$BE$13)</f>
        <v>0</v>
      </c>
      <c r="BE58" s="130">
        <f t="array" ref="BE58">IF($BF$13=0,0,MMULT($AC58:$AL58, BF$3:BF$12)/$BF$13)</f>
        <v>0</v>
      </c>
      <c r="BF58" s="130">
        <f t="array" ref="BF58">IF($BG$13=0,0,MMULT($AC58:$AL58, BG$3:BG$12)/$BG$13)</f>
        <v>0</v>
      </c>
      <c r="BG58" s="130">
        <f t="array" ref="BG58">IF($BH$13=0,0,MMULT($AC58:$AL58, BH$3:BH$12)/$BH$13)</f>
        <v>0.93359999999999999</v>
      </c>
      <c r="BH58" s="130">
        <f t="array" ref="BH58">IF($BI$13=0,0,MMULT($AC58:$AL58, BI$3:BI$12)/$BI$13)</f>
        <v>0</v>
      </c>
      <c r="BI58" s="130">
        <f t="array" ref="BI58">IF($BJ$13=0,0,MMULT($AC58:$AL58, BJ$3:BJ$12)/$BJ$13)</f>
        <v>0</v>
      </c>
      <c r="BJ58" s="129" t="e">
        <f>IF(OR(CSE4098C_Summer2026_Grade!$J44="W (Withdrawn)", CSE4098C_Summer2026_Grade!$J44="I (Incomplete)"), 0, IF(AX58&gt;=55%, 1, 0))</f>
        <v>#DIV/0!</v>
      </c>
      <c r="BK58" s="129" t="e">
        <f>IF(OR(CSE4098C_Summer2026_Grade!$J44="W (Withdrawn)", CSE4098C_Summer2026_Grade!$J44="I (Incomplete)"), 0, IF(AY58&gt;=55%, 1, 0))</f>
        <v>#DIV/0!</v>
      </c>
      <c r="BL58" s="129" t="e">
        <f>IF(OR(CSE4098C_Summer2026_Grade!$J44="W (Withdrawn)", CSE4098C_Summer2026_Grade!$J44="I (Incomplete)"), 0, IF(AZ58&gt;=55%, 1, 0))</f>
        <v>#DIV/0!</v>
      </c>
      <c r="BM58" s="129" t="e">
        <f>IF(OR(CSE4098C_Summer2026_Grade!$J44="W (Withdrawn)", CSE4098C_Summer2026_Grade!$J44="I (Incomplete)"), 0, IF(BA58&gt;=55%, 1, 0))</f>
        <v>#DIV/0!</v>
      </c>
      <c r="BN58" s="129" t="e">
        <f>IF(OR(CSE4098C_Summer2026_Grade!$J44="W (Withdrawn)", CSE4098C_Summer2026_Grade!$J44="I (Incomplete)"), 0, IF(BB58&gt;=55%, 1, 0))</f>
        <v>#DIV/0!</v>
      </c>
      <c r="BO58" s="129" t="e">
        <f>IF(OR(CSE4098C_Summer2026_Grade!$J44="W (Withdrawn)", CSE4098C_Summer2026_Grade!$J44="I (Incomplete)"), 0, IF(BC58&gt;=55%, 1, 0))</f>
        <v>#DIV/0!</v>
      </c>
      <c r="BP58" s="129" t="e">
        <f>IF(OR(CSE4098C_Summer2026_Grade!$J44="W (Withdrawn)", CSE4098C_Summer2026_Grade!$J44="I (Incomplete)"), 0, IF(BD58&gt;=55%, 1, 0))</f>
        <v>#DIV/0!</v>
      </c>
      <c r="BQ58" s="129" t="e">
        <f>IF(OR(CSE4098C_Summer2026_Grade!$J44="W (Withdrawn)", CSE4098C_Summer2026_Grade!$J44="I (Incomplete)"), 0, IF(BE58&gt;=55%, 1, 0))</f>
        <v>#DIV/0!</v>
      </c>
      <c r="BR58" s="129" t="e">
        <f>IF(OR(CSE4098C_Summer2026_Grade!$J44="W (Withdrawn)", CSE4098C_Summer2026_Grade!$J44="I (Incomplete)"), 0, IF(BF58&gt;=55%, 1, 0))</f>
        <v>#DIV/0!</v>
      </c>
      <c r="BS58" s="129" t="e">
        <f>IF(OR(CSE4098C_Summer2026_Grade!$J44="W (Withdrawn)", CSE4098C_Summer2026_Grade!$J44="I (Incomplete)"), 0, IF(BG58&gt;=55%, 1, 0))</f>
        <v>#DIV/0!</v>
      </c>
      <c r="BT58" s="129" t="e">
        <f>IF(OR(CSE4098C_Summer2026_Grade!$J44="W (Withdrawn)", CSE4098C_Summer2026_Grade!$J44="I (Incomplete)"), 0, IF(BH58&gt;=55%, 1, 0))</f>
        <v>#DIV/0!</v>
      </c>
      <c r="BU58" s="129" t="e">
        <f>IF(OR(CSE4098C_Summer2026_Grade!$J44="W (Withdrawn)", CSE4098C_Summer2026_Grade!$J44="I (Incomplete)"), 0, IF(BI58&gt;=55%, 1, 0))</f>
        <v>#DIV/0!</v>
      </c>
    </row>
    <row r="59" spans="1:73" ht="12.75" customHeight="1" thickBot="1">
      <c r="A59" s="118">
        <f t="shared" si="11"/>
        <v>41</v>
      </c>
      <c r="B59" s="222">
        <v>232014058</v>
      </c>
      <c r="C59" s="222" t="s">
        <v>243</v>
      </c>
      <c r="D59" s="119">
        <f>CO_Report_Evaluation!AG44</f>
        <v>0</v>
      </c>
      <c r="E59" s="119">
        <f>CO_Report_Evaluation!AH44</f>
        <v>0</v>
      </c>
      <c r="F59" s="119">
        <f>CO_Report_Evaluation!AI44</f>
        <v>0</v>
      </c>
      <c r="G59" s="119">
        <f>CO_Report_Evaluation!AJ44</f>
        <v>0</v>
      </c>
      <c r="H59" s="119">
        <f>CO_Report_Evaluation!AK44</f>
        <v>0</v>
      </c>
      <c r="I59" s="119">
        <f>CO_Report_Evaluation!AL44</f>
        <v>0</v>
      </c>
      <c r="J59" s="119">
        <f>CO_Report_Evaluation!AM44</f>
        <v>0</v>
      </c>
      <c r="K59" s="119">
        <f>CO_Report_Evaluation!AN44</f>
        <v>0</v>
      </c>
      <c r="L59" s="119">
        <f>CSE4098C_Summer2026_Grade!G45</f>
        <v>0</v>
      </c>
      <c r="M59" s="119"/>
      <c r="N59" s="33">
        <f>((CSE4098C_Summer2026_Grade!E45)*10)/25</f>
        <v>8.7360000000000007</v>
      </c>
      <c r="O59" s="120"/>
      <c r="P59" s="121"/>
      <c r="Q59" s="122">
        <v>17.22</v>
      </c>
      <c r="R59" s="120"/>
      <c r="S59" s="123">
        <f t="shared" si="4"/>
        <v>0</v>
      </c>
      <c r="T59" s="124">
        <f t="shared" ref="T59:U59" si="168">E59</f>
        <v>0</v>
      </c>
      <c r="U59" s="124">
        <f t="shared" si="168"/>
        <v>0</v>
      </c>
      <c r="V59" s="124">
        <f t="shared" ref="V59:X59" si="169">SUM(G59,P59)</f>
        <v>0</v>
      </c>
      <c r="W59" s="124">
        <f t="shared" si="169"/>
        <v>17.22</v>
      </c>
      <c r="X59" s="124">
        <f t="shared" si="169"/>
        <v>0</v>
      </c>
      <c r="Y59" s="125">
        <f t="shared" ref="Y59:AA59" si="170">J59</f>
        <v>0</v>
      </c>
      <c r="Z59" s="125">
        <f t="shared" si="170"/>
        <v>0</v>
      </c>
      <c r="AA59" s="125">
        <f t="shared" si="170"/>
        <v>0</v>
      </c>
      <c r="AB59" s="125">
        <f t="shared" si="9"/>
        <v>8.7360000000000007</v>
      </c>
      <c r="AC59" s="126">
        <f t="shared" ref="AC59:AL59" si="171">IF(S59 = 0, 0, S59/S$18)</f>
        <v>0</v>
      </c>
      <c r="AD59" s="127">
        <f t="shared" si="171"/>
        <v>0</v>
      </c>
      <c r="AE59" s="128">
        <f t="shared" si="171"/>
        <v>0</v>
      </c>
      <c r="AF59" s="128">
        <f t="shared" si="171"/>
        <v>0</v>
      </c>
      <c r="AG59" s="128">
        <f t="shared" si="171"/>
        <v>0.66230769230769226</v>
      </c>
      <c r="AH59" s="128">
        <f t="shared" si="171"/>
        <v>0</v>
      </c>
      <c r="AI59" s="128">
        <f t="shared" si="171"/>
        <v>0</v>
      </c>
      <c r="AJ59" s="128">
        <f t="shared" si="171"/>
        <v>0</v>
      </c>
      <c r="AK59" s="128">
        <f t="shared" si="171"/>
        <v>0</v>
      </c>
      <c r="AL59" s="128">
        <f t="shared" si="171"/>
        <v>0.87360000000000004</v>
      </c>
      <c r="AM59" s="129" t="e">
        <f>IF(OR(CSE4098C_Summer2026_Grade!$J45="W (Withdrawn)", CSE4098C_Summer2026_Grade!$J45="I (Incomplete)"), 0, IF(AC59&gt;=55%, 1, 0))</f>
        <v>#DIV/0!</v>
      </c>
      <c r="AN59" s="129" t="e">
        <f>IF(OR(CSE4098C_Summer2026_Grade!$J45="W (Withdrawn)", CSE4098C_Summer2026_Grade!$J45="I (Incomplete)"), 0, IF(AD59&gt;=55%, 1, 0))</f>
        <v>#DIV/0!</v>
      </c>
      <c r="AO59" s="129" t="e">
        <f>IF(OR(CSE4098C_Summer2026_Grade!$J45="W (Withdrawn)", CSE4098C_Summer2026_Grade!$J45="I (Incomplete)"), 0, IF(AE59&gt;=55%, 1, 0))</f>
        <v>#DIV/0!</v>
      </c>
      <c r="AP59" s="129" t="e">
        <f>IF(OR(CSE4098C_Summer2026_Grade!$J45="W (Withdrawn)", CSE4098C_Summer2026_Grade!$J45="I (Incomplete)"), 0, IF(AF59&gt;=55%, 1, 0))</f>
        <v>#DIV/0!</v>
      </c>
      <c r="AQ59" s="129" t="e">
        <f>IF(OR(CSE4098C_Summer2026_Grade!$J45="W (Withdrawn)", CSE4098C_Summer2026_Grade!$J45="I (Incomplete)"), 0, IF(AG59&gt;=55%, 1, 0))</f>
        <v>#DIV/0!</v>
      </c>
      <c r="AR59" s="129" t="e">
        <f>IF(OR(CSE4098C_Summer2026_Grade!$J45="W (Withdrawn)", CSE4098C_Summer2026_Grade!$J45="I (Incomplete)"), 0, IF(AH59&gt;=55%, 1, 0))</f>
        <v>#DIV/0!</v>
      </c>
      <c r="AS59" s="129" t="e">
        <f>IF(OR(CSE4098C_Summer2026_Grade!$J45="W (Withdrawn)", CSE4098C_Summer2026_Grade!$J45="I (Incomplete)"), 0, IF(AI59&gt;=55%, 1, 0))</f>
        <v>#DIV/0!</v>
      </c>
      <c r="AT59" s="129" t="e">
        <f>IF(OR(CSE4098C_Summer2026_Grade!$J45="W (Withdrawn)", CSE4098C_Summer2026_Grade!$J45="I (Incomplete)"), 0, IF(AJ59&gt;=55%, 1, 0))</f>
        <v>#DIV/0!</v>
      </c>
      <c r="AU59" s="129" t="e">
        <f>IF(OR(CSE4098C_Summer2026_Grade!$J45="W (Withdrawn)", CSE4098C_Summer2026_Grade!$J45="I (Incomplete)"), 0, IF(AK59&gt;=55%, 1, 0))</f>
        <v>#DIV/0!</v>
      </c>
      <c r="AV59" s="129" t="e">
        <f>IF(OR(CSE4098C_Summer2026_Grade!$J45="W (Withdrawn)", CSE4098C_Summer2026_Grade!$J45="I (Incomplete)"), 0, IF(AL59&gt;=55%, 1, 0))</f>
        <v>#DIV/0!</v>
      </c>
      <c r="AX59" s="130">
        <f t="array" ref="AX59">IF($AY$13=0,0,MMULT($AC59:$AL59, AY$3:AY$12)/$AY$13)</f>
        <v>0</v>
      </c>
      <c r="AY59" s="130">
        <f t="array" ref="AY59">IF($AZ$13=0,0,MMULT($AC59:$AL59, AZ$3:AZ$12)/$AZ$13)</f>
        <v>0</v>
      </c>
      <c r="AZ59" s="130">
        <f t="array" ref="AZ59">IF($BA$13=0,0,MMULT($AC59:$AL59, BA$3:BA$12)/$BA$13)</f>
        <v>0</v>
      </c>
      <c r="BA59" s="130">
        <f t="array" ref="BA59">IF($BB$13=0,0,MMULT($AC59:$AL59, BB$3:BB$12)/$BB$13)</f>
        <v>0.66230769230769226</v>
      </c>
      <c r="BB59" s="130">
        <f t="array" ref="BB59">IF($BC$13=0,0,MMULT($AC59:$AL59, BC$3:BC$12)/$BC$13)</f>
        <v>0</v>
      </c>
      <c r="BC59" s="130">
        <f t="array" ref="BC59">IF($BD$13=0,0,MMULT($AC59:$AL59, BD$3:BD$12)/$BD$13)</f>
        <v>0</v>
      </c>
      <c r="BD59" s="130">
        <f t="array" ref="BD59">IF($BE$13=0,0,MMULT($AC59:$AL59, BE$3:BE$12)/$BE$13)</f>
        <v>0</v>
      </c>
      <c r="BE59" s="130">
        <f t="array" ref="BE59">IF($BF$13=0,0,MMULT($AC59:$AL59, BF$3:BF$12)/$BF$13)</f>
        <v>0</v>
      </c>
      <c r="BF59" s="130">
        <f t="array" ref="BF59">IF($BG$13=0,0,MMULT($AC59:$AL59, BG$3:BG$12)/$BG$13)</f>
        <v>0</v>
      </c>
      <c r="BG59" s="130">
        <f t="array" ref="BG59">IF($BH$13=0,0,MMULT($AC59:$AL59, BH$3:BH$12)/$BH$13)</f>
        <v>0.87360000000000004</v>
      </c>
      <c r="BH59" s="130">
        <f t="array" ref="BH59">IF($BI$13=0,0,MMULT($AC59:$AL59, BI$3:BI$12)/$BI$13)</f>
        <v>0</v>
      </c>
      <c r="BI59" s="130">
        <f t="array" ref="BI59">IF($BJ$13=0,0,MMULT($AC59:$AL59, BJ$3:BJ$12)/$BJ$13)</f>
        <v>0</v>
      </c>
      <c r="BJ59" s="129" t="e">
        <f>IF(OR(CSE4098C_Summer2026_Grade!$J45="W (Withdrawn)", CSE4098C_Summer2026_Grade!$J45="I (Incomplete)"), 0, IF(AX59&gt;=55%, 1, 0))</f>
        <v>#DIV/0!</v>
      </c>
      <c r="BK59" s="129" t="e">
        <f>IF(OR(CSE4098C_Summer2026_Grade!$J45="W (Withdrawn)", CSE4098C_Summer2026_Grade!$J45="I (Incomplete)"), 0, IF(AY59&gt;=55%, 1, 0))</f>
        <v>#DIV/0!</v>
      </c>
      <c r="BL59" s="129" t="e">
        <f>IF(OR(CSE4098C_Summer2026_Grade!$J45="W (Withdrawn)", CSE4098C_Summer2026_Grade!$J45="I (Incomplete)"), 0, IF(AZ59&gt;=55%, 1, 0))</f>
        <v>#DIV/0!</v>
      </c>
      <c r="BM59" s="129" t="e">
        <f>IF(OR(CSE4098C_Summer2026_Grade!$J45="W (Withdrawn)", CSE4098C_Summer2026_Grade!$J45="I (Incomplete)"), 0, IF(BA59&gt;=55%, 1, 0))</f>
        <v>#DIV/0!</v>
      </c>
      <c r="BN59" s="129" t="e">
        <f>IF(OR(CSE4098C_Summer2026_Grade!$J45="W (Withdrawn)", CSE4098C_Summer2026_Grade!$J45="I (Incomplete)"), 0, IF(BB59&gt;=55%, 1, 0))</f>
        <v>#DIV/0!</v>
      </c>
      <c r="BO59" s="129" t="e">
        <f>IF(OR(CSE4098C_Summer2026_Grade!$J45="W (Withdrawn)", CSE4098C_Summer2026_Grade!$J45="I (Incomplete)"), 0, IF(BC59&gt;=55%, 1, 0))</f>
        <v>#DIV/0!</v>
      </c>
      <c r="BP59" s="129" t="e">
        <f>IF(OR(CSE4098C_Summer2026_Grade!$J45="W (Withdrawn)", CSE4098C_Summer2026_Grade!$J45="I (Incomplete)"), 0, IF(BD59&gt;=55%, 1, 0))</f>
        <v>#DIV/0!</v>
      </c>
      <c r="BQ59" s="129" t="e">
        <f>IF(OR(CSE4098C_Summer2026_Grade!$J45="W (Withdrawn)", CSE4098C_Summer2026_Grade!$J45="I (Incomplete)"), 0, IF(BE59&gt;=55%, 1, 0))</f>
        <v>#DIV/0!</v>
      </c>
      <c r="BR59" s="129" t="e">
        <f>IF(OR(CSE4098C_Summer2026_Grade!$J45="W (Withdrawn)", CSE4098C_Summer2026_Grade!$J45="I (Incomplete)"), 0, IF(BF59&gt;=55%, 1, 0))</f>
        <v>#DIV/0!</v>
      </c>
      <c r="BS59" s="129" t="e">
        <f>IF(OR(CSE4098C_Summer2026_Grade!$J45="W (Withdrawn)", CSE4098C_Summer2026_Grade!$J45="I (Incomplete)"), 0, IF(BG59&gt;=55%, 1, 0))</f>
        <v>#DIV/0!</v>
      </c>
      <c r="BT59" s="129" t="e">
        <f>IF(OR(CSE4098C_Summer2026_Grade!$J45="W (Withdrawn)", CSE4098C_Summer2026_Grade!$J45="I (Incomplete)"), 0, IF(BH59&gt;=55%, 1, 0))</f>
        <v>#DIV/0!</v>
      </c>
      <c r="BU59" s="129" t="e">
        <f>IF(OR(CSE4098C_Summer2026_Grade!$J45="W (Withdrawn)", CSE4098C_Summer2026_Grade!$J45="I (Incomplete)"), 0, IF(BI59&gt;=55%, 1, 0))</f>
        <v>#DIV/0!</v>
      </c>
    </row>
    <row r="60" spans="1:73" ht="12.75" customHeight="1" thickBot="1">
      <c r="A60" s="118">
        <f t="shared" si="11"/>
        <v>42</v>
      </c>
      <c r="B60" s="222">
        <v>223014183</v>
      </c>
      <c r="C60" s="222" t="s">
        <v>244</v>
      </c>
      <c r="D60" s="119">
        <f>CO_Report_Evaluation!AG45</f>
        <v>0</v>
      </c>
      <c r="E60" s="119">
        <f>CO_Report_Evaluation!AH45</f>
        <v>0</v>
      </c>
      <c r="F60" s="119">
        <f>CO_Report_Evaluation!AI45</f>
        <v>0</v>
      </c>
      <c r="G60" s="119">
        <f>CO_Report_Evaluation!AJ45</f>
        <v>0</v>
      </c>
      <c r="H60" s="119">
        <f>CO_Report_Evaluation!AK45</f>
        <v>0</v>
      </c>
      <c r="I60" s="119">
        <f>CO_Report_Evaluation!AL45</f>
        <v>0</v>
      </c>
      <c r="J60" s="119">
        <f>CO_Report_Evaluation!AM45</f>
        <v>0</v>
      </c>
      <c r="K60" s="119">
        <f>CO_Report_Evaluation!AN45</f>
        <v>0</v>
      </c>
      <c r="L60" s="119">
        <f>CSE4098C_Summer2026_Grade!G46</f>
        <v>0</v>
      </c>
      <c r="M60" s="119"/>
      <c r="N60" s="33">
        <f>((CSE4098C_Summer2026_Grade!E46)*10)/25</f>
        <v>8.8680000000000003</v>
      </c>
      <c r="O60" s="120"/>
      <c r="P60" s="121"/>
      <c r="Q60" s="122">
        <v>17.22</v>
      </c>
      <c r="R60" s="120"/>
      <c r="S60" s="123">
        <f t="shared" si="4"/>
        <v>0</v>
      </c>
      <c r="T60" s="124">
        <f t="shared" ref="T60:U60" si="172">E60</f>
        <v>0</v>
      </c>
      <c r="U60" s="124">
        <f t="shared" si="172"/>
        <v>0</v>
      </c>
      <c r="V60" s="124">
        <f t="shared" ref="V60:X60" si="173">SUM(G60,P60)</f>
        <v>0</v>
      </c>
      <c r="W60" s="124">
        <f t="shared" si="173"/>
        <v>17.22</v>
      </c>
      <c r="X60" s="124">
        <f t="shared" si="173"/>
        <v>0</v>
      </c>
      <c r="Y60" s="125">
        <f t="shared" ref="Y60:AA60" si="174">J60</f>
        <v>0</v>
      </c>
      <c r="Z60" s="125">
        <f t="shared" si="174"/>
        <v>0</v>
      </c>
      <c r="AA60" s="125">
        <f t="shared" si="174"/>
        <v>0</v>
      </c>
      <c r="AB60" s="125">
        <f t="shared" si="9"/>
        <v>8.8680000000000003</v>
      </c>
      <c r="AC60" s="126">
        <f t="shared" ref="AC60:AL60" si="175">IF(S60 = 0, 0, S60/S$18)</f>
        <v>0</v>
      </c>
      <c r="AD60" s="127">
        <f t="shared" si="175"/>
        <v>0</v>
      </c>
      <c r="AE60" s="128">
        <f t="shared" si="175"/>
        <v>0</v>
      </c>
      <c r="AF60" s="128">
        <f t="shared" si="175"/>
        <v>0</v>
      </c>
      <c r="AG60" s="128">
        <f t="shared" si="175"/>
        <v>0.66230769230769226</v>
      </c>
      <c r="AH60" s="128">
        <f t="shared" si="175"/>
        <v>0</v>
      </c>
      <c r="AI60" s="128">
        <f t="shared" si="175"/>
        <v>0</v>
      </c>
      <c r="AJ60" s="128">
        <f t="shared" si="175"/>
        <v>0</v>
      </c>
      <c r="AK60" s="128">
        <f t="shared" si="175"/>
        <v>0</v>
      </c>
      <c r="AL60" s="128">
        <f t="shared" si="175"/>
        <v>0.88680000000000003</v>
      </c>
      <c r="AM60" s="129" t="e">
        <f>IF(OR(CSE4098C_Summer2026_Grade!$J46="W (Withdrawn)", CSE4098C_Summer2026_Grade!$J46="I (Incomplete)"), 0, IF(AC60&gt;=55%, 1, 0))</f>
        <v>#DIV/0!</v>
      </c>
      <c r="AN60" s="129" t="e">
        <f>IF(OR(CSE4098C_Summer2026_Grade!$J46="W (Withdrawn)", CSE4098C_Summer2026_Grade!$J46="I (Incomplete)"), 0, IF(AD60&gt;=55%, 1, 0))</f>
        <v>#DIV/0!</v>
      </c>
      <c r="AO60" s="129" t="e">
        <f>IF(OR(CSE4098C_Summer2026_Grade!$J46="W (Withdrawn)", CSE4098C_Summer2026_Grade!$J46="I (Incomplete)"), 0, IF(AE60&gt;=55%, 1, 0))</f>
        <v>#DIV/0!</v>
      </c>
      <c r="AP60" s="129" t="e">
        <f>IF(OR(CSE4098C_Summer2026_Grade!$J46="W (Withdrawn)", CSE4098C_Summer2026_Grade!$J46="I (Incomplete)"), 0, IF(AF60&gt;=55%, 1, 0))</f>
        <v>#DIV/0!</v>
      </c>
      <c r="AQ60" s="129" t="e">
        <f>IF(OR(CSE4098C_Summer2026_Grade!$J46="W (Withdrawn)", CSE4098C_Summer2026_Grade!$J46="I (Incomplete)"), 0, IF(AG60&gt;=55%, 1, 0))</f>
        <v>#DIV/0!</v>
      </c>
      <c r="AR60" s="129" t="e">
        <f>IF(OR(CSE4098C_Summer2026_Grade!$J46="W (Withdrawn)", CSE4098C_Summer2026_Grade!$J46="I (Incomplete)"), 0, IF(AH60&gt;=55%, 1, 0))</f>
        <v>#DIV/0!</v>
      </c>
      <c r="AS60" s="129" t="e">
        <f>IF(OR(CSE4098C_Summer2026_Grade!$J46="W (Withdrawn)", CSE4098C_Summer2026_Grade!$J46="I (Incomplete)"), 0, IF(AI60&gt;=55%, 1, 0))</f>
        <v>#DIV/0!</v>
      </c>
      <c r="AT60" s="129" t="e">
        <f>IF(OR(CSE4098C_Summer2026_Grade!$J46="W (Withdrawn)", CSE4098C_Summer2026_Grade!$J46="I (Incomplete)"), 0, IF(AJ60&gt;=55%, 1, 0))</f>
        <v>#DIV/0!</v>
      </c>
      <c r="AU60" s="129" t="e">
        <f>IF(OR(CSE4098C_Summer2026_Grade!$J46="W (Withdrawn)", CSE4098C_Summer2026_Grade!$J46="I (Incomplete)"), 0, IF(AK60&gt;=55%, 1, 0))</f>
        <v>#DIV/0!</v>
      </c>
      <c r="AV60" s="129" t="e">
        <f>IF(OR(CSE4098C_Summer2026_Grade!$J46="W (Withdrawn)", CSE4098C_Summer2026_Grade!$J46="I (Incomplete)"), 0, IF(AL60&gt;=55%, 1, 0))</f>
        <v>#DIV/0!</v>
      </c>
      <c r="AX60" s="130">
        <f t="array" ref="AX60">IF($AY$13=0,0,MMULT($AC60:$AL60, AY$3:AY$12)/$AY$13)</f>
        <v>0</v>
      </c>
      <c r="AY60" s="130">
        <f t="array" ref="AY60">IF($AZ$13=0,0,MMULT($AC60:$AL60, AZ$3:AZ$12)/$AZ$13)</f>
        <v>0</v>
      </c>
      <c r="AZ60" s="130">
        <f t="array" ref="AZ60">IF($BA$13=0,0,MMULT($AC60:$AL60, BA$3:BA$12)/$BA$13)</f>
        <v>0</v>
      </c>
      <c r="BA60" s="130">
        <f t="array" ref="BA60">IF($BB$13=0,0,MMULT($AC60:$AL60, BB$3:BB$12)/$BB$13)</f>
        <v>0.66230769230769226</v>
      </c>
      <c r="BB60" s="130">
        <f t="array" ref="BB60">IF($BC$13=0,0,MMULT($AC60:$AL60, BC$3:BC$12)/$BC$13)</f>
        <v>0</v>
      </c>
      <c r="BC60" s="130">
        <f t="array" ref="BC60">IF($BD$13=0,0,MMULT($AC60:$AL60, BD$3:BD$12)/$BD$13)</f>
        <v>0</v>
      </c>
      <c r="BD60" s="130">
        <f t="array" ref="BD60">IF($BE$13=0,0,MMULT($AC60:$AL60, BE$3:BE$12)/$BE$13)</f>
        <v>0</v>
      </c>
      <c r="BE60" s="130">
        <f t="array" ref="BE60">IF($BF$13=0,0,MMULT($AC60:$AL60, BF$3:BF$12)/$BF$13)</f>
        <v>0</v>
      </c>
      <c r="BF60" s="130">
        <f t="array" ref="BF60">IF($BG$13=0,0,MMULT($AC60:$AL60, BG$3:BG$12)/$BG$13)</f>
        <v>0</v>
      </c>
      <c r="BG60" s="130">
        <f t="array" ref="BG60">IF($BH$13=0,0,MMULT($AC60:$AL60, BH$3:BH$12)/$BH$13)</f>
        <v>0.88680000000000003</v>
      </c>
      <c r="BH60" s="130">
        <f t="array" ref="BH60">IF($BI$13=0,0,MMULT($AC60:$AL60, BI$3:BI$12)/$BI$13)</f>
        <v>0</v>
      </c>
      <c r="BI60" s="130">
        <f t="array" ref="BI60">IF($BJ$13=0,0,MMULT($AC60:$AL60, BJ$3:BJ$12)/$BJ$13)</f>
        <v>0</v>
      </c>
      <c r="BJ60" s="129" t="e">
        <f>IF(OR(CSE4098C_Summer2026_Grade!$J46="W (Withdrawn)", CSE4098C_Summer2026_Grade!$J46="I (Incomplete)"), 0, IF(AX60&gt;=55%, 1, 0))</f>
        <v>#DIV/0!</v>
      </c>
      <c r="BK60" s="129" t="e">
        <f>IF(OR(CSE4098C_Summer2026_Grade!$J46="W (Withdrawn)", CSE4098C_Summer2026_Grade!$J46="I (Incomplete)"), 0, IF(AY60&gt;=55%, 1, 0))</f>
        <v>#DIV/0!</v>
      </c>
      <c r="BL60" s="129" t="e">
        <f>IF(OR(CSE4098C_Summer2026_Grade!$J46="W (Withdrawn)", CSE4098C_Summer2026_Grade!$J46="I (Incomplete)"), 0, IF(AZ60&gt;=55%, 1, 0))</f>
        <v>#DIV/0!</v>
      </c>
      <c r="BM60" s="129" t="e">
        <f>IF(OR(CSE4098C_Summer2026_Grade!$J46="W (Withdrawn)", CSE4098C_Summer2026_Grade!$J46="I (Incomplete)"), 0, IF(BA60&gt;=55%, 1, 0))</f>
        <v>#DIV/0!</v>
      </c>
      <c r="BN60" s="129" t="e">
        <f>IF(OR(CSE4098C_Summer2026_Grade!$J46="W (Withdrawn)", CSE4098C_Summer2026_Grade!$J46="I (Incomplete)"), 0, IF(BB60&gt;=55%, 1, 0))</f>
        <v>#DIV/0!</v>
      </c>
      <c r="BO60" s="129" t="e">
        <f>IF(OR(CSE4098C_Summer2026_Grade!$J46="W (Withdrawn)", CSE4098C_Summer2026_Grade!$J46="I (Incomplete)"), 0, IF(BC60&gt;=55%, 1, 0))</f>
        <v>#DIV/0!</v>
      </c>
      <c r="BP60" s="129" t="e">
        <f>IF(OR(CSE4098C_Summer2026_Grade!$J46="W (Withdrawn)", CSE4098C_Summer2026_Grade!$J46="I (Incomplete)"), 0, IF(BD60&gt;=55%, 1, 0))</f>
        <v>#DIV/0!</v>
      </c>
      <c r="BQ60" s="129" t="e">
        <f>IF(OR(CSE4098C_Summer2026_Grade!$J46="W (Withdrawn)", CSE4098C_Summer2026_Grade!$J46="I (Incomplete)"), 0, IF(BE60&gt;=55%, 1, 0))</f>
        <v>#DIV/0!</v>
      </c>
      <c r="BR60" s="129" t="e">
        <f>IF(OR(CSE4098C_Summer2026_Grade!$J46="W (Withdrawn)", CSE4098C_Summer2026_Grade!$J46="I (Incomplete)"), 0, IF(BF60&gt;=55%, 1, 0))</f>
        <v>#DIV/0!</v>
      </c>
      <c r="BS60" s="129" t="e">
        <f>IF(OR(CSE4098C_Summer2026_Grade!$J46="W (Withdrawn)", CSE4098C_Summer2026_Grade!$J46="I (Incomplete)"), 0, IF(BG60&gt;=55%, 1, 0))</f>
        <v>#DIV/0!</v>
      </c>
      <c r="BT60" s="129" t="e">
        <f>IF(OR(CSE4098C_Summer2026_Grade!$J46="W (Withdrawn)", CSE4098C_Summer2026_Grade!$J46="I (Incomplete)"), 0, IF(BH60&gt;=55%, 1, 0))</f>
        <v>#DIV/0!</v>
      </c>
      <c r="BU60" s="129" t="e">
        <f>IF(OR(CSE4098C_Summer2026_Grade!$J46="W (Withdrawn)", CSE4098C_Summer2026_Grade!$J46="I (Incomplete)"), 0, IF(BI60&gt;=55%, 1, 0))</f>
        <v>#DIV/0!</v>
      </c>
    </row>
    <row r="61" spans="1:73" ht="12.75" customHeight="1" thickBot="1">
      <c r="A61" s="118">
        <f t="shared" si="11"/>
        <v>43</v>
      </c>
      <c r="B61" s="222">
        <v>223014182</v>
      </c>
      <c r="C61" s="222" t="s">
        <v>245</v>
      </c>
      <c r="D61" s="119">
        <f>CO_Report_Evaluation!AG46</f>
        <v>0</v>
      </c>
      <c r="E61" s="119">
        <f>CO_Report_Evaluation!AH46</f>
        <v>0</v>
      </c>
      <c r="F61" s="119">
        <f>CO_Report_Evaluation!AI46</f>
        <v>0</v>
      </c>
      <c r="G61" s="119">
        <f>CO_Report_Evaluation!AJ46</f>
        <v>0</v>
      </c>
      <c r="H61" s="119">
        <f>CO_Report_Evaluation!AK46</f>
        <v>0</v>
      </c>
      <c r="I61" s="119">
        <f>CO_Report_Evaluation!AL46</f>
        <v>0</v>
      </c>
      <c r="J61" s="119">
        <f>CO_Report_Evaluation!AM46</f>
        <v>0</v>
      </c>
      <c r="K61" s="119">
        <f>CO_Report_Evaluation!AN46</f>
        <v>0</v>
      </c>
      <c r="L61" s="119">
        <f>CSE4098C_Summer2026_Grade!G47</f>
        <v>0</v>
      </c>
      <c r="M61" s="119"/>
      <c r="N61" s="33">
        <f>((CSE4098C_Summer2026_Grade!E47)*10)/25</f>
        <v>8.7360000000000007</v>
      </c>
      <c r="O61" s="120"/>
      <c r="P61" s="121"/>
      <c r="Q61" s="122">
        <v>17.22</v>
      </c>
      <c r="R61" s="120"/>
      <c r="S61" s="123">
        <f t="shared" si="4"/>
        <v>0</v>
      </c>
      <c r="T61" s="124">
        <f t="shared" ref="T61:U61" si="176">E61</f>
        <v>0</v>
      </c>
      <c r="U61" s="124">
        <f t="shared" si="176"/>
        <v>0</v>
      </c>
      <c r="V61" s="124">
        <f t="shared" ref="V61:X61" si="177">SUM(G61,P61)</f>
        <v>0</v>
      </c>
      <c r="W61" s="124">
        <f t="shared" si="177"/>
        <v>17.22</v>
      </c>
      <c r="X61" s="124">
        <f t="shared" si="177"/>
        <v>0</v>
      </c>
      <c r="Y61" s="125">
        <f t="shared" ref="Y61:AA61" si="178">J61</f>
        <v>0</v>
      </c>
      <c r="Z61" s="125">
        <f t="shared" si="178"/>
        <v>0</v>
      </c>
      <c r="AA61" s="125">
        <f t="shared" si="178"/>
        <v>0</v>
      </c>
      <c r="AB61" s="125">
        <f t="shared" si="9"/>
        <v>8.7360000000000007</v>
      </c>
      <c r="AC61" s="126">
        <f t="shared" ref="AC61:AL61" si="179">IF(S61 = 0, 0, S61/S$18)</f>
        <v>0</v>
      </c>
      <c r="AD61" s="127">
        <f t="shared" si="179"/>
        <v>0</v>
      </c>
      <c r="AE61" s="128">
        <f t="shared" si="179"/>
        <v>0</v>
      </c>
      <c r="AF61" s="128">
        <f t="shared" si="179"/>
        <v>0</v>
      </c>
      <c r="AG61" s="128">
        <f t="shared" si="179"/>
        <v>0.66230769230769226</v>
      </c>
      <c r="AH61" s="128">
        <f t="shared" si="179"/>
        <v>0</v>
      </c>
      <c r="AI61" s="128">
        <f t="shared" si="179"/>
        <v>0</v>
      </c>
      <c r="AJ61" s="128">
        <f t="shared" si="179"/>
        <v>0</v>
      </c>
      <c r="AK61" s="128">
        <f t="shared" si="179"/>
        <v>0</v>
      </c>
      <c r="AL61" s="128">
        <f t="shared" si="179"/>
        <v>0.87360000000000004</v>
      </c>
      <c r="AM61" s="129" t="e">
        <f>IF(OR(CSE4098C_Summer2026_Grade!$J47="W (Withdrawn)", CSE4098C_Summer2026_Grade!$J47="I (Incomplete)"), 0, IF(AC61&gt;=55%, 1, 0))</f>
        <v>#DIV/0!</v>
      </c>
      <c r="AN61" s="129" t="e">
        <f>IF(OR(CSE4098C_Summer2026_Grade!$J47="W (Withdrawn)", CSE4098C_Summer2026_Grade!$J47="I (Incomplete)"), 0, IF(AD61&gt;=55%, 1, 0))</f>
        <v>#DIV/0!</v>
      </c>
      <c r="AO61" s="129" t="e">
        <f>IF(OR(CSE4098C_Summer2026_Grade!$J47="W (Withdrawn)", CSE4098C_Summer2026_Grade!$J47="I (Incomplete)"), 0, IF(AE61&gt;=55%, 1, 0))</f>
        <v>#DIV/0!</v>
      </c>
      <c r="AP61" s="129" t="e">
        <f>IF(OR(CSE4098C_Summer2026_Grade!$J47="W (Withdrawn)", CSE4098C_Summer2026_Grade!$J47="I (Incomplete)"), 0, IF(AF61&gt;=55%, 1, 0))</f>
        <v>#DIV/0!</v>
      </c>
      <c r="AQ61" s="129" t="e">
        <f>IF(OR(CSE4098C_Summer2026_Grade!$J47="W (Withdrawn)", CSE4098C_Summer2026_Grade!$J47="I (Incomplete)"), 0, IF(AG61&gt;=55%, 1, 0))</f>
        <v>#DIV/0!</v>
      </c>
      <c r="AR61" s="129" t="e">
        <f>IF(OR(CSE4098C_Summer2026_Grade!$J47="W (Withdrawn)", CSE4098C_Summer2026_Grade!$J47="I (Incomplete)"), 0, IF(AH61&gt;=55%, 1, 0))</f>
        <v>#DIV/0!</v>
      </c>
      <c r="AS61" s="129" t="e">
        <f>IF(OR(CSE4098C_Summer2026_Grade!$J47="W (Withdrawn)", CSE4098C_Summer2026_Grade!$J47="I (Incomplete)"), 0, IF(AI61&gt;=55%, 1, 0))</f>
        <v>#DIV/0!</v>
      </c>
      <c r="AT61" s="129" t="e">
        <f>IF(OR(CSE4098C_Summer2026_Grade!$J47="W (Withdrawn)", CSE4098C_Summer2026_Grade!$J47="I (Incomplete)"), 0, IF(AJ61&gt;=55%, 1, 0))</f>
        <v>#DIV/0!</v>
      </c>
      <c r="AU61" s="129" t="e">
        <f>IF(OR(CSE4098C_Summer2026_Grade!$J47="W (Withdrawn)", CSE4098C_Summer2026_Grade!$J47="I (Incomplete)"), 0, IF(AK61&gt;=55%, 1, 0))</f>
        <v>#DIV/0!</v>
      </c>
      <c r="AV61" s="129" t="e">
        <f>IF(OR(CSE4098C_Summer2026_Grade!$J47="W (Withdrawn)", CSE4098C_Summer2026_Grade!$J47="I (Incomplete)"), 0, IF(AL61&gt;=55%, 1, 0))</f>
        <v>#DIV/0!</v>
      </c>
      <c r="AX61" s="130">
        <f t="array" ref="AX61">IF($AY$13=0,0,MMULT($AC61:$AL61, AY$3:AY$12)/$AY$13)</f>
        <v>0</v>
      </c>
      <c r="AY61" s="130">
        <f t="array" ref="AY61">IF($AZ$13=0,0,MMULT($AC61:$AL61, AZ$3:AZ$12)/$AZ$13)</f>
        <v>0</v>
      </c>
      <c r="AZ61" s="130">
        <f t="array" ref="AZ61">IF($BA$13=0,0,MMULT($AC61:$AL61, BA$3:BA$12)/$BA$13)</f>
        <v>0</v>
      </c>
      <c r="BA61" s="130">
        <f t="array" ref="BA61">IF($BB$13=0,0,MMULT($AC61:$AL61, BB$3:BB$12)/$BB$13)</f>
        <v>0.66230769230769226</v>
      </c>
      <c r="BB61" s="130">
        <f t="array" ref="BB61">IF($BC$13=0,0,MMULT($AC61:$AL61, BC$3:BC$12)/$BC$13)</f>
        <v>0</v>
      </c>
      <c r="BC61" s="130">
        <f t="array" ref="BC61">IF($BD$13=0,0,MMULT($AC61:$AL61, BD$3:BD$12)/$BD$13)</f>
        <v>0</v>
      </c>
      <c r="BD61" s="130">
        <f t="array" ref="BD61">IF($BE$13=0,0,MMULT($AC61:$AL61, BE$3:BE$12)/$BE$13)</f>
        <v>0</v>
      </c>
      <c r="BE61" s="130">
        <f t="array" ref="BE61">IF($BF$13=0,0,MMULT($AC61:$AL61, BF$3:BF$12)/$BF$13)</f>
        <v>0</v>
      </c>
      <c r="BF61" s="130">
        <f t="array" ref="BF61">IF($BG$13=0,0,MMULT($AC61:$AL61, BG$3:BG$12)/$BG$13)</f>
        <v>0</v>
      </c>
      <c r="BG61" s="130">
        <f t="array" ref="BG61">IF($BH$13=0,0,MMULT($AC61:$AL61, BH$3:BH$12)/$BH$13)</f>
        <v>0.87360000000000004</v>
      </c>
      <c r="BH61" s="130">
        <f t="array" ref="BH61">IF($BI$13=0,0,MMULT($AC61:$AL61, BI$3:BI$12)/$BI$13)</f>
        <v>0</v>
      </c>
      <c r="BI61" s="130">
        <f t="array" ref="BI61">IF($BJ$13=0,0,MMULT($AC61:$AL61, BJ$3:BJ$12)/$BJ$13)</f>
        <v>0</v>
      </c>
      <c r="BJ61" s="129" t="e">
        <f>IF(OR(CSE4098C_Summer2026_Grade!$J47="W (Withdrawn)", CSE4098C_Summer2026_Grade!$J47="I (Incomplete)"), 0, IF(AX61&gt;=55%, 1, 0))</f>
        <v>#DIV/0!</v>
      </c>
      <c r="BK61" s="129" t="e">
        <f>IF(OR(CSE4098C_Summer2026_Grade!$J47="W (Withdrawn)", CSE4098C_Summer2026_Grade!$J47="I (Incomplete)"), 0, IF(AY61&gt;=55%, 1, 0))</f>
        <v>#DIV/0!</v>
      </c>
      <c r="BL61" s="129" t="e">
        <f>IF(OR(CSE4098C_Summer2026_Grade!$J47="W (Withdrawn)", CSE4098C_Summer2026_Grade!$J47="I (Incomplete)"), 0, IF(AZ61&gt;=55%, 1, 0))</f>
        <v>#DIV/0!</v>
      </c>
      <c r="BM61" s="129" t="e">
        <f>IF(OR(CSE4098C_Summer2026_Grade!$J47="W (Withdrawn)", CSE4098C_Summer2026_Grade!$J47="I (Incomplete)"), 0, IF(BA61&gt;=55%, 1, 0))</f>
        <v>#DIV/0!</v>
      </c>
      <c r="BN61" s="129" t="e">
        <f>IF(OR(CSE4098C_Summer2026_Grade!$J47="W (Withdrawn)", CSE4098C_Summer2026_Grade!$J47="I (Incomplete)"), 0, IF(BB61&gt;=55%, 1, 0))</f>
        <v>#DIV/0!</v>
      </c>
      <c r="BO61" s="129" t="e">
        <f>IF(OR(CSE4098C_Summer2026_Grade!$J47="W (Withdrawn)", CSE4098C_Summer2026_Grade!$J47="I (Incomplete)"), 0, IF(BC61&gt;=55%, 1, 0))</f>
        <v>#DIV/0!</v>
      </c>
      <c r="BP61" s="129" t="e">
        <f>IF(OR(CSE4098C_Summer2026_Grade!$J47="W (Withdrawn)", CSE4098C_Summer2026_Grade!$J47="I (Incomplete)"), 0, IF(BD61&gt;=55%, 1, 0))</f>
        <v>#DIV/0!</v>
      </c>
      <c r="BQ61" s="129" t="e">
        <f>IF(OR(CSE4098C_Summer2026_Grade!$J47="W (Withdrawn)", CSE4098C_Summer2026_Grade!$J47="I (Incomplete)"), 0, IF(BE61&gt;=55%, 1, 0))</f>
        <v>#DIV/0!</v>
      </c>
      <c r="BR61" s="129" t="e">
        <f>IF(OR(CSE4098C_Summer2026_Grade!$J47="W (Withdrawn)", CSE4098C_Summer2026_Grade!$J47="I (Incomplete)"), 0, IF(BF61&gt;=55%, 1, 0))</f>
        <v>#DIV/0!</v>
      </c>
      <c r="BS61" s="129" t="e">
        <f>IF(OR(CSE4098C_Summer2026_Grade!$J47="W (Withdrawn)", CSE4098C_Summer2026_Grade!$J47="I (Incomplete)"), 0, IF(BG61&gt;=55%, 1, 0))</f>
        <v>#DIV/0!</v>
      </c>
      <c r="BT61" s="129" t="e">
        <f>IF(OR(CSE4098C_Summer2026_Grade!$J47="W (Withdrawn)", CSE4098C_Summer2026_Grade!$J47="I (Incomplete)"), 0, IF(BH61&gt;=55%, 1, 0))</f>
        <v>#DIV/0!</v>
      </c>
      <c r="BU61" s="129" t="e">
        <f>IF(OR(CSE4098C_Summer2026_Grade!$J47="W (Withdrawn)", CSE4098C_Summer2026_Grade!$J47="I (Incomplete)"), 0, IF(BI61&gt;=55%, 1, 0))</f>
        <v>#DIV/0!</v>
      </c>
    </row>
    <row r="62" spans="1:73" ht="12.75" customHeight="1" thickBot="1">
      <c r="A62" s="118">
        <f t="shared" si="11"/>
        <v>44</v>
      </c>
      <c r="B62" s="222">
        <v>223014127</v>
      </c>
      <c r="C62" s="222" t="s">
        <v>246</v>
      </c>
      <c r="D62" s="119">
        <f>CO_Report_Evaluation!AG47</f>
        <v>0</v>
      </c>
      <c r="E62" s="119">
        <f>CO_Report_Evaluation!AH47</f>
        <v>0</v>
      </c>
      <c r="F62" s="119">
        <f>CO_Report_Evaluation!AI47</f>
        <v>0</v>
      </c>
      <c r="G62" s="119">
        <f>CO_Report_Evaluation!AJ47</f>
        <v>0</v>
      </c>
      <c r="H62" s="119">
        <f>CO_Report_Evaluation!AK47</f>
        <v>0</v>
      </c>
      <c r="I62" s="119">
        <f>CO_Report_Evaluation!AL47</f>
        <v>0</v>
      </c>
      <c r="J62" s="119">
        <f>CO_Report_Evaluation!AM47</f>
        <v>0</v>
      </c>
      <c r="K62" s="119">
        <f>CO_Report_Evaluation!AN47</f>
        <v>0</v>
      </c>
      <c r="L62" s="119">
        <f>CSE4098C_Summer2026_Grade!G48</f>
        <v>0</v>
      </c>
      <c r="M62" s="119"/>
      <c r="N62" s="33">
        <f>((CSE4098C_Summer2026_Grade!E48)*10)/25</f>
        <v>6.58</v>
      </c>
      <c r="O62" s="120"/>
      <c r="P62" s="121"/>
      <c r="Q62" s="122">
        <v>15.55</v>
      </c>
      <c r="R62" s="120"/>
      <c r="S62" s="123">
        <f t="shared" si="4"/>
        <v>0</v>
      </c>
      <c r="T62" s="124">
        <f t="shared" ref="T62:U62" si="180">E62</f>
        <v>0</v>
      </c>
      <c r="U62" s="124">
        <f t="shared" si="180"/>
        <v>0</v>
      </c>
      <c r="V62" s="124">
        <f t="shared" ref="V62:X62" si="181">SUM(G62,P62)</f>
        <v>0</v>
      </c>
      <c r="W62" s="124">
        <f t="shared" si="181"/>
        <v>15.55</v>
      </c>
      <c r="X62" s="124">
        <f t="shared" si="181"/>
        <v>0</v>
      </c>
      <c r="Y62" s="125">
        <f t="shared" ref="Y62:AA62" si="182">J62</f>
        <v>0</v>
      </c>
      <c r="Z62" s="125">
        <f t="shared" si="182"/>
        <v>0</v>
      </c>
      <c r="AA62" s="125">
        <f t="shared" si="182"/>
        <v>0</v>
      </c>
      <c r="AB62" s="125">
        <f t="shared" si="9"/>
        <v>6.58</v>
      </c>
      <c r="AC62" s="126">
        <f t="shared" ref="AC62:AL62" si="183">IF(S62 = 0, 0, S62/S$18)</f>
        <v>0</v>
      </c>
      <c r="AD62" s="127">
        <f t="shared" si="183"/>
        <v>0</v>
      </c>
      <c r="AE62" s="128">
        <f t="shared" si="183"/>
        <v>0</v>
      </c>
      <c r="AF62" s="128">
        <f t="shared" si="183"/>
        <v>0</v>
      </c>
      <c r="AG62" s="128">
        <f t="shared" si="183"/>
        <v>0.59807692307692306</v>
      </c>
      <c r="AH62" s="128">
        <f t="shared" si="183"/>
        <v>0</v>
      </c>
      <c r="AI62" s="128">
        <f t="shared" si="183"/>
        <v>0</v>
      </c>
      <c r="AJ62" s="128">
        <f t="shared" si="183"/>
        <v>0</v>
      </c>
      <c r="AK62" s="128">
        <f t="shared" si="183"/>
        <v>0</v>
      </c>
      <c r="AL62" s="128">
        <f t="shared" si="183"/>
        <v>0.65800000000000003</v>
      </c>
      <c r="AM62" s="129" t="e">
        <f>IF(OR(CSE4098C_Summer2026_Grade!$J48="W (Withdrawn)", CSE4098C_Summer2026_Grade!$J48="I (Incomplete)"), 0, IF(AC62&gt;=55%, 1, 0))</f>
        <v>#DIV/0!</v>
      </c>
      <c r="AN62" s="129" t="e">
        <f>IF(OR(CSE4098C_Summer2026_Grade!$J48="W (Withdrawn)", CSE4098C_Summer2026_Grade!$J48="I (Incomplete)"), 0, IF(AD62&gt;=55%, 1, 0))</f>
        <v>#DIV/0!</v>
      </c>
      <c r="AO62" s="129" t="e">
        <f>IF(OR(CSE4098C_Summer2026_Grade!$J48="W (Withdrawn)", CSE4098C_Summer2026_Grade!$J48="I (Incomplete)"), 0, IF(AE62&gt;=55%, 1, 0))</f>
        <v>#DIV/0!</v>
      </c>
      <c r="AP62" s="129" t="e">
        <f>IF(OR(CSE4098C_Summer2026_Grade!$J48="W (Withdrawn)", CSE4098C_Summer2026_Grade!$J48="I (Incomplete)"), 0, IF(AF62&gt;=55%, 1, 0))</f>
        <v>#DIV/0!</v>
      </c>
      <c r="AQ62" s="129" t="e">
        <f>IF(OR(CSE4098C_Summer2026_Grade!$J48="W (Withdrawn)", CSE4098C_Summer2026_Grade!$J48="I (Incomplete)"), 0, IF(AG62&gt;=55%, 1, 0))</f>
        <v>#DIV/0!</v>
      </c>
      <c r="AR62" s="129" t="e">
        <f>IF(OR(CSE4098C_Summer2026_Grade!$J48="W (Withdrawn)", CSE4098C_Summer2026_Grade!$J48="I (Incomplete)"), 0, IF(AH62&gt;=55%, 1, 0))</f>
        <v>#DIV/0!</v>
      </c>
      <c r="AS62" s="129" t="e">
        <f>IF(OR(CSE4098C_Summer2026_Grade!$J48="W (Withdrawn)", CSE4098C_Summer2026_Grade!$J48="I (Incomplete)"), 0, IF(AI62&gt;=55%, 1, 0))</f>
        <v>#DIV/0!</v>
      </c>
      <c r="AT62" s="129" t="e">
        <f>IF(OR(CSE4098C_Summer2026_Grade!$J48="W (Withdrawn)", CSE4098C_Summer2026_Grade!$J48="I (Incomplete)"), 0, IF(AJ62&gt;=55%, 1, 0))</f>
        <v>#DIV/0!</v>
      </c>
      <c r="AU62" s="129" t="e">
        <f>IF(OR(CSE4098C_Summer2026_Grade!$J48="W (Withdrawn)", CSE4098C_Summer2026_Grade!$J48="I (Incomplete)"), 0, IF(AK62&gt;=55%, 1, 0))</f>
        <v>#DIV/0!</v>
      </c>
      <c r="AV62" s="129" t="e">
        <f>IF(OR(CSE4098C_Summer2026_Grade!$J48="W (Withdrawn)", CSE4098C_Summer2026_Grade!$J48="I (Incomplete)"), 0, IF(AL62&gt;=55%, 1, 0))</f>
        <v>#DIV/0!</v>
      </c>
      <c r="AX62" s="130">
        <f t="array" ref="AX62">IF($AY$13=0,0,MMULT($AC62:$AL62, AY$3:AY$12)/$AY$13)</f>
        <v>0</v>
      </c>
      <c r="AY62" s="130">
        <f t="array" ref="AY62">IF($AZ$13=0,0,MMULT($AC62:$AL62, AZ$3:AZ$12)/$AZ$13)</f>
        <v>0</v>
      </c>
      <c r="AZ62" s="130">
        <f t="array" ref="AZ62">IF($BA$13=0,0,MMULT($AC62:$AL62, BA$3:BA$12)/$BA$13)</f>
        <v>0</v>
      </c>
      <c r="BA62" s="130">
        <f t="array" ref="BA62">IF($BB$13=0,0,MMULT($AC62:$AL62, BB$3:BB$12)/$BB$13)</f>
        <v>0.59807692307692306</v>
      </c>
      <c r="BB62" s="130">
        <f t="array" ref="BB62">IF($BC$13=0,0,MMULT($AC62:$AL62, BC$3:BC$12)/$BC$13)</f>
        <v>0</v>
      </c>
      <c r="BC62" s="130">
        <f t="array" ref="BC62">IF($BD$13=0,0,MMULT($AC62:$AL62, BD$3:BD$12)/$BD$13)</f>
        <v>0</v>
      </c>
      <c r="BD62" s="130">
        <f t="array" ref="BD62">IF($BE$13=0,0,MMULT($AC62:$AL62, BE$3:BE$12)/$BE$13)</f>
        <v>0</v>
      </c>
      <c r="BE62" s="130">
        <f t="array" ref="BE62">IF($BF$13=0,0,MMULT($AC62:$AL62, BF$3:BF$12)/$BF$13)</f>
        <v>0</v>
      </c>
      <c r="BF62" s="130">
        <f t="array" ref="BF62">IF($BG$13=0,0,MMULT($AC62:$AL62, BG$3:BG$12)/$BG$13)</f>
        <v>0</v>
      </c>
      <c r="BG62" s="130">
        <f t="array" ref="BG62">IF($BH$13=0,0,MMULT($AC62:$AL62, BH$3:BH$12)/$BH$13)</f>
        <v>0.65800000000000003</v>
      </c>
      <c r="BH62" s="130">
        <f t="array" ref="BH62">IF($BI$13=0,0,MMULT($AC62:$AL62, BI$3:BI$12)/$BI$13)</f>
        <v>0</v>
      </c>
      <c r="BI62" s="130">
        <f t="array" ref="BI62">IF($BJ$13=0,0,MMULT($AC62:$AL62, BJ$3:BJ$12)/$BJ$13)</f>
        <v>0</v>
      </c>
      <c r="BJ62" s="129" t="e">
        <f>IF(OR(CSE4098C_Summer2026_Grade!$J48="W (Withdrawn)", CSE4098C_Summer2026_Grade!$J48="I (Incomplete)"), 0, IF(AX62&gt;=55%, 1, 0))</f>
        <v>#DIV/0!</v>
      </c>
      <c r="BK62" s="129" t="e">
        <f>IF(OR(CSE4098C_Summer2026_Grade!$J48="W (Withdrawn)", CSE4098C_Summer2026_Grade!$J48="I (Incomplete)"), 0, IF(AY62&gt;=55%, 1, 0))</f>
        <v>#DIV/0!</v>
      </c>
      <c r="BL62" s="129" t="e">
        <f>IF(OR(CSE4098C_Summer2026_Grade!$J48="W (Withdrawn)", CSE4098C_Summer2026_Grade!$J48="I (Incomplete)"), 0, IF(AZ62&gt;=55%, 1, 0))</f>
        <v>#DIV/0!</v>
      </c>
      <c r="BM62" s="129" t="e">
        <f>IF(OR(CSE4098C_Summer2026_Grade!$J48="W (Withdrawn)", CSE4098C_Summer2026_Grade!$J48="I (Incomplete)"), 0, IF(BA62&gt;=55%, 1, 0))</f>
        <v>#DIV/0!</v>
      </c>
      <c r="BN62" s="129" t="e">
        <f>IF(OR(CSE4098C_Summer2026_Grade!$J48="W (Withdrawn)", CSE4098C_Summer2026_Grade!$J48="I (Incomplete)"), 0, IF(BB62&gt;=55%, 1, 0))</f>
        <v>#DIV/0!</v>
      </c>
      <c r="BO62" s="129" t="e">
        <f>IF(OR(CSE4098C_Summer2026_Grade!$J48="W (Withdrawn)", CSE4098C_Summer2026_Grade!$J48="I (Incomplete)"), 0, IF(BC62&gt;=55%, 1, 0))</f>
        <v>#DIV/0!</v>
      </c>
      <c r="BP62" s="129" t="e">
        <f>IF(OR(CSE4098C_Summer2026_Grade!$J48="W (Withdrawn)", CSE4098C_Summer2026_Grade!$J48="I (Incomplete)"), 0, IF(BD62&gt;=55%, 1, 0))</f>
        <v>#DIV/0!</v>
      </c>
      <c r="BQ62" s="129" t="e">
        <f>IF(OR(CSE4098C_Summer2026_Grade!$J48="W (Withdrawn)", CSE4098C_Summer2026_Grade!$J48="I (Incomplete)"), 0, IF(BE62&gt;=55%, 1, 0))</f>
        <v>#DIV/0!</v>
      </c>
      <c r="BR62" s="129" t="e">
        <f>IF(OR(CSE4098C_Summer2026_Grade!$J48="W (Withdrawn)", CSE4098C_Summer2026_Grade!$J48="I (Incomplete)"), 0, IF(BF62&gt;=55%, 1, 0))</f>
        <v>#DIV/0!</v>
      </c>
      <c r="BS62" s="129" t="e">
        <f>IF(OR(CSE4098C_Summer2026_Grade!$J48="W (Withdrawn)", CSE4098C_Summer2026_Grade!$J48="I (Incomplete)"), 0, IF(BG62&gt;=55%, 1, 0))</f>
        <v>#DIV/0!</v>
      </c>
      <c r="BT62" s="129" t="e">
        <f>IF(OR(CSE4098C_Summer2026_Grade!$J48="W (Withdrawn)", CSE4098C_Summer2026_Grade!$J48="I (Incomplete)"), 0, IF(BH62&gt;=55%, 1, 0))</f>
        <v>#DIV/0!</v>
      </c>
      <c r="BU62" s="129" t="e">
        <f>IF(OR(CSE4098C_Summer2026_Grade!$J48="W (Withdrawn)", CSE4098C_Summer2026_Grade!$J48="I (Incomplete)"), 0, IF(BI62&gt;=55%, 1, 0))</f>
        <v>#DIV/0!</v>
      </c>
    </row>
    <row r="63" spans="1:73" ht="12.75" customHeight="1" thickBot="1">
      <c r="A63" s="118">
        <f t="shared" si="11"/>
        <v>45</v>
      </c>
      <c r="B63" s="222">
        <v>223014011</v>
      </c>
      <c r="C63" s="222" t="s">
        <v>247</v>
      </c>
      <c r="D63" s="119">
        <f>CO_Report_Evaluation!AG48</f>
        <v>0</v>
      </c>
      <c r="E63" s="119">
        <f>CO_Report_Evaluation!AH48</f>
        <v>0</v>
      </c>
      <c r="F63" s="119">
        <f>CO_Report_Evaluation!AI48</f>
        <v>0</v>
      </c>
      <c r="G63" s="119">
        <f>CO_Report_Evaluation!AJ48</f>
        <v>0</v>
      </c>
      <c r="H63" s="119">
        <f>CO_Report_Evaluation!AK48</f>
        <v>0</v>
      </c>
      <c r="I63" s="119">
        <f>CO_Report_Evaluation!AL48</f>
        <v>0</v>
      </c>
      <c r="J63" s="119">
        <f>CO_Report_Evaluation!AM48</f>
        <v>0</v>
      </c>
      <c r="K63" s="119">
        <f>CO_Report_Evaluation!AN48</f>
        <v>0</v>
      </c>
      <c r="L63" s="119">
        <f>CSE4098C_Summer2026_Grade!G49</f>
        <v>0</v>
      </c>
      <c r="M63" s="119"/>
      <c r="N63" s="33">
        <f>((CSE4098C_Summer2026_Grade!E49)*10)/25</f>
        <v>6.58</v>
      </c>
      <c r="O63" s="120"/>
      <c r="P63" s="121"/>
      <c r="Q63" s="122">
        <v>15.55</v>
      </c>
      <c r="R63" s="120"/>
      <c r="S63" s="123">
        <f t="shared" si="4"/>
        <v>0</v>
      </c>
      <c r="T63" s="124">
        <f t="shared" ref="T63:U63" si="184">E63</f>
        <v>0</v>
      </c>
      <c r="U63" s="124">
        <f t="shared" si="184"/>
        <v>0</v>
      </c>
      <c r="V63" s="124">
        <f t="shared" ref="V63:X63" si="185">SUM(G63,P63)</f>
        <v>0</v>
      </c>
      <c r="W63" s="124">
        <f t="shared" si="185"/>
        <v>15.55</v>
      </c>
      <c r="X63" s="124">
        <f t="shared" si="185"/>
        <v>0</v>
      </c>
      <c r="Y63" s="125">
        <f t="shared" ref="Y63:AA63" si="186">J63</f>
        <v>0</v>
      </c>
      <c r="Z63" s="125">
        <f t="shared" si="186"/>
        <v>0</v>
      </c>
      <c r="AA63" s="125">
        <f t="shared" si="186"/>
        <v>0</v>
      </c>
      <c r="AB63" s="125">
        <f t="shared" si="9"/>
        <v>6.58</v>
      </c>
      <c r="AC63" s="126">
        <f t="shared" ref="AC63:AL63" si="187">IF(S63 = 0, 0, S63/S$18)</f>
        <v>0</v>
      </c>
      <c r="AD63" s="127">
        <f t="shared" si="187"/>
        <v>0</v>
      </c>
      <c r="AE63" s="128">
        <f t="shared" si="187"/>
        <v>0</v>
      </c>
      <c r="AF63" s="128">
        <f t="shared" si="187"/>
        <v>0</v>
      </c>
      <c r="AG63" s="128">
        <f t="shared" si="187"/>
        <v>0.59807692307692306</v>
      </c>
      <c r="AH63" s="128">
        <f t="shared" si="187"/>
        <v>0</v>
      </c>
      <c r="AI63" s="128">
        <f t="shared" si="187"/>
        <v>0</v>
      </c>
      <c r="AJ63" s="128">
        <f t="shared" si="187"/>
        <v>0</v>
      </c>
      <c r="AK63" s="128">
        <f t="shared" si="187"/>
        <v>0</v>
      </c>
      <c r="AL63" s="128">
        <f t="shared" si="187"/>
        <v>0.65800000000000003</v>
      </c>
      <c r="AM63" s="129" t="e">
        <f>IF(OR(CSE4098C_Summer2026_Grade!$J49="W (Withdrawn)", CSE4098C_Summer2026_Grade!$J49="I (Incomplete)"), 0, IF(AC63&gt;=55%, 1, 0))</f>
        <v>#DIV/0!</v>
      </c>
      <c r="AN63" s="129" t="e">
        <f>IF(OR(CSE4098C_Summer2026_Grade!$J49="W (Withdrawn)", CSE4098C_Summer2026_Grade!$J49="I (Incomplete)"), 0, IF(AD63&gt;=55%, 1, 0))</f>
        <v>#DIV/0!</v>
      </c>
      <c r="AO63" s="129" t="e">
        <f>IF(OR(CSE4098C_Summer2026_Grade!$J49="W (Withdrawn)", CSE4098C_Summer2026_Grade!$J49="I (Incomplete)"), 0, IF(AE63&gt;=55%, 1, 0))</f>
        <v>#DIV/0!</v>
      </c>
      <c r="AP63" s="129" t="e">
        <f>IF(OR(CSE4098C_Summer2026_Grade!$J49="W (Withdrawn)", CSE4098C_Summer2026_Grade!$J49="I (Incomplete)"), 0, IF(AF63&gt;=55%, 1, 0))</f>
        <v>#DIV/0!</v>
      </c>
      <c r="AQ63" s="129" t="e">
        <f>IF(OR(CSE4098C_Summer2026_Grade!$J49="W (Withdrawn)", CSE4098C_Summer2026_Grade!$J49="I (Incomplete)"), 0, IF(AG63&gt;=55%, 1, 0))</f>
        <v>#DIV/0!</v>
      </c>
      <c r="AR63" s="129" t="e">
        <f>IF(OR(CSE4098C_Summer2026_Grade!$J49="W (Withdrawn)", CSE4098C_Summer2026_Grade!$J49="I (Incomplete)"), 0, IF(AH63&gt;=55%, 1, 0))</f>
        <v>#DIV/0!</v>
      </c>
      <c r="AS63" s="129" t="e">
        <f>IF(OR(CSE4098C_Summer2026_Grade!$J49="W (Withdrawn)", CSE4098C_Summer2026_Grade!$J49="I (Incomplete)"), 0, IF(AI63&gt;=55%, 1, 0))</f>
        <v>#DIV/0!</v>
      </c>
      <c r="AT63" s="129" t="e">
        <f>IF(OR(CSE4098C_Summer2026_Grade!$J49="W (Withdrawn)", CSE4098C_Summer2026_Grade!$J49="I (Incomplete)"), 0, IF(AJ63&gt;=55%, 1, 0))</f>
        <v>#DIV/0!</v>
      </c>
      <c r="AU63" s="129" t="e">
        <f>IF(OR(CSE4098C_Summer2026_Grade!$J49="W (Withdrawn)", CSE4098C_Summer2026_Grade!$J49="I (Incomplete)"), 0, IF(AK63&gt;=55%, 1, 0))</f>
        <v>#DIV/0!</v>
      </c>
      <c r="AV63" s="129" t="e">
        <f>IF(OR(CSE4098C_Summer2026_Grade!$J49="W (Withdrawn)", CSE4098C_Summer2026_Grade!$J49="I (Incomplete)"), 0, IF(AL63&gt;=55%, 1, 0))</f>
        <v>#DIV/0!</v>
      </c>
      <c r="AX63" s="130">
        <f t="array" ref="AX63">IF($AY$13=0,0,MMULT($AC63:$AL63, AY$3:AY$12)/$AY$13)</f>
        <v>0</v>
      </c>
      <c r="AY63" s="130">
        <f t="array" ref="AY63">IF($AZ$13=0,0,MMULT($AC63:$AL63, AZ$3:AZ$12)/$AZ$13)</f>
        <v>0</v>
      </c>
      <c r="AZ63" s="130">
        <f t="array" ref="AZ63">IF($BA$13=0,0,MMULT($AC63:$AL63, BA$3:BA$12)/$BA$13)</f>
        <v>0</v>
      </c>
      <c r="BA63" s="130">
        <f t="array" ref="BA63">IF($BB$13=0,0,MMULT($AC63:$AL63, BB$3:BB$12)/$BB$13)</f>
        <v>0.59807692307692306</v>
      </c>
      <c r="BB63" s="130">
        <f t="array" ref="BB63">IF($BC$13=0,0,MMULT($AC63:$AL63, BC$3:BC$12)/$BC$13)</f>
        <v>0</v>
      </c>
      <c r="BC63" s="130">
        <f t="array" ref="BC63">IF($BD$13=0,0,MMULT($AC63:$AL63, BD$3:BD$12)/$BD$13)</f>
        <v>0</v>
      </c>
      <c r="BD63" s="130">
        <f t="array" ref="BD63">IF($BE$13=0,0,MMULT($AC63:$AL63, BE$3:BE$12)/$BE$13)</f>
        <v>0</v>
      </c>
      <c r="BE63" s="130">
        <f t="array" ref="BE63">IF($BF$13=0,0,MMULT($AC63:$AL63, BF$3:BF$12)/$BF$13)</f>
        <v>0</v>
      </c>
      <c r="BF63" s="130">
        <f t="array" ref="BF63">IF($BG$13=0,0,MMULT($AC63:$AL63, BG$3:BG$12)/$BG$13)</f>
        <v>0</v>
      </c>
      <c r="BG63" s="130">
        <f t="array" ref="BG63">IF($BH$13=0,0,MMULT($AC63:$AL63, BH$3:BH$12)/$BH$13)</f>
        <v>0.65800000000000003</v>
      </c>
      <c r="BH63" s="130">
        <f t="array" ref="BH63">IF($BI$13=0,0,MMULT($AC63:$AL63, BI$3:BI$12)/$BI$13)</f>
        <v>0</v>
      </c>
      <c r="BI63" s="130">
        <f t="array" ref="BI63">IF($BJ$13=0,0,MMULT($AC63:$AL63, BJ$3:BJ$12)/$BJ$13)</f>
        <v>0</v>
      </c>
      <c r="BJ63" s="129" t="e">
        <f>IF(OR(CSE4098C_Summer2026_Grade!$J49="W (Withdrawn)", CSE4098C_Summer2026_Grade!$J49="I (Incomplete)"), 0, IF(AX63&gt;=55%, 1, 0))</f>
        <v>#DIV/0!</v>
      </c>
      <c r="BK63" s="129" t="e">
        <f>IF(OR(CSE4098C_Summer2026_Grade!$J49="W (Withdrawn)", CSE4098C_Summer2026_Grade!$J49="I (Incomplete)"), 0, IF(AY63&gt;=55%, 1, 0))</f>
        <v>#DIV/0!</v>
      </c>
      <c r="BL63" s="129" t="e">
        <f>IF(OR(CSE4098C_Summer2026_Grade!$J49="W (Withdrawn)", CSE4098C_Summer2026_Grade!$J49="I (Incomplete)"), 0, IF(AZ63&gt;=55%, 1, 0))</f>
        <v>#DIV/0!</v>
      </c>
      <c r="BM63" s="129" t="e">
        <f>IF(OR(CSE4098C_Summer2026_Grade!$J49="W (Withdrawn)", CSE4098C_Summer2026_Grade!$J49="I (Incomplete)"), 0, IF(BA63&gt;=55%, 1, 0))</f>
        <v>#DIV/0!</v>
      </c>
      <c r="BN63" s="129" t="e">
        <f>IF(OR(CSE4098C_Summer2026_Grade!$J49="W (Withdrawn)", CSE4098C_Summer2026_Grade!$J49="I (Incomplete)"), 0, IF(BB63&gt;=55%, 1, 0))</f>
        <v>#DIV/0!</v>
      </c>
      <c r="BO63" s="129" t="e">
        <f>IF(OR(CSE4098C_Summer2026_Grade!$J49="W (Withdrawn)", CSE4098C_Summer2026_Grade!$J49="I (Incomplete)"), 0, IF(BC63&gt;=55%, 1, 0))</f>
        <v>#DIV/0!</v>
      </c>
      <c r="BP63" s="129" t="e">
        <f>IF(OR(CSE4098C_Summer2026_Grade!$J49="W (Withdrawn)", CSE4098C_Summer2026_Grade!$J49="I (Incomplete)"), 0, IF(BD63&gt;=55%, 1, 0))</f>
        <v>#DIV/0!</v>
      </c>
      <c r="BQ63" s="129" t="e">
        <f>IF(OR(CSE4098C_Summer2026_Grade!$J49="W (Withdrawn)", CSE4098C_Summer2026_Grade!$J49="I (Incomplete)"), 0, IF(BE63&gt;=55%, 1, 0))</f>
        <v>#DIV/0!</v>
      </c>
      <c r="BR63" s="129" t="e">
        <f>IF(OR(CSE4098C_Summer2026_Grade!$J49="W (Withdrawn)", CSE4098C_Summer2026_Grade!$J49="I (Incomplete)"), 0, IF(BF63&gt;=55%, 1, 0))</f>
        <v>#DIV/0!</v>
      </c>
      <c r="BS63" s="129" t="e">
        <f>IF(OR(CSE4098C_Summer2026_Grade!$J49="W (Withdrawn)", CSE4098C_Summer2026_Grade!$J49="I (Incomplete)"), 0, IF(BG63&gt;=55%, 1, 0))</f>
        <v>#DIV/0!</v>
      </c>
      <c r="BT63" s="129" t="e">
        <f>IF(OR(CSE4098C_Summer2026_Grade!$J49="W (Withdrawn)", CSE4098C_Summer2026_Grade!$J49="I (Incomplete)"), 0, IF(BH63&gt;=55%, 1, 0))</f>
        <v>#DIV/0!</v>
      </c>
      <c r="BU63" s="129" t="e">
        <f>IF(OR(CSE4098C_Summer2026_Grade!$J49="W (Withdrawn)", CSE4098C_Summer2026_Grade!$J49="I (Incomplete)"), 0, IF(BI63&gt;=55%, 1, 0))</f>
        <v>#DIV/0!</v>
      </c>
    </row>
    <row r="64" spans="1:73" ht="12.75" customHeight="1" thickBot="1">
      <c r="A64" s="118">
        <f t="shared" si="11"/>
        <v>46</v>
      </c>
      <c r="B64" s="222">
        <v>231014007</v>
      </c>
      <c r="C64" s="222" t="s">
        <v>248</v>
      </c>
      <c r="D64" s="119">
        <f>CO_Report_Evaluation!AG49</f>
        <v>0</v>
      </c>
      <c r="E64" s="119">
        <f>CO_Report_Evaluation!AH49</f>
        <v>0</v>
      </c>
      <c r="F64" s="119">
        <f>CO_Report_Evaluation!AI49</f>
        <v>0</v>
      </c>
      <c r="G64" s="119">
        <f>CO_Report_Evaluation!AJ49</f>
        <v>0</v>
      </c>
      <c r="H64" s="119">
        <f>CO_Report_Evaluation!AK49</f>
        <v>0</v>
      </c>
      <c r="I64" s="119">
        <f>CO_Report_Evaluation!AL49</f>
        <v>0</v>
      </c>
      <c r="J64" s="119">
        <f>CO_Report_Evaluation!AM49</f>
        <v>0</v>
      </c>
      <c r="K64" s="119">
        <f>CO_Report_Evaluation!AN49</f>
        <v>0</v>
      </c>
      <c r="L64" s="119">
        <f>CSE4098C_Summer2026_Grade!G50</f>
        <v>0</v>
      </c>
      <c r="M64" s="119"/>
      <c r="N64" s="33">
        <f>((CSE4098C_Summer2026_Grade!E50)*10)/25</f>
        <v>6.58</v>
      </c>
      <c r="O64" s="120"/>
      <c r="P64" s="121"/>
      <c r="Q64" s="122">
        <v>15.55</v>
      </c>
      <c r="R64" s="120"/>
      <c r="S64" s="123">
        <f t="shared" si="4"/>
        <v>0</v>
      </c>
      <c r="T64" s="124">
        <f t="shared" ref="T64:U64" si="188">E64</f>
        <v>0</v>
      </c>
      <c r="U64" s="124">
        <f t="shared" si="188"/>
        <v>0</v>
      </c>
      <c r="V64" s="124">
        <f t="shared" ref="V64:X64" si="189">SUM(G64,P64)</f>
        <v>0</v>
      </c>
      <c r="W64" s="124">
        <f t="shared" si="189"/>
        <v>15.55</v>
      </c>
      <c r="X64" s="124">
        <f t="shared" si="189"/>
        <v>0</v>
      </c>
      <c r="Y64" s="125">
        <f t="shared" ref="Y64:AA64" si="190">J64</f>
        <v>0</v>
      </c>
      <c r="Z64" s="125">
        <f t="shared" si="190"/>
        <v>0</v>
      </c>
      <c r="AA64" s="125">
        <f t="shared" si="190"/>
        <v>0</v>
      </c>
      <c r="AB64" s="125">
        <f t="shared" si="9"/>
        <v>6.58</v>
      </c>
      <c r="AC64" s="126">
        <f t="shared" ref="AC64:AL64" si="191">IF(S64 = 0, 0, S64/S$18)</f>
        <v>0</v>
      </c>
      <c r="AD64" s="127">
        <f t="shared" si="191"/>
        <v>0</v>
      </c>
      <c r="AE64" s="128">
        <f t="shared" si="191"/>
        <v>0</v>
      </c>
      <c r="AF64" s="128">
        <f t="shared" si="191"/>
        <v>0</v>
      </c>
      <c r="AG64" s="128">
        <f t="shared" si="191"/>
        <v>0.59807692307692306</v>
      </c>
      <c r="AH64" s="128">
        <f t="shared" si="191"/>
        <v>0</v>
      </c>
      <c r="AI64" s="128">
        <f t="shared" si="191"/>
        <v>0</v>
      </c>
      <c r="AJ64" s="128">
        <f t="shared" si="191"/>
        <v>0</v>
      </c>
      <c r="AK64" s="128">
        <f t="shared" si="191"/>
        <v>0</v>
      </c>
      <c r="AL64" s="128">
        <f t="shared" si="191"/>
        <v>0.65800000000000003</v>
      </c>
      <c r="AM64" s="129" t="e">
        <f>IF(OR(CSE4098C_Summer2026_Grade!$J50="W (Withdrawn)", CSE4098C_Summer2026_Grade!$J50="I (Incomplete)"), 0, IF(AC64&gt;=55%, 1, 0))</f>
        <v>#DIV/0!</v>
      </c>
      <c r="AN64" s="129" t="e">
        <f>IF(OR(CSE4098C_Summer2026_Grade!$J50="W (Withdrawn)", CSE4098C_Summer2026_Grade!$J50="I (Incomplete)"), 0, IF(AD64&gt;=55%, 1, 0))</f>
        <v>#DIV/0!</v>
      </c>
      <c r="AO64" s="129" t="e">
        <f>IF(OR(CSE4098C_Summer2026_Grade!$J50="W (Withdrawn)", CSE4098C_Summer2026_Grade!$J50="I (Incomplete)"), 0, IF(AE64&gt;=55%, 1, 0))</f>
        <v>#DIV/0!</v>
      </c>
      <c r="AP64" s="129" t="e">
        <f>IF(OR(CSE4098C_Summer2026_Grade!$J50="W (Withdrawn)", CSE4098C_Summer2026_Grade!$J50="I (Incomplete)"), 0, IF(AF64&gt;=55%, 1, 0))</f>
        <v>#DIV/0!</v>
      </c>
      <c r="AQ64" s="129" t="e">
        <f>IF(OR(CSE4098C_Summer2026_Grade!$J50="W (Withdrawn)", CSE4098C_Summer2026_Grade!$J50="I (Incomplete)"), 0, IF(AG64&gt;=55%, 1, 0))</f>
        <v>#DIV/0!</v>
      </c>
      <c r="AR64" s="129" t="e">
        <f>IF(OR(CSE4098C_Summer2026_Grade!$J50="W (Withdrawn)", CSE4098C_Summer2026_Grade!$J50="I (Incomplete)"), 0, IF(AH64&gt;=55%, 1, 0))</f>
        <v>#DIV/0!</v>
      </c>
      <c r="AS64" s="129" t="e">
        <f>IF(OR(CSE4098C_Summer2026_Grade!$J50="W (Withdrawn)", CSE4098C_Summer2026_Grade!$J50="I (Incomplete)"), 0, IF(AI64&gt;=55%, 1, 0))</f>
        <v>#DIV/0!</v>
      </c>
      <c r="AT64" s="129" t="e">
        <f>IF(OR(CSE4098C_Summer2026_Grade!$J50="W (Withdrawn)", CSE4098C_Summer2026_Grade!$J50="I (Incomplete)"), 0, IF(AJ64&gt;=55%, 1, 0))</f>
        <v>#DIV/0!</v>
      </c>
      <c r="AU64" s="129" t="e">
        <f>IF(OR(CSE4098C_Summer2026_Grade!$J50="W (Withdrawn)", CSE4098C_Summer2026_Grade!$J50="I (Incomplete)"), 0, IF(AK64&gt;=55%, 1, 0))</f>
        <v>#DIV/0!</v>
      </c>
      <c r="AV64" s="129" t="e">
        <f>IF(OR(CSE4098C_Summer2026_Grade!$J50="W (Withdrawn)", CSE4098C_Summer2026_Grade!$J50="I (Incomplete)"), 0, IF(AL64&gt;=55%, 1, 0))</f>
        <v>#DIV/0!</v>
      </c>
      <c r="AX64" s="130">
        <f t="array" ref="AX64">IF($AY$13=0,0,MMULT($AC64:$AL64, AY$3:AY$12)/$AY$13)</f>
        <v>0</v>
      </c>
      <c r="AY64" s="130">
        <f t="array" ref="AY64">IF($AZ$13=0,0,MMULT($AC64:$AL64, AZ$3:AZ$12)/$AZ$13)</f>
        <v>0</v>
      </c>
      <c r="AZ64" s="130">
        <f t="array" ref="AZ64">IF($BA$13=0,0,MMULT($AC64:$AL64, BA$3:BA$12)/$BA$13)</f>
        <v>0</v>
      </c>
      <c r="BA64" s="130">
        <f t="array" ref="BA64">IF($BB$13=0,0,MMULT($AC64:$AL64, BB$3:BB$12)/$BB$13)</f>
        <v>0.59807692307692306</v>
      </c>
      <c r="BB64" s="130">
        <f t="array" ref="BB64">IF($BC$13=0,0,MMULT($AC64:$AL64, BC$3:BC$12)/$BC$13)</f>
        <v>0</v>
      </c>
      <c r="BC64" s="130">
        <f t="array" ref="BC64">IF($BD$13=0,0,MMULT($AC64:$AL64, BD$3:BD$12)/$BD$13)</f>
        <v>0</v>
      </c>
      <c r="BD64" s="130">
        <f t="array" ref="BD64">IF($BE$13=0,0,MMULT($AC64:$AL64, BE$3:BE$12)/$BE$13)</f>
        <v>0</v>
      </c>
      <c r="BE64" s="130">
        <f t="array" ref="BE64">IF($BF$13=0,0,MMULT($AC64:$AL64, BF$3:BF$12)/$BF$13)</f>
        <v>0</v>
      </c>
      <c r="BF64" s="130">
        <f t="array" ref="BF64">IF($BG$13=0,0,MMULT($AC64:$AL64, BG$3:BG$12)/$BG$13)</f>
        <v>0</v>
      </c>
      <c r="BG64" s="130">
        <f t="array" ref="BG64">IF($BH$13=0,0,MMULT($AC64:$AL64, BH$3:BH$12)/$BH$13)</f>
        <v>0.65800000000000003</v>
      </c>
      <c r="BH64" s="130">
        <f t="array" ref="BH64">IF($BI$13=0,0,MMULT($AC64:$AL64, BI$3:BI$12)/$BI$13)</f>
        <v>0</v>
      </c>
      <c r="BI64" s="130">
        <f t="array" ref="BI64">IF($BJ$13=0,0,MMULT($AC64:$AL64, BJ$3:BJ$12)/$BJ$13)</f>
        <v>0</v>
      </c>
      <c r="BJ64" s="129" t="e">
        <f>IF(OR(CSE4098C_Summer2026_Grade!$J50="W (Withdrawn)", CSE4098C_Summer2026_Grade!$J50="I (Incomplete)"), 0, IF(AX64&gt;=55%, 1, 0))</f>
        <v>#DIV/0!</v>
      </c>
      <c r="BK64" s="129" t="e">
        <f>IF(OR(CSE4098C_Summer2026_Grade!$J50="W (Withdrawn)", CSE4098C_Summer2026_Grade!$J50="I (Incomplete)"), 0, IF(AY64&gt;=55%, 1, 0))</f>
        <v>#DIV/0!</v>
      </c>
      <c r="BL64" s="129" t="e">
        <f>IF(OR(CSE4098C_Summer2026_Grade!$J50="W (Withdrawn)", CSE4098C_Summer2026_Grade!$J50="I (Incomplete)"), 0, IF(AZ64&gt;=55%, 1, 0))</f>
        <v>#DIV/0!</v>
      </c>
      <c r="BM64" s="129" t="e">
        <f>IF(OR(CSE4098C_Summer2026_Grade!$J50="W (Withdrawn)", CSE4098C_Summer2026_Grade!$J50="I (Incomplete)"), 0, IF(BA64&gt;=55%, 1, 0))</f>
        <v>#DIV/0!</v>
      </c>
      <c r="BN64" s="129" t="e">
        <f>IF(OR(CSE4098C_Summer2026_Grade!$J50="W (Withdrawn)", CSE4098C_Summer2026_Grade!$J50="I (Incomplete)"), 0, IF(BB64&gt;=55%, 1, 0))</f>
        <v>#DIV/0!</v>
      </c>
      <c r="BO64" s="129" t="e">
        <f>IF(OR(CSE4098C_Summer2026_Grade!$J50="W (Withdrawn)", CSE4098C_Summer2026_Grade!$J50="I (Incomplete)"), 0, IF(BC64&gt;=55%, 1, 0))</f>
        <v>#DIV/0!</v>
      </c>
      <c r="BP64" s="129" t="e">
        <f>IF(OR(CSE4098C_Summer2026_Grade!$J50="W (Withdrawn)", CSE4098C_Summer2026_Grade!$J50="I (Incomplete)"), 0, IF(BD64&gt;=55%, 1, 0))</f>
        <v>#DIV/0!</v>
      </c>
      <c r="BQ64" s="129" t="e">
        <f>IF(OR(CSE4098C_Summer2026_Grade!$J50="W (Withdrawn)", CSE4098C_Summer2026_Grade!$J50="I (Incomplete)"), 0, IF(BE64&gt;=55%, 1, 0))</f>
        <v>#DIV/0!</v>
      </c>
      <c r="BR64" s="129" t="e">
        <f>IF(OR(CSE4098C_Summer2026_Grade!$J50="W (Withdrawn)", CSE4098C_Summer2026_Grade!$J50="I (Incomplete)"), 0, IF(BF64&gt;=55%, 1, 0))</f>
        <v>#DIV/0!</v>
      </c>
      <c r="BS64" s="129" t="e">
        <f>IF(OR(CSE4098C_Summer2026_Grade!$J50="W (Withdrawn)", CSE4098C_Summer2026_Grade!$J50="I (Incomplete)"), 0, IF(BG64&gt;=55%, 1, 0))</f>
        <v>#DIV/0!</v>
      </c>
      <c r="BT64" s="129" t="e">
        <f>IF(OR(CSE4098C_Summer2026_Grade!$J50="W (Withdrawn)", CSE4098C_Summer2026_Grade!$J50="I (Incomplete)"), 0, IF(BH64&gt;=55%, 1, 0))</f>
        <v>#DIV/0!</v>
      </c>
      <c r="BU64" s="129" t="e">
        <f>IF(OR(CSE4098C_Summer2026_Grade!$J50="W (Withdrawn)", CSE4098C_Summer2026_Grade!$J50="I (Incomplete)"), 0, IF(BI64&gt;=55%, 1, 0))</f>
        <v>#DIV/0!</v>
      </c>
    </row>
    <row r="65" spans="1:73" ht="12.75" customHeight="1" thickBot="1">
      <c r="A65" s="118">
        <f t="shared" si="11"/>
        <v>47</v>
      </c>
      <c r="B65" s="222">
        <v>212014015</v>
      </c>
      <c r="C65" s="222" t="s">
        <v>249</v>
      </c>
      <c r="D65" s="119">
        <f>CO_Report_Evaluation!AG50</f>
        <v>0</v>
      </c>
      <c r="E65" s="119">
        <f>CO_Report_Evaluation!AH50</f>
        <v>0</v>
      </c>
      <c r="F65" s="119">
        <f>CO_Report_Evaluation!AI50</f>
        <v>0</v>
      </c>
      <c r="G65" s="119">
        <f>CO_Report_Evaluation!AJ50</f>
        <v>0</v>
      </c>
      <c r="H65" s="119">
        <f>CO_Report_Evaluation!AK50</f>
        <v>0</v>
      </c>
      <c r="I65" s="119">
        <f>CO_Report_Evaluation!AL50</f>
        <v>0</v>
      </c>
      <c r="J65" s="119">
        <f>CO_Report_Evaluation!AM50</f>
        <v>0</v>
      </c>
      <c r="K65" s="119">
        <f>CO_Report_Evaluation!AN50</f>
        <v>0</v>
      </c>
      <c r="L65" s="119">
        <f>CSE4098C_Summer2026_Grade!G51</f>
        <v>0</v>
      </c>
      <c r="M65" s="119"/>
      <c r="N65" s="33">
        <f>((CSE4098C_Summer2026_Grade!E51)*10)/25</f>
        <v>8.4439999999999991</v>
      </c>
      <c r="O65" s="120"/>
      <c r="P65" s="121"/>
      <c r="Q65" s="122">
        <v>15.55</v>
      </c>
      <c r="R65" s="120"/>
      <c r="S65" s="123">
        <f t="shared" si="4"/>
        <v>0</v>
      </c>
      <c r="T65" s="124">
        <f t="shared" ref="T65:U65" si="192">E65</f>
        <v>0</v>
      </c>
      <c r="U65" s="124">
        <f t="shared" si="192"/>
        <v>0</v>
      </c>
      <c r="V65" s="124">
        <f t="shared" ref="V65:X65" si="193">SUM(G65,P65)</f>
        <v>0</v>
      </c>
      <c r="W65" s="124">
        <f t="shared" si="193"/>
        <v>15.55</v>
      </c>
      <c r="X65" s="124">
        <f t="shared" si="193"/>
        <v>0</v>
      </c>
      <c r="Y65" s="125">
        <f t="shared" ref="Y65:AA65" si="194">J65</f>
        <v>0</v>
      </c>
      <c r="Z65" s="125">
        <f t="shared" si="194"/>
        <v>0</v>
      </c>
      <c r="AA65" s="125">
        <f t="shared" si="194"/>
        <v>0</v>
      </c>
      <c r="AB65" s="125">
        <f t="shared" si="9"/>
        <v>8.4439999999999991</v>
      </c>
      <c r="AC65" s="126">
        <f t="shared" ref="AC65:AL65" si="195">IF(S65 = 0, 0, S65/S$18)</f>
        <v>0</v>
      </c>
      <c r="AD65" s="127">
        <f t="shared" si="195"/>
        <v>0</v>
      </c>
      <c r="AE65" s="128">
        <f t="shared" si="195"/>
        <v>0</v>
      </c>
      <c r="AF65" s="128">
        <f t="shared" si="195"/>
        <v>0</v>
      </c>
      <c r="AG65" s="128">
        <f t="shared" si="195"/>
        <v>0.59807692307692306</v>
      </c>
      <c r="AH65" s="128">
        <f t="shared" si="195"/>
        <v>0</v>
      </c>
      <c r="AI65" s="128">
        <f t="shared" si="195"/>
        <v>0</v>
      </c>
      <c r="AJ65" s="128">
        <f t="shared" si="195"/>
        <v>0</v>
      </c>
      <c r="AK65" s="128">
        <f t="shared" si="195"/>
        <v>0</v>
      </c>
      <c r="AL65" s="128">
        <f t="shared" si="195"/>
        <v>0.84439999999999993</v>
      </c>
      <c r="AM65" s="129" t="e">
        <f>IF(OR(CSE4098C_Summer2026_Grade!$J51="W (Withdrawn)", CSE4098C_Summer2026_Grade!$J51="I (Incomplete)"), 0, IF(AC65&gt;=55%, 1, 0))</f>
        <v>#DIV/0!</v>
      </c>
      <c r="AN65" s="129" t="e">
        <f>IF(OR(CSE4098C_Summer2026_Grade!$J51="W (Withdrawn)", CSE4098C_Summer2026_Grade!$J51="I (Incomplete)"), 0, IF(AD65&gt;=55%, 1, 0))</f>
        <v>#DIV/0!</v>
      </c>
      <c r="AO65" s="129" t="e">
        <f>IF(OR(CSE4098C_Summer2026_Grade!$J51="W (Withdrawn)", CSE4098C_Summer2026_Grade!$J51="I (Incomplete)"), 0, IF(AE65&gt;=55%, 1, 0))</f>
        <v>#DIV/0!</v>
      </c>
      <c r="AP65" s="129" t="e">
        <f>IF(OR(CSE4098C_Summer2026_Grade!$J51="W (Withdrawn)", CSE4098C_Summer2026_Grade!$J51="I (Incomplete)"), 0, IF(AF65&gt;=55%, 1, 0))</f>
        <v>#DIV/0!</v>
      </c>
      <c r="AQ65" s="129" t="e">
        <f>IF(OR(CSE4098C_Summer2026_Grade!$J51="W (Withdrawn)", CSE4098C_Summer2026_Grade!$J51="I (Incomplete)"), 0, IF(AG65&gt;=55%, 1, 0))</f>
        <v>#DIV/0!</v>
      </c>
      <c r="AR65" s="129" t="e">
        <f>IF(OR(CSE4098C_Summer2026_Grade!$J51="W (Withdrawn)", CSE4098C_Summer2026_Grade!$J51="I (Incomplete)"), 0, IF(AH65&gt;=55%, 1, 0))</f>
        <v>#DIV/0!</v>
      </c>
      <c r="AS65" s="129" t="e">
        <f>IF(OR(CSE4098C_Summer2026_Grade!$J51="W (Withdrawn)", CSE4098C_Summer2026_Grade!$J51="I (Incomplete)"), 0, IF(AI65&gt;=55%, 1, 0))</f>
        <v>#DIV/0!</v>
      </c>
      <c r="AT65" s="129" t="e">
        <f>IF(OR(CSE4098C_Summer2026_Grade!$J51="W (Withdrawn)", CSE4098C_Summer2026_Grade!$J51="I (Incomplete)"), 0, IF(AJ65&gt;=55%, 1, 0))</f>
        <v>#DIV/0!</v>
      </c>
      <c r="AU65" s="129" t="e">
        <f>IF(OR(CSE4098C_Summer2026_Grade!$J51="W (Withdrawn)", CSE4098C_Summer2026_Grade!$J51="I (Incomplete)"), 0, IF(AK65&gt;=55%, 1, 0))</f>
        <v>#DIV/0!</v>
      </c>
      <c r="AV65" s="129" t="e">
        <f>IF(OR(CSE4098C_Summer2026_Grade!$J51="W (Withdrawn)", CSE4098C_Summer2026_Grade!$J51="I (Incomplete)"), 0, IF(AL65&gt;=55%, 1, 0))</f>
        <v>#DIV/0!</v>
      </c>
      <c r="AX65" s="130">
        <f t="array" ref="AX65">IF($AY$13=0,0,MMULT($AC65:$AL65, AY$3:AY$12)/$AY$13)</f>
        <v>0</v>
      </c>
      <c r="AY65" s="130">
        <f t="array" ref="AY65">IF($AZ$13=0,0,MMULT($AC65:$AL65, AZ$3:AZ$12)/$AZ$13)</f>
        <v>0</v>
      </c>
      <c r="AZ65" s="130">
        <f t="array" ref="AZ65">IF($BA$13=0,0,MMULT($AC65:$AL65, BA$3:BA$12)/$BA$13)</f>
        <v>0</v>
      </c>
      <c r="BA65" s="130">
        <f t="array" ref="BA65">IF($BB$13=0,0,MMULT($AC65:$AL65, BB$3:BB$12)/$BB$13)</f>
        <v>0.59807692307692306</v>
      </c>
      <c r="BB65" s="130">
        <f t="array" ref="BB65">IF($BC$13=0,0,MMULT($AC65:$AL65, BC$3:BC$12)/$BC$13)</f>
        <v>0</v>
      </c>
      <c r="BC65" s="130">
        <f t="array" ref="BC65">IF($BD$13=0,0,MMULT($AC65:$AL65, BD$3:BD$12)/$BD$13)</f>
        <v>0</v>
      </c>
      <c r="BD65" s="130">
        <f t="array" ref="BD65">IF($BE$13=0,0,MMULT($AC65:$AL65, BE$3:BE$12)/$BE$13)</f>
        <v>0</v>
      </c>
      <c r="BE65" s="130">
        <f t="array" ref="BE65">IF($BF$13=0,0,MMULT($AC65:$AL65, BF$3:BF$12)/$BF$13)</f>
        <v>0</v>
      </c>
      <c r="BF65" s="130">
        <f t="array" ref="BF65">IF($BG$13=0,0,MMULT($AC65:$AL65, BG$3:BG$12)/$BG$13)</f>
        <v>0</v>
      </c>
      <c r="BG65" s="130">
        <f t="array" ref="BG65">IF($BH$13=0,0,MMULT($AC65:$AL65, BH$3:BH$12)/$BH$13)</f>
        <v>0.84439999999999993</v>
      </c>
      <c r="BH65" s="130">
        <f t="array" ref="BH65">IF($BI$13=0,0,MMULT($AC65:$AL65, BI$3:BI$12)/$BI$13)</f>
        <v>0</v>
      </c>
      <c r="BI65" s="130">
        <f t="array" ref="BI65">IF($BJ$13=0,0,MMULT($AC65:$AL65, BJ$3:BJ$12)/$BJ$13)</f>
        <v>0</v>
      </c>
      <c r="BJ65" s="129" t="e">
        <f>IF(OR(CSE4098C_Summer2026_Grade!$J51="W (Withdrawn)", CSE4098C_Summer2026_Grade!$J51="I (Incomplete)"), 0, IF(AX65&gt;=55%, 1, 0))</f>
        <v>#DIV/0!</v>
      </c>
      <c r="BK65" s="129" t="e">
        <f>IF(OR(CSE4098C_Summer2026_Grade!$J51="W (Withdrawn)", CSE4098C_Summer2026_Grade!$J51="I (Incomplete)"), 0, IF(AY65&gt;=55%, 1, 0))</f>
        <v>#DIV/0!</v>
      </c>
      <c r="BL65" s="129" t="e">
        <f>IF(OR(CSE4098C_Summer2026_Grade!$J51="W (Withdrawn)", CSE4098C_Summer2026_Grade!$J51="I (Incomplete)"), 0, IF(AZ65&gt;=55%, 1, 0))</f>
        <v>#DIV/0!</v>
      </c>
      <c r="BM65" s="129" t="e">
        <f>IF(OR(CSE4098C_Summer2026_Grade!$J51="W (Withdrawn)", CSE4098C_Summer2026_Grade!$J51="I (Incomplete)"), 0, IF(BA65&gt;=55%, 1, 0))</f>
        <v>#DIV/0!</v>
      </c>
      <c r="BN65" s="129" t="e">
        <f>IF(OR(CSE4098C_Summer2026_Grade!$J51="W (Withdrawn)", CSE4098C_Summer2026_Grade!$J51="I (Incomplete)"), 0, IF(BB65&gt;=55%, 1, 0))</f>
        <v>#DIV/0!</v>
      </c>
      <c r="BO65" s="129" t="e">
        <f>IF(OR(CSE4098C_Summer2026_Grade!$J51="W (Withdrawn)", CSE4098C_Summer2026_Grade!$J51="I (Incomplete)"), 0, IF(BC65&gt;=55%, 1, 0))</f>
        <v>#DIV/0!</v>
      </c>
      <c r="BP65" s="129" t="e">
        <f>IF(OR(CSE4098C_Summer2026_Grade!$J51="W (Withdrawn)", CSE4098C_Summer2026_Grade!$J51="I (Incomplete)"), 0, IF(BD65&gt;=55%, 1, 0))</f>
        <v>#DIV/0!</v>
      </c>
      <c r="BQ65" s="129" t="e">
        <f>IF(OR(CSE4098C_Summer2026_Grade!$J51="W (Withdrawn)", CSE4098C_Summer2026_Grade!$J51="I (Incomplete)"), 0, IF(BE65&gt;=55%, 1, 0))</f>
        <v>#DIV/0!</v>
      </c>
      <c r="BR65" s="129" t="e">
        <f>IF(OR(CSE4098C_Summer2026_Grade!$J51="W (Withdrawn)", CSE4098C_Summer2026_Grade!$J51="I (Incomplete)"), 0, IF(BF65&gt;=55%, 1, 0))</f>
        <v>#DIV/0!</v>
      </c>
      <c r="BS65" s="129" t="e">
        <f>IF(OR(CSE4098C_Summer2026_Grade!$J51="W (Withdrawn)", CSE4098C_Summer2026_Grade!$J51="I (Incomplete)"), 0, IF(BG65&gt;=55%, 1, 0))</f>
        <v>#DIV/0!</v>
      </c>
      <c r="BT65" s="129" t="e">
        <f>IF(OR(CSE4098C_Summer2026_Grade!$J51="W (Withdrawn)", CSE4098C_Summer2026_Grade!$J51="I (Incomplete)"), 0, IF(BH65&gt;=55%, 1, 0))</f>
        <v>#DIV/0!</v>
      </c>
      <c r="BU65" s="129" t="e">
        <f>IF(OR(CSE4098C_Summer2026_Grade!$J51="W (Withdrawn)", CSE4098C_Summer2026_Grade!$J51="I (Incomplete)"), 0, IF(BI65&gt;=55%, 1, 0))</f>
        <v>#DIV/0!</v>
      </c>
    </row>
    <row r="66" spans="1:73" ht="12.75" customHeight="1" thickBot="1">
      <c r="A66" s="118">
        <f t="shared" si="11"/>
        <v>48</v>
      </c>
      <c r="B66" s="222">
        <v>223014050</v>
      </c>
      <c r="C66" s="222" t="s">
        <v>250</v>
      </c>
      <c r="D66" s="119">
        <f>CO_Report_Evaluation!AG51</f>
        <v>0</v>
      </c>
      <c r="E66" s="119">
        <f>CO_Report_Evaluation!AH51</f>
        <v>0</v>
      </c>
      <c r="F66" s="119">
        <f>CO_Report_Evaluation!AI51</f>
        <v>0</v>
      </c>
      <c r="G66" s="119">
        <f>CO_Report_Evaluation!AJ51</f>
        <v>0</v>
      </c>
      <c r="H66" s="119">
        <f>CO_Report_Evaluation!AK51</f>
        <v>0</v>
      </c>
      <c r="I66" s="119">
        <f>CO_Report_Evaluation!AL51</f>
        <v>0</v>
      </c>
      <c r="J66" s="119">
        <f>CO_Report_Evaluation!AM51</f>
        <v>0</v>
      </c>
      <c r="K66" s="119">
        <f>CO_Report_Evaluation!AN51</f>
        <v>0</v>
      </c>
      <c r="L66" s="119">
        <f>CSE4098C_Summer2026_Grade!G52</f>
        <v>0</v>
      </c>
      <c r="M66" s="119"/>
      <c r="N66" s="33">
        <f>((CSE4098C_Summer2026_Grade!E52)*10)/25</f>
        <v>8.0879999999999992</v>
      </c>
      <c r="O66" s="120"/>
      <c r="P66" s="121"/>
      <c r="Q66" s="122">
        <v>14.44</v>
      </c>
      <c r="R66" s="120"/>
      <c r="S66" s="123">
        <f t="shared" si="4"/>
        <v>0</v>
      </c>
      <c r="T66" s="124">
        <f t="shared" ref="T66:U66" si="196">E66</f>
        <v>0</v>
      </c>
      <c r="U66" s="124">
        <f t="shared" si="196"/>
        <v>0</v>
      </c>
      <c r="V66" s="124">
        <f t="shared" ref="V66:X66" si="197">SUM(G66,P66)</f>
        <v>0</v>
      </c>
      <c r="W66" s="124">
        <f t="shared" si="197"/>
        <v>14.44</v>
      </c>
      <c r="X66" s="124">
        <f t="shared" si="197"/>
        <v>0</v>
      </c>
      <c r="Y66" s="125">
        <f t="shared" ref="Y66:AA66" si="198">J66</f>
        <v>0</v>
      </c>
      <c r="Z66" s="125">
        <f t="shared" si="198"/>
        <v>0</v>
      </c>
      <c r="AA66" s="125">
        <f t="shared" si="198"/>
        <v>0</v>
      </c>
      <c r="AB66" s="125">
        <f t="shared" si="9"/>
        <v>8.0879999999999992</v>
      </c>
      <c r="AC66" s="126">
        <f t="shared" ref="AC66:AL66" si="199">IF(S66 = 0, 0, S66/S$18)</f>
        <v>0</v>
      </c>
      <c r="AD66" s="127">
        <f t="shared" si="199"/>
        <v>0</v>
      </c>
      <c r="AE66" s="128">
        <f t="shared" si="199"/>
        <v>0</v>
      </c>
      <c r="AF66" s="128">
        <f t="shared" si="199"/>
        <v>0</v>
      </c>
      <c r="AG66" s="128">
        <f t="shared" si="199"/>
        <v>0.55538461538461537</v>
      </c>
      <c r="AH66" s="128">
        <f t="shared" si="199"/>
        <v>0</v>
      </c>
      <c r="AI66" s="128">
        <f t="shared" si="199"/>
        <v>0</v>
      </c>
      <c r="AJ66" s="128">
        <f t="shared" si="199"/>
        <v>0</v>
      </c>
      <c r="AK66" s="128">
        <f t="shared" si="199"/>
        <v>0</v>
      </c>
      <c r="AL66" s="128">
        <f t="shared" si="199"/>
        <v>0.80879999999999996</v>
      </c>
      <c r="AM66" s="129" t="e">
        <f>IF(OR(CSE4098C_Summer2026_Grade!$J52="W (Withdrawn)", CSE4098C_Summer2026_Grade!$J52="I (Incomplete)"), 0, IF(AC66&gt;=55%, 1, 0))</f>
        <v>#DIV/0!</v>
      </c>
      <c r="AN66" s="129" t="e">
        <f>IF(OR(CSE4098C_Summer2026_Grade!$J52="W (Withdrawn)", CSE4098C_Summer2026_Grade!$J52="I (Incomplete)"), 0, IF(AD66&gt;=55%, 1, 0))</f>
        <v>#DIV/0!</v>
      </c>
      <c r="AO66" s="129" t="e">
        <f>IF(OR(CSE4098C_Summer2026_Grade!$J52="W (Withdrawn)", CSE4098C_Summer2026_Grade!$J52="I (Incomplete)"), 0, IF(AE66&gt;=55%, 1, 0))</f>
        <v>#DIV/0!</v>
      </c>
      <c r="AP66" s="129" t="e">
        <f>IF(OR(CSE4098C_Summer2026_Grade!$J52="W (Withdrawn)", CSE4098C_Summer2026_Grade!$J52="I (Incomplete)"), 0, IF(AF66&gt;=55%, 1, 0))</f>
        <v>#DIV/0!</v>
      </c>
      <c r="AQ66" s="129" t="e">
        <f>IF(OR(CSE4098C_Summer2026_Grade!$J52="W (Withdrawn)", CSE4098C_Summer2026_Grade!$J52="I (Incomplete)"), 0, IF(AG66&gt;=55%, 1, 0))</f>
        <v>#DIV/0!</v>
      </c>
      <c r="AR66" s="129" t="e">
        <f>IF(OR(CSE4098C_Summer2026_Grade!$J52="W (Withdrawn)", CSE4098C_Summer2026_Grade!$J52="I (Incomplete)"), 0, IF(AH66&gt;=55%, 1, 0))</f>
        <v>#DIV/0!</v>
      </c>
      <c r="AS66" s="129" t="e">
        <f>IF(OR(CSE4098C_Summer2026_Grade!$J52="W (Withdrawn)", CSE4098C_Summer2026_Grade!$J52="I (Incomplete)"), 0, IF(AI66&gt;=55%, 1, 0))</f>
        <v>#DIV/0!</v>
      </c>
      <c r="AT66" s="129" t="e">
        <f>IF(OR(CSE4098C_Summer2026_Grade!$J52="W (Withdrawn)", CSE4098C_Summer2026_Grade!$J52="I (Incomplete)"), 0, IF(AJ66&gt;=55%, 1, 0))</f>
        <v>#DIV/0!</v>
      </c>
      <c r="AU66" s="129" t="e">
        <f>IF(OR(CSE4098C_Summer2026_Grade!$J52="W (Withdrawn)", CSE4098C_Summer2026_Grade!$J52="I (Incomplete)"), 0, IF(AK66&gt;=55%, 1, 0))</f>
        <v>#DIV/0!</v>
      </c>
      <c r="AV66" s="129" t="e">
        <f>IF(OR(CSE4098C_Summer2026_Grade!$J52="W (Withdrawn)", CSE4098C_Summer2026_Grade!$J52="I (Incomplete)"), 0, IF(AL66&gt;=55%, 1, 0))</f>
        <v>#DIV/0!</v>
      </c>
      <c r="AX66" s="130">
        <f t="array" ref="AX66">IF($AY$13=0,0,MMULT($AC66:$AL66, AY$3:AY$12)/$AY$13)</f>
        <v>0</v>
      </c>
      <c r="AY66" s="130">
        <f t="array" ref="AY66">IF($AZ$13=0,0,MMULT($AC66:$AL66, AZ$3:AZ$12)/$AZ$13)</f>
        <v>0</v>
      </c>
      <c r="AZ66" s="130">
        <f t="array" ref="AZ66">IF($BA$13=0,0,MMULT($AC66:$AL66, BA$3:BA$12)/$BA$13)</f>
        <v>0</v>
      </c>
      <c r="BA66" s="130">
        <f t="array" ref="BA66">IF($BB$13=0,0,MMULT($AC66:$AL66, BB$3:BB$12)/$BB$13)</f>
        <v>0.55538461538461537</v>
      </c>
      <c r="BB66" s="130">
        <f t="array" ref="BB66">IF($BC$13=0,0,MMULT($AC66:$AL66, BC$3:BC$12)/$BC$13)</f>
        <v>0</v>
      </c>
      <c r="BC66" s="130">
        <f t="array" ref="BC66">IF($BD$13=0,0,MMULT($AC66:$AL66, BD$3:BD$12)/$BD$13)</f>
        <v>0</v>
      </c>
      <c r="BD66" s="130">
        <f t="array" ref="BD66">IF($BE$13=0,0,MMULT($AC66:$AL66, BE$3:BE$12)/$BE$13)</f>
        <v>0</v>
      </c>
      <c r="BE66" s="130">
        <f t="array" ref="BE66">IF($BF$13=0,0,MMULT($AC66:$AL66, BF$3:BF$12)/$BF$13)</f>
        <v>0</v>
      </c>
      <c r="BF66" s="130">
        <f t="array" ref="BF66">IF($BG$13=0,0,MMULT($AC66:$AL66, BG$3:BG$12)/$BG$13)</f>
        <v>0</v>
      </c>
      <c r="BG66" s="130">
        <f t="array" ref="BG66">IF($BH$13=0,0,MMULT($AC66:$AL66, BH$3:BH$12)/$BH$13)</f>
        <v>0.80879999999999996</v>
      </c>
      <c r="BH66" s="130">
        <f t="array" ref="BH66">IF($BI$13=0,0,MMULT($AC66:$AL66, BI$3:BI$12)/$BI$13)</f>
        <v>0</v>
      </c>
      <c r="BI66" s="130">
        <f t="array" ref="BI66">IF($BJ$13=0,0,MMULT($AC66:$AL66, BJ$3:BJ$12)/$BJ$13)</f>
        <v>0</v>
      </c>
      <c r="BJ66" s="129" t="e">
        <f>IF(OR(CSE4098C_Summer2026_Grade!$J52="W (Withdrawn)", CSE4098C_Summer2026_Grade!$J52="I (Incomplete)"), 0, IF(AX66&gt;=55%, 1, 0))</f>
        <v>#DIV/0!</v>
      </c>
      <c r="BK66" s="129" t="e">
        <f>IF(OR(CSE4098C_Summer2026_Grade!$J52="W (Withdrawn)", CSE4098C_Summer2026_Grade!$J52="I (Incomplete)"), 0, IF(AY66&gt;=55%, 1, 0))</f>
        <v>#DIV/0!</v>
      </c>
      <c r="BL66" s="129" t="e">
        <f>IF(OR(CSE4098C_Summer2026_Grade!$J52="W (Withdrawn)", CSE4098C_Summer2026_Grade!$J52="I (Incomplete)"), 0, IF(AZ66&gt;=55%, 1, 0))</f>
        <v>#DIV/0!</v>
      </c>
      <c r="BM66" s="129" t="e">
        <f>IF(OR(CSE4098C_Summer2026_Grade!$J52="W (Withdrawn)", CSE4098C_Summer2026_Grade!$J52="I (Incomplete)"), 0, IF(BA66&gt;=55%, 1, 0))</f>
        <v>#DIV/0!</v>
      </c>
      <c r="BN66" s="129" t="e">
        <f>IF(OR(CSE4098C_Summer2026_Grade!$J52="W (Withdrawn)", CSE4098C_Summer2026_Grade!$J52="I (Incomplete)"), 0, IF(BB66&gt;=55%, 1, 0))</f>
        <v>#DIV/0!</v>
      </c>
      <c r="BO66" s="129" t="e">
        <f>IF(OR(CSE4098C_Summer2026_Grade!$J52="W (Withdrawn)", CSE4098C_Summer2026_Grade!$J52="I (Incomplete)"), 0, IF(BC66&gt;=55%, 1, 0))</f>
        <v>#DIV/0!</v>
      </c>
      <c r="BP66" s="129" t="e">
        <f>IF(OR(CSE4098C_Summer2026_Grade!$J52="W (Withdrawn)", CSE4098C_Summer2026_Grade!$J52="I (Incomplete)"), 0, IF(BD66&gt;=55%, 1, 0))</f>
        <v>#DIV/0!</v>
      </c>
      <c r="BQ66" s="129" t="e">
        <f>IF(OR(CSE4098C_Summer2026_Grade!$J52="W (Withdrawn)", CSE4098C_Summer2026_Grade!$J52="I (Incomplete)"), 0, IF(BE66&gt;=55%, 1, 0))</f>
        <v>#DIV/0!</v>
      </c>
      <c r="BR66" s="129" t="e">
        <f>IF(OR(CSE4098C_Summer2026_Grade!$J52="W (Withdrawn)", CSE4098C_Summer2026_Grade!$J52="I (Incomplete)"), 0, IF(BF66&gt;=55%, 1, 0))</f>
        <v>#DIV/0!</v>
      </c>
      <c r="BS66" s="129" t="e">
        <f>IF(OR(CSE4098C_Summer2026_Grade!$J52="W (Withdrawn)", CSE4098C_Summer2026_Grade!$J52="I (Incomplete)"), 0, IF(BG66&gt;=55%, 1, 0))</f>
        <v>#DIV/0!</v>
      </c>
      <c r="BT66" s="129" t="e">
        <f>IF(OR(CSE4098C_Summer2026_Grade!$J52="W (Withdrawn)", CSE4098C_Summer2026_Grade!$J52="I (Incomplete)"), 0, IF(BH66&gt;=55%, 1, 0))</f>
        <v>#DIV/0!</v>
      </c>
      <c r="BU66" s="129" t="e">
        <f>IF(OR(CSE4098C_Summer2026_Grade!$J52="W (Withdrawn)", CSE4098C_Summer2026_Grade!$J52="I (Incomplete)"), 0, IF(BI66&gt;=55%, 1, 0))</f>
        <v>#DIV/0!</v>
      </c>
    </row>
    <row r="67" spans="1:73" ht="12.75" customHeight="1" thickBot="1">
      <c r="A67" s="118">
        <f t="shared" si="11"/>
        <v>49</v>
      </c>
      <c r="B67" s="222">
        <v>231014075</v>
      </c>
      <c r="C67" s="222" t="s">
        <v>251</v>
      </c>
      <c r="D67" s="119">
        <f>CO_Report_Evaluation!AG52</f>
        <v>0</v>
      </c>
      <c r="E67" s="119">
        <f>CO_Report_Evaluation!AH52</f>
        <v>0</v>
      </c>
      <c r="F67" s="119">
        <f>CO_Report_Evaluation!AI52</f>
        <v>0</v>
      </c>
      <c r="G67" s="119">
        <f>CO_Report_Evaluation!AJ52</f>
        <v>0</v>
      </c>
      <c r="H67" s="119">
        <f>CO_Report_Evaluation!AK52</f>
        <v>0</v>
      </c>
      <c r="I67" s="119">
        <f>CO_Report_Evaluation!AL52</f>
        <v>0</v>
      </c>
      <c r="J67" s="119">
        <f>CO_Report_Evaluation!AM52</f>
        <v>0</v>
      </c>
      <c r="K67" s="119">
        <f>CO_Report_Evaluation!AN52</f>
        <v>0</v>
      </c>
      <c r="L67" s="119">
        <f>CSE4098C_Summer2026_Grade!G53</f>
        <v>0</v>
      </c>
      <c r="M67" s="119"/>
      <c r="N67" s="33">
        <f>((CSE4098C_Summer2026_Grade!E53)*10)/25</f>
        <v>8</v>
      </c>
      <c r="O67" s="120"/>
      <c r="P67" s="121"/>
      <c r="Q67" s="122">
        <v>14.44</v>
      </c>
      <c r="R67" s="120"/>
      <c r="S67" s="123">
        <f t="shared" si="4"/>
        <v>0</v>
      </c>
      <c r="T67" s="124">
        <f t="shared" ref="T67:U67" si="200">E67</f>
        <v>0</v>
      </c>
      <c r="U67" s="124">
        <f t="shared" si="200"/>
        <v>0</v>
      </c>
      <c r="V67" s="124">
        <f t="shared" ref="V67:X67" si="201">SUM(G67,P67)</f>
        <v>0</v>
      </c>
      <c r="W67" s="124">
        <f t="shared" si="201"/>
        <v>14.44</v>
      </c>
      <c r="X67" s="124">
        <f t="shared" si="201"/>
        <v>0</v>
      </c>
      <c r="Y67" s="125">
        <f t="shared" ref="Y67:AA67" si="202">J67</f>
        <v>0</v>
      </c>
      <c r="Z67" s="125">
        <f t="shared" si="202"/>
        <v>0</v>
      </c>
      <c r="AA67" s="125">
        <f t="shared" si="202"/>
        <v>0</v>
      </c>
      <c r="AB67" s="125">
        <f t="shared" si="9"/>
        <v>8</v>
      </c>
      <c r="AC67" s="126">
        <f t="shared" ref="AC67:AL67" si="203">IF(S67 = 0, 0, S67/S$18)</f>
        <v>0</v>
      </c>
      <c r="AD67" s="127">
        <f t="shared" si="203"/>
        <v>0</v>
      </c>
      <c r="AE67" s="128">
        <f t="shared" si="203"/>
        <v>0</v>
      </c>
      <c r="AF67" s="128">
        <f t="shared" si="203"/>
        <v>0</v>
      </c>
      <c r="AG67" s="128">
        <f t="shared" si="203"/>
        <v>0.55538461538461537</v>
      </c>
      <c r="AH67" s="128">
        <f t="shared" si="203"/>
        <v>0</v>
      </c>
      <c r="AI67" s="128">
        <f t="shared" si="203"/>
        <v>0</v>
      </c>
      <c r="AJ67" s="128">
        <f t="shared" si="203"/>
        <v>0</v>
      </c>
      <c r="AK67" s="128">
        <f t="shared" si="203"/>
        <v>0</v>
      </c>
      <c r="AL67" s="128">
        <f t="shared" si="203"/>
        <v>0.8</v>
      </c>
      <c r="AM67" s="129" t="e">
        <f>IF(OR(CSE4098C_Summer2026_Grade!$J53="W (Withdrawn)", CSE4098C_Summer2026_Grade!$J53="I (Incomplete)"), 0, IF(AC67&gt;=55%, 1, 0))</f>
        <v>#DIV/0!</v>
      </c>
      <c r="AN67" s="129" t="e">
        <f>IF(OR(CSE4098C_Summer2026_Grade!$J53="W (Withdrawn)", CSE4098C_Summer2026_Grade!$J53="I (Incomplete)"), 0, IF(AD67&gt;=55%, 1, 0))</f>
        <v>#DIV/0!</v>
      </c>
      <c r="AO67" s="129" t="e">
        <f>IF(OR(CSE4098C_Summer2026_Grade!$J53="W (Withdrawn)", CSE4098C_Summer2026_Grade!$J53="I (Incomplete)"), 0, IF(AE67&gt;=55%, 1, 0))</f>
        <v>#DIV/0!</v>
      </c>
      <c r="AP67" s="129" t="e">
        <f>IF(OR(CSE4098C_Summer2026_Grade!$J53="W (Withdrawn)", CSE4098C_Summer2026_Grade!$J53="I (Incomplete)"), 0, IF(AF67&gt;=55%, 1, 0))</f>
        <v>#DIV/0!</v>
      </c>
      <c r="AQ67" s="129" t="e">
        <f>IF(OR(CSE4098C_Summer2026_Grade!$J53="W (Withdrawn)", CSE4098C_Summer2026_Grade!$J53="I (Incomplete)"), 0, IF(AG67&gt;=55%, 1, 0))</f>
        <v>#DIV/0!</v>
      </c>
      <c r="AR67" s="129" t="e">
        <f>IF(OR(CSE4098C_Summer2026_Grade!$J53="W (Withdrawn)", CSE4098C_Summer2026_Grade!$J53="I (Incomplete)"), 0, IF(AH67&gt;=55%, 1, 0))</f>
        <v>#DIV/0!</v>
      </c>
      <c r="AS67" s="129" t="e">
        <f>IF(OR(CSE4098C_Summer2026_Grade!$J53="W (Withdrawn)", CSE4098C_Summer2026_Grade!$J53="I (Incomplete)"), 0, IF(AI67&gt;=55%, 1, 0))</f>
        <v>#DIV/0!</v>
      </c>
      <c r="AT67" s="129" t="e">
        <f>IF(OR(CSE4098C_Summer2026_Grade!$J53="W (Withdrawn)", CSE4098C_Summer2026_Grade!$J53="I (Incomplete)"), 0, IF(AJ67&gt;=55%, 1, 0))</f>
        <v>#DIV/0!</v>
      </c>
      <c r="AU67" s="129" t="e">
        <f>IF(OR(CSE4098C_Summer2026_Grade!$J53="W (Withdrawn)", CSE4098C_Summer2026_Grade!$J53="I (Incomplete)"), 0, IF(AK67&gt;=55%, 1, 0))</f>
        <v>#DIV/0!</v>
      </c>
      <c r="AV67" s="129" t="e">
        <f>IF(OR(CSE4098C_Summer2026_Grade!$J53="W (Withdrawn)", CSE4098C_Summer2026_Grade!$J53="I (Incomplete)"), 0, IF(AL67&gt;=55%, 1, 0))</f>
        <v>#DIV/0!</v>
      </c>
      <c r="AX67" s="130">
        <f t="array" ref="AX67">IF($AY$13=0,0,MMULT($AC67:$AL67, AY$3:AY$12)/$AY$13)</f>
        <v>0</v>
      </c>
      <c r="AY67" s="130">
        <f t="array" ref="AY67">IF($AZ$13=0,0,MMULT($AC67:$AL67, AZ$3:AZ$12)/$AZ$13)</f>
        <v>0</v>
      </c>
      <c r="AZ67" s="130">
        <f t="array" ref="AZ67">IF($BA$13=0,0,MMULT($AC67:$AL67, BA$3:BA$12)/$BA$13)</f>
        <v>0</v>
      </c>
      <c r="BA67" s="130">
        <f t="array" ref="BA67">IF($BB$13=0,0,MMULT($AC67:$AL67, BB$3:BB$12)/$BB$13)</f>
        <v>0.55538461538461537</v>
      </c>
      <c r="BB67" s="130">
        <f t="array" ref="BB67">IF($BC$13=0,0,MMULT($AC67:$AL67, BC$3:BC$12)/$BC$13)</f>
        <v>0</v>
      </c>
      <c r="BC67" s="130">
        <f t="array" ref="BC67">IF($BD$13=0,0,MMULT($AC67:$AL67, BD$3:BD$12)/$BD$13)</f>
        <v>0</v>
      </c>
      <c r="BD67" s="130">
        <f t="array" ref="BD67">IF($BE$13=0,0,MMULT($AC67:$AL67, BE$3:BE$12)/$BE$13)</f>
        <v>0</v>
      </c>
      <c r="BE67" s="130">
        <f t="array" ref="BE67">IF($BF$13=0,0,MMULT($AC67:$AL67, BF$3:BF$12)/$BF$13)</f>
        <v>0</v>
      </c>
      <c r="BF67" s="130">
        <f t="array" ref="BF67">IF($BG$13=0,0,MMULT($AC67:$AL67, BG$3:BG$12)/$BG$13)</f>
        <v>0</v>
      </c>
      <c r="BG67" s="130">
        <f t="array" ref="BG67">IF($BH$13=0,0,MMULT($AC67:$AL67, BH$3:BH$12)/$BH$13)</f>
        <v>0.8</v>
      </c>
      <c r="BH67" s="130">
        <f t="array" ref="BH67">IF($BI$13=0,0,MMULT($AC67:$AL67, BI$3:BI$12)/$BI$13)</f>
        <v>0</v>
      </c>
      <c r="BI67" s="130">
        <f t="array" ref="BI67">IF($BJ$13=0,0,MMULT($AC67:$AL67, BJ$3:BJ$12)/$BJ$13)</f>
        <v>0</v>
      </c>
      <c r="BJ67" s="129" t="e">
        <f>IF(OR(CSE4098C_Summer2026_Grade!$J53="W (Withdrawn)", CSE4098C_Summer2026_Grade!$J53="I (Incomplete)"), 0, IF(AX67&gt;=55%, 1, 0))</f>
        <v>#DIV/0!</v>
      </c>
      <c r="BK67" s="129" t="e">
        <f>IF(OR(CSE4098C_Summer2026_Grade!$J53="W (Withdrawn)", CSE4098C_Summer2026_Grade!$J53="I (Incomplete)"), 0, IF(AY67&gt;=55%, 1, 0))</f>
        <v>#DIV/0!</v>
      </c>
      <c r="BL67" s="129" t="e">
        <f>IF(OR(CSE4098C_Summer2026_Grade!$J53="W (Withdrawn)", CSE4098C_Summer2026_Grade!$J53="I (Incomplete)"), 0, IF(AZ67&gt;=55%, 1, 0))</f>
        <v>#DIV/0!</v>
      </c>
      <c r="BM67" s="129" t="e">
        <f>IF(OR(CSE4098C_Summer2026_Grade!$J53="W (Withdrawn)", CSE4098C_Summer2026_Grade!$J53="I (Incomplete)"), 0, IF(BA67&gt;=55%, 1, 0))</f>
        <v>#DIV/0!</v>
      </c>
      <c r="BN67" s="129" t="e">
        <f>IF(OR(CSE4098C_Summer2026_Grade!$J53="W (Withdrawn)", CSE4098C_Summer2026_Grade!$J53="I (Incomplete)"), 0, IF(BB67&gt;=55%, 1, 0))</f>
        <v>#DIV/0!</v>
      </c>
      <c r="BO67" s="129" t="e">
        <f>IF(OR(CSE4098C_Summer2026_Grade!$J53="W (Withdrawn)", CSE4098C_Summer2026_Grade!$J53="I (Incomplete)"), 0, IF(BC67&gt;=55%, 1, 0))</f>
        <v>#DIV/0!</v>
      </c>
      <c r="BP67" s="129" t="e">
        <f>IF(OR(CSE4098C_Summer2026_Grade!$J53="W (Withdrawn)", CSE4098C_Summer2026_Grade!$J53="I (Incomplete)"), 0, IF(BD67&gt;=55%, 1, 0))</f>
        <v>#DIV/0!</v>
      </c>
      <c r="BQ67" s="129" t="e">
        <f>IF(OR(CSE4098C_Summer2026_Grade!$J53="W (Withdrawn)", CSE4098C_Summer2026_Grade!$J53="I (Incomplete)"), 0, IF(BE67&gt;=55%, 1, 0))</f>
        <v>#DIV/0!</v>
      </c>
      <c r="BR67" s="129" t="e">
        <f>IF(OR(CSE4098C_Summer2026_Grade!$J53="W (Withdrawn)", CSE4098C_Summer2026_Grade!$J53="I (Incomplete)"), 0, IF(BF67&gt;=55%, 1, 0))</f>
        <v>#DIV/0!</v>
      </c>
      <c r="BS67" s="129" t="e">
        <f>IF(OR(CSE4098C_Summer2026_Grade!$J53="W (Withdrawn)", CSE4098C_Summer2026_Grade!$J53="I (Incomplete)"), 0, IF(BG67&gt;=55%, 1, 0))</f>
        <v>#DIV/0!</v>
      </c>
      <c r="BT67" s="129" t="e">
        <f>IF(OR(CSE4098C_Summer2026_Grade!$J53="W (Withdrawn)", CSE4098C_Summer2026_Grade!$J53="I (Incomplete)"), 0, IF(BH67&gt;=55%, 1, 0))</f>
        <v>#DIV/0!</v>
      </c>
      <c r="BU67" s="129" t="e">
        <f>IF(OR(CSE4098C_Summer2026_Grade!$J53="W (Withdrawn)", CSE4098C_Summer2026_Grade!$J53="I (Incomplete)"), 0, IF(BI67&gt;=55%, 1, 0))</f>
        <v>#DIV/0!</v>
      </c>
    </row>
    <row r="68" spans="1:73" ht="12.75" customHeight="1" thickBot="1">
      <c r="A68" s="118">
        <f t="shared" si="11"/>
        <v>50</v>
      </c>
      <c r="B68" s="222">
        <v>222014052</v>
      </c>
      <c r="C68" s="222" t="s">
        <v>252</v>
      </c>
      <c r="D68" s="119">
        <f>CO_Report_Evaluation!AG53</f>
        <v>0</v>
      </c>
      <c r="E68" s="119">
        <f>CO_Report_Evaluation!AH53</f>
        <v>0</v>
      </c>
      <c r="F68" s="119">
        <f>CO_Report_Evaluation!AI53</f>
        <v>0</v>
      </c>
      <c r="G68" s="119">
        <f>CO_Report_Evaluation!AJ53</f>
        <v>0</v>
      </c>
      <c r="H68" s="119">
        <f>CO_Report_Evaluation!AK53</f>
        <v>0</v>
      </c>
      <c r="I68" s="119">
        <f>CO_Report_Evaluation!AL53</f>
        <v>0</v>
      </c>
      <c r="J68" s="119">
        <f>CO_Report_Evaluation!AM53</f>
        <v>0</v>
      </c>
      <c r="K68" s="119">
        <f>CO_Report_Evaluation!AN53</f>
        <v>0</v>
      </c>
      <c r="L68" s="119">
        <f>CSE4098C_Summer2026_Grade!G54</f>
        <v>0</v>
      </c>
      <c r="M68" s="119"/>
      <c r="N68" s="33">
        <f>((CSE4098C_Summer2026_Grade!E54)*10)/25</f>
        <v>7.9560000000000004</v>
      </c>
      <c r="O68" s="120"/>
      <c r="P68" s="121"/>
      <c r="Q68" s="122">
        <v>14.44</v>
      </c>
      <c r="R68" s="120"/>
      <c r="S68" s="123">
        <f t="shared" si="4"/>
        <v>0</v>
      </c>
      <c r="T68" s="124">
        <f t="shared" ref="T68:U68" si="204">E68</f>
        <v>0</v>
      </c>
      <c r="U68" s="124">
        <f t="shared" si="204"/>
        <v>0</v>
      </c>
      <c r="V68" s="124">
        <f t="shared" ref="V68:X68" si="205">SUM(G68,P68)</f>
        <v>0</v>
      </c>
      <c r="W68" s="124">
        <f t="shared" si="205"/>
        <v>14.44</v>
      </c>
      <c r="X68" s="124">
        <f t="shared" si="205"/>
        <v>0</v>
      </c>
      <c r="Y68" s="125">
        <f t="shared" ref="Y68:AA68" si="206">J68</f>
        <v>0</v>
      </c>
      <c r="Z68" s="125">
        <f t="shared" si="206"/>
        <v>0</v>
      </c>
      <c r="AA68" s="125">
        <f t="shared" si="206"/>
        <v>0</v>
      </c>
      <c r="AB68" s="125">
        <f t="shared" si="9"/>
        <v>7.9560000000000004</v>
      </c>
      <c r="AC68" s="126">
        <f t="shared" ref="AC68:AL68" si="207">IF(S68 = 0, 0, S68/S$18)</f>
        <v>0</v>
      </c>
      <c r="AD68" s="127">
        <f t="shared" si="207"/>
        <v>0</v>
      </c>
      <c r="AE68" s="128">
        <f t="shared" si="207"/>
        <v>0</v>
      </c>
      <c r="AF68" s="128">
        <f t="shared" si="207"/>
        <v>0</v>
      </c>
      <c r="AG68" s="128">
        <f t="shared" si="207"/>
        <v>0.55538461538461537</v>
      </c>
      <c r="AH68" s="128">
        <f t="shared" si="207"/>
        <v>0</v>
      </c>
      <c r="AI68" s="128">
        <f t="shared" si="207"/>
        <v>0</v>
      </c>
      <c r="AJ68" s="128">
        <f t="shared" si="207"/>
        <v>0</v>
      </c>
      <c r="AK68" s="128">
        <f t="shared" si="207"/>
        <v>0</v>
      </c>
      <c r="AL68" s="128">
        <f t="shared" si="207"/>
        <v>0.79560000000000008</v>
      </c>
      <c r="AM68" s="129" t="e">
        <f>IF(OR(CSE4098C_Summer2026_Grade!$J54="W (Withdrawn)", CSE4098C_Summer2026_Grade!$J54="I (Incomplete)"), 0, IF(AC68&gt;=55%, 1, 0))</f>
        <v>#DIV/0!</v>
      </c>
      <c r="AN68" s="129" t="e">
        <f>IF(OR(CSE4098C_Summer2026_Grade!$J54="W (Withdrawn)", CSE4098C_Summer2026_Grade!$J54="I (Incomplete)"), 0, IF(AD68&gt;=55%, 1, 0))</f>
        <v>#DIV/0!</v>
      </c>
      <c r="AO68" s="129" t="e">
        <f>IF(OR(CSE4098C_Summer2026_Grade!$J54="W (Withdrawn)", CSE4098C_Summer2026_Grade!$J54="I (Incomplete)"), 0, IF(AE68&gt;=55%, 1, 0))</f>
        <v>#DIV/0!</v>
      </c>
      <c r="AP68" s="129" t="e">
        <f>IF(OR(CSE4098C_Summer2026_Grade!$J54="W (Withdrawn)", CSE4098C_Summer2026_Grade!$J54="I (Incomplete)"), 0, IF(AF68&gt;=55%, 1, 0))</f>
        <v>#DIV/0!</v>
      </c>
      <c r="AQ68" s="129" t="e">
        <f>IF(OR(CSE4098C_Summer2026_Grade!$J54="W (Withdrawn)", CSE4098C_Summer2026_Grade!$J54="I (Incomplete)"), 0, IF(AG68&gt;=55%, 1, 0))</f>
        <v>#DIV/0!</v>
      </c>
      <c r="AR68" s="129" t="e">
        <f>IF(OR(CSE4098C_Summer2026_Grade!$J54="W (Withdrawn)", CSE4098C_Summer2026_Grade!$J54="I (Incomplete)"), 0, IF(AH68&gt;=55%, 1, 0))</f>
        <v>#DIV/0!</v>
      </c>
      <c r="AS68" s="129" t="e">
        <f>IF(OR(CSE4098C_Summer2026_Grade!$J54="W (Withdrawn)", CSE4098C_Summer2026_Grade!$J54="I (Incomplete)"), 0, IF(AI68&gt;=55%, 1, 0))</f>
        <v>#DIV/0!</v>
      </c>
      <c r="AT68" s="129" t="e">
        <f>IF(OR(CSE4098C_Summer2026_Grade!$J54="W (Withdrawn)", CSE4098C_Summer2026_Grade!$J54="I (Incomplete)"), 0, IF(AJ68&gt;=55%, 1, 0))</f>
        <v>#DIV/0!</v>
      </c>
      <c r="AU68" s="129" t="e">
        <f>IF(OR(CSE4098C_Summer2026_Grade!$J54="W (Withdrawn)", CSE4098C_Summer2026_Grade!$J54="I (Incomplete)"), 0, IF(AK68&gt;=55%, 1, 0))</f>
        <v>#DIV/0!</v>
      </c>
      <c r="AV68" s="129" t="e">
        <f>IF(OR(CSE4098C_Summer2026_Grade!$J54="W (Withdrawn)", CSE4098C_Summer2026_Grade!$J54="I (Incomplete)"), 0, IF(AL68&gt;=55%, 1, 0))</f>
        <v>#DIV/0!</v>
      </c>
      <c r="AX68" s="130">
        <f t="array" ref="AX68">IF($AY$13=0,0,MMULT($AC68:$AL68, AY$3:AY$12)/$AY$13)</f>
        <v>0</v>
      </c>
      <c r="AY68" s="130">
        <f t="array" ref="AY68">IF($AZ$13=0,0,MMULT($AC68:$AL68, AZ$3:AZ$12)/$AZ$13)</f>
        <v>0</v>
      </c>
      <c r="AZ68" s="130">
        <f t="array" ref="AZ68">IF($BA$13=0,0,MMULT($AC68:$AL68, BA$3:BA$12)/$BA$13)</f>
        <v>0</v>
      </c>
      <c r="BA68" s="130">
        <f t="array" ref="BA68">IF($BB$13=0,0,MMULT($AC68:$AL68, BB$3:BB$12)/$BB$13)</f>
        <v>0.55538461538461537</v>
      </c>
      <c r="BB68" s="130">
        <f t="array" ref="BB68">IF($BC$13=0,0,MMULT($AC68:$AL68, BC$3:BC$12)/$BC$13)</f>
        <v>0</v>
      </c>
      <c r="BC68" s="130">
        <f t="array" ref="BC68">IF($BD$13=0,0,MMULT($AC68:$AL68, BD$3:BD$12)/$BD$13)</f>
        <v>0</v>
      </c>
      <c r="BD68" s="130">
        <f t="array" ref="BD68">IF($BE$13=0,0,MMULT($AC68:$AL68, BE$3:BE$12)/$BE$13)</f>
        <v>0</v>
      </c>
      <c r="BE68" s="130">
        <f t="array" ref="BE68">IF($BF$13=0,0,MMULT($AC68:$AL68, BF$3:BF$12)/$BF$13)</f>
        <v>0</v>
      </c>
      <c r="BF68" s="130">
        <f t="array" ref="BF68">IF($BG$13=0,0,MMULT($AC68:$AL68, BG$3:BG$12)/$BG$13)</f>
        <v>0</v>
      </c>
      <c r="BG68" s="130">
        <f t="array" ref="BG68">IF($BH$13=0,0,MMULT($AC68:$AL68, BH$3:BH$12)/$BH$13)</f>
        <v>0.79560000000000008</v>
      </c>
      <c r="BH68" s="130">
        <f t="array" ref="BH68">IF($BI$13=0,0,MMULT($AC68:$AL68, BI$3:BI$12)/$BI$13)</f>
        <v>0</v>
      </c>
      <c r="BI68" s="130">
        <f t="array" ref="BI68">IF($BJ$13=0,0,MMULT($AC68:$AL68, BJ$3:BJ$12)/$BJ$13)</f>
        <v>0</v>
      </c>
      <c r="BJ68" s="129" t="e">
        <f>IF(OR(CSE4098C_Summer2026_Grade!$J54="W (Withdrawn)", CSE4098C_Summer2026_Grade!$J54="I (Incomplete)"), 0, IF(AX68&gt;=55%, 1, 0))</f>
        <v>#DIV/0!</v>
      </c>
      <c r="BK68" s="129" t="e">
        <f>IF(OR(CSE4098C_Summer2026_Grade!$J54="W (Withdrawn)", CSE4098C_Summer2026_Grade!$J54="I (Incomplete)"), 0, IF(AY68&gt;=55%, 1, 0))</f>
        <v>#DIV/0!</v>
      </c>
      <c r="BL68" s="129" t="e">
        <f>IF(OR(CSE4098C_Summer2026_Grade!$J54="W (Withdrawn)", CSE4098C_Summer2026_Grade!$J54="I (Incomplete)"), 0, IF(AZ68&gt;=55%, 1, 0))</f>
        <v>#DIV/0!</v>
      </c>
      <c r="BM68" s="129" t="e">
        <f>IF(OR(CSE4098C_Summer2026_Grade!$J54="W (Withdrawn)", CSE4098C_Summer2026_Grade!$J54="I (Incomplete)"), 0, IF(BA68&gt;=55%, 1, 0))</f>
        <v>#DIV/0!</v>
      </c>
      <c r="BN68" s="129" t="e">
        <f>IF(OR(CSE4098C_Summer2026_Grade!$J54="W (Withdrawn)", CSE4098C_Summer2026_Grade!$J54="I (Incomplete)"), 0, IF(BB68&gt;=55%, 1, 0))</f>
        <v>#DIV/0!</v>
      </c>
      <c r="BO68" s="129" t="e">
        <f>IF(OR(CSE4098C_Summer2026_Grade!$J54="W (Withdrawn)", CSE4098C_Summer2026_Grade!$J54="I (Incomplete)"), 0, IF(BC68&gt;=55%, 1, 0))</f>
        <v>#DIV/0!</v>
      </c>
      <c r="BP68" s="129" t="e">
        <f>IF(OR(CSE4098C_Summer2026_Grade!$J54="W (Withdrawn)", CSE4098C_Summer2026_Grade!$J54="I (Incomplete)"), 0, IF(BD68&gt;=55%, 1, 0))</f>
        <v>#DIV/0!</v>
      </c>
      <c r="BQ68" s="129" t="e">
        <f>IF(OR(CSE4098C_Summer2026_Grade!$J54="W (Withdrawn)", CSE4098C_Summer2026_Grade!$J54="I (Incomplete)"), 0, IF(BE68&gt;=55%, 1, 0))</f>
        <v>#DIV/0!</v>
      </c>
      <c r="BR68" s="129" t="e">
        <f>IF(OR(CSE4098C_Summer2026_Grade!$J54="W (Withdrawn)", CSE4098C_Summer2026_Grade!$J54="I (Incomplete)"), 0, IF(BF68&gt;=55%, 1, 0))</f>
        <v>#DIV/0!</v>
      </c>
      <c r="BS68" s="129" t="e">
        <f>IF(OR(CSE4098C_Summer2026_Grade!$J54="W (Withdrawn)", CSE4098C_Summer2026_Grade!$J54="I (Incomplete)"), 0, IF(BG68&gt;=55%, 1, 0))</f>
        <v>#DIV/0!</v>
      </c>
      <c r="BT68" s="129" t="e">
        <f>IF(OR(CSE4098C_Summer2026_Grade!$J54="W (Withdrawn)", CSE4098C_Summer2026_Grade!$J54="I (Incomplete)"), 0, IF(BH68&gt;=55%, 1, 0))</f>
        <v>#DIV/0!</v>
      </c>
      <c r="BU68" s="129" t="e">
        <f>IF(OR(CSE4098C_Summer2026_Grade!$J54="W (Withdrawn)", CSE4098C_Summer2026_Grade!$J54="I (Incomplete)"), 0, IF(BI68&gt;=55%, 1, 0))</f>
        <v>#DIV/0!</v>
      </c>
    </row>
    <row r="69" spans="1:73" ht="12.75" customHeight="1" thickBot="1">
      <c r="A69" s="118">
        <f t="shared" si="11"/>
        <v>51</v>
      </c>
      <c r="B69" s="222">
        <v>222014009</v>
      </c>
      <c r="C69" s="222" t="s">
        <v>253</v>
      </c>
      <c r="D69" s="119">
        <f>CO_Report_Evaluation!AG54</f>
        <v>0</v>
      </c>
      <c r="E69" s="119">
        <f>CO_Report_Evaluation!AH54</f>
        <v>0</v>
      </c>
      <c r="F69" s="119">
        <f>CO_Report_Evaluation!AI54</f>
        <v>0</v>
      </c>
      <c r="G69" s="119">
        <f>CO_Report_Evaluation!AJ54</f>
        <v>0</v>
      </c>
      <c r="H69" s="119">
        <f>CO_Report_Evaluation!AK54</f>
        <v>0</v>
      </c>
      <c r="I69" s="119">
        <f>CO_Report_Evaluation!AL54</f>
        <v>0</v>
      </c>
      <c r="J69" s="119">
        <f>CO_Report_Evaluation!AM54</f>
        <v>0</v>
      </c>
      <c r="K69" s="119">
        <f>CO_Report_Evaluation!AN54</f>
        <v>0</v>
      </c>
      <c r="L69" s="119">
        <f>CSE4098C_Summer2026_Grade!G55</f>
        <v>0</v>
      </c>
      <c r="M69" s="119"/>
      <c r="N69" s="33">
        <f>((CSE4098C_Summer2026_Grade!E55)*10)/25</f>
        <v>3.38</v>
      </c>
      <c r="O69" s="120"/>
      <c r="P69" s="121"/>
      <c r="Q69" s="122">
        <v>14.44</v>
      </c>
      <c r="R69" s="120"/>
      <c r="S69" s="123">
        <f t="shared" si="4"/>
        <v>0</v>
      </c>
      <c r="T69" s="124">
        <f t="shared" ref="T69:U69" si="208">E69</f>
        <v>0</v>
      </c>
      <c r="U69" s="124">
        <f t="shared" si="208"/>
        <v>0</v>
      </c>
      <c r="V69" s="124">
        <f t="shared" ref="V69:X69" si="209">SUM(G69,P69)</f>
        <v>0</v>
      </c>
      <c r="W69" s="124">
        <f t="shared" si="209"/>
        <v>14.44</v>
      </c>
      <c r="X69" s="124">
        <f t="shared" si="209"/>
        <v>0</v>
      </c>
      <c r="Y69" s="125">
        <f t="shared" ref="Y69:AA69" si="210">J69</f>
        <v>0</v>
      </c>
      <c r="Z69" s="125">
        <f t="shared" si="210"/>
        <v>0</v>
      </c>
      <c r="AA69" s="125">
        <f t="shared" si="210"/>
        <v>0</v>
      </c>
      <c r="AB69" s="125">
        <f t="shared" si="9"/>
        <v>3.38</v>
      </c>
      <c r="AC69" s="126">
        <f t="shared" ref="AC69:AL69" si="211">IF(S69 = 0, 0, S69/S$18)</f>
        <v>0</v>
      </c>
      <c r="AD69" s="127">
        <f t="shared" si="211"/>
        <v>0</v>
      </c>
      <c r="AE69" s="128">
        <f t="shared" si="211"/>
        <v>0</v>
      </c>
      <c r="AF69" s="128">
        <f t="shared" si="211"/>
        <v>0</v>
      </c>
      <c r="AG69" s="128">
        <f t="shared" si="211"/>
        <v>0.55538461538461537</v>
      </c>
      <c r="AH69" s="128">
        <f t="shared" si="211"/>
        <v>0</v>
      </c>
      <c r="AI69" s="128">
        <f t="shared" si="211"/>
        <v>0</v>
      </c>
      <c r="AJ69" s="128">
        <f t="shared" si="211"/>
        <v>0</v>
      </c>
      <c r="AK69" s="128">
        <f t="shared" si="211"/>
        <v>0</v>
      </c>
      <c r="AL69" s="128">
        <f t="shared" si="211"/>
        <v>0.33799999999999997</v>
      </c>
      <c r="AM69" s="129" t="e">
        <f>IF(OR(CSE4098C_Summer2026_Grade!$J55="W (Withdrawn)", CSE4098C_Summer2026_Grade!$J55="I (Incomplete)"), 0, IF(AC69&gt;=55%, 1, 0))</f>
        <v>#DIV/0!</v>
      </c>
      <c r="AN69" s="129" t="e">
        <f>IF(OR(CSE4098C_Summer2026_Grade!$J55="W (Withdrawn)", CSE4098C_Summer2026_Grade!$J55="I (Incomplete)"), 0, IF(AD69&gt;=55%, 1, 0))</f>
        <v>#DIV/0!</v>
      </c>
      <c r="AO69" s="129" t="e">
        <f>IF(OR(CSE4098C_Summer2026_Grade!$J55="W (Withdrawn)", CSE4098C_Summer2026_Grade!$J55="I (Incomplete)"), 0, IF(AE69&gt;=55%, 1, 0))</f>
        <v>#DIV/0!</v>
      </c>
      <c r="AP69" s="129" t="e">
        <f>IF(OR(CSE4098C_Summer2026_Grade!$J55="W (Withdrawn)", CSE4098C_Summer2026_Grade!$J55="I (Incomplete)"), 0, IF(AF69&gt;=55%, 1, 0))</f>
        <v>#DIV/0!</v>
      </c>
      <c r="AQ69" s="129" t="e">
        <f>IF(OR(CSE4098C_Summer2026_Grade!$J55="W (Withdrawn)", CSE4098C_Summer2026_Grade!$J55="I (Incomplete)"), 0, IF(AG69&gt;=55%, 1, 0))</f>
        <v>#DIV/0!</v>
      </c>
      <c r="AR69" s="129" t="e">
        <f>IF(OR(CSE4098C_Summer2026_Grade!$J55="W (Withdrawn)", CSE4098C_Summer2026_Grade!$J55="I (Incomplete)"), 0, IF(AH69&gt;=55%, 1, 0))</f>
        <v>#DIV/0!</v>
      </c>
      <c r="AS69" s="129" t="e">
        <f>IF(OR(CSE4098C_Summer2026_Grade!$J55="W (Withdrawn)", CSE4098C_Summer2026_Grade!$J55="I (Incomplete)"), 0, IF(AI69&gt;=55%, 1, 0))</f>
        <v>#DIV/0!</v>
      </c>
      <c r="AT69" s="129" t="e">
        <f>IF(OR(CSE4098C_Summer2026_Grade!$J55="W (Withdrawn)", CSE4098C_Summer2026_Grade!$J55="I (Incomplete)"), 0, IF(AJ69&gt;=55%, 1, 0))</f>
        <v>#DIV/0!</v>
      </c>
      <c r="AU69" s="129" t="e">
        <f>IF(OR(CSE4098C_Summer2026_Grade!$J55="W (Withdrawn)", CSE4098C_Summer2026_Grade!$J55="I (Incomplete)"), 0, IF(AK69&gt;=55%, 1, 0))</f>
        <v>#DIV/0!</v>
      </c>
      <c r="AV69" s="129" t="e">
        <f>IF(OR(CSE4098C_Summer2026_Grade!$J55="W (Withdrawn)", CSE4098C_Summer2026_Grade!$J55="I (Incomplete)"), 0, IF(AL69&gt;=55%, 1, 0))</f>
        <v>#DIV/0!</v>
      </c>
      <c r="AX69" s="130">
        <f t="array" ref="AX69">IF($AY$13=0,0,MMULT($AC69:$AL69, AY$3:AY$12)/$AY$13)</f>
        <v>0</v>
      </c>
      <c r="AY69" s="130">
        <f t="array" ref="AY69">IF($AZ$13=0,0,MMULT($AC69:$AL69, AZ$3:AZ$12)/$AZ$13)</f>
        <v>0</v>
      </c>
      <c r="AZ69" s="130">
        <f t="array" ref="AZ69">IF($BA$13=0,0,MMULT($AC69:$AL69, BA$3:BA$12)/$BA$13)</f>
        <v>0</v>
      </c>
      <c r="BA69" s="130">
        <f t="array" ref="BA69">IF($BB$13=0,0,MMULT($AC69:$AL69, BB$3:BB$12)/$BB$13)</f>
        <v>0.55538461538461537</v>
      </c>
      <c r="BB69" s="130">
        <f t="array" ref="BB69">IF($BC$13=0,0,MMULT($AC69:$AL69, BC$3:BC$12)/$BC$13)</f>
        <v>0</v>
      </c>
      <c r="BC69" s="130">
        <f t="array" ref="BC69">IF($BD$13=0,0,MMULT($AC69:$AL69, BD$3:BD$12)/$BD$13)</f>
        <v>0</v>
      </c>
      <c r="BD69" s="130">
        <f t="array" ref="BD69">IF($BE$13=0,0,MMULT($AC69:$AL69, BE$3:BE$12)/$BE$13)</f>
        <v>0</v>
      </c>
      <c r="BE69" s="130">
        <f t="array" ref="BE69">IF($BF$13=0,0,MMULT($AC69:$AL69, BF$3:BF$12)/$BF$13)</f>
        <v>0</v>
      </c>
      <c r="BF69" s="130">
        <f t="array" ref="BF69">IF($BG$13=0,0,MMULT($AC69:$AL69, BG$3:BG$12)/$BG$13)</f>
        <v>0</v>
      </c>
      <c r="BG69" s="130">
        <f t="array" ref="BG69">IF($BH$13=0,0,MMULT($AC69:$AL69, BH$3:BH$12)/$BH$13)</f>
        <v>0.33799999999999997</v>
      </c>
      <c r="BH69" s="130">
        <f t="array" ref="BH69">IF($BI$13=0,0,MMULT($AC69:$AL69, BI$3:BI$12)/$BI$13)</f>
        <v>0</v>
      </c>
      <c r="BI69" s="130">
        <f t="array" ref="BI69">IF($BJ$13=0,0,MMULT($AC69:$AL69, BJ$3:BJ$12)/$BJ$13)</f>
        <v>0</v>
      </c>
      <c r="BJ69" s="129" t="e">
        <f>IF(OR(CSE4098C_Summer2026_Grade!$J55="W (Withdrawn)", CSE4098C_Summer2026_Grade!$J55="I (Incomplete)"), 0, IF(AX69&gt;=55%, 1, 0))</f>
        <v>#DIV/0!</v>
      </c>
      <c r="BK69" s="129" t="e">
        <f>IF(OR(CSE4098C_Summer2026_Grade!$J55="W (Withdrawn)", CSE4098C_Summer2026_Grade!$J55="I (Incomplete)"), 0, IF(AY69&gt;=55%, 1, 0))</f>
        <v>#DIV/0!</v>
      </c>
      <c r="BL69" s="129" t="e">
        <f>IF(OR(CSE4098C_Summer2026_Grade!$J55="W (Withdrawn)", CSE4098C_Summer2026_Grade!$J55="I (Incomplete)"), 0, IF(AZ69&gt;=55%, 1, 0))</f>
        <v>#DIV/0!</v>
      </c>
      <c r="BM69" s="129" t="e">
        <f>IF(OR(CSE4098C_Summer2026_Grade!$J55="W (Withdrawn)", CSE4098C_Summer2026_Grade!$J55="I (Incomplete)"), 0, IF(BA69&gt;=55%, 1, 0))</f>
        <v>#DIV/0!</v>
      </c>
      <c r="BN69" s="129" t="e">
        <f>IF(OR(CSE4098C_Summer2026_Grade!$J55="W (Withdrawn)", CSE4098C_Summer2026_Grade!$J55="I (Incomplete)"), 0, IF(BB69&gt;=55%, 1, 0))</f>
        <v>#DIV/0!</v>
      </c>
      <c r="BO69" s="129" t="e">
        <f>IF(OR(CSE4098C_Summer2026_Grade!$J55="W (Withdrawn)", CSE4098C_Summer2026_Grade!$J55="I (Incomplete)"), 0, IF(BC69&gt;=55%, 1, 0))</f>
        <v>#DIV/0!</v>
      </c>
      <c r="BP69" s="129" t="e">
        <f>IF(OR(CSE4098C_Summer2026_Grade!$J55="W (Withdrawn)", CSE4098C_Summer2026_Grade!$J55="I (Incomplete)"), 0, IF(BD69&gt;=55%, 1, 0))</f>
        <v>#DIV/0!</v>
      </c>
      <c r="BQ69" s="129" t="e">
        <f>IF(OR(CSE4098C_Summer2026_Grade!$J55="W (Withdrawn)", CSE4098C_Summer2026_Grade!$J55="I (Incomplete)"), 0, IF(BE69&gt;=55%, 1, 0))</f>
        <v>#DIV/0!</v>
      </c>
      <c r="BR69" s="129" t="e">
        <f>IF(OR(CSE4098C_Summer2026_Grade!$J55="W (Withdrawn)", CSE4098C_Summer2026_Grade!$J55="I (Incomplete)"), 0, IF(BF69&gt;=55%, 1, 0))</f>
        <v>#DIV/0!</v>
      </c>
      <c r="BS69" s="129" t="e">
        <f>IF(OR(CSE4098C_Summer2026_Grade!$J55="W (Withdrawn)", CSE4098C_Summer2026_Grade!$J55="I (Incomplete)"), 0, IF(BG69&gt;=55%, 1, 0))</f>
        <v>#DIV/0!</v>
      </c>
      <c r="BT69" s="129" t="e">
        <f>IF(OR(CSE4098C_Summer2026_Grade!$J55="W (Withdrawn)", CSE4098C_Summer2026_Grade!$J55="I (Incomplete)"), 0, IF(BH69&gt;=55%, 1, 0))</f>
        <v>#DIV/0!</v>
      </c>
      <c r="BU69" s="129" t="e">
        <f>IF(OR(CSE4098C_Summer2026_Grade!$J55="W (Withdrawn)", CSE4098C_Summer2026_Grade!$J55="I (Incomplete)"), 0, IF(BI69&gt;=55%, 1, 0))</f>
        <v>#DIV/0!</v>
      </c>
    </row>
    <row r="70" spans="1:73" ht="12.75" customHeight="1" thickBot="1">
      <c r="A70" s="118">
        <f t="shared" si="11"/>
        <v>52</v>
      </c>
      <c r="B70" s="222">
        <v>222014088</v>
      </c>
      <c r="C70" s="222" t="s">
        <v>254</v>
      </c>
      <c r="D70" s="119">
        <f>CO_Report_Evaluation!AG55</f>
        <v>0</v>
      </c>
      <c r="E70" s="119">
        <f>CO_Report_Evaluation!AH55</f>
        <v>0</v>
      </c>
      <c r="F70" s="119">
        <f>CO_Report_Evaluation!AI55</f>
        <v>0</v>
      </c>
      <c r="G70" s="119">
        <f>CO_Report_Evaluation!AJ55</f>
        <v>0</v>
      </c>
      <c r="H70" s="119">
        <f>CO_Report_Evaluation!AK55</f>
        <v>0</v>
      </c>
      <c r="I70" s="119">
        <f>CO_Report_Evaluation!AL55</f>
        <v>0</v>
      </c>
      <c r="J70" s="119">
        <f>CO_Report_Evaluation!AM55</f>
        <v>0</v>
      </c>
      <c r="K70" s="119">
        <f>CO_Report_Evaluation!AN55</f>
        <v>0</v>
      </c>
      <c r="L70" s="119">
        <f>CSE4098C_Summer2026_Grade!G56</f>
        <v>0</v>
      </c>
      <c r="M70" s="119"/>
      <c r="N70" s="33">
        <f>((CSE4098C_Summer2026_Grade!E56)*10)/25</f>
        <v>2.3559999999999999</v>
      </c>
      <c r="O70" s="120"/>
      <c r="P70" s="121"/>
      <c r="Q70" s="122">
        <v>14.44</v>
      </c>
      <c r="R70" s="120"/>
      <c r="S70" s="123">
        <f t="shared" si="4"/>
        <v>0</v>
      </c>
      <c r="T70" s="124">
        <f t="shared" ref="T70:U70" si="212">E70</f>
        <v>0</v>
      </c>
      <c r="U70" s="124">
        <f t="shared" si="212"/>
        <v>0</v>
      </c>
      <c r="V70" s="124">
        <f t="shared" ref="V70:X70" si="213">SUM(G70,P70)</f>
        <v>0</v>
      </c>
      <c r="W70" s="124">
        <f t="shared" si="213"/>
        <v>14.44</v>
      </c>
      <c r="X70" s="124">
        <f t="shared" si="213"/>
        <v>0</v>
      </c>
      <c r="Y70" s="125">
        <f t="shared" ref="Y70:AA70" si="214">J70</f>
        <v>0</v>
      </c>
      <c r="Z70" s="125">
        <f t="shared" si="214"/>
        <v>0</v>
      </c>
      <c r="AA70" s="125">
        <f t="shared" si="214"/>
        <v>0</v>
      </c>
      <c r="AB70" s="125">
        <f t="shared" si="9"/>
        <v>2.3559999999999999</v>
      </c>
      <c r="AC70" s="126">
        <f t="shared" ref="AC70:AL70" si="215">IF(S70 = 0, 0, S70/S$18)</f>
        <v>0</v>
      </c>
      <c r="AD70" s="127">
        <f t="shared" si="215"/>
        <v>0</v>
      </c>
      <c r="AE70" s="128">
        <f t="shared" si="215"/>
        <v>0</v>
      </c>
      <c r="AF70" s="128">
        <f t="shared" si="215"/>
        <v>0</v>
      </c>
      <c r="AG70" s="128">
        <f t="shared" si="215"/>
        <v>0.55538461538461537</v>
      </c>
      <c r="AH70" s="128">
        <f t="shared" si="215"/>
        <v>0</v>
      </c>
      <c r="AI70" s="128">
        <f t="shared" si="215"/>
        <v>0</v>
      </c>
      <c r="AJ70" s="128">
        <f t="shared" si="215"/>
        <v>0</v>
      </c>
      <c r="AK70" s="128">
        <f t="shared" si="215"/>
        <v>0</v>
      </c>
      <c r="AL70" s="128">
        <f t="shared" si="215"/>
        <v>0.23559999999999998</v>
      </c>
      <c r="AM70" s="129" t="e">
        <f>IF(OR(CSE4098C_Summer2026_Grade!#REF!="W (Withdrawn)", CSE4098C_Summer2026_Grade!#REF!="I (Incomplete)"), 0, IF(AC70&gt;=55%, 1, 0))</f>
        <v>#REF!</v>
      </c>
      <c r="AN70" s="129" t="e">
        <f>IF(OR(CSE4098C_Summer2026_Grade!#REF!="W (Withdrawn)", CSE4098C_Summer2026_Grade!#REF!="I (Incomplete)"), 0, IF(AD70&gt;=55%, 1, 0))</f>
        <v>#REF!</v>
      </c>
      <c r="AO70" s="129" t="e">
        <f>IF(OR(CSE4098C_Summer2026_Grade!#REF!="W (Withdrawn)", CSE4098C_Summer2026_Grade!#REF!="I (Incomplete)"), 0, IF(AE70&gt;=55%, 1, 0))</f>
        <v>#REF!</v>
      </c>
      <c r="AP70" s="129" t="e">
        <f>IF(OR(CSE4098C_Summer2026_Grade!#REF!="W (Withdrawn)", CSE4098C_Summer2026_Grade!#REF!="I (Incomplete)"), 0, IF(AF70&gt;=55%, 1, 0))</f>
        <v>#REF!</v>
      </c>
      <c r="AQ70" s="129" t="e">
        <f>IF(OR(CSE4098C_Summer2026_Grade!#REF!="W (Withdrawn)", CSE4098C_Summer2026_Grade!#REF!="I (Incomplete)"), 0, IF(AG70&gt;=55%, 1, 0))</f>
        <v>#REF!</v>
      </c>
      <c r="AR70" s="129" t="e">
        <f>IF(OR(CSE4098C_Summer2026_Grade!#REF!="W (Withdrawn)", CSE4098C_Summer2026_Grade!#REF!="I (Incomplete)"), 0, IF(AH70&gt;=55%, 1, 0))</f>
        <v>#REF!</v>
      </c>
      <c r="AS70" s="129" t="e">
        <f>IF(OR(CSE4098C_Summer2026_Grade!#REF!="W (Withdrawn)", CSE4098C_Summer2026_Grade!#REF!="I (Incomplete)"), 0, IF(AI70&gt;=55%, 1, 0))</f>
        <v>#REF!</v>
      </c>
      <c r="AT70" s="129" t="e">
        <f>IF(OR(CSE4098C_Summer2026_Grade!#REF!="W (Withdrawn)", CSE4098C_Summer2026_Grade!#REF!="I (Incomplete)"), 0, IF(AJ70&gt;=55%, 1, 0))</f>
        <v>#REF!</v>
      </c>
      <c r="AU70" s="129" t="e">
        <f>IF(OR(CSE4098C_Summer2026_Grade!#REF!="W (Withdrawn)", CSE4098C_Summer2026_Grade!#REF!="I (Incomplete)"), 0, IF(AK70&gt;=55%, 1, 0))</f>
        <v>#REF!</v>
      </c>
      <c r="AV70" s="129" t="e">
        <f>IF(OR(CSE4098C_Summer2026_Grade!#REF!="W (Withdrawn)", CSE4098C_Summer2026_Grade!#REF!="I (Incomplete)"), 0, IF(AL70&gt;=55%, 1, 0))</f>
        <v>#REF!</v>
      </c>
      <c r="AX70" s="130">
        <f t="array" ref="AX70">IF($AY$13=0,0,MMULT($AC70:$AL70, AY$3:AY$12)/$AY$13)</f>
        <v>0</v>
      </c>
      <c r="AY70" s="130">
        <f t="array" ref="AY70">IF($AZ$13=0,0,MMULT($AC70:$AL70, AZ$3:AZ$12)/$AZ$13)</f>
        <v>0</v>
      </c>
      <c r="AZ70" s="130">
        <f t="array" ref="AZ70">IF($BA$13=0,0,MMULT($AC70:$AL70, BA$3:BA$12)/$BA$13)</f>
        <v>0</v>
      </c>
      <c r="BA70" s="130">
        <f t="array" ref="BA70">IF($BB$13=0,0,MMULT($AC70:$AL70, BB$3:BB$12)/$BB$13)</f>
        <v>0.55538461538461537</v>
      </c>
      <c r="BB70" s="130">
        <f t="array" ref="BB70">IF($BC$13=0,0,MMULT($AC70:$AL70, BC$3:BC$12)/$BC$13)</f>
        <v>0</v>
      </c>
      <c r="BC70" s="130">
        <f t="array" ref="BC70">IF($BD$13=0,0,MMULT($AC70:$AL70, BD$3:BD$12)/$BD$13)</f>
        <v>0</v>
      </c>
      <c r="BD70" s="130">
        <f t="array" ref="BD70">IF($BE$13=0,0,MMULT($AC70:$AL70, BE$3:BE$12)/$BE$13)</f>
        <v>0</v>
      </c>
      <c r="BE70" s="130">
        <f t="array" ref="BE70">IF($BF$13=0,0,MMULT($AC70:$AL70, BF$3:BF$12)/$BF$13)</f>
        <v>0</v>
      </c>
      <c r="BF70" s="130">
        <f t="array" ref="BF70">IF($BG$13=0,0,MMULT($AC70:$AL70, BG$3:BG$12)/$BG$13)</f>
        <v>0</v>
      </c>
      <c r="BG70" s="130">
        <f t="array" ref="BG70">IF($BH$13=0,0,MMULT($AC70:$AL70, BH$3:BH$12)/$BH$13)</f>
        <v>0.23559999999999998</v>
      </c>
      <c r="BH70" s="130">
        <f t="array" ref="BH70">IF($BI$13=0,0,MMULT($AC70:$AL70, BI$3:BI$12)/$BI$13)</f>
        <v>0</v>
      </c>
      <c r="BI70" s="130">
        <f t="array" ref="BI70">IF($BJ$13=0,0,MMULT($AC70:$AL70, BJ$3:BJ$12)/$BJ$13)</f>
        <v>0</v>
      </c>
      <c r="BJ70" s="129" t="e">
        <f>IF(OR(CSE4098C_Summer2026_Grade!#REF!="W (Withdrawn)", CSE4098C_Summer2026_Grade!#REF!="I (Incomplete)"), 0, IF(AX70&gt;=55%, 1, 0))</f>
        <v>#REF!</v>
      </c>
      <c r="BK70" s="129" t="e">
        <f>IF(OR(CSE4098C_Summer2026_Grade!#REF!="W (Withdrawn)", CSE4098C_Summer2026_Grade!#REF!="I (Incomplete)"), 0, IF(AY70&gt;=55%, 1, 0))</f>
        <v>#REF!</v>
      </c>
      <c r="BL70" s="129" t="e">
        <f>IF(OR(CSE4098C_Summer2026_Grade!#REF!="W (Withdrawn)", CSE4098C_Summer2026_Grade!#REF!="I (Incomplete)"), 0, IF(AZ70&gt;=55%, 1, 0))</f>
        <v>#REF!</v>
      </c>
      <c r="BM70" s="129" t="e">
        <f>IF(OR(CSE4098C_Summer2026_Grade!#REF!="W (Withdrawn)", CSE4098C_Summer2026_Grade!#REF!="I (Incomplete)"), 0, IF(BA70&gt;=55%, 1, 0))</f>
        <v>#REF!</v>
      </c>
      <c r="BN70" s="129" t="e">
        <f>IF(OR(CSE4098C_Summer2026_Grade!#REF!="W (Withdrawn)", CSE4098C_Summer2026_Grade!#REF!="I (Incomplete)"), 0, IF(BB70&gt;=55%, 1, 0))</f>
        <v>#REF!</v>
      </c>
      <c r="BO70" s="129" t="e">
        <f>IF(OR(CSE4098C_Summer2026_Grade!#REF!="W (Withdrawn)", CSE4098C_Summer2026_Grade!#REF!="I (Incomplete)"), 0, IF(BC70&gt;=55%, 1, 0))</f>
        <v>#REF!</v>
      </c>
      <c r="BP70" s="129" t="e">
        <f>IF(OR(CSE4098C_Summer2026_Grade!#REF!="W (Withdrawn)", CSE4098C_Summer2026_Grade!#REF!="I (Incomplete)"), 0, IF(BD70&gt;=55%, 1, 0))</f>
        <v>#REF!</v>
      </c>
      <c r="BQ70" s="129" t="e">
        <f>IF(OR(CSE4098C_Summer2026_Grade!#REF!="W (Withdrawn)", CSE4098C_Summer2026_Grade!#REF!="I (Incomplete)"), 0, IF(BE70&gt;=55%, 1, 0))</f>
        <v>#REF!</v>
      </c>
      <c r="BR70" s="129" t="e">
        <f>IF(OR(CSE4098C_Summer2026_Grade!#REF!="W (Withdrawn)", CSE4098C_Summer2026_Grade!#REF!="I (Incomplete)"), 0, IF(BF70&gt;=55%, 1, 0))</f>
        <v>#REF!</v>
      </c>
      <c r="BS70" s="129" t="e">
        <f>IF(OR(CSE4098C_Summer2026_Grade!#REF!="W (Withdrawn)", CSE4098C_Summer2026_Grade!#REF!="I (Incomplete)"), 0, IF(BG70&gt;=55%, 1, 0))</f>
        <v>#REF!</v>
      </c>
      <c r="BT70" s="129" t="e">
        <f>IF(OR(CSE4098C_Summer2026_Grade!#REF!="W (Withdrawn)", CSE4098C_Summer2026_Grade!#REF!="I (Incomplete)"), 0, IF(BH70&gt;=55%, 1, 0))</f>
        <v>#REF!</v>
      </c>
      <c r="BU70" s="129" t="e">
        <f>IF(OR(CSE4098C_Summer2026_Grade!#REF!="W (Withdrawn)", CSE4098C_Summer2026_Grade!#REF!="I (Incomplete)"), 0, IF(BI70&gt;=55%, 1, 0))</f>
        <v>#REF!</v>
      </c>
    </row>
    <row r="71" spans="1:73" ht="12.75" customHeight="1" thickBot="1">
      <c r="A71" s="118">
        <f t="shared" si="11"/>
        <v>53</v>
      </c>
      <c r="B71" s="222">
        <v>231014021</v>
      </c>
      <c r="C71" s="222" t="s">
        <v>255</v>
      </c>
      <c r="D71" s="119">
        <f>CO_Report_Evaluation!AG56</f>
        <v>0</v>
      </c>
      <c r="E71" s="119">
        <f>CO_Report_Evaluation!AH56</f>
        <v>0</v>
      </c>
      <c r="F71" s="119">
        <f>CO_Report_Evaluation!AI56</f>
        <v>0</v>
      </c>
      <c r="G71" s="119">
        <f>CO_Report_Evaluation!AJ56</f>
        <v>0</v>
      </c>
      <c r="H71" s="119">
        <f>CO_Report_Evaluation!AK56</f>
        <v>0</v>
      </c>
      <c r="I71" s="119">
        <f>CO_Report_Evaluation!AL56</f>
        <v>0</v>
      </c>
      <c r="J71" s="119">
        <f>CO_Report_Evaluation!AM56</f>
        <v>0</v>
      </c>
      <c r="K71" s="119">
        <f>CO_Report_Evaluation!AN56</f>
        <v>0</v>
      </c>
      <c r="L71" s="119">
        <f>CSE4098C_Summer2026_Grade!G57</f>
        <v>0</v>
      </c>
      <c r="M71" s="119"/>
      <c r="N71" s="33">
        <f>((CSE4098C_Summer2026_Grade!E57)*10)/25</f>
        <v>1.7120000000000002</v>
      </c>
      <c r="O71" s="120"/>
      <c r="P71" s="121"/>
      <c r="Q71" s="122">
        <v>14.44</v>
      </c>
      <c r="R71" s="120"/>
      <c r="S71" s="123">
        <f t="shared" si="4"/>
        <v>0</v>
      </c>
      <c r="T71" s="124">
        <f t="shared" ref="T71:U71" si="216">E71</f>
        <v>0</v>
      </c>
      <c r="U71" s="124">
        <f t="shared" si="216"/>
        <v>0</v>
      </c>
      <c r="V71" s="124">
        <f t="shared" ref="V71:X71" si="217">SUM(G71,P71)</f>
        <v>0</v>
      </c>
      <c r="W71" s="124">
        <f t="shared" si="217"/>
        <v>14.44</v>
      </c>
      <c r="X71" s="124">
        <f t="shared" si="217"/>
        <v>0</v>
      </c>
      <c r="Y71" s="125">
        <f t="shared" ref="Y71:AA71" si="218">J71</f>
        <v>0</v>
      </c>
      <c r="Z71" s="125">
        <f t="shared" si="218"/>
        <v>0</v>
      </c>
      <c r="AA71" s="125">
        <f t="shared" si="218"/>
        <v>0</v>
      </c>
      <c r="AB71" s="125">
        <f t="shared" si="9"/>
        <v>1.7120000000000002</v>
      </c>
      <c r="AC71" s="126">
        <f t="shared" ref="AC71:AL71" si="219">IF(S71 = 0, 0, S71/S$18)</f>
        <v>0</v>
      </c>
      <c r="AD71" s="127">
        <f t="shared" si="219"/>
        <v>0</v>
      </c>
      <c r="AE71" s="128">
        <f t="shared" si="219"/>
        <v>0</v>
      </c>
      <c r="AF71" s="128">
        <f t="shared" si="219"/>
        <v>0</v>
      </c>
      <c r="AG71" s="128">
        <f t="shared" si="219"/>
        <v>0.55538461538461537</v>
      </c>
      <c r="AH71" s="128">
        <f t="shared" si="219"/>
        <v>0</v>
      </c>
      <c r="AI71" s="128">
        <f t="shared" si="219"/>
        <v>0</v>
      </c>
      <c r="AJ71" s="128">
        <f t="shared" si="219"/>
        <v>0</v>
      </c>
      <c r="AK71" s="128">
        <f t="shared" si="219"/>
        <v>0</v>
      </c>
      <c r="AL71" s="128">
        <f t="shared" si="219"/>
        <v>0.17120000000000002</v>
      </c>
      <c r="AM71" s="129">
        <f>IF(OR(CSE4098C_Summer2026_Grade!$J72="W (Withdrawn)", CSE4098C_Summer2026_Grade!$J72="I (Incomplete)"), 0, IF(AC71&gt;=55%, 1, 0))</f>
        <v>0</v>
      </c>
      <c r="AN71" s="129">
        <f>IF(OR(CSE4098C_Summer2026_Grade!$J72="W (Withdrawn)", CSE4098C_Summer2026_Grade!$J72="I (Incomplete)"), 0, IF(AD71&gt;=55%, 1, 0))</f>
        <v>0</v>
      </c>
      <c r="AO71" s="129">
        <f>IF(OR(CSE4098C_Summer2026_Grade!$J72="W (Withdrawn)", CSE4098C_Summer2026_Grade!$J72="I (Incomplete)"), 0, IF(AE71&gt;=55%, 1, 0))</f>
        <v>0</v>
      </c>
      <c r="AP71" s="129">
        <f>IF(OR(CSE4098C_Summer2026_Grade!$J72="W (Withdrawn)", CSE4098C_Summer2026_Grade!$J72="I (Incomplete)"), 0, IF(AF71&gt;=55%, 1, 0))</f>
        <v>0</v>
      </c>
      <c r="AQ71" s="129">
        <f>IF(OR(CSE4098C_Summer2026_Grade!$J72="W (Withdrawn)", CSE4098C_Summer2026_Grade!$J72="I (Incomplete)"), 0, IF(AG71&gt;=55%, 1, 0))</f>
        <v>1</v>
      </c>
      <c r="AR71" s="129">
        <f>IF(OR(CSE4098C_Summer2026_Grade!$J72="W (Withdrawn)", CSE4098C_Summer2026_Grade!$J72="I (Incomplete)"), 0, IF(AH71&gt;=55%, 1, 0))</f>
        <v>0</v>
      </c>
      <c r="AS71" s="129">
        <f>IF(OR(CSE4098C_Summer2026_Grade!$J72="W (Withdrawn)", CSE4098C_Summer2026_Grade!$J72="I (Incomplete)"), 0, IF(AI71&gt;=55%, 1, 0))</f>
        <v>0</v>
      </c>
      <c r="AT71" s="129">
        <f>IF(OR(CSE4098C_Summer2026_Grade!$J72="W (Withdrawn)", CSE4098C_Summer2026_Grade!$J72="I (Incomplete)"), 0, IF(AJ71&gt;=55%, 1, 0))</f>
        <v>0</v>
      </c>
      <c r="AU71" s="129">
        <f>IF(OR(CSE4098C_Summer2026_Grade!$J72="W (Withdrawn)", CSE4098C_Summer2026_Grade!$J72="I (Incomplete)"), 0, IF(AK71&gt;=55%, 1, 0))</f>
        <v>0</v>
      </c>
      <c r="AV71" s="129">
        <f>IF(OR(CSE4098C_Summer2026_Grade!$J72="W (Withdrawn)", CSE4098C_Summer2026_Grade!$J72="I (Incomplete)"), 0, IF(AL71&gt;=55%, 1, 0))</f>
        <v>0</v>
      </c>
      <c r="AX71" s="130">
        <f t="array" ref="AX71">IF($AY$13=0,0,MMULT($AC71:$AL71, AY$3:AY$12)/$AY$13)</f>
        <v>0</v>
      </c>
      <c r="AY71" s="130">
        <f t="array" ref="AY71">IF($AZ$13=0,0,MMULT($AC71:$AL71, AZ$3:AZ$12)/$AZ$13)</f>
        <v>0</v>
      </c>
      <c r="AZ71" s="130">
        <f t="array" ref="AZ71">IF($BA$13=0,0,MMULT($AC71:$AL71, BA$3:BA$12)/$BA$13)</f>
        <v>0</v>
      </c>
      <c r="BA71" s="130">
        <f t="array" ref="BA71">IF($BB$13=0,0,MMULT($AC71:$AL71, BB$3:BB$12)/$BB$13)</f>
        <v>0.55538461538461537</v>
      </c>
      <c r="BB71" s="130">
        <f t="array" ref="BB71">IF($BC$13=0,0,MMULT($AC71:$AL71, BC$3:BC$12)/$BC$13)</f>
        <v>0</v>
      </c>
      <c r="BC71" s="130">
        <f t="array" ref="BC71">IF($BD$13=0,0,MMULT($AC71:$AL71, BD$3:BD$12)/$BD$13)</f>
        <v>0</v>
      </c>
      <c r="BD71" s="130">
        <f t="array" ref="BD71">IF($BE$13=0,0,MMULT($AC71:$AL71, BE$3:BE$12)/$BE$13)</f>
        <v>0</v>
      </c>
      <c r="BE71" s="130">
        <f t="array" ref="BE71">IF($BF$13=0,0,MMULT($AC71:$AL71, BF$3:BF$12)/$BF$13)</f>
        <v>0</v>
      </c>
      <c r="BF71" s="130">
        <f t="array" ref="BF71">IF($BG$13=0,0,MMULT($AC71:$AL71, BG$3:BG$12)/$BG$13)</f>
        <v>0</v>
      </c>
      <c r="BG71" s="130">
        <f t="array" ref="BG71">IF($BH$13=0,0,MMULT($AC71:$AL71, BH$3:BH$12)/$BH$13)</f>
        <v>0.17120000000000002</v>
      </c>
      <c r="BH71" s="130">
        <f t="array" ref="BH71">IF($BI$13=0,0,MMULT($AC71:$AL71, BI$3:BI$12)/$BI$13)</f>
        <v>0</v>
      </c>
      <c r="BI71" s="130">
        <f t="array" ref="BI71">IF($BJ$13=0,0,MMULT($AC71:$AL71, BJ$3:BJ$12)/$BJ$13)</f>
        <v>0</v>
      </c>
      <c r="BJ71" s="129">
        <f>IF(OR(CSE4098C_Summer2026_Grade!$J72="W (Withdrawn)", CSE4098C_Summer2026_Grade!$J72="I (Incomplete)"), 0, IF(AX71&gt;=55%, 1, 0))</f>
        <v>0</v>
      </c>
      <c r="BK71" s="129">
        <f>IF(OR(CSE4098C_Summer2026_Grade!$J72="W (Withdrawn)", CSE4098C_Summer2026_Grade!$J72="I (Incomplete)"), 0, IF(AY71&gt;=55%, 1, 0))</f>
        <v>0</v>
      </c>
      <c r="BL71" s="129">
        <f>IF(OR(CSE4098C_Summer2026_Grade!$J72="W (Withdrawn)", CSE4098C_Summer2026_Grade!$J72="I (Incomplete)"), 0, IF(AZ71&gt;=55%, 1, 0))</f>
        <v>0</v>
      </c>
      <c r="BM71" s="129">
        <f>IF(OR(CSE4098C_Summer2026_Grade!$J72="W (Withdrawn)", CSE4098C_Summer2026_Grade!$J72="I (Incomplete)"), 0, IF(BA71&gt;=55%, 1, 0))</f>
        <v>1</v>
      </c>
      <c r="BN71" s="129">
        <f>IF(OR(CSE4098C_Summer2026_Grade!$J72="W (Withdrawn)", CSE4098C_Summer2026_Grade!$J72="I (Incomplete)"), 0, IF(BB71&gt;=55%, 1, 0))</f>
        <v>0</v>
      </c>
      <c r="BO71" s="129">
        <f>IF(OR(CSE4098C_Summer2026_Grade!$J72="W (Withdrawn)", CSE4098C_Summer2026_Grade!$J72="I (Incomplete)"), 0, IF(BC71&gt;=55%, 1, 0))</f>
        <v>0</v>
      </c>
      <c r="BP71" s="129">
        <f>IF(OR(CSE4098C_Summer2026_Grade!$J72="W (Withdrawn)", CSE4098C_Summer2026_Grade!$J72="I (Incomplete)"), 0, IF(BD71&gt;=55%, 1, 0))</f>
        <v>0</v>
      </c>
      <c r="BQ71" s="129">
        <f>IF(OR(CSE4098C_Summer2026_Grade!$J72="W (Withdrawn)", CSE4098C_Summer2026_Grade!$J72="I (Incomplete)"), 0, IF(BE71&gt;=55%, 1, 0))</f>
        <v>0</v>
      </c>
      <c r="BR71" s="129">
        <f>IF(OR(CSE4098C_Summer2026_Grade!$J72="W (Withdrawn)", CSE4098C_Summer2026_Grade!$J72="I (Incomplete)"), 0, IF(BF71&gt;=55%, 1, 0))</f>
        <v>0</v>
      </c>
      <c r="BS71" s="129">
        <f>IF(OR(CSE4098C_Summer2026_Grade!$J72="W (Withdrawn)", CSE4098C_Summer2026_Grade!$J72="I (Incomplete)"), 0, IF(BG71&gt;=55%, 1, 0))</f>
        <v>0</v>
      </c>
      <c r="BT71" s="129">
        <f>IF(OR(CSE4098C_Summer2026_Grade!$J72="W (Withdrawn)", CSE4098C_Summer2026_Grade!$J72="I (Incomplete)"), 0, IF(BH71&gt;=55%, 1, 0))</f>
        <v>0</v>
      </c>
      <c r="BU71" s="129">
        <f>IF(OR(CSE4098C_Summer2026_Grade!$J72="W (Withdrawn)", CSE4098C_Summer2026_Grade!$J72="I (Incomplete)"), 0, IF(BI71&gt;=55%, 1, 0))</f>
        <v>0</v>
      </c>
    </row>
    <row r="72" spans="1:73" ht="12.75" customHeight="1" thickBot="1">
      <c r="A72" s="118">
        <f t="shared" si="11"/>
        <v>54</v>
      </c>
      <c r="B72" s="229">
        <v>223014086</v>
      </c>
      <c r="C72" s="222" t="s">
        <v>256</v>
      </c>
      <c r="D72" s="119">
        <f>CO_Report_Evaluation!AG57</f>
        <v>0</v>
      </c>
      <c r="E72" s="119">
        <f>CO_Report_Evaluation!AH57</f>
        <v>0</v>
      </c>
      <c r="F72" s="119">
        <f>CO_Report_Evaluation!AI57</f>
        <v>0</v>
      </c>
      <c r="G72" s="119">
        <f>CO_Report_Evaluation!AJ57</f>
        <v>0</v>
      </c>
      <c r="H72" s="119">
        <f>CO_Report_Evaluation!AK57</f>
        <v>0</v>
      </c>
      <c r="I72" s="119">
        <f>CO_Report_Evaluation!AL57</f>
        <v>0</v>
      </c>
      <c r="J72" s="119">
        <f>CO_Report_Evaluation!AM57</f>
        <v>0</v>
      </c>
      <c r="K72" s="119">
        <f>CO_Report_Evaluation!AN57</f>
        <v>0</v>
      </c>
      <c r="L72" s="119">
        <f>CSE4098C_Summer2026_Grade!G58</f>
        <v>0</v>
      </c>
      <c r="M72" s="119"/>
      <c r="N72" s="33">
        <f>((CSE4098C_Summer2026_Grade!E58)*10)/25</f>
        <v>1.7120000000000002</v>
      </c>
      <c r="O72" s="120"/>
      <c r="P72" s="121"/>
      <c r="Q72" s="122">
        <v>14.44</v>
      </c>
      <c r="R72" s="120"/>
      <c r="S72" s="123">
        <f t="shared" si="4"/>
        <v>0</v>
      </c>
      <c r="T72" s="124">
        <f t="shared" ref="T72:U72" si="220">E72</f>
        <v>0</v>
      </c>
      <c r="U72" s="124">
        <f t="shared" si="220"/>
        <v>0</v>
      </c>
      <c r="V72" s="124">
        <f t="shared" ref="V72:X72" si="221">SUM(G72,P72)</f>
        <v>0</v>
      </c>
      <c r="W72" s="124">
        <f t="shared" si="221"/>
        <v>14.44</v>
      </c>
      <c r="X72" s="124">
        <f t="shared" si="221"/>
        <v>0</v>
      </c>
      <c r="Y72" s="125">
        <f t="shared" ref="Y72:AA72" si="222">J72</f>
        <v>0</v>
      </c>
      <c r="Z72" s="125">
        <f t="shared" si="222"/>
        <v>0</v>
      </c>
      <c r="AA72" s="125">
        <f t="shared" si="222"/>
        <v>0</v>
      </c>
      <c r="AB72" s="125">
        <f t="shared" si="9"/>
        <v>1.7120000000000002</v>
      </c>
      <c r="AC72" s="126">
        <f t="shared" ref="AC72:AL72" si="223">IF(S72 = 0, 0, S72/S$18)</f>
        <v>0</v>
      </c>
      <c r="AD72" s="127">
        <f t="shared" si="223"/>
        <v>0</v>
      </c>
      <c r="AE72" s="128">
        <f t="shared" si="223"/>
        <v>0</v>
      </c>
      <c r="AF72" s="128">
        <f t="shared" si="223"/>
        <v>0</v>
      </c>
      <c r="AG72" s="128">
        <f t="shared" si="223"/>
        <v>0.55538461538461537</v>
      </c>
      <c r="AH72" s="128">
        <f t="shared" si="223"/>
        <v>0</v>
      </c>
      <c r="AI72" s="128">
        <f t="shared" si="223"/>
        <v>0</v>
      </c>
      <c r="AJ72" s="128">
        <f t="shared" si="223"/>
        <v>0</v>
      </c>
      <c r="AK72" s="128">
        <f t="shared" si="223"/>
        <v>0</v>
      </c>
      <c r="AL72" s="128">
        <f t="shared" si="223"/>
        <v>0.17120000000000002</v>
      </c>
      <c r="AM72" s="129">
        <f>IF(OR(CSE4098C_Summer2026_Grade!$J73="W (Withdrawn)", CSE4098C_Summer2026_Grade!$J73="I (Incomplete)"), 0, IF(AC72&gt;=55%, 1, 0))</f>
        <v>0</v>
      </c>
      <c r="AN72" s="129">
        <f>IF(OR(CSE4098C_Summer2026_Grade!$J73="W (Withdrawn)", CSE4098C_Summer2026_Grade!$J73="I (Incomplete)"), 0, IF(AD72&gt;=55%, 1, 0))</f>
        <v>0</v>
      </c>
      <c r="AO72" s="129">
        <f>IF(OR(CSE4098C_Summer2026_Grade!$J73="W (Withdrawn)", CSE4098C_Summer2026_Grade!$J73="I (Incomplete)"), 0, IF(AE72&gt;=55%, 1, 0))</f>
        <v>0</v>
      </c>
      <c r="AP72" s="129">
        <f>IF(OR(CSE4098C_Summer2026_Grade!$J73="W (Withdrawn)", CSE4098C_Summer2026_Grade!$J73="I (Incomplete)"), 0, IF(AF72&gt;=55%, 1, 0))</f>
        <v>0</v>
      </c>
      <c r="AQ72" s="129">
        <f>IF(OR(CSE4098C_Summer2026_Grade!$J73="W (Withdrawn)", CSE4098C_Summer2026_Grade!$J73="I (Incomplete)"), 0, IF(AG72&gt;=55%, 1, 0))</f>
        <v>1</v>
      </c>
      <c r="AR72" s="129">
        <f>IF(OR(CSE4098C_Summer2026_Grade!$J73="W (Withdrawn)", CSE4098C_Summer2026_Grade!$J73="I (Incomplete)"), 0, IF(AH72&gt;=55%, 1, 0))</f>
        <v>0</v>
      </c>
      <c r="AS72" s="129">
        <f>IF(OR(CSE4098C_Summer2026_Grade!$J73="W (Withdrawn)", CSE4098C_Summer2026_Grade!$J73="I (Incomplete)"), 0, IF(AI72&gt;=55%, 1, 0))</f>
        <v>0</v>
      </c>
      <c r="AT72" s="129">
        <f>IF(OR(CSE4098C_Summer2026_Grade!$J73="W (Withdrawn)", CSE4098C_Summer2026_Grade!$J73="I (Incomplete)"), 0, IF(AJ72&gt;=55%, 1, 0))</f>
        <v>0</v>
      </c>
      <c r="AU72" s="129">
        <f>IF(OR(CSE4098C_Summer2026_Grade!$J73="W (Withdrawn)", CSE4098C_Summer2026_Grade!$J73="I (Incomplete)"), 0, IF(AK72&gt;=55%, 1, 0))</f>
        <v>0</v>
      </c>
      <c r="AV72" s="129">
        <f>IF(OR(CSE4098C_Summer2026_Grade!$J73="W (Withdrawn)", CSE4098C_Summer2026_Grade!$J73="I (Incomplete)"), 0, IF(AL72&gt;=55%, 1, 0))</f>
        <v>0</v>
      </c>
      <c r="AX72" s="130">
        <f t="array" ref="AX72">IF($AY$13=0,0,MMULT($AC72:$AL72, AY$3:AY$12)/$AY$13)</f>
        <v>0</v>
      </c>
      <c r="AY72" s="130">
        <f t="array" ref="AY72">IF($AZ$13=0,0,MMULT($AC72:$AL72, AZ$3:AZ$12)/$AZ$13)</f>
        <v>0</v>
      </c>
      <c r="AZ72" s="130">
        <f t="array" ref="AZ72">IF($BA$13=0,0,MMULT($AC72:$AL72, BA$3:BA$12)/$BA$13)</f>
        <v>0</v>
      </c>
      <c r="BA72" s="130">
        <f t="array" ref="BA72">IF($BB$13=0,0,MMULT($AC72:$AL72, BB$3:BB$12)/$BB$13)</f>
        <v>0.55538461538461537</v>
      </c>
      <c r="BB72" s="130">
        <f t="array" ref="BB72">IF($BC$13=0,0,MMULT($AC72:$AL72, BC$3:BC$12)/$BC$13)</f>
        <v>0</v>
      </c>
      <c r="BC72" s="130">
        <f t="array" ref="BC72">IF($BD$13=0,0,MMULT($AC72:$AL72, BD$3:BD$12)/$BD$13)</f>
        <v>0</v>
      </c>
      <c r="BD72" s="130">
        <f t="array" ref="BD72">IF($BE$13=0,0,MMULT($AC72:$AL72, BE$3:BE$12)/$BE$13)</f>
        <v>0</v>
      </c>
      <c r="BE72" s="130">
        <f t="array" ref="BE72">IF($BF$13=0,0,MMULT($AC72:$AL72, BF$3:BF$12)/$BF$13)</f>
        <v>0</v>
      </c>
      <c r="BF72" s="130">
        <f t="array" ref="BF72">IF($BG$13=0,0,MMULT($AC72:$AL72, BG$3:BG$12)/$BG$13)</f>
        <v>0</v>
      </c>
      <c r="BG72" s="130">
        <f t="array" ref="BG72">IF($BH$13=0,0,MMULT($AC72:$AL72, BH$3:BH$12)/$BH$13)</f>
        <v>0.17120000000000002</v>
      </c>
      <c r="BH72" s="130">
        <f t="array" ref="BH72">IF($BI$13=0,0,MMULT($AC72:$AL72, BI$3:BI$12)/$BI$13)</f>
        <v>0</v>
      </c>
      <c r="BI72" s="130">
        <f t="array" ref="BI72">IF($BJ$13=0,0,MMULT($AC72:$AL72, BJ$3:BJ$12)/$BJ$13)</f>
        <v>0</v>
      </c>
      <c r="BJ72" s="129">
        <f>IF(OR(CSE4098C_Summer2026_Grade!$J73="W (Withdrawn)", CSE4098C_Summer2026_Grade!$J73="I (Incomplete)"), 0, IF(AX72&gt;=55%, 1, 0))</f>
        <v>0</v>
      </c>
      <c r="BK72" s="129">
        <f>IF(OR(CSE4098C_Summer2026_Grade!$J73="W (Withdrawn)", CSE4098C_Summer2026_Grade!$J73="I (Incomplete)"), 0, IF(AY72&gt;=55%, 1, 0))</f>
        <v>0</v>
      </c>
      <c r="BL72" s="129">
        <f>IF(OR(CSE4098C_Summer2026_Grade!$J73="W (Withdrawn)", CSE4098C_Summer2026_Grade!$J73="I (Incomplete)"), 0, IF(AZ72&gt;=55%, 1, 0))</f>
        <v>0</v>
      </c>
      <c r="BM72" s="129">
        <f>IF(OR(CSE4098C_Summer2026_Grade!$J73="W (Withdrawn)", CSE4098C_Summer2026_Grade!$J73="I (Incomplete)"), 0, IF(BA72&gt;=55%, 1, 0))</f>
        <v>1</v>
      </c>
      <c r="BN72" s="129">
        <f>IF(OR(CSE4098C_Summer2026_Grade!$J73="W (Withdrawn)", CSE4098C_Summer2026_Grade!$J73="I (Incomplete)"), 0, IF(BB72&gt;=55%, 1, 0))</f>
        <v>0</v>
      </c>
      <c r="BO72" s="129">
        <f>IF(OR(CSE4098C_Summer2026_Grade!$J73="W (Withdrawn)", CSE4098C_Summer2026_Grade!$J73="I (Incomplete)"), 0, IF(BC72&gt;=55%, 1, 0))</f>
        <v>0</v>
      </c>
      <c r="BP72" s="129">
        <f>IF(OR(CSE4098C_Summer2026_Grade!$J73="W (Withdrawn)", CSE4098C_Summer2026_Grade!$J73="I (Incomplete)"), 0, IF(BD72&gt;=55%, 1, 0))</f>
        <v>0</v>
      </c>
      <c r="BQ72" s="129">
        <f>IF(OR(CSE4098C_Summer2026_Grade!$J73="W (Withdrawn)", CSE4098C_Summer2026_Grade!$J73="I (Incomplete)"), 0, IF(BE72&gt;=55%, 1, 0))</f>
        <v>0</v>
      </c>
      <c r="BR72" s="129">
        <f>IF(OR(CSE4098C_Summer2026_Grade!$J73="W (Withdrawn)", CSE4098C_Summer2026_Grade!$J73="I (Incomplete)"), 0, IF(BF72&gt;=55%, 1, 0))</f>
        <v>0</v>
      </c>
      <c r="BS72" s="129">
        <f>IF(OR(CSE4098C_Summer2026_Grade!$J73="W (Withdrawn)", CSE4098C_Summer2026_Grade!$J73="I (Incomplete)"), 0, IF(BG72&gt;=55%, 1, 0))</f>
        <v>0</v>
      </c>
      <c r="BT72" s="129">
        <f>IF(OR(CSE4098C_Summer2026_Grade!$J73="W (Withdrawn)", CSE4098C_Summer2026_Grade!$J73="I (Incomplete)"), 0, IF(BH72&gt;=55%, 1, 0))</f>
        <v>0</v>
      </c>
      <c r="BU72" s="129">
        <f>IF(OR(CSE4098C_Summer2026_Grade!$J73="W (Withdrawn)", CSE4098C_Summer2026_Grade!$J73="I (Incomplete)"), 0, IF(BI72&gt;=55%, 1, 0))</f>
        <v>0</v>
      </c>
    </row>
    <row r="73" spans="1:73" ht="12.75" customHeight="1" thickBot="1">
      <c r="A73" s="118">
        <f t="shared" si="11"/>
        <v>55</v>
      </c>
      <c r="B73" s="222">
        <v>223014033</v>
      </c>
      <c r="C73" s="222" t="s">
        <v>257</v>
      </c>
      <c r="D73" s="119">
        <f>CO_Report_Evaluation!AG58</f>
        <v>0</v>
      </c>
      <c r="E73" s="119">
        <f>CO_Report_Evaluation!AH58</f>
        <v>0</v>
      </c>
      <c r="F73" s="119">
        <f>CO_Report_Evaluation!AI58</f>
        <v>0</v>
      </c>
      <c r="G73" s="119">
        <f>CO_Report_Evaluation!AJ58</f>
        <v>0</v>
      </c>
      <c r="H73" s="119">
        <f>CO_Report_Evaluation!AK58</f>
        <v>0</v>
      </c>
      <c r="I73" s="119">
        <f>CO_Report_Evaluation!AL58</f>
        <v>0</v>
      </c>
      <c r="J73" s="119">
        <f>CO_Report_Evaluation!AM58</f>
        <v>0</v>
      </c>
      <c r="K73" s="119">
        <f>CO_Report_Evaluation!AN58</f>
        <v>0</v>
      </c>
      <c r="L73" s="119">
        <f>CSE4098C_Summer2026_Grade!G59</f>
        <v>0</v>
      </c>
      <c r="M73" s="119"/>
      <c r="N73" s="33">
        <f>((CSE4098C_Summer2026_Grade!E59)*10)/25</f>
        <v>1.98</v>
      </c>
      <c r="O73" s="120"/>
      <c r="P73" s="121"/>
      <c r="Q73" s="122">
        <v>14.44</v>
      </c>
      <c r="R73" s="120"/>
      <c r="S73" s="123">
        <f t="shared" si="4"/>
        <v>0</v>
      </c>
      <c r="T73" s="124">
        <f t="shared" ref="T73:U73" si="224">E73</f>
        <v>0</v>
      </c>
      <c r="U73" s="124">
        <f t="shared" si="224"/>
        <v>0</v>
      </c>
      <c r="V73" s="124">
        <f t="shared" ref="V73:X73" si="225">SUM(G73,P73)</f>
        <v>0</v>
      </c>
      <c r="W73" s="124">
        <f t="shared" si="225"/>
        <v>14.44</v>
      </c>
      <c r="X73" s="124">
        <f t="shared" si="225"/>
        <v>0</v>
      </c>
      <c r="Y73" s="125">
        <f t="shared" ref="Y73:AA73" si="226">J73</f>
        <v>0</v>
      </c>
      <c r="Z73" s="125">
        <f t="shared" si="226"/>
        <v>0</v>
      </c>
      <c r="AA73" s="125">
        <f t="shared" si="226"/>
        <v>0</v>
      </c>
      <c r="AB73" s="125">
        <f t="shared" si="9"/>
        <v>1.98</v>
      </c>
      <c r="AC73" s="126">
        <f t="shared" ref="AC73:AL73" si="227">IF(S73 = 0, 0, S73/S$18)</f>
        <v>0</v>
      </c>
      <c r="AD73" s="127">
        <f t="shared" si="227"/>
        <v>0</v>
      </c>
      <c r="AE73" s="128">
        <f t="shared" si="227"/>
        <v>0</v>
      </c>
      <c r="AF73" s="128">
        <f t="shared" si="227"/>
        <v>0</v>
      </c>
      <c r="AG73" s="128">
        <f t="shared" si="227"/>
        <v>0.55538461538461537</v>
      </c>
      <c r="AH73" s="128">
        <f t="shared" si="227"/>
        <v>0</v>
      </c>
      <c r="AI73" s="128">
        <f t="shared" si="227"/>
        <v>0</v>
      </c>
      <c r="AJ73" s="128">
        <f t="shared" si="227"/>
        <v>0</v>
      </c>
      <c r="AK73" s="128">
        <f t="shared" si="227"/>
        <v>0</v>
      </c>
      <c r="AL73" s="128">
        <f t="shared" si="227"/>
        <v>0.19800000000000001</v>
      </c>
      <c r="AM73" s="129">
        <f>IF(OR(CSE4098C_Summer2026_Grade!$J74="W (Withdrawn)", CSE4098C_Summer2026_Grade!$J74="I (Incomplete)"), 0, IF(AC73&gt;=55%, 1, 0))</f>
        <v>0</v>
      </c>
      <c r="AN73" s="129">
        <f>IF(OR(CSE4098C_Summer2026_Grade!$J74="W (Withdrawn)", CSE4098C_Summer2026_Grade!$J74="I (Incomplete)"), 0, IF(AD73&gt;=55%, 1, 0))</f>
        <v>0</v>
      </c>
      <c r="AO73" s="129">
        <f>IF(OR(CSE4098C_Summer2026_Grade!$J74="W (Withdrawn)", CSE4098C_Summer2026_Grade!$J74="I (Incomplete)"), 0, IF(AE73&gt;=55%, 1, 0))</f>
        <v>0</v>
      </c>
      <c r="AP73" s="129">
        <f>IF(OR(CSE4098C_Summer2026_Grade!$J74="W (Withdrawn)", CSE4098C_Summer2026_Grade!$J74="I (Incomplete)"), 0, IF(AF73&gt;=55%, 1, 0))</f>
        <v>0</v>
      </c>
      <c r="AQ73" s="129">
        <f>IF(OR(CSE4098C_Summer2026_Grade!$J74="W (Withdrawn)", CSE4098C_Summer2026_Grade!$J74="I (Incomplete)"), 0, IF(AG73&gt;=55%, 1, 0))</f>
        <v>1</v>
      </c>
      <c r="AR73" s="129">
        <f>IF(OR(CSE4098C_Summer2026_Grade!$J74="W (Withdrawn)", CSE4098C_Summer2026_Grade!$J74="I (Incomplete)"), 0, IF(AH73&gt;=55%, 1, 0))</f>
        <v>0</v>
      </c>
      <c r="AS73" s="129">
        <f>IF(OR(CSE4098C_Summer2026_Grade!$J74="W (Withdrawn)", CSE4098C_Summer2026_Grade!$J74="I (Incomplete)"), 0, IF(AI73&gt;=55%, 1, 0))</f>
        <v>0</v>
      </c>
      <c r="AT73" s="129">
        <f>IF(OR(CSE4098C_Summer2026_Grade!$J74="W (Withdrawn)", CSE4098C_Summer2026_Grade!$J74="I (Incomplete)"), 0, IF(AJ73&gt;=55%, 1, 0))</f>
        <v>0</v>
      </c>
      <c r="AU73" s="129">
        <f>IF(OR(CSE4098C_Summer2026_Grade!$J74="W (Withdrawn)", CSE4098C_Summer2026_Grade!$J74="I (Incomplete)"), 0, IF(AK73&gt;=55%, 1, 0))</f>
        <v>0</v>
      </c>
      <c r="AV73" s="129">
        <f>IF(OR(CSE4098C_Summer2026_Grade!$J74="W (Withdrawn)", CSE4098C_Summer2026_Grade!$J74="I (Incomplete)"), 0, IF(AL73&gt;=55%, 1, 0))</f>
        <v>0</v>
      </c>
      <c r="AX73" s="130">
        <f t="array" ref="AX73">IF($AY$13=0,0,MMULT($AC73:$AL73, AY$3:AY$12)/$AY$13)</f>
        <v>0</v>
      </c>
      <c r="AY73" s="130">
        <f t="array" ref="AY73">IF($AZ$13=0,0,MMULT($AC73:$AL73, AZ$3:AZ$12)/$AZ$13)</f>
        <v>0</v>
      </c>
      <c r="AZ73" s="130">
        <f t="array" ref="AZ73">IF($BA$13=0,0,MMULT($AC73:$AL73, BA$3:BA$12)/$BA$13)</f>
        <v>0</v>
      </c>
      <c r="BA73" s="130">
        <f t="array" ref="BA73">IF($BB$13=0,0,MMULT($AC73:$AL73, BB$3:BB$12)/$BB$13)</f>
        <v>0.55538461538461537</v>
      </c>
      <c r="BB73" s="130">
        <f t="array" ref="BB73">IF($BC$13=0,0,MMULT($AC73:$AL73, BC$3:BC$12)/$BC$13)</f>
        <v>0</v>
      </c>
      <c r="BC73" s="130">
        <f t="array" ref="BC73">IF($BD$13=0,0,MMULT($AC73:$AL73, BD$3:BD$12)/$BD$13)</f>
        <v>0</v>
      </c>
      <c r="BD73" s="130">
        <f t="array" ref="BD73">IF($BE$13=0,0,MMULT($AC73:$AL73, BE$3:BE$12)/$BE$13)</f>
        <v>0</v>
      </c>
      <c r="BE73" s="130">
        <f t="array" ref="BE73">IF($BF$13=0,0,MMULT($AC73:$AL73, BF$3:BF$12)/$BF$13)</f>
        <v>0</v>
      </c>
      <c r="BF73" s="130">
        <f t="array" ref="BF73">IF($BG$13=0,0,MMULT($AC73:$AL73, BG$3:BG$12)/$BG$13)</f>
        <v>0</v>
      </c>
      <c r="BG73" s="130">
        <f t="array" ref="BG73">IF($BH$13=0,0,MMULT($AC73:$AL73, BH$3:BH$12)/$BH$13)</f>
        <v>0.19800000000000001</v>
      </c>
      <c r="BH73" s="130">
        <f t="array" ref="BH73">IF($BI$13=0,0,MMULT($AC73:$AL73, BI$3:BI$12)/$BI$13)</f>
        <v>0</v>
      </c>
      <c r="BI73" s="130">
        <f t="array" ref="BI73">IF($BJ$13=0,0,MMULT($AC73:$AL73, BJ$3:BJ$12)/$BJ$13)</f>
        <v>0</v>
      </c>
      <c r="BJ73" s="129">
        <f>IF(OR(CSE4098C_Summer2026_Grade!$J74="W (Withdrawn)", CSE4098C_Summer2026_Grade!$J74="I (Incomplete)"), 0, IF(AX73&gt;=55%, 1, 0))</f>
        <v>0</v>
      </c>
      <c r="BK73" s="129">
        <f>IF(OR(CSE4098C_Summer2026_Grade!$J74="W (Withdrawn)", CSE4098C_Summer2026_Grade!$J74="I (Incomplete)"), 0, IF(AY73&gt;=55%, 1, 0))</f>
        <v>0</v>
      </c>
      <c r="BL73" s="129">
        <f>IF(OR(CSE4098C_Summer2026_Grade!$J74="W (Withdrawn)", CSE4098C_Summer2026_Grade!$J74="I (Incomplete)"), 0, IF(AZ73&gt;=55%, 1, 0))</f>
        <v>0</v>
      </c>
      <c r="BM73" s="129">
        <f>IF(OR(CSE4098C_Summer2026_Grade!$J74="W (Withdrawn)", CSE4098C_Summer2026_Grade!$J74="I (Incomplete)"), 0, IF(BA73&gt;=55%, 1, 0))</f>
        <v>1</v>
      </c>
      <c r="BN73" s="129">
        <f>IF(OR(CSE4098C_Summer2026_Grade!$J74="W (Withdrawn)", CSE4098C_Summer2026_Grade!$J74="I (Incomplete)"), 0, IF(BB73&gt;=55%, 1, 0))</f>
        <v>0</v>
      </c>
      <c r="BO73" s="129">
        <f>IF(OR(CSE4098C_Summer2026_Grade!$J74="W (Withdrawn)", CSE4098C_Summer2026_Grade!$J74="I (Incomplete)"), 0, IF(BC73&gt;=55%, 1, 0))</f>
        <v>0</v>
      </c>
      <c r="BP73" s="129">
        <f>IF(OR(CSE4098C_Summer2026_Grade!$J74="W (Withdrawn)", CSE4098C_Summer2026_Grade!$J74="I (Incomplete)"), 0, IF(BD73&gt;=55%, 1, 0))</f>
        <v>0</v>
      </c>
      <c r="BQ73" s="129">
        <f>IF(OR(CSE4098C_Summer2026_Grade!$J74="W (Withdrawn)", CSE4098C_Summer2026_Grade!$J74="I (Incomplete)"), 0, IF(BE73&gt;=55%, 1, 0))</f>
        <v>0</v>
      </c>
      <c r="BR73" s="129">
        <f>IF(OR(CSE4098C_Summer2026_Grade!$J74="W (Withdrawn)", CSE4098C_Summer2026_Grade!$J74="I (Incomplete)"), 0, IF(BF73&gt;=55%, 1, 0))</f>
        <v>0</v>
      </c>
      <c r="BS73" s="129">
        <f>IF(OR(CSE4098C_Summer2026_Grade!$J74="W (Withdrawn)", CSE4098C_Summer2026_Grade!$J74="I (Incomplete)"), 0, IF(BG73&gt;=55%, 1, 0))</f>
        <v>0</v>
      </c>
      <c r="BT73" s="129">
        <f>IF(OR(CSE4098C_Summer2026_Grade!$J74="W (Withdrawn)", CSE4098C_Summer2026_Grade!$J74="I (Incomplete)"), 0, IF(BH73&gt;=55%, 1, 0))</f>
        <v>0</v>
      </c>
      <c r="BU73" s="129">
        <f>IF(OR(CSE4098C_Summer2026_Grade!$J74="W (Withdrawn)", CSE4098C_Summer2026_Grade!$J74="I (Incomplete)"), 0, IF(BI73&gt;=55%, 1, 0))</f>
        <v>0</v>
      </c>
    </row>
    <row r="74" spans="1:73" ht="12.75" customHeight="1" thickBot="1">
      <c r="A74" s="118">
        <f t="shared" si="11"/>
        <v>56</v>
      </c>
      <c r="B74" s="222">
        <v>223014042</v>
      </c>
      <c r="C74" s="230" t="s">
        <v>258</v>
      </c>
      <c r="D74" s="119">
        <f>CO_Report_Evaluation!AG59</f>
        <v>0</v>
      </c>
      <c r="E74" s="119">
        <f>CO_Report_Evaluation!AH59</f>
        <v>0</v>
      </c>
      <c r="F74" s="119">
        <f>CO_Report_Evaluation!AI59</f>
        <v>0</v>
      </c>
      <c r="G74" s="119">
        <f>CO_Report_Evaluation!AJ59</f>
        <v>0</v>
      </c>
      <c r="H74" s="119">
        <f>CO_Report_Evaluation!AK59</f>
        <v>0</v>
      </c>
      <c r="I74" s="119">
        <f>CO_Report_Evaluation!AL59</f>
        <v>0</v>
      </c>
      <c r="J74" s="119">
        <f>CO_Report_Evaluation!AM59</f>
        <v>0</v>
      </c>
      <c r="K74" s="119">
        <f>CO_Report_Evaluation!AN59</f>
        <v>0</v>
      </c>
      <c r="L74" s="119">
        <f>CSE4098C_Summer2026_Grade!G60</f>
        <v>0</v>
      </c>
      <c r="M74" s="119"/>
      <c r="N74" s="33">
        <f>((CSE4098C_Summer2026_Grade!E60)*10)/25</f>
        <v>3.468</v>
      </c>
      <c r="O74" s="120"/>
      <c r="P74" s="121"/>
      <c r="Q74" s="122">
        <v>14.44</v>
      </c>
      <c r="R74" s="120"/>
      <c r="S74" s="123">
        <f t="shared" si="4"/>
        <v>0</v>
      </c>
      <c r="T74" s="124">
        <f t="shared" ref="T74:U74" si="228">E74</f>
        <v>0</v>
      </c>
      <c r="U74" s="124">
        <f t="shared" si="228"/>
        <v>0</v>
      </c>
      <c r="V74" s="124">
        <f t="shared" ref="V74:X74" si="229">SUM(G74,P74)</f>
        <v>0</v>
      </c>
      <c r="W74" s="124">
        <f t="shared" si="229"/>
        <v>14.44</v>
      </c>
      <c r="X74" s="124">
        <f t="shared" si="229"/>
        <v>0</v>
      </c>
      <c r="Y74" s="125">
        <f t="shared" ref="Y74:AA74" si="230">J74</f>
        <v>0</v>
      </c>
      <c r="Z74" s="125">
        <f t="shared" si="230"/>
        <v>0</v>
      </c>
      <c r="AA74" s="125">
        <f t="shared" si="230"/>
        <v>0</v>
      </c>
      <c r="AB74" s="125">
        <f t="shared" si="9"/>
        <v>3.468</v>
      </c>
      <c r="AC74" s="126">
        <f t="shared" ref="AC74:AL74" si="231">IF(S74 = 0, 0, S74/S$18)</f>
        <v>0</v>
      </c>
      <c r="AD74" s="127">
        <f t="shared" si="231"/>
        <v>0</v>
      </c>
      <c r="AE74" s="128">
        <f t="shared" si="231"/>
        <v>0</v>
      </c>
      <c r="AF74" s="128">
        <f t="shared" si="231"/>
        <v>0</v>
      </c>
      <c r="AG74" s="128">
        <f t="shared" si="231"/>
        <v>0.55538461538461537</v>
      </c>
      <c r="AH74" s="128">
        <f t="shared" si="231"/>
        <v>0</v>
      </c>
      <c r="AI74" s="128">
        <f t="shared" si="231"/>
        <v>0</v>
      </c>
      <c r="AJ74" s="128">
        <f t="shared" si="231"/>
        <v>0</v>
      </c>
      <c r="AK74" s="128">
        <f t="shared" si="231"/>
        <v>0</v>
      </c>
      <c r="AL74" s="128">
        <f t="shared" si="231"/>
        <v>0.3468</v>
      </c>
      <c r="AM74" s="129">
        <f>IF(OR(CSE4098C_Summer2026_Grade!$J75="W (Withdrawn)", CSE4098C_Summer2026_Grade!$J75="I (Incomplete)"), 0, IF(AC74&gt;=55%, 1, 0))</f>
        <v>0</v>
      </c>
      <c r="AN74" s="129">
        <f>IF(OR(CSE4098C_Summer2026_Grade!$J75="W (Withdrawn)", CSE4098C_Summer2026_Grade!$J75="I (Incomplete)"), 0, IF(AD74&gt;=55%, 1, 0))</f>
        <v>0</v>
      </c>
      <c r="AO74" s="129">
        <f>IF(OR(CSE4098C_Summer2026_Grade!$J75="W (Withdrawn)", CSE4098C_Summer2026_Grade!$J75="I (Incomplete)"), 0, IF(AE74&gt;=55%, 1, 0))</f>
        <v>0</v>
      </c>
      <c r="AP74" s="129">
        <f>IF(OR(CSE4098C_Summer2026_Grade!$J75="W (Withdrawn)", CSE4098C_Summer2026_Grade!$J75="I (Incomplete)"), 0, IF(AF74&gt;=55%, 1, 0))</f>
        <v>0</v>
      </c>
      <c r="AQ74" s="129">
        <f>IF(OR(CSE4098C_Summer2026_Grade!$J75="W (Withdrawn)", CSE4098C_Summer2026_Grade!$J75="I (Incomplete)"), 0, IF(AG74&gt;=55%, 1, 0))</f>
        <v>1</v>
      </c>
      <c r="AR74" s="129">
        <f>IF(OR(CSE4098C_Summer2026_Grade!$J75="W (Withdrawn)", CSE4098C_Summer2026_Grade!$J75="I (Incomplete)"), 0, IF(AH74&gt;=55%, 1, 0))</f>
        <v>0</v>
      </c>
      <c r="AS74" s="129">
        <f>IF(OR(CSE4098C_Summer2026_Grade!$J75="W (Withdrawn)", CSE4098C_Summer2026_Grade!$J75="I (Incomplete)"), 0, IF(AI74&gt;=55%, 1, 0))</f>
        <v>0</v>
      </c>
      <c r="AT74" s="129">
        <f>IF(OR(CSE4098C_Summer2026_Grade!$J75="W (Withdrawn)", CSE4098C_Summer2026_Grade!$J75="I (Incomplete)"), 0, IF(AJ74&gt;=55%, 1, 0))</f>
        <v>0</v>
      </c>
      <c r="AU74" s="129">
        <f>IF(OR(CSE4098C_Summer2026_Grade!$J75="W (Withdrawn)", CSE4098C_Summer2026_Grade!$J75="I (Incomplete)"), 0, IF(AK74&gt;=55%, 1, 0))</f>
        <v>0</v>
      </c>
      <c r="AV74" s="129">
        <f>IF(OR(CSE4098C_Summer2026_Grade!$J75="W (Withdrawn)", CSE4098C_Summer2026_Grade!$J75="I (Incomplete)"), 0, IF(AL74&gt;=55%, 1, 0))</f>
        <v>0</v>
      </c>
      <c r="AX74" s="130">
        <f t="array" ref="AX74">IF($AY$13=0,0,MMULT($AC74:$AL74, AY$3:AY$12)/$AY$13)</f>
        <v>0</v>
      </c>
      <c r="AY74" s="130">
        <f t="array" ref="AY74">IF($AZ$13=0,0,MMULT($AC74:$AL74, AZ$3:AZ$12)/$AZ$13)</f>
        <v>0</v>
      </c>
      <c r="AZ74" s="130">
        <f t="array" ref="AZ74">IF($BA$13=0,0,MMULT($AC74:$AL74, BA$3:BA$12)/$BA$13)</f>
        <v>0</v>
      </c>
      <c r="BA74" s="130">
        <f t="array" ref="BA74">IF($BB$13=0,0,MMULT($AC74:$AL74, BB$3:BB$12)/$BB$13)</f>
        <v>0.55538461538461537</v>
      </c>
      <c r="BB74" s="130">
        <f t="array" ref="BB74">IF($BC$13=0,0,MMULT($AC74:$AL74, BC$3:BC$12)/$BC$13)</f>
        <v>0</v>
      </c>
      <c r="BC74" s="130">
        <f t="array" ref="BC74">IF($BD$13=0,0,MMULT($AC74:$AL74, BD$3:BD$12)/$BD$13)</f>
        <v>0</v>
      </c>
      <c r="BD74" s="130">
        <f t="array" ref="BD74">IF($BE$13=0,0,MMULT($AC74:$AL74, BE$3:BE$12)/$BE$13)</f>
        <v>0</v>
      </c>
      <c r="BE74" s="130">
        <f t="array" ref="BE74">IF($BF$13=0,0,MMULT($AC74:$AL74, BF$3:BF$12)/$BF$13)</f>
        <v>0</v>
      </c>
      <c r="BF74" s="130">
        <f t="array" ref="BF74">IF($BG$13=0,0,MMULT($AC74:$AL74, BG$3:BG$12)/$BG$13)</f>
        <v>0</v>
      </c>
      <c r="BG74" s="130">
        <f t="array" ref="BG74">IF($BH$13=0,0,MMULT($AC74:$AL74, BH$3:BH$12)/$BH$13)</f>
        <v>0.3468</v>
      </c>
      <c r="BH74" s="130">
        <f t="array" ref="BH74">IF($BI$13=0,0,MMULT($AC74:$AL74, BI$3:BI$12)/$BI$13)</f>
        <v>0</v>
      </c>
      <c r="BI74" s="130">
        <f t="array" ref="BI74">IF($BJ$13=0,0,MMULT($AC74:$AL74, BJ$3:BJ$12)/$BJ$13)</f>
        <v>0</v>
      </c>
      <c r="BJ74" s="129">
        <f>IF(OR(CSE4098C_Summer2026_Grade!$J75="W (Withdrawn)", CSE4098C_Summer2026_Grade!$J75="I (Incomplete)"), 0, IF(AX74&gt;=55%, 1, 0))</f>
        <v>0</v>
      </c>
      <c r="BK74" s="129">
        <f>IF(OR(CSE4098C_Summer2026_Grade!$J75="W (Withdrawn)", CSE4098C_Summer2026_Grade!$J75="I (Incomplete)"), 0, IF(AY74&gt;=55%, 1, 0))</f>
        <v>0</v>
      </c>
      <c r="BL74" s="129">
        <f>IF(OR(CSE4098C_Summer2026_Grade!$J75="W (Withdrawn)", CSE4098C_Summer2026_Grade!$J75="I (Incomplete)"), 0, IF(AZ74&gt;=55%, 1, 0))</f>
        <v>0</v>
      </c>
      <c r="BM74" s="129">
        <f>IF(OR(CSE4098C_Summer2026_Grade!$J75="W (Withdrawn)", CSE4098C_Summer2026_Grade!$J75="I (Incomplete)"), 0, IF(BA74&gt;=55%, 1, 0))</f>
        <v>1</v>
      </c>
      <c r="BN74" s="129">
        <f>IF(OR(CSE4098C_Summer2026_Grade!$J75="W (Withdrawn)", CSE4098C_Summer2026_Grade!$J75="I (Incomplete)"), 0, IF(BB74&gt;=55%, 1, 0))</f>
        <v>0</v>
      </c>
      <c r="BO74" s="129">
        <f>IF(OR(CSE4098C_Summer2026_Grade!$J75="W (Withdrawn)", CSE4098C_Summer2026_Grade!$J75="I (Incomplete)"), 0, IF(BC74&gt;=55%, 1, 0))</f>
        <v>0</v>
      </c>
      <c r="BP74" s="129">
        <f>IF(OR(CSE4098C_Summer2026_Grade!$J75="W (Withdrawn)", CSE4098C_Summer2026_Grade!$J75="I (Incomplete)"), 0, IF(BD74&gt;=55%, 1, 0))</f>
        <v>0</v>
      </c>
      <c r="BQ74" s="129">
        <f>IF(OR(CSE4098C_Summer2026_Grade!$J75="W (Withdrawn)", CSE4098C_Summer2026_Grade!$J75="I (Incomplete)"), 0, IF(BE74&gt;=55%, 1, 0))</f>
        <v>0</v>
      </c>
      <c r="BR74" s="129">
        <f>IF(OR(CSE4098C_Summer2026_Grade!$J75="W (Withdrawn)", CSE4098C_Summer2026_Grade!$J75="I (Incomplete)"), 0, IF(BF74&gt;=55%, 1, 0))</f>
        <v>0</v>
      </c>
      <c r="BS74" s="129">
        <f>IF(OR(CSE4098C_Summer2026_Grade!$J75="W (Withdrawn)", CSE4098C_Summer2026_Grade!$J75="I (Incomplete)"), 0, IF(BG74&gt;=55%, 1, 0))</f>
        <v>0</v>
      </c>
      <c r="BT74" s="129">
        <f>IF(OR(CSE4098C_Summer2026_Grade!$J75="W (Withdrawn)", CSE4098C_Summer2026_Grade!$J75="I (Incomplete)"), 0, IF(BH74&gt;=55%, 1, 0))</f>
        <v>0</v>
      </c>
      <c r="BU74" s="129">
        <f>IF(OR(CSE4098C_Summer2026_Grade!$J75="W (Withdrawn)", CSE4098C_Summer2026_Grade!$J75="I (Incomplete)"), 0, IF(BI74&gt;=55%, 1, 0))</f>
        <v>0</v>
      </c>
    </row>
    <row r="75" spans="1:73" ht="12.75" customHeight="1" thickBot="1">
      <c r="A75" s="118">
        <f t="shared" si="11"/>
        <v>57</v>
      </c>
      <c r="B75" s="222">
        <v>223014040</v>
      </c>
      <c r="C75" s="230" t="s">
        <v>259</v>
      </c>
      <c r="D75" s="119">
        <f>CO_Report_Evaluation!AG60</f>
        <v>0</v>
      </c>
      <c r="E75" s="119">
        <f>CO_Report_Evaluation!AH60</f>
        <v>0</v>
      </c>
      <c r="F75" s="119">
        <f>CO_Report_Evaluation!AI60</f>
        <v>0</v>
      </c>
      <c r="G75" s="119">
        <f>CO_Report_Evaluation!AJ60</f>
        <v>0</v>
      </c>
      <c r="H75" s="119">
        <f>CO_Report_Evaluation!AK60</f>
        <v>0</v>
      </c>
      <c r="I75" s="119">
        <f>CO_Report_Evaluation!AL60</f>
        <v>0</v>
      </c>
      <c r="J75" s="119">
        <f>CO_Report_Evaluation!AM60</f>
        <v>0</v>
      </c>
      <c r="K75" s="119">
        <f>CO_Report_Evaluation!AN60</f>
        <v>0</v>
      </c>
      <c r="L75" s="119">
        <f>CSE4098C_Summer2026_Grade!G61</f>
        <v>0</v>
      </c>
      <c r="M75" s="119"/>
      <c r="N75" s="33">
        <f>((CSE4098C_Summer2026_Grade!E61)*10)/25</f>
        <v>2.8280000000000003</v>
      </c>
      <c r="O75" s="120"/>
      <c r="P75" s="121"/>
      <c r="Q75" s="122">
        <v>14.44</v>
      </c>
      <c r="R75" s="120"/>
      <c r="S75" s="123">
        <f t="shared" si="4"/>
        <v>0</v>
      </c>
      <c r="T75" s="124">
        <f t="shared" ref="T75:U75" si="232">E75</f>
        <v>0</v>
      </c>
      <c r="U75" s="124">
        <f t="shared" si="232"/>
        <v>0</v>
      </c>
      <c r="V75" s="124">
        <f t="shared" ref="V75:X75" si="233">SUM(G75,P75)</f>
        <v>0</v>
      </c>
      <c r="W75" s="124">
        <f t="shared" si="233"/>
        <v>14.44</v>
      </c>
      <c r="X75" s="124">
        <f t="shared" si="233"/>
        <v>0</v>
      </c>
      <c r="Y75" s="125">
        <f t="shared" ref="Y75:AA75" si="234">J75</f>
        <v>0</v>
      </c>
      <c r="Z75" s="125">
        <f t="shared" si="234"/>
        <v>0</v>
      </c>
      <c r="AA75" s="125">
        <f t="shared" si="234"/>
        <v>0</v>
      </c>
      <c r="AB75" s="125">
        <f t="shared" si="9"/>
        <v>2.8280000000000003</v>
      </c>
      <c r="AC75" s="126">
        <f t="shared" ref="AC75:AL75" si="235">IF(S75 = 0, 0, S75/S$18)</f>
        <v>0</v>
      </c>
      <c r="AD75" s="127">
        <f t="shared" si="235"/>
        <v>0</v>
      </c>
      <c r="AE75" s="128">
        <f t="shared" si="235"/>
        <v>0</v>
      </c>
      <c r="AF75" s="128">
        <f t="shared" si="235"/>
        <v>0</v>
      </c>
      <c r="AG75" s="128">
        <f t="shared" si="235"/>
        <v>0.55538461538461537</v>
      </c>
      <c r="AH75" s="128">
        <f t="shared" si="235"/>
        <v>0</v>
      </c>
      <c r="AI75" s="128">
        <f t="shared" si="235"/>
        <v>0</v>
      </c>
      <c r="AJ75" s="128">
        <f t="shared" si="235"/>
        <v>0</v>
      </c>
      <c r="AK75" s="128">
        <f t="shared" si="235"/>
        <v>0</v>
      </c>
      <c r="AL75" s="128">
        <f t="shared" si="235"/>
        <v>0.28280000000000005</v>
      </c>
      <c r="AM75" s="129">
        <f>IF(OR(CSE4098C_Summer2026_Grade!$J76="W (Withdrawn)", CSE4098C_Summer2026_Grade!$J76="I (Incomplete)"), 0, IF(AC75&gt;=55%, 1, 0))</f>
        <v>0</v>
      </c>
      <c r="AN75" s="129">
        <f>IF(OR(CSE4098C_Summer2026_Grade!$J76="W (Withdrawn)", CSE4098C_Summer2026_Grade!$J76="I (Incomplete)"), 0, IF(AD75&gt;=55%, 1, 0))</f>
        <v>0</v>
      </c>
      <c r="AO75" s="129">
        <f>IF(OR(CSE4098C_Summer2026_Grade!$J76="W (Withdrawn)", CSE4098C_Summer2026_Grade!$J76="I (Incomplete)"), 0, IF(AE75&gt;=55%, 1, 0))</f>
        <v>0</v>
      </c>
      <c r="AP75" s="129">
        <f>IF(OR(CSE4098C_Summer2026_Grade!$J76="W (Withdrawn)", CSE4098C_Summer2026_Grade!$J76="I (Incomplete)"), 0, IF(AF75&gt;=55%, 1, 0))</f>
        <v>0</v>
      </c>
      <c r="AQ75" s="129">
        <f>IF(OR(CSE4098C_Summer2026_Grade!$J76="W (Withdrawn)", CSE4098C_Summer2026_Grade!$J76="I (Incomplete)"), 0, IF(AG75&gt;=55%, 1, 0))</f>
        <v>1</v>
      </c>
      <c r="AR75" s="129">
        <f>IF(OR(CSE4098C_Summer2026_Grade!$J76="W (Withdrawn)", CSE4098C_Summer2026_Grade!$J76="I (Incomplete)"), 0, IF(AH75&gt;=55%, 1, 0))</f>
        <v>0</v>
      </c>
      <c r="AS75" s="129">
        <f>IF(OR(CSE4098C_Summer2026_Grade!$J76="W (Withdrawn)", CSE4098C_Summer2026_Grade!$J76="I (Incomplete)"), 0, IF(AI75&gt;=55%, 1, 0))</f>
        <v>0</v>
      </c>
      <c r="AT75" s="129">
        <f>IF(OR(CSE4098C_Summer2026_Grade!$J76="W (Withdrawn)", CSE4098C_Summer2026_Grade!$J76="I (Incomplete)"), 0, IF(AJ75&gt;=55%, 1, 0))</f>
        <v>0</v>
      </c>
      <c r="AU75" s="129">
        <f>IF(OR(CSE4098C_Summer2026_Grade!$J76="W (Withdrawn)", CSE4098C_Summer2026_Grade!$J76="I (Incomplete)"), 0, IF(AK75&gt;=55%, 1, 0))</f>
        <v>0</v>
      </c>
      <c r="AV75" s="129">
        <f>IF(OR(CSE4098C_Summer2026_Grade!$J76="W (Withdrawn)", CSE4098C_Summer2026_Grade!$J76="I (Incomplete)"), 0, IF(AL75&gt;=55%, 1, 0))</f>
        <v>0</v>
      </c>
      <c r="AX75" s="130">
        <f t="array" ref="AX75">IF($AY$13=0,0,MMULT($AC75:$AL75, AY$3:AY$12)/$AY$13)</f>
        <v>0</v>
      </c>
      <c r="AY75" s="130">
        <f t="array" ref="AY75">IF($AZ$13=0,0,MMULT($AC75:$AL75, AZ$3:AZ$12)/$AZ$13)</f>
        <v>0</v>
      </c>
      <c r="AZ75" s="130">
        <f t="array" ref="AZ75">IF($BA$13=0,0,MMULT($AC75:$AL75, BA$3:BA$12)/$BA$13)</f>
        <v>0</v>
      </c>
      <c r="BA75" s="130">
        <f t="array" ref="BA75">IF($BB$13=0,0,MMULT($AC75:$AL75, BB$3:BB$12)/$BB$13)</f>
        <v>0.55538461538461537</v>
      </c>
      <c r="BB75" s="130">
        <f t="array" ref="BB75">IF($BC$13=0,0,MMULT($AC75:$AL75, BC$3:BC$12)/$BC$13)</f>
        <v>0</v>
      </c>
      <c r="BC75" s="130">
        <f t="array" ref="BC75">IF($BD$13=0,0,MMULT($AC75:$AL75, BD$3:BD$12)/$BD$13)</f>
        <v>0</v>
      </c>
      <c r="BD75" s="130">
        <f t="array" ref="BD75">IF($BE$13=0,0,MMULT($AC75:$AL75, BE$3:BE$12)/$BE$13)</f>
        <v>0</v>
      </c>
      <c r="BE75" s="130">
        <f t="array" ref="BE75">IF($BF$13=0,0,MMULT($AC75:$AL75, BF$3:BF$12)/$BF$13)</f>
        <v>0</v>
      </c>
      <c r="BF75" s="130">
        <f t="array" ref="BF75">IF($BG$13=0,0,MMULT($AC75:$AL75, BG$3:BG$12)/$BG$13)</f>
        <v>0</v>
      </c>
      <c r="BG75" s="130">
        <f t="array" ref="BG75">IF($BH$13=0,0,MMULT($AC75:$AL75, BH$3:BH$12)/$BH$13)</f>
        <v>0.28280000000000005</v>
      </c>
      <c r="BH75" s="130">
        <f t="array" ref="BH75">IF($BI$13=0,0,MMULT($AC75:$AL75, BI$3:BI$12)/$BI$13)</f>
        <v>0</v>
      </c>
      <c r="BI75" s="130">
        <f t="array" ref="BI75">IF($BJ$13=0,0,MMULT($AC75:$AL75, BJ$3:BJ$12)/$BJ$13)</f>
        <v>0</v>
      </c>
      <c r="BJ75" s="129">
        <f>IF(OR(CSE4098C_Summer2026_Grade!$J76="W (Withdrawn)", CSE4098C_Summer2026_Grade!$J76="I (Incomplete)"), 0, IF(AX75&gt;=55%, 1, 0))</f>
        <v>0</v>
      </c>
      <c r="BK75" s="129">
        <f>IF(OR(CSE4098C_Summer2026_Grade!$J76="W (Withdrawn)", CSE4098C_Summer2026_Grade!$J76="I (Incomplete)"), 0, IF(AY75&gt;=55%, 1, 0))</f>
        <v>0</v>
      </c>
      <c r="BL75" s="129">
        <f>IF(OR(CSE4098C_Summer2026_Grade!$J76="W (Withdrawn)", CSE4098C_Summer2026_Grade!$J76="I (Incomplete)"), 0, IF(AZ75&gt;=55%, 1, 0))</f>
        <v>0</v>
      </c>
      <c r="BM75" s="129">
        <f>IF(OR(CSE4098C_Summer2026_Grade!$J76="W (Withdrawn)", CSE4098C_Summer2026_Grade!$J76="I (Incomplete)"), 0, IF(BA75&gt;=55%, 1, 0))</f>
        <v>1</v>
      </c>
      <c r="BN75" s="129">
        <f>IF(OR(CSE4098C_Summer2026_Grade!$J76="W (Withdrawn)", CSE4098C_Summer2026_Grade!$J76="I (Incomplete)"), 0, IF(BB75&gt;=55%, 1, 0))</f>
        <v>0</v>
      </c>
      <c r="BO75" s="129">
        <f>IF(OR(CSE4098C_Summer2026_Grade!$J76="W (Withdrawn)", CSE4098C_Summer2026_Grade!$J76="I (Incomplete)"), 0, IF(BC75&gt;=55%, 1, 0))</f>
        <v>0</v>
      </c>
      <c r="BP75" s="129">
        <f>IF(OR(CSE4098C_Summer2026_Grade!$J76="W (Withdrawn)", CSE4098C_Summer2026_Grade!$J76="I (Incomplete)"), 0, IF(BD75&gt;=55%, 1, 0))</f>
        <v>0</v>
      </c>
      <c r="BQ75" s="129">
        <f>IF(OR(CSE4098C_Summer2026_Grade!$J76="W (Withdrawn)", CSE4098C_Summer2026_Grade!$J76="I (Incomplete)"), 0, IF(BE75&gt;=55%, 1, 0))</f>
        <v>0</v>
      </c>
      <c r="BR75" s="129">
        <f>IF(OR(CSE4098C_Summer2026_Grade!$J76="W (Withdrawn)", CSE4098C_Summer2026_Grade!$J76="I (Incomplete)"), 0, IF(BF75&gt;=55%, 1, 0))</f>
        <v>0</v>
      </c>
      <c r="BS75" s="129">
        <f>IF(OR(CSE4098C_Summer2026_Grade!$J76="W (Withdrawn)", CSE4098C_Summer2026_Grade!$J76="I (Incomplete)"), 0, IF(BG75&gt;=55%, 1, 0))</f>
        <v>0</v>
      </c>
      <c r="BT75" s="129">
        <f>IF(OR(CSE4098C_Summer2026_Grade!$J76="W (Withdrawn)", CSE4098C_Summer2026_Grade!$J76="I (Incomplete)"), 0, IF(BH75&gt;=55%, 1, 0))</f>
        <v>0</v>
      </c>
      <c r="BU75" s="129">
        <f>IF(OR(CSE4098C_Summer2026_Grade!$J76="W (Withdrawn)", CSE4098C_Summer2026_Grade!$J76="I (Incomplete)"), 0, IF(BI75&gt;=55%, 1, 0))</f>
        <v>0</v>
      </c>
    </row>
    <row r="76" spans="1:73" ht="12.75" customHeight="1" thickBot="1">
      <c r="A76" s="118">
        <f t="shared" si="11"/>
        <v>58</v>
      </c>
      <c r="B76" s="222">
        <v>223014054</v>
      </c>
      <c r="C76" s="230" t="s">
        <v>260</v>
      </c>
      <c r="D76" s="119">
        <f>CO_Report_Evaluation!AG61</f>
        <v>0</v>
      </c>
      <c r="E76" s="119">
        <f>CO_Report_Evaluation!AH61</f>
        <v>0</v>
      </c>
      <c r="F76" s="119">
        <f>CO_Report_Evaluation!AI61</f>
        <v>0</v>
      </c>
      <c r="G76" s="119">
        <f>CO_Report_Evaluation!AJ61</f>
        <v>0</v>
      </c>
      <c r="H76" s="119">
        <f>CO_Report_Evaluation!AK61</f>
        <v>0</v>
      </c>
      <c r="I76" s="119">
        <f>CO_Report_Evaluation!AL61</f>
        <v>0</v>
      </c>
      <c r="J76" s="119">
        <f>CO_Report_Evaluation!AM61</f>
        <v>0</v>
      </c>
      <c r="K76" s="119">
        <f>CO_Report_Evaluation!AN61</f>
        <v>0</v>
      </c>
      <c r="L76" s="119">
        <f>CSE4098C_Summer2026_Grade!G62</f>
        <v>0</v>
      </c>
      <c r="M76" s="119"/>
      <c r="N76" s="33">
        <f>((CSE4098C_Summer2026_Grade!E62)*10)/25</f>
        <v>2.5960000000000001</v>
      </c>
      <c r="O76" s="120"/>
      <c r="P76" s="121"/>
      <c r="Q76" s="122">
        <v>14.44</v>
      </c>
      <c r="R76" s="120"/>
      <c r="S76" s="123">
        <f t="shared" si="4"/>
        <v>0</v>
      </c>
      <c r="T76" s="124">
        <f t="shared" ref="T76:U76" si="236">E76</f>
        <v>0</v>
      </c>
      <c r="U76" s="124">
        <f t="shared" si="236"/>
        <v>0</v>
      </c>
      <c r="V76" s="124">
        <f t="shared" ref="V76:X76" si="237">SUM(G76,P76)</f>
        <v>0</v>
      </c>
      <c r="W76" s="124">
        <f t="shared" si="237"/>
        <v>14.44</v>
      </c>
      <c r="X76" s="124">
        <f t="shared" si="237"/>
        <v>0</v>
      </c>
      <c r="Y76" s="125">
        <f t="shared" ref="Y76:AA76" si="238">J76</f>
        <v>0</v>
      </c>
      <c r="Z76" s="125">
        <f t="shared" si="238"/>
        <v>0</v>
      </c>
      <c r="AA76" s="125">
        <f t="shared" si="238"/>
        <v>0</v>
      </c>
      <c r="AB76" s="125">
        <f t="shared" si="9"/>
        <v>2.5960000000000001</v>
      </c>
      <c r="AC76" s="126">
        <f t="shared" ref="AC76:AL76" si="239">IF(S76 = 0, 0, S76/S$18)</f>
        <v>0</v>
      </c>
      <c r="AD76" s="127">
        <f t="shared" si="239"/>
        <v>0</v>
      </c>
      <c r="AE76" s="128">
        <f t="shared" si="239"/>
        <v>0</v>
      </c>
      <c r="AF76" s="128">
        <f t="shared" si="239"/>
        <v>0</v>
      </c>
      <c r="AG76" s="128">
        <f t="shared" si="239"/>
        <v>0.55538461538461537</v>
      </c>
      <c r="AH76" s="128">
        <f t="shared" si="239"/>
        <v>0</v>
      </c>
      <c r="AI76" s="128">
        <f t="shared" si="239"/>
        <v>0</v>
      </c>
      <c r="AJ76" s="128">
        <f t="shared" si="239"/>
        <v>0</v>
      </c>
      <c r="AK76" s="128">
        <f t="shared" si="239"/>
        <v>0</v>
      </c>
      <c r="AL76" s="128">
        <f t="shared" si="239"/>
        <v>0.2596</v>
      </c>
      <c r="AM76" s="129">
        <f>IF(OR(CSE4098C_Summer2026_Grade!$J77="W (Withdrawn)", CSE4098C_Summer2026_Grade!$J77="I (Incomplete)"), 0, IF(AC76&gt;=55%, 1, 0))</f>
        <v>0</v>
      </c>
      <c r="AN76" s="129">
        <f>IF(OR(CSE4098C_Summer2026_Grade!$J77="W (Withdrawn)", CSE4098C_Summer2026_Grade!$J77="I (Incomplete)"), 0, IF(AD76&gt;=55%, 1, 0))</f>
        <v>0</v>
      </c>
      <c r="AO76" s="129">
        <f>IF(OR(CSE4098C_Summer2026_Grade!$J77="W (Withdrawn)", CSE4098C_Summer2026_Grade!$J77="I (Incomplete)"), 0, IF(AE76&gt;=55%, 1, 0))</f>
        <v>0</v>
      </c>
      <c r="AP76" s="129">
        <f>IF(OR(CSE4098C_Summer2026_Grade!$J77="W (Withdrawn)", CSE4098C_Summer2026_Grade!$J77="I (Incomplete)"), 0, IF(AF76&gt;=55%, 1, 0))</f>
        <v>0</v>
      </c>
      <c r="AQ76" s="129">
        <f>IF(OR(CSE4098C_Summer2026_Grade!$J77="W (Withdrawn)", CSE4098C_Summer2026_Grade!$J77="I (Incomplete)"), 0, IF(AG76&gt;=55%, 1, 0))</f>
        <v>1</v>
      </c>
      <c r="AR76" s="129">
        <f>IF(OR(CSE4098C_Summer2026_Grade!$J77="W (Withdrawn)", CSE4098C_Summer2026_Grade!$J77="I (Incomplete)"), 0, IF(AH76&gt;=55%, 1, 0))</f>
        <v>0</v>
      </c>
      <c r="AS76" s="129">
        <f>IF(OR(CSE4098C_Summer2026_Grade!$J77="W (Withdrawn)", CSE4098C_Summer2026_Grade!$J77="I (Incomplete)"), 0, IF(AI76&gt;=55%, 1, 0))</f>
        <v>0</v>
      </c>
      <c r="AT76" s="129">
        <f>IF(OR(CSE4098C_Summer2026_Grade!$J77="W (Withdrawn)", CSE4098C_Summer2026_Grade!$J77="I (Incomplete)"), 0, IF(AJ76&gt;=55%, 1, 0))</f>
        <v>0</v>
      </c>
      <c r="AU76" s="129">
        <f>IF(OR(CSE4098C_Summer2026_Grade!$J77="W (Withdrawn)", CSE4098C_Summer2026_Grade!$J77="I (Incomplete)"), 0, IF(AK76&gt;=55%, 1, 0))</f>
        <v>0</v>
      </c>
      <c r="AV76" s="129">
        <f>IF(OR(CSE4098C_Summer2026_Grade!$J77="W (Withdrawn)", CSE4098C_Summer2026_Grade!$J77="I (Incomplete)"), 0, IF(AL76&gt;=55%, 1, 0))</f>
        <v>0</v>
      </c>
      <c r="AX76" s="130">
        <f t="array" ref="AX76">IF($AY$13=0,0,MMULT($AC76:$AL76, AY$3:AY$12)/$AY$13)</f>
        <v>0</v>
      </c>
      <c r="AY76" s="130">
        <f t="array" ref="AY76">IF($AZ$13=0,0,MMULT($AC76:$AL76, AZ$3:AZ$12)/$AZ$13)</f>
        <v>0</v>
      </c>
      <c r="AZ76" s="130">
        <f t="array" ref="AZ76">IF($BA$13=0,0,MMULT($AC76:$AL76, BA$3:BA$12)/$BA$13)</f>
        <v>0</v>
      </c>
      <c r="BA76" s="130">
        <f t="array" ref="BA76">IF($BB$13=0,0,MMULT($AC76:$AL76, BB$3:BB$12)/$BB$13)</f>
        <v>0.55538461538461537</v>
      </c>
      <c r="BB76" s="130">
        <f t="array" ref="BB76">IF($BC$13=0,0,MMULT($AC76:$AL76, BC$3:BC$12)/$BC$13)</f>
        <v>0</v>
      </c>
      <c r="BC76" s="130">
        <f t="array" ref="BC76">IF($BD$13=0,0,MMULT($AC76:$AL76, BD$3:BD$12)/$BD$13)</f>
        <v>0</v>
      </c>
      <c r="BD76" s="130">
        <f t="array" ref="BD76">IF($BE$13=0,0,MMULT($AC76:$AL76, BE$3:BE$12)/$BE$13)</f>
        <v>0</v>
      </c>
      <c r="BE76" s="130">
        <f t="array" ref="BE76">IF($BF$13=0,0,MMULT($AC76:$AL76, BF$3:BF$12)/$BF$13)</f>
        <v>0</v>
      </c>
      <c r="BF76" s="130">
        <f t="array" ref="BF76">IF($BG$13=0,0,MMULT($AC76:$AL76, BG$3:BG$12)/$BG$13)</f>
        <v>0</v>
      </c>
      <c r="BG76" s="130">
        <f t="array" ref="BG76">IF($BH$13=0,0,MMULT($AC76:$AL76, BH$3:BH$12)/$BH$13)</f>
        <v>0.2596</v>
      </c>
      <c r="BH76" s="130">
        <f t="array" ref="BH76">IF($BI$13=0,0,MMULT($AC76:$AL76, BI$3:BI$12)/$BI$13)</f>
        <v>0</v>
      </c>
      <c r="BI76" s="130">
        <f t="array" ref="BI76">IF($BJ$13=0,0,MMULT($AC76:$AL76, BJ$3:BJ$12)/$BJ$13)</f>
        <v>0</v>
      </c>
      <c r="BJ76" s="129">
        <f>IF(OR(CSE4098C_Summer2026_Grade!$J77="W (Withdrawn)", CSE4098C_Summer2026_Grade!$J77="I (Incomplete)"), 0, IF(AX76&gt;=55%, 1, 0))</f>
        <v>0</v>
      </c>
      <c r="BK76" s="129">
        <f>IF(OR(CSE4098C_Summer2026_Grade!$J77="W (Withdrawn)", CSE4098C_Summer2026_Grade!$J77="I (Incomplete)"), 0, IF(AY76&gt;=55%, 1, 0))</f>
        <v>0</v>
      </c>
      <c r="BL76" s="129">
        <f>IF(OR(CSE4098C_Summer2026_Grade!$J77="W (Withdrawn)", CSE4098C_Summer2026_Grade!$J77="I (Incomplete)"), 0, IF(AZ76&gt;=55%, 1, 0))</f>
        <v>0</v>
      </c>
      <c r="BM76" s="129">
        <f>IF(OR(CSE4098C_Summer2026_Grade!$J77="W (Withdrawn)", CSE4098C_Summer2026_Grade!$J77="I (Incomplete)"), 0, IF(BA76&gt;=55%, 1, 0))</f>
        <v>1</v>
      </c>
      <c r="BN76" s="129">
        <f>IF(OR(CSE4098C_Summer2026_Grade!$J77="W (Withdrawn)", CSE4098C_Summer2026_Grade!$J77="I (Incomplete)"), 0, IF(BB76&gt;=55%, 1, 0))</f>
        <v>0</v>
      </c>
      <c r="BO76" s="129">
        <f>IF(OR(CSE4098C_Summer2026_Grade!$J77="W (Withdrawn)", CSE4098C_Summer2026_Grade!$J77="I (Incomplete)"), 0, IF(BC76&gt;=55%, 1, 0))</f>
        <v>0</v>
      </c>
      <c r="BP76" s="129">
        <f>IF(OR(CSE4098C_Summer2026_Grade!$J77="W (Withdrawn)", CSE4098C_Summer2026_Grade!$J77="I (Incomplete)"), 0, IF(BD76&gt;=55%, 1, 0))</f>
        <v>0</v>
      </c>
      <c r="BQ76" s="129">
        <f>IF(OR(CSE4098C_Summer2026_Grade!$J77="W (Withdrawn)", CSE4098C_Summer2026_Grade!$J77="I (Incomplete)"), 0, IF(BE76&gt;=55%, 1, 0))</f>
        <v>0</v>
      </c>
      <c r="BR76" s="129">
        <f>IF(OR(CSE4098C_Summer2026_Grade!$J77="W (Withdrawn)", CSE4098C_Summer2026_Grade!$J77="I (Incomplete)"), 0, IF(BF76&gt;=55%, 1, 0))</f>
        <v>0</v>
      </c>
      <c r="BS76" s="129">
        <f>IF(OR(CSE4098C_Summer2026_Grade!$J77="W (Withdrawn)", CSE4098C_Summer2026_Grade!$J77="I (Incomplete)"), 0, IF(BG76&gt;=55%, 1, 0))</f>
        <v>0</v>
      </c>
      <c r="BT76" s="129">
        <f>IF(OR(CSE4098C_Summer2026_Grade!$J77="W (Withdrawn)", CSE4098C_Summer2026_Grade!$J77="I (Incomplete)"), 0, IF(BH76&gt;=55%, 1, 0))</f>
        <v>0</v>
      </c>
      <c r="BU76" s="129">
        <f>IF(OR(CSE4098C_Summer2026_Grade!$J77="W (Withdrawn)", CSE4098C_Summer2026_Grade!$J77="I (Incomplete)"), 0, IF(BI76&gt;=55%, 1, 0))</f>
        <v>0</v>
      </c>
    </row>
    <row r="77" spans="1:73" ht="12.75" customHeight="1" thickBot="1">
      <c r="A77" s="118">
        <f t="shared" si="11"/>
        <v>59</v>
      </c>
      <c r="B77" s="230">
        <v>231014049</v>
      </c>
      <c r="C77" s="230" t="s">
        <v>261</v>
      </c>
      <c r="D77" s="119">
        <f>CO_Report_Evaluation!AG62</f>
        <v>0</v>
      </c>
      <c r="E77" s="119">
        <f>CO_Report_Evaluation!AH62</f>
        <v>0</v>
      </c>
      <c r="F77" s="119">
        <f>CO_Report_Evaluation!AI62</f>
        <v>0</v>
      </c>
      <c r="G77" s="119">
        <f>CO_Report_Evaluation!AJ62</f>
        <v>0</v>
      </c>
      <c r="H77" s="119">
        <f>CO_Report_Evaluation!AK62</f>
        <v>0</v>
      </c>
      <c r="I77" s="119">
        <f>CO_Report_Evaluation!AL62</f>
        <v>0</v>
      </c>
      <c r="J77" s="119">
        <f>CO_Report_Evaluation!AM62</f>
        <v>0</v>
      </c>
      <c r="K77" s="119">
        <f>CO_Report_Evaluation!AN62</f>
        <v>0</v>
      </c>
      <c r="L77" s="119">
        <f>CSE4098C_Summer2026_Grade!G63</f>
        <v>0</v>
      </c>
      <c r="M77" s="119"/>
      <c r="N77" s="33">
        <f>((CSE4098C_Summer2026_Grade!E63)*10)/25</f>
        <v>2.488</v>
      </c>
      <c r="O77" s="120"/>
      <c r="P77" s="121"/>
      <c r="Q77" s="122">
        <v>14.44</v>
      </c>
      <c r="R77" s="120"/>
      <c r="S77" s="123">
        <f t="shared" si="4"/>
        <v>0</v>
      </c>
      <c r="T77" s="124">
        <f t="shared" ref="T77:U77" si="240">E77</f>
        <v>0</v>
      </c>
      <c r="U77" s="124">
        <f t="shared" si="240"/>
        <v>0</v>
      </c>
      <c r="V77" s="124">
        <f t="shared" ref="V77:X77" si="241">SUM(G77,P77)</f>
        <v>0</v>
      </c>
      <c r="W77" s="124">
        <f t="shared" si="241"/>
        <v>14.44</v>
      </c>
      <c r="X77" s="124">
        <f t="shared" si="241"/>
        <v>0</v>
      </c>
      <c r="Y77" s="125">
        <f t="shared" ref="Y77:AA77" si="242">J77</f>
        <v>0</v>
      </c>
      <c r="Z77" s="125">
        <f t="shared" si="242"/>
        <v>0</v>
      </c>
      <c r="AA77" s="125">
        <f t="shared" si="242"/>
        <v>0</v>
      </c>
      <c r="AB77" s="125">
        <f t="shared" si="9"/>
        <v>2.488</v>
      </c>
      <c r="AC77" s="126">
        <f t="shared" ref="AC77:AL77" si="243">IF(S77 = 0, 0, S77/S$18)</f>
        <v>0</v>
      </c>
      <c r="AD77" s="127">
        <f t="shared" si="243"/>
        <v>0</v>
      </c>
      <c r="AE77" s="128">
        <f t="shared" si="243"/>
        <v>0</v>
      </c>
      <c r="AF77" s="128">
        <f t="shared" si="243"/>
        <v>0</v>
      </c>
      <c r="AG77" s="128">
        <f t="shared" si="243"/>
        <v>0.55538461538461537</v>
      </c>
      <c r="AH77" s="128">
        <f t="shared" si="243"/>
        <v>0</v>
      </c>
      <c r="AI77" s="128">
        <f t="shared" si="243"/>
        <v>0</v>
      </c>
      <c r="AJ77" s="128">
        <f t="shared" si="243"/>
        <v>0</v>
      </c>
      <c r="AK77" s="128">
        <f t="shared" si="243"/>
        <v>0</v>
      </c>
      <c r="AL77" s="128">
        <f t="shared" si="243"/>
        <v>0.24879999999999999</v>
      </c>
      <c r="AM77" s="129">
        <f>IF(OR(CSE4098C_Summer2026_Grade!$J78="W (Withdrawn)", CSE4098C_Summer2026_Grade!$J78="I (Incomplete)"), 0, IF(AC77&gt;=55%, 1, 0))</f>
        <v>0</v>
      </c>
      <c r="AN77" s="129">
        <f>IF(OR(CSE4098C_Summer2026_Grade!$J78="W (Withdrawn)", CSE4098C_Summer2026_Grade!$J78="I (Incomplete)"), 0, IF(AD77&gt;=55%, 1, 0))</f>
        <v>0</v>
      </c>
      <c r="AO77" s="129">
        <f>IF(OR(CSE4098C_Summer2026_Grade!$J78="W (Withdrawn)", CSE4098C_Summer2026_Grade!$J78="I (Incomplete)"), 0, IF(AE77&gt;=55%, 1, 0))</f>
        <v>0</v>
      </c>
      <c r="AP77" s="129">
        <f>IF(OR(CSE4098C_Summer2026_Grade!$J78="W (Withdrawn)", CSE4098C_Summer2026_Grade!$J78="I (Incomplete)"), 0, IF(AF77&gt;=55%, 1, 0))</f>
        <v>0</v>
      </c>
      <c r="AQ77" s="129">
        <f>IF(OR(CSE4098C_Summer2026_Grade!$J78="W (Withdrawn)", CSE4098C_Summer2026_Grade!$J78="I (Incomplete)"), 0, IF(AG77&gt;=55%, 1, 0))</f>
        <v>1</v>
      </c>
      <c r="AR77" s="129">
        <f>IF(OR(CSE4098C_Summer2026_Grade!$J78="W (Withdrawn)", CSE4098C_Summer2026_Grade!$J78="I (Incomplete)"), 0, IF(AH77&gt;=55%, 1, 0))</f>
        <v>0</v>
      </c>
      <c r="AS77" s="129">
        <f>IF(OR(CSE4098C_Summer2026_Grade!$J78="W (Withdrawn)", CSE4098C_Summer2026_Grade!$J78="I (Incomplete)"), 0, IF(AI77&gt;=55%, 1, 0))</f>
        <v>0</v>
      </c>
      <c r="AT77" s="129">
        <f>IF(OR(CSE4098C_Summer2026_Grade!$J78="W (Withdrawn)", CSE4098C_Summer2026_Grade!$J78="I (Incomplete)"), 0, IF(AJ77&gt;=55%, 1, 0))</f>
        <v>0</v>
      </c>
      <c r="AU77" s="129">
        <f>IF(OR(CSE4098C_Summer2026_Grade!$J78="W (Withdrawn)", CSE4098C_Summer2026_Grade!$J78="I (Incomplete)"), 0, IF(AK77&gt;=55%, 1, 0))</f>
        <v>0</v>
      </c>
      <c r="AV77" s="129">
        <f>IF(OR(CSE4098C_Summer2026_Grade!$J78="W (Withdrawn)", CSE4098C_Summer2026_Grade!$J78="I (Incomplete)"), 0, IF(AL77&gt;=55%, 1, 0))</f>
        <v>0</v>
      </c>
      <c r="AX77" s="130">
        <f t="array" ref="AX77">IF($AY$13=0,0,MMULT($AC77:$AL77, AY$3:AY$12)/$AY$13)</f>
        <v>0</v>
      </c>
      <c r="AY77" s="130">
        <f t="array" ref="AY77">IF($AZ$13=0,0,MMULT($AC77:$AL77, AZ$3:AZ$12)/$AZ$13)</f>
        <v>0</v>
      </c>
      <c r="AZ77" s="130">
        <f t="array" ref="AZ77">IF($BA$13=0,0,MMULT($AC77:$AL77, BA$3:BA$12)/$BA$13)</f>
        <v>0</v>
      </c>
      <c r="BA77" s="130">
        <f t="array" ref="BA77">IF($BB$13=0,0,MMULT($AC77:$AL77, BB$3:BB$12)/$BB$13)</f>
        <v>0.55538461538461537</v>
      </c>
      <c r="BB77" s="130">
        <f t="array" ref="BB77">IF($BC$13=0,0,MMULT($AC77:$AL77, BC$3:BC$12)/$BC$13)</f>
        <v>0</v>
      </c>
      <c r="BC77" s="130">
        <f t="array" ref="BC77">IF($BD$13=0,0,MMULT($AC77:$AL77, BD$3:BD$12)/$BD$13)</f>
        <v>0</v>
      </c>
      <c r="BD77" s="130">
        <f t="array" ref="BD77">IF($BE$13=0,0,MMULT($AC77:$AL77, BE$3:BE$12)/$BE$13)</f>
        <v>0</v>
      </c>
      <c r="BE77" s="130">
        <f t="array" ref="BE77">IF($BF$13=0,0,MMULT($AC77:$AL77, BF$3:BF$12)/$BF$13)</f>
        <v>0</v>
      </c>
      <c r="BF77" s="130">
        <f t="array" ref="BF77">IF($BG$13=0,0,MMULT($AC77:$AL77, BG$3:BG$12)/$BG$13)</f>
        <v>0</v>
      </c>
      <c r="BG77" s="130">
        <f t="array" ref="BG77">IF($BH$13=0,0,MMULT($AC77:$AL77, BH$3:BH$12)/$BH$13)</f>
        <v>0.24879999999999999</v>
      </c>
      <c r="BH77" s="130">
        <f t="array" ref="BH77">IF($BI$13=0,0,MMULT($AC77:$AL77, BI$3:BI$12)/$BI$13)</f>
        <v>0</v>
      </c>
      <c r="BI77" s="130">
        <f t="array" ref="BI77">IF($BJ$13=0,0,MMULT($AC77:$AL77, BJ$3:BJ$12)/$BJ$13)</f>
        <v>0</v>
      </c>
      <c r="BJ77" s="129">
        <f>IF(OR(CSE4098C_Summer2026_Grade!$J78="W (Withdrawn)", CSE4098C_Summer2026_Grade!$J78="I (Incomplete)"), 0, IF(AX77&gt;=55%, 1, 0))</f>
        <v>0</v>
      </c>
      <c r="BK77" s="129">
        <f>IF(OR(CSE4098C_Summer2026_Grade!$J78="W (Withdrawn)", CSE4098C_Summer2026_Grade!$J78="I (Incomplete)"), 0, IF(AY77&gt;=55%, 1, 0))</f>
        <v>0</v>
      </c>
      <c r="BL77" s="129">
        <f>IF(OR(CSE4098C_Summer2026_Grade!$J78="W (Withdrawn)", CSE4098C_Summer2026_Grade!$J78="I (Incomplete)"), 0, IF(AZ77&gt;=55%, 1, 0))</f>
        <v>0</v>
      </c>
      <c r="BM77" s="129">
        <f>IF(OR(CSE4098C_Summer2026_Grade!$J78="W (Withdrawn)", CSE4098C_Summer2026_Grade!$J78="I (Incomplete)"), 0, IF(BA77&gt;=55%, 1, 0))</f>
        <v>1</v>
      </c>
      <c r="BN77" s="129">
        <f>IF(OR(CSE4098C_Summer2026_Grade!$J78="W (Withdrawn)", CSE4098C_Summer2026_Grade!$J78="I (Incomplete)"), 0, IF(BB77&gt;=55%, 1, 0))</f>
        <v>0</v>
      </c>
      <c r="BO77" s="129">
        <f>IF(OR(CSE4098C_Summer2026_Grade!$J78="W (Withdrawn)", CSE4098C_Summer2026_Grade!$J78="I (Incomplete)"), 0, IF(BC77&gt;=55%, 1, 0))</f>
        <v>0</v>
      </c>
      <c r="BP77" s="129">
        <f>IF(OR(CSE4098C_Summer2026_Grade!$J78="W (Withdrawn)", CSE4098C_Summer2026_Grade!$J78="I (Incomplete)"), 0, IF(BD77&gt;=55%, 1, 0))</f>
        <v>0</v>
      </c>
      <c r="BQ77" s="129">
        <f>IF(OR(CSE4098C_Summer2026_Grade!$J78="W (Withdrawn)", CSE4098C_Summer2026_Grade!$J78="I (Incomplete)"), 0, IF(BE77&gt;=55%, 1, 0))</f>
        <v>0</v>
      </c>
      <c r="BR77" s="129">
        <f>IF(OR(CSE4098C_Summer2026_Grade!$J78="W (Withdrawn)", CSE4098C_Summer2026_Grade!$J78="I (Incomplete)"), 0, IF(BF77&gt;=55%, 1, 0))</f>
        <v>0</v>
      </c>
      <c r="BS77" s="129">
        <f>IF(OR(CSE4098C_Summer2026_Grade!$J78="W (Withdrawn)", CSE4098C_Summer2026_Grade!$J78="I (Incomplete)"), 0, IF(BG77&gt;=55%, 1, 0))</f>
        <v>0</v>
      </c>
      <c r="BT77" s="129">
        <f>IF(OR(CSE4098C_Summer2026_Grade!$J78="W (Withdrawn)", CSE4098C_Summer2026_Grade!$J78="I (Incomplete)"), 0, IF(BH77&gt;=55%, 1, 0))</f>
        <v>0</v>
      </c>
      <c r="BU77" s="129">
        <f>IF(OR(CSE4098C_Summer2026_Grade!$J78="W (Withdrawn)", CSE4098C_Summer2026_Grade!$J78="I (Incomplete)"), 0, IF(BI77&gt;=55%, 1, 0))</f>
        <v>0</v>
      </c>
    </row>
    <row r="78" spans="1:73" ht="12.75" customHeight="1" thickBot="1">
      <c r="A78" s="118">
        <f t="shared" si="11"/>
        <v>60</v>
      </c>
      <c r="B78" s="230">
        <v>231014016</v>
      </c>
      <c r="C78" s="230" t="s">
        <v>262</v>
      </c>
      <c r="D78" s="119">
        <f>CO_Report_Evaluation!AG63</f>
        <v>0</v>
      </c>
      <c r="E78" s="119">
        <f>CO_Report_Evaluation!AH63</f>
        <v>0</v>
      </c>
      <c r="F78" s="119">
        <f>CO_Report_Evaluation!AI63</f>
        <v>0</v>
      </c>
      <c r="G78" s="119">
        <f>CO_Report_Evaluation!AJ63</f>
        <v>0</v>
      </c>
      <c r="H78" s="119">
        <f>CO_Report_Evaluation!AK63</f>
        <v>0</v>
      </c>
      <c r="I78" s="119">
        <f>CO_Report_Evaluation!AL63</f>
        <v>0</v>
      </c>
      <c r="J78" s="119">
        <f>CO_Report_Evaluation!AM63</f>
        <v>0</v>
      </c>
      <c r="K78" s="119">
        <f>CO_Report_Evaluation!AN63</f>
        <v>0</v>
      </c>
      <c r="L78" s="119">
        <f>CSE4098C_Summer2026_Grade!G64</f>
        <v>0</v>
      </c>
      <c r="M78" s="119"/>
      <c r="N78" s="33">
        <f>((CSE4098C_Summer2026_Grade!E64)*10)/25</f>
        <v>2.2599999999999998</v>
      </c>
      <c r="O78" s="120"/>
      <c r="P78" s="121"/>
      <c r="Q78" s="122">
        <v>14.44</v>
      </c>
      <c r="R78" s="120"/>
      <c r="S78" s="123">
        <f t="shared" si="4"/>
        <v>0</v>
      </c>
      <c r="T78" s="124">
        <f t="shared" ref="T78:U78" si="244">E78</f>
        <v>0</v>
      </c>
      <c r="U78" s="124">
        <f t="shared" si="244"/>
        <v>0</v>
      </c>
      <c r="V78" s="124">
        <f t="shared" ref="V78:X78" si="245">SUM(G78,P78)</f>
        <v>0</v>
      </c>
      <c r="W78" s="124">
        <f t="shared" si="245"/>
        <v>14.44</v>
      </c>
      <c r="X78" s="124">
        <f t="shared" si="245"/>
        <v>0</v>
      </c>
      <c r="Y78" s="125">
        <f t="shared" ref="Y78:AA78" si="246">J78</f>
        <v>0</v>
      </c>
      <c r="Z78" s="125">
        <f t="shared" si="246"/>
        <v>0</v>
      </c>
      <c r="AA78" s="125">
        <f t="shared" si="246"/>
        <v>0</v>
      </c>
      <c r="AB78" s="125">
        <f t="shared" si="9"/>
        <v>2.2599999999999998</v>
      </c>
      <c r="AC78" s="126">
        <f t="shared" ref="AC78:AL78" si="247">IF(S78 = 0, 0, S78/S$18)</f>
        <v>0</v>
      </c>
      <c r="AD78" s="127">
        <f t="shared" si="247"/>
        <v>0</v>
      </c>
      <c r="AE78" s="128">
        <f t="shared" si="247"/>
        <v>0</v>
      </c>
      <c r="AF78" s="128">
        <f t="shared" si="247"/>
        <v>0</v>
      </c>
      <c r="AG78" s="128">
        <f t="shared" si="247"/>
        <v>0.55538461538461537</v>
      </c>
      <c r="AH78" s="128">
        <f t="shared" si="247"/>
        <v>0</v>
      </c>
      <c r="AI78" s="128">
        <f t="shared" si="247"/>
        <v>0</v>
      </c>
      <c r="AJ78" s="128">
        <f t="shared" si="247"/>
        <v>0</v>
      </c>
      <c r="AK78" s="128">
        <f t="shared" si="247"/>
        <v>0</v>
      </c>
      <c r="AL78" s="128">
        <f t="shared" si="247"/>
        <v>0.22599999999999998</v>
      </c>
      <c r="AM78" s="129">
        <f>IF(OR(CSE4098C_Summer2026_Grade!$J80="W (Withdrawn)", CSE4098C_Summer2026_Grade!$J80="I (Incomplete)"), 0, IF(AC78&gt;=55%, 1, 0))</f>
        <v>0</v>
      </c>
      <c r="AN78" s="129">
        <f>IF(OR(CSE4098C_Summer2026_Grade!$J80="W (Withdrawn)", CSE4098C_Summer2026_Grade!$J80="I (Incomplete)"), 0, IF(AD78&gt;=55%, 1, 0))</f>
        <v>0</v>
      </c>
      <c r="AO78" s="129">
        <f>IF(OR(CSE4098C_Summer2026_Grade!$J80="W (Withdrawn)", CSE4098C_Summer2026_Grade!$J80="I (Incomplete)"), 0, IF(AE78&gt;=55%, 1, 0))</f>
        <v>0</v>
      </c>
      <c r="AP78" s="129">
        <f>IF(OR(CSE4098C_Summer2026_Grade!$J80="W (Withdrawn)", CSE4098C_Summer2026_Grade!$J80="I (Incomplete)"), 0, IF(AF78&gt;=55%, 1, 0))</f>
        <v>0</v>
      </c>
      <c r="AQ78" s="129">
        <f>IF(OR(CSE4098C_Summer2026_Grade!$J80="W (Withdrawn)", CSE4098C_Summer2026_Grade!$J80="I (Incomplete)"), 0, IF(AG78&gt;=55%, 1, 0))</f>
        <v>1</v>
      </c>
      <c r="AR78" s="129">
        <f>IF(OR(CSE4098C_Summer2026_Grade!$J80="W (Withdrawn)", CSE4098C_Summer2026_Grade!$J80="I (Incomplete)"), 0, IF(AH78&gt;=55%, 1, 0))</f>
        <v>0</v>
      </c>
      <c r="AS78" s="129">
        <f>IF(OR(CSE4098C_Summer2026_Grade!$J80="W (Withdrawn)", CSE4098C_Summer2026_Grade!$J80="I (Incomplete)"), 0, IF(AI78&gt;=55%, 1, 0))</f>
        <v>0</v>
      </c>
      <c r="AT78" s="129">
        <f>IF(OR(CSE4098C_Summer2026_Grade!$J80="W (Withdrawn)", CSE4098C_Summer2026_Grade!$J80="I (Incomplete)"), 0, IF(AJ78&gt;=55%, 1, 0))</f>
        <v>0</v>
      </c>
      <c r="AU78" s="129">
        <f>IF(OR(CSE4098C_Summer2026_Grade!$J80="W (Withdrawn)", CSE4098C_Summer2026_Grade!$J80="I (Incomplete)"), 0, IF(AK78&gt;=55%, 1, 0))</f>
        <v>0</v>
      </c>
      <c r="AV78" s="129">
        <f>IF(OR(CSE4098C_Summer2026_Grade!$J80="W (Withdrawn)", CSE4098C_Summer2026_Grade!$J80="I (Incomplete)"), 0, IF(AL78&gt;=55%, 1, 0))</f>
        <v>0</v>
      </c>
      <c r="AX78" s="130">
        <f t="array" ref="AX78">IF($AY$13=0,0,MMULT($AC78:$AL78, AY$3:AY$12)/$AY$13)</f>
        <v>0</v>
      </c>
      <c r="AY78" s="130">
        <f t="array" ref="AY78">IF($AZ$13=0,0,MMULT($AC78:$AL78, AZ$3:AZ$12)/$AZ$13)</f>
        <v>0</v>
      </c>
      <c r="AZ78" s="130">
        <f t="array" ref="AZ78">IF($BA$13=0,0,MMULT($AC78:$AL78, BA$3:BA$12)/$BA$13)</f>
        <v>0</v>
      </c>
      <c r="BA78" s="130">
        <f t="array" ref="BA78">IF($BB$13=0,0,MMULT($AC78:$AL78, BB$3:BB$12)/$BB$13)</f>
        <v>0.55538461538461537</v>
      </c>
      <c r="BB78" s="130">
        <f t="array" ref="BB78">IF($BC$13=0,0,MMULT($AC78:$AL78, BC$3:BC$12)/$BC$13)</f>
        <v>0</v>
      </c>
      <c r="BC78" s="130">
        <f t="array" ref="BC78">IF($BD$13=0,0,MMULT($AC78:$AL78, BD$3:BD$12)/$BD$13)</f>
        <v>0</v>
      </c>
      <c r="BD78" s="130">
        <f t="array" ref="BD78">IF($BE$13=0,0,MMULT($AC78:$AL78, BE$3:BE$12)/$BE$13)</f>
        <v>0</v>
      </c>
      <c r="BE78" s="130">
        <f t="array" ref="BE78">IF($BF$13=0,0,MMULT($AC78:$AL78, BF$3:BF$12)/$BF$13)</f>
        <v>0</v>
      </c>
      <c r="BF78" s="130">
        <f t="array" ref="BF78">IF($BG$13=0,0,MMULT($AC78:$AL78, BG$3:BG$12)/$BG$13)</f>
        <v>0</v>
      </c>
      <c r="BG78" s="130">
        <f t="array" ref="BG78">IF($BH$13=0,0,MMULT($AC78:$AL78, BH$3:BH$12)/$BH$13)</f>
        <v>0.22599999999999998</v>
      </c>
      <c r="BH78" s="130">
        <f t="array" ref="BH78">IF($BI$13=0,0,MMULT($AC78:$AL78, BI$3:BI$12)/$BI$13)</f>
        <v>0</v>
      </c>
      <c r="BI78" s="130">
        <f t="array" ref="BI78">IF($BJ$13=0,0,MMULT($AC78:$AL78, BJ$3:BJ$12)/$BJ$13)</f>
        <v>0</v>
      </c>
      <c r="BJ78" s="129">
        <f>IF(OR(CSE4098C_Summer2026_Grade!$J80="W (Withdrawn)", CSE4098C_Summer2026_Grade!$J80="I (Incomplete)"), 0, IF(AX78&gt;=55%, 1, 0))</f>
        <v>0</v>
      </c>
      <c r="BK78" s="129">
        <f>IF(OR(CSE4098C_Summer2026_Grade!$J80="W (Withdrawn)", CSE4098C_Summer2026_Grade!$J80="I (Incomplete)"), 0, IF(AY78&gt;=55%, 1, 0))</f>
        <v>0</v>
      </c>
      <c r="BL78" s="129">
        <f>IF(OR(CSE4098C_Summer2026_Grade!$J80="W (Withdrawn)", CSE4098C_Summer2026_Grade!$J80="I (Incomplete)"), 0, IF(AZ78&gt;=55%, 1, 0))</f>
        <v>0</v>
      </c>
      <c r="BM78" s="129">
        <f>IF(OR(CSE4098C_Summer2026_Grade!$J80="W (Withdrawn)", CSE4098C_Summer2026_Grade!$J80="I (Incomplete)"), 0, IF(BA78&gt;=55%, 1, 0))</f>
        <v>1</v>
      </c>
      <c r="BN78" s="129">
        <f>IF(OR(CSE4098C_Summer2026_Grade!$J80="W (Withdrawn)", CSE4098C_Summer2026_Grade!$J80="I (Incomplete)"), 0, IF(BB78&gt;=55%, 1, 0))</f>
        <v>0</v>
      </c>
      <c r="BO78" s="129">
        <f>IF(OR(CSE4098C_Summer2026_Grade!$J80="W (Withdrawn)", CSE4098C_Summer2026_Grade!$J80="I (Incomplete)"), 0, IF(BC78&gt;=55%, 1, 0))</f>
        <v>0</v>
      </c>
      <c r="BP78" s="129">
        <f>IF(OR(CSE4098C_Summer2026_Grade!$J80="W (Withdrawn)", CSE4098C_Summer2026_Grade!$J80="I (Incomplete)"), 0, IF(BD78&gt;=55%, 1, 0))</f>
        <v>0</v>
      </c>
      <c r="BQ78" s="129">
        <f>IF(OR(CSE4098C_Summer2026_Grade!$J80="W (Withdrawn)", CSE4098C_Summer2026_Grade!$J80="I (Incomplete)"), 0, IF(BE78&gt;=55%, 1, 0))</f>
        <v>0</v>
      </c>
      <c r="BR78" s="129">
        <f>IF(OR(CSE4098C_Summer2026_Grade!$J80="W (Withdrawn)", CSE4098C_Summer2026_Grade!$J80="I (Incomplete)"), 0, IF(BF78&gt;=55%, 1, 0))</f>
        <v>0</v>
      </c>
      <c r="BS78" s="129">
        <f>IF(OR(CSE4098C_Summer2026_Grade!$J80="W (Withdrawn)", CSE4098C_Summer2026_Grade!$J80="I (Incomplete)"), 0, IF(BG78&gt;=55%, 1, 0))</f>
        <v>0</v>
      </c>
      <c r="BT78" s="129">
        <f>IF(OR(CSE4098C_Summer2026_Grade!$J80="W (Withdrawn)", CSE4098C_Summer2026_Grade!$J80="I (Incomplete)"), 0, IF(BH78&gt;=55%, 1, 0))</f>
        <v>0</v>
      </c>
      <c r="BU78" s="129">
        <f>IF(OR(CSE4098C_Summer2026_Grade!$J80="W (Withdrawn)", CSE4098C_Summer2026_Grade!$J80="I (Incomplete)"), 0, IF(BI78&gt;=55%, 1, 0))</f>
        <v>0</v>
      </c>
    </row>
    <row r="79" spans="1:73" ht="12.75" customHeight="1" thickBot="1">
      <c r="A79" s="118">
        <f t="shared" si="11"/>
        <v>61</v>
      </c>
      <c r="B79" s="230">
        <v>231014125</v>
      </c>
      <c r="C79" s="222" t="s">
        <v>263</v>
      </c>
      <c r="D79" s="119">
        <f>CO_Report_Evaluation!AG64</f>
        <v>0</v>
      </c>
      <c r="E79" s="119">
        <f>CO_Report_Evaluation!AH64</f>
        <v>0</v>
      </c>
      <c r="F79" s="119">
        <f>CO_Report_Evaluation!AI64</f>
        <v>0</v>
      </c>
      <c r="G79" s="119">
        <f>CO_Report_Evaluation!AJ64</f>
        <v>0</v>
      </c>
      <c r="H79" s="119">
        <f>CO_Report_Evaluation!AK64</f>
        <v>0</v>
      </c>
      <c r="I79" s="119">
        <f>CO_Report_Evaluation!AL64</f>
        <v>0</v>
      </c>
      <c r="J79" s="119">
        <f>CO_Report_Evaluation!AM64</f>
        <v>0</v>
      </c>
      <c r="K79" s="119">
        <f>CO_Report_Evaluation!AN64</f>
        <v>0</v>
      </c>
      <c r="L79" s="119">
        <f>CSE4098C_Summer2026_Grade!G65</f>
        <v>0</v>
      </c>
      <c r="M79" s="119"/>
      <c r="N79" s="33">
        <f>((CSE4098C_Summer2026_Grade!E65)*10)/25</f>
        <v>2.74</v>
      </c>
      <c r="O79" s="120"/>
      <c r="P79" s="121"/>
      <c r="Q79" s="122">
        <v>14.44</v>
      </c>
      <c r="R79" s="120"/>
      <c r="S79" s="123">
        <f t="shared" si="4"/>
        <v>0</v>
      </c>
      <c r="T79" s="124">
        <f t="shared" ref="T79:U79" si="248">E79</f>
        <v>0</v>
      </c>
      <c r="U79" s="124">
        <f t="shared" si="248"/>
        <v>0</v>
      </c>
      <c r="V79" s="124">
        <f t="shared" ref="V79:X79" si="249">SUM(G79,P79)</f>
        <v>0</v>
      </c>
      <c r="W79" s="124">
        <f t="shared" si="249"/>
        <v>14.44</v>
      </c>
      <c r="X79" s="124">
        <f t="shared" si="249"/>
        <v>0</v>
      </c>
      <c r="Y79" s="125">
        <f t="shared" ref="Y79:AA79" si="250">J79</f>
        <v>0</v>
      </c>
      <c r="Z79" s="125">
        <f t="shared" si="250"/>
        <v>0</v>
      </c>
      <c r="AA79" s="125">
        <f t="shared" si="250"/>
        <v>0</v>
      </c>
      <c r="AB79" s="125">
        <f t="shared" si="9"/>
        <v>2.74</v>
      </c>
      <c r="AC79" s="126">
        <f t="shared" ref="AC79:AL79" si="251">IF(S79 = 0, 0, S79/S$18)</f>
        <v>0</v>
      </c>
      <c r="AD79" s="127">
        <f t="shared" si="251"/>
        <v>0</v>
      </c>
      <c r="AE79" s="128">
        <f t="shared" si="251"/>
        <v>0</v>
      </c>
      <c r="AF79" s="128">
        <f t="shared" si="251"/>
        <v>0</v>
      </c>
      <c r="AG79" s="128">
        <f t="shared" si="251"/>
        <v>0.55538461538461537</v>
      </c>
      <c r="AH79" s="128">
        <f t="shared" si="251"/>
        <v>0</v>
      </c>
      <c r="AI79" s="128">
        <f t="shared" si="251"/>
        <v>0</v>
      </c>
      <c r="AJ79" s="128">
        <f t="shared" si="251"/>
        <v>0</v>
      </c>
      <c r="AK79" s="128">
        <f t="shared" si="251"/>
        <v>0</v>
      </c>
      <c r="AL79" s="128">
        <f t="shared" si="251"/>
        <v>0.27400000000000002</v>
      </c>
      <c r="AM79" s="129">
        <f>IF(OR(CSE4098C_Summer2026_Grade!$J81="W (Withdrawn)", CSE4098C_Summer2026_Grade!$J81="I (Incomplete)"), 0, IF(AC79&gt;=55%, 1, 0))</f>
        <v>0</v>
      </c>
      <c r="AN79" s="129">
        <f>IF(OR(CSE4098C_Summer2026_Grade!$J81="W (Withdrawn)", CSE4098C_Summer2026_Grade!$J81="I (Incomplete)"), 0, IF(AD79&gt;=55%, 1, 0))</f>
        <v>0</v>
      </c>
      <c r="AO79" s="129">
        <f>IF(OR(CSE4098C_Summer2026_Grade!$J81="W (Withdrawn)", CSE4098C_Summer2026_Grade!$J81="I (Incomplete)"), 0, IF(AE79&gt;=55%, 1, 0))</f>
        <v>0</v>
      </c>
      <c r="AP79" s="129">
        <f>IF(OR(CSE4098C_Summer2026_Grade!$J81="W (Withdrawn)", CSE4098C_Summer2026_Grade!$J81="I (Incomplete)"), 0, IF(AF79&gt;=55%, 1, 0))</f>
        <v>0</v>
      </c>
      <c r="AQ79" s="129">
        <f>IF(OR(CSE4098C_Summer2026_Grade!$J81="W (Withdrawn)", CSE4098C_Summer2026_Grade!$J81="I (Incomplete)"), 0, IF(AG79&gt;=55%, 1, 0))</f>
        <v>1</v>
      </c>
      <c r="AR79" s="129">
        <f>IF(OR(CSE4098C_Summer2026_Grade!$J81="W (Withdrawn)", CSE4098C_Summer2026_Grade!$J81="I (Incomplete)"), 0, IF(AH79&gt;=55%, 1, 0))</f>
        <v>0</v>
      </c>
      <c r="AS79" s="129">
        <f>IF(OR(CSE4098C_Summer2026_Grade!$J81="W (Withdrawn)", CSE4098C_Summer2026_Grade!$J81="I (Incomplete)"), 0, IF(AI79&gt;=55%, 1, 0))</f>
        <v>0</v>
      </c>
      <c r="AT79" s="129">
        <f>IF(OR(CSE4098C_Summer2026_Grade!$J81="W (Withdrawn)", CSE4098C_Summer2026_Grade!$J81="I (Incomplete)"), 0, IF(AJ79&gt;=55%, 1, 0))</f>
        <v>0</v>
      </c>
      <c r="AU79" s="129">
        <f>IF(OR(CSE4098C_Summer2026_Grade!$J81="W (Withdrawn)", CSE4098C_Summer2026_Grade!$J81="I (Incomplete)"), 0, IF(AK79&gt;=55%, 1, 0))</f>
        <v>0</v>
      </c>
      <c r="AV79" s="129">
        <f>IF(OR(CSE4098C_Summer2026_Grade!$J81="W (Withdrawn)", CSE4098C_Summer2026_Grade!$J81="I (Incomplete)"), 0, IF(AL79&gt;=55%, 1, 0))</f>
        <v>0</v>
      </c>
      <c r="AX79" s="130">
        <f t="array" ref="AX79">IF($AY$13=0,0,MMULT($AC79:$AL79, AY$3:AY$12)/$AY$13)</f>
        <v>0</v>
      </c>
      <c r="AY79" s="130">
        <f t="array" ref="AY79">IF($AZ$13=0,0,MMULT($AC79:$AL79, AZ$3:AZ$12)/$AZ$13)</f>
        <v>0</v>
      </c>
      <c r="AZ79" s="130">
        <f t="array" ref="AZ79">IF($BA$13=0,0,MMULT($AC79:$AL79, BA$3:BA$12)/$BA$13)</f>
        <v>0</v>
      </c>
      <c r="BA79" s="130">
        <f t="array" ref="BA79">IF($BB$13=0,0,MMULT($AC79:$AL79, BB$3:BB$12)/$BB$13)</f>
        <v>0.55538461538461537</v>
      </c>
      <c r="BB79" s="130">
        <f t="array" ref="BB79">IF($BC$13=0,0,MMULT($AC79:$AL79, BC$3:BC$12)/$BC$13)</f>
        <v>0</v>
      </c>
      <c r="BC79" s="130">
        <f t="array" ref="BC79">IF($BD$13=0,0,MMULT($AC79:$AL79, BD$3:BD$12)/$BD$13)</f>
        <v>0</v>
      </c>
      <c r="BD79" s="130">
        <f t="array" ref="BD79">IF($BE$13=0,0,MMULT($AC79:$AL79, BE$3:BE$12)/$BE$13)</f>
        <v>0</v>
      </c>
      <c r="BE79" s="130">
        <f t="array" ref="BE79">IF($BF$13=0,0,MMULT($AC79:$AL79, BF$3:BF$12)/$BF$13)</f>
        <v>0</v>
      </c>
      <c r="BF79" s="130">
        <f t="array" ref="BF79">IF($BG$13=0,0,MMULT($AC79:$AL79, BG$3:BG$12)/$BG$13)</f>
        <v>0</v>
      </c>
      <c r="BG79" s="130">
        <f t="array" ref="BG79">IF($BH$13=0,0,MMULT($AC79:$AL79, BH$3:BH$12)/$BH$13)</f>
        <v>0.27400000000000002</v>
      </c>
      <c r="BH79" s="130">
        <f t="array" ref="BH79">IF($BI$13=0,0,MMULT($AC79:$AL79, BI$3:BI$12)/$BI$13)</f>
        <v>0</v>
      </c>
      <c r="BI79" s="130">
        <f t="array" ref="BI79">IF($BJ$13=0,0,MMULT($AC79:$AL79, BJ$3:BJ$12)/$BJ$13)</f>
        <v>0</v>
      </c>
      <c r="BJ79" s="129">
        <f>IF(OR(CSE4098C_Summer2026_Grade!$J81="W (Withdrawn)", CSE4098C_Summer2026_Grade!$J81="I (Incomplete)"), 0, IF(AX79&gt;=55%, 1, 0))</f>
        <v>0</v>
      </c>
      <c r="BK79" s="129">
        <f>IF(OR(CSE4098C_Summer2026_Grade!$J81="W (Withdrawn)", CSE4098C_Summer2026_Grade!$J81="I (Incomplete)"), 0, IF(AY79&gt;=55%, 1, 0))</f>
        <v>0</v>
      </c>
      <c r="BL79" s="129">
        <f>IF(OR(CSE4098C_Summer2026_Grade!$J81="W (Withdrawn)", CSE4098C_Summer2026_Grade!$J81="I (Incomplete)"), 0, IF(AZ79&gt;=55%, 1, 0))</f>
        <v>0</v>
      </c>
      <c r="BM79" s="129">
        <f>IF(OR(CSE4098C_Summer2026_Grade!$J81="W (Withdrawn)", CSE4098C_Summer2026_Grade!$J81="I (Incomplete)"), 0, IF(BA79&gt;=55%, 1, 0))</f>
        <v>1</v>
      </c>
      <c r="BN79" s="129">
        <f>IF(OR(CSE4098C_Summer2026_Grade!$J81="W (Withdrawn)", CSE4098C_Summer2026_Grade!$J81="I (Incomplete)"), 0, IF(BB79&gt;=55%, 1, 0))</f>
        <v>0</v>
      </c>
      <c r="BO79" s="129">
        <f>IF(OR(CSE4098C_Summer2026_Grade!$J81="W (Withdrawn)", CSE4098C_Summer2026_Grade!$J81="I (Incomplete)"), 0, IF(BC79&gt;=55%, 1, 0))</f>
        <v>0</v>
      </c>
      <c r="BP79" s="129">
        <f>IF(OR(CSE4098C_Summer2026_Grade!$J81="W (Withdrawn)", CSE4098C_Summer2026_Grade!$J81="I (Incomplete)"), 0, IF(BD79&gt;=55%, 1, 0))</f>
        <v>0</v>
      </c>
      <c r="BQ79" s="129">
        <f>IF(OR(CSE4098C_Summer2026_Grade!$J81="W (Withdrawn)", CSE4098C_Summer2026_Grade!$J81="I (Incomplete)"), 0, IF(BE79&gt;=55%, 1, 0))</f>
        <v>0</v>
      </c>
      <c r="BR79" s="129">
        <f>IF(OR(CSE4098C_Summer2026_Grade!$J81="W (Withdrawn)", CSE4098C_Summer2026_Grade!$J81="I (Incomplete)"), 0, IF(BF79&gt;=55%, 1, 0))</f>
        <v>0</v>
      </c>
      <c r="BS79" s="129">
        <f>IF(OR(CSE4098C_Summer2026_Grade!$J81="W (Withdrawn)", CSE4098C_Summer2026_Grade!$J81="I (Incomplete)"), 0, IF(BG79&gt;=55%, 1, 0))</f>
        <v>0</v>
      </c>
      <c r="BT79" s="129">
        <f>IF(OR(CSE4098C_Summer2026_Grade!$J81="W (Withdrawn)", CSE4098C_Summer2026_Grade!$J81="I (Incomplete)"), 0, IF(BH79&gt;=55%, 1, 0))</f>
        <v>0</v>
      </c>
      <c r="BU79" s="129">
        <f>IF(OR(CSE4098C_Summer2026_Grade!$J81="W (Withdrawn)", CSE4098C_Summer2026_Grade!$J81="I (Incomplete)"), 0, IF(BI79&gt;=55%, 1, 0))</f>
        <v>0</v>
      </c>
    </row>
    <row r="80" spans="1:73" ht="12.75" customHeight="1" thickBot="1">
      <c r="A80" s="118">
        <f t="shared" si="11"/>
        <v>62</v>
      </c>
      <c r="B80" s="230">
        <v>231014142</v>
      </c>
      <c r="C80" s="222" t="s">
        <v>264</v>
      </c>
      <c r="D80" s="119">
        <f>CO_Report_Evaluation!AG65</f>
        <v>0</v>
      </c>
      <c r="E80" s="119">
        <f>CO_Report_Evaluation!AH65</f>
        <v>0</v>
      </c>
      <c r="F80" s="119">
        <f>CO_Report_Evaluation!AI65</f>
        <v>0</v>
      </c>
      <c r="G80" s="119">
        <f>CO_Report_Evaluation!AJ65</f>
        <v>0</v>
      </c>
      <c r="H80" s="119">
        <f>CO_Report_Evaluation!AK65</f>
        <v>0</v>
      </c>
      <c r="I80" s="119">
        <f>CO_Report_Evaluation!AL65</f>
        <v>0</v>
      </c>
      <c r="J80" s="119">
        <f>CO_Report_Evaluation!AM65</f>
        <v>0</v>
      </c>
      <c r="K80" s="119">
        <f>CO_Report_Evaluation!AN65</f>
        <v>0</v>
      </c>
      <c r="L80" s="119">
        <f>CSE4098C_Summer2026_Grade!G66</f>
        <v>0</v>
      </c>
      <c r="M80" s="119"/>
      <c r="N80" s="33">
        <f>((CSE4098C_Summer2026_Grade!E66)*10)/25</f>
        <v>2.58</v>
      </c>
      <c r="O80" s="120"/>
      <c r="P80" s="121"/>
      <c r="Q80" s="122">
        <v>14.44</v>
      </c>
      <c r="R80" s="120"/>
      <c r="S80" s="123">
        <f t="shared" si="4"/>
        <v>0</v>
      </c>
      <c r="T80" s="124">
        <f t="shared" ref="T80:U80" si="252">E80</f>
        <v>0</v>
      </c>
      <c r="U80" s="124">
        <f t="shared" si="252"/>
        <v>0</v>
      </c>
      <c r="V80" s="124">
        <f t="shared" ref="V80:X80" si="253">SUM(G80,P80)</f>
        <v>0</v>
      </c>
      <c r="W80" s="124">
        <f t="shared" si="253"/>
        <v>14.44</v>
      </c>
      <c r="X80" s="124">
        <f t="shared" si="253"/>
        <v>0</v>
      </c>
      <c r="Y80" s="125">
        <f t="shared" ref="Y80:AA80" si="254">J80</f>
        <v>0</v>
      </c>
      <c r="Z80" s="125">
        <f t="shared" si="254"/>
        <v>0</v>
      </c>
      <c r="AA80" s="125">
        <f t="shared" si="254"/>
        <v>0</v>
      </c>
      <c r="AB80" s="125">
        <f t="shared" si="9"/>
        <v>2.58</v>
      </c>
      <c r="AC80" s="126">
        <f t="shared" ref="AC80:AL80" si="255">IF(S80 = 0, 0, S80/S$18)</f>
        <v>0</v>
      </c>
      <c r="AD80" s="127">
        <f t="shared" si="255"/>
        <v>0</v>
      </c>
      <c r="AE80" s="128">
        <f t="shared" si="255"/>
        <v>0</v>
      </c>
      <c r="AF80" s="128">
        <f t="shared" si="255"/>
        <v>0</v>
      </c>
      <c r="AG80" s="128">
        <f t="shared" si="255"/>
        <v>0.55538461538461537</v>
      </c>
      <c r="AH80" s="128">
        <f t="shared" si="255"/>
        <v>0</v>
      </c>
      <c r="AI80" s="128">
        <f t="shared" si="255"/>
        <v>0</v>
      </c>
      <c r="AJ80" s="128">
        <f t="shared" si="255"/>
        <v>0</v>
      </c>
      <c r="AK80" s="128">
        <f t="shared" si="255"/>
        <v>0</v>
      </c>
      <c r="AL80" s="128">
        <f t="shared" si="255"/>
        <v>0.25800000000000001</v>
      </c>
      <c r="AM80" s="129">
        <f>IF(OR(CSE4098C_Summer2026_Grade!$J82="W (Withdrawn)", CSE4098C_Summer2026_Grade!$J82="I (Incomplete)"), 0, IF(AC80&gt;=55%, 1, 0))</f>
        <v>0</v>
      </c>
      <c r="AN80" s="129">
        <f>IF(OR(CSE4098C_Summer2026_Grade!$J82="W (Withdrawn)", CSE4098C_Summer2026_Grade!$J82="I (Incomplete)"), 0, IF(AD80&gt;=55%, 1, 0))</f>
        <v>0</v>
      </c>
      <c r="AO80" s="129">
        <f>IF(OR(CSE4098C_Summer2026_Grade!$J82="W (Withdrawn)", CSE4098C_Summer2026_Grade!$J82="I (Incomplete)"), 0, IF(AE80&gt;=55%, 1, 0))</f>
        <v>0</v>
      </c>
      <c r="AP80" s="129">
        <f>IF(OR(CSE4098C_Summer2026_Grade!$J82="W (Withdrawn)", CSE4098C_Summer2026_Grade!$J82="I (Incomplete)"), 0, IF(AF80&gt;=55%, 1, 0))</f>
        <v>0</v>
      </c>
      <c r="AQ80" s="129">
        <f>IF(OR(CSE4098C_Summer2026_Grade!$J82="W (Withdrawn)", CSE4098C_Summer2026_Grade!$J82="I (Incomplete)"), 0, IF(AG80&gt;=55%, 1, 0))</f>
        <v>1</v>
      </c>
      <c r="AR80" s="129">
        <f>IF(OR(CSE4098C_Summer2026_Grade!$J82="W (Withdrawn)", CSE4098C_Summer2026_Grade!$J82="I (Incomplete)"), 0, IF(AH80&gt;=55%, 1, 0))</f>
        <v>0</v>
      </c>
      <c r="AS80" s="129">
        <f>IF(OR(CSE4098C_Summer2026_Grade!$J82="W (Withdrawn)", CSE4098C_Summer2026_Grade!$J82="I (Incomplete)"), 0, IF(AI80&gt;=55%, 1, 0))</f>
        <v>0</v>
      </c>
      <c r="AT80" s="129">
        <f>IF(OR(CSE4098C_Summer2026_Grade!$J82="W (Withdrawn)", CSE4098C_Summer2026_Grade!$J82="I (Incomplete)"), 0, IF(AJ80&gt;=55%, 1, 0))</f>
        <v>0</v>
      </c>
      <c r="AU80" s="129">
        <f>IF(OR(CSE4098C_Summer2026_Grade!$J82="W (Withdrawn)", CSE4098C_Summer2026_Grade!$J82="I (Incomplete)"), 0, IF(AK80&gt;=55%, 1, 0))</f>
        <v>0</v>
      </c>
      <c r="AV80" s="129">
        <f>IF(OR(CSE4098C_Summer2026_Grade!$J82="W (Withdrawn)", CSE4098C_Summer2026_Grade!$J82="I (Incomplete)"), 0, IF(AL80&gt;=55%, 1, 0))</f>
        <v>0</v>
      </c>
      <c r="AX80" s="130">
        <f t="array" ref="AX80">IF($AY$13=0,0,MMULT($AC80:$AL80, AY$3:AY$12)/$AY$13)</f>
        <v>0</v>
      </c>
      <c r="AY80" s="130">
        <f t="array" ref="AY80">IF($AZ$13=0,0,MMULT($AC80:$AL80, AZ$3:AZ$12)/$AZ$13)</f>
        <v>0</v>
      </c>
      <c r="AZ80" s="130">
        <f t="array" ref="AZ80">IF($BA$13=0,0,MMULT($AC80:$AL80, BA$3:BA$12)/$BA$13)</f>
        <v>0</v>
      </c>
      <c r="BA80" s="130">
        <f t="array" ref="BA80">IF($BB$13=0,0,MMULT($AC80:$AL80, BB$3:BB$12)/$BB$13)</f>
        <v>0.55538461538461537</v>
      </c>
      <c r="BB80" s="130">
        <f t="array" ref="BB80">IF($BC$13=0,0,MMULT($AC80:$AL80, BC$3:BC$12)/$BC$13)</f>
        <v>0</v>
      </c>
      <c r="BC80" s="130">
        <f t="array" ref="BC80">IF($BD$13=0,0,MMULT($AC80:$AL80, BD$3:BD$12)/$BD$13)</f>
        <v>0</v>
      </c>
      <c r="BD80" s="130">
        <f t="array" ref="BD80">IF($BE$13=0,0,MMULT($AC80:$AL80, BE$3:BE$12)/$BE$13)</f>
        <v>0</v>
      </c>
      <c r="BE80" s="130">
        <f t="array" ref="BE80">IF($BF$13=0,0,MMULT($AC80:$AL80, BF$3:BF$12)/$BF$13)</f>
        <v>0</v>
      </c>
      <c r="BF80" s="130">
        <f t="array" ref="BF80">IF($BG$13=0,0,MMULT($AC80:$AL80, BG$3:BG$12)/$BG$13)</f>
        <v>0</v>
      </c>
      <c r="BG80" s="130">
        <f t="array" ref="BG80">IF($BH$13=0,0,MMULT($AC80:$AL80, BH$3:BH$12)/$BH$13)</f>
        <v>0.25800000000000001</v>
      </c>
      <c r="BH80" s="130">
        <f t="array" ref="BH80">IF($BI$13=0,0,MMULT($AC80:$AL80, BI$3:BI$12)/$BI$13)</f>
        <v>0</v>
      </c>
      <c r="BI80" s="130">
        <f t="array" ref="BI80">IF($BJ$13=0,0,MMULT($AC80:$AL80, BJ$3:BJ$12)/$BJ$13)</f>
        <v>0</v>
      </c>
      <c r="BJ80" s="129">
        <f>IF(OR(CSE4098C_Summer2026_Grade!$J82="W (Withdrawn)", CSE4098C_Summer2026_Grade!$J82="I (Incomplete)"), 0, IF(AX80&gt;=55%, 1, 0))</f>
        <v>0</v>
      </c>
      <c r="BK80" s="129">
        <f>IF(OR(CSE4098C_Summer2026_Grade!$J82="W (Withdrawn)", CSE4098C_Summer2026_Grade!$J82="I (Incomplete)"), 0, IF(AY80&gt;=55%, 1, 0))</f>
        <v>0</v>
      </c>
      <c r="BL80" s="129">
        <f>IF(OR(CSE4098C_Summer2026_Grade!$J82="W (Withdrawn)", CSE4098C_Summer2026_Grade!$J82="I (Incomplete)"), 0, IF(AZ80&gt;=55%, 1, 0))</f>
        <v>0</v>
      </c>
      <c r="BM80" s="129">
        <f>IF(OR(CSE4098C_Summer2026_Grade!$J82="W (Withdrawn)", CSE4098C_Summer2026_Grade!$J82="I (Incomplete)"), 0, IF(BA80&gt;=55%, 1, 0))</f>
        <v>1</v>
      </c>
      <c r="BN80" s="129">
        <f>IF(OR(CSE4098C_Summer2026_Grade!$J82="W (Withdrawn)", CSE4098C_Summer2026_Grade!$J82="I (Incomplete)"), 0, IF(BB80&gt;=55%, 1, 0))</f>
        <v>0</v>
      </c>
      <c r="BO80" s="129">
        <f>IF(OR(CSE4098C_Summer2026_Grade!$J82="W (Withdrawn)", CSE4098C_Summer2026_Grade!$J82="I (Incomplete)"), 0, IF(BC80&gt;=55%, 1, 0))</f>
        <v>0</v>
      </c>
      <c r="BP80" s="129">
        <f>IF(OR(CSE4098C_Summer2026_Grade!$J82="W (Withdrawn)", CSE4098C_Summer2026_Grade!$J82="I (Incomplete)"), 0, IF(BD80&gt;=55%, 1, 0))</f>
        <v>0</v>
      </c>
      <c r="BQ80" s="129">
        <f>IF(OR(CSE4098C_Summer2026_Grade!$J82="W (Withdrawn)", CSE4098C_Summer2026_Grade!$J82="I (Incomplete)"), 0, IF(BE80&gt;=55%, 1, 0))</f>
        <v>0</v>
      </c>
      <c r="BR80" s="129">
        <f>IF(OR(CSE4098C_Summer2026_Grade!$J82="W (Withdrawn)", CSE4098C_Summer2026_Grade!$J82="I (Incomplete)"), 0, IF(BF80&gt;=55%, 1, 0))</f>
        <v>0</v>
      </c>
      <c r="BS80" s="129">
        <f>IF(OR(CSE4098C_Summer2026_Grade!$J82="W (Withdrawn)", CSE4098C_Summer2026_Grade!$J82="I (Incomplete)"), 0, IF(BG80&gt;=55%, 1, 0))</f>
        <v>0</v>
      </c>
      <c r="BT80" s="129">
        <f>IF(OR(CSE4098C_Summer2026_Grade!$J82="W (Withdrawn)", CSE4098C_Summer2026_Grade!$J82="I (Incomplete)"), 0, IF(BH80&gt;=55%, 1, 0))</f>
        <v>0</v>
      </c>
      <c r="BU80" s="129">
        <f>IF(OR(CSE4098C_Summer2026_Grade!$J82="W (Withdrawn)", CSE4098C_Summer2026_Grade!$J82="I (Incomplete)"), 0, IF(BI80&gt;=55%, 1, 0))</f>
        <v>0</v>
      </c>
    </row>
    <row r="81" spans="1:73" ht="12.75" customHeight="1" thickBot="1">
      <c r="A81" s="118">
        <f t="shared" si="11"/>
        <v>63</v>
      </c>
      <c r="B81" s="230">
        <v>223014146</v>
      </c>
      <c r="C81" s="222" t="s">
        <v>265</v>
      </c>
      <c r="D81" s="119">
        <f>CO_Report_Evaluation!AG66</f>
        <v>0</v>
      </c>
      <c r="E81" s="119">
        <f>CO_Report_Evaluation!AH66</f>
        <v>0</v>
      </c>
      <c r="F81" s="119">
        <f>CO_Report_Evaluation!AI66</f>
        <v>0</v>
      </c>
      <c r="G81" s="119">
        <f>CO_Report_Evaluation!AJ66</f>
        <v>0</v>
      </c>
      <c r="H81" s="119">
        <f>CO_Report_Evaluation!AK66</f>
        <v>0</v>
      </c>
      <c r="I81" s="119">
        <f>CO_Report_Evaluation!AL66</f>
        <v>0</v>
      </c>
      <c r="J81" s="119">
        <f>CO_Report_Evaluation!AM66</f>
        <v>0</v>
      </c>
      <c r="K81" s="119">
        <f>CO_Report_Evaluation!AN66</f>
        <v>0</v>
      </c>
      <c r="L81" s="119">
        <f>CSE4098C_Summer2026_Grade!G67</f>
        <v>0</v>
      </c>
      <c r="M81" s="119"/>
      <c r="N81" s="33">
        <f>((CSE4098C_Summer2026_Grade!E67)*10)/25</f>
        <v>2.456</v>
      </c>
      <c r="O81" s="120"/>
      <c r="P81" s="121"/>
      <c r="Q81" s="122">
        <v>14.44</v>
      </c>
      <c r="R81" s="120"/>
      <c r="S81" s="123">
        <f t="shared" si="4"/>
        <v>0</v>
      </c>
      <c r="T81" s="124">
        <f t="shared" ref="T81:U81" si="256">E81</f>
        <v>0</v>
      </c>
      <c r="U81" s="124">
        <f t="shared" si="256"/>
        <v>0</v>
      </c>
      <c r="V81" s="124">
        <f t="shared" ref="V81:X81" si="257">SUM(G81,P81)</f>
        <v>0</v>
      </c>
      <c r="W81" s="124">
        <f t="shared" si="257"/>
        <v>14.44</v>
      </c>
      <c r="X81" s="124">
        <f t="shared" si="257"/>
        <v>0</v>
      </c>
      <c r="Y81" s="125">
        <f t="shared" ref="Y81:AA81" si="258">J81</f>
        <v>0</v>
      </c>
      <c r="Z81" s="125">
        <f t="shared" si="258"/>
        <v>0</v>
      </c>
      <c r="AA81" s="125">
        <f t="shared" si="258"/>
        <v>0</v>
      </c>
      <c r="AB81" s="125">
        <f t="shared" si="9"/>
        <v>2.456</v>
      </c>
      <c r="AC81" s="126">
        <f t="shared" ref="AC81:AL81" si="259">IF(S81 = 0, 0, S81/S$18)</f>
        <v>0</v>
      </c>
      <c r="AD81" s="127">
        <f t="shared" si="259"/>
        <v>0</v>
      </c>
      <c r="AE81" s="128">
        <f t="shared" si="259"/>
        <v>0</v>
      </c>
      <c r="AF81" s="128">
        <f t="shared" si="259"/>
        <v>0</v>
      </c>
      <c r="AG81" s="128">
        <f t="shared" si="259"/>
        <v>0.55538461538461537</v>
      </c>
      <c r="AH81" s="128">
        <f t="shared" si="259"/>
        <v>0</v>
      </c>
      <c r="AI81" s="128">
        <f t="shared" si="259"/>
        <v>0</v>
      </c>
      <c r="AJ81" s="128">
        <f t="shared" si="259"/>
        <v>0</v>
      </c>
      <c r="AK81" s="128">
        <f t="shared" si="259"/>
        <v>0</v>
      </c>
      <c r="AL81" s="128">
        <f t="shared" si="259"/>
        <v>0.24559999999999998</v>
      </c>
      <c r="AM81" s="129">
        <f>IF(OR(CSE4098C_Summer2026_Grade!$J83="W (Withdrawn)", CSE4098C_Summer2026_Grade!$J83="I (Incomplete)"), 0, IF(AC81&gt;=55%, 1, 0))</f>
        <v>0</v>
      </c>
      <c r="AN81" s="129">
        <f>IF(OR(CSE4098C_Summer2026_Grade!$J83="W (Withdrawn)", CSE4098C_Summer2026_Grade!$J83="I (Incomplete)"), 0, IF(AD81&gt;=55%, 1, 0))</f>
        <v>0</v>
      </c>
      <c r="AO81" s="129">
        <f>IF(OR(CSE4098C_Summer2026_Grade!$J83="W (Withdrawn)", CSE4098C_Summer2026_Grade!$J83="I (Incomplete)"), 0, IF(AE81&gt;=55%, 1, 0))</f>
        <v>0</v>
      </c>
      <c r="AP81" s="129">
        <f>IF(OR(CSE4098C_Summer2026_Grade!$J83="W (Withdrawn)", CSE4098C_Summer2026_Grade!$J83="I (Incomplete)"), 0, IF(AF81&gt;=55%, 1, 0))</f>
        <v>0</v>
      </c>
      <c r="AQ81" s="129">
        <f>IF(OR(CSE4098C_Summer2026_Grade!$J83="W (Withdrawn)", CSE4098C_Summer2026_Grade!$J83="I (Incomplete)"), 0, IF(AG81&gt;=55%, 1, 0))</f>
        <v>1</v>
      </c>
      <c r="AR81" s="129">
        <f>IF(OR(CSE4098C_Summer2026_Grade!$J83="W (Withdrawn)", CSE4098C_Summer2026_Grade!$J83="I (Incomplete)"), 0, IF(AH81&gt;=55%, 1, 0))</f>
        <v>0</v>
      </c>
      <c r="AS81" s="129">
        <f>IF(OR(CSE4098C_Summer2026_Grade!$J83="W (Withdrawn)", CSE4098C_Summer2026_Grade!$J83="I (Incomplete)"), 0, IF(AI81&gt;=55%, 1, 0))</f>
        <v>0</v>
      </c>
      <c r="AT81" s="129">
        <f>IF(OR(CSE4098C_Summer2026_Grade!$J83="W (Withdrawn)", CSE4098C_Summer2026_Grade!$J83="I (Incomplete)"), 0, IF(AJ81&gt;=55%, 1, 0))</f>
        <v>0</v>
      </c>
      <c r="AU81" s="129">
        <f>IF(OR(CSE4098C_Summer2026_Grade!$J83="W (Withdrawn)", CSE4098C_Summer2026_Grade!$J83="I (Incomplete)"), 0, IF(AK81&gt;=55%, 1, 0))</f>
        <v>0</v>
      </c>
      <c r="AV81" s="129">
        <f>IF(OR(CSE4098C_Summer2026_Grade!$J83="W (Withdrawn)", CSE4098C_Summer2026_Grade!$J83="I (Incomplete)"), 0, IF(AL81&gt;=55%, 1, 0))</f>
        <v>0</v>
      </c>
      <c r="AX81" s="130">
        <f t="array" ref="AX81">IF($AY$13=0,0,MMULT($AC81:$AL81, AY$3:AY$12)/$AY$13)</f>
        <v>0</v>
      </c>
      <c r="AY81" s="130">
        <f t="array" ref="AY81">IF($AZ$13=0,0,MMULT($AC81:$AL81, AZ$3:AZ$12)/$AZ$13)</f>
        <v>0</v>
      </c>
      <c r="AZ81" s="130">
        <f t="array" ref="AZ81">IF($BA$13=0,0,MMULT($AC81:$AL81, BA$3:BA$12)/$BA$13)</f>
        <v>0</v>
      </c>
      <c r="BA81" s="130">
        <f t="array" ref="BA81">IF($BB$13=0,0,MMULT($AC81:$AL81, BB$3:BB$12)/$BB$13)</f>
        <v>0.55538461538461537</v>
      </c>
      <c r="BB81" s="130">
        <f t="array" ref="BB81">IF($BC$13=0,0,MMULT($AC81:$AL81, BC$3:BC$12)/$BC$13)</f>
        <v>0</v>
      </c>
      <c r="BC81" s="130">
        <f t="array" ref="BC81">IF($BD$13=0,0,MMULT($AC81:$AL81, BD$3:BD$12)/$BD$13)</f>
        <v>0</v>
      </c>
      <c r="BD81" s="130">
        <f t="array" ref="BD81">IF($BE$13=0,0,MMULT($AC81:$AL81, BE$3:BE$12)/$BE$13)</f>
        <v>0</v>
      </c>
      <c r="BE81" s="130">
        <f t="array" ref="BE81">IF($BF$13=0,0,MMULT($AC81:$AL81, BF$3:BF$12)/$BF$13)</f>
        <v>0</v>
      </c>
      <c r="BF81" s="130">
        <f t="array" ref="BF81">IF($BG$13=0,0,MMULT($AC81:$AL81, BG$3:BG$12)/$BG$13)</f>
        <v>0</v>
      </c>
      <c r="BG81" s="130">
        <f t="array" ref="BG81">IF($BH$13=0,0,MMULT($AC81:$AL81, BH$3:BH$12)/$BH$13)</f>
        <v>0.24559999999999998</v>
      </c>
      <c r="BH81" s="130">
        <f t="array" ref="BH81">IF($BI$13=0,0,MMULT($AC81:$AL81, BI$3:BI$12)/$BI$13)</f>
        <v>0</v>
      </c>
      <c r="BI81" s="130">
        <f t="array" ref="BI81">IF($BJ$13=0,0,MMULT($AC81:$AL81, BJ$3:BJ$12)/$BJ$13)</f>
        <v>0</v>
      </c>
      <c r="BJ81" s="129">
        <f>IF(OR(CSE4098C_Summer2026_Grade!$J83="W (Withdrawn)", CSE4098C_Summer2026_Grade!$J83="I (Incomplete)"), 0, IF(AX81&gt;=55%, 1, 0))</f>
        <v>0</v>
      </c>
      <c r="BK81" s="129">
        <f>IF(OR(CSE4098C_Summer2026_Grade!$J83="W (Withdrawn)", CSE4098C_Summer2026_Grade!$J83="I (Incomplete)"), 0, IF(AY81&gt;=55%, 1, 0))</f>
        <v>0</v>
      </c>
      <c r="BL81" s="129">
        <f>IF(OR(CSE4098C_Summer2026_Grade!$J83="W (Withdrawn)", CSE4098C_Summer2026_Grade!$J83="I (Incomplete)"), 0, IF(AZ81&gt;=55%, 1, 0))</f>
        <v>0</v>
      </c>
      <c r="BM81" s="129">
        <f>IF(OR(CSE4098C_Summer2026_Grade!$J83="W (Withdrawn)", CSE4098C_Summer2026_Grade!$J83="I (Incomplete)"), 0, IF(BA81&gt;=55%, 1, 0))</f>
        <v>1</v>
      </c>
      <c r="BN81" s="129">
        <f>IF(OR(CSE4098C_Summer2026_Grade!$J83="W (Withdrawn)", CSE4098C_Summer2026_Grade!$J83="I (Incomplete)"), 0, IF(BB81&gt;=55%, 1, 0))</f>
        <v>0</v>
      </c>
      <c r="BO81" s="129">
        <f>IF(OR(CSE4098C_Summer2026_Grade!$J83="W (Withdrawn)", CSE4098C_Summer2026_Grade!$J83="I (Incomplete)"), 0, IF(BC81&gt;=55%, 1, 0))</f>
        <v>0</v>
      </c>
      <c r="BP81" s="129">
        <f>IF(OR(CSE4098C_Summer2026_Grade!$J83="W (Withdrawn)", CSE4098C_Summer2026_Grade!$J83="I (Incomplete)"), 0, IF(BD81&gt;=55%, 1, 0))</f>
        <v>0</v>
      </c>
      <c r="BQ81" s="129">
        <f>IF(OR(CSE4098C_Summer2026_Grade!$J83="W (Withdrawn)", CSE4098C_Summer2026_Grade!$J83="I (Incomplete)"), 0, IF(BE81&gt;=55%, 1, 0))</f>
        <v>0</v>
      </c>
      <c r="BR81" s="129">
        <f>IF(OR(CSE4098C_Summer2026_Grade!$J83="W (Withdrawn)", CSE4098C_Summer2026_Grade!$J83="I (Incomplete)"), 0, IF(BF81&gt;=55%, 1, 0))</f>
        <v>0</v>
      </c>
      <c r="BS81" s="129">
        <f>IF(OR(CSE4098C_Summer2026_Grade!$J83="W (Withdrawn)", CSE4098C_Summer2026_Grade!$J83="I (Incomplete)"), 0, IF(BG81&gt;=55%, 1, 0))</f>
        <v>0</v>
      </c>
      <c r="BT81" s="129">
        <f>IF(OR(CSE4098C_Summer2026_Grade!$J83="W (Withdrawn)", CSE4098C_Summer2026_Grade!$J83="I (Incomplete)"), 0, IF(BH81&gt;=55%, 1, 0))</f>
        <v>0</v>
      </c>
      <c r="BU81" s="129">
        <f>IF(OR(CSE4098C_Summer2026_Grade!$J83="W (Withdrawn)", CSE4098C_Summer2026_Grade!$J83="I (Incomplete)"), 0, IF(BI81&gt;=55%, 1, 0))</f>
        <v>0</v>
      </c>
    </row>
    <row r="82" spans="1:73" ht="12.75" customHeight="1" thickBot="1">
      <c r="A82" s="118">
        <f t="shared" si="11"/>
        <v>64</v>
      </c>
      <c r="B82" s="222">
        <v>231014024</v>
      </c>
      <c r="C82" s="222" t="s">
        <v>266</v>
      </c>
      <c r="D82" s="119">
        <f>CO_Report_Evaluation!AG67</f>
        <v>0</v>
      </c>
      <c r="E82" s="119">
        <f>CO_Report_Evaluation!AH67</f>
        <v>0</v>
      </c>
      <c r="F82" s="119">
        <f>CO_Report_Evaluation!AI67</f>
        <v>0</v>
      </c>
      <c r="G82" s="119">
        <f>CO_Report_Evaluation!AJ67</f>
        <v>0</v>
      </c>
      <c r="H82" s="119">
        <f>CO_Report_Evaluation!AK67</f>
        <v>0</v>
      </c>
      <c r="I82" s="119">
        <f>CO_Report_Evaluation!AL67</f>
        <v>0</v>
      </c>
      <c r="J82" s="119">
        <f>CO_Report_Evaluation!AM67</f>
        <v>0</v>
      </c>
      <c r="K82" s="119">
        <f>CO_Report_Evaluation!AN67</f>
        <v>0</v>
      </c>
      <c r="L82" s="119">
        <f>CSE4098C_Summer2026_Grade!G68</f>
        <v>0</v>
      </c>
      <c r="M82" s="119"/>
      <c r="N82" s="33">
        <f>((CSE4098C_Summer2026_Grade!E68)*10)/25</f>
        <v>2.3480000000000003</v>
      </c>
      <c r="O82" s="120"/>
      <c r="P82" s="121"/>
      <c r="Q82" s="122">
        <v>14.44</v>
      </c>
      <c r="R82" s="120"/>
      <c r="S82" s="123">
        <f t="shared" si="4"/>
        <v>0</v>
      </c>
      <c r="T82" s="124">
        <f t="shared" ref="T82:U82" si="260">E82</f>
        <v>0</v>
      </c>
      <c r="U82" s="124">
        <f t="shared" si="260"/>
        <v>0</v>
      </c>
      <c r="V82" s="124">
        <f t="shared" ref="V82:X82" si="261">SUM(G82,P82)</f>
        <v>0</v>
      </c>
      <c r="W82" s="124">
        <f t="shared" si="261"/>
        <v>14.44</v>
      </c>
      <c r="X82" s="124">
        <f t="shared" si="261"/>
        <v>0</v>
      </c>
      <c r="Y82" s="125">
        <f t="shared" ref="Y82:AA82" si="262">J82</f>
        <v>0</v>
      </c>
      <c r="Z82" s="125">
        <f t="shared" si="262"/>
        <v>0</v>
      </c>
      <c r="AA82" s="125">
        <f t="shared" si="262"/>
        <v>0</v>
      </c>
      <c r="AB82" s="125">
        <f t="shared" si="9"/>
        <v>2.3480000000000003</v>
      </c>
      <c r="AC82" s="126">
        <f t="shared" ref="AC82:AL82" si="263">IF(S82 = 0, 0, S82/S$18)</f>
        <v>0</v>
      </c>
      <c r="AD82" s="127">
        <f t="shared" si="263"/>
        <v>0</v>
      </c>
      <c r="AE82" s="128">
        <f t="shared" si="263"/>
        <v>0</v>
      </c>
      <c r="AF82" s="128">
        <f t="shared" si="263"/>
        <v>0</v>
      </c>
      <c r="AG82" s="128">
        <f t="shared" si="263"/>
        <v>0.55538461538461537</v>
      </c>
      <c r="AH82" s="128">
        <f t="shared" si="263"/>
        <v>0</v>
      </c>
      <c r="AI82" s="128">
        <f t="shared" si="263"/>
        <v>0</v>
      </c>
      <c r="AJ82" s="128">
        <f t="shared" si="263"/>
        <v>0</v>
      </c>
      <c r="AK82" s="128">
        <f t="shared" si="263"/>
        <v>0</v>
      </c>
      <c r="AL82" s="128">
        <f t="shared" si="263"/>
        <v>0.23480000000000004</v>
      </c>
      <c r="AM82" s="129">
        <f>IF(OR(CSE4098C_Summer2026_Grade!$J84="W (Withdrawn)", CSE4098C_Summer2026_Grade!$J84="I (Incomplete)"), 0, IF(AC82&gt;=55%, 1, 0))</f>
        <v>0</v>
      </c>
      <c r="AN82" s="129">
        <f>IF(OR(CSE4098C_Summer2026_Grade!$J84="W (Withdrawn)", CSE4098C_Summer2026_Grade!$J84="I (Incomplete)"), 0, IF(AD82&gt;=55%, 1, 0))</f>
        <v>0</v>
      </c>
      <c r="AO82" s="129">
        <f>IF(OR(CSE4098C_Summer2026_Grade!$J84="W (Withdrawn)", CSE4098C_Summer2026_Grade!$J84="I (Incomplete)"), 0, IF(AE82&gt;=55%, 1, 0))</f>
        <v>0</v>
      </c>
      <c r="AP82" s="129">
        <f>IF(OR(CSE4098C_Summer2026_Grade!$J84="W (Withdrawn)", CSE4098C_Summer2026_Grade!$J84="I (Incomplete)"), 0, IF(AF82&gt;=55%, 1, 0))</f>
        <v>0</v>
      </c>
      <c r="AQ82" s="129">
        <f>IF(OR(CSE4098C_Summer2026_Grade!$J84="W (Withdrawn)", CSE4098C_Summer2026_Grade!$J84="I (Incomplete)"), 0, IF(AG82&gt;=55%, 1, 0))</f>
        <v>1</v>
      </c>
      <c r="AR82" s="129">
        <f>IF(OR(CSE4098C_Summer2026_Grade!$J84="W (Withdrawn)", CSE4098C_Summer2026_Grade!$J84="I (Incomplete)"), 0, IF(AH82&gt;=55%, 1, 0))</f>
        <v>0</v>
      </c>
      <c r="AS82" s="129">
        <f>IF(OR(CSE4098C_Summer2026_Grade!$J84="W (Withdrawn)", CSE4098C_Summer2026_Grade!$J84="I (Incomplete)"), 0, IF(AI82&gt;=55%, 1, 0))</f>
        <v>0</v>
      </c>
      <c r="AT82" s="129">
        <f>IF(OR(CSE4098C_Summer2026_Grade!$J84="W (Withdrawn)", CSE4098C_Summer2026_Grade!$J84="I (Incomplete)"), 0, IF(AJ82&gt;=55%, 1, 0))</f>
        <v>0</v>
      </c>
      <c r="AU82" s="129">
        <f>IF(OR(CSE4098C_Summer2026_Grade!$J84="W (Withdrawn)", CSE4098C_Summer2026_Grade!$J84="I (Incomplete)"), 0, IF(AK82&gt;=55%, 1, 0))</f>
        <v>0</v>
      </c>
      <c r="AV82" s="129">
        <f>IF(OR(CSE4098C_Summer2026_Grade!$J84="W (Withdrawn)", CSE4098C_Summer2026_Grade!$J84="I (Incomplete)"), 0, IF(AL82&gt;=55%, 1, 0))</f>
        <v>0</v>
      </c>
      <c r="AX82" s="130">
        <f t="array" ref="AX82">IF($AY$13=0,0,MMULT($AC82:$AL82, AY$3:AY$12)/$AY$13)</f>
        <v>0</v>
      </c>
      <c r="AY82" s="130">
        <f t="array" ref="AY82">IF($AZ$13=0,0,MMULT($AC82:$AL82, AZ$3:AZ$12)/$AZ$13)</f>
        <v>0</v>
      </c>
      <c r="AZ82" s="130">
        <f t="array" ref="AZ82">IF($BA$13=0,0,MMULT($AC82:$AL82, BA$3:BA$12)/$BA$13)</f>
        <v>0</v>
      </c>
      <c r="BA82" s="130">
        <f t="array" ref="BA82">IF($BB$13=0,0,MMULT($AC82:$AL82, BB$3:BB$12)/$BB$13)</f>
        <v>0.55538461538461537</v>
      </c>
      <c r="BB82" s="130">
        <f t="array" ref="BB82">IF($BC$13=0,0,MMULT($AC82:$AL82, BC$3:BC$12)/$BC$13)</f>
        <v>0</v>
      </c>
      <c r="BC82" s="130">
        <f t="array" ref="BC82">IF($BD$13=0,0,MMULT($AC82:$AL82, BD$3:BD$12)/$BD$13)</f>
        <v>0</v>
      </c>
      <c r="BD82" s="130">
        <f t="array" ref="BD82">IF($BE$13=0,0,MMULT($AC82:$AL82, BE$3:BE$12)/$BE$13)</f>
        <v>0</v>
      </c>
      <c r="BE82" s="130">
        <f t="array" ref="BE82">IF($BF$13=0,0,MMULT($AC82:$AL82, BF$3:BF$12)/$BF$13)</f>
        <v>0</v>
      </c>
      <c r="BF82" s="130">
        <f t="array" ref="BF82">IF($BG$13=0,0,MMULT($AC82:$AL82, BG$3:BG$12)/$BG$13)</f>
        <v>0</v>
      </c>
      <c r="BG82" s="130">
        <f t="array" ref="BG82">IF($BH$13=0,0,MMULT($AC82:$AL82, BH$3:BH$12)/$BH$13)</f>
        <v>0.23480000000000004</v>
      </c>
      <c r="BH82" s="130">
        <f t="array" ref="BH82">IF($BI$13=0,0,MMULT($AC82:$AL82, BI$3:BI$12)/$BI$13)</f>
        <v>0</v>
      </c>
      <c r="BI82" s="130">
        <f t="array" ref="BI82">IF($BJ$13=0,0,MMULT($AC82:$AL82, BJ$3:BJ$12)/$BJ$13)</f>
        <v>0</v>
      </c>
      <c r="BJ82" s="129">
        <f>IF(OR(CSE4098C_Summer2026_Grade!$J84="W (Withdrawn)", CSE4098C_Summer2026_Grade!$J84="I (Incomplete)"), 0, IF(AX82&gt;=55%, 1, 0))</f>
        <v>0</v>
      </c>
      <c r="BK82" s="129">
        <f>IF(OR(CSE4098C_Summer2026_Grade!$J84="W (Withdrawn)", CSE4098C_Summer2026_Grade!$J84="I (Incomplete)"), 0, IF(AY82&gt;=55%, 1, 0))</f>
        <v>0</v>
      </c>
      <c r="BL82" s="129">
        <f>IF(OR(CSE4098C_Summer2026_Grade!$J84="W (Withdrawn)", CSE4098C_Summer2026_Grade!$J84="I (Incomplete)"), 0, IF(AZ82&gt;=55%, 1, 0))</f>
        <v>0</v>
      </c>
      <c r="BM82" s="129">
        <f>IF(OR(CSE4098C_Summer2026_Grade!$J84="W (Withdrawn)", CSE4098C_Summer2026_Grade!$J84="I (Incomplete)"), 0, IF(BA82&gt;=55%, 1, 0))</f>
        <v>1</v>
      </c>
      <c r="BN82" s="129">
        <f>IF(OR(CSE4098C_Summer2026_Grade!$J84="W (Withdrawn)", CSE4098C_Summer2026_Grade!$J84="I (Incomplete)"), 0, IF(BB82&gt;=55%, 1, 0))</f>
        <v>0</v>
      </c>
      <c r="BO82" s="129">
        <f>IF(OR(CSE4098C_Summer2026_Grade!$J84="W (Withdrawn)", CSE4098C_Summer2026_Grade!$J84="I (Incomplete)"), 0, IF(BC82&gt;=55%, 1, 0))</f>
        <v>0</v>
      </c>
      <c r="BP82" s="129">
        <f>IF(OR(CSE4098C_Summer2026_Grade!$J84="W (Withdrawn)", CSE4098C_Summer2026_Grade!$J84="I (Incomplete)"), 0, IF(BD82&gt;=55%, 1, 0))</f>
        <v>0</v>
      </c>
      <c r="BQ82" s="129">
        <f>IF(OR(CSE4098C_Summer2026_Grade!$J84="W (Withdrawn)", CSE4098C_Summer2026_Grade!$J84="I (Incomplete)"), 0, IF(BE82&gt;=55%, 1, 0))</f>
        <v>0</v>
      </c>
      <c r="BR82" s="129">
        <f>IF(OR(CSE4098C_Summer2026_Grade!$J84="W (Withdrawn)", CSE4098C_Summer2026_Grade!$J84="I (Incomplete)"), 0, IF(BF82&gt;=55%, 1, 0))</f>
        <v>0</v>
      </c>
      <c r="BS82" s="129">
        <f>IF(OR(CSE4098C_Summer2026_Grade!$J84="W (Withdrawn)", CSE4098C_Summer2026_Grade!$J84="I (Incomplete)"), 0, IF(BG82&gt;=55%, 1, 0))</f>
        <v>0</v>
      </c>
      <c r="BT82" s="129">
        <f>IF(OR(CSE4098C_Summer2026_Grade!$J84="W (Withdrawn)", CSE4098C_Summer2026_Grade!$J84="I (Incomplete)"), 0, IF(BH82&gt;=55%, 1, 0))</f>
        <v>0</v>
      </c>
      <c r="BU82" s="129">
        <f>IF(OR(CSE4098C_Summer2026_Grade!$J84="W (Withdrawn)", CSE4098C_Summer2026_Grade!$J84="I (Incomplete)"), 0, IF(BI82&gt;=55%, 1, 0))</f>
        <v>0</v>
      </c>
    </row>
    <row r="83" spans="1:73" ht="12.75" customHeight="1" thickBot="1">
      <c r="A83" s="118">
        <f t="shared" si="11"/>
        <v>65</v>
      </c>
      <c r="B83" s="222">
        <v>231014064</v>
      </c>
      <c r="C83" s="222" t="s">
        <v>267</v>
      </c>
      <c r="D83" s="119">
        <f>CO_Report_Evaluation!AG68</f>
        <v>0</v>
      </c>
      <c r="E83" s="119">
        <f>CO_Report_Evaluation!AH68</f>
        <v>0</v>
      </c>
      <c r="F83" s="119">
        <f>CO_Report_Evaluation!AI68</f>
        <v>0</v>
      </c>
      <c r="G83" s="119">
        <f>CO_Report_Evaluation!AJ68</f>
        <v>0</v>
      </c>
      <c r="H83" s="119">
        <f>CO_Report_Evaluation!AK68</f>
        <v>0</v>
      </c>
      <c r="I83" s="119">
        <f>CO_Report_Evaluation!AL68</f>
        <v>0</v>
      </c>
      <c r="J83" s="119">
        <f>CO_Report_Evaluation!AM68</f>
        <v>0</v>
      </c>
      <c r="K83" s="119">
        <f>CO_Report_Evaluation!AN68</f>
        <v>0</v>
      </c>
      <c r="L83" s="119">
        <f>CSE4098C_Summer2026_Grade!G69</f>
        <v>0</v>
      </c>
      <c r="M83" s="119"/>
      <c r="N83" s="33">
        <f>((CSE4098C_Summer2026_Grade!E69)*10)/25</f>
        <v>2.6319999999999997</v>
      </c>
      <c r="O83" s="120"/>
      <c r="P83" s="121"/>
      <c r="Q83" s="122">
        <v>14.44</v>
      </c>
      <c r="R83" s="120"/>
      <c r="S83" s="123">
        <f t="shared" si="4"/>
        <v>0</v>
      </c>
      <c r="T83" s="124">
        <f t="shared" ref="T83:U83" si="264">E83</f>
        <v>0</v>
      </c>
      <c r="U83" s="124">
        <f t="shared" si="264"/>
        <v>0</v>
      </c>
      <c r="V83" s="124">
        <f t="shared" ref="V83:X83" si="265">SUM(G83,P83)</f>
        <v>0</v>
      </c>
      <c r="W83" s="124">
        <f t="shared" si="265"/>
        <v>14.44</v>
      </c>
      <c r="X83" s="124">
        <f t="shared" si="265"/>
        <v>0</v>
      </c>
      <c r="Y83" s="125">
        <f t="shared" ref="Y83:AA83" si="266">J83</f>
        <v>0</v>
      </c>
      <c r="Z83" s="125">
        <f t="shared" si="266"/>
        <v>0</v>
      </c>
      <c r="AA83" s="125">
        <f t="shared" si="266"/>
        <v>0</v>
      </c>
      <c r="AB83" s="125">
        <f t="shared" si="9"/>
        <v>2.6319999999999997</v>
      </c>
      <c r="AC83" s="126">
        <f t="shared" ref="AC83:AL83" si="267">IF(S83 = 0, 0, S83/S$18)</f>
        <v>0</v>
      </c>
      <c r="AD83" s="127">
        <f t="shared" si="267"/>
        <v>0</v>
      </c>
      <c r="AE83" s="128">
        <f t="shared" si="267"/>
        <v>0</v>
      </c>
      <c r="AF83" s="128">
        <f t="shared" si="267"/>
        <v>0</v>
      </c>
      <c r="AG83" s="128">
        <f t="shared" si="267"/>
        <v>0.55538461538461537</v>
      </c>
      <c r="AH83" s="128">
        <f t="shared" si="267"/>
        <v>0</v>
      </c>
      <c r="AI83" s="128">
        <f t="shared" si="267"/>
        <v>0</v>
      </c>
      <c r="AJ83" s="128">
        <f t="shared" si="267"/>
        <v>0</v>
      </c>
      <c r="AK83" s="128">
        <f t="shared" si="267"/>
        <v>0</v>
      </c>
      <c r="AL83" s="128">
        <f t="shared" si="267"/>
        <v>0.26319999999999999</v>
      </c>
      <c r="AM83" s="129">
        <f>IF(OR(CSE4098C_Summer2026_Grade!$J85="W (Withdrawn)", CSE4098C_Summer2026_Grade!$J85="I (Incomplete)"), 0, IF(AC83&gt;=55%, 1, 0))</f>
        <v>0</v>
      </c>
      <c r="AN83" s="129">
        <f>IF(OR(CSE4098C_Summer2026_Grade!$J85="W (Withdrawn)", CSE4098C_Summer2026_Grade!$J85="I (Incomplete)"), 0, IF(AD83&gt;=55%, 1, 0))</f>
        <v>0</v>
      </c>
      <c r="AO83" s="129">
        <f>IF(OR(CSE4098C_Summer2026_Grade!$J85="W (Withdrawn)", CSE4098C_Summer2026_Grade!$J85="I (Incomplete)"), 0, IF(AE83&gt;=55%, 1, 0))</f>
        <v>0</v>
      </c>
      <c r="AP83" s="129">
        <f>IF(OR(CSE4098C_Summer2026_Grade!$J85="W (Withdrawn)", CSE4098C_Summer2026_Grade!$J85="I (Incomplete)"), 0, IF(AF83&gt;=55%, 1, 0))</f>
        <v>0</v>
      </c>
      <c r="AQ83" s="129">
        <f>IF(OR(CSE4098C_Summer2026_Grade!$J85="W (Withdrawn)", CSE4098C_Summer2026_Grade!$J85="I (Incomplete)"), 0, IF(AG83&gt;=55%, 1, 0))</f>
        <v>1</v>
      </c>
      <c r="AR83" s="129">
        <f>IF(OR(CSE4098C_Summer2026_Grade!$J85="W (Withdrawn)", CSE4098C_Summer2026_Grade!$J85="I (Incomplete)"), 0, IF(AH83&gt;=55%, 1, 0))</f>
        <v>0</v>
      </c>
      <c r="AS83" s="129">
        <f>IF(OR(CSE4098C_Summer2026_Grade!$J85="W (Withdrawn)", CSE4098C_Summer2026_Grade!$J85="I (Incomplete)"), 0, IF(AI83&gt;=55%, 1, 0))</f>
        <v>0</v>
      </c>
      <c r="AT83" s="129">
        <f>IF(OR(CSE4098C_Summer2026_Grade!$J85="W (Withdrawn)", CSE4098C_Summer2026_Grade!$J85="I (Incomplete)"), 0, IF(AJ83&gt;=55%, 1, 0))</f>
        <v>0</v>
      </c>
      <c r="AU83" s="129">
        <f>IF(OR(CSE4098C_Summer2026_Grade!$J85="W (Withdrawn)", CSE4098C_Summer2026_Grade!$J85="I (Incomplete)"), 0, IF(AK83&gt;=55%, 1, 0))</f>
        <v>0</v>
      </c>
      <c r="AV83" s="129">
        <f>IF(OR(CSE4098C_Summer2026_Grade!$J85="W (Withdrawn)", CSE4098C_Summer2026_Grade!$J85="I (Incomplete)"), 0, IF(AL83&gt;=55%, 1, 0))</f>
        <v>0</v>
      </c>
      <c r="AX83" s="130">
        <f t="array" ref="AX83">IF($AY$13=0,0,MMULT($AC83:$AL83, AY$3:AY$12)/$AY$13)</f>
        <v>0</v>
      </c>
      <c r="AY83" s="130">
        <f t="array" ref="AY83">IF($AZ$13=0,0,MMULT($AC83:$AL83, AZ$3:AZ$12)/$AZ$13)</f>
        <v>0</v>
      </c>
      <c r="AZ83" s="130">
        <f t="array" ref="AZ83">IF($BA$13=0,0,MMULT($AC83:$AL83, BA$3:BA$12)/$BA$13)</f>
        <v>0</v>
      </c>
      <c r="BA83" s="130">
        <f t="array" ref="BA83">IF($BB$13=0,0,MMULT($AC83:$AL83, BB$3:BB$12)/$BB$13)</f>
        <v>0.55538461538461537</v>
      </c>
      <c r="BB83" s="130">
        <f t="array" ref="BB83">IF($BC$13=0,0,MMULT($AC83:$AL83, BC$3:BC$12)/$BC$13)</f>
        <v>0</v>
      </c>
      <c r="BC83" s="130">
        <f t="array" ref="BC83">IF($BD$13=0,0,MMULT($AC83:$AL83, BD$3:BD$12)/$BD$13)</f>
        <v>0</v>
      </c>
      <c r="BD83" s="130">
        <f t="array" ref="BD83">IF($BE$13=0,0,MMULT($AC83:$AL83, BE$3:BE$12)/$BE$13)</f>
        <v>0</v>
      </c>
      <c r="BE83" s="130">
        <f t="array" ref="BE83">IF($BF$13=0,0,MMULT($AC83:$AL83, BF$3:BF$12)/$BF$13)</f>
        <v>0</v>
      </c>
      <c r="BF83" s="130">
        <f t="array" ref="BF83">IF($BG$13=0,0,MMULT($AC83:$AL83, BG$3:BG$12)/$BG$13)</f>
        <v>0</v>
      </c>
      <c r="BG83" s="130">
        <f t="array" ref="BG83">IF($BH$13=0,0,MMULT($AC83:$AL83, BH$3:BH$12)/$BH$13)</f>
        <v>0.26319999999999999</v>
      </c>
      <c r="BH83" s="130">
        <f t="array" ref="BH83">IF($BI$13=0,0,MMULT($AC83:$AL83, BI$3:BI$12)/$BI$13)</f>
        <v>0</v>
      </c>
      <c r="BI83" s="130">
        <f t="array" ref="BI83">IF($BJ$13=0,0,MMULT($AC83:$AL83, BJ$3:BJ$12)/$BJ$13)</f>
        <v>0</v>
      </c>
      <c r="BJ83" s="129">
        <f>IF(OR(CSE4098C_Summer2026_Grade!$J85="W (Withdrawn)", CSE4098C_Summer2026_Grade!$J85="I (Incomplete)"), 0, IF(AX83&gt;=55%, 1, 0))</f>
        <v>0</v>
      </c>
      <c r="BK83" s="129">
        <f>IF(OR(CSE4098C_Summer2026_Grade!$J85="W (Withdrawn)", CSE4098C_Summer2026_Grade!$J85="I (Incomplete)"), 0, IF(AY83&gt;=55%, 1, 0))</f>
        <v>0</v>
      </c>
      <c r="BL83" s="129">
        <f>IF(OR(CSE4098C_Summer2026_Grade!$J85="W (Withdrawn)", CSE4098C_Summer2026_Grade!$J85="I (Incomplete)"), 0, IF(AZ83&gt;=55%, 1, 0))</f>
        <v>0</v>
      </c>
      <c r="BM83" s="129">
        <f>IF(OR(CSE4098C_Summer2026_Grade!$J85="W (Withdrawn)", CSE4098C_Summer2026_Grade!$J85="I (Incomplete)"), 0, IF(BA83&gt;=55%, 1, 0))</f>
        <v>1</v>
      </c>
      <c r="BN83" s="129">
        <f>IF(OR(CSE4098C_Summer2026_Grade!$J85="W (Withdrawn)", CSE4098C_Summer2026_Grade!$J85="I (Incomplete)"), 0, IF(BB83&gt;=55%, 1, 0))</f>
        <v>0</v>
      </c>
      <c r="BO83" s="129">
        <f>IF(OR(CSE4098C_Summer2026_Grade!$J85="W (Withdrawn)", CSE4098C_Summer2026_Grade!$J85="I (Incomplete)"), 0, IF(BC83&gt;=55%, 1, 0))</f>
        <v>0</v>
      </c>
      <c r="BP83" s="129">
        <f>IF(OR(CSE4098C_Summer2026_Grade!$J85="W (Withdrawn)", CSE4098C_Summer2026_Grade!$J85="I (Incomplete)"), 0, IF(BD83&gt;=55%, 1, 0))</f>
        <v>0</v>
      </c>
      <c r="BQ83" s="129">
        <f>IF(OR(CSE4098C_Summer2026_Grade!$J85="W (Withdrawn)", CSE4098C_Summer2026_Grade!$J85="I (Incomplete)"), 0, IF(BE83&gt;=55%, 1, 0))</f>
        <v>0</v>
      </c>
      <c r="BR83" s="129">
        <f>IF(OR(CSE4098C_Summer2026_Grade!$J85="W (Withdrawn)", CSE4098C_Summer2026_Grade!$J85="I (Incomplete)"), 0, IF(BF83&gt;=55%, 1, 0))</f>
        <v>0</v>
      </c>
      <c r="BS83" s="129">
        <f>IF(OR(CSE4098C_Summer2026_Grade!$J85="W (Withdrawn)", CSE4098C_Summer2026_Grade!$J85="I (Incomplete)"), 0, IF(BG83&gt;=55%, 1, 0))</f>
        <v>0</v>
      </c>
      <c r="BT83" s="129">
        <f>IF(OR(CSE4098C_Summer2026_Grade!$J85="W (Withdrawn)", CSE4098C_Summer2026_Grade!$J85="I (Incomplete)"), 0, IF(BH83&gt;=55%, 1, 0))</f>
        <v>0</v>
      </c>
      <c r="BU83" s="129">
        <f>IF(OR(CSE4098C_Summer2026_Grade!$J85="W (Withdrawn)", CSE4098C_Summer2026_Grade!$J85="I (Incomplete)"), 0, IF(BI83&gt;=55%, 1, 0))</f>
        <v>0</v>
      </c>
    </row>
    <row r="84" spans="1:73" ht="12.75" customHeight="1" thickBot="1">
      <c r="A84" s="118">
        <v>65</v>
      </c>
      <c r="B84" s="232" t="s">
        <v>68</v>
      </c>
      <c r="C84" s="233"/>
      <c r="D84" s="131">
        <f>AVERAGE(D19:D83)</f>
        <v>0</v>
      </c>
      <c r="E84" s="131">
        <f>AVERAGE(E19:E83)</f>
        <v>0</v>
      </c>
      <c r="F84" s="131">
        <f>AVERAGE(F19:F83)</f>
        <v>0</v>
      </c>
      <c r="G84" s="131">
        <f>AVERAGE(G19:G83)</f>
        <v>0</v>
      </c>
      <c r="H84" s="131">
        <f>AVERAGE(H19:H83)</f>
        <v>0</v>
      </c>
      <c r="I84" s="131">
        <f>AVERAGE(I19:I83)</f>
        <v>0</v>
      </c>
      <c r="J84" s="131">
        <f>AVERAGE(J19:J83)</f>
        <v>0</v>
      </c>
      <c r="K84" s="131">
        <f>AVERAGE(K19:K83)</f>
        <v>0</v>
      </c>
      <c r="L84" s="131">
        <f>AVERAGE(L19:L83)</f>
        <v>0</v>
      </c>
      <c r="M84" s="132" t="e">
        <f>AVERAGE(M19:M43)</f>
        <v>#DIV/0!</v>
      </c>
      <c r="N84" s="133" t="e">
        <f>AVERAGE(N19:N83)</f>
        <v>#DIV/0!</v>
      </c>
      <c r="O84" s="133" t="e">
        <f>AVERAGE(O19:O43)</f>
        <v>#DIV/0!</v>
      </c>
      <c r="P84" s="133" t="e">
        <f>AVERAGE(P20:P43)</f>
        <v>#DIV/0!</v>
      </c>
      <c r="Q84" s="133">
        <f>AVERAGE(Q19:Q83)</f>
        <v>15.021538461538475</v>
      </c>
      <c r="R84" s="133" t="e">
        <f>AVERAGE(R20:R43)</f>
        <v>#DIV/0!</v>
      </c>
      <c r="S84" s="131">
        <f>AVERAGE(S19:S83)</f>
        <v>0</v>
      </c>
      <c r="T84" s="131">
        <f>AVERAGE(T19:T83)</f>
        <v>0</v>
      </c>
      <c r="U84" s="131">
        <f>AVERAGE(U19:U83)</f>
        <v>0</v>
      </c>
      <c r="V84" s="131">
        <f>AVERAGE(V19:V83)</f>
        <v>0</v>
      </c>
      <c r="W84" s="131">
        <f>AVERAGE(W19:W83)</f>
        <v>15.021538461538475</v>
      </c>
      <c r="X84" s="131">
        <f>AVERAGE(X19:X83)</f>
        <v>0</v>
      </c>
      <c r="Y84" s="131">
        <f>AVERAGE(Y19:Y83)</f>
        <v>0</v>
      </c>
      <c r="Z84" s="131">
        <f>AVERAGE(Z19:Z83)</f>
        <v>0</v>
      </c>
      <c r="AA84" s="131">
        <f>AVERAGE(AA19:AA83)</f>
        <v>0</v>
      </c>
      <c r="AB84" s="131" t="e">
        <f>AVERAGE(AB19:AB83)</f>
        <v>#DIV/0!</v>
      </c>
      <c r="AC84" s="107" t="e">
        <f>(SUMIFS(AC19:AC83,CSE4098C_Summer2026_Grade!J5:CSE4098C_Summer2026_Grade!#REF!,"&lt;&gt;W (Withdrawn)",CSE4098C_Summer2026_Grade!J5:CSE4098C_Summer2026_Grade!#REF!,"&lt;&gt;I (Incomplete)"))/($A$84-0-0)</f>
        <v>#REF!</v>
      </c>
      <c r="AD84" s="107" t="e">
        <f>(SUMIFS(AD19:AD83,CSE4098C_Summer2026_Grade!K5:CSE4098C_Summer2026_Grade!#REF!,"&lt;&gt;W (Withdrawn)",CSE4098C_Summer2026_Grade!K5:CSE4098C_Summer2026_Grade!#REF!,"&lt;&gt;I (Incomplete)"))/($A$84-0-0)</f>
        <v>#REF!</v>
      </c>
      <c r="AE84" s="107" t="e">
        <f>(SUMIFS(AE19:AE83,CSE4098C_Summer2026_Grade!L5:CSE4098C_Summer2026_Grade!#REF!,"&lt;&gt;W (Withdrawn)",CSE4098C_Summer2026_Grade!L5:CSE4098C_Summer2026_Grade!#REF!,"&lt;&gt;I (Incomplete)"))/($A$84-0-0)</f>
        <v>#REF!</v>
      </c>
      <c r="AF84" s="107" t="e">
        <f>(SUMIFS(AF19:AF83,CSE4098C_Summer2026_Grade!M5:CSE4098C_Summer2026_Grade!#REF!,"&lt;&gt;W (Withdrawn)",CSE4098C_Summer2026_Grade!M5:CSE4098C_Summer2026_Grade!#REF!,"&lt;&gt;I (Incomplete)"))/($A$84-0-0)</f>
        <v>#REF!</v>
      </c>
      <c r="AG84" s="107" t="e">
        <f>(SUMIFS(AG19:AG83,CSE4098C_Summer2026_Grade!N5:CSE4098C_Summer2026_Grade!#REF!,"&lt;&gt;W (Withdrawn)",CSE4098C_Summer2026_Grade!N5:CSE4098C_Summer2026_Grade!#REF!,"&lt;&gt;I (Incomplete)"))/($A$84-0-0)</f>
        <v>#REF!</v>
      </c>
      <c r="AH84" s="107" t="e">
        <f>(SUMIFS(AH19:AH83,CSE4098C_Summer2026_Grade!O5:CSE4098C_Summer2026_Grade!#REF!,"&lt;&gt;W (Withdrawn)",CSE4098C_Summer2026_Grade!O5:CSE4098C_Summer2026_Grade!#REF!,"&lt;&gt;I (Incomplete)"))/($A$84-0-0)</f>
        <v>#REF!</v>
      </c>
      <c r="AI84" s="107" t="e">
        <f>(SUMIFS(AI19:AI83,CSE4098C_Summer2026_Grade!P5:CSE4098C_Summer2026_Grade!#REF!,"&lt;&gt;W (Withdrawn)",CSE4098C_Summer2026_Grade!P5:CSE4098C_Summer2026_Grade!#REF!,"&lt;&gt;I (Incomplete)"))/($A$84-0-0)</f>
        <v>#REF!</v>
      </c>
      <c r="AJ84" s="107" t="e">
        <f>(SUMIFS(AJ19:AJ83,CSE4098C_Summer2026_Grade!Q5:CSE4098C_Summer2026_Grade!#REF!,"&lt;&gt;W (Withdrawn)",CSE4098C_Summer2026_Grade!Q5:CSE4098C_Summer2026_Grade!#REF!,"&lt;&gt;I (Incomplete)"))/($A$84-0-0)</f>
        <v>#REF!</v>
      </c>
      <c r="AK84" s="107" t="e">
        <f>(SUMIFS(AK19:AK83,CSE4098C_Summer2026_Grade!R5:CSE4098C_Summer2026_Grade!#REF!,"&lt;&gt;W (Withdrawn)",CSE4098C_Summer2026_Grade!R5:CSE4098C_Summer2026_Grade!#REF!,"&lt;&gt;I (Incomplete)"))/($A$84-0-0)</f>
        <v>#REF!</v>
      </c>
      <c r="AL84" s="107" t="e">
        <f>(SUMIFS(AL19:AL83,CSE4098C_Summer2026_Grade!S5:CSE4098C_Summer2026_Grade!#REF!,"&lt;&gt;W (Withdrawn)",CSE4098C_Summer2026_Grade!S5:CSE4098C_Summer2026_Grade!#REF!,"&lt;&gt;I (Incomplete)"))/($A$84-0-0)</f>
        <v>#REF!</v>
      </c>
      <c r="AM84" s="103" t="e">
        <f>SUM(AM19:AM83)</f>
        <v>#DIV/0!</v>
      </c>
      <c r="AN84" s="103" t="e">
        <f>SUM(AN19:AN83)</f>
        <v>#DIV/0!</v>
      </c>
      <c r="AO84" s="103" t="e">
        <f>SUM(AO19:AO83)</f>
        <v>#DIV/0!</v>
      </c>
      <c r="AP84" s="103" t="e">
        <f>SUM(AP19:AP83)</f>
        <v>#DIV/0!</v>
      </c>
      <c r="AQ84" s="103" t="e">
        <f>SUM(AQ19:AQ83)</f>
        <v>#DIV/0!</v>
      </c>
      <c r="AR84" s="103" t="e">
        <f>SUM(AR19:AR83)</f>
        <v>#DIV/0!</v>
      </c>
      <c r="AS84" s="103" t="e">
        <f>SUM(AS19:AS83)</f>
        <v>#DIV/0!</v>
      </c>
      <c r="AT84" s="103" t="e">
        <f>SUM(AT19:AT83)</f>
        <v>#DIV/0!</v>
      </c>
      <c r="AU84" s="103" t="e">
        <f>SUM(AU19:AU83)</f>
        <v>#DIV/0!</v>
      </c>
      <c r="AV84" s="103" t="e">
        <f>SUM(AV19:AV83)</f>
        <v>#DIV/0!</v>
      </c>
      <c r="AX84" s="134">
        <f>SUMIFS(AX19:AX83,
  CSE4098C_Summer2026_Grade!$J$5:$J$69, "&lt;&gt;W (Withdrawn)",
  CSE4098C_Summer2026_Grade!$J$5:$J$69, "&lt;&gt;I (Incomplete)")
  / ($A$84 - 0 -0)</f>
        <v>0</v>
      </c>
      <c r="AY84" s="134">
        <f>SUMIFS(AY19:AY83,
  CSE4098C_Summer2026_Grade!$J$5:$J$69, "&lt;&gt;W (Withdrawn)",
  CSE4098C_Summer2026_Grade!$J$5:$J$69, "&lt;&gt;I (Incomplete)")
  / ($A$84 - 0 -0)</f>
        <v>0</v>
      </c>
      <c r="AZ84" s="134" t="e">
        <f>SUMIFS(AZ19:AZ83,
  CSE4098C_Summer2026_Grade!$J$5:$J$69, "&lt;&gt;W (Withdrawn)",
  CSE4098C_Summer2026_Grade!$J$5:$J$69, "&lt;&gt;I (Incomplete)")
  / ($A$84 - 0 -0)</f>
        <v>#DIV/0!</v>
      </c>
      <c r="BA84" s="134" t="e">
        <f>SUMIFS(BA19:BA83,
  CSE4098C_Summer2026_Grade!$J$5:$J$69, "&lt;&gt;W (Withdrawn)",
  CSE4098C_Summer2026_Grade!$J$5:$J$69, "&lt;&gt;I (Incomplete)")
  / ($A$84 - 0 -0)</f>
        <v>#DIV/0!</v>
      </c>
      <c r="BB84" s="134" t="e">
        <f>SUMIFS(BB19:BB83,
  CSE4098C_Summer2026_Grade!$J$5:$J$69, "&lt;&gt;W (Withdrawn)",
  CSE4098C_Summer2026_Grade!$J$5:$J$69, "&lt;&gt;I (Incomplete)")
  / ($A$84 - 0 -0)</f>
        <v>#DIV/0!</v>
      </c>
      <c r="BC84" s="134" t="e">
        <f>SUMIFS(BC19:BC83,
  CSE4098C_Summer2026_Grade!$J$5:$J$69, "&lt;&gt;W (Withdrawn)",
  CSE4098C_Summer2026_Grade!$J$5:$J$69, "&lt;&gt;I (Incomplete)")
  / ($A$84 - 0 -0)</f>
        <v>#DIV/0!</v>
      </c>
      <c r="BD84" s="134" t="e">
        <f>SUMIFS(BD19:BD83,
  CSE4098C_Summer2026_Grade!$J$5:$J$69, "&lt;&gt;W (Withdrawn)",
  CSE4098C_Summer2026_Grade!$J$5:$J$69, "&lt;&gt;I (Incomplete)")
  / ($A$84 - 0 -0)</f>
        <v>#DIV/0!</v>
      </c>
      <c r="BE84" s="134" t="e">
        <f>SUMIFS(BE19:BE83,
  CSE4098C_Summer2026_Grade!$J$5:$J$69, "&lt;&gt;W (Withdrawn)",
  CSE4098C_Summer2026_Grade!$J$5:$J$69, "&lt;&gt;I (Incomplete)")
  / ($A$84 - 0 -0)</f>
        <v>#DIV/0!</v>
      </c>
      <c r="BF84" s="134" t="e">
        <f>SUMIFS(BF19:BF83,
  CSE4098C_Summer2026_Grade!$J$5:$J$69, "&lt;&gt;W (Withdrawn)",
  CSE4098C_Summer2026_Grade!$J$5:$J$69, "&lt;&gt;I (Incomplete)")
  / ($A$84 - 0 -0)</f>
        <v>#DIV/0!</v>
      </c>
      <c r="BG84" s="134" t="e">
        <f>SUMIFS(BG19:BG83,
  CSE4098C_Summer2026_Grade!$J$5:$J$69, "&lt;&gt;W (Withdrawn)",
  CSE4098C_Summer2026_Grade!$J$5:$J$69, "&lt;&gt;I (Incomplete)")
  / ($A$84 - 0 -0)</f>
        <v>#DIV/0!</v>
      </c>
      <c r="BH84" s="134" t="e">
        <f>SUMIFS(BH19:BH83,
  CSE4098C_Summer2026_Grade!$J$5:$J$69, "&lt;&gt;W (Withdrawn)",
  CSE4098C_Summer2026_Grade!$J$5:$J$69, "&lt;&gt;I (Incomplete)")
  / ($A$84 - 0 -0)</f>
        <v>#DIV/0!</v>
      </c>
      <c r="BI84" s="134" t="e">
        <f>SUMIFS(BI19:BI83,
  CSE4098C_Summer2026_Grade!$J$5:$J$69, "&lt;&gt;W (Withdrawn)",
  CSE4098C_Summer2026_Grade!$J$5:$J$69, "&lt;&gt;I (Incomplete)")
  / ($A$84 - 0 -0)</f>
        <v>#DIV/0!</v>
      </c>
      <c r="BJ84" s="103" t="e">
        <f>SUM(BJ19:BJ83)</f>
        <v>#DIV/0!</v>
      </c>
      <c r="BK84" s="103" t="e">
        <f>SUM(BK19:BK83)</f>
        <v>#DIV/0!</v>
      </c>
      <c r="BL84" s="103" t="e">
        <f>SUM(BL19:BL83)</f>
        <v>#DIV/0!</v>
      </c>
      <c r="BM84" s="103" t="e">
        <f>SUM(BM19:BM83)</f>
        <v>#DIV/0!</v>
      </c>
      <c r="BN84" s="103" t="e">
        <f>SUM(BN19:BN83)</f>
        <v>#DIV/0!</v>
      </c>
      <c r="BO84" s="103" t="e">
        <f>SUM(BO19:BO83)</f>
        <v>#DIV/0!</v>
      </c>
      <c r="BP84" s="103" t="e">
        <f>SUM(BP19:BP83)</f>
        <v>#DIV/0!</v>
      </c>
      <c r="BQ84" s="103" t="e">
        <f>SUM(BQ19:BQ83)</f>
        <v>#DIV/0!</v>
      </c>
      <c r="BR84" s="103" t="e">
        <f>SUM(BR19:BR83)</f>
        <v>#DIV/0!</v>
      </c>
      <c r="BS84" s="103" t="e">
        <f>SUM(BS19:BS83)</f>
        <v>#DIV/0!</v>
      </c>
      <c r="BT84" s="103" t="e">
        <f>SUM(BT19:BT83)</f>
        <v>#DIV/0!</v>
      </c>
      <c r="BU84" s="103" t="e">
        <f>SUM(BU19:BU83)</f>
        <v>#DIV/0!</v>
      </c>
    </row>
    <row r="85" spans="1:73" ht="12.75" customHeight="1">
      <c r="A85" s="20"/>
      <c r="B85" s="21"/>
      <c r="C85" s="21"/>
      <c r="D85" s="20"/>
      <c r="E85" s="20"/>
      <c r="F85" s="20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</row>
    <row r="86" spans="1:73" ht="12.75" customHeight="1">
      <c r="A86" s="20"/>
      <c r="B86" s="21"/>
      <c r="C86" s="21"/>
      <c r="D86" s="20"/>
      <c r="E86" s="20"/>
      <c r="F86" s="20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1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</row>
    <row r="87" spans="1:73" ht="12.75" customHeight="1">
      <c r="B87" s="22"/>
      <c r="C87" s="22"/>
      <c r="Q87" s="135"/>
    </row>
    <row r="88" spans="1:73" ht="12.75" customHeight="1">
      <c r="B88" s="22"/>
      <c r="C88" s="22"/>
      <c r="Q88" s="135"/>
    </row>
    <row r="89" spans="1:73" ht="12.75" customHeight="1">
      <c r="B89" s="22"/>
      <c r="C89" s="22"/>
      <c r="Q89" s="135"/>
    </row>
    <row r="90" spans="1:73" ht="12.75" customHeight="1">
      <c r="B90" s="22"/>
      <c r="C90" s="22"/>
      <c r="Q90" s="135"/>
    </row>
    <row r="91" spans="1:73" ht="12.75" customHeight="1">
      <c r="B91" s="22"/>
      <c r="C91" s="22"/>
      <c r="Q91" s="135"/>
    </row>
    <row r="92" spans="1:73" ht="12.75" customHeight="1">
      <c r="B92" s="22"/>
      <c r="C92" s="22"/>
      <c r="Q92" s="135"/>
    </row>
    <row r="93" spans="1:73" ht="12.75" customHeight="1">
      <c r="B93" s="22"/>
      <c r="C93" s="22"/>
      <c r="Q93" s="135"/>
    </row>
    <row r="94" spans="1:73" ht="12.75" customHeight="1">
      <c r="B94" s="22"/>
      <c r="C94" s="22"/>
      <c r="Q94" s="135"/>
    </row>
    <row r="95" spans="1:73" ht="12.75" customHeight="1">
      <c r="B95" s="22"/>
      <c r="C95" s="22"/>
      <c r="Q95" s="135"/>
    </row>
    <row r="96" spans="1:73" ht="12.75" customHeight="1">
      <c r="B96" s="22"/>
      <c r="C96" s="22"/>
      <c r="Q96" s="135"/>
    </row>
    <row r="97" spans="2:17" ht="12.75" customHeight="1">
      <c r="B97" s="22"/>
      <c r="C97" s="22"/>
      <c r="Q97" s="135"/>
    </row>
    <row r="98" spans="2:17" ht="12.75" customHeight="1">
      <c r="B98" s="22"/>
      <c r="C98" s="22"/>
      <c r="Q98" s="135"/>
    </row>
    <row r="99" spans="2:17" ht="12.75" customHeight="1">
      <c r="B99" s="22"/>
      <c r="C99" s="22"/>
      <c r="Q99" s="135"/>
    </row>
    <row r="100" spans="2:17" ht="12.75" customHeight="1">
      <c r="B100" s="22"/>
      <c r="C100" s="22"/>
      <c r="Q100" s="135"/>
    </row>
    <row r="101" spans="2:17" ht="12.75" customHeight="1">
      <c r="B101" s="22"/>
      <c r="C101" s="22"/>
      <c r="Q101" s="135"/>
    </row>
    <row r="102" spans="2:17" ht="12.75" customHeight="1">
      <c r="B102" s="22"/>
      <c r="C102" s="22"/>
      <c r="Q102" s="135"/>
    </row>
    <row r="103" spans="2:17" ht="12.75" customHeight="1">
      <c r="B103" s="22"/>
      <c r="C103" s="22"/>
      <c r="Q103" s="135"/>
    </row>
    <row r="104" spans="2:17" ht="12.75" customHeight="1">
      <c r="B104" s="22"/>
      <c r="C104" s="22"/>
      <c r="Q104" s="135"/>
    </row>
    <row r="105" spans="2:17" ht="12.75" customHeight="1">
      <c r="B105" s="22"/>
      <c r="C105" s="22"/>
      <c r="Q105" s="135"/>
    </row>
    <row r="106" spans="2:17" ht="12.75" customHeight="1">
      <c r="B106" s="22"/>
      <c r="C106" s="22"/>
      <c r="Q106" s="135"/>
    </row>
    <row r="107" spans="2:17" ht="12.75" customHeight="1">
      <c r="B107" s="22"/>
      <c r="C107" s="22"/>
      <c r="Q107" s="135"/>
    </row>
    <row r="108" spans="2:17" ht="12.75" customHeight="1">
      <c r="B108" s="22"/>
      <c r="C108" s="22"/>
      <c r="Q108" s="135"/>
    </row>
    <row r="109" spans="2:17" ht="12.75" customHeight="1">
      <c r="B109" s="22"/>
      <c r="C109" s="22"/>
      <c r="Q109" s="135"/>
    </row>
    <row r="110" spans="2:17" ht="12.75" customHeight="1">
      <c r="B110" s="22"/>
      <c r="C110" s="22"/>
      <c r="Q110" s="135"/>
    </row>
    <row r="111" spans="2:17" ht="12.75" customHeight="1">
      <c r="B111" s="22"/>
      <c r="C111" s="22"/>
      <c r="Q111" s="135"/>
    </row>
    <row r="112" spans="2:17" ht="12.75" customHeight="1">
      <c r="B112" s="22"/>
      <c r="C112" s="22"/>
      <c r="Q112" s="135"/>
    </row>
    <row r="113" spans="2:17" ht="12.75" customHeight="1">
      <c r="B113" s="22"/>
      <c r="C113" s="22"/>
      <c r="Q113" s="135"/>
    </row>
    <row r="114" spans="2:17" ht="12.75" customHeight="1">
      <c r="B114" s="22"/>
      <c r="C114" s="22"/>
      <c r="Q114" s="135"/>
    </row>
    <row r="115" spans="2:17" ht="12.75" customHeight="1">
      <c r="B115" s="22"/>
      <c r="C115" s="22"/>
      <c r="Q115" s="135"/>
    </row>
    <row r="116" spans="2:17" ht="12.75" customHeight="1">
      <c r="B116" s="22"/>
      <c r="C116" s="22"/>
      <c r="Q116" s="135"/>
    </row>
    <row r="117" spans="2:17" ht="12.75" customHeight="1">
      <c r="B117" s="22"/>
      <c r="C117" s="22"/>
      <c r="Q117" s="135"/>
    </row>
    <row r="118" spans="2:17" ht="12.75" customHeight="1">
      <c r="B118" s="22"/>
      <c r="C118" s="22"/>
      <c r="Q118" s="135"/>
    </row>
    <row r="119" spans="2:17" ht="12.75" customHeight="1">
      <c r="B119" s="22"/>
      <c r="C119" s="22"/>
      <c r="Q119" s="135"/>
    </row>
    <row r="120" spans="2:17" ht="12.75" customHeight="1">
      <c r="B120" s="22"/>
      <c r="C120" s="22"/>
      <c r="Q120" s="135"/>
    </row>
    <row r="121" spans="2:17" ht="12.75" customHeight="1">
      <c r="B121" s="22"/>
      <c r="C121" s="22"/>
      <c r="Q121" s="135"/>
    </row>
    <row r="122" spans="2:17" ht="12.75" customHeight="1">
      <c r="B122" s="22"/>
      <c r="C122" s="22"/>
      <c r="Q122" s="135"/>
    </row>
    <row r="123" spans="2:17" ht="12.75" customHeight="1">
      <c r="B123" s="22"/>
      <c r="C123" s="22"/>
      <c r="Q123" s="135"/>
    </row>
    <row r="124" spans="2:17" ht="12.75" customHeight="1">
      <c r="B124" s="22"/>
      <c r="C124" s="22"/>
      <c r="Q124" s="135"/>
    </row>
    <row r="125" spans="2:17" ht="12.75" customHeight="1">
      <c r="B125" s="22"/>
      <c r="C125" s="22"/>
      <c r="Q125" s="135"/>
    </row>
    <row r="126" spans="2:17" ht="12.75" customHeight="1">
      <c r="B126" s="22"/>
      <c r="C126" s="22"/>
      <c r="Q126" s="135"/>
    </row>
    <row r="127" spans="2:17" ht="12.75" customHeight="1">
      <c r="B127" s="22"/>
      <c r="C127" s="22"/>
      <c r="Q127" s="135"/>
    </row>
    <row r="128" spans="2:17" ht="12.75" customHeight="1">
      <c r="B128" s="22"/>
      <c r="C128" s="22"/>
      <c r="Q128" s="135"/>
    </row>
    <row r="129" spans="2:17" ht="12.75" customHeight="1">
      <c r="B129" s="22"/>
      <c r="C129" s="22"/>
      <c r="Q129" s="135"/>
    </row>
    <row r="130" spans="2:17" ht="12.75" customHeight="1">
      <c r="B130" s="22"/>
      <c r="C130" s="22"/>
      <c r="Q130" s="135"/>
    </row>
    <row r="131" spans="2:17" ht="12.75" customHeight="1">
      <c r="B131" s="22"/>
      <c r="C131" s="22"/>
      <c r="Q131" s="135"/>
    </row>
    <row r="132" spans="2:17" ht="12.75" customHeight="1">
      <c r="B132" s="22"/>
      <c r="C132" s="22"/>
      <c r="Q132" s="135"/>
    </row>
    <row r="133" spans="2:17" ht="12.75" customHeight="1">
      <c r="B133" s="22"/>
      <c r="C133" s="22"/>
      <c r="Q133" s="135"/>
    </row>
    <row r="134" spans="2:17" ht="12.75" customHeight="1">
      <c r="B134" s="22"/>
      <c r="C134" s="22"/>
      <c r="Q134" s="135"/>
    </row>
    <row r="135" spans="2:17" ht="12.75" customHeight="1">
      <c r="B135" s="22"/>
      <c r="C135" s="22"/>
      <c r="Q135" s="135"/>
    </row>
    <row r="136" spans="2:17" ht="12.75" customHeight="1">
      <c r="B136" s="22"/>
      <c r="C136" s="22"/>
      <c r="Q136" s="135"/>
    </row>
    <row r="137" spans="2:17" ht="12.75" customHeight="1">
      <c r="B137" s="22"/>
      <c r="C137" s="22"/>
      <c r="Q137" s="135"/>
    </row>
    <row r="138" spans="2:17" ht="12.75" customHeight="1">
      <c r="B138" s="22"/>
      <c r="C138" s="22"/>
      <c r="Q138" s="135"/>
    </row>
    <row r="139" spans="2:17" ht="12.75" customHeight="1">
      <c r="B139" s="22"/>
      <c r="C139" s="22"/>
      <c r="Q139" s="135"/>
    </row>
    <row r="140" spans="2:17" ht="12.75" customHeight="1">
      <c r="B140" s="22"/>
      <c r="C140" s="22"/>
      <c r="Q140" s="135"/>
    </row>
    <row r="141" spans="2:17" ht="12.75" customHeight="1">
      <c r="B141" s="22"/>
      <c r="C141" s="22"/>
      <c r="Q141" s="135"/>
    </row>
    <row r="142" spans="2:17" ht="12.75" customHeight="1">
      <c r="B142" s="22"/>
      <c r="C142" s="22"/>
      <c r="Q142" s="135"/>
    </row>
    <row r="143" spans="2:17" ht="12.75" customHeight="1">
      <c r="B143" s="22"/>
      <c r="C143" s="22"/>
      <c r="Q143" s="135"/>
    </row>
    <row r="144" spans="2:17" ht="12.75" customHeight="1">
      <c r="B144" s="22"/>
      <c r="C144" s="22"/>
      <c r="Q144" s="135"/>
    </row>
    <row r="145" spans="2:17" ht="12.75" customHeight="1">
      <c r="B145" s="22"/>
      <c r="C145" s="22"/>
      <c r="Q145" s="135"/>
    </row>
    <row r="146" spans="2:17" ht="12.75" customHeight="1">
      <c r="B146" s="22"/>
      <c r="C146" s="22"/>
      <c r="Q146" s="135"/>
    </row>
    <row r="147" spans="2:17" ht="12.75" customHeight="1">
      <c r="B147" s="22"/>
      <c r="C147" s="22"/>
      <c r="Q147" s="135"/>
    </row>
    <row r="148" spans="2:17" ht="12.75" customHeight="1">
      <c r="B148" s="22"/>
      <c r="C148" s="22"/>
      <c r="Q148" s="135"/>
    </row>
    <row r="149" spans="2:17" ht="12.75" customHeight="1">
      <c r="B149" s="22"/>
      <c r="C149" s="22"/>
      <c r="Q149" s="135"/>
    </row>
    <row r="150" spans="2:17" ht="12.75" customHeight="1">
      <c r="B150" s="22"/>
      <c r="C150" s="22"/>
      <c r="Q150" s="135"/>
    </row>
    <row r="151" spans="2:17" ht="12.75" customHeight="1">
      <c r="B151" s="22"/>
      <c r="C151" s="22"/>
      <c r="Q151" s="135"/>
    </row>
    <row r="152" spans="2:17" ht="12.75" customHeight="1">
      <c r="B152" s="22"/>
      <c r="C152" s="22"/>
      <c r="Q152" s="135"/>
    </row>
    <row r="153" spans="2:17" ht="12.75" customHeight="1">
      <c r="B153" s="22"/>
      <c r="C153" s="22"/>
      <c r="Q153" s="135"/>
    </row>
    <row r="154" spans="2:17" ht="12.75" customHeight="1">
      <c r="B154" s="22"/>
      <c r="C154" s="22"/>
      <c r="Q154" s="135"/>
    </row>
    <row r="155" spans="2:17" ht="12.75" customHeight="1">
      <c r="B155" s="22"/>
      <c r="C155" s="22"/>
      <c r="Q155" s="135"/>
    </row>
    <row r="156" spans="2:17" ht="12.75" customHeight="1">
      <c r="B156" s="22"/>
      <c r="C156" s="22"/>
      <c r="Q156" s="135"/>
    </row>
    <row r="157" spans="2:17" ht="12.75" customHeight="1">
      <c r="B157" s="22"/>
      <c r="C157" s="22"/>
      <c r="Q157" s="135"/>
    </row>
    <row r="158" spans="2:17" ht="12.75" customHeight="1">
      <c r="B158" s="22"/>
      <c r="C158" s="22"/>
      <c r="Q158" s="135"/>
    </row>
    <row r="159" spans="2:17" ht="12.75" customHeight="1">
      <c r="B159" s="22"/>
      <c r="C159" s="22"/>
      <c r="Q159" s="135"/>
    </row>
    <row r="160" spans="2:17" ht="12.75" customHeight="1">
      <c r="B160" s="22"/>
      <c r="C160" s="22"/>
      <c r="Q160" s="135"/>
    </row>
    <row r="161" spans="2:17" ht="12.75" customHeight="1">
      <c r="B161" s="22"/>
      <c r="C161" s="22"/>
      <c r="Q161" s="135"/>
    </row>
    <row r="162" spans="2:17" ht="12.75" customHeight="1">
      <c r="B162" s="22"/>
      <c r="C162" s="22"/>
      <c r="Q162" s="135"/>
    </row>
    <row r="163" spans="2:17" ht="12.75" customHeight="1">
      <c r="B163" s="22"/>
      <c r="C163" s="22"/>
      <c r="Q163" s="135"/>
    </row>
    <row r="164" spans="2:17" ht="12.75" customHeight="1">
      <c r="B164" s="22"/>
      <c r="C164" s="22"/>
      <c r="Q164" s="135"/>
    </row>
    <row r="165" spans="2:17" ht="12.75" customHeight="1">
      <c r="B165" s="22"/>
      <c r="C165" s="22"/>
      <c r="Q165" s="135"/>
    </row>
    <row r="166" spans="2:17" ht="12.75" customHeight="1">
      <c r="B166" s="22"/>
      <c r="C166" s="22"/>
      <c r="Q166" s="135"/>
    </row>
    <row r="167" spans="2:17" ht="12.75" customHeight="1">
      <c r="B167" s="22"/>
      <c r="C167" s="22"/>
      <c r="Q167" s="135"/>
    </row>
    <row r="168" spans="2:17" ht="12.75" customHeight="1">
      <c r="B168" s="22"/>
      <c r="C168" s="22"/>
      <c r="Q168" s="135"/>
    </row>
    <row r="169" spans="2:17" ht="12.75" customHeight="1">
      <c r="B169" s="22"/>
      <c r="C169" s="22"/>
      <c r="Q169" s="135"/>
    </row>
    <row r="170" spans="2:17" ht="12.75" customHeight="1">
      <c r="B170" s="22"/>
      <c r="C170" s="22"/>
      <c r="Q170" s="135"/>
    </row>
    <row r="171" spans="2:17" ht="12.75" customHeight="1">
      <c r="B171" s="22"/>
      <c r="C171" s="22"/>
      <c r="Q171" s="135"/>
    </row>
    <row r="172" spans="2:17" ht="12.75" customHeight="1">
      <c r="B172" s="22"/>
      <c r="C172" s="22"/>
      <c r="Q172" s="135"/>
    </row>
    <row r="173" spans="2:17" ht="12.75" customHeight="1">
      <c r="B173" s="22"/>
      <c r="C173" s="22"/>
      <c r="Q173" s="135"/>
    </row>
    <row r="174" spans="2:17" ht="12.75" customHeight="1">
      <c r="B174" s="22"/>
      <c r="C174" s="22"/>
      <c r="Q174" s="135"/>
    </row>
    <row r="175" spans="2:17" ht="12.75" customHeight="1">
      <c r="B175" s="22"/>
      <c r="C175" s="22"/>
      <c r="Q175" s="135"/>
    </row>
    <row r="176" spans="2:17" ht="12.75" customHeight="1">
      <c r="B176" s="22"/>
      <c r="C176" s="22"/>
      <c r="Q176" s="135"/>
    </row>
    <row r="177" spans="2:17" ht="12.75" customHeight="1">
      <c r="B177" s="22"/>
      <c r="C177" s="22"/>
      <c r="Q177" s="135"/>
    </row>
    <row r="178" spans="2:17" ht="12.75" customHeight="1">
      <c r="B178" s="22"/>
      <c r="C178" s="22"/>
      <c r="Q178" s="135"/>
    </row>
    <row r="179" spans="2:17" ht="12.75" customHeight="1">
      <c r="B179" s="22"/>
      <c r="C179" s="22"/>
      <c r="Q179" s="135"/>
    </row>
    <row r="180" spans="2:17" ht="12.75" customHeight="1">
      <c r="B180" s="22"/>
      <c r="C180" s="22"/>
      <c r="Q180" s="135"/>
    </row>
    <row r="181" spans="2:17" ht="12.75" customHeight="1">
      <c r="B181" s="22"/>
      <c r="C181" s="22"/>
      <c r="Q181" s="135"/>
    </row>
    <row r="182" spans="2:17" ht="12.75" customHeight="1">
      <c r="B182" s="22"/>
      <c r="C182" s="22"/>
      <c r="Q182" s="135"/>
    </row>
    <row r="183" spans="2:17" ht="12.75" customHeight="1">
      <c r="B183" s="22"/>
      <c r="C183" s="22"/>
      <c r="Q183" s="135"/>
    </row>
    <row r="184" spans="2:17" ht="12.75" customHeight="1">
      <c r="B184" s="22"/>
      <c r="C184" s="22"/>
      <c r="Q184" s="135"/>
    </row>
    <row r="185" spans="2:17" ht="12.75" customHeight="1">
      <c r="B185" s="22"/>
      <c r="C185" s="22"/>
      <c r="Q185" s="135"/>
    </row>
    <row r="186" spans="2:17" ht="12.75" customHeight="1">
      <c r="B186" s="22"/>
      <c r="C186" s="22"/>
      <c r="Q186" s="135"/>
    </row>
    <row r="187" spans="2:17" ht="12.75" customHeight="1">
      <c r="B187" s="22"/>
      <c r="C187" s="22"/>
      <c r="Q187" s="135"/>
    </row>
    <row r="188" spans="2:17" ht="12.75" customHeight="1">
      <c r="B188" s="22"/>
      <c r="C188" s="22"/>
      <c r="Q188" s="135"/>
    </row>
    <row r="189" spans="2:17" ht="12.75" customHeight="1">
      <c r="B189" s="22"/>
      <c r="C189" s="22"/>
      <c r="Q189" s="135"/>
    </row>
    <row r="190" spans="2:17" ht="12.75" customHeight="1">
      <c r="B190" s="22"/>
      <c r="C190" s="22"/>
      <c r="Q190" s="135"/>
    </row>
    <row r="191" spans="2:17" ht="12.75" customHeight="1">
      <c r="B191" s="22"/>
      <c r="C191" s="22"/>
      <c r="Q191" s="135"/>
    </row>
    <row r="192" spans="2:17" ht="12.75" customHeight="1">
      <c r="B192" s="22"/>
      <c r="C192" s="22"/>
      <c r="Q192" s="135"/>
    </row>
    <row r="193" spans="2:17" ht="12.75" customHeight="1">
      <c r="B193" s="22"/>
      <c r="C193" s="22"/>
      <c r="Q193" s="135"/>
    </row>
    <row r="194" spans="2:17" ht="12.75" customHeight="1">
      <c r="B194" s="22"/>
      <c r="C194" s="22"/>
      <c r="Q194" s="135"/>
    </row>
    <row r="195" spans="2:17" ht="12.75" customHeight="1">
      <c r="B195" s="22"/>
      <c r="C195" s="22"/>
      <c r="Q195" s="135"/>
    </row>
    <row r="196" spans="2:17" ht="12.75" customHeight="1">
      <c r="B196" s="22"/>
      <c r="C196" s="22"/>
      <c r="Q196" s="135"/>
    </row>
    <row r="197" spans="2:17" ht="12.75" customHeight="1">
      <c r="B197" s="22"/>
      <c r="C197" s="22"/>
      <c r="Q197" s="135"/>
    </row>
    <row r="198" spans="2:17" ht="12.75" customHeight="1">
      <c r="B198" s="22"/>
      <c r="C198" s="22"/>
      <c r="Q198" s="135"/>
    </row>
    <row r="199" spans="2:17" ht="12.75" customHeight="1">
      <c r="B199" s="22"/>
      <c r="C199" s="22"/>
      <c r="Q199" s="135"/>
    </row>
    <row r="200" spans="2:17" ht="12.75" customHeight="1">
      <c r="B200" s="22"/>
      <c r="C200" s="22"/>
      <c r="Q200" s="135"/>
    </row>
    <row r="201" spans="2:17" ht="12.75" customHeight="1">
      <c r="B201" s="22"/>
      <c r="C201" s="22"/>
      <c r="Q201" s="135"/>
    </row>
    <row r="202" spans="2:17" ht="12.75" customHeight="1">
      <c r="B202" s="22"/>
      <c r="C202" s="22"/>
      <c r="Q202" s="135"/>
    </row>
    <row r="203" spans="2:17" ht="12.75" customHeight="1">
      <c r="B203" s="22"/>
      <c r="C203" s="22"/>
      <c r="Q203" s="135"/>
    </row>
    <row r="204" spans="2:17" ht="12.75" customHeight="1">
      <c r="B204" s="22"/>
      <c r="C204" s="22"/>
      <c r="Q204" s="135"/>
    </row>
    <row r="205" spans="2:17" ht="12.75" customHeight="1">
      <c r="B205" s="22"/>
      <c r="C205" s="22"/>
      <c r="Q205" s="135"/>
    </row>
    <row r="206" spans="2:17" ht="12.75" customHeight="1">
      <c r="B206" s="22"/>
      <c r="C206" s="22"/>
      <c r="Q206" s="135"/>
    </row>
    <row r="207" spans="2:17" ht="12.75" customHeight="1">
      <c r="B207" s="22"/>
      <c r="C207" s="22"/>
      <c r="Q207" s="135"/>
    </row>
    <row r="208" spans="2:17" ht="12.75" customHeight="1">
      <c r="B208" s="22"/>
      <c r="C208" s="22"/>
      <c r="Q208" s="135"/>
    </row>
    <row r="209" spans="2:17" ht="12.75" customHeight="1">
      <c r="B209" s="22"/>
      <c r="C209" s="22"/>
      <c r="Q209" s="135"/>
    </row>
    <row r="210" spans="2:17" ht="12.75" customHeight="1">
      <c r="B210" s="22"/>
      <c r="C210" s="22"/>
      <c r="Q210" s="135"/>
    </row>
    <row r="211" spans="2:17" ht="12.75" customHeight="1">
      <c r="B211" s="22"/>
      <c r="C211" s="22"/>
      <c r="Q211" s="135"/>
    </row>
    <row r="212" spans="2:17" ht="12.75" customHeight="1">
      <c r="B212" s="22"/>
      <c r="C212" s="22"/>
      <c r="Q212" s="135"/>
    </row>
    <row r="213" spans="2:17" ht="12.75" customHeight="1">
      <c r="B213" s="22"/>
      <c r="C213" s="22"/>
      <c r="Q213" s="135"/>
    </row>
    <row r="214" spans="2:17" ht="12.75" customHeight="1">
      <c r="B214" s="22"/>
      <c r="C214" s="22"/>
      <c r="Q214" s="135"/>
    </row>
    <row r="215" spans="2:17" ht="12.75" customHeight="1">
      <c r="B215" s="22"/>
      <c r="C215" s="22"/>
      <c r="Q215" s="135"/>
    </row>
    <row r="216" spans="2:17" ht="12.75" customHeight="1">
      <c r="B216" s="22"/>
      <c r="C216" s="22"/>
      <c r="Q216" s="135"/>
    </row>
    <row r="217" spans="2:17" ht="12.75" customHeight="1">
      <c r="B217" s="22"/>
      <c r="C217" s="22"/>
      <c r="Q217" s="135"/>
    </row>
    <row r="218" spans="2:17" ht="12.75" customHeight="1">
      <c r="B218" s="22"/>
      <c r="C218" s="22"/>
      <c r="Q218" s="135"/>
    </row>
    <row r="219" spans="2:17" ht="12.75" customHeight="1">
      <c r="B219" s="22"/>
      <c r="C219" s="22"/>
      <c r="Q219" s="135"/>
    </row>
    <row r="220" spans="2:17" ht="12.75" customHeight="1">
      <c r="B220" s="22"/>
      <c r="C220" s="22"/>
      <c r="Q220" s="135"/>
    </row>
    <row r="221" spans="2:17" ht="12.75" customHeight="1">
      <c r="B221" s="22"/>
      <c r="C221" s="22"/>
      <c r="Q221" s="135"/>
    </row>
    <row r="222" spans="2:17" ht="12.75" customHeight="1">
      <c r="B222" s="22"/>
      <c r="C222" s="22"/>
      <c r="Q222" s="135"/>
    </row>
    <row r="223" spans="2:17" ht="12.75" customHeight="1">
      <c r="B223" s="22"/>
      <c r="C223" s="22"/>
      <c r="Q223" s="135"/>
    </row>
    <row r="224" spans="2:17" ht="12.75" customHeight="1">
      <c r="B224" s="22"/>
      <c r="C224" s="22"/>
      <c r="Q224" s="135"/>
    </row>
    <row r="225" spans="2:17" ht="12.75" customHeight="1">
      <c r="B225" s="22"/>
      <c r="C225" s="22"/>
      <c r="Q225" s="135"/>
    </row>
    <row r="226" spans="2:17" ht="12.75" customHeight="1">
      <c r="B226" s="22"/>
      <c r="C226" s="22"/>
      <c r="Q226" s="135"/>
    </row>
    <row r="227" spans="2:17" ht="12.75" customHeight="1">
      <c r="B227" s="22"/>
      <c r="C227" s="22"/>
      <c r="Q227" s="135"/>
    </row>
    <row r="228" spans="2:17" ht="12.75" customHeight="1">
      <c r="B228" s="22"/>
      <c r="C228" s="22"/>
      <c r="Q228" s="135"/>
    </row>
    <row r="229" spans="2:17" ht="12.75" customHeight="1">
      <c r="B229" s="22"/>
      <c r="C229" s="22"/>
      <c r="Q229" s="135"/>
    </row>
    <row r="230" spans="2:17" ht="12.75" customHeight="1">
      <c r="B230" s="22"/>
      <c r="C230" s="22"/>
      <c r="Q230" s="135"/>
    </row>
    <row r="231" spans="2:17" ht="12.75" customHeight="1">
      <c r="B231" s="22"/>
      <c r="C231" s="22"/>
      <c r="Q231" s="135"/>
    </row>
    <row r="232" spans="2:17" ht="12.75" customHeight="1">
      <c r="B232" s="22"/>
      <c r="C232" s="22"/>
      <c r="Q232" s="135"/>
    </row>
    <row r="233" spans="2:17" ht="12.75" customHeight="1">
      <c r="B233" s="22"/>
      <c r="C233" s="22"/>
      <c r="Q233" s="135"/>
    </row>
    <row r="234" spans="2:17" ht="12.75" customHeight="1">
      <c r="B234" s="22"/>
      <c r="C234" s="22"/>
      <c r="Q234" s="135"/>
    </row>
    <row r="235" spans="2:17" ht="12.75" customHeight="1">
      <c r="B235" s="22"/>
      <c r="C235" s="22"/>
      <c r="Q235" s="135"/>
    </row>
    <row r="236" spans="2:17" ht="12.75" customHeight="1">
      <c r="B236" s="22"/>
      <c r="C236" s="22"/>
      <c r="Q236" s="135"/>
    </row>
    <row r="237" spans="2:17" ht="12.75" customHeight="1">
      <c r="B237" s="22"/>
      <c r="C237" s="22"/>
      <c r="Q237" s="135"/>
    </row>
    <row r="238" spans="2:17" ht="12.75" customHeight="1">
      <c r="B238" s="22"/>
      <c r="C238" s="22"/>
      <c r="Q238" s="135"/>
    </row>
    <row r="239" spans="2:17" ht="12.75" customHeight="1">
      <c r="B239" s="22"/>
      <c r="C239" s="22"/>
      <c r="Q239" s="135"/>
    </row>
    <row r="240" spans="2:17" ht="12.75" customHeight="1">
      <c r="B240" s="22"/>
      <c r="C240" s="22"/>
      <c r="Q240" s="135"/>
    </row>
    <row r="241" spans="2:17" ht="12.75" customHeight="1">
      <c r="B241" s="22"/>
      <c r="C241" s="22"/>
      <c r="Q241" s="135"/>
    </row>
    <row r="242" spans="2:17" ht="12.75" customHeight="1">
      <c r="B242" s="22"/>
      <c r="C242" s="22"/>
      <c r="Q242" s="135"/>
    </row>
    <row r="243" spans="2:17" ht="12.75" customHeight="1">
      <c r="B243" s="22"/>
      <c r="C243" s="22"/>
      <c r="Q243" s="135"/>
    </row>
    <row r="244" spans="2:17" ht="12.75" customHeight="1">
      <c r="B244" s="22"/>
      <c r="C244" s="22"/>
      <c r="Q244" s="135"/>
    </row>
    <row r="245" spans="2:17" ht="12.75" customHeight="1">
      <c r="B245" s="22"/>
      <c r="C245" s="22"/>
      <c r="Q245" s="135"/>
    </row>
    <row r="246" spans="2:17" ht="12.75" customHeight="1">
      <c r="B246" s="22"/>
      <c r="C246" s="22"/>
      <c r="Q246" s="135"/>
    </row>
    <row r="247" spans="2:17" ht="12.75" customHeight="1">
      <c r="B247" s="22"/>
      <c r="C247" s="22"/>
      <c r="Q247" s="135"/>
    </row>
    <row r="248" spans="2:17" ht="12.75" customHeight="1">
      <c r="B248" s="22"/>
      <c r="C248" s="22"/>
      <c r="Q248" s="135"/>
    </row>
    <row r="249" spans="2:17" ht="12.75" customHeight="1">
      <c r="B249" s="22"/>
      <c r="C249" s="22"/>
      <c r="Q249" s="135"/>
    </row>
    <row r="250" spans="2:17" ht="12.75" customHeight="1">
      <c r="B250" s="22"/>
      <c r="C250" s="22"/>
      <c r="Q250" s="135"/>
    </row>
    <row r="251" spans="2:17" ht="12.75" customHeight="1">
      <c r="B251" s="22"/>
      <c r="C251" s="22"/>
      <c r="Q251" s="135"/>
    </row>
    <row r="252" spans="2:17" ht="12.75" customHeight="1">
      <c r="B252" s="22"/>
      <c r="C252" s="22"/>
      <c r="Q252" s="135"/>
    </row>
    <row r="253" spans="2:17" ht="12.75" customHeight="1">
      <c r="B253" s="22"/>
      <c r="C253" s="22"/>
      <c r="Q253" s="135"/>
    </row>
    <row r="254" spans="2:17" ht="12.75" customHeight="1">
      <c r="B254" s="22"/>
      <c r="C254" s="22"/>
      <c r="Q254" s="135"/>
    </row>
    <row r="255" spans="2:17" ht="12.75" customHeight="1">
      <c r="B255" s="22"/>
      <c r="C255" s="22"/>
      <c r="Q255" s="135"/>
    </row>
    <row r="256" spans="2:17" ht="12.75" customHeight="1">
      <c r="B256" s="22"/>
      <c r="C256" s="22"/>
      <c r="Q256" s="135"/>
    </row>
    <row r="257" spans="2:17" ht="12.75" customHeight="1">
      <c r="B257" s="22"/>
      <c r="C257" s="22"/>
      <c r="Q257" s="135"/>
    </row>
    <row r="258" spans="2:17" ht="12.75" customHeight="1">
      <c r="B258" s="22"/>
      <c r="C258" s="22"/>
      <c r="Q258" s="135"/>
    </row>
    <row r="259" spans="2:17" ht="12.75" customHeight="1">
      <c r="B259" s="22"/>
      <c r="C259" s="22"/>
      <c r="Q259" s="135"/>
    </row>
    <row r="260" spans="2:17" ht="12.75" customHeight="1">
      <c r="B260" s="22"/>
      <c r="C260" s="22"/>
      <c r="Q260" s="135"/>
    </row>
    <row r="261" spans="2:17" ht="12.75" customHeight="1">
      <c r="B261" s="22"/>
      <c r="C261" s="22"/>
      <c r="Q261" s="135"/>
    </row>
    <row r="262" spans="2:17" ht="12.75" customHeight="1">
      <c r="B262" s="22"/>
      <c r="C262" s="22"/>
      <c r="Q262" s="135"/>
    </row>
    <row r="263" spans="2:17" ht="12.75" customHeight="1">
      <c r="B263" s="22"/>
      <c r="C263" s="22"/>
      <c r="Q263" s="135"/>
    </row>
    <row r="264" spans="2:17" ht="12.75" customHeight="1">
      <c r="B264" s="22"/>
      <c r="C264" s="22"/>
      <c r="Q264" s="135"/>
    </row>
    <row r="265" spans="2:17" ht="12.75" customHeight="1">
      <c r="B265" s="22"/>
      <c r="C265" s="22"/>
      <c r="Q265" s="135"/>
    </row>
    <row r="266" spans="2:17" ht="12.75" customHeight="1">
      <c r="B266" s="22"/>
      <c r="C266" s="22"/>
      <c r="Q266" s="135"/>
    </row>
    <row r="267" spans="2:17" ht="12.75" customHeight="1">
      <c r="B267" s="22"/>
      <c r="C267" s="22"/>
      <c r="Q267" s="135"/>
    </row>
    <row r="268" spans="2:17" ht="12.75" customHeight="1">
      <c r="B268" s="22"/>
      <c r="C268" s="22"/>
      <c r="Q268" s="135"/>
    </row>
    <row r="269" spans="2:17" ht="12.75" customHeight="1">
      <c r="B269" s="22"/>
      <c r="C269" s="22"/>
      <c r="Q269" s="135"/>
    </row>
    <row r="270" spans="2:17" ht="12.75" customHeight="1">
      <c r="B270" s="22"/>
      <c r="C270" s="22"/>
      <c r="Q270" s="135"/>
    </row>
    <row r="271" spans="2:17" ht="12.75" customHeight="1">
      <c r="B271" s="22"/>
      <c r="C271" s="22"/>
      <c r="Q271" s="135"/>
    </row>
    <row r="272" spans="2:17" ht="12.75" customHeight="1">
      <c r="B272" s="22"/>
      <c r="C272" s="22"/>
      <c r="Q272" s="135"/>
    </row>
    <row r="273" spans="2:17" ht="12.75" customHeight="1">
      <c r="B273" s="22"/>
      <c r="C273" s="22"/>
      <c r="Q273" s="135"/>
    </row>
    <row r="274" spans="2:17" ht="12.75" customHeight="1">
      <c r="B274" s="22"/>
      <c r="C274" s="22"/>
      <c r="Q274" s="135"/>
    </row>
    <row r="275" spans="2:17" ht="12.75" customHeight="1">
      <c r="B275" s="22"/>
      <c r="C275" s="22"/>
      <c r="Q275" s="135"/>
    </row>
    <row r="276" spans="2:17" ht="12.75" customHeight="1">
      <c r="B276" s="22"/>
      <c r="C276" s="22"/>
      <c r="Q276" s="135"/>
    </row>
    <row r="277" spans="2:17" ht="12.75" customHeight="1">
      <c r="B277" s="22"/>
      <c r="C277" s="22"/>
      <c r="Q277" s="135"/>
    </row>
    <row r="278" spans="2:17" ht="12.75" customHeight="1">
      <c r="B278" s="22"/>
      <c r="C278" s="22"/>
      <c r="Q278" s="135"/>
    </row>
    <row r="279" spans="2:17" ht="12.75" customHeight="1">
      <c r="B279" s="22"/>
      <c r="C279" s="22"/>
      <c r="Q279" s="135"/>
    </row>
    <row r="280" spans="2:17" ht="12.75" customHeight="1">
      <c r="B280" s="22"/>
      <c r="C280" s="22"/>
      <c r="Q280" s="135"/>
    </row>
    <row r="281" spans="2:17" ht="12.75" customHeight="1">
      <c r="B281" s="22"/>
      <c r="C281" s="22"/>
      <c r="Q281" s="135"/>
    </row>
    <row r="282" spans="2:17" ht="12.75" customHeight="1">
      <c r="B282" s="22"/>
      <c r="C282" s="22"/>
      <c r="Q282" s="135"/>
    </row>
    <row r="283" spans="2:17" ht="12.75" customHeight="1">
      <c r="B283" s="22"/>
      <c r="C283" s="22"/>
      <c r="Q283" s="135"/>
    </row>
    <row r="284" spans="2:17" ht="12.75" customHeight="1">
      <c r="B284" s="22"/>
      <c r="C284" s="22"/>
      <c r="Q284" s="135"/>
    </row>
    <row r="285" spans="2:17" ht="12.75" customHeight="1">
      <c r="B285" s="22"/>
      <c r="C285" s="22"/>
      <c r="Q285" s="135"/>
    </row>
    <row r="286" spans="2:17" ht="12.75" customHeight="1">
      <c r="B286" s="22"/>
      <c r="C286" s="22"/>
      <c r="Q286" s="135"/>
    </row>
    <row r="287" spans="2:17" ht="12.75" customHeight="1">
      <c r="B287" s="22"/>
      <c r="C287" s="22"/>
      <c r="Q287" s="135"/>
    </row>
    <row r="288" spans="2:17" ht="12.75" customHeight="1">
      <c r="B288" s="22"/>
      <c r="C288" s="22"/>
      <c r="Q288" s="135"/>
    </row>
    <row r="289" spans="2:17" ht="12.75" customHeight="1">
      <c r="B289" s="22"/>
      <c r="C289" s="22"/>
      <c r="Q289" s="135"/>
    </row>
    <row r="290" spans="2:17" ht="12.75" customHeight="1">
      <c r="B290" s="22"/>
      <c r="C290" s="22"/>
      <c r="Q290" s="135"/>
    </row>
    <row r="291" spans="2:17" ht="12.75" customHeight="1">
      <c r="B291" s="22"/>
      <c r="C291" s="22"/>
      <c r="Q291" s="135"/>
    </row>
    <row r="292" spans="2:17" ht="12.75" customHeight="1">
      <c r="B292" s="22"/>
      <c r="C292" s="22"/>
      <c r="Q292" s="135"/>
    </row>
    <row r="293" spans="2:17" ht="12.75" customHeight="1">
      <c r="B293" s="22"/>
      <c r="C293" s="22"/>
      <c r="Q293" s="135"/>
    </row>
    <row r="294" spans="2:17" ht="12.75" customHeight="1">
      <c r="B294" s="22"/>
      <c r="C294" s="22"/>
      <c r="Q294" s="135"/>
    </row>
    <row r="295" spans="2:17" ht="12.75" customHeight="1">
      <c r="B295" s="22"/>
      <c r="C295" s="22"/>
      <c r="Q295" s="135"/>
    </row>
    <row r="296" spans="2:17" ht="12.75" customHeight="1">
      <c r="B296" s="22"/>
      <c r="C296" s="22"/>
      <c r="Q296" s="135"/>
    </row>
    <row r="297" spans="2:17" ht="12.75" customHeight="1">
      <c r="B297" s="22"/>
      <c r="C297" s="22"/>
      <c r="Q297" s="135"/>
    </row>
    <row r="298" spans="2:17" ht="12.75" customHeight="1">
      <c r="B298" s="22"/>
      <c r="C298" s="22"/>
      <c r="Q298" s="135"/>
    </row>
    <row r="299" spans="2:17" ht="12.75" customHeight="1">
      <c r="B299" s="22"/>
      <c r="C299" s="22"/>
      <c r="Q299" s="135"/>
    </row>
    <row r="300" spans="2:17" ht="12.75" customHeight="1">
      <c r="B300" s="22"/>
      <c r="C300" s="22"/>
      <c r="Q300" s="135"/>
    </row>
    <row r="301" spans="2:17" ht="12.75" customHeight="1">
      <c r="B301" s="22"/>
      <c r="C301" s="22"/>
      <c r="Q301" s="135"/>
    </row>
    <row r="302" spans="2:17" ht="12.75" customHeight="1">
      <c r="B302" s="22"/>
      <c r="C302" s="22"/>
      <c r="Q302" s="135"/>
    </row>
    <row r="303" spans="2:17" ht="12.75" customHeight="1">
      <c r="B303" s="22"/>
      <c r="C303" s="22"/>
      <c r="Q303" s="135"/>
    </row>
    <row r="304" spans="2:17" ht="12.75" customHeight="1">
      <c r="B304" s="22"/>
      <c r="C304" s="22"/>
      <c r="Q304" s="135"/>
    </row>
    <row r="305" spans="2:17" ht="12.75" customHeight="1">
      <c r="B305" s="22"/>
      <c r="C305" s="22"/>
      <c r="Q305" s="135"/>
    </row>
    <row r="306" spans="2:17" ht="12.75" customHeight="1">
      <c r="B306" s="22"/>
      <c r="C306" s="22"/>
      <c r="Q306" s="135"/>
    </row>
    <row r="307" spans="2:17" ht="12.75" customHeight="1">
      <c r="B307" s="22"/>
      <c r="C307" s="22"/>
      <c r="Q307" s="135"/>
    </row>
    <row r="308" spans="2:17" ht="12.75" customHeight="1">
      <c r="B308" s="22"/>
      <c r="C308" s="22"/>
      <c r="Q308" s="135"/>
    </row>
    <row r="309" spans="2:17" ht="12.75" customHeight="1">
      <c r="B309" s="22"/>
      <c r="C309" s="22"/>
      <c r="Q309" s="135"/>
    </row>
    <row r="310" spans="2:17" ht="12.75" customHeight="1">
      <c r="B310" s="22"/>
      <c r="C310" s="22"/>
      <c r="Q310" s="135"/>
    </row>
    <row r="311" spans="2:17" ht="12.75" customHeight="1">
      <c r="B311" s="22"/>
      <c r="C311" s="22"/>
      <c r="Q311" s="135"/>
    </row>
    <row r="312" spans="2:17" ht="12.75" customHeight="1">
      <c r="B312" s="22"/>
      <c r="C312" s="22"/>
      <c r="Q312" s="135"/>
    </row>
    <row r="313" spans="2:17" ht="12.75" customHeight="1">
      <c r="B313" s="22"/>
      <c r="C313" s="22"/>
      <c r="Q313" s="135"/>
    </row>
    <row r="314" spans="2:17" ht="12.75" customHeight="1">
      <c r="B314" s="22"/>
      <c r="C314" s="22"/>
      <c r="Q314" s="135"/>
    </row>
    <row r="315" spans="2:17" ht="12.75" customHeight="1">
      <c r="B315" s="22"/>
      <c r="C315" s="22"/>
      <c r="Q315" s="135"/>
    </row>
    <row r="316" spans="2:17" ht="12.75" customHeight="1">
      <c r="B316" s="22"/>
      <c r="C316" s="22"/>
      <c r="Q316" s="135"/>
    </row>
    <row r="317" spans="2:17" ht="12.75" customHeight="1">
      <c r="B317" s="22"/>
      <c r="C317" s="22"/>
      <c r="Q317" s="135"/>
    </row>
    <row r="318" spans="2:17" ht="12.75" customHeight="1">
      <c r="B318" s="22"/>
      <c r="C318" s="22"/>
      <c r="Q318" s="135"/>
    </row>
    <row r="319" spans="2:17" ht="12.75" customHeight="1">
      <c r="B319" s="22"/>
      <c r="C319" s="22"/>
      <c r="Q319" s="135"/>
    </row>
    <row r="320" spans="2:17" ht="12.75" customHeight="1">
      <c r="B320" s="22"/>
      <c r="C320" s="22"/>
      <c r="Q320" s="135"/>
    </row>
    <row r="321" spans="2:17" ht="12.75" customHeight="1">
      <c r="B321" s="22"/>
      <c r="C321" s="22"/>
      <c r="Q321" s="135"/>
    </row>
    <row r="322" spans="2:17" ht="12.75" customHeight="1">
      <c r="B322" s="22"/>
      <c r="C322" s="22"/>
      <c r="Q322" s="135"/>
    </row>
    <row r="323" spans="2:17" ht="12.75" customHeight="1">
      <c r="B323" s="22"/>
      <c r="C323" s="22"/>
      <c r="Q323" s="135"/>
    </row>
    <row r="324" spans="2:17" ht="12.75" customHeight="1">
      <c r="B324" s="22"/>
      <c r="C324" s="22"/>
      <c r="Q324" s="135"/>
    </row>
    <row r="325" spans="2:17" ht="12.75" customHeight="1">
      <c r="B325" s="22"/>
      <c r="C325" s="22"/>
      <c r="Q325" s="135"/>
    </row>
    <row r="326" spans="2:17" ht="12.75" customHeight="1">
      <c r="B326" s="22"/>
      <c r="C326" s="22"/>
      <c r="Q326" s="135"/>
    </row>
    <row r="327" spans="2:17" ht="12.75" customHeight="1">
      <c r="B327" s="22"/>
      <c r="C327" s="22"/>
      <c r="Q327" s="135"/>
    </row>
    <row r="328" spans="2:17" ht="12.75" customHeight="1">
      <c r="B328" s="22"/>
      <c r="C328" s="22"/>
      <c r="Q328" s="135"/>
    </row>
    <row r="329" spans="2:17" ht="12.75" customHeight="1">
      <c r="B329" s="22"/>
      <c r="C329" s="22"/>
      <c r="Q329" s="135"/>
    </row>
    <row r="330" spans="2:17" ht="12.75" customHeight="1">
      <c r="B330" s="22"/>
      <c r="C330" s="22"/>
      <c r="Q330" s="135"/>
    </row>
    <row r="331" spans="2:17" ht="12.75" customHeight="1">
      <c r="B331" s="22"/>
      <c r="C331" s="22"/>
      <c r="Q331" s="135"/>
    </row>
    <row r="332" spans="2:17" ht="12.75" customHeight="1">
      <c r="B332" s="22"/>
      <c r="C332" s="22"/>
      <c r="Q332" s="135"/>
    </row>
    <row r="333" spans="2:17" ht="12.75" customHeight="1">
      <c r="B333" s="22"/>
      <c r="C333" s="22"/>
      <c r="Q333" s="135"/>
    </row>
    <row r="334" spans="2:17" ht="12.75" customHeight="1">
      <c r="B334" s="22"/>
      <c r="C334" s="22"/>
      <c r="Q334" s="135"/>
    </row>
    <row r="335" spans="2:17" ht="12.75" customHeight="1">
      <c r="B335" s="22"/>
      <c r="C335" s="22"/>
      <c r="Q335" s="135"/>
    </row>
    <row r="336" spans="2:17" ht="12.75" customHeight="1">
      <c r="B336" s="22"/>
      <c r="C336" s="22"/>
      <c r="Q336" s="135"/>
    </row>
    <row r="337" spans="2:17" ht="12.75" customHeight="1">
      <c r="B337" s="22"/>
      <c r="C337" s="22"/>
      <c r="Q337" s="135"/>
    </row>
    <row r="338" spans="2:17" ht="12.75" customHeight="1">
      <c r="B338" s="22"/>
      <c r="C338" s="22"/>
      <c r="Q338" s="135"/>
    </row>
    <row r="339" spans="2:17" ht="12.75" customHeight="1">
      <c r="B339" s="22"/>
      <c r="C339" s="22"/>
      <c r="Q339" s="135"/>
    </row>
    <row r="340" spans="2:17" ht="12.75" customHeight="1">
      <c r="B340" s="22"/>
      <c r="C340" s="22"/>
      <c r="Q340" s="135"/>
    </row>
    <row r="341" spans="2:17" ht="12.75" customHeight="1">
      <c r="B341" s="22"/>
      <c r="C341" s="22"/>
      <c r="Q341" s="135"/>
    </row>
    <row r="342" spans="2:17" ht="12.75" customHeight="1">
      <c r="B342" s="22"/>
      <c r="C342" s="22"/>
      <c r="Q342" s="135"/>
    </row>
    <row r="343" spans="2:17" ht="12.75" customHeight="1">
      <c r="B343" s="22"/>
      <c r="C343" s="22"/>
      <c r="Q343" s="135"/>
    </row>
    <row r="344" spans="2:17" ht="12.75" customHeight="1">
      <c r="B344" s="22"/>
      <c r="C344" s="22"/>
      <c r="Q344" s="135"/>
    </row>
    <row r="345" spans="2:17" ht="12.75" customHeight="1">
      <c r="B345" s="22"/>
      <c r="C345" s="22"/>
      <c r="Q345" s="135"/>
    </row>
    <row r="346" spans="2:17" ht="12.75" customHeight="1">
      <c r="B346" s="22"/>
      <c r="C346" s="22"/>
      <c r="Q346" s="135"/>
    </row>
    <row r="347" spans="2:17" ht="12.75" customHeight="1">
      <c r="B347" s="22"/>
      <c r="C347" s="22"/>
      <c r="Q347" s="135"/>
    </row>
    <row r="348" spans="2:17" ht="12.75" customHeight="1">
      <c r="B348" s="22"/>
      <c r="C348" s="22"/>
      <c r="Q348" s="135"/>
    </row>
    <row r="349" spans="2:17" ht="12.75" customHeight="1">
      <c r="B349" s="22"/>
      <c r="C349" s="22"/>
      <c r="Q349" s="135"/>
    </row>
    <row r="350" spans="2:17" ht="12.75" customHeight="1">
      <c r="B350" s="22"/>
      <c r="C350" s="22"/>
      <c r="Q350" s="135"/>
    </row>
    <row r="351" spans="2:17" ht="12.75" customHeight="1">
      <c r="B351" s="22"/>
      <c r="C351" s="22"/>
      <c r="Q351" s="135"/>
    </row>
    <row r="352" spans="2:17" ht="12.75" customHeight="1">
      <c r="B352" s="22"/>
      <c r="C352" s="22"/>
      <c r="Q352" s="135"/>
    </row>
    <row r="353" spans="2:17" ht="12.75" customHeight="1">
      <c r="B353" s="22"/>
      <c r="C353" s="22"/>
      <c r="Q353" s="135"/>
    </row>
    <row r="354" spans="2:17" ht="12.75" customHeight="1">
      <c r="B354" s="22"/>
      <c r="C354" s="22"/>
      <c r="Q354" s="135"/>
    </row>
    <row r="355" spans="2:17" ht="12.75" customHeight="1">
      <c r="B355" s="22"/>
      <c r="C355" s="22"/>
      <c r="Q355" s="135"/>
    </row>
    <row r="356" spans="2:17" ht="12.75" customHeight="1">
      <c r="B356" s="22"/>
      <c r="C356" s="22"/>
      <c r="Q356" s="135"/>
    </row>
    <row r="357" spans="2:17" ht="12.75" customHeight="1">
      <c r="B357" s="22"/>
      <c r="C357" s="22"/>
      <c r="Q357" s="135"/>
    </row>
    <row r="358" spans="2:17" ht="12.75" customHeight="1">
      <c r="B358" s="22"/>
      <c r="C358" s="22"/>
      <c r="Q358" s="135"/>
    </row>
    <row r="359" spans="2:17" ht="12.75" customHeight="1">
      <c r="B359" s="22"/>
      <c r="C359" s="22"/>
      <c r="Q359" s="135"/>
    </row>
    <row r="360" spans="2:17" ht="12.75" customHeight="1">
      <c r="B360" s="22"/>
      <c r="C360" s="22"/>
      <c r="Q360" s="135"/>
    </row>
    <row r="361" spans="2:17" ht="12.75" customHeight="1">
      <c r="B361" s="22"/>
      <c r="C361" s="22"/>
      <c r="Q361" s="135"/>
    </row>
    <row r="362" spans="2:17" ht="12.75" customHeight="1">
      <c r="B362" s="22"/>
      <c r="C362" s="22"/>
      <c r="Q362" s="135"/>
    </row>
    <row r="363" spans="2:17" ht="12.75" customHeight="1">
      <c r="B363" s="22"/>
      <c r="C363" s="22"/>
      <c r="Q363" s="135"/>
    </row>
    <row r="364" spans="2:17" ht="12.75" customHeight="1">
      <c r="B364" s="22"/>
      <c r="C364" s="22"/>
      <c r="Q364" s="135"/>
    </row>
    <row r="365" spans="2:17" ht="12.75" customHeight="1">
      <c r="B365" s="22"/>
      <c r="C365" s="22"/>
      <c r="Q365" s="135"/>
    </row>
    <row r="366" spans="2:17" ht="12.75" customHeight="1">
      <c r="B366" s="22"/>
      <c r="C366" s="22"/>
      <c r="Q366" s="135"/>
    </row>
    <row r="367" spans="2:17" ht="12.75" customHeight="1">
      <c r="B367" s="22"/>
      <c r="C367" s="22"/>
      <c r="Q367" s="135"/>
    </row>
    <row r="368" spans="2:17" ht="12.75" customHeight="1">
      <c r="B368" s="22"/>
      <c r="C368" s="22"/>
      <c r="Q368" s="135"/>
    </row>
    <row r="369" spans="2:17" ht="12.75" customHeight="1">
      <c r="B369" s="22"/>
      <c r="C369" s="22"/>
      <c r="Q369" s="135"/>
    </row>
    <row r="370" spans="2:17" ht="12.75" customHeight="1">
      <c r="B370" s="22"/>
      <c r="C370" s="22"/>
      <c r="Q370" s="135"/>
    </row>
    <row r="371" spans="2:17" ht="12.75" customHeight="1">
      <c r="B371" s="22"/>
      <c r="C371" s="22"/>
      <c r="Q371" s="135"/>
    </row>
    <row r="372" spans="2:17" ht="12.75" customHeight="1">
      <c r="B372" s="22"/>
      <c r="C372" s="22"/>
      <c r="Q372" s="135"/>
    </row>
    <row r="373" spans="2:17" ht="12.75" customHeight="1">
      <c r="B373" s="22"/>
      <c r="C373" s="22"/>
      <c r="Q373" s="135"/>
    </row>
    <row r="374" spans="2:17" ht="12.75" customHeight="1">
      <c r="B374" s="22"/>
      <c r="C374" s="22"/>
      <c r="Q374" s="135"/>
    </row>
    <row r="375" spans="2:17" ht="12.75" customHeight="1">
      <c r="B375" s="22"/>
      <c r="C375" s="22"/>
      <c r="Q375" s="135"/>
    </row>
    <row r="376" spans="2:17" ht="12.75" customHeight="1">
      <c r="B376" s="22"/>
      <c r="C376" s="22"/>
      <c r="Q376" s="135"/>
    </row>
    <row r="377" spans="2:17" ht="12.75" customHeight="1">
      <c r="B377" s="22"/>
      <c r="C377" s="22"/>
      <c r="Q377" s="135"/>
    </row>
    <row r="378" spans="2:17" ht="12.75" customHeight="1">
      <c r="B378" s="22"/>
      <c r="C378" s="22"/>
      <c r="Q378" s="135"/>
    </row>
    <row r="379" spans="2:17" ht="12.75" customHeight="1">
      <c r="B379" s="22"/>
      <c r="C379" s="22"/>
      <c r="Q379" s="135"/>
    </row>
    <row r="380" spans="2:17" ht="12.75" customHeight="1">
      <c r="B380" s="22"/>
      <c r="C380" s="22"/>
      <c r="Q380" s="135"/>
    </row>
    <row r="381" spans="2:17" ht="12.75" customHeight="1">
      <c r="B381" s="22"/>
      <c r="C381" s="22"/>
      <c r="Q381" s="135"/>
    </row>
    <row r="382" spans="2:17" ht="12.75" customHeight="1">
      <c r="B382" s="22"/>
      <c r="C382" s="22"/>
      <c r="Q382" s="135"/>
    </row>
    <row r="383" spans="2:17" ht="12.75" customHeight="1">
      <c r="B383" s="22"/>
      <c r="C383" s="22"/>
      <c r="Q383" s="135"/>
    </row>
    <row r="384" spans="2:17" ht="12.75" customHeight="1">
      <c r="B384" s="22"/>
      <c r="C384" s="22"/>
      <c r="Q384" s="135"/>
    </row>
    <row r="385" spans="2:17" ht="12.75" customHeight="1">
      <c r="B385" s="22"/>
      <c r="C385" s="22"/>
      <c r="Q385" s="135"/>
    </row>
    <row r="386" spans="2:17" ht="12.75" customHeight="1">
      <c r="B386" s="22"/>
      <c r="C386" s="22"/>
      <c r="Q386" s="135"/>
    </row>
    <row r="387" spans="2:17" ht="12.75" customHeight="1">
      <c r="B387" s="22"/>
      <c r="C387" s="22"/>
      <c r="Q387" s="135"/>
    </row>
    <row r="388" spans="2:17" ht="12.75" customHeight="1">
      <c r="B388" s="22"/>
      <c r="C388" s="22"/>
      <c r="Q388" s="135"/>
    </row>
    <row r="389" spans="2:17" ht="12.75" customHeight="1">
      <c r="B389" s="22"/>
      <c r="C389" s="22"/>
      <c r="Q389" s="135"/>
    </row>
    <row r="390" spans="2:17" ht="12.75" customHeight="1">
      <c r="B390" s="22"/>
      <c r="C390" s="22"/>
      <c r="Q390" s="135"/>
    </row>
    <row r="391" spans="2:17" ht="12.75" customHeight="1">
      <c r="B391" s="22"/>
      <c r="C391" s="22"/>
      <c r="Q391" s="135"/>
    </row>
    <row r="392" spans="2:17" ht="12.75" customHeight="1">
      <c r="B392" s="22"/>
      <c r="C392" s="22"/>
      <c r="Q392" s="135"/>
    </row>
    <row r="393" spans="2:17" ht="12.75" customHeight="1">
      <c r="B393" s="22"/>
      <c r="C393" s="22"/>
      <c r="Q393" s="135"/>
    </row>
    <row r="394" spans="2:17" ht="12.75" customHeight="1">
      <c r="B394" s="22"/>
      <c r="C394" s="22"/>
      <c r="Q394" s="135"/>
    </row>
    <row r="395" spans="2:17" ht="12.75" customHeight="1">
      <c r="B395" s="22"/>
      <c r="C395" s="22"/>
      <c r="Q395" s="135"/>
    </row>
    <row r="396" spans="2:17" ht="12.75" customHeight="1">
      <c r="B396" s="22"/>
      <c r="C396" s="22"/>
      <c r="Q396" s="135"/>
    </row>
    <row r="397" spans="2:17" ht="12.75" customHeight="1">
      <c r="B397" s="22"/>
      <c r="C397" s="22"/>
      <c r="Q397" s="135"/>
    </row>
    <row r="398" spans="2:17" ht="12.75" customHeight="1">
      <c r="B398" s="22"/>
      <c r="C398" s="22"/>
      <c r="Q398" s="135"/>
    </row>
    <row r="399" spans="2:17" ht="12.75" customHeight="1">
      <c r="B399" s="22"/>
      <c r="C399" s="22"/>
      <c r="Q399" s="135"/>
    </row>
    <row r="400" spans="2:17" ht="12.75" customHeight="1">
      <c r="B400" s="22"/>
      <c r="C400" s="22"/>
      <c r="Q400" s="135"/>
    </row>
    <row r="401" spans="2:17" ht="12.75" customHeight="1">
      <c r="B401" s="22"/>
      <c r="C401" s="22"/>
      <c r="Q401" s="135"/>
    </row>
    <row r="402" spans="2:17" ht="12.75" customHeight="1">
      <c r="B402" s="22"/>
      <c r="C402" s="22"/>
      <c r="Q402" s="135"/>
    </row>
    <row r="403" spans="2:17" ht="12.75" customHeight="1">
      <c r="B403" s="22"/>
      <c r="C403" s="22"/>
      <c r="Q403" s="135"/>
    </row>
    <row r="404" spans="2:17" ht="12.75" customHeight="1">
      <c r="B404" s="22"/>
      <c r="C404" s="22"/>
      <c r="Q404" s="135"/>
    </row>
    <row r="405" spans="2:17" ht="12.75" customHeight="1">
      <c r="B405" s="22"/>
      <c r="C405" s="22"/>
      <c r="Q405" s="135"/>
    </row>
    <row r="406" spans="2:17" ht="12.75" customHeight="1">
      <c r="B406" s="22"/>
      <c r="C406" s="22"/>
      <c r="Q406" s="135"/>
    </row>
    <row r="407" spans="2:17" ht="12.75" customHeight="1">
      <c r="B407" s="22"/>
      <c r="C407" s="22"/>
      <c r="Q407" s="135"/>
    </row>
    <row r="408" spans="2:17" ht="12.75" customHeight="1">
      <c r="B408" s="22"/>
      <c r="C408" s="22"/>
      <c r="Q408" s="135"/>
    </row>
    <row r="409" spans="2:17" ht="12.75" customHeight="1">
      <c r="B409" s="22"/>
      <c r="C409" s="22"/>
      <c r="Q409" s="135"/>
    </row>
    <row r="410" spans="2:17" ht="12.75" customHeight="1">
      <c r="B410" s="22"/>
      <c r="C410" s="22"/>
      <c r="Q410" s="135"/>
    </row>
    <row r="411" spans="2:17" ht="12.75" customHeight="1">
      <c r="B411" s="22"/>
      <c r="C411" s="22"/>
      <c r="Q411" s="135"/>
    </row>
    <row r="412" spans="2:17" ht="12.75" customHeight="1">
      <c r="B412" s="22"/>
      <c r="C412" s="22"/>
      <c r="Q412" s="135"/>
    </row>
    <row r="413" spans="2:17" ht="12.75" customHeight="1">
      <c r="B413" s="22"/>
      <c r="C413" s="22"/>
      <c r="Q413" s="135"/>
    </row>
    <row r="414" spans="2:17" ht="12.75" customHeight="1">
      <c r="B414" s="22"/>
      <c r="C414" s="22"/>
      <c r="Q414" s="135"/>
    </row>
    <row r="415" spans="2:17" ht="12.75" customHeight="1">
      <c r="B415" s="22"/>
      <c r="C415" s="22"/>
      <c r="Q415" s="135"/>
    </row>
    <row r="416" spans="2:17" ht="12.75" customHeight="1">
      <c r="B416" s="22"/>
      <c r="C416" s="22"/>
      <c r="Q416" s="135"/>
    </row>
    <row r="417" spans="2:17" ht="12.75" customHeight="1">
      <c r="B417" s="22"/>
      <c r="C417" s="22"/>
      <c r="Q417" s="135"/>
    </row>
    <row r="418" spans="2:17" ht="12.75" customHeight="1">
      <c r="B418" s="22"/>
      <c r="C418" s="22"/>
      <c r="Q418" s="135"/>
    </row>
    <row r="419" spans="2:17" ht="12.75" customHeight="1">
      <c r="B419" s="22"/>
      <c r="C419" s="22"/>
      <c r="Q419" s="135"/>
    </row>
    <row r="420" spans="2:17" ht="12.75" customHeight="1">
      <c r="B420" s="22"/>
      <c r="C420" s="22"/>
      <c r="Q420" s="135"/>
    </row>
    <row r="421" spans="2:17" ht="12.75" customHeight="1">
      <c r="B421" s="22"/>
      <c r="C421" s="22"/>
      <c r="Q421" s="135"/>
    </row>
    <row r="422" spans="2:17" ht="12.75" customHeight="1">
      <c r="B422" s="22"/>
      <c r="C422" s="22"/>
      <c r="Q422" s="135"/>
    </row>
    <row r="423" spans="2:17" ht="12.75" customHeight="1">
      <c r="B423" s="22"/>
      <c r="C423" s="22"/>
      <c r="Q423" s="135"/>
    </row>
    <row r="424" spans="2:17" ht="12.75" customHeight="1">
      <c r="B424" s="22"/>
      <c r="C424" s="22"/>
      <c r="Q424" s="135"/>
    </row>
    <row r="425" spans="2:17" ht="12.75" customHeight="1">
      <c r="B425" s="22"/>
      <c r="C425" s="22"/>
      <c r="Q425" s="135"/>
    </row>
    <row r="426" spans="2:17" ht="12.75" customHeight="1">
      <c r="B426" s="22"/>
      <c r="C426" s="22"/>
      <c r="Q426" s="135"/>
    </row>
    <row r="427" spans="2:17" ht="12.75" customHeight="1">
      <c r="B427" s="22"/>
      <c r="C427" s="22"/>
      <c r="Q427" s="135"/>
    </row>
    <row r="428" spans="2:17" ht="12.75" customHeight="1">
      <c r="B428" s="22"/>
      <c r="C428" s="22"/>
      <c r="Q428" s="135"/>
    </row>
    <row r="429" spans="2:17" ht="12.75" customHeight="1">
      <c r="B429" s="22"/>
      <c r="C429" s="22"/>
      <c r="Q429" s="135"/>
    </row>
    <row r="430" spans="2:17" ht="12.75" customHeight="1">
      <c r="B430" s="22"/>
      <c r="C430" s="22"/>
      <c r="Q430" s="135"/>
    </row>
    <row r="431" spans="2:17" ht="12.75" customHeight="1">
      <c r="B431" s="22"/>
      <c r="C431" s="22"/>
      <c r="Q431" s="135"/>
    </row>
    <row r="432" spans="2:17" ht="12.75" customHeight="1">
      <c r="B432" s="22"/>
      <c r="C432" s="22"/>
      <c r="Q432" s="135"/>
    </row>
    <row r="433" spans="2:17" ht="12.75" customHeight="1">
      <c r="B433" s="22"/>
      <c r="C433" s="22"/>
      <c r="Q433" s="135"/>
    </row>
    <row r="434" spans="2:17" ht="12.75" customHeight="1">
      <c r="B434" s="22"/>
      <c r="C434" s="22"/>
      <c r="Q434" s="135"/>
    </row>
    <row r="435" spans="2:17" ht="12.75" customHeight="1">
      <c r="B435" s="22"/>
      <c r="C435" s="22"/>
      <c r="Q435" s="135"/>
    </row>
    <row r="436" spans="2:17" ht="12.75" customHeight="1">
      <c r="B436" s="22"/>
      <c r="C436" s="22"/>
      <c r="Q436" s="135"/>
    </row>
    <row r="437" spans="2:17" ht="12.75" customHeight="1">
      <c r="B437" s="22"/>
      <c r="C437" s="22"/>
      <c r="Q437" s="135"/>
    </row>
    <row r="438" spans="2:17" ht="12.75" customHeight="1">
      <c r="B438" s="22"/>
      <c r="C438" s="22"/>
      <c r="Q438" s="135"/>
    </row>
    <row r="439" spans="2:17" ht="12.75" customHeight="1">
      <c r="B439" s="22"/>
      <c r="C439" s="22"/>
      <c r="Q439" s="135"/>
    </row>
    <row r="440" spans="2:17" ht="12.75" customHeight="1">
      <c r="B440" s="22"/>
      <c r="C440" s="22"/>
      <c r="Q440" s="135"/>
    </row>
    <row r="441" spans="2:17" ht="12.75" customHeight="1">
      <c r="B441" s="22"/>
      <c r="C441" s="22"/>
      <c r="Q441" s="135"/>
    </row>
    <row r="442" spans="2:17" ht="12.75" customHeight="1">
      <c r="B442" s="22"/>
      <c r="C442" s="22"/>
      <c r="Q442" s="135"/>
    </row>
    <row r="443" spans="2:17" ht="12.75" customHeight="1">
      <c r="B443" s="22"/>
      <c r="C443" s="22"/>
      <c r="Q443" s="135"/>
    </row>
    <row r="444" spans="2:17" ht="12.75" customHeight="1">
      <c r="B444" s="22"/>
      <c r="C444" s="22"/>
      <c r="Q444" s="135"/>
    </row>
    <row r="445" spans="2:17" ht="12.75" customHeight="1">
      <c r="B445" s="22"/>
      <c r="C445" s="22"/>
      <c r="Q445" s="135"/>
    </row>
    <row r="446" spans="2:17" ht="12.75" customHeight="1">
      <c r="B446" s="22"/>
      <c r="C446" s="22"/>
      <c r="Q446" s="135"/>
    </row>
    <row r="447" spans="2:17" ht="12.75" customHeight="1">
      <c r="B447" s="22"/>
      <c r="C447" s="22"/>
      <c r="Q447" s="135"/>
    </row>
    <row r="448" spans="2:17" ht="12.75" customHeight="1">
      <c r="B448" s="22"/>
      <c r="C448" s="22"/>
      <c r="Q448" s="135"/>
    </row>
    <row r="449" spans="2:17" ht="12.75" customHeight="1">
      <c r="B449" s="22"/>
      <c r="C449" s="22"/>
      <c r="Q449" s="135"/>
    </row>
    <row r="450" spans="2:17" ht="12.75" customHeight="1">
      <c r="B450" s="22"/>
      <c r="C450" s="22"/>
      <c r="Q450" s="135"/>
    </row>
    <row r="451" spans="2:17" ht="12.75" customHeight="1">
      <c r="B451" s="22"/>
      <c r="C451" s="22"/>
      <c r="Q451" s="135"/>
    </row>
    <row r="452" spans="2:17" ht="12.75" customHeight="1">
      <c r="B452" s="22"/>
      <c r="C452" s="22"/>
      <c r="Q452" s="135"/>
    </row>
    <row r="453" spans="2:17" ht="12.75" customHeight="1">
      <c r="B453" s="22"/>
      <c r="C453" s="22"/>
      <c r="Q453" s="135"/>
    </row>
    <row r="454" spans="2:17" ht="12.75" customHeight="1">
      <c r="B454" s="22"/>
      <c r="C454" s="22"/>
      <c r="Q454" s="135"/>
    </row>
    <row r="455" spans="2:17" ht="12.75" customHeight="1">
      <c r="B455" s="22"/>
      <c r="C455" s="22"/>
      <c r="Q455" s="135"/>
    </row>
    <row r="456" spans="2:17" ht="12.75" customHeight="1">
      <c r="B456" s="22"/>
      <c r="C456" s="22"/>
      <c r="Q456" s="135"/>
    </row>
    <row r="457" spans="2:17" ht="12.75" customHeight="1">
      <c r="B457" s="22"/>
      <c r="C457" s="22"/>
      <c r="Q457" s="135"/>
    </row>
    <row r="458" spans="2:17" ht="12.75" customHeight="1">
      <c r="B458" s="22"/>
      <c r="C458" s="22"/>
      <c r="Q458" s="135"/>
    </row>
    <row r="459" spans="2:17" ht="12.75" customHeight="1">
      <c r="B459" s="22"/>
      <c r="C459" s="22"/>
      <c r="Q459" s="135"/>
    </row>
    <row r="460" spans="2:17" ht="12.75" customHeight="1">
      <c r="B460" s="22"/>
      <c r="C460" s="22"/>
      <c r="Q460" s="135"/>
    </row>
    <row r="461" spans="2:17" ht="12.75" customHeight="1">
      <c r="B461" s="22"/>
      <c r="C461" s="22"/>
      <c r="Q461" s="135"/>
    </row>
    <row r="462" spans="2:17" ht="12.75" customHeight="1">
      <c r="B462" s="22"/>
      <c r="C462" s="22"/>
      <c r="Q462" s="135"/>
    </row>
    <row r="463" spans="2:17" ht="12.75" customHeight="1">
      <c r="B463" s="22"/>
      <c r="C463" s="22"/>
      <c r="Q463" s="135"/>
    </row>
    <row r="464" spans="2:17" ht="12.75" customHeight="1">
      <c r="B464" s="22"/>
      <c r="C464" s="22"/>
      <c r="Q464" s="135"/>
    </row>
    <row r="465" spans="2:17" ht="12.75" customHeight="1">
      <c r="B465" s="22"/>
      <c r="C465" s="22"/>
      <c r="Q465" s="135"/>
    </row>
    <row r="466" spans="2:17" ht="12.75" customHeight="1">
      <c r="B466" s="22"/>
      <c r="C466" s="22"/>
      <c r="Q466" s="135"/>
    </row>
    <row r="467" spans="2:17" ht="12.75" customHeight="1">
      <c r="B467" s="22"/>
      <c r="C467" s="22"/>
      <c r="Q467" s="135"/>
    </row>
    <row r="468" spans="2:17" ht="12.75" customHeight="1">
      <c r="B468" s="22"/>
      <c r="C468" s="22"/>
      <c r="Q468" s="135"/>
    </row>
    <row r="469" spans="2:17" ht="12.75" customHeight="1">
      <c r="B469" s="22"/>
      <c r="C469" s="22"/>
      <c r="Q469" s="135"/>
    </row>
    <row r="470" spans="2:17" ht="12.75" customHeight="1">
      <c r="B470" s="22"/>
      <c r="C470" s="22"/>
      <c r="Q470" s="135"/>
    </row>
    <row r="471" spans="2:17" ht="12.75" customHeight="1">
      <c r="B471" s="22"/>
      <c r="C471" s="22"/>
      <c r="Q471" s="135"/>
    </row>
    <row r="472" spans="2:17" ht="12.75" customHeight="1">
      <c r="B472" s="22"/>
      <c r="C472" s="22"/>
      <c r="Q472" s="135"/>
    </row>
    <row r="473" spans="2:17" ht="12.75" customHeight="1">
      <c r="B473" s="22"/>
      <c r="C473" s="22"/>
      <c r="Q473" s="135"/>
    </row>
    <row r="474" spans="2:17" ht="12.75" customHeight="1">
      <c r="B474" s="22"/>
      <c r="C474" s="22"/>
      <c r="Q474" s="135"/>
    </row>
    <row r="475" spans="2:17" ht="12.75" customHeight="1">
      <c r="B475" s="22"/>
      <c r="C475" s="22"/>
      <c r="Q475" s="135"/>
    </row>
    <row r="476" spans="2:17" ht="12.75" customHeight="1">
      <c r="B476" s="22"/>
      <c r="C476" s="22"/>
      <c r="Q476" s="135"/>
    </row>
    <row r="477" spans="2:17" ht="12.75" customHeight="1">
      <c r="B477" s="22"/>
      <c r="C477" s="22"/>
      <c r="Q477" s="135"/>
    </row>
    <row r="478" spans="2:17" ht="12.75" customHeight="1">
      <c r="B478" s="22"/>
      <c r="C478" s="22"/>
      <c r="Q478" s="135"/>
    </row>
    <row r="479" spans="2:17" ht="12.75" customHeight="1">
      <c r="B479" s="22"/>
      <c r="C479" s="22"/>
      <c r="Q479" s="135"/>
    </row>
    <row r="480" spans="2:17" ht="12.75" customHeight="1">
      <c r="B480" s="22"/>
      <c r="C480" s="22"/>
      <c r="Q480" s="135"/>
    </row>
    <row r="481" spans="2:17" ht="12.75" customHeight="1">
      <c r="B481" s="22"/>
      <c r="C481" s="22"/>
      <c r="Q481" s="135"/>
    </row>
    <row r="482" spans="2:17" ht="12.75" customHeight="1">
      <c r="B482" s="22"/>
      <c r="C482" s="22"/>
      <c r="Q482" s="135"/>
    </row>
    <row r="483" spans="2:17" ht="12.75" customHeight="1">
      <c r="B483" s="22"/>
      <c r="C483" s="22"/>
      <c r="Q483" s="135"/>
    </row>
    <row r="484" spans="2:17" ht="12.75" customHeight="1">
      <c r="B484" s="22"/>
      <c r="C484" s="22"/>
      <c r="Q484" s="135"/>
    </row>
    <row r="485" spans="2:17" ht="12.75" customHeight="1">
      <c r="B485" s="22"/>
      <c r="C485" s="22"/>
      <c r="Q485" s="135"/>
    </row>
    <row r="486" spans="2:17" ht="12.75" customHeight="1">
      <c r="B486" s="22"/>
      <c r="C486" s="22"/>
      <c r="Q486" s="135"/>
    </row>
    <row r="487" spans="2:17" ht="12.75" customHeight="1">
      <c r="B487" s="22"/>
      <c r="C487" s="22"/>
      <c r="Q487" s="135"/>
    </row>
    <row r="488" spans="2:17" ht="12.75" customHeight="1">
      <c r="B488" s="22"/>
      <c r="C488" s="22"/>
      <c r="Q488" s="135"/>
    </row>
    <row r="489" spans="2:17" ht="12.75" customHeight="1">
      <c r="B489" s="22"/>
      <c r="C489" s="22"/>
      <c r="Q489" s="135"/>
    </row>
    <row r="490" spans="2:17" ht="12.75" customHeight="1">
      <c r="B490" s="22"/>
      <c r="C490" s="22"/>
      <c r="Q490" s="135"/>
    </row>
    <row r="491" spans="2:17" ht="12.75" customHeight="1">
      <c r="B491" s="22"/>
      <c r="C491" s="22"/>
      <c r="Q491" s="135"/>
    </row>
    <row r="492" spans="2:17" ht="12.75" customHeight="1">
      <c r="B492" s="22"/>
      <c r="C492" s="22"/>
      <c r="Q492" s="135"/>
    </row>
    <row r="493" spans="2:17" ht="12.75" customHeight="1">
      <c r="B493" s="22"/>
      <c r="C493" s="22"/>
      <c r="Q493" s="135"/>
    </row>
    <row r="494" spans="2:17" ht="12.75" customHeight="1">
      <c r="B494" s="22"/>
      <c r="C494" s="22"/>
      <c r="Q494" s="135"/>
    </row>
    <row r="495" spans="2:17" ht="12.75" customHeight="1">
      <c r="B495" s="22"/>
      <c r="C495" s="22"/>
      <c r="Q495" s="135"/>
    </row>
    <row r="496" spans="2:17" ht="12.75" customHeight="1">
      <c r="B496" s="22"/>
      <c r="C496" s="22"/>
      <c r="Q496" s="135"/>
    </row>
    <row r="497" spans="2:17" ht="12.75" customHeight="1">
      <c r="B497" s="22"/>
      <c r="C497" s="22"/>
      <c r="Q497" s="135"/>
    </row>
    <row r="498" spans="2:17" ht="12.75" customHeight="1">
      <c r="B498" s="22"/>
      <c r="C498" s="22"/>
      <c r="Q498" s="135"/>
    </row>
    <row r="499" spans="2:17" ht="12.75" customHeight="1">
      <c r="B499" s="22"/>
      <c r="C499" s="22"/>
      <c r="Q499" s="135"/>
    </row>
    <row r="500" spans="2:17" ht="12.75" customHeight="1">
      <c r="B500" s="22"/>
      <c r="C500" s="22"/>
      <c r="Q500" s="135"/>
    </row>
    <row r="501" spans="2:17" ht="12.75" customHeight="1">
      <c r="B501" s="22"/>
      <c r="C501" s="22"/>
      <c r="Q501" s="135"/>
    </row>
    <row r="502" spans="2:17" ht="12.75" customHeight="1">
      <c r="B502" s="22"/>
      <c r="C502" s="22"/>
      <c r="Q502" s="135"/>
    </row>
    <row r="503" spans="2:17" ht="12.75" customHeight="1">
      <c r="B503" s="22"/>
      <c r="C503" s="22"/>
      <c r="Q503" s="135"/>
    </row>
    <row r="504" spans="2:17" ht="12.75" customHeight="1">
      <c r="B504" s="22"/>
      <c r="C504" s="22"/>
      <c r="Q504" s="135"/>
    </row>
    <row r="505" spans="2:17" ht="12.75" customHeight="1">
      <c r="B505" s="22"/>
      <c r="C505" s="22"/>
      <c r="Q505" s="135"/>
    </row>
    <row r="506" spans="2:17" ht="12.75" customHeight="1">
      <c r="B506" s="22"/>
      <c r="C506" s="22"/>
      <c r="Q506" s="135"/>
    </row>
    <row r="507" spans="2:17" ht="12.75" customHeight="1">
      <c r="B507" s="22"/>
      <c r="C507" s="22"/>
      <c r="Q507" s="135"/>
    </row>
    <row r="508" spans="2:17" ht="12.75" customHeight="1">
      <c r="B508" s="22"/>
      <c r="C508" s="22"/>
      <c r="Q508" s="135"/>
    </row>
    <row r="509" spans="2:17" ht="12.75" customHeight="1">
      <c r="B509" s="22"/>
      <c r="C509" s="22"/>
      <c r="Q509" s="135"/>
    </row>
    <row r="510" spans="2:17" ht="12.75" customHeight="1">
      <c r="B510" s="22"/>
      <c r="C510" s="22"/>
      <c r="Q510" s="135"/>
    </row>
    <row r="511" spans="2:17" ht="12.75" customHeight="1">
      <c r="B511" s="22"/>
      <c r="C511" s="22"/>
      <c r="Q511" s="135"/>
    </row>
    <row r="512" spans="2:17" ht="12.75" customHeight="1">
      <c r="B512" s="22"/>
      <c r="C512" s="22"/>
      <c r="Q512" s="135"/>
    </row>
    <row r="513" spans="2:17" ht="12.75" customHeight="1">
      <c r="B513" s="22"/>
      <c r="C513" s="22"/>
      <c r="Q513" s="135"/>
    </row>
    <row r="514" spans="2:17" ht="12.75" customHeight="1">
      <c r="B514" s="22"/>
      <c r="C514" s="22"/>
      <c r="Q514" s="135"/>
    </row>
    <row r="515" spans="2:17" ht="12.75" customHeight="1">
      <c r="B515" s="22"/>
      <c r="C515" s="22"/>
      <c r="Q515" s="135"/>
    </row>
    <row r="516" spans="2:17" ht="12.75" customHeight="1">
      <c r="B516" s="22"/>
      <c r="C516" s="22"/>
      <c r="Q516" s="135"/>
    </row>
    <row r="517" spans="2:17" ht="12.75" customHeight="1">
      <c r="B517" s="22"/>
      <c r="C517" s="22"/>
      <c r="Q517" s="135"/>
    </row>
    <row r="518" spans="2:17" ht="12.75" customHeight="1">
      <c r="B518" s="22"/>
      <c r="C518" s="22"/>
      <c r="Q518" s="135"/>
    </row>
    <row r="519" spans="2:17" ht="12.75" customHeight="1">
      <c r="B519" s="22"/>
      <c r="C519" s="22"/>
      <c r="Q519" s="135"/>
    </row>
    <row r="520" spans="2:17" ht="12.75" customHeight="1">
      <c r="B520" s="22"/>
      <c r="C520" s="22"/>
      <c r="Q520" s="135"/>
    </row>
    <row r="521" spans="2:17" ht="12.75" customHeight="1">
      <c r="B521" s="22"/>
      <c r="C521" s="22"/>
      <c r="Q521" s="135"/>
    </row>
    <row r="522" spans="2:17" ht="12.75" customHeight="1">
      <c r="B522" s="22"/>
      <c r="C522" s="22"/>
      <c r="Q522" s="135"/>
    </row>
    <row r="523" spans="2:17" ht="12.75" customHeight="1">
      <c r="B523" s="22"/>
      <c r="C523" s="22"/>
      <c r="Q523" s="135"/>
    </row>
    <row r="524" spans="2:17" ht="12.75" customHeight="1">
      <c r="B524" s="22"/>
      <c r="C524" s="22"/>
      <c r="Q524" s="135"/>
    </row>
    <row r="525" spans="2:17" ht="12.75" customHeight="1">
      <c r="B525" s="22"/>
      <c r="C525" s="22"/>
      <c r="Q525" s="135"/>
    </row>
    <row r="526" spans="2:17" ht="12.75" customHeight="1">
      <c r="B526" s="22"/>
      <c r="C526" s="22"/>
      <c r="Q526" s="135"/>
    </row>
    <row r="527" spans="2:17" ht="12.75" customHeight="1">
      <c r="B527" s="22"/>
      <c r="C527" s="22"/>
      <c r="Q527" s="135"/>
    </row>
    <row r="528" spans="2:17" ht="12.75" customHeight="1">
      <c r="B528" s="22"/>
      <c r="C528" s="22"/>
      <c r="Q528" s="135"/>
    </row>
    <row r="529" spans="2:17" ht="12.75" customHeight="1">
      <c r="B529" s="22"/>
      <c r="C529" s="22"/>
      <c r="Q529" s="135"/>
    </row>
    <row r="530" spans="2:17" ht="12.75" customHeight="1">
      <c r="B530" s="22"/>
      <c r="C530" s="22"/>
      <c r="Q530" s="135"/>
    </row>
    <row r="531" spans="2:17" ht="12.75" customHeight="1">
      <c r="B531" s="22"/>
      <c r="C531" s="22"/>
      <c r="Q531" s="135"/>
    </row>
    <row r="532" spans="2:17" ht="12.75" customHeight="1">
      <c r="B532" s="22"/>
      <c r="C532" s="22"/>
      <c r="Q532" s="135"/>
    </row>
    <row r="533" spans="2:17" ht="12.75" customHeight="1">
      <c r="B533" s="22"/>
      <c r="C533" s="22"/>
      <c r="Q533" s="135"/>
    </row>
    <row r="534" spans="2:17" ht="12.75" customHeight="1">
      <c r="B534" s="22"/>
      <c r="C534" s="22"/>
      <c r="Q534" s="135"/>
    </row>
    <row r="535" spans="2:17" ht="12.75" customHeight="1">
      <c r="B535" s="22"/>
      <c r="C535" s="22"/>
      <c r="Q535" s="135"/>
    </row>
    <row r="536" spans="2:17" ht="12.75" customHeight="1">
      <c r="B536" s="22"/>
      <c r="C536" s="22"/>
      <c r="Q536" s="135"/>
    </row>
    <row r="537" spans="2:17" ht="12.75" customHeight="1">
      <c r="B537" s="22"/>
      <c r="C537" s="22"/>
      <c r="Q537" s="135"/>
    </row>
    <row r="538" spans="2:17" ht="12.75" customHeight="1">
      <c r="B538" s="22"/>
      <c r="C538" s="22"/>
      <c r="Q538" s="135"/>
    </row>
    <row r="539" spans="2:17" ht="12.75" customHeight="1">
      <c r="B539" s="22"/>
      <c r="C539" s="22"/>
      <c r="Q539" s="135"/>
    </row>
    <row r="540" spans="2:17" ht="12.75" customHeight="1">
      <c r="B540" s="22"/>
      <c r="C540" s="22"/>
      <c r="Q540" s="135"/>
    </row>
    <row r="541" spans="2:17" ht="12.75" customHeight="1">
      <c r="B541" s="22"/>
      <c r="C541" s="22"/>
      <c r="Q541" s="135"/>
    </row>
    <row r="542" spans="2:17" ht="12.75" customHeight="1">
      <c r="B542" s="22"/>
      <c r="C542" s="22"/>
      <c r="Q542" s="135"/>
    </row>
    <row r="543" spans="2:17" ht="12.75" customHeight="1">
      <c r="B543" s="22"/>
      <c r="C543" s="22"/>
      <c r="Q543" s="135"/>
    </row>
    <row r="544" spans="2:17" ht="12.75" customHeight="1">
      <c r="B544" s="22"/>
      <c r="C544" s="22"/>
      <c r="Q544" s="135"/>
    </row>
    <row r="545" spans="2:17" ht="12.75" customHeight="1">
      <c r="B545" s="22"/>
      <c r="C545" s="22"/>
      <c r="Q545" s="135"/>
    </row>
    <row r="546" spans="2:17" ht="12.75" customHeight="1">
      <c r="B546" s="22"/>
      <c r="C546" s="22"/>
      <c r="Q546" s="135"/>
    </row>
    <row r="547" spans="2:17" ht="12.75" customHeight="1">
      <c r="B547" s="22"/>
      <c r="C547" s="22"/>
      <c r="Q547" s="135"/>
    </row>
    <row r="548" spans="2:17" ht="12.75" customHeight="1">
      <c r="B548" s="22"/>
      <c r="C548" s="22"/>
      <c r="Q548" s="135"/>
    </row>
    <row r="549" spans="2:17" ht="12.75" customHeight="1">
      <c r="B549" s="22"/>
      <c r="C549" s="22"/>
      <c r="Q549" s="135"/>
    </row>
    <row r="550" spans="2:17" ht="12.75" customHeight="1">
      <c r="B550" s="22"/>
      <c r="C550" s="22"/>
      <c r="Q550" s="135"/>
    </row>
    <row r="551" spans="2:17" ht="12.75" customHeight="1">
      <c r="B551" s="22"/>
      <c r="C551" s="22"/>
      <c r="Q551" s="135"/>
    </row>
    <row r="552" spans="2:17" ht="12.75" customHeight="1">
      <c r="B552" s="22"/>
      <c r="C552" s="22"/>
      <c r="Q552" s="135"/>
    </row>
    <row r="553" spans="2:17" ht="12.75" customHeight="1">
      <c r="B553" s="22"/>
      <c r="C553" s="22"/>
      <c r="Q553" s="135"/>
    </row>
    <row r="554" spans="2:17" ht="12.75" customHeight="1">
      <c r="B554" s="22"/>
      <c r="C554" s="22"/>
      <c r="Q554" s="135"/>
    </row>
    <row r="555" spans="2:17" ht="12.75" customHeight="1">
      <c r="B555" s="22"/>
      <c r="C555" s="22"/>
      <c r="Q555" s="135"/>
    </row>
    <row r="556" spans="2:17" ht="12.75" customHeight="1">
      <c r="B556" s="22"/>
      <c r="C556" s="22"/>
      <c r="Q556" s="135"/>
    </row>
    <row r="557" spans="2:17" ht="12.75" customHeight="1">
      <c r="B557" s="22"/>
      <c r="C557" s="22"/>
      <c r="Q557" s="135"/>
    </row>
    <row r="558" spans="2:17" ht="12.75" customHeight="1">
      <c r="B558" s="22"/>
      <c r="C558" s="22"/>
      <c r="Q558" s="135"/>
    </row>
    <row r="559" spans="2:17" ht="12.75" customHeight="1">
      <c r="B559" s="22"/>
      <c r="C559" s="22"/>
      <c r="Q559" s="135"/>
    </row>
    <row r="560" spans="2:17" ht="12.75" customHeight="1">
      <c r="B560" s="22"/>
      <c r="C560" s="22"/>
      <c r="Q560" s="135"/>
    </row>
    <row r="561" spans="2:17" ht="12.75" customHeight="1">
      <c r="B561" s="22"/>
      <c r="C561" s="22"/>
      <c r="Q561" s="135"/>
    </row>
    <row r="562" spans="2:17" ht="12.75" customHeight="1">
      <c r="B562" s="22"/>
      <c r="C562" s="22"/>
      <c r="Q562" s="135"/>
    </row>
    <row r="563" spans="2:17" ht="12.75" customHeight="1">
      <c r="B563" s="22"/>
      <c r="C563" s="22"/>
      <c r="Q563" s="135"/>
    </row>
    <row r="564" spans="2:17" ht="12.75" customHeight="1">
      <c r="B564" s="22"/>
      <c r="C564" s="22"/>
      <c r="Q564" s="135"/>
    </row>
    <row r="565" spans="2:17" ht="12.75" customHeight="1">
      <c r="B565" s="22"/>
      <c r="C565" s="22"/>
      <c r="Q565" s="135"/>
    </row>
    <row r="566" spans="2:17" ht="12.75" customHeight="1">
      <c r="B566" s="22"/>
      <c r="C566" s="22"/>
      <c r="Q566" s="135"/>
    </row>
    <row r="567" spans="2:17" ht="12.75" customHeight="1">
      <c r="B567" s="22"/>
      <c r="C567" s="22"/>
      <c r="Q567" s="135"/>
    </row>
    <row r="568" spans="2:17" ht="12.75" customHeight="1">
      <c r="B568" s="22"/>
      <c r="C568" s="22"/>
      <c r="Q568" s="135"/>
    </row>
    <row r="569" spans="2:17" ht="12.75" customHeight="1">
      <c r="B569" s="22"/>
      <c r="C569" s="22"/>
      <c r="Q569" s="135"/>
    </row>
    <row r="570" spans="2:17" ht="12.75" customHeight="1">
      <c r="B570" s="22"/>
      <c r="C570" s="22"/>
      <c r="Q570" s="135"/>
    </row>
    <row r="571" spans="2:17" ht="12.75" customHeight="1">
      <c r="B571" s="22"/>
      <c r="C571" s="22"/>
      <c r="Q571" s="135"/>
    </row>
    <row r="572" spans="2:17" ht="12.75" customHeight="1">
      <c r="B572" s="22"/>
      <c r="C572" s="22"/>
      <c r="Q572" s="135"/>
    </row>
    <row r="573" spans="2:17" ht="12.75" customHeight="1">
      <c r="B573" s="22"/>
      <c r="C573" s="22"/>
      <c r="Q573" s="135"/>
    </row>
    <row r="574" spans="2:17" ht="12.75" customHeight="1">
      <c r="B574" s="22"/>
      <c r="C574" s="22"/>
      <c r="Q574" s="135"/>
    </row>
    <row r="575" spans="2:17" ht="12.75" customHeight="1">
      <c r="B575" s="22"/>
      <c r="C575" s="22"/>
      <c r="Q575" s="135"/>
    </row>
    <row r="576" spans="2:17" ht="12.75" customHeight="1">
      <c r="B576" s="22"/>
      <c r="C576" s="22"/>
      <c r="Q576" s="135"/>
    </row>
    <row r="577" spans="2:17" ht="12.75" customHeight="1">
      <c r="B577" s="22"/>
      <c r="C577" s="22"/>
      <c r="Q577" s="135"/>
    </row>
    <row r="578" spans="2:17" ht="12.75" customHeight="1">
      <c r="B578" s="22"/>
      <c r="C578" s="22"/>
      <c r="Q578" s="135"/>
    </row>
    <row r="579" spans="2:17" ht="12.75" customHeight="1">
      <c r="B579" s="22"/>
      <c r="C579" s="22"/>
      <c r="Q579" s="135"/>
    </row>
    <row r="580" spans="2:17" ht="12.75" customHeight="1">
      <c r="B580" s="22"/>
      <c r="C580" s="22"/>
      <c r="Q580" s="135"/>
    </row>
    <row r="581" spans="2:17" ht="12.75" customHeight="1">
      <c r="B581" s="22"/>
      <c r="C581" s="22"/>
      <c r="Q581" s="135"/>
    </row>
    <row r="582" spans="2:17" ht="12.75" customHeight="1">
      <c r="B582" s="22"/>
      <c r="C582" s="22"/>
      <c r="Q582" s="135"/>
    </row>
    <row r="583" spans="2:17" ht="12.75" customHeight="1">
      <c r="B583" s="22"/>
      <c r="C583" s="22"/>
      <c r="Q583" s="135"/>
    </row>
    <row r="584" spans="2:17" ht="12.75" customHeight="1">
      <c r="B584" s="22"/>
      <c r="C584" s="22"/>
      <c r="Q584" s="135"/>
    </row>
    <row r="585" spans="2:17" ht="12.75" customHeight="1">
      <c r="B585" s="22"/>
      <c r="C585" s="22"/>
      <c r="Q585" s="135"/>
    </row>
    <row r="586" spans="2:17" ht="12.75" customHeight="1">
      <c r="B586" s="22"/>
      <c r="C586" s="22"/>
      <c r="Q586" s="135"/>
    </row>
    <row r="587" spans="2:17" ht="12.75" customHeight="1">
      <c r="B587" s="22"/>
      <c r="C587" s="22"/>
      <c r="Q587" s="135"/>
    </row>
    <row r="588" spans="2:17" ht="12.75" customHeight="1">
      <c r="B588" s="22"/>
      <c r="C588" s="22"/>
      <c r="Q588" s="135"/>
    </row>
    <row r="589" spans="2:17" ht="12.75" customHeight="1">
      <c r="B589" s="22"/>
      <c r="C589" s="22"/>
      <c r="Q589" s="135"/>
    </row>
    <row r="590" spans="2:17" ht="12.75" customHeight="1">
      <c r="B590" s="22"/>
      <c r="C590" s="22"/>
      <c r="Q590" s="135"/>
    </row>
    <row r="591" spans="2:17" ht="12.75" customHeight="1">
      <c r="B591" s="22"/>
      <c r="C591" s="22"/>
      <c r="Q591" s="135"/>
    </row>
    <row r="592" spans="2:17" ht="12.75" customHeight="1">
      <c r="B592" s="22"/>
      <c r="C592" s="22"/>
      <c r="Q592" s="135"/>
    </row>
    <row r="593" spans="2:17" ht="12.75" customHeight="1">
      <c r="B593" s="22"/>
      <c r="C593" s="22"/>
      <c r="Q593" s="135"/>
    </row>
    <row r="594" spans="2:17" ht="12.75" customHeight="1">
      <c r="B594" s="22"/>
      <c r="C594" s="22"/>
      <c r="Q594" s="135"/>
    </row>
    <row r="595" spans="2:17" ht="12.75" customHeight="1">
      <c r="B595" s="22"/>
      <c r="C595" s="22"/>
      <c r="Q595" s="135"/>
    </row>
    <row r="596" spans="2:17" ht="12.75" customHeight="1">
      <c r="B596" s="22"/>
      <c r="C596" s="22"/>
      <c r="Q596" s="135"/>
    </row>
    <row r="597" spans="2:17" ht="12.75" customHeight="1">
      <c r="B597" s="22"/>
      <c r="C597" s="22"/>
      <c r="Q597" s="135"/>
    </row>
    <row r="598" spans="2:17" ht="12.75" customHeight="1">
      <c r="B598" s="22"/>
      <c r="C598" s="22"/>
      <c r="Q598" s="135"/>
    </row>
    <row r="599" spans="2:17" ht="12.75" customHeight="1">
      <c r="B599" s="22"/>
      <c r="C599" s="22"/>
      <c r="Q599" s="135"/>
    </row>
    <row r="600" spans="2:17" ht="12.75" customHeight="1">
      <c r="B600" s="22"/>
      <c r="C600" s="22"/>
      <c r="Q600" s="135"/>
    </row>
    <row r="601" spans="2:17" ht="12.75" customHeight="1">
      <c r="B601" s="22"/>
      <c r="C601" s="22"/>
      <c r="Q601" s="135"/>
    </row>
    <row r="602" spans="2:17" ht="12.75" customHeight="1">
      <c r="B602" s="22"/>
      <c r="C602" s="22"/>
      <c r="Q602" s="135"/>
    </row>
    <row r="603" spans="2:17" ht="12.75" customHeight="1">
      <c r="B603" s="22"/>
      <c r="C603" s="22"/>
      <c r="Q603" s="135"/>
    </row>
    <row r="604" spans="2:17" ht="12.75" customHeight="1">
      <c r="B604" s="22"/>
      <c r="C604" s="22"/>
      <c r="Q604" s="135"/>
    </row>
    <row r="605" spans="2:17" ht="12.75" customHeight="1">
      <c r="B605" s="22"/>
      <c r="C605" s="22"/>
      <c r="Q605" s="135"/>
    </row>
    <row r="606" spans="2:17" ht="12.75" customHeight="1">
      <c r="B606" s="22"/>
      <c r="C606" s="22"/>
      <c r="Q606" s="135"/>
    </row>
    <row r="607" spans="2:17" ht="12.75" customHeight="1">
      <c r="B607" s="22"/>
      <c r="C607" s="22"/>
      <c r="Q607" s="135"/>
    </row>
    <row r="608" spans="2:17" ht="12.75" customHeight="1">
      <c r="B608" s="22"/>
      <c r="C608" s="22"/>
      <c r="Q608" s="135"/>
    </row>
    <row r="609" spans="2:17" ht="12.75" customHeight="1">
      <c r="B609" s="22"/>
      <c r="C609" s="22"/>
      <c r="Q609" s="135"/>
    </row>
    <row r="610" spans="2:17" ht="12.75" customHeight="1">
      <c r="B610" s="22"/>
      <c r="C610" s="22"/>
      <c r="Q610" s="135"/>
    </row>
    <row r="611" spans="2:17" ht="12.75" customHeight="1">
      <c r="B611" s="22"/>
      <c r="C611" s="22"/>
      <c r="Q611" s="135"/>
    </row>
    <row r="612" spans="2:17" ht="12.75" customHeight="1">
      <c r="B612" s="22"/>
      <c r="C612" s="22"/>
      <c r="Q612" s="135"/>
    </row>
    <row r="613" spans="2:17" ht="12.75" customHeight="1">
      <c r="B613" s="22"/>
      <c r="C613" s="22"/>
      <c r="Q613" s="135"/>
    </row>
    <row r="614" spans="2:17" ht="12.75" customHeight="1">
      <c r="B614" s="22"/>
      <c r="C614" s="22"/>
      <c r="Q614" s="135"/>
    </row>
    <row r="615" spans="2:17" ht="12.75" customHeight="1">
      <c r="B615" s="22"/>
      <c r="C615" s="22"/>
      <c r="Q615" s="135"/>
    </row>
    <row r="616" spans="2:17" ht="12.75" customHeight="1">
      <c r="B616" s="22"/>
      <c r="C616" s="22"/>
      <c r="Q616" s="135"/>
    </row>
    <row r="617" spans="2:17" ht="12.75" customHeight="1">
      <c r="B617" s="22"/>
      <c r="C617" s="22"/>
      <c r="Q617" s="135"/>
    </row>
    <row r="618" spans="2:17" ht="12.75" customHeight="1">
      <c r="B618" s="22"/>
      <c r="C618" s="22"/>
      <c r="Q618" s="135"/>
    </row>
    <row r="619" spans="2:17" ht="12.75" customHeight="1">
      <c r="B619" s="22"/>
      <c r="C619" s="22"/>
      <c r="Q619" s="135"/>
    </row>
    <row r="620" spans="2:17" ht="12.75" customHeight="1">
      <c r="B620" s="22"/>
      <c r="C620" s="22"/>
      <c r="Q620" s="135"/>
    </row>
    <row r="621" spans="2:17" ht="12.75" customHeight="1">
      <c r="B621" s="22"/>
      <c r="C621" s="22"/>
      <c r="Q621" s="135"/>
    </row>
    <row r="622" spans="2:17" ht="12.75" customHeight="1">
      <c r="B622" s="22"/>
      <c r="C622" s="22"/>
      <c r="Q622" s="135"/>
    </row>
    <row r="623" spans="2:17" ht="12.75" customHeight="1">
      <c r="B623" s="22"/>
      <c r="C623" s="22"/>
      <c r="Q623" s="135"/>
    </row>
    <row r="624" spans="2:17" ht="12.75" customHeight="1">
      <c r="B624" s="22"/>
      <c r="C624" s="22"/>
      <c r="Q624" s="135"/>
    </row>
    <row r="625" spans="2:17" ht="12.75" customHeight="1">
      <c r="B625" s="22"/>
      <c r="C625" s="22"/>
      <c r="Q625" s="135"/>
    </row>
    <row r="626" spans="2:17" ht="12.75" customHeight="1">
      <c r="B626" s="22"/>
      <c r="C626" s="22"/>
      <c r="Q626" s="135"/>
    </row>
    <row r="627" spans="2:17" ht="12.75" customHeight="1">
      <c r="B627" s="22"/>
      <c r="C627" s="22"/>
      <c r="Q627" s="135"/>
    </row>
    <row r="628" spans="2:17" ht="12.75" customHeight="1">
      <c r="B628" s="22"/>
      <c r="C628" s="22"/>
      <c r="Q628" s="135"/>
    </row>
    <row r="629" spans="2:17" ht="12.75" customHeight="1">
      <c r="B629" s="22"/>
      <c r="C629" s="22"/>
      <c r="Q629" s="135"/>
    </row>
    <row r="630" spans="2:17" ht="12.75" customHeight="1">
      <c r="B630" s="22"/>
      <c r="C630" s="22"/>
      <c r="Q630" s="135"/>
    </row>
    <row r="631" spans="2:17" ht="12.75" customHeight="1">
      <c r="B631" s="22"/>
      <c r="C631" s="22"/>
      <c r="Q631" s="135"/>
    </row>
    <row r="632" spans="2:17" ht="12.75" customHeight="1">
      <c r="B632" s="22"/>
      <c r="C632" s="22"/>
      <c r="Q632" s="135"/>
    </row>
    <row r="633" spans="2:17" ht="12.75" customHeight="1">
      <c r="B633" s="22"/>
      <c r="C633" s="22"/>
      <c r="Q633" s="135"/>
    </row>
    <row r="634" spans="2:17" ht="12.75" customHeight="1">
      <c r="B634" s="22"/>
      <c r="C634" s="22"/>
      <c r="Q634" s="135"/>
    </row>
    <row r="635" spans="2:17" ht="12.75" customHeight="1">
      <c r="B635" s="22"/>
      <c r="C635" s="22"/>
      <c r="Q635" s="135"/>
    </row>
    <row r="636" spans="2:17" ht="12.75" customHeight="1">
      <c r="B636" s="22"/>
      <c r="C636" s="22"/>
      <c r="Q636" s="135"/>
    </row>
    <row r="637" spans="2:17" ht="12.75" customHeight="1">
      <c r="B637" s="22"/>
      <c r="C637" s="22"/>
      <c r="Q637" s="135"/>
    </row>
    <row r="638" spans="2:17" ht="12.75" customHeight="1">
      <c r="B638" s="22"/>
      <c r="C638" s="22"/>
      <c r="Q638" s="135"/>
    </row>
    <row r="639" spans="2:17" ht="12.75" customHeight="1">
      <c r="B639" s="22"/>
      <c r="C639" s="22"/>
      <c r="Q639" s="135"/>
    </row>
    <row r="640" spans="2:17" ht="12.75" customHeight="1">
      <c r="B640" s="22"/>
      <c r="C640" s="22"/>
      <c r="Q640" s="135"/>
    </row>
    <row r="641" spans="2:17" ht="12.75" customHeight="1">
      <c r="B641" s="22"/>
      <c r="C641" s="22"/>
      <c r="Q641" s="135"/>
    </row>
    <row r="642" spans="2:17" ht="12.75" customHeight="1">
      <c r="B642" s="22"/>
      <c r="C642" s="22"/>
      <c r="Q642" s="135"/>
    </row>
    <row r="643" spans="2:17" ht="12.75" customHeight="1">
      <c r="B643" s="22"/>
      <c r="C643" s="22"/>
      <c r="Q643" s="135"/>
    </row>
    <row r="644" spans="2:17" ht="12.75" customHeight="1">
      <c r="B644" s="22"/>
      <c r="C644" s="22"/>
      <c r="Q644" s="135"/>
    </row>
    <row r="645" spans="2:17" ht="12.75" customHeight="1">
      <c r="B645" s="22"/>
      <c r="C645" s="22"/>
      <c r="Q645" s="135"/>
    </row>
    <row r="646" spans="2:17" ht="12.75" customHeight="1">
      <c r="B646" s="22"/>
      <c r="C646" s="22"/>
      <c r="Q646" s="135"/>
    </row>
    <row r="647" spans="2:17" ht="12.75" customHeight="1">
      <c r="B647" s="22"/>
      <c r="C647" s="22"/>
      <c r="Q647" s="135"/>
    </row>
    <row r="648" spans="2:17" ht="12.75" customHeight="1">
      <c r="B648" s="22"/>
      <c r="C648" s="22"/>
      <c r="Q648" s="135"/>
    </row>
    <row r="649" spans="2:17" ht="12.75" customHeight="1">
      <c r="B649" s="22"/>
      <c r="C649" s="22"/>
      <c r="Q649" s="135"/>
    </row>
    <row r="650" spans="2:17" ht="12.75" customHeight="1">
      <c r="B650" s="22"/>
      <c r="C650" s="22"/>
      <c r="Q650" s="135"/>
    </row>
    <row r="651" spans="2:17" ht="12.75" customHeight="1">
      <c r="B651" s="22"/>
      <c r="C651" s="22"/>
      <c r="Q651" s="135"/>
    </row>
    <row r="652" spans="2:17" ht="12.75" customHeight="1">
      <c r="B652" s="22"/>
      <c r="C652" s="22"/>
      <c r="Q652" s="135"/>
    </row>
    <row r="653" spans="2:17" ht="12.75" customHeight="1">
      <c r="B653" s="22"/>
      <c r="C653" s="22"/>
      <c r="Q653" s="135"/>
    </row>
    <row r="654" spans="2:17" ht="12.75" customHeight="1">
      <c r="B654" s="22"/>
      <c r="C654" s="22"/>
      <c r="Q654" s="135"/>
    </row>
    <row r="655" spans="2:17" ht="12.75" customHeight="1">
      <c r="B655" s="22"/>
      <c r="C655" s="22"/>
      <c r="Q655" s="135"/>
    </row>
    <row r="656" spans="2:17" ht="12.75" customHeight="1">
      <c r="B656" s="22"/>
      <c r="C656" s="22"/>
      <c r="Q656" s="135"/>
    </row>
    <row r="657" spans="2:17" ht="12.75" customHeight="1">
      <c r="B657" s="22"/>
      <c r="C657" s="22"/>
      <c r="Q657" s="135"/>
    </row>
    <row r="658" spans="2:17" ht="12.75" customHeight="1">
      <c r="B658" s="22"/>
      <c r="C658" s="22"/>
      <c r="Q658" s="135"/>
    </row>
    <row r="659" spans="2:17" ht="12.75" customHeight="1">
      <c r="B659" s="22"/>
      <c r="C659" s="22"/>
      <c r="Q659" s="135"/>
    </row>
    <row r="660" spans="2:17" ht="12.75" customHeight="1">
      <c r="B660" s="22"/>
      <c r="C660" s="22"/>
      <c r="Q660" s="135"/>
    </row>
    <row r="661" spans="2:17" ht="12.75" customHeight="1">
      <c r="B661" s="22"/>
      <c r="C661" s="22"/>
      <c r="Q661" s="135"/>
    </row>
    <row r="662" spans="2:17" ht="12.75" customHeight="1">
      <c r="B662" s="22"/>
      <c r="C662" s="22"/>
      <c r="Q662" s="135"/>
    </row>
    <row r="663" spans="2:17" ht="12.75" customHeight="1">
      <c r="B663" s="22"/>
      <c r="C663" s="22"/>
      <c r="Q663" s="135"/>
    </row>
    <row r="664" spans="2:17" ht="12.75" customHeight="1">
      <c r="B664" s="22"/>
      <c r="C664" s="22"/>
      <c r="Q664" s="135"/>
    </row>
    <row r="665" spans="2:17" ht="12.75" customHeight="1">
      <c r="B665" s="22"/>
      <c r="C665" s="22"/>
      <c r="Q665" s="135"/>
    </row>
    <row r="666" spans="2:17" ht="12.75" customHeight="1">
      <c r="B666" s="22"/>
      <c r="C666" s="22"/>
      <c r="Q666" s="135"/>
    </row>
    <row r="667" spans="2:17" ht="12.75" customHeight="1">
      <c r="B667" s="22"/>
      <c r="C667" s="22"/>
      <c r="Q667" s="135"/>
    </row>
    <row r="668" spans="2:17" ht="12.75" customHeight="1">
      <c r="B668" s="22"/>
      <c r="C668" s="22"/>
      <c r="Q668" s="135"/>
    </row>
    <row r="669" spans="2:17" ht="12.75" customHeight="1">
      <c r="B669" s="22"/>
      <c r="C669" s="22"/>
      <c r="Q669" s="135"/>
    </row>
    <row r="670" spans="2:17" ht="12.75" customHeight="1">
      <c r="B670" s="22"/>
      <c r="C670" s="22"/>
      <c r="Q670" s="135"/>
    </row>
    <row r="671" spans="2:17" ht="12.75" customHeight="1">
      <c r="B671" s="22"/>
      <c r="C671" s="22"/>
      <c r="Q671" s="135"/>
    </row>
    <row r="672" spans="2:17" ht="12.75" customHeight="1">
      <c r="B672" s="22"/>
      <c r="C672" s="22"/>
      <c r="Q672" s="135"/>
    </row>
    <row r="673" spans="2:17" ht="12.75" customHeight="1">
      <c r="B673" s="22"/>
      <c r="C673" s="22"/>
      <c r="Q673" s="135"/>
    </row>
    <row r="674" spans="2:17" ht="12.75" customHeight="1">
      <c r="B674" s="22"/>
      <c r="C674" s="22"/>
      <c r="Q674" s="135"/>
    </row>
    <row r="675" spans="2:17" ht="12.75" customHeight="1">
      <c r="B675" s="22"/>
      <c r="C675" s="22"/>
      <c r="Q675" s="135"/>
    </row>
    <row r="676" spans="2:17" ht="12.75" customHeight="1">
      <c r="B676" s="22"/>
      <c r="C676" s="22"/>
      <c r="Q676" s="135"/>
    </row>
    <row r="677" spans="2:17" ht="12.75" customHeight="1">
      <c r="B677" s="22"/>
      <c r="C677" s="22"/>
      <c r="Q677" s="135"/>
    </row>
    <row r="678" spans="2:17" ht="12.75" customHeight="1">
      <c r="B678" s="22"/>
      <c r="C678" s="22"/>
      <c r="Q678" s="135"/>
    </row>
    <row r="679" spans="2:17" ht="12.75" customHeight="1">
      <c r="B679" s="22"/>
      <c r="C679" s="22"/>
      <c r="Q679" s="135"/>
    </row>
    <row r="680" spans="2:17" ht="12.75" customHeight="1">
      <c r="B680" s="22"/>
      <c r="C680" s="22"/>
      <c r="Q680" s="135"/>
    </row>
    <row r="681" spans="2:17" ht="12.75" customHeight="1">
      <c r="B681" s="22"/>
      <c r="C681" s="22"/>
      <c r="Q681" s="135"/>
    </row>
    <row r="682" spans="2:17" ht="12.75" customHeight="1">
      <c r="B682" s="22"/>
      <c r="C682" s="22"/>
      <c r="Q682" s="135"/>
    </row>
    <row r="683" spans="2:17" ht="12.75" customHeight="1">
      <c r="B683" s="22"/>
      <c r="C683" s="22"/>
      <c r="Q683" s="135"/>
    </row>
    <row r="684" spans="2:17" ht="12.75" customHeight="1">
      <c r="B684" s="22"/>
      <c r="C684" s="22"/>
      <c r="Q684" s="135"/>
    </row>
    <row r="685" spans="2:17" ht="12.75" customHeight="1">
      <c r="B685" s="22"/>
      <c r="C685" s="22"/>
      <c r="Q685" s="135"/>
    </row>
    <row r="686" spans="2:17" ht="12.75" customHeight="1">
      <c r="B686" s="22"/>
      <c r="C686" s="22"/>
      <c r="Q686" s="135"/>
    </row>
    <row r="687" spans="2:17" ht="12.75" customHeight="1">
      <c r="B687" s="22"/>
      <c r="C687" s="22"/>
      <c r="Q687" s="135"/>
    </row>
    <row r="688" spans="2:17" ht="12.75" customHeight="1">
      <c r="B688" s="22"/>
      <c r="C688" s="22"/>
      <c r="Q688" s="135"/>
    </row>
    <row r="689" spans="2:17" ht="12.75" customHeight="1">
      <c r="B689" s="22"/>
      <c r="C689" s="22"/>
      <c r="Q689" s="135"/>
    </row>
    <row r="690" spans="2:17" ht="12.75" customHeight="1">
      <c r="B690" s="22"/>
      <c r="C690" s="22"/>
      <c r="Q690" s="135"/>
    </row>
    <row r="691" spans="2:17" ht="12.75" customHeight="1">
      <c r="B691" s="22"/>
      <c r="C691" s="22"/>
      <c r="Q691" s="135"/>
    </row>
    <row r="692" spans="2:17" ht="12.75" customHeight="1">
      <c r="B692" s="22"/>
      <c r="C692" s="22"/>
      <c r="Q692" s="135"/>
    </row>
    <row r="693" spans="2:17" ht="12.75" customHeight="1">
      <c r="B693" s="22"/>
      <c r="C693" s="22"/>
      <c r="Q693" s="135"/>
    </row>
    <row r="694" spans="2:17" ht="12.75" customHeight="1">
      <c r="B694" s="22"/>
      <c r="C694" s="22"/>
      <c r="Q694" s="135"/>
    </row>
    <row r="695" spans="2:17" ht="12.75" customHeight="1">
      <c r="B695" s="22"/>
      <c r="C695" s="22"/>
      <c r="Q695" s="135"/>
    </row>
    <row r="696" spans="2:17" ht="12.75" customHeight="1">
      <c r="B696" s="22"/>
      <c r="C696" s="22"/>
      <c r="Q696" s="135"/>
    </row>
    <row r="697" spans="2:17" ht="12.75" customHeight="1">
      <c r="B697" s="22"/>
      <c r="C697" s="22"/>
      <c r="Q697" s="135"/>
    </row>
    <row r="698" spans="2:17" ht="12.75" customHeight="1">
      <c r="B698" s="22"/>
      <c r="C698" s="22"/>
      <c r="Q698" s="135"/>
    </row>
    <row r="699" spans="2:17" ht="12.75" customHeight="1">
      <c r="B699" s="22"/>
      <c r="C699" s="22"/>
      <c r="Q699" s="135"/>
    </row>
    <row r="700" spans="2:17" ht="12.75" customHeight="1">
      <c r="B700" s="22"/>
      <c r="C700" s="22"/>
      <c r="Q700" s="135"/>
    </row>
    <row r="701" spans="2:17" ht="12.75" customHeight="1">
      <c r="B701" s="22"/>
      <c r="C701" s="22"/>
      <c r="Q701" s="135"/>
    </row>
    <row r="702" spans="2:17" ht="12.75" customHeight="1">
      <c r="B702" s="22"/>
      <c r="C702" s="22"/>
      <c r="Q702" s="135"/>
    </row>
    <row r="703" spans="2:17" ht="12.75" customHeight="1">
      <c r="B703" s="22"/>
      <c r="C703" s="22"/>
      <c r="Q703" s="135"/>
    </row>
    <row r="704" spans="2:17" ht="12.75" customHeight="1">
      <c r="B704" s="22"/>
      <c r="C704" s="22"/>
      <c r="Q704" s="135"/>
    </row>
    <row r="705" spans="2:17" ht="12.75" customHeight="1">
      <c r="B705" s="22"/>
      <c r="C705" s="22"/>
      <c r="Q705" s="135"/>
    </row>
    <row r="706" spans="2:17" ht="12.75" customHeight="1">
      <c r="B706" s="22"/>
      <c r="C706" s="22"/>
      <c r="Q706" s="135"/>
    </row>
    <row r="707" spans="2:17" ht="12.75" customHeight="1">
      <c r="B707" s="22"/>
      <c r="C707" s="22"/>
      <c r="Q707" s="135"/>
    </row>
    <row r="708" spans="2:17" ht="12.75" customHeight="1">
      <c r="B708" s="22"/>
      <c r="C708" s="22"/>
      <c r="Q708" s="135"/>
    </row>
    <row r="709" spans="2:17" ht="12.75" customHeight="1">
      <c r="B709" s="22"/>
      <c r="C709" s="22"/>
      <c r="Q709" s="135"/>
    </row>
    <row r="710" spans="2:17" ht="12.75" customHeight="1">
      <c r="B710" s="22"/>
      <c r="C710" s="22"/>
      <c r="Q710" s="135"/>
    </row>
    <row r="711" spans="2:17" ht="12.75" customHeight="1">
      <c r="B711" s="22"/>
      <c r="C711" s="22"/>
      <c r="Q711" s="135"/>
    </row>
    <row r="712" spans="2:17" ht="12.75" customHeight="1">
      <c r="B712" s="22"/>
      <c r="C712" s="22"/>
      <c r="Q712" s="135"/>
    </row>
    <row r="713" spans="2:17" ht="12.75" customHeight="1">
      <c r="B713" s="22"/>
      <c r="C713" s="22"/>
      <c r="Q713" s="135"/>
    </row>
    <row r="714" spans="2:17" ht="12.75" customHeight="1">
      <c r="B714" s="22"/>
      <c r="C714" s="22"/>
      <c r="Q714" s="135"/>
    </row>
    <row r="715" spans="2:17" ht="12.75" customHeight="1">
      <c r="B715" s="22"/>
      <c r="C715" s="22"/>
      <c r="Q715" s="135"/>
    </row>
    <row r="716" spans="2:17" ht="12.75" customHeight="1">
      <c r="B716" s="22"/>
      <c r="C716" s="22"/>
      <c r="Q716" s="135"/>
    </row>
    <row r="717" spans="2:17" ht="12.75" customHeight="1">
      <c r="B717" s="22"/>
      <c r="C717" s="22"/>
      <c r="Q717" s="135"/>
    </row>
    <row r="718" spans="2:17" ht="12.75" customHeight="1">
      <c r="B718" s="22"/>
      <c r="C718" s="22"/>
      <c r="Q718" s="135"/>
    </row>
    <row r="719" spans="2:17" ht="12.75" customHeight="1">
      <c r="B719" s="22"/>
      <c r="C719" s="22"/>
      <c r="Q719" s="135"/>
    </row>
    <row r="720" spans="2:17" ht="12.75" customHeight="1">
      <c r="B720" s="22"/>
      <c r="C720" s="22"/>
      <c r="Q720" s="135"/>
    </row>
    <row r="721" spans="2:17" ht="12.75" customHeight="1">
      <c r="B721" s="22"/>
      <c r="C721" s="22"/>
      <c r="Q721" s="135"/>
    </row>
    <row r="722" spans="2:17" ht="12.75" customHeight="1">
      <c r="B722" s="22"/>
      <c r="C722" s="22"/>
      <c r="Q722" s="135"/>
    </row>
    <row r="723" spans="2:17" ht="12.75" customHeight="1">
      <c r="B723" s="22"/>
      <c r="C723" s="22"/>
      <c r="Q723" s="135"/>
    </row>
    <row r="724" spans="2:17" ht="12.75" customHeight="1">
      <c r="B724" s="22"/>
      <c r="C724" s="22"/>
      <c r="Q724" s="135"/>
    </row>
    <row r="725" spans="2:17" ht="12.75" customHeight="1">
      <c r="B725" s="22"/>
      <c r="C725" s="22"/>
      <c r="Q725" s="135"/>
    </row>
    <row r="726" spans="2:17" ht="12.75" customHeight="1">
      <c r="B726" s="22"/>
      <c r="C726" s="22"/>
      <c r="Q726" s="135"/>
    </row>
    <row r="727" spans="2:17" ht="12.75" customHeight="1">
      <c r="B727" s="22"/>
      <c r="C727" s="22"/>
      <c r="Q727" s="135"/>
    </row>
    <row r="728" spans="2:17" ht="12.75" customHeight="1">
      <c r="B728" s="22"/>
      <c r="C728" s="22"/>
      <c r="Q728" s="135"/>
    </row>
    <row r="729" spans="2:17" ht="12.75" customHeight="1">
      <c r="B729" s="22"/>
      <c r="C729" s="22"/>
      <c r="Q729" s="135"/>
    </row>
    <row r="730" spans="2:17" ht="12.75" customHeight="1">
      <c r="B730" s="22"/>
      <c r="C730" s="22"/>
      <c r="Q730" s="135"/>
    </row>
    <row r="731" spans="2:17" ht="12.75" customHeight="1">
      <c r="B731" s="22"/>
      <c r="C731" s="22"/>
      <c r="Q731" s="135"/>
    </row>
    <row r="732" spans="2:17" ht="12.75" customHeight="1">
      <c r="B732" s="22"/>
      <c r="C732" s="22"/>
      <c r="Q732" s="135"/>
    </row>
    <row r="733" spans="2:17" ht="12.75" customHeight="1">
      <c r="B733" s="22"/>
      <c r="C733" s="22"/>
      <c r="Q733" s="135"/>
    </row>
    <row r="734" spans="2:17" ht="12.75" customHeight="1">
      <c r="B734" s="22"/>
      <c r="C734" s="22"/>
      <c r="Q734" s="135"/>
    </row>
    <row r="735" spans="2:17" ht="12.75" customHeight="1">
      <c r="B735" s="22"/>
      <c r="C735" s="22"/>
      <c r="Q735" s="135"/>
    </row>
    <row r="736" spans="2:17" ht="12.75" customHeight="1">
      <c r="B736" s="22"/>
      <c r="C736" s="22"/>
      <c r="Q736" s="135"/>
    </row>
    <row r="737" spans="2:17" ht="12.75" customHeight="1">
      <c r="B737" s="22"/>
      <c r="C737" s="22"/>
      <c r="Q737" s="135"/>
    </row>
    <row r="738" spans="2:17" ht="12.75" customHeight="1">
      <c r="B738" s="22"/>
      <c r="C738" s="22"/>
      <c r="Q738" s="135"/>
    </row>
    <row r="739" spans="2:17" ht="12.75" customHeight="1">
      <c r="B739" s="22"/>
      <c r="C739" s="22"/>
      <c r="Q739" s="135"/>
    </row>
    <row r="740" spans="2:17" ht="12.75" customHeight="1">
      <c r="B740" s="22"/>
      <c r="C740" s="22"/>
      <c r="Q740" s="135"/>
    </row>
    <row r="741" spans="2:17" ht="12.75" customHeight="1">
      <c r="B741" s="22"/>
      <c r="C741" s="22"/>
      <c r="Q741" s="135"/>
    </row>
    <row r="742" spans="2:17" ht="12.75" customHeight="1">
      <c r="B742" s="22"/>
      <c r="C742" s="22"/>
      <c r="Q742" s="135"/>
    </row>
    <row r="743" spans="2:17" ht="12.75" customHeight="1">
      <c r="B743" s="22"/>
      <c r="C743" s="22"/>
      <c r="Q743" s="135"/>
    </row>
    <row r="744" spans="2:17" ht="12.75" customHeight="1">
      <c r="B744" s="22"/>
      <c r="C744" s="22"/>
      <c r="Q744" s="135"/>
    </row>
    <row r="745" spans="2:17" ht="12.75" customHeight="1">
      <c r="B745" s="22"/>
      <c r="C745" s="22"/>
      <c r="Q745" s="135"/>
    </row>
    <row r="746" spans="2:17" ht="12.75" customHeight="1">
      <c r="B746" s="22"/>
      <c r="C746" s="22"/>
      <c r="Q746" s="135"/>
    </row>
    <row r="747" spans="2:17" ht="12.75" customHeight="1">
      <c r="B747" s="22"/>
      <c r="C747" s="22"/>
      <c r="Q747" s="135"/>
    </row>
    <row r="748" spans="2:17" ht="12.75" customHeight="1">
      <c r="B748" s="22"/>
      <c r="C748" s="22"/>
      <c r="Q748" s="135"/>
    </row>
    <row r="749" spans="2:17" ht="12.75" customHeight="1">
      <c r="B749" s="22"/>
      <c r="C749" s="22"/>
      <c r="Q749" s="135"/>
    </row>
    <row r="750" spans="2:17" ht="12.75" customHeight="1">
      <c r="B750" s="22"/>
      <c r="C750" s="22"/>
      <c r="Q750" s="135"/>
    </row>
    <row r="751" spans="2:17" ht="12.75" customHeight="1">
      <c r="B751" s="22"/>
      <c r="C751" s="22"/>
      <c r="Q751" s="135"/>
    </row>
    <row r="752" spans="2:17" ht="12.75" customHeight="1">
      <c r="B752" s="22"/>
      <c r="C752" s="22"/>
      <c r="Q752" s="135"/>
    </row>
    <row r="753" spans="2:17" ht="12.75" customHeight="1">
      <c r="B753" s="22"/>
      <c r="C753" s="22"/>
      <c r="Q753" s="135"/>
    </row>
    <row r="754" spans="2:17" ht="12.75" customHeight="1">
      <c r="B754" s="22"/>
      <c r="C754" s="22"/>
      <c r="Q754" s="135"/>
    </row>
    <row r="755" spans="2:17" ht="12.75" customHeight="1">
      <c r="B755" s="22"/>
      <c r="C755" s="22"/>
      <c r="Q755" s="135"/>
    </row>
    <row r="756" spans="2:17" ht="12.75" customHeight="1">
      <c r="B756" s="22"/>
      <c r="C756" s="22"/>
      <c r="Q756" s="135"/>
    </row>
    <row r="757" spans="2:17" ht="12.75" customHeight="1">
      <c r="B757" s="22"/>
      <c r="C757" s="22"/>
      <c r="Q757" s="135"/>
    </row>
    <row r="758" spans="2:17" ht="12.75" customHeight="1">
      <c r="B758" s="22"/>
      <c r="C758" s="22"/>
      <c r="Q758" s="135"/>
    </row>
    <row r="759" spans="2:17" ht="12.75" customHeight="1">
      <c r="B759" s="22"/>
      <c r="C759" s="22"/>
      <c r="Q759" s="135"/>
    </row>
    <row r="760" spans="2:17" ht="12.75" customHeight="1">
      <c r="B760" s="22"/>
      <c r="C760" s="22"/>
      <c r="Q760" s="135"/>
    </row>
    <row r="761" spans="2:17" ht="12.75" customHeight="1">
      <c r="B761" s="22"/>
      <c r="C761" s="22"/>
      <c r="Q761" s="135"/>
    </row>
    <row r="762" spans="2:17" ht="12.75" customHeight="1">
      <c r="B762" s="22"/>
      <c r="C762" s="22"/>
      <c r="Q762" s="135"/>
    </row>
    <row r="763" spans="2:17" ht="12.75" customHeight="1">
      <c r="B763" s="22"/>
      <c r="C763" s="22"/>
      <c r="Q763" s="135"/>
    </row>
    <row r="764" spans="2:17" ht="12.75" customHeight="1">
      <c r="B764" s="22"/>
      <c r="C764" s="22"/>
      <c r="Q764" s="135"/>
    </row>
    <row r="765" spans="2:17" ht="12.75" customHeight="1">
      <c r="B765" s="22"/>
      <c r="C765" s="22"/>
      <c r="Q765" s="135"/>
    </row>
    <row r="766" spans="2:17" ht="12.75" customHeight="1">
      <c r="B766" s="22"/>
      <c r="C766" s="22"/>
      <c r="Q766" s="135"/>
    </row>
    <row r="767" spans="2:17" ht="12.75" customHeight="1">
      <c r="B767" s="22"/>
      <c r="C767" s="22"/>
      <c r="Q767" s="135"/>
    </row>
    <row r="768" spans="2:17" ht="12.75" customHeight="1">
      <c r="B768" s="22"/>
      <c r="C768" s="22"/>
      <c r="Q768" s="135"/>
    </row>
    <row r="769" spans="2:17" ht="12.75" customHeight="1">
      <c r="B769" s="22"/>
      <c r="C769" s="22"/>
      <c r="Q769" s="135"/>
    </row>
    <row r="770" spans="2:17" ht="12.75" customHeight="1">
      <c r="B770" s="22"/>
      <c r="C770" s="22"/>
      <c r="Q770" s="135"/>
    </row>
    <row r="771" spans="2:17" ht="12.75" customHeight="1">
      <c r="B771" s="22"/>
      <c r="C771" s="22"/>
      <c r="Q771" s="135"/>
    </row>
    <row r="772" spans="2:17" ht="12.75" customHeight="1">
      <c r="B772" s="22"/>
      <c r="C772" s="22"/>
      <c r="Q772" s="135"/>
    </row>
    <row r="773" spans="2:17" ht="12.75" customHeight="1">
      <c r="B773" s="22"/>
      <c r="C773" s="22"/>
      <c r="Q773" s="135"/>
    </row>
    <row r="774" spans="2:17" ht="12.75" customHeight="1">
      <c r="B774" s="22"/>
      <c r="C774" s="22"/>
      <c r="Q774" s="135"/>
    </row>
    <row r="775" spans="2:17" ht="12.75" customHeight="1">
      <c r="B775" s="22"/>
      <c r="C775" s="22"/>
      <c r="Q775" s="135"/>
    </row>
    <row r="776" spans="2:17" ht="12.75" customHeight="1">
      <c r="B776" s="22"/>
      <c r="C776" s="22"/>
      <c r="Q776" s="135"/>
    </row>
    <row r="777" spans="2:17" ht="12.75" customHeight="1">
      <c r="B777" s="22"/>
      <c r="C777" s="22"/>
      <c r="Q777" s="135"/>
    </row>
    <row r="778" spans="2:17" ht="12.75" customHeight="1">
      <c r="B778" s="22"/>
      <c r="C778" s="22"/>
      <c r="Q778" s="135"/>
    </row>
    <row r="779" spans="2:17" ht="12.75" customHeight="1">
      <c r="B779" s="22"/>
      <c r="C779" s="22"/>
      <c r="Q779" s="135"/>
    </row>
    <row r="780" spans="2:17" ht="12.75" customHeight="1">
      <c r="B780" s="22"/>
      <c r="C780" s="22"/>
      <c r="Q780" s="135"/>
    </row>
    <row r="781" spans="2:17" ht="12.75" customHeight="1">
      <c r="B781" s="22"/>
      <c r="C781" s="22"/>
      <c r="Q781" s="135"/>
    </row>
    <row r="782" spans="2:17" ht="12.75" customHeight="1">
      <c r="B782" s="22"/>
      <c r="C782" s="22"/>
      <c r="Q782" s="135"/>
    </row>
    <row r="783" spans="2:17" ht="12.75" customHeight="1">
      <c r="B783" s="22"/>
      <c r="C783" s="22"/>
      <c r="Q783" s="135"/>
    </row>
    <row r="784" spans="2:17" ht="12.75" customHeight="1">
      <c r="B784" s="22"/>
      <c r="C784" s="22"/>
      <c r="Q784" s="135"/>
    </row>
    <row r="785" spans="2:17" ht="12.75" customHeight="1">
      <c r="B785" s="22"/>
      <c r="C785" s="22"/>
      <c r="Q785" s="135"/>
    </row>
    <row r="786" spans="2:17" ht="12.75" customHeight="1">
      <c r="B786" s="22"/>
      <c r="C786" s="22"/>
      <c r="Q786" s="135"/>
    </row>
    <row r="787" spans="2:17" ht="12.75" customHeight="1">
      <c r="B787" s="22"/>
      <c r="C787" s="22"/>
      <c r="Q787" s="135"/>
    </row>
    <row r="788" spans="2:17" ht="12.75" customHeight="1">
      <c r="B788" s="22"/>
      <c r="C788" s="22"/>
      <c r="Q788" s="135"/>
    </row>
    <row r="789" spans="2:17" ht="12.75" customHeight="1">
      <c r="B789" s="22"/>
      <c r="C789" s="22"/>
      <c r="Q789" s="135"/>
    </row>
    <row r="790" spans="2:17" ht="12.75" customHeight="1">
      <c r="B790" s="22"/>
      <c r="C790" s="22"/>
      <c r="Q790" s="135"/>
    </row>
    <row r="791" spans="2:17" ht="12.75" customHeight="1">
      <c r="B791" s="22"/>
      <c r="C791" s="22"/>
      <c r="Q791" s="135"/>
    </row>
    <row r="792" spans="2:17" ht="12.75" customHeight="1">
      <c r="B792" s="22"/>
      <c r="C792" s="22"/>
      <c r="Q792" s="135"/>
    </row>
    <row r="793" spans="2:17" ht="12.75" customHeight="1">
      <c r="B793" s="22"/>
      <c r="C793" s="22"/>
      <c r="Q793" s="135"/>
    </row>
    <row r="794" spans="2:17" ht="12.75" customHeight="1">
      <c r="B794" s="22"/>
      <c r="C794" s="22"/>
      <c r="Q794" s="135"/>
    </row>
    <row r="795" spans="2:17" ht="12.75" customHeight="1">
      <c r="B795" s="22"/>
      <c r="C795" s="22"/>
      <c r="Q795" s="135"/>
    </row>
    <row r="796" spans="2:17" ht="12.75" customHeight="1">
      <c r="B796" s="22"/>
      <c r="C796" s="22"/>
      <c r="Q796" s="135"/>
    </row>
    <row r="797" spans="2:17" ht="12.75" customHeight="1">
      <c r="B797" s="22"/>
      <c r="C797" s="22"/>
      <c r="Q797" s="135"/>
    </row>
    <row r="798" spans="2:17" ht="12.75" customHeight="1">
      <c r="B798" s="22"/>
      <c r="C798" s="22"/>
      <c r="Q798" s="135"/>
    </row>
    <row r="799" spans="2:17" ht="12.75" customHeight="1">
      <c r="B799" s="22"/>
      <c r="C799" s="22"/>
      <c r="Q799" s="135"/>
    </row>
    <row r="800" spans="2:17" ht="12.75" customHeight="1">
      <c r="B800" s="22"/>
      <c r="C800" s="22"/>
      <c r="Q800" s="135"/>
    </row>
    <row r="801" spans="2:17" ht="12.75" customHeight="1">
      <c r="B801" s="22"/>
      <c r="C801" s="22"/>
      <c r="Q801" s="135"/>
    </row>
    <row r="802" spans="2:17" ht="12.75" customHeight="1">
      <c r="B802" s="22"/>
      <c r="C802" s="22"/>
      <c r="Q802" s="135"/>
    </row>
    <row r="803" spans="2:17" ht="12.75" customHeight="1">
      <c r="B803" s="22"/>
      <c r="C803" s="22"/>
      <c r="Q803" s="135"/>
    </row>
    <row r="804" spans="2:17" ht="12.75" customHeight="1">
      <c r="B804" s="22"/>
      <c r="C804" s="22"/>
      <c r="Q804" s="135"/>
    </row>
    <row r="805" spans="2:17" ht="12.75" customHeight="1">
      <c r="B805" s="22"/>
      <c r="C805" s="22"/>
      <c r="Q805" s="135"/>
    </row>
    <row r="806" spans="2:17" ht="12.75" customHeight="1">
      <c r="B806" s="22"/>
      <c r="C806" s="22"/>
      <c r="Q806" s="135"/>
    </row>
    <row r="807" spans="2:17" ht="12.75" customHeight="1">
      <c r="B807" s="22"/>
      <c r="C807" s="22"/>
      <c r="Q807" s="135"/>
    </row>
    <row r="808" spans="2:17" ht="12.75" customHeight="1">
      <c r="B808" s="22"/>
      <c r="C808" s="22"/>
      <c r="Q808" s="135"/>
    </row>
    <row r="809" spans="2:17" ht="12.75" customHeight="1">
      <c r="B809" s="22"/>
      <c r="C809" s="22"/>
      <c r="Q809" s="135"/>
    </row>
    <row r="810" spans="2:17" ht="12.75" customHeight="1">
      <c r="B810" s="22"/>
      <c r="C810" s="22"/>
      <c r="Q810" s="135"/>
    </row>
    <row r="811" spans="2:17" ht="12.75" customHeight="1">
      <c r="B811" s="22"/>
      <c r="C811" s="22"/>
      <c r="Q811" s="135"/>
    </row>
    <row r="812" spans="2:17" ht="12.75" customHeight="1">
      <c r="B812" s="22"/>
      <c r="C812" s="22"/>
      <c r="Q812" s="135"/>
    </row>
    <row r="813" spans="2:17" ht="12.75" customHeight="1">
      <c r="B813" s="22"/>
      <c r="C813" s="22"/>
      <c r="Q813" s="135"/>
    </row>
    <row r="814" spans="2:17" ht="12.75" customHeight="1">
      <c r="B814" s="22"/>
      <c r="C814" s="22"/>
      <c r="Q814" s="135"/>
    </row>
    <row r="815" spans="2:17" ht="12.75" customHeight="1">
      <c r="B815" s="22"/>
      <c r="C815" s="22"/>
      <c r="Q815" s="135"/>
    </row>
    <row r="816" spans="2:17" ht="12.75" customHeight="1">
      <c r="B816" s="22"/>
      <c r="C816" s="22"/>
      <c r="Q816" s="135"/>
    </row>
    <row r="817" spans="2:17" ht="12.75" customHeight="1">
      <c r="B817" s="22"/>
      <c r="C817" s="22"/>
      <c r="Q817" s="135"/>
    </row>
    <row r="818" spans="2:17" ht="12.75" customHeight="1">
      <c r="B818" s="22"/>
      <c r="C818" s="22"/>
      <c r="Q818" s="135"/>
    </row>
    <row r="819" spans="2:17" ht="12.75" customHeight="1">
      <c r="B819" s="22"/>
      <c r="C819" s="22"/>
      <c r="Q819" s="135"/>
    </row>
    <row r="820" spans="2:17" ht="12.75" customHeight="1">
      <c r="B820" s="22"/>
      <c r="C820" s="22"/>
      <c r="Q820" s="135"/>
    </row>
    <row r="821" spans="2:17" ht="12.75" customHeight="1">
      <c r="B821" s="22"/>
      <c r="C821" s="22"/>
      <c r="Q821" s="135"/>
    </row>
    <row r="822" spans="2:17" ht="12.75" customHeight="1">
      <c r="B822" s="22"/>
      <c r="C822" s="22"/>
      <c r="Q822" s="135"/>
    </row>
    <row r="823" spans="2:17" ht="12.75" customHeight="1">
      <c r="B823" s="22"/>
      <c r="C823" s="22"/>
      <c r="Q823" s="135"/>
    </row>
    <row r="824" spans="2:17" ht="12.75" customHeight="1">
      <c r="B824" s="22"/>
      <c r="C824" s="22"/>
      <c r="Q824" s="135"/>
    </row>
    <row r="825" spans="2:17" ht="12.75" customHeight="1">
      <c r="B825" s="22"/>
      <c r="C825" s="22"/>
      <c r="Q825" s="135"/>
    </row>
    <row r="826" spans="2:17" ht="12.75" customHeight="1">
      <c r="B826" s="22"/>
      <c r="C826" s="22"/>
      <c r="Q826" s="135"/>
    </row>
    <row r="827" spans="2:17" ht="12.75" customHeight="1">
      <c r="B827" s="22"/>
      <c r="C827" s="22"/>
      <c r="Q827" s="135"/>
    </row>
    <row r="828" spans="2:17" ht="12.75" customHeight="1">
      <c r="B828" s="22"/>
      <c r="C828" s="22"/>
      <c r="Q828" s="135"/>
    </row>
    <row r="829" spans="2:17" ht="12.75" customHeight="1">
      <c r="B829" s="22"/>
      <c r="C829" s="22"/>
      <c r="Q829" s="135"/>
    </row>
    <row r="830" spans="2:17" ht="12.75" customHeight="1">
      <c r="B830" s="22"/>
      <c r="C830" s="22"/>
      <c r="Q830" s="135"/>
    </row>
    <row r="831" spans="2:17" ht="12.75" customHeight="1">
      <c r="B831" s="22"/>
      <c r="C831" s="22"/>
      <c r="Q831" s="135"/>
    </row>
    <row r="832" spans="2:17" ht="12.75" customHeight="1">
      <c r="B832" s="22"/>
      <c r="C832" s="22"/>
      <c r="Q832" s="135"/>
    </row>
    <row r="833" spans="2:17" ht="12.75" customHeight="1">
      <c r="B833" s="22"/>
      <c r="C833" s="22"/>
      <c r="Q833" s="135"/>
    </row>
    <row r="834" spans="2:17" ht="12.75" customHeight="1">
      <c r="B834" s="22"/>
      <c r="C834" s="22"/>
      <c r="Q834" s="135"/>
    </row>
    <row r="835" spans="2:17" ht="12.75" customHeight="1">
      <c r="B835" s="22"/>
      <c r="C835" s="22"/>
      <c r="Q835" s="135"/>
    </row>
    <row r="836" spans="2:17" ht="12.75" customHeight="1">
      <c r="B836" s="22"/>
      <c r="C836" s="22"/>
      <c r="Q836" s="135"/>
    </row>
    <row r="837" spans="2:17" ht="12.75" customHeight="1">
      <c r="B837" s="22"/>
      <c r="C837" s="22"/>
      <c r="Q837" s="135"/>
    </row>
    <row r="838" spans="2:17" ht="12.75" customHeight="1">
      <c r="B838" s="22"/>
      <c r="C838" s="22"/>
      <c r="Q838" s="135"/>
    </row>
    <row r="839" spans="2:17" ht="12.75" customHeight="1">
      <c r="B839" s="22"/>
      <c r="C839" s="22"/>
      <c r="Q839" s="135"/>
    </row>
    <row r="840" spans="2:17" ht="12.75" customHeight="1">
      <c r="B840" s="22"/>
      <c r="C840" s="22"/>
      <c r="Q840" s="135"/>
    </row>
    <row r="841" spans="2:17" ht="12.75" customHeight="1">
      <c r="B841" s="22"/>
      <c r="C841" s="22"/>
      <c r="Q841" s="135"/>
    </row>
    <row r="842" spans="2:17" ht="12.75" customHeight="1">
      <c r="B842" s="22"/>
      <c r="C842" s="22"/>
      <c r="Q842" s="135"/>
    </row>
    <row r="843" spans="2:17" ht="12.75" customHeight="1">
      <c r="B843" s="22"/>
      <c r="C843" s="22"/>
      <c r="Q843" s="135"/>
    </row>
    <row r="844" spans="2:17" ht="12.75" customHeight="1">
      <c r="B844" s="22"/>
      <c r="C844" s="22"/>
      <c r="Q844" s="135"/>
    </row>
    <row r="845" spans="2:17" ht="12.75" customHeight="1">
      <c r="B845" s="22"/>
      <c r="C845" s="22"/>
      <c r="Q845" s="135"/>
    </row>
    <row r="846" spans="2:17" ht="12.75" customHeight="1">
      <c r="B846" s="22"/>
      <c r="C846" s="22"/>
      <c r="Q846" s="135"/>
    </row>
    <row r="847" spans="2:17" ht="12.75" customHeight="1">
      <c r="B847" s="22"/>
      <c r="C847" s="22"/>
      <c r="Q847" s="135"/>
    </row>
    <row r="848" spans="2:17" ht="12.75" customHeight="1">
      <c r="B848" s="22"/>
      <c r="C848" s="22"/>
      <c r="Q848" s="135"/>
    </row>
    <row r="849" spans="2:17" ht="12.75" customHeight="1">
      <c r="B849" s="22"/>
      <c r="C849" s="22"/>
      <c r="Q849" s="135"/>
    </row>
    <row r="850" spans="2:17" ht="12.75" customHeight="1">
      <c r="B850" s="22"/>
      <c r="C850" s="22"/>
      <c r="Q850" s="135"/>
    </row>
    <row r="851" spans="2:17" ht="12.75" customHeight="1">
      <c r="B851" s="22"/>
      <c r="C851" s="22"/>
      <c r="Q851" s="135"/>
    </row>
    <row r="852" spans="2:17" ht="12.75" customHeight="1">
      <c r="B852" s="22"/>
      <c r="C852" s="22"/>
      <c r="Q852" s="135"/>
    </row>
    <row r="853" spans="2:17" ht="12.75" customHeight="1">
      <c r="B853" s="22"/>
      <c r="C853" s="22"/>
      <c r="Q853" s="135"/>
    </row>
    <row r="854" spans="2:17" ht="12.75" customHeight="1">
      <c r="B854" s="22"/>
      <c r="C854" s="22"/>
      <c r="Q854" s="135"/>
    </row>
    <row r="855" spans="2:17" ht="12.75" customHeight="1">
      <c r="B855" s="22"/>
      <c r="C855" s="22"/>
      <c r="Q855" s="135"/>
    </row>
    <row r="856" spans="2:17" ht="12.75" customHeight="1">
      <c r="B856" s="22"/>
      <c r="C856" s="22"/>
      <c r="Q856" s="135"/>
    </row>
    <row r="857" spans="2:17" ht="12.75" customHeight="1">
      <c r="B857" s="22"/>
      <c r="C857" s="22"/>
      <c r="Q857" s="135"/>
    </row>
    <row r="858" spans="2:17" ht="12.75" customHeight="1">
      <c r="B858" s="22"/>
      <c r="C858" s="22"/>
      <c r="Q858" s="135"/>
    </row>
    <row r="859" spans="2:17" ht="12.75" customHeight="1">
      <c r="B859" s="22"/>
      <c r="C859" s="22"/>
      <c r="Q859" s="135"/>
    </row>
    <row r="860" spans="2:17" ht="12.75" customHeight="1">
      <c r="B860" s="22"/>
      <c r="C860" s="22"/>
      <c r="Q860" s="135"/>
    </row>
    <row r="861" spans="2:17" ht="12.75" customHeight="1">
      <c r="B861" s="22"/>
      <c r="C861" s="22"/>
      <c r="Q861" s="135"/>
    </row>
    <row r="862" spans="2:17" ht="12.75" customHeight="1">
      <c r="B862" s="22"/>
      <c r="C862" s="22"/>
      <c r="Q862" s="135"/>
    </row>
    <row r="863" spans="2:17" ht="12.75" customHeight="1">
      <c r="B863" s="22"/>
      <c r="C863" s="22"/>
      <c r="Q863" s="135"/>
    </row>
    <row r="864" spans="2:17" ht="12.75" customHeight="1">
      <c r="B864" s="22"/>
      <c r="C864" s="22"/>
      <c r="Q864" s="135"/>
    </row>
    <row r="865" spans="2:17" ht="12.75" customHeight="1">
      <c r="B865" s="22"/>
      <c r="C865" s="22"/>
      <c r="Q865" s="135"/>
    </row>
    <row r="866" spans="2:17" ht="12.75" customHeight="1">
      <c r="B866" s="22"/>
      <c r="C866" s="22"/>
      <c r="Q866" s="135"/>
    </row>
    <row r="867" spans="2:17" ht="12.75" customHeight="1">
      <c r="B867" s="22"/>
      <c r="C867" s="22"/>
      <c r="Q867" s="135"/>
    </row>
    <row r="868" spans="2:17" ht="12.75" customHeight="1">
      <c r="B868" s="22"/>
      <c r="C868" s="22"/>
      <c r="Q868" s="135"/>
    </row>
    <row r="869" spans="2:17" ht="12.75" customHeight="1">
      <c r="B869" s="22"/>
      <c r="C869" s="22"/>
      <c r="Q869" s="135"/>
    </row>
    <row r="870" spans="2:17" ht="12.75" customHeight="1">
      <c r="B870" s="22"/>
      <c r="C870" s="22"/>
      <c r="Q870" s="135"/>
    </row>
    <row r="871" spans="2:17" ht="12.75" customHeight="1">
      <c r="B871" s="22"/>
      <c r="C871" s="22"/>
      <c r="Q871" s="135"/>
    </row>
    <row r="872" spans="2:17" ht="12.75" customHeight="1">
      <c r="B872" s="22"/>
      <c r="C872" s="22"/>
      <c r="Q872" s="135"/>
    </row>
    <row r="873" spans="2:17" ht="12.75" customHeight="1">
      <c r="B873" s="22"/>
      <c r="C873" s="22"/>
      <c r="Q873" s="135"/>
    </row>
    <row r="874" spans="2:17" ht="12.75" customHeight="1">
      <c r="B874" s="22"/>
      <c r="C874" s="22"/>
      <c r="Q874" s="135"/>
    </row>
    <row r="875" spans="2:17" ht="12.75" customHeight="1">
      <c r="B875" s="22"/>
      <c r="C875" s="22"/>
      <c r="Q875" s="135"/>
    </row>
    <row r="876" spans="2:17" ht="12.75" customHeight="1">
      <c r="B876" s="22"/>
      <c r="C876" s="22"/>
      <c r="Q876" s="135"/>
    </row>
    <row r="877" spans="2:17" ht="12.75" customHeight="1">
      <c r="B877" s="22"/>
      <c r="C877" s="22"/>
      <c r="Q877" s="135"/>
    </row>
    <row r="878" spans="2:17" ht="12.75" customHeight="1">
      <c r="B878" s="22"/>
      <c r="C878" s="22"/>
      <c r="Q878" s="135"/>
    </row>
    <row r="879" spans="2:17" ht="12.75" customHeight="1">
      <c r="B879" s="22"/>
      <c r="C879" s="22"/>
      <c r="Q879" s="135"/>
    </row>
    <row r="880" spans="2:17" ht="12.75" customHeight="1">
      <c r="B880" s="22"/>
      <c r="C880" s="22"/>
      <c r="Q880" s="135"/>
    </row>
    <row r="881" spans="2:17" ht="12.75" customHeight="1">
      <c r="B881" s="22"/>
      <c r="C881" s="22"/>
      <c r="Q881" s="135"/>
    </row>
    <row r="882" spans="2:17" ht="12.75" customHeight="1">
      <c r="B882" s="22"/>
      <c r="C882" s="22"/>
      <c r="Q882" s="135"/>
    </row>
    <row r="883" spans="2:17" ht="12.75" customHeight="1">
      <c r="B883" s="22"/>
      <c r="C883" s="22"/>
      <c r="Q883" s="135"/>
    </row>
    <row r="884" spans="2:17" ht="12.75" customHeight="1">
      <c r="B884" s="22"/>
      <c r="C884" s="22"/>
      <c r="Q884" s="135"/>
    </row>
    <row r="885" spans="2:17" ht="12.75" customHeight="1">
      <c r="B885" s="22"/>
      <c r="C885" s="22"/>
      <c r="Q885" s="135"/>
    </row>
    <row r="886" spans="2:17" ht="12.75" customHeight="1">
      <c r="B886" s="22"/>
      <c r="C886" s="22"/>
      <c r="Q886" s="135"/>
    </row>
    <row r="887" spans="2:17" ht="12.75" customHeight="1">
      <c r="B887" s="22"/>
      <c r="C887" s="22"/>
      <c r="Q887" s="135"/>
    </row>
    <row r="888" spans="2:17" ht="12.75" customHeight="1">
      <c r="B888" s="22"/>
      <c r="C888" s="22"/>
      <c r="Q888" s="135"/>
    </row>
    <row r="889" spans="2:17" ht="12.75" customHeight="1">
      <c r="B889" s="22"/>
      <c r="C889" s="22"/>
      <c r="Q889" s="135"/>
    </row>
    <row r="890" spans="2:17" ht="12.75" customHeight="1">
      <c r="B890" s="22"/>
      <c r="C890" s="22"/>
      <c r="Q890" s="135"/>
    </row>
    <row r="891" spans="2:17" ht="12.75" customHeight="1">
      <c r="B891" s="22"/>
      <c r="C891" s="22"/>
      <c r="Q891" s="135"/>
    </row>
    <row r="892" spans="2:17" ht="12.75" customHeight="1">
      <c r="B892" s="22"/>
      <c r="C892" s="22"/>
      <c r="Q892" s="135"/>
    </row>
    <row r="893" spans="2:17" ht="12.75" customHeight="1">
      <c r="B893" s="22"/>
      <c r="C893" s="22"/>
      <c r="Q893" s="135"/>
    </row>
    <row r="894" spans="2:17" ht="12.75" customHeight="1">
      <c r="B894" s="22"/>
      <c r="C894" s="22"/>
      <c r="Q894" s="135"/>
    </row>
    <row r="895" spans="2:17" ht="12.75" customHeight="1">
      <c r="B895" s="22"/>
      <c r="C895" s="22"/>
      <c r="Q895" s="135"/>
    </row>
    <row r="896" spans="2:17" ht="12.75" customHeight="1">
      <c r="B896" s="22"/>
      <c r="C896" s="22"/>
      <c r="Q896" s="135"/>
    </row>
    <row r="897" spans="2:17" ht="12.75" customHeight="1">
      <c r="B897" s="22"/>
      <c r="C897" s="22"/>
      <c r="Q897" s="135"/>
    </row>
    <row r="898" spans="2:17" ht="12.75" customHeight="1">
      <c r="B898" s="22"/>
      <c r="C898" s="22"/>
      <c r="Q898" s="135"/>
    </row>
    <row r="899" spans="2:17" ht="12.75" customHeight="1">
      <c r="B899" s="22"/>
      <c r="C899" s="22"/>
      <c r="Q899" s="135"/>
    </row>
    <row r="900" spans="2:17" ht="12.75" customHeight="1">
      <c r="B900" s="22"/>
      <c r="C900" s="22"/>
      <c r="Q900" s="135"/>
    </row>
    <row r="901" spans="2:17" ht="12.75" customHeight="1">
      <c r="B901" s="22"/>
      <c r="C901" s="22"/>
      <c r="Q901" s="135"/>
    </row>
    <row r="902" spans="2:17" ht="12.75" customHeight="1">
      <c r="B902" s="22"/>
      <c r="C902" s="22"/>
      <c r="Q902" s="135"/>
    </row>
    <row r="903" spans="2:17" ht="12.75" customHeight="1">
      <c r="B903" s="22"/>
      <c r="C903" s="22"/>
      <c r="Q903" s="135"/>
    </row>
    <row r="904" spans="2:17" ht="12.75" customHeight="1">
      <c r="B904" s="22"/>
      <c r="C904" s="22"/>
      <c r="Q904" s="135"/>
    </row>
    <row r="905" spans="2:17" ht="12.75" customHeight="1">
      <c r="B905" s="22"/>
      <c r="C905" s="22"/>
      <c r="Q905" s="135"/>
    </row>
    <row r="906" spans="2:17" ht="12.75" customHeight="1">
      <c r="B906" s="22"/>
      <c r="C906" s="22"/>
      <c r="Q906" s="135"/>
    </row>
    <row r="907" spans="2:17" ht="12.75" customHeight="1">
      <c r="B907" s="22"/>
      <c r="C907" s="22"/>
      <c r="Q907" s="135"/>
    </row>
    <row r="908" spans="2:17" ht="12.75" customHeight="1">
      <c r="B908" s="22"/>
      <c r="C908" s="22"/>
      <c r="Q908" s="135"/>
    </row>
    <row r="909" spans="2:17" ht="12.75" customHeight="1">
      <c r="B909" s="22"/>
      <c r="C909" s="22"/>
      <c r="Q909" s="135"/>
    </row>
    <row r="910" spans="2:17" ht="12.75" customHeight="1">
      <c r="B910" s="22"/>
      <c r="C910" s="22"/>
      <c r="Q910" s="135"/>
    </row>
    <row r="911" spans="2:17" ht="12.75" customHeight="1">
      <c r="B911" s="22"/>
      <c r="C911" s="22"/>
      <c r="Q911" s="135"/>
    </row>
    <row r="912" spans="2:17" ht="12.75" customHeight="1">
      <c r="B912" s="22"/>
      <c r="C912" s="22"/>
      <c r="Q912" s="135"/>
    </row>
    <row r="913" spans="2:17" ht="12.75" customHeight="1">
      <c r="B913" s="22"/>
      <c r="C913" s="22"/>
      <c r="Q913" s="135"/>
    </row>
    <row r="914" spans="2:17" ht="12.75" customHeight="1">
      <c r="B914" s="22"/>
      <c r="C914" s="22"/>
      <c r="Q914" s="135"/>
    </row>
    <row r="915" spans="2:17" ht="12.75" customHeight="1">
      <c r="B915" s="22"/>
      <c r="C915" s="22"/>
      <c r="Q915" s="135"/>
    </row>
    <row r="916" spans="2:17" ht="12.75" customHeight="1">
      <c r="B916" s="22"/>
      <c r="C916" s="22"/>
      <c r="Q916" s="135"/>
    </row>
    <row r="917" spans="2:17" ht="12.75" customHeight="1">
      <c r="B917" s="22"/>
      <c r="C917" s="22"/>
      <c r="Q917" s="135"/>
    </row>
    <row r="918" spans="2:17" ht="12.75" customHeight="1">
      <c r="B918" s="22"/>
      <c r="C918" s="22"/>
      <c r="Q918" s="135"/>
    </row>
    <row r="919" spans="2:17" ht="12.75" customHeight="1">
      <c r="B919" s="22"/>
      <c r="C919" s="22"/>
      <c r="Q919" s="135"/>
    </row>
    <row r="920" spans="2:17" ht="12.75" customHeight="1">
      <c r="B920" s="22"/>
      <c r="C920" s="22"/>
      <c r="Q920" s="135"/>
    </row>
    <row r="921" spans="2:17" ht="12.75" customHeight="1">
      <c r="B921" s="22"/>
      <c r="C921" s="22"/>
      <c r="Q921" s="135"/>
    </row>
    <row r="922" spans="2:17" ht="12.75" customHeight="1">
      <c r="B922" s="22"/>
      <c r="C922" s="22"/>
      <c r="Q922" s="135"/>
    </row>
    <row r="923" spans="2:17" ht="12.75" customHeight="1">
      <c r="B923" s="22"/>
      <c r="C923" s="22"/>
      <c r="Q923" s="135"/>
    </row>
    <row r="924" spans="2:17" ht="12.75" customHeight="1">
      <c r="B924" s="22"/>
      <c r="C924" s="22"/>
      <c r="Q924" s="135"/>
    </row>
    <row r="925" spans="2:17" ht="12.75" customHeight="1">
      <c r="B925" s="22"/>
      <c r="C925" s="22"/>
      <c r="Q925" s="135"/>
    </row>
    <row r="926" spans="2:17" ht="12.75" customHeight="1">
      <c r="B926" s="22"/>
      <c r="C926" s="22"/>
      <c r="Q926" s="135"/>
    </row>
    <row r="927" spans="2:17" ht="12.75" customHeight="1">
      <c r="B927" s="22"/>
      <c r="C927" s="22"/>
      <c r="Q927" s="135"/>
    </row>
    <row r="928" spans="2:17" ht="12.75" customHeight="1">
      <c r="B928" s="22"/>
      <c r="C928" s="22"/>
      <c r="Q928" s="135"/>
    </row>
    <row r="929" spans="2:17" ht="12.75" customHeight="1">
      <c r="B929" s="22"/>
      <c r="C929" s="22"/>
      <c r="Q929" s="135"/>
    </row>
    <row r="930" spans="2:17" ht="12.75" customHeight="1">
      <c r="B930" s="22"/>
      <c r="C930" s="22"/>
      <c r="Q930" s="135"/>
    </row>
    <row r="931" spans="2:17" ht="12.75" customHeight="1">
      <c r="B931" s="22"/>
      <c r="C931" s="22"/>
      <c r="Q931" s="135"/>
    </row>
    <row r="932" spans="2:17" ht="12.75" customHeight="1">
      <c r="B932" s="22"/>
      <c r="C932" s="22"/>
      <c r="Q932" s="135"/>
    </row>
    <row r="933" spans="2:17" ht="12.75" customHeight="1">
      <c r="B933" s="22"/>
      <c r="C933" s="22"/>
      <c r="Q933" s="135"/>
    </row>
    <row r="934" spans="2:17" ht="12.75" customHeight="1">
      <c r="B934" s="22"/>
      <c r="C934" s="22"/>
      <c r="Q934" s="135"/>
    </row>
    <row r="935" spans="2:17" ht="12.75" customHeight="1">
      <c r="B935" s="22"/>
      <c r="C935" s="22"/>
      <c r="Q935" s="135"/>
    </row>
    <row r="936" spans="2:17" ht="12.75" customHeight="1">
      <c r="B936" s="22"/>
      <c r="C936" s="22"/>
      <c r="Q936" s="135"/>
    </row>
    <row r="937" spans="2:17" ht="12.75" customHeight="1">
      <c r="B937" s="22"/>
      <c r="C937" s="22"/>
      <c r="Q937" s="135"/>
    </row>
    <row r="938" spans="2:17" ht="12.75" customHeight="1">
      <c r="B938" s="22"/>
      <c r="C938" s="22"/>
      <c r="Q938" s="135"/>
    </row>
    <row r="939" spans="2:17" ht="12.75" customHeight="1">
      <c r="B939" s="22"/>
      <c r="C939" s="22"/>
      <c r="Q939" s="135"/>
    </row>
    <row r="940" spans="2:17" ht="12.75" customHeight="1">
      <c r="B940" s="22"/>
      <c r="C940" s="22"/>
      <c r="Q940" s="135"/>
    </row>
    <row r="941" spans="2:17" ht="12.75" customHeight="1">
      <c r="B941" s="22"/>
      <c r="C941" s="22"/>
      <c r="Q941" s="135"/>
    </row>
    <row r="942" spans="2:17" ht="12.75" customHeight="1">
      <c r="B942" s="22"/>
      <c r="C942" s="22"/>
      <c r="Q942" s="135"/>
    </row>
    <row r="943" spans="2:17" ht="12.75" customHeight="1">
      <c r="B943" s="22"/>
      <c r="C943" s="22"/>
      <c r="Q943" s="135"/>
    </row>
    <row r="944" spans="2:17" ht="12.75" customHeight="1">
      <c r="B944" s="22"/>
      <c r="C944" s="22"/>
      <c r="Q944" s="135"/>
    </row>
    <row r="945" spans="2:17" ht="12.75" customHeight="1">
      <c r="B945" s="22"/>
      <c r="C945" s="22"/>
      <c r="Q945" s="135"/>
    </row>
    <row r="946" spans="2:17" ht="12.75" customHeight="1">
      <c r="B946" s="22"/>
      <c r="C946" s="22"/>
      <c r="Q946" s="135"/>
    </row>
    <row r="947" spans="2:17" ht="12.75" customHeight="1">
      <c r="B947" s="22"/>
      <c r="C947" s="22"/>
      <c r="Q947" s="135"/>
    </row>
    <row r="948" spans="2:17" ht="12.75" customHeight="1">
      <c r="B948" s="22"/>
      <c r="C948" s="22"/>
      <c r="Q948" s="135"/>
    </row>
    <row r="949" spans="2:17" ht="12.75" customHeight="1">
      <c r="B949" s="22"/>
      <c r="C949" s="22"/>
      <c r="Q949" s="135"/>
    </row>
    <row r="950" spans="2:17" ht="12.75" customHeight="1">
      <c r="B950" s="22"/>
      <c r="C950" s="22"/>
      <c r="Q950" s="135"/>
    </row>
    <row r="951" spans="2:17" ht="12.75" customHeight="1">
      <c r="B951" s="22"/>
      <c r="C951" s="22"/>
      <c r="Q951" s="135"/>
    </row>
    <row r="952" spans="2:17" ht="12.75" customHeight="1">
      <c r="B952" s="22"/>
      <c r="C952" s="22"/>
      <c r="Q952" s="135"/>
    </row>
    <row r="953" spans="2:17" ht="12.75" customHeight="1">
      <c r="B953" s="22"/>
      <c r="C953" s="22"/>
      <c r="Q953" s="135"/>
    </row>
    <row r="954" spans="2:17" ht="12.75" customHeight="1">
      <c r="B954" s="22"/>
      <c r="C954" s="22"/>
      <c r="Q954" s="135"/>
    </row>
    <row r="955" spans="2:17" ht="12.75" customHeight="1">
      <c r="B955" s="22"/>
      <c r="C955" s="22"/>
      <c r="Q955" s="135"/>
    </row>
    <row r="956" spans="2:17" ht="12.75" customHeight="1">
      <c r="B956" s="22"/>
      <c r="C956" s="22"/>
      <c r="Q956" s="135"/>
    </row>
    <row r="957" spans="2:17" ht="12.75" customHeight="1">
      <c r="B957" s="22"/>
      <c r="C957" s="22"/>
      <c r="Q957" s="135"/>
    </row>
    <row r="958" spans="2:17" ht="12.75" customHeight="1">
      <c r="B958" s="22"/>
      <c r="C958" s="22"/>
      <c r="Q958" s="135"/>
    </row>
    <row r="959" spans="2:17" ht="12.75" customHeight="1">
      <c r="B959" s="22"/>
      <c r="C959" s="22"/>
      <c r="Q959" s="135"/>
    </row>
    <row r="960" spans="2:17" ht="12.75" customHeight="1">
      <c r="B960" s="22"/>
      <c r="C960" s="22"/>
      <c r="Q960" s="135"/>
    </row>
    <row r="961" spans="2:17" ht="12.75" customHeight="1">
      <c r="B961" s="22"/>
      <c r="C961" s="22"/>
      <c r="Q961" s="135"/>
    </row>
    <row r="962" spans="2:17" ht="12.75" customHeight="1">
      <c r="B962" s="22"/>
      <c r="C962" s="22"/>
      <c r="Q962" s="135"/>
    </row>
    <row r="963" spans="2:17" ht="12.75" customHeight="1">
      <c r="B963" s="22"/>
      <c r="C963" s="22"/>
      <c r="Q963" s="135"/>
    </row>
    <row r="964" spans="2:17" ht="12.75" customHeight="1">
      <c r="B964" s="22"/>
      <c r="C964" s="22"/>
      <c r="Q964" s="135"/>
    </row>
    <row r="965" spans="2:17" ht="12.75" customHeight="1">
      <c r="B965" s="22"/>
      <c r="C965" s="22"/>
      <c r="Q965" s="135"/>
    </row>
    <row r="966" spans="2:17" ht="12.75" customHeight="1">
      <c r="B966" s="22"/>
      <c r="C966" s="22"/>
      <c r="Q966" s="135"/>
    </row>
    <row r="967" spans="2:17" ht="12.75" customHeight="1">
      <c r="B967" s="22"/>
      <c r="C967" s="22"/>
      <c r="Q967" s="135"/>
    </row>
    <row r="968" spans="2:17" ht="12.75" customHeight="1">
      <c r="B968" s="22"/>
      <c r="C968" s="22"/>
      <c r="Q968" s="135"/>
    </row>
    <row r="969" spans="2:17" ht="12.75" customHeight="1">
      <c r="B969" s="22"/>
      <c r="C969" s="22"/>
      <c r="Q969" s="135"/>
    </row>
    <row r="970" spans="2:17" ht="12.75" customHeight="1">
      <c r="B970" s="22"/>
      <c r="C970" s="22"/>
      <c r="Q970" s="135"/>
    </row>
    <row r="971" spans="2:17" ht="12.75" customHeight="1">
      <c r="B971" s="22"/>
      <c r="C971" s="22"/>
      <c r="Q971" s="135"/>
    </row>
    <row r="972" spans="2:17" ht="12.75" customHeight="1">
      <c r="B972" s="22"/>
      <c r="C972" s="22"/>
      <c r="Q972" s="135"/>
    </row>
    <row r="973" spans="2:17" ht="12.75" customHeight="1">
      <c r="B973" s="22"/>
      <c r="C973" s="22"/>
      <c r="Q973" s="135"/>
    </row>
    <row r="974" spans="2:17" ht="12.75" customHeight="1">
      <c r="B974" s="22"/>
      <c r="C974" s="22"/>
      <c r="Q974" s="135"/>
    </row>
    <row r="975" spans="2:17" ht="12.75" customHeight="1">
      <c r="B975" s="22"/>
      <c r="C975" s="22"/>
      <c r="Q975" s="135"/>
    </row>
    <row r="976" spans="2:17" ht="12.75" customHeight="1">
      <c r="B976" s="22"/>
      <c r="C976" s="22"/>
      <c r="Q976" s="135"/>
    </row>
    <row r="977" spans="2:17" ht="12.75" customHeight="1">
      <c r="B977" s="22"/>
      <c r="C977" s="22"/>
      <c r="Q977" s="135"/>
    </row>
    <row r="978" spans="2:17" ht="12.75" customHeight="1">
      <c r="B978" s="22"/>
      <c r="C978" s="22"/>
      <c r="Q978" s="135"/>
    </row>
    <row r="979" spans="2:17" ht="12.75" customHeight="1">
      <c r="B979" s="22"/>
      <c r="C979" s="22"/>
      <c r="Q979" s="135"/>
    </row>
    <row r="980" spans="2:17" ht="12.75" customHeight="1">
      <c r="B980" s="22"/>
      <c r="C980" s="22"/>
      <c r="Q980" s="135"/>
    </row>
    <row r="981" spans="2:17" ht="12.75" customHeight="1">
      <c r="B981" s="22"/>
      <c r="C981" s="22"/>
      <c r="Q981" s="135"/>
    </row>
    <row r="982" spans="2:17" ht="12.75" customHeight="1">
      <c r="B982" s="22"/>
      <c r="C982" s="22"/>
      <c r="Q982" s="135"/>
    </row>
    <row r="983" spans="2:17" ht="12.75" customHeight="1">
      <c r="B983" s="22"/>
      <c r="C983" s="22"/>
      <c r="Q983" s="135"/>
    </row>
    <row r="984" spans="2:17" ht="12.75" customHeight="1">
      <c r="B984" s="22"/>
      <c r="C984" s="22"/>
      <c r="Q984" s="135"/>
    </row>
    <row r="985" spans="2:17" ht="12.75" customHeight="1">
      <c r="B985" s="22"/>
      <c r="C985" s="22"/>
      <c r="Q985" s="135"/>
    </row>
    <row r="986" spans="2:17" ht="12.75" customHeight="1">
      <c r="B986" s="22"/>
      <c r="C986" s="22"/>
      <c r="Q986" s="135"/>
    </row>
    <row r="987" spans="2:17" ht="12.75" customHeight="1">
      <c r="B987" s="22"/>
      <c r="C987" s="22"/>
      <c r="Q987" s="135"/>
    </row>
    <row r="988" spans="2:17" ht="12.75" customHeight="1">
      <c r="B988" s="22"/>
      <c r="C988" s="22"/>
      <c r="Q988" s="135"/>
    </row>
    <row r="989" spans="2:17" ht="12.75" customHeight="1">
      <c r="B989" s="22"/>
      <c r="C989" s="22"/>
      <c r="Q989" s="135"/>
    </row>
    <row r="990" spans="2:17" ht="12.75" customHeight="1">
      <c r="B990" s="22"/>
      <c r="C990" s="22"/>
      <c r="Q990" s="135"/>
    </row>
    <row r="991" spans="2:17" ht="12.75" customHeight="1">
      <c r="B991" s="22"/>
      <c r="C991" s="22"/>
      <c r="Q991" s="135"/>
    </row>
    <row r="992" spans="2:17" ht="12.75" customHeight="1">
      <c r="B992" s="22"/>
      <c r="C992" s="22"/>
      <c r="Q992" s="135"/>
    </row>
    <row r="993" spans="2:17" ht="12.75" customHeight="1">
      <c r="B993" s="22"/>
      <c r="C993" s="22"/>
      <c r="Q993" s="135"/>
    </row>
    <row r="994" spans="2:17" ht="12.75" customHeight="1">
      <c r="B994" s="22"/>
      <c r="C994" s="22"/>
      <c r="Q994" s="135"/>
    </row>
    <row r="995" spans="2:17" ht="12.75" customHeight="1">
      <c r="B995" s="22"/>
      <c r="C995" s="22"/>
      <c r="Q995" s="135"/>
    </row>
    <row r="996" spans="2:17" ht="12.75" customHeight="1">
      <c r="B996" s="22"/>
      <c r="C996" s="22"/>
      <c r="Q996" s="135"/>
    </row>
    <row r="997" spans="2:17" ht="12.75" customHeight="1">
      <c r="B997" s="22"/>
      <c r="C997" s="22"/>
      <c r="Q997" s="135"/>
    </row>
    <row r="998" spans="2:17" ht="12.75" customHeight="1">
      <c r="B998" s="22"/>
      <c r="C998" s="22"/>
      <c r="Q998" s="135"/>
    </row>
    <row r="999" spans="2:17" ht="12.75" customHeight="1">
      <c r="B999" s="22"/>
      <c r="C999" s="22"/>
      <c r="Q999" s="135"/>
    </row>
    <row r="1000" spans="2:17" ht="12.75" customHeight="1">
      <c r="B1000" s="22"/>
      <c r="C1000" s="22"/>
      <c r="Q1000" s="135"/>
    </row>
    <row r="1001" spans="2:17" ht="12.75" customHeight="1">
      <c r="B1001" s="22"/>
      <c r="C1001" s="22"/>
      <c r="Q1001" s="135"/>
    </row>
    <row r="1002" spans="2:17" ht="12.75" customHeight="1">
      <c r="B1002" s="22"/>
      <c r="C1002" s="22"/>
      <c r="Q1002" s="135"/>
    </row>
    <row r="1003" spans="2:17" ht="12.75" customHeight="1">
      <c r="B1003" s="22"/>
      <c r="C1003" s="22"/>
      <c r="Q1003" s="135"/>
    </row>
    <row r="1004" spans="2:17" ht="12.75" customHeight="1">
      <c r="B1004" s="22"/>
      <c r="C1004" s="22"/>
      <c r="Q1004" s="135"/>
    </row>
    <row r="1005" spans="2:17" ht="12.75" customHeight="1">
      <c r="B1005" s="22"/>
      <c r="C1005" s="22"/>
      <c r="Q1005" s="135"/>
    </row>
    <row r="1006" spans="2:17" ht="12.75" customHeight="1">
      <c r="B1006" s="22"/>
      <c r="C1006" s="22"/>
      <c r="Q1006" s="135"/>
    </row>
    <row r="1007" spans="2:17" ht="12.75" customHeight="1">
      <c r="B1007" s="22"/>
      <c r="C1007" s="22"/>
      <c r="Q1007" s="135"/>
    </row>
    <row r="1008" spans="2:17" ht="12.75" customHeight="1">
      <c r="B1008" s="22"/>
      <c r="C1008" s="22"/>
      <c r="Q1008" s="135"/>
    </row>
    <row r="1009" spans="2:17" ht="12.75" customHeight="1">
      <c r="B1009" s="22"/>
      <c r="C1009" s="22"/>
      <c r="Q1009" s="135"/>
    </row>
    <row r="1010" spans="2:17" ht="12.75" customHeight="1">
      <c r="B1010" s="22"/>
      <c r="C1010" s="22"/>
      <c r="Q1010" s="135"/>
    </row>
    <row r="1011" spans="2:17" ht="12.75" customHeight="1">
      <c r="B1011" s="22"/>
      <c r="C1011" s="22"/>
      <c r="Q1011" s="135"/>
    </row>
    <row r="1012" spans="2:17" ht="12.75" customHeight="1">
      <c r="B1012" s="22"/>
      <c r="C1012" s="22"/>
      <c r="Q1012" s="135"/>
    </row>
    <row r="1013" spans="2:17" ht="12.75" customHeight="1">
      <c r="B1013" s="22"/>
      <c r="C1013" s="22"/>
      <c r="Q1013" s="135"/>
    </row>
    <row r="1014" spans="2:17" ht="12.75" customHeight="1">
      <c r="B1014" s="22"/>
      <c r="C1014" s="22"/>
      <c r="Q1014" s="135"/>
    </row>
    <row r="1015" spans="2:17" ht="12.75" customHeight="1">
      <c r="B1015" s="22"/>
      <c r="C1015" s="22"/>
      <c r="Q1015" s="135"/>
    </row>
  </sheetData>
  <mergeCells count="17">
    <mergeCell ref="BJ18:BU18"/>
    <mergeCell ref="C1:I1"/>
    <mergeCell ref="AX1:BJ1"/>
    <mergeCell ref="A15:C17"/>
    <mergeCell ref="S15:AV15"/>
    <mergeCell ref="AX15:BU15"/>
    <mergeCell ref="D16:K16"/>
    <mergeCell ref="L16:M16"/>
    <mergeCell ref="BJ16:BU16"/>
    <mergeCell ref="N16:O16"/>
    <mergeCell ref="P16:R16"/>
    <mergeCell ref="B84:C84"/>
    <mergeCell ref="S16:X16"/>
    <mergeCell ref="AC16:AL16"/>
    <mergeCell ref="AM16:AV16"/>
    <mergeCell ref="AX16:BI16"/>
    <mergeCell ref="AM18:AV1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987"/>
  <sheetViews>
    <sheetView topLeftCell="P43" workbookViewId="0">
      <selection activeCell="AF63" sqref="AF63"/>
    </sheetView>
  </sheetViews>
  <sheetFormatPr defaultColWidth="12.6640625" defaultRowHeight="15" customHeight="1"/>
  <cols>
    <col min="1" max="1" width="10.33203125" customWidth="1"/>
    <col min="2" max="2" width="13.6640625" customWidth="1"/>
    <col min="3" max="3" width="30" customWidth="1"/>
    <col min="5" max="5" width="32.44140625" customWidth="1"/>
    <col min="6" max="40" width="8.6640625" customWidth="1"/>
  </cols>
  <sheetData>
    <row r="1" spans="1:40" ht="12.75" customHeight="1">
      <c r="A1" s="22"/>
      <c r="B1" s="22"/>
      <c r="C1" s="22"/>
      <c r="D1" s="136"/>
      <c r="F1" s="271" t="s">
        <v>69</v>
      </c>
      <c r="G1" s="259"/>
      <c r="H1" s="259"/>
      <c r="I1" s="259"/>
      <c r="J1" s="259"/>
      <c r="K1" s="259"/>
      <c r="L1" s="259"/>
      <c r="M1" s="257"/>
      <c r="N1" s="137"/>
      <c r="O1" s="271" t="s">
        <v>70</v>
      </c>
      <c r="P1" s="259"/>
      <c r="Q1" s="259"/>
      <c r="R1" s="259"/>
      <c r="S1" s="259"/>
      <c r="T1" s="259"/>
      <c r="U1" s="259"/>
      <c r="V1" s="257"/>
      <c r="W1" s="138"/>
      <c r="X1" s="271" t="s">
        <v>71</v>
      </c>
      <c r="Y1" s="259"/>
      <c r="Z1" s="259"/>
      <c r="AA1" s="259"/>
      <c r="AB1" s="259"/>
      <c r="AC1" s="259"/>
      <c r="AD1" s="259"/>
      <c r="AE1" s="257"/>
      <c r="AF1" s="139"/>
      <c r="AG1" s="272" t="s">
        <v>72</v>
      </c>
      <c r="AH1" s="259"/>
      <c r="AI1" s="259"/>
      <c r="AJ1" s="259"/>
      <c r="AK1" s="259"/>
      <c r="AL1" s="259"/>
      <c r="AM1" s="259"/>
      <c r="AN1" s="257"/>
    </row>
    <row r="2" spans="1:40" ht="12.75" customHeight="1">
      <c r="A2" s="140" t="s">
        <v>73</v>
      </c>
      <c r="B2" s="140" t="s">
        <v>3</v>
      </c>
      <c r="C2" s="140" t="s">
        <v>4</v>
      </c>
      <c r="D2" s="141" t="s">
        <v>71</v>
      </c>
      <c r="E2" s="140" t="s">
        <v>74</v>
      </c>
      <c r="F2" s="142" t="s">
        <v>29</v>
      </c>
      <c r="G2" s="143" t="s">
        <v>30</v>
      </c>
      <c r="H2" s="143" t="s">
        <v>31</v>
      </c>
      <c r="I2" s="143" t="s">
        <v>32</v>
      </c>
      <c r="J2" s="143" t="s">
        <v>33</v>
      </c>
      <c r="K2" s="143" t="s">
        <v>34</v>
      </c>
      <c r="L2" s="143" t="s">
        <v>35</v>
      </c>
      <c r="M2" s="144" t="s">
        <v>36</v>
      </c>
      <c r="N2" s="135"/>
      <c r="O2" s="142" t="s">
        <v>29</v>
      </c>
      <c r="P2" s="143" t="s">
        <v>30</v>
      </c>
      <c r="Q2" s="143" t="s">
        <v>31</v>
      </c>
      <c r="R2" s="143" t="s">
        <v>32</v>
      </c>
      <c r="S2" s="143" t="s">
        <v>33</v>
      </c>
      <c r="T2" s="143" t="s">
        <v>34</v>
      </c>
      <c r="U2" s="143" t="s">
        <v>35</v>
      </c>
      <c r="V2" s="144" t="s">
        <v>36</v>
      </c>
      <c r="W2" s="135"/>
      <c r="X2" s="142" t="s">
        <v>29</v>
      </c>
      <c r="Y2" s="143" t="s">
        <v>30</v>
      </c>
      <c r="Z2" s="143" t="s">
        <v>31</v>
      </c>
      <c r="AA2" s="143" t="s">
        <v>32</v>
      </c>
      <c r="AB2" s="143" t="s">
        <v>33</v>
      </c>
      <c r="AC2" s="143" t="s">
        <v>34</v>
      </c>
      <c r="AD2" s="143" t="s">
        <v>35</v>
      </c>
      <c r="AE2" s="144" t="s">
        <v>36</v>
      </c>
      <c r="AG2" s="142" t="s">
        <v>29</v>
      </c>
      <c r="AH2" s="143" t="s">
        <v>30</v>
      </c>
      <c r="AI2" s="143" t="s">
        <v>31</v>
      </c>
      <c r="AJ2" s="143" t="s">
        <v>32</v>
      </c>
      <c r="AK2" s="143" t="s">
        <v>33</v>
      </c>
      <c r="AL2" s="143" t="s">
        <v>34</v>
      </c>
      <c r="AM2" s="143" t="s">
        <v>35</v>
      </c>
      <c r="AN2" s="144" t="s">
        <v>36</v>
      </c>
    </row>
    <row r="3" spans="1:40" ht="12.75" customHeight="1" thickBot="1">
      <c r="A3" s="140"/>
      <c r="B3" s="140"/>
      <c r="C3" s="140"/>
      <c r="D3" s="141"/>
      <c r="E3" s="140"/>
      <c r="F3" s="145">
        <v>6</v>
      </c>
      <c r="G3" s="146">
        <v>3</v>
      </c>
      <c r="H3" s="146">
        <v>3</v>
      </c>
      <c r="I3" s="146">
        <v>3</v>
      </c>
      <c r="J3" s="146">
        <v>6</v>
      </c>
      <c r="K3" s="146">
        <v>3</v>
      </c>
      <c r="L3" s="146">
        <v>3</v>
      </c>
      <c r="M3" s="147">
        <v>3</v>
      </c>
      <c r="N3" s="135"/>
      <c r="O3" s="145">
        <v>6</v>
      </c>
      <c r="P3" s="146">
        <v>3</v>
      </c>
      <c r="Q3" s="146">
        <v>3</v>
      </c>
      <c r="R3" s="146">
        <v>3</v>
      </c>
      <c r="S3" s="146">
        <v>6</v>
      </c>
      <c r="T3" s="146">
        <v>3</v>
      </c>
      <c r="U3" s="146">
        <v>3</v>
      </c>
      <c r="V3" s="147">
        <v>3</v>
      </c>
      <c r="W3" s="135"/>
      <c r="X3" s="145">
        <v>6</v>
      </c>
      <c r="Y3" s="146">
        <v>3</v>
      </c>
      <c r="Z3" s="146">
        <v>3</v>
      </c>
      <c r="AA3" s="146">
        <v>3</v>
      </c>
      <c r="AB3" s="146">
        <v>6</v>
      </c>
      <c r="AC3" s="146">
        <v>3</v>
      </c>
      <c r="AD3" s="146">
        <v>3</v>
      </c>
      <c r="AE3" s="147">
        <v>3</v>
      </c>
      <c r="AG3" s="145">
        <v>6</v>
      </c>
      <c r="AH3" s="146">
        <v>3</v>
      </c>
      <c r="AI3" s="146">
        <v>3</v>
      </c>
      <c r="AJ3" s="146">
        <v>3</v>
      </c>
      <c r="AK3" s="146">
        <v>6</v>
      </c>
      <c r="AL3" s="146">
        <v>3</v>
      </c>
      <c r="AM3" s="146">
        <v>3</v>
      </c>
      <c r="AN3" s="147">
        <v>3</v>
      </c>
    </row>
    <row r="4" spans="1:40" ht="12.75" customHeight="1">
      <c r="A4" s="148">
        <f>CO_PO_Attainment_Analysis!A19</f>
        <v>1</v>
      </c>
      <c r="B4" s="22">
        <f>CSE4098C_Summer2026_Grade!B5</f>
        <v>223014152</v>
      </c>
      <c r="C4" s="22" t="str">
        <f>CSE4098C_Summer2026_Grade!C5</f>
        <v>Ahadul Islam Rahul</v>
      </c>
      <c r="D4" s="273" t="s">
        <v>75</v>
      </c>
      <c r="E4" s="274" t="s">
        <v>190</v>
      </c>
      <c r="F4" s="78">
        <v>0</v>
      </c>
      <c r="G4" s="78">
        <v>0</v>
      </c>
      <c r="H4" s="78">
        <v>0</v>
      </c>
      <c r="I4" s="78">
        <v>0</v>
      </c>
      <c r="J4" s="78">
        <v>0</v>
      </c>
      <c r="K4" s="78">
        <v>0</v>
      </c>
      <c r="L4" s="78">
        <v>0</v>
      </c>
      <c r="M4" s="78">
        <v>0</v>
      </c>
      <c r="O4" s="78">
        <v>0</v>
      </c>
      <c r="P4" s="78">
        <v>0</v>
      </c>
      <c r="Q4" s="78">
        <v>0</v>
      </c>
      <c r="R4" s="78">
        <v>0</v>
      </c>
      <c r="S4" s="78">
        <v>0</v>
      </c>
      <c r="T4" s="78">
        <v>0</v>
      </c>
      <c r="U4" s="78">
        <v>0</v>
      </c>
      <c r="V4" s="78">
        <v>0</v>
      </c>
      <c r="X4" s="78">
        <v>0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G4" s="150">
        <f t="shared" ref="AG4:AN4" si="0">SUM(F4,O4,X4)/3</f>
        <v>0</v>
      </c>
      <c r="AH4" s="150">
        <f t="shared" si="0"/>
        <v>0</v>
      </c>
      <c r="AI4" s="150">
        <f t="shared" si="0"/>
        <v>0</v>
      </c>
      <c r="AJ4" s="150">
        <f t="shared" si="0"/>
        <v>0</v>
      </c>
      <c r="AK4" s="150">
        <f t="shared" si="0"/>
        <v>0</v>
      </c>
      <c r="AL4" s="150">
        <f t="shared" si="0"/>
        <v>0</v>
      </c>
      <c r="AM4" s="150">
        <f t="shared" si="0"/>
        <v>0</v>
      </c>
      <c r="AN4" s="150">
        <f t="shared" si="0"/>
        <v>0</v>
      </c>
    </row>
    <row r="5" spans="1:40" ht="12.75" customHeight="1">
      <c r="A5" s="148">
        <f>CO_PO_Attainment_Analysis!A20</f>
        <v>2</v>
      </c>
      <c r="B5" s="22">
        <f>CSE4098C_Summer2026_Grade!B6</f>
        <v>223014049</v>
      </c>
      <c r="C5" s="22" t="str">
        <f>CSE4098C_Summer2026_Grade!C6</f>
        <v>Md. Sojib Al Hasan</v>
      </c>
      <c r="D5" s="235"/>
      <c r="E5" s="275"/>
      <c r="F5" s="78">
        <v>0</v>
      </c>
      <c r="G5" s="78">
        <v>0</v>
      </c>
      <c r="H5" s="78">
        <v>0</v>
      </c>
      <c r="I5" s="78">
        <v>0</v>
      </c>
      <c r="J5" s="78">
        <v>0</v>
      </c>
      <c r="K5" s="78">
        <v>0</v>
      </c>
      <c r="L5" s="78">
        <v>0</v>
      </c>
      <c r="M5" s="78">
        <v>0</v>
      </c>
      <c r="O5" s="78">
        <v>0</v>
      </c>
      <c r="P5" s="78">
        <v>0</v>
      </c>
      <c r="Q5" s="78">
        <v>0</v>
      </c>
      <c r="R5" s="78">
        <v>0</v>
      </c>
      <c r="S5" s="78">
        <v>0</v>
      </c>
      <c r="T5" s="78">
        <v>0</v>
      </c>
      <c r="U5" s="78">
        <v>0</v>
      </c>
      <c r="V5" s="78">
        <v>0</v>
      </c>
      <c r="X5" s="78">
        <v>0</v>
      </c>
      <c r="Y5" s="78">
        <v>0</v>
      </c>
      <c r="Z5" s="78">
        <v>0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G5" s="150">
        <f t="shared" ref="AG5:AN5" si="1">SUM(F5,O5,X5)/3</f>
        <v>0</v>
      </c>
      <c r="AH5" s="150">
        <f t="shared" si="1"/>
        <v>0</v>
      </c>
      <c r="AI5" s="150">
        <f t="shared" si="1"/>
        <v>0</v>
      </c>
      <c r="AJ5" s="150">
        <f t="shared" si="1"/>
        <v>0</v>
      </c>
      <c r="AK5" s="150">
        <f t="shared" si="1"/>
        <v>0</v>
      </c>
      <c r="AL5" s="150">
        <f t="shared" si="1"/>
        <v>0</v>
      </c>
      <c r="AM5" s="150">
        <f t="shared" si="1"/>
        <v>0</v>
      </c>
      <c r="AN5" s="150">
        <f t="shared" si="1"/>
        <v>0</v>
      </c>
    </row>
    <row r="6" spans="1:40" ht="12.75" customHeight="1">
      <c r="A6" s="148">
        <f>CO_PO_Attainment_Analysis!A21</f>
        <v>3</v>
      </c>
      <c r="B6" s="22">
        <f>CSE4098C_Summer2026_Grade!B7</f>
        <v>222014039</v>
      </c>
      <c r="C6" s="22" t="str">
        <f>CSE4098C_Summer2026_Grade!C7</f>
        <v>Nadia Akter Jui</v>
      </c>
      <c r="D6" s="235"/>
      <c r="E6" s="275"/>
      <c r="F6" s="78">
        <v>0</v>
      </c>
      <c r="G6" s="78">
        <v>0</v>
      </c>
      <c r="H6" s="78">
        <v>0</v>
      </c>
      <c r="I6" s="78">
        <v>0</v>
      </c>
      <c r="J6" s="78">
        <v>0</v>
      </c>
      <c r="K6" s="78">
        <v>0</v>
      </c>
      <c r="L6" s="78">
        <v>0</v>
      </c>
      <c r="M6" s="78">
        <v>0</v>
      </c>
      <c r="O6" s="78">
        <v>0</v>
      </c>
      <c r="P6" s="78">
        <v>0</v>
      </c>
      <c r="Q6" s="78">
        <v>0</v>
      </c>
      <c r="R6" s="78">
        <v>0</v>
      </c>
      <c r="S6" s="78">
        <v>0</v>
      </c>
      <c r="T6" s="78">
        <v>0</v>
      </c>
      <c r="U6" s="78">
        <v>0</v>
      </c>
      <c r="V6" s="78">
        <v>0</v>
      </c>
      <c r="X6" s="78">
        <v>0</v>
      </c>
      <c r="Y6" s="78">
        <v>0</v>
      </c>
      <c r="Z6" s="78">
        <v>0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G6" s="150">
        <f t="shared" ref="AG6:AN6" si="2">SUM(F6,O6,X6)/3</f>
        <v>0</v>
      </c>
      <c r="AH6" s="150">
        <f t="shared" si="2"/>
        <v>0</v>
      </c>
      <c r="AI6" s="150">
        <f t="shared" si="2"/>
        <v>0</v>
      </c>
      <c r="AJ6" s="150">
        <f t="shared" si="2"/>
        <v>0</v>
      </c>
      <c r="AK6" s="150">
        <f t="shared" si="2"/>
        <v>0</v>
      </c>
      <c r="AL6" s="150">
        <f t="shared" si="2"/>
        <v>0</v>
      </c>
      <c r="AM6" s="150">
        <f t="shared" si="2"/>
        <v>0</v>
      </c>
      <c r="AN6" s="150">
        <f t="shared" si="2"/>
        <v>0</v>
      </c>
    </row>
    <row r="7" spans="1:40" ht="12.75" customHeight="1" thickBot="1">
      <c r="A7" s="148">
        <f>CO_PO_Attainment_Analysis!A22</f>
        <v>4</v>
      </c>
      <c r="B7" s="22">
        <f>CSE4098C_Summer2026_Grade!B8</f>
        <v>222014012</v>
      </c>
      <c r="C7" s="22" t="str">
        <f>CSE4098C_Summer2026_Grade!C8</f>
        <v>Md. Minhazul Islam</v>
      </c>
      <c r="D7" s="235"/>
      <c r="E7" s="276"/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G7" s="150">
        <f t="shared" ref="AG7:AN7" si="3">SUM(F7,O7,X7)/3</f>
        <v>0</v>
      </c>
      <c r="AH7" s="150">
        <f t="shared" si="3"/>
        <v>0</v>
      </c>
      <c r="AI7" s="150">
        <f t="shared" si="3"/>
        <v>0</v>
      </c>
      <c r="AJ7" s="150">
        <f t="shared" si="3"/>
        <v>0</v>
      </c>
      <c r="AK7" s="150">
        <f t="shared" si="3"/>
        <v>0</v>
      </c>
      <c r="AL7" s="150">
        <f t="shared" si="3"/>
        <v>0</v>
      </c>
      <c r="AM7" s="150">
        <f t="shared" si="3"/>
        <v>0</v>
      </c>
      <c r="AN7" s="150">
        <f t="shared" si="3"/>
        <v>0</v>
      </c>
    </row>
    <row r="8" spans="1:40" ht="12.75" customHeight="1">
      <c r="A8" s="148">
        <f>CO_PO_Attainment_Analysis!A23</f>
        <v>5</v>
      </c>
      <c r="B8" s="22">
        <f>CSE4098C_Summer2026_Grade!B9</f>
        <v>222014096</v>
      </c>
      <c r="C8" s="22" t="str">
        <f>CSE4098C_Summer2026_Grade!C9</f>
        <v>Md. Shams Arefin</v>
      </c>
      <c r="D8" s="273" t="s">
        <v>75</v>
      </c>
      <c r="E8" s="274" t="s">
        <v>191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G8" s="150">
        <f t="shared" ref="AG8:AN8" si="4">SUM(F8,O8,X8)/3</f>
        <v>0</v>
      </c>
      <c r="AH8" s="150">
        <f t="shared" si="4"/>
        <v>0</v>
      </c>
      <c r="AI8" s="150">
        <f t="shared" si="4"/>
        <v>0</v>
      </c>
      <c r="AJ8" s="150">
        <f t="shared" si="4"/>
        <v>0</v>
      </c>
      <c r="AK8" s="150">
        <f t="shared" si="4"/>
        <v>0</v>
      </c>
      <c r="AL8" s="150">
        <f t="shared" si="4"/>
        <v>0</v>
      </c>
      <c r="AM8" s="150">
        <f t="shared" si="4"/>
        <v>0</v>
      </c>
      <c r="AN8" s="150">
        <f t="shared" si="4"/>
        <v>0</v>
      </c>
    </row>
    <row r="9" spans="1:40" ht="12.75" customHeight="1">
      <c r="A9" s="148">
        <f>CO_PO_Attainment_Analysis!A24</f>
        <v>6</v>
      </c>
      <c r="B9" s="22">
        <f>CSE4098C_Summer2026_Grade!B10</f>
        <v>221014135</v>
      </c>
      <c r="C9" s="22" t="str">
        <f>CSE4098C_Summer2026_Grade!C10</f>
        <v>Aminul Islam</v>
      </c>
      <c r="D9" s="235"/>
      <c r="E9" s="275"/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G9" s="150">
        <f t="shared" ref="AG9:AN9" si="5">SUM(F9,O9,X9)/3</f>
        <v>0</v>
      </c>
      <c r="AH9" s="150">
        <f t="shared" si="5"/>
        <v>0</v>
      </c>
      <c r="AI9" s="150">
        <f t="shared" si="5"/>
        <v>0</v>
      </c>
      <c r="AJ9" s="150">
        <f t="shared" si="5"/>
        <v>0</v>
      </c>
      <c r="AK9" s="150">
        <f t="shared" si="5"/>
        <v>0</v>
      </c>
      <c r="AL9" s="150">
        <f t="shared" si="5"/>
        <v>0</v>
      </c>
      <c r="AM9" s="150">
        <f t="shared" si="5"/>
        <v>0</v>
      </c>
      <c r="AN9" s="150">
        <f t="shared" si="5"/>
        <v>0</v>
      </c>
    </row>
    <row r="10" spans="1:40" ht="12.75" customHeight="1">
      <c r="A10" s="148">
        <f>CO_PO_Attainment_Analysis!A25</f>
        <v>7</v>
      </c>
      <c r="B10" s="22">
        <f>CSE4098C_Summer2026_Grade!B11</f>
        <v>221014018</v>
      </c>
      <c r="C10" s="22" t="str">
        <f>CSE4098C_Summer2026_Grade!C11</f>
        <v>Israfill Hossain Mehedi</v>
      </c>
      <c r="D10" s="235"/>
      <c r="E10" s="275"/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G10" s="150">
        <f t="shared" ref="AG10:AN10" si="6">SUM(F10,O10,X10)/3</f>
        <v>0</v>
      </c>
      <c r="AH10" s="150">
        <f t="shared" si="6"/>
        <v>0</v>
      </c>
      <c r="AI10" s="150">
        <f t="shared" si="6"/>
        <v>0</v>
      </c>
      <c r="AJ10" s="150">
        <f t="shared" si="6"/>
        <v>0</v>
      </c>
      <c r="AK10" s="150">
        <f t="shared" si="6"/>
        <v>0</v>
      </c>
      <c r="AL10" s="150">
        <f t="shared" si="6"/>
        <v>0</v>
      </c>
      <c r="AM10" s="150">
        <f t="shared" si="6"/>
        <v>0</v>
      </c>
      <c r="AN10" s="150">
        <f t="shared" si="6"/>
        <v>0</v>
      </c>
    </row>
    <row r="11" spans="1:40" ht="12.75" customHeight="1" thickBot="1">
      <c r="A11" s="148">
        <f>CO_PO_Attainment_Analysis!A26</f>
        <v>8</v>
      </c>
      <c r="B11" s="22">
        <f>CSE4098C_Summer2026_Grade!B12</f>
        <v>221014008</v>
      </c>
      <c r="C11" s="22" t="str">
        <f>CSE4098C_Summer2026_Grade!C12</f>
        <v>Mahmudul Hasan Dipto</v>
      </c>
      <c r="D11" s="235"/>
      <c r="E11" s="276"/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G11" s="150">
        <f t="shared" ref="AG11:AN11" si="7">SUM(F11,O11,X11)/3</f>
        <v>0</v>
      </c>
      <c r="AH11" s="150">
        <f t="shared" si="7"/>
        <v>0</v>
      </c>
      <c r="AI11" s="150">
        <f t="shared" si="7"/>
        <v>0</v>
      </c>
      <c r="AJ11" s="150">
        <f t="shared" si="7"/>
        <v>0</v>
      </c>
      <c r="AK11" s="150">
        <f t="shared" si="7"/>
        <v>0</v>
      </c>
      <c r="AL11" s="150">
        <f t="shared" si="7"/>
        <v>0</v>
      </c>
      <c r="AM11" s="150">
        <f t="shared" si="7"/>
        <v>0</v>
      </c>
      <c r="AN11" s="150">
        <f t="shared" si="7"/>
        <v>0</v>
      </c>
    </row>
    <row r="12" spans="1:40" ht="12.75" customHeight="1">
      <c r="A12" s="148">
        <f>CO_PO_Attainment_Analysis!A27</f>
        <v>9</v>
      </c>
      <c r="B12" s="22">
        <f>CSE4098C_Summer2026_Grade!B13</f>
        <v>223014142</v>
      </c>
      <c r="C12" s="22" t="str">
        <f>CSE4098C_Summer2026_Grade!C13</f>
        <v>Tamanna Akter</v>
      </c>
      <c r="D12" s="273" t="s">
        <v>76</v>
      </c>
      <c r="E12" s="274" t="s">
        <v>192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G12" s="150">
        <f t="shared" ref="AG12:AN12" si="8">SUM(F12,O12,X12)/3</f>
        <v>0</v>
      </c>
      <c r="AH12" s="150">
        <f t="shared" si="8"/>
        <v>0</v>
      </c>
      <c r="AI12" s="150">
        <f t="shared" si="8"/>
        <v>0</v>
      </c>
      <c r="AJ12" s="150">
        <f t="shared" si="8"/>
        <v>0</v>
      </c>
      <c r="AK12" s="150">
        <f t="shared" si="8"/>
        <v>0</v>
      </c>
      <c r="AL12" s="150">
        <f t="shared" si="8"/>
        <v>0</v>
      </c>
      <c r="AM12" s="150">
        <f t="shared" si="8"/>
        <v>0</v>
      </c>
      <c r="AN12" s="150">
        <f t="shared" si="8"/>
        <v>0</v>
      </c>
    </row>
    <row r="13" spans="1:40" ht="12.75" customHeight="1">
      <c r="A13" s="148">
        <f>CO_PO_Attainment_Analysis!A28</f>
        <v>10</v>
      </c>
      <c r="B13" s="22">
        <f>CSE4098C_Summer2026_Grade!B14</f>
        <v>223014204</v>
      </c>
      <c r="C13" s="22" t="str">
        <f>CSE4098C_Summer2026_Grade!C14</f>
        <v>Ashrafun Nahar Rahi</v>
      </c>
      <c r="D13" s="235"/>
      <c r="E13" s="275"/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G13" s="150">
        <f t="shared" ref="AG13:AN13" si="9">SUM(F13,O13,X13)/3</f>
        <v>0</v>
      </c>
      <c r="AH13" s="150">
        <f t="shared" si="9"/>
        <v>0</v>
      </c>
      <c r="AI13" s="150">
        <f t="shared" si="9"/>
        <v>0</v>
      </c>
      <c r="AJ13" s="150">
        <f t="shared" si="9"/>
        <v>0</v>
      </c>
      <c r="AK13" s="150">
        <f t="shared" si="9"/>
        <v>0</v>
      </c>
      <c r="AL13" s="150">
        <f t="shared" si="9"/>
        <v>0</v>
      </c>
      <c r="AM13" s="150">
        <f t="shared" si="9"/>
        <v>0</v>
      </c>
      <c r="AN13" s="150">
        <f t="shared" si="9"/>
        <v>0</v>
      </c>
    </row>
    <row r="14" spans="1:40" ht="12.75" customHeight="1">
      <c r="A14" s="148">
        <f>CO_PO_Attainment_Analysis!A29</f>
        <v>11</v>
      </c>
      <c r="B14" s="22">
        <f>CSE4098C_Summer2026_Grade!B15</f>
        <v>213014052</v>
      </c>
      <c r="C14" s="22" t="str">
        <f>CSE4098C_Summer2026_Grade!C15</f>
        <v>Khuslima Fardush Mony</v>
      </c>
      <c r="D14" s="235"/>
      <c r="E14" s="275"/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G14" s="150">
        <f t="shared" ref="AG14:AN14" si="10">SUM(F14,O14,X14)/3</f>
        <v>0</v>
      </c>
      <c r="AH14" s="150">
        <f t="shared" si="10"/>
        <v>0</v>
      </c>
      <c r="AI14" s="150">
        <f t="shared" si="10"/>
        <v>0</v>
      </c>
      <c r="AJ14" s="150">
        <f t="shared" si="10"/>
        <v>0</v>
      </c>
      <c r="AK14" s="150">
        <f t="shared" si="10"/>
        <v>0</v>
      </c>
      <c r="AL14" s="150">
        <f t="shared" si="10"/>
        <v>0</v>
      </c>
      <c r="AM14" s="150">
        <f t="shared" si="10"/>
        <v>0</v>
      </c>
      <c r="AN14" s="150">
        <f t="shared" si="10"/>
        <v>0</v>
      </c>
    </row>
    <row r="15" spans="1:40" ht="12.75" customHeight="1">
      <c r="A15" s="148">
        <f>CO_PO_Attainment_Analysis!A30</f>
        <v>12</v>
      </c>
      <c r="B15" s="22">
        <f>CSE4098C_Summer2026_Grade!B16</f>
        <v>221014035</v>
      </c>
      <c r="C15" s="22" t="str">
        <f>CSE4098C_Summer2026_Grade!C16</f>
        <v>Md. Alif Hossain</v>
      </c>
      <c r="D15" s="235"/>
      <c r="E15" s="275"/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G15" s="150">
        <f t="shared" ref="AG15:AN15" si="11">SUM(F15,O15,X15)/3</f>
        <v>0</v>
      </c>
      <c r="AH15" s="150">
        <f t="shared" si="11"/>
        <v>0</v>
      </c>
      <c r="AI15" s="150">
        <f t="shared" si="11"/>
        <v>0</v>
      </c>
      <c r="AJ15" s="150">
        <f t="shared" si="11"/>
        <v>0</v>
      </c>
      <c r="AK15" s="150">
        <f t="shared" si="11"/>
        <v>0</v>
      </c>
      <c r="AL15" s="150">
        <f t="shared" si="11"/>
        <v>0</v>
      </c>
      <c r="AM15" s="150">
        <f t="shared" si="11"/>
        <v>0</v>
      </c>
      <c r="AN15" s="150">
        <f t="shared" si="11"/>
        <v>0</v>
      </c>
    </row>
    <row r="16" spans="1:40" ht="12.75" customHeight="1" thickBot="1">
      <c r="A16" s="148">
        <f>CO_PO_Attainment_Analysis!A31</f>
        <v>13</v>
      </c>
      <c r="B16" s="22">
        <f>CSE4098C_Summer2026_Grade!B17</f>
        <v>223014074</v>
      </c>
      <c r="C16" s="22" t="str">
        <f>CSE4098C_Summer2026_Grade!C17</f>
        <v>Salvir Rahman Ratul</v>
      </c>
      <c r="D16" s="235"/>
      <c r="E16" s="276"/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G16" s="150">
        <f t="shared" ref="AG16:AN16" si="12">SUM(F16,O16,X16)/3</f>
        <v>0</v>
      </c>
      <c r="AH16" s="150">
        <f t="shared" si="12"/>
        <v>0</v>
      </c>
      <c r="AI16" s="150">
        <f t="shared" si="12"/>
        <v>0</v>
      </c>
      <c r="AJ16" s="150">
        <f t="shared" si="12"/>
        <v>0</v>
      </c>
      <c r="AK16" s="150">
        <f t="shared" si="12"/>
        <v>0</v>
      </c>
      <c r="AL16" s="150">
        <f t="shared" si="12"/>
        <v>0</v>
      </c>
      <c r="AM16" s="150">
        <f t="shared" si="12"/>
        <v>0</v>
      </c>
      <c r="AN16" s="150">
        <f t="shared" si="12"/>
        <v>0</v>
      </c>
    </row>
    <row r="17" spans="1:40" ht="12.75" customHeight="1">
      <c r="A17" s="148">
        <f>CO_PO_Attainment_Analysis!A32</f>
        <v>14</v>
      </c>
      <c r="B17" s="22">
        <f>CSE4098C_Summer2026_Grade!B18</f>
        <v>223014133</v>
      </c>
      <c r="C17" s="22" t="str">
        <f>CSE4098C_Summer2026_Grade!C18</f>
        <v>Nancy Drong</v>
      </c>
      <c r="D17" s="273" t="s">
        <v>77</v>
      </c>
      <c r="E17" s="274" t="s">
        <v>193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G17" s="150">
        <f t="shared" ref="AG17:AN17" si="13">SUM(F17,O17,X17)/3</f>
        <v>0</v>
      </c>
      <c r="AH17" s="150">
        <f t="shared" si="13"/>
        <v>0</v>
      </c>
      <c r="AI17" s="150">
        <f t="shared" si="13"/>
        <v>0</v>
      </c>
      <c r="AJ17" s="150">
        <f t="shared" si="13"/>
        <v>0</v>
      </c>
      <c r="AK17" s="150">
        <f t="shared" si="13"/>
        <v>0</v>
      </c>
      <c r="AL17" s="150">
        <f t="shared" si="13"/>
        <v>0</v>
      </c>
      <c r="AM17" s="150">
        <f t="shared" si="13"/>
        <v>0</v>
      </c>
      <c r="AN17" s="150">
        <f t="shared" si="13"/>
        <v>0</v>
      </c>
    </row>
    <row r="18" spans="1:40" ht="12.75" customHeight="1">
      <c r="A18" s="148">
        <f>CO_PO_Attainment_Analysis!A33</f>
        <v>15</v>
      </c>
      <c r="B18" s="22">
        <f>CSE4098C_Summer2026_Grade!B19</f>
        <v>223014052</v>
      </c>
      <c r="C18" s="22" t="str">
        <f>CSE4098C_Summer2026_Grade!C19</f>
        <v>Argho Das</v>
      </c>
      <c r="D18" s="235"/>
      <c r="E18" s="275"/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G18" s="150">
        <f t="shared" ref="AG18:AN18" si="14">SUM(F18,O18,X18)/3</f>
        <v>0</v>
      </c>
      <c r="AH18" s="150">
        <f t="shared" si="14"/>
        <v>0</v>
      </c>
      <c r="AI18" s="150">
        <f t="shared" si="14"/>
        <v>0</v>
      </c>
      <c r="AJ18" s="150">
        <f t="shared" si="14"/>
        <v>0</v>
      </c>
      <c r="AK18" s="150">
        <f t="shared" si="14"/>
        <v>0</v>
      </c>
      <c r="AL18" s="150">
        <f t="shared" si="14"/>
        <v>0</v>
      </c>
      <c r="AM18" s="150">
        <f t="shared" si="14"/>
        <v>0</v>
      </c>
      <c r="AN18" s="150">
        <f t="shared" si="14"/>
        <v>0</v>
      </c>
    </row>
    <row r="19" spans="1:40" ht="12.75" customHeight="1" thickBot="1">
      <c r="A19" s="148">
        <f>CO_PO_Attainment_Analysis!A34</f>
        <v>16</v>
      </c>
      <c r="B19" s="22">
        <f>CSE4098C_Summer2026_Grade!B20</f>
        <v>223014105</v>
      </c>
      <c r="C19" s="22" t="str">
        <f>CSE4098C_Summer2026_Grade!C20</f>
        <v>Navid Rahman</v>
      </c>
      <c r="D19" s="235"/>
      <c r="E19" s="276"/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G19" s="150">
        <f t="shared" ref="AG19:AN19" si="15">SUM(F19,O19,X19)/3</f>
        <v>0</v>
      </c>
      <c r="AH19" s="150">
        <f t="shared" si="15"/>
        <v>0</v>
      </c>
      <c r="AI19" s="150">
        <f t="shared" si="15"/>
        <v>0</v>
      </c>
      <c r="AJ19" s="150">
        <f t="shared" si="15"/>
        <v>0</v>
      </c>
      <c r="AK19" s="150">
        <f t="shared" si="15"/>
        <v>0</v>
      </c>
      <c r="AL19" s="150">
        <f t="shared" si="15"/>
        <v>0</v>
      </c>
      <c r="AM19" s="150">
        <f t="shared" si="15"/>
        <v>0</v>
      </c>
      <c r="AN19" s="150">
        <f t="shared" si="15"/>
        <v>0</v>
      </c>
    </row>
    <row r="20" spans="1:40" ht="12.75" customHeight="1">
      <c r="A20" s="148">
        <f>CO_PO_Attainment_Analysis!A35</f>
        <v>17</v>
      </c>
      <c r="B20" s="22">
        <f>CSE4098C_Summer2026_Grade!B21</f>
        <v>223014196</v>
      </c>
      <c r="C20" s="22" t="str">
        <f>CSE4098C_Summer2026_Grade!C21</f>
        <v>Shafwan Shadid Khan</v>
      </c>
      <c r="D20" s="273" t="s">
        <v>78</v>
      </c>
      <c r="E20" s="274" t="s">
        <v>194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G20" s="150">
        <f t="shared" ref="AG20:AN20" si="16">SUM(F20,O20,X20)/3</f>
        <v>0</v>
      </c>
      <c r="AH20" s="150">
        <f t="shared" si="16"/>
        <v>0</v>
      </c>
      <c r="AI20" s="150">
        <f t="shared" si="16"/>
        <v>0</v>
      </c>
      <c r="AJ20" s="150">
        <f t="shared" si="16"/>
        <v>0</v>
      </c>
      <c r="AK20" s="150">
        <f t="shared" si="16"/>
        <v>0</v>
      </c>
      <c r="AL20" s="150">
        <f t="shared" si="16"/>
        <v>0</v>
      </c>
      <c r="AM20" s="150">
        <f t="shared" si="16"/>
        <v>0</v>
      </c>
      <c r="AN20" s="150">
        <f t="shared" si="16"/>
        <v>0</v>
      </c>
    </row>
    <row r="21" spans="1:40" ht="12.75" customHeight="1">
      <c r="A21" s="148">
        <f>CO_PO_Attainment_Analysis!A36</f>
        <v>18</v>
      </c>
      <c r="B21" s="22">
        <f>CSE4098C_Summer2026_Grade!B22</f>
        <v>201014026</v>
      </c>
      <c r="C21" s="22" t="str">
        <f>CSE4098C_Summer2026_Grade!C22</f>
        <v>Sabbir Hossain</v>
      </c>
      <c r="D21" s="235"/>
      <c r="E21" s="275"/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G21" s="150">
        <f t="shared" ref="AG21:AN21" si="17">SUM(F21,O21,X21)/3</f>
        <v>0</v>
      </c>
      <c r="AH21" s="150">
        <f t="shared" si="17"/>
        <v>0</v>
      </c>
      <c r="AI21" s="150">
        <f t="shared" si="17"/>
        <v>0</v>
      </c>
      <c r="AJ21" s="150">
        <f t="shared" si="17"/>
        <v>0</v>
      </c>
      <c r="AK21" s="150">
        <f t="shared" si="17"/>
        <v>0</v>
      </c>
      <c r="AL21" s="150">
        <f t="shared" si="17"/>
        <v>0</v>
      </c>
      <c r="AM21" s="150">
        <f t="shared" si="17"/>
        <v>0</v>
      </c>
      <c r="AN21" s="150">
        <f t="shared" si="17"/>
        <v>0</v>
      </c>
    </row>
    <row r="22" spans="1:40" ht="12.75" customHeight="1">
      <c r="A22" s="148">
        <f>CO_PO_Attainment_Analysis!A37</f>
        <v>19</v>
      </c>
      <c r="B22" s="22">
        <f>CSE4098C_Summer2026_Grade!B23</f>
        <v>173014054</v>
      </c>
      <c r="C22" s="22" t="str">
        <f>CSE4098C_Summer2026_Grade!C23</f>
        <v>Pranto Sarkar</v>
      </c>
      <c r="D22" s="235"/>
      <c r="E22" s="275"/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G22" s="150">
        <f t="shared" ref="AG22:AN22" si="18">SUM(F22,O22,X22)/3</f>
        <v>0</v>
      </c>
      <c r="AH22" s="150">
        <f t="shared" si="18"/>
        <v>0</v>
      </c>
      <c r="AI22" s="150">
        <f t="shared" si="18"/>
        <v>0</v>
      </c>
      <c r="AJ22" s="150">
        <f t="shared" si="18"/>
        <v>0</v>
      </c>
      <c r="AK22" s="150">
        <f t="shared" si="18"/>
        <v>0</v>
      </c>
      <c r="AL22" s="150">
        <f t="shared" si="18"/>
        <v>0</v>
      </c>
      <c r="AM22" s="150">
        <f t="shared" si="18"/>
        <v>0</v>
      </c>
      <c r="AN22" s="150">
        <f t="shared" si="18"/>
        <v>0</v>
      </c>
    </row>
    <row r="23" spans="1:40" ht="12.75" customHeight="1">
      <c r="A23" s="148">
        <f>CO_PO_Attainment_Analysis!A38</f>
        <v>20</v>
      </c>
      <c r="B23" s="22">
        <f>CSE4098C_Summer2026_Grade!B24</f>
        <v>201014068</v>
      </c>
      <c r="C23" s="22" t="str">
        <f>CSE4098C_Summer2026_Grade!C24</f>
        <v>Shatabdi Mondal Shila</v>
      </c>
      <c r="D23" s="235"/>
      <c r="E23" s="275"/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G23" s="150">
        <f t="shared" ref="AG23:AN23" si="19">SUM(F23,O23,X23)/3</f>
        <v>0</v>
      </c>
      <c r="AH23" s="150">
        <f t="shared" si="19"/>
        <v>0</v>
      </c>
      <c r="AI23" s="150">
        <f t="shared" si="19"/>
        <v>0</v>
      </c>
      <c r="AJ23" s="150">
        <f t="shared" si="19"/>
        <v>0</v>
      </c>
      <c r="AK23" s="150">
        <f t="shared" si="19"/>
        <v>0</v>
      </c>
      <c r="AL23" s="150">
        <f t="shared" si="19"/>
        <v>0</v>
      </c>
      <c r="AM23" s="150">
        <f t="shared" si="19"/>
        <v>0</v>
      </c>
      <c r="AN23" s="150">
        <f t="shared" si="19"/>
        <v>0</v>
      </c>
    </row>
    <row r="24" spans="1:40" ht="12.75" customHeight="1" thickBot="1">
      <c r="A24" s="148">
        <f>CO_PO_Attainment_Analysis!A39</f>
        <v>21</v>
      </c>
      <c r="B24" s="22">
        <f>CSE4098C_Summer2026_Grade!B25</f>
        <v>201014030</v>
      </c>
      <c r="C24" s="22" t="str">
        <f>CSE4098C_Summer2026_Grade!C25</f>
        <v>Md. Asiful Islam</v>
      </c>
      <c r="D24" s="235"/>
      <c r="E24" s="276"/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G24" s="150">
        <f t="shared" ref="AG24:AN24" si="20">SUM(F24,O24,X24)/3</f>
        <v>0</v>
      </c>
      <c r="AH24" s="150">
        <f t="shared" si="20"/>
        <v>0</v>
      </c>
      <c r="AI24" s="150">
        <f t="shared" si="20"/>
        <v>0</v>
      </c>
      <c r="AJ24" s="150">
        <f t="shared" si="20"/>
        <v>0</v>
      </c>
      <c r="AK24" s="150">
        <f t="shared" si="20"/>
        <v>0</v>
      </c>
      <c r="AL24" s="150">
        <f t="shared" si="20"/>
        <v>0</v>
      </c>
      <c r="AM24" s="150">
        <f t="shared" si="20"/>
        <v>0</v>
      </c>
      <c r="AN24" s="150">
        <f t="shared" si="20"/>
        <v>0</v>
      </c>
    </row>
    <row r="25" spans="1:40" ht="12.75" customHeight="1">
      <c r="A25" s="148">
        <f>CO_PO_Attainment_Analysis!A40</f>
        <v>22</v>
      </c>
      <c r="B25" s="22">
        <f>CSE4098C_Summer2026_Grade!B26</f>
        <v>201014050</v>
      </c>
      <c r="C25" s="22" t="str">
        <f>CSE4098C_Summer2026_Grade!C26</f>
        <v>Dip Kumar Mondal</v>
      </c>
      <c r="D25" s="273" t="s">
        <v>79</v>
      </c>
      <c r="E25" s="274" t="s">
        <v>195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G25" s="150">
        <f t="shared" ref="AG25:AN25" si="21">SUM(F25,O25,X25)/3</f>
        <v>0</v>
      </c>
      <c r="AH25" s="150">
        <f t="shared" si="21"/>
        <v>0</v>
      </c>
      <c r="AI25" s="150">
        <f t="shared" si="21"/>
        <v>0</v>
      </c>
      <c r="AJ25" s="150">
        <f t="shared" si="21"/>
        <v>0</v>
      </c>
      <c r="AK25" s="150">
        <f t="shared" si="21"/>
        <v>0</v>
      </c>
      <c r="AL25" s="150">
        <f t="shared" si="21"/>
        <v>0</v>
      </c>
      <c r="AM25" s="150">
        <f t="shared" si="21"/>
        <v>0</v>
      </c>
      <c r="AN25" s="150">
        <f t="shared" si="21"/>
        <v>0</v>
      </c>
    </row>
    <row r="26" spans="1:40" ht="12.75" customHeight="1">
      <c r="A26" s="148">
        <f>CO_PO_Attainment_Analysis!A41</f>
        <v>23</v>
      </c>
      <c r="B26" s="22">
        <f>CSE4098C_Summer2026_Grade!B27</f>
        <v>223014213</v>
      </c>
      <c r="C26" s="22" t="str">
        <f>CSE4098C_Summer2026_Grade!C27</f>
        <v>Md. Minhazul Islam</v>
      </c>
      <c r="D26" s="235"/>
      <c r="E26" s="275"/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G26" s="150">
        <f t="shared" ref="AG26:AN26" si="22">SUM(F26,O26,X26)/3</f>
        <v>0</v>
      </c>
      <c r="AH26" s="150">
        <f t="shared" si="22"/>
        <v>0</v>
      </c>
      <c r="AI26" s="150">
        <f t="shared" si="22"/>
        <v>0</v>
      </c>
      <c r="AJ26" s="150">
        <f t="shared" si="22"/>
        <v>0</v>
      </c>
      <c r="AK26" s="150">
        <f t="shared" si="22"/>
        <v>0</v>
      </c>
      <c r="AL26" s="150">
        <f t="shared" si="22"/>
        <v>0</v>
      </c>
      <c r="AM26" s="150">
        <f t="shared" si="22"/>
        <v>0</v>
      </c>
      <c r="AN26" s="150">
        <f t="shared" si="22"/>
        <v>0</v>
      </c>
    </row>
    <row r="27" spans="1:40" ht="12.75" customHeight="1" thickBot="1">
      <c r="A27" s="148">
        <f>CO_PO_Attainment_Analysis!A42</f>
        <v>24</v>
      </c>
      <c r="B27" s="22">
        <f>CSE4098C_Summer2026_Grade!B28</f>
        <v>223014078</v>
      </c>
      <c r="C27" s="22" t="str">
        <f>CSE4098C_Summer2026_Grade!C28</f>
        <v>Shakhar Das Rony</v>
      </c>
      <c r="D27" s="235"/>
      <c r="E27" s="276"/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G27" s="150">
        <f t="shared" ref="AG27:AN27" si="23">SUM(F27,O27,X27)/3</f>
        <v>0</v>
      </c>
      <c r="AH27" s="150">
        <f t="shared" si="23"/>
        <v>0</v>
      </c>
      <c r="AI27" s="150">
        <f t="shared" si="23"/>
        <v>0</v>
      </c>
      <c r="AJ27" s="150">
        <f t="shared" si="23"/>
        <v>0</v>
      </c>
      <c r="AK27" s="150">
        <f t="shared" si="23"/>
        <v>0</v>
      </c>
      <c r="AL27" s="150">
        <f t="shared" si="23"/>
        <v>0</v>
      </c>
      <c r="AM27" s="150">
        <f t="shared" si="23"/>
        <v>0</v>
      </c>
      <c r="AN27" s="150">
        <f t="shared" si="23"/>
        <v>0</v>
      </c>
    </row>
    <row r="28" spans="1:40" ht="12.75" customHeight="1">
      <c r="A28" s="148">
        <f>CO_PO_Attainment_Analysis!A43</f>
        <v>25</v>
      </c>
      <c r="B28" s="22">
        <f>CSE4098C_Summer2026_Grade!B29</f>
        <v>223014212</v>
      </c>
      <c r="C28" s="22" t="str">
        <f>CSE4098C_Summer2026_Grade!C29</f>
        <v>Md. Tamim Hasan</v>
      </c>
      <c r="D28" s="273" t="s">
        <v>80</v>
      </c>
      <c r="E28" s="274" t="s">
        <v>196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G28" s="150">
        <f t="shared" ref="AG28:AN28" si="24">SUM(F28,O28,X28)/3</f>
        <v>0</v>
      </c>
      <c r="AH28" s="150">
        <f t="shared" si="24"/>
        <v>0</v>
      </c>
      <c r="AI28" s="150">
        <f t="shared" si="24"/>
        <v>0</v>
      </c>
      <c r="AJ28" s="150">
        <f t="shared" si="24"/>
        <v>0</v>
      </c>
      <c r="AK28" s="150">
        <f t="shared" si="24"/>
        <v>0</v>
      </c>
      <c r="AL28" s="150">
        <f t="shared" si="24"/>
        <v>0</v>
      </c>
      <c r="AM28" s="150">
        <f t="shared" si="24"/>
        <v>0</v>
      </c>
      <c r="AN28" s="150">
        <f t="shared" si="24"/>
        <v>0</v>
      </c>
    </row>
    <row r="29" spans="1:40" ht="12.75" customHeight="1">
      <c r="A29" s="148">
        <f>CO_PO_Attainment_Analysis!A44</f>
        <v>26</v>
      </c>
      <c r="B29" s="22">
        <f>CSE4098C_Summer2026_Grade!B30</f>
        <v>223014110</v>
      </c>
      <c r="C29" s="22" t="str">
        <f>CSE4098C_Summer2026_Grade!C30</f>
        <v>Md. Maruf Hossain</v>
      </c>
      <c r="D29" s="235"/>
      <c r="E29" s="275"/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G29" s="150">
        <f t="shared" ref="AG29:AN29" si="25">SUM(F29,O29,X29)/3</f>
        <v>0</v>
      </c>
      <c r="AH29" s="150">
        <f t="shared" si="25"/>
        <v>0</v>
      </c>
      <c r="AI29" s="150">
        <f t="shared" si="25"/>
        <v>0</v>
      </c>
      <c r="AJ29" s="150">
        <f t="shared" si="25"/>
        <v>0</v>
      </c>
      <c r="AK29" s="150">
        <f t="shared" si="25"/>
        <v>0</v>
      </c>
      <c r="AL29" s="150">
        <f t="shared" si="25"/>
        <v>0</v>
      </c>
      <c r="AM29" s="150">
        <f t="shared" si="25"/>
        <v>0</v>
      </c>
      <c r="AN29" s="150">
        <f t="shared" si="25"/>
        <v>0</v>
      </c>
    </row>
    <row r="30" spans="1:40" ht="12.75" customHeight="1">
      <c r="A30" s="148">
        <f>CO_PO_Attainment_Analysis!A45</f>
        <v>27</v>
      </c>
      <c r="B30" s="22">
        <f>CSE4098C_Summer2026_Grade!B31</f>
        <v>223014135</v>
      </c>
      <c r="C30" s="22" t="str">
        <f>CSE4098C_Summer2026_Grade!C31</f>
        <v>Rakibul Hasan</v>
      </c>
      <c r="D30" s="235"/>
      <c r="E30" s="275"/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  <c r="AG30" s="150">
        <f t="shared" ref="AG30:AN30" si="26">SUM(F30,O30,X30)/3</f>
        <v>0</v>
      </c>
      <c r="AH30" s="150">
        <f t="shared" si="26"/>
        <v>0</v>
      </c>
      <c r="AI30" s="150">
        <f t="shared" si="26"/>
        <v>0</v>
      </c>
      <c r="AJ30" s="150">
        <f t="shared" si="26"/>
        <v>0</v>
      </c>
      <c r="AK30" s="150">
        <f t="shared" si="26"/>
        <v>0</v>
      </c>
      <c r="AL30" s="150">
        <f t="shared" si="26"/>
        <v>0</v>
      </c>
      <c r="AM30" s="150">
        <f t="shared" si="26"/>
        <v>0</v>
      </c>
      <c r="AN30" s="150">
        <f t="shared" si="26"/>
        <v>0</v>
      </c>
    </row>
    <row r="31" spans="1:40" ht="12.75" customHeight="1" thickBot="1">
      <c r="A31" s="148">
        <f>CO_PO_Attainment_Analysis!A46</f>
        <v>28</v>
      </c>
      <c r="B31" s="22">
        <f>CSE4098C_Summer2026_Grade!B32</f>
        <v>223014122</v>
      </c>
      <c r="C31" s="22" t="str">
        <f>CSE4098C_Summer2026_Grade!C32</f>
        <v>Rabbi Sadnan Khan</v>
      </c>
      <c r="D31" s="235"/>
      <c r="E31" s="276"/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  <c r="AG31" s="150">
        <f t="shared" ref="AG31:AN32" si="27">SUM(F31,O31,X31)/3</f>
        <v>0</v>
      </c>
      <c r="AH31" s="150">
        <f t="shared" si="27"/>
        <v>0</v>
      </c>
      <c r="AI31" s="150">
        <f t="shared" si="27"/>
        <v>0</v>
      </c>
      <c r="AJ31" s="150">
        <f t="shared" si="27"/>
        <v>0</v>
      </c>
      <c r="AK31" s="150">
        <f t="shared" si="27"/>
        <v>0</v>
      </c>
      <c r="AL31" s="150">
        <f t="shared" si="27"/>
        <v>0</v>
      </c>
      <c r="AM31" s="150">
        <f t="shared" si="27"/>
        <v>0</v>
      </c>
      <c r="AN31" s="150">
        <f t="shared" si="27"/>
        <v>0</v>
      </c>
    </row>
    <row r="32" spans="1:40" ht="12.75" customHeight="1">
      <c r="A32" s="148">
        <f>CO_PO_Attainment_Analysis!A47</f>
        <v>29</v>
      </c>
      <c r="B32" s="22">
        <f>CSE4098C_Summer2026_Grade!B33</f>
        <v>212014030</v>
      </c>
      <c r="C32" s="22" t="str">
        <f>CSE4098C_Summer2026_Grade!C33</f>
        <v>Faria Islam Sara</v>
      </c>
      <c r="D32" s="273" t="s">
        <v>81</v>
      </c>
      <c r="E32" s="274" t="s">
        <v>197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  <c r="AG32" s="150">
        <f t="shared" si="27"/>
        <v>0</v>
      </c>
      <c r="AH32" s="150">
        <f t="shared" si="27"/>
        <v>0</v>
      </c>
      <c r="AI32" s="150">
        <f t="shared" si="27"/>
        <v>0</v>
      </c>
      <c r="AJ32" s="150">
        <f t="shared" si="27"/>
        <v>0</v>
      </c>
      <c r="AK32" s="150">
        <f t="shared" si="27"/>
        <v>0</v>
      </c>
      <c r="AL32" s="150">
        <f t="shared" si="27"/>
        <v>0</v>
      </c>
      <c r="AM32" s="150">
        <f t="shared" si="27"/>
        <v>0</v>
      </c>
      <c r="AN32" s="150">
        <f t="shared" si="27"/>
        <v>0</v>
      </c>
    </row>
    <row r="33" spans="1:40" ht="12.75" customHeight="1">
      <c r="A33" s="148">
        <f>CO_PO_Attainment_Analysis!A48</f>
        <v>30</v>
      </c>
      <c r="B33" s="22">
        <f>CSE4098C_Summer2026_Grade!B34</f>
        <v>222014072</v>
      </c>
      <c r="C33" s="22" t="str">
        <f>CSE4098C_Summer2026_Grade!C34</f>
        <v>Md. Rahat Pervez</v>
      </c>
      <c r="D33" s="235"/>
      <c r="E33" s="275"/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G33" s="150">
        <f t="shared" ref="AG33:AN33" si="28">SUM(F33,O33,X33)/3</f>
        <v>0</v>
      </c>
      <c r="AH33" s="150">
        <f t="shared" si="28"/>
        <v>0</v>
      </c>
      <c r="AI33" s="150">
        <f t="shared" si="28"/>
        <v>0</v>
      </c>
      <c r="AJ33" s="150">
        <f t="shared" si="28"/>
        <v>0</v>
      </c>
      <c r="AK33" s="150">
        <f t="shared" si="28"/>
        <v>0</v>
      </c>
      <c r="AL33" s="150">
        <f t="shared" si="28"/>
        <v>0</v>
      </c>
      <c r="AM33" s="150">
        <f t="shared" si="28"/>
        <v>0</v>
      </c>
      <c r="AN33" s="150">
        <f t="shared" si="28"/>
        <v>0</v>
      </c>
    </row>
    <row r="34" spans="1:40" ht="12.75" customHeight="1">
      <c r="A34" s="148">
        <f>CO_PO_Attainment_Analysis!A49</f>
        <v>31</v>
      </c>
      <c r="B34" s="22">
        <f>CSE4098C_Summer2026_Grade!B35</f>
        <v>222014097</v>
      </c>
      <c r="C34" s="22" t="str">
        <f>CSE4098C_Summer2026_Grade!C35</f>
        <v>Md. Abul Hashem</v>
      </c>
      <c r="D34" s="235"/>
      <c r="E34" s="275"/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G34" s="150">
        <f t="shared" ref="AG34:AN34" si="29">SUM(F34,O34,X34)/3</f>
        <v>0</v>
      </c>
      <c r="AH34" s="150">
        <f t="shared" si="29"/>
        <v>0</v>
      </c>
      <c r="AI34" s="150">
        <f t="shared" si="29"/>
        <v>0</v>
      </c>
      <c r="AJ34" s="150">
        <f t="shared" si="29"/>
        <v>0</v>
      </c>
      <c r="AK34" s="150">
        <f t="shared" si="29"/>
        <v>0</v>
      </c>
      <c r="AL34" s="150">
        <f t="shared" si="29"/>
        <v>0</v>
      </c>
      <c r="AM34" s="150">
        <f t="shared" si="29"/>
        <v>0</v>
      </c>
      <c r="AN34" s="150">
        <f t="shared" si="29"/>
        <v>0</v>
      </c>
    </row>
    <row r="35" spans="1:40" ht="12.75" customHeight="1">
      <c r="A35" s="148">
        <f>CO_PO_Attainment_Analysis!A50</f>
        <v>32</v>
      </c>
      <c r="B35" s="22">
        <f>CSE4098C_Summer2026_Grade!B36</f>
        <v>222014040</v>
      </c>
      <c r="C35" s="22" t="str">
        <f>CSE4098C_Summer2026_Grade!C36</f>
        <v>Md. Fiaz Anam Tasfi</v>
      </c>
      <c r="D35" s="235"/>
      <c r="E35" s="275"/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  <c r="AG35" s="150">
        <f t="shared" ref="AG35:AN35" si="30">SUM(F35,O35,X35)/3</f>
        <v>0</v>
      </c>
      <c r="AH35" s="150">
        <f t="shared" si="30"/>
        <v>0</v>
      </c>
      <c r="AI35" s="150">
        <f t="shared" si="30"/>
        <v>0</v>
      </c>
      <c r="AJ35" s="150">
        <f t="shared" si="30"/>
        <v>0</v>
      </c>
      <c r="AK35" s="150">
        <f t="shared" si="30"/>
        <v>0</v>
      </c>
      <c r="AL35" s="150">
        <f t="shared" si="30"/>
        <v>0</v>
      </c>
      <c r="AM35" s="150">
        <f t="shared" si="30"/>
        <v>0</v>
      </c>
      <c r="AN35" s="150">
        <f t="shared" si="30"/>
        <v>0</v>
      </c>
    </row>
    <row r="36" spans="1:40" ht="12.75" customHeight="1" thickBot="1">
      <c r="A36" s="148">
        <f>CO_PO_Attainment_Analysis!A51</f>
        <v>33</v>
      </c>
      <c r="B36" s="22">
        <f>CSE4098C_Summer2026_Grade!B37</f>
        <v>222014071</v>
      </c>
      <c r="C36" s="22" t="str">
        <f>CSE4098C_Summer2026_Grade!C37</f>
        <v>Kasfia Hossain</v>
      </c>
      <c r="D36" s="235"/>
      <c r="E36" s="276"/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  <c r="AG36" s="150">
        <f t="shared" ref="AG36:AN36" si="31">SUM(F36,O36,X36)/3</f>
        <v>0</v>
      </c>
      <c r="AH36" s="150">
        <f t="shared" si="31"/>
        <v>0</v>
      </c>
      <c r="AI36" s="150">
        <f t="shared" si="31"/>
        <v>0</v>
      </c>
      <c r="AJ36" s="150">
        <f t="shared" si="31"/>
        <v>0</v>
      </c>
      <c r="AK36" s="150">
        <f t="shared" si="31"/>
        <v>0</v>
      </c>
      <c r="AL36" s="150">
        <f t="shared" si="31"/>
        <v>0</v>
      </c>
      <c r="AM36" s="150">
        <f t="shared" si="31"/>
        <v>0</v>
      </c>
      <c r="AN36" s="150">
        <f t="shared" si="31"/>
        <v>0</v>
      </c>
    </row>
    <row r="37" spans="1:40" ht="12.75" customHeight="1">
      <c r="A37" s="148">
        <f>CO_PO_Attainment_Analysis!A52</f>
        <v>34</v>
      </c>
      <c r="B37" s="22">
        <f>CSE4098C_Summer2026_Grade!B38</f>
        <v>223014195</v>
      </c>
      <c r="C37" s="22" t="str">
        <f>CSE4098C_Summer2026_Grade!C38</f>
        <v>Md. Rashedul Islam</v>
      </c>
      <c r="D37" s="273" t="s">
        <v>82</v>
      </c>
      <c r="E37" s="274" t="s">
        <v>198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G37" s="150">
        <f t="shared" ref="AG37:AN37" si="32">SUM(F37,O37,X37)/3</f>
        <v>0</v>
      </c>
      <c r="AH37" s="150">
        <f t="shared" si="32"/>
        <v>0</v>
      </c>
      <c r="AI37" s="150">
        <f t="shared" si="32"/>
        <v>0</v>
      </c>
      <c r="AJ37" s="150">
        <f t="shared" si="32"/>
        <v>0</v>
      </c>
      <c r="AK37" s="150">
        <f t="shared" si="32"/>
        <v>0</v>
      </c>
      <c r="AL37" s="150">
        <f t="shared" si="32"/>
        <v>0</v>
      </c>
      <c r="AM37" s="150">
        <f t="shared" si="32"/>
        <v>0</v>
      </c>
      <c r="AN37" s="150">
        <f t="shared" si="32"/>
        <v>0</v>
      </c>
    </row>
    <row r="38" spans="1:40" ht="12.75" customHeight="1">
      <c r="A38" s="148">
        <f>CO_PO_Attainment_Analysis!A53</f>
        <v>35</v>
      </c>
      <c r="B38" s="22">
        <f>CSE4098C_Summer2026_Grade!B39</f>
        <v>223014143</v>
      </c>
      <c r="C38" s="22" t="str">
        <f>CSE4098C_Summer2026_Grade!C39</f>
        <v>Upoma Paul</v>
      </c>
      <c r="D38" s="235"/>
      <c r="E38" s="275"/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  <c r="AG38" s="150">
        <f t="shared" ref="AG38:AN38" si="33">SUM(F38,O38,X38)/3</f>
        <v>0</v>
      </c>
      <c r="AH38" s="150">
        <f t="shared" si="33"/>
        <v>0</v>
      </c>
      <c r="AI38" s="150">
        <f t="shared" si="33"/>
        <v>0</v>
      </c>
      <c r="AJ38" s="150">
        <f t="shared" si="33"/>
        <v>0</v>
      </c>
      <c r="AK38" s="150">
        <f t="shared" si="33"/>
        <v>0</v>
      </c>
      <c r="AL38" s="150">
        <f t="shared" si="33"/>
        <v>0</v>
      </c>
      <c r="AM38" s="150">
        <f t="shared" si="33"/>
        <v>0</v>
      </c>
      <c r="AN38" s="150">
        <f t="shared" si="33"/>
        <v>0</v>
      </c>
    </row>
    <row r="39" spans="1:40" ht="12.75" customHeight="1">
      <c r="A39" s="148">
        <f>CO_PO_Attainment_Analysis!A54</f>
        <v>36</v>
      </c>
      <c r="B39" s="22">
        <f>CSE4098C_Summer2026_Grade!B40</f>
        <v>231014167</v>
      </c>
      <c r="C39" s="22" t="str">
        <f>CSE4098C_Summer2026_Grade!C40</f>
        <v>Fariha Ahmed</v>
      </c>
      <c r="D39" s="235"/>
      <c r="E39" s="275"/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  <c r="AG39" s="150">
        <f t="shared" ref="AG39:AN39" si="34">SUM(F39,O39,X39)/3</f>
        <v>0</v>
      </c>
      <c r="AH39" s="150">
        <f t="shared" si="34"/>
        <v>0</v>
      </c>
      <c r="AI39" s="150">
        <f t="shared" si="34"/>
        <v>0</v>
      </c>
      <c r="AJ39" s="150">
        <f t="shared" si="34"/>
        <v>0</v>
      </c>
      <c r="AK39" s="150">
        <f t="shared" si="34"/>
        <v>0</v>
      </c>
      <c r="AL39" s="150">
        <f t="shared" si="34"/>
        <v>0</v>
      </c>
      <c r="AM39" s="150">
        <f t="shared" si="34"/>
        <v>0</v>
      </c>
      <c r="AN39" s="150">
        <f t="shared" si="34"/>
        <v>0</v>
      </c>
    </row>
    <row r="40" spans="1:40" ht="12.75" customHeight="1">
      <c r="A40" s="148">
        <f>CO_PO_Attainment_Analysis!A55</f>
        <v>37</v>
      </c>
      <c r="B40" s="22">
        <f>CSE4098C_Summer2026_Grade!B41</f>
        <v>231014073</v>
      </c>
      <c r="C40" s="22" t="str">
        <f>CSE4098C_Summer2026_Grade!C41</f>
        <v>Amifat Juhad Pranto</v>
      </c>
      <c r="D40" s="235"/>
      <c r="E40" s="275"/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  <c r="AG40" s="150">
        <f t="shared" ref="AG40:AN40" si="35">SUM(F40,O40,X40)/3</f>
        <v>0</v>
      </c>
      <c r="AH40" s="150">
        <f t="shared" si="35"/>
        <v>0</v>
      </c>
      <c r="AI40" s="150">
        <f t="shared" si="35"/>
        <v>0</v>
      </c>
      <c r="AJ40" s="150">
        <f t="shared" si="35"/>
        <v>0</v>
      </c>
      <c r="AK40" s="150">
        <f t="shared" si="35"/>
        <v>0</v>
      </c>
      <c r="AL40" s="150">
        <f t="shared" si="35"/>
        <v>0</v>
      </c>
      <c r="AM40" s="150">
        <f t="shared" si="35"/>
        <v>0</v>
      </c>
      <c r="AN40" s="150">
        <f t="shared" si="35"/>
        <v>0</v>
      </c>
    </row>
    <row r="41" spans="1:40" ht="12.75" customHeight="1" thickBot="1">
      <c r="A41" s="148">
        <f>CO_PO_Attainment_Analysis!A56</f>
        <v>38</v>
      </c>
      <c r="B41" s="22">
        <f>CSE4098C_Summer2026_Grade!B42</f>
        <v>232014058</v>
      </c>
      <c r="C41" s="22" t="str">
        <f>CSE4098C_Summer2026_Grade!C42</f>
        <v>Tasnia Kabir Mahia</v>
      </c>
      <c r="D41" s="235"/>
      <c r="E41" s="276"/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  <c r="AG41" s="150">
        <f t="shared" ref="AG41:AN41" si="36">SUM(F41,O41,X41)/3</f>
        <v>0</v>
      </c>
      <c r="AH41" s="150">
        <f t="shared" si="36"/>
        <v>0</v>
      </c>
      <c r="AI41" s="150">
        <f t="shared" si="36"/>
        <v>0</v>
      </c>
      <c r="AJ41" s="150">
        <f t="shared" si="36"/>
        <v>0</v>
      </c>
      <c r="AK41" s="150">
        <f t="shared" si="36"/>
        <v>0</v>
      </c>
      <c r="AL41" s="150">
        <f t="shared" si="36"/>
        <v>0</v>
      </c>
      <c r="AM41" s="150">
        <f t="shared" si="36"/>
        <v>0</v>
      </c>
      <c r="AN41" s="150">
        <f t="shared" si="36"/>
        <v>0</v>
      </c>
    </row>
    <row r="42" spans="1:40" ht="12.75" customHeight="1">
      <c r="A42" s="148">
        <f>CO_PO_Attainment_Analysis!A57</f>
        <v>39</v>
      </c>
      <c r="B42" s="22">
        <f>CSE4098C_Summer2026_Grade!B43</f>
        <v>223014183</v>
      </c>
      <c r="C42" s="22" t="str">
        <f>CSE4098C_Summer2026_Grade!C43</f>
        <v>Mahbuba Akter Chowdhury</v>
      </c>
      <c r="D42" s="273" t="s">
        <v>82</v>
      </c>
      <c r="E42" s="274" t="s">
        <v>199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G42" s="150">
        <f t="shared" ref="AG42:AN42" si="37">SUM(F42,O42,X42)/3</f>
        <v>0</v>
      </c>
      <c r="AH42" s="150">
        <f t="shared" si="37"/>
        <v>0</v>
      </c>
      <c r="AI42" s="150">
        <f t="shared" si="37"/>
        <v>0</v>
      </c>
      <c r="AJ42" s="150">
        <f t="shared" si="37"/>
        <v>0</v>
      </c>
      <c r="AK42" s="150">
        <f t="shared" si="37"/>
        <v>0</v>
      </c>
      <c r="AL42" s="150">
        <f t="shared" si="37"/>
        <v>0</v>
      </c>
      <c r="AM42" s="150">
        <f t="shared" si="37"/>
        <v>0</v>
      </c>
      <c r="AN42" s="150">
        <f t="shared" si="37"/>
        <v>0</v>
      </c>
    </row>
    <row r="43" spans="1:40" ht="12.75" customHeight="1">
      <c r="A43" s="148">
        <f>CO_PO_Attainment_Analysis!A58</f>
        <v>40</v>
      </c>
      <c r="B43" s="22">
        <f>CSE4098C_Summer2026_Grade!B44</f>
        <v>223014182</v>
      </c>
      <c r="C43" s="22" t="str">
        <f>CSE4098C_Summer2026_Grade!C44</f>
        <v>Divya Jyoti Bagchi</v>
      </c>
      <c r="D43" s="235"/>
      <c r="E43" s="275"/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  <c r="AG43" s="150">
        <f t="shared" ref="AG43:AN43" si="38">SUM(F43,O43,X43)/3</f>
        <v>0</v>
      </c>
      <c r="AH43" s="150">
        <f t="shared" si="38"/>
        <v>0</v>
      </c>
      <c r="AI43" s="150">
        <f t="shared" si="38"/>
        <v>0</v>
      </c>
      <c r="AJ43" s="150">
        <f t="shared" si="38"/>
        <v>0</v>
      </c>
      <c r="AK43" s="150">
        <f t="shared" si="38"/>
        <v>0</v>
      </c>
      <c r="AL43" s="150">
        <f t="shared" si="38"/>
        <v>0</v>
      </c>
      <c r="AM43" s="150">
        <f t="shared" si="38"/>
        <v>0</v>
      </c>
      <c r="AN43" s="150">
        <f t="shared" si="38"/>
        <v>0</v>
      </c>
    </row>
    <row r="44" spans="1:40" ht="12.75" customHeight="1">
      <c r="A44" s="148">
        <f>CO_PO_Attainment_Analysis!A59</f>
        <v>41</v>
      </c>
      <c r="B44" s="22">
        <f>CSE4098C_Summer2026_Grade!B45</f>
        <v>223014127</v>
      </c>
      <c r="C44" s="22" t="str">
        <f>CSE4098C_Summer2026_Grade!C45</f>
        <v>Naznine Sultana Nitu</v>
      </c>
      <c r="D44" s="235"/>
      <c r="E44" s="275"/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  <c r="AG44" s="150">
        <f t="shared" ref="AG44:AN44" si="39">SUM(F44,O44,X44)/3</f>
        <v>0</v>
      </c>
      <c r="AH44" s="150">
        <f t="shared" si="39"/>
        <v>0</v>
      </c>
      <c r="AI44" s="150">
        <f t="shared" si="39"/>
        <v>0</v>
      </c>
      <c r="AJ44" s="150">
        <f t="shared" si="39"/>
        <v>0</v>
      </c>
      <c r="AK44" s="150">
        <f t="shared" si="39"/>
        <v>0</v>
      </c>
      <c r="AL44" s="150">
        <f t="shared" si="39"/>
        <v>0</v>
      </c>
      <c r="AM44" s="150">
        <f t="shared" si="39"/>
        <v>0</v>
      </c>
      <c r="AN44" s="150">
        <f t="shared" si="39"/>
        <v>0</v>
      </c>
    </row>
    <row r="45" spans="1:40" ht="12.75" customHeight="1" thickBot="1">
      <c r="A45" s="148">
        <f>CO_PO_Attainment_Analysis!A60</f>
        <v>42</v>
      </c>
      <c r="B45" s="22">
        <f>CSE4098C_Summer2026_Grade!B46</f>
        <v>223014011</v>
      </c>
      <c r="C45" s="22" t="str">
        <f>CSE4098C_Summer2026_Grade!C46</f>
        <v>Fabiha Fayruj</v>
      </c>
      <c r="D45" s="235"/>
      <c r="E45" s="276"/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G45" s="150">
        <f t="shared" ref="AG45:AN45" si="40">SUM(F45,O45,X45)/3</f>
        <v>0</v>
      </c>
      <c r="AH45" s="150">
        <f t="shared" si="40"/>
        <v>0</v>
      </c>
      <c r="AI45" s="150">
        <f t="shared" si="40"/>
        <v>0</v>
      </c>
      <c r="AJ45" s="150">
        <f t="shared" si="40"/>
        <v>0</v>
      </c>
      <c r="AK45" s="150">
        <f t="shared" si="40"/>
        <v>0</v>
      </c>
      <c r="AL45" s="150">
        <f t="shared" si="40"/>
        <v>0</v>
      </c>
      <c r="AM45" s="150">
        <f t="shared" si="40"/>
        <v>0</v>
      </c>
      <c r="AN45" s="150">
        <f t="shared" si="40"/>
        <v>0</v>
      </c>
    </row>
    <row r="46" spans="1:40" ht="12.75" customHeight="1">
      <c r="A46" s="148">
        <f>CO_PO_Attainment_Analysis!A61</f>
        <v>43</v>
      </c>
      <c r="B46" s="22">
        <f>CSE4098C_Summer2026_Grade!B47</f>
        <v>231014007</v>
      </c>
      <c r="C46" s="22" t="str">
        <f>CSE4098C_Summer2026_Grade!C47</f>
        <v>Abdullah Al Baki</v>
      </c>
      <c r="D46" s="273" t="s">
        <v>83</v>
      </c>
      <c r="E46" s="274" t="s">
        <v>200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G46" s="150">
        <f t="shared" ref="AG46:AN46" si="41">SUM(F46,O46,X46)/3</f>
        <v>0</v>
      </c>
      <c r="AH46" s="150">
        <f t="shared" si="41"/>
        <v>0</v>
      </c>
      <c r="AI46" s="150">
        <f t="shared" si="41"/>
        <v>0</v>
      </c>
      <c r="AJ46" s="150">
        <f t="shared" si="41"/>
        <v>0</v>
      </c>
      <c r="AK46" s="150">
        <f t="shared" si="41"/>
        <v>0</v>
      </c>
      <c r="AL46" s="150">
        <f t="shared" si="41"/>
        <v>0</v>
      </c>
      <c r="AM46" s="150">
        <f t="shared" si="41"/>
        <v>0</v>
      </c>
      <c r="AN46" s="150">
        <f t="shared" si="41"/>
        <v>0</v>
      </c>
    </row>
    <row r="47" spans="1:40" ht="12.75" customHeight="1">
      <c r="A47" s="148">
        <f>CO_PO_Attainment_Analysis!A62</f>
        <v>44</v>
      </c>
      <c r="B47" s="22">
        <f>CSE4098C_Summer2026_Grade!B48</f>
        <v>212014015</v>
      </c>
      <c r="C47" s="22" t="str">
        <f>CSE4098C_Summer2026_Grade!C48</f>
        <v>Md. Arif Hossain Mir</v>
      </c>
      <c r="D47" s="235"/>
      <c r="E47" s="275"/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  <c r="AG47" s="150">
        <f t="shared" ref="AG47:AN47" si="42">SUM(F47,O47,X47)/3</f>
        <v>0</v>
      </c>
      <c r="AH47" s="150">
        <f t="shared" si="42"/>
        <v>0</v>
      </c>
      <c r="AI47" s="150">
        <f t="shared" si="42"/>
        <v>0</v>
      </c>
      <c r="AJ47" s="150">
        <f t="shared" si="42"/>
        <v>0</v>
      </c>
      <c r="AK47" s="150">
        <f t="shared" si="42"/>
        <v>0</v>
      </c>
      <c r="AL47" s="150">
        <f t="shared" si="42"/>
        <v>0</v>
      </c>
      <c r="AM47" s="150">
        <f t="shared" si="42"/>
        <v>0</v>
      </c>
      <c r="AN47" s="150">
        <f t="shared" si="42"/>
        <v>0</v>
      </c>
    </row>
    <row r="48" spans="1:40" ht="12.75" customHeight="1">
      <c r="A48" s="148">
        <f>CO_PO_Attainment_Analysis!A63</f>
        <v>45</v>
      </c>
      <c r="B48" s="22">
        <f>CSE4098C_Summer2026_Grade!B49</f>
        <v>223014050</v>
      </c>
      <c r="C48" s="22" t="str">
        <f>CSE4098C_Summer2026_Grade!C49</f>
        <v>Isnat Jahan Ome</v>
      </c>
      <c r="D48" s="235"/>
      <c r="E48" s="275"/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  <c r="AG48" s="150">
        <f t="shared" ref="AG48:AN48" si="43">SUM(F48,O48,X48)/3</f>
        <v>0</v>
      </c>
      <c r="AH48" s="150">
        <f t="shared" si="43"/>
        <v>0</v>
      </c>
      <c r="AI48" s="150">
        <f t="shared" si="43"/>
        <v>0</v>
      </c>
      <c r="AJ48" s="150">
        <f t="shared" si="43"/>
        <v>0</v>
      </c>
      <c r="AK48" s="150">
        <f t="shared" si="43"/>
        <v>0</v>
      </c>
      <c r="AL48" s="150">
        <f t="shared" si="43"/>
        <v>0</v>
      </c>
      <c r="AM48" s="150">
        <f t="shared" si="43"/>
        <v>0</v>
      </c>
      <c r="AN48" s="150">
        <f t="shared" si="43"/>
        <v>0</v>
      </c>
    </row>
    <row r="49" spans="1:40" ht="12.75" customHeight="1">
      <c r="A49" s="148">
        <f>CO_PO_Attainment_Analysis!A64</f>
        <v>46</v>
      </c>
      <c r="B49" s="22">
        <f>CSE4098C_Summer2026_Grade!B50</f>
        <v>231014075</v>
      </c>
      <c r="C49" s="22" t="str">
        <f>CSE4098C_Summer2026_Grade!C50</f>
        <v>Hasib Mahmud</v>
      </c>
      <c r="D49" s="235"/>
      <c r="E49" s="275"/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  <c r="AG49" s="150">
        <f t="shared" ref="AG49:AN49" si="44">SUM(F49,O49,X49)/3</f>
        <v>0</v>
      </c>
      <c r="AH49" s="150">
        <f t="shared" si="44"/>
        <v>0</v>
      </c>
      <c r="AI49" s="150">
        <f t="shared" si="44"/>
        <v>0</v>
      </c>
      <c r="AJ49" s="150">
        <f t="shared" si="44"/>
        <v>0</v>
      </c>
      <c r="AK49" s="150">
        <f t="shared" si="44"/>
        <v>0</v>
      </c>
      <c r="AL49" s="150">
        <f t="shared" si="44"/>
        <v>0</v>
      </c>
      <c r="AM49" s="150">
        <f t="shared" si="44"/>
        <v>0</v>
      </c>
      <c r="AN49" s="150">
        <f t="shared" si="44"/>
        <v>0</v>
      </c>
    </row>
    <row r="50" spans="1:40" ht="12.75" customHeight="1" thickBot="1">
      <c r="A50" s="148">
        <f>CO_PO_Attainment_Analysis!A65</f>
        <v>47</v>
      </c>
      <c r="B50" s="22">
        <f>CSE4098C_Summer2026_Grade!B51</f>
        <v>222014052</v>
      </c>
      <c r="C50" s="22" t="str">
        <f>CSE4098C_Summer2026_Grade!C51</f>
        <v>Redwan Ahamad Samir</v>
      </c>
      <c r="D50" s="235"/>
      <c r="E50" s="276"/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  <c r="AG50" s="150">
        <f t="shared" ref="AG50:AN50" si="45">SUM(F50,O50,X50)/3</f>
        <v>0</v>
      </c>
      <c r="AH50" s="150">
        <f t="shared" si="45"/>
        <v>0</v>
      </c>
      <c r="AI50" s="150">
        <f t="shared" si="45"/>
        <v>0</v>
      </c>
      <c r="AJ50" s="150">
        <f t="shared" si="45"/>
        <v>0</v>
      </c>
      <c r="AK50" s="150">
        <f t="shared" si="45"/>
        <v>0</v>
      </c>
      <c r="AL50" s="150">
        <f t="shared" si="45"/>
        <v>0</v>
      </c>
      <c r="AM50" s="150">
        <f t="shared" si="45"/>
        <v>0</v>
      </c>
      <c r="AN50" s="150">
        <f t="shared" si="45"/>
        <v>0</v>
      </c>
    </row>
    <row r="51" spans="1:40" ht="12.75" customHeight="1">
      <c r="A51" s="148">
        <f>CO_PO_Attainment_Analysis!A66</f>
        <v>48</v>
      </c>
      <c r="B51" s="22">
        <f>CSE4098C_Summer2026_Grade!B52</f>
        <v>222014009</v>
      </c>
      <c r="C51" s="22" t="str">
        <f>CSE4098C_Summer2026_Grade!C52</f>
        <v>Samia Rahman</v>
      </c>
      <c r="D51" s="273" t="s">
        <v>84</v>
      </c>
      <c r="E51" s="274" t="s">
        <v>201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  <c r="AG51" s="150">
        <f t="shared" ref="AG51:AN51" si="46">SUM(F51,O51,X51)/3</f>
        <v>0</v>
      </c>
      <c r="AH51" s="150">
        <f t="shared" si="46"/>
        <v>0</v>
      </c>
      <c r="AI51" s="150">
        <f t="shared" si="46"/>
        <v>0</v>
      </c>
      <c r="AJ51" s="150">
        <f t="shared" si="46"/>
        <v>0</v>
      </c>
      <c r="AK51" s="150">
        <f t="shared" si="46"/>
        <v>0</v>
      </c>
      <c r="AL51" s="150">
        <f t="shared" si="46"/>
        <v>0</v>
      </c>
      <c r="AM51" s="150">
        <f t="shared" si="46"/>
        <v>0</v>
      </c>
      <c r="AN51" s="150">
        <f t="shared" si="46"/>
        <v>0</v>
      </c>
    </row>
    <row r="52" spans="1:40" ht="12.75" customHeight="1">
      <c r="A52" s="148">
        <f>CO_PO_Attainment_Analysis!A67</f>
        <v>49</v>
      </c>
      <c r="B52" s="22">
        <f>CSE4098C_Summer2026_Grade!B53</f>
        <v>222014088</v>
      </c>
      <c r="C52" s="22" t="str">
        <f>CSE4098C_Summer2026_Grade!C53</f>
        <v>Md. Omur Faruk</v>
      </c>
      <c r="D52" s="235"/>
      <c r="E52" s="275"/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  <c r="AG52" s="150">
        <f t="shared" ref="AG52:AN52" si="47">SUM(F52,O52,X52)/3</f>
        <v>0</v>
      </c>
      <c r="AH52" s="150">
        <f t="shared" si="47"/>
        <v>0</v>
      </c>
      <c r="AI52" s="150">
        <f t="shared" si="47"/>
        <v>0</v>
      </c>
      <c r="AJ52" s="150">
        <f t="shared" si="47"/>
        <v>0</v>
      </c>
      <c r="AK52" s="150">
        <f t="shared" si="47"/>
        <v>0</v>
      </c>
      <c r="AL52" s="150">
        <f t="shared" si="47"/>
        <v>0</v>
      </c>
      <c r="AM52" s="150">
        <f t="shared" si="47"/>
        <v>0</v>
      </c>
      <c r="AN52" s="150">
        <f t="shared" si="47"/>
        <v>0</v>
      </c>
    </row>
    <row r="53" spans="1:40" ht="12.75" customHeight="1">
      <c r="A53" s="148">
        <f>CO_PO_Attainment_Analysis!A68</f>
        <v>50</v>
      </c>
      <c r="B53" s="22">
        <f>CSE4098C_Summer2026_Grade!B54</f>
        <v>231014021</v>
      </c>
      <c r="C53" s="22" t="str">
        <f>CSE4098C_Summer2026_Grade!C54</f>
        <v>Raiyan Islam</v>
      </c>
      <c r="D53" s="235"/>
      <c r="E53" s="275"/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  <c r="AG53" s="150">
        <f t="shared" ref="AG53:AN53" si="48">SUM(F53,O53,X53)/3</f>
        <v>0</v>
      </c>
      <c r="AH53" s="150">
        <f t="shared" si="48"/>
        <v>0</v>
      </c>
      <c r="AI53" s="150">
        <f t="shared" si="48"/>
        <v>0</v>
      </c>
      <c r="AJ53" s="150">
        <f t="shared" si="48"/>
        <v>0</v>
      </c>
      <c r="AK53" s="150">
        <f t="shared" si="48"/>
        <v>0</v>
      </c>
      <c r="AL53" s="150">
        <f t="shared" si="48"/>
        <v>0</v>
      </c>
      <c r="AM53" s="150">
        <f t="shared" si="48"/>
        <v>0</v>
      </c>
      <c r="AN53" s="150">
        <f t="shared" si="48"/>
        <v>0</v>
      </c>
    </row>
    <row r="54" spans="1:40" ht="12.75" customHeight="1" thickBot="1">
      <c r="A54" s="148">
        <f>CO_PO_Attainment_Analysis!A69</f>
        <v>51</v>
      </c>
      <c r="B54" s="22">
        <f>CSE4098C_Summer2026_Grade!B55</f>
        <v>223014086</v>
      </c>
      <c r="C54" s="22" t="str">
        <f>CSE4098C_Summer2026_Grade!C55</f>
        <v>Talat Mahmud Lam</v>
      </c>
      <c r="D54" s="235"/>
      <c r="E54" s="276"/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  <c r="AG54" s="150">
        <f t="shared" ref="AG54:AN54" si="49">SUM(F54,O54,X54)/3</f>
        <v>0</v>
      </c>
      <c r="AH54" s="150">
        <f t="shared" si="49"/>
        <v>0</v>
      </c>
      <c r="AI54" s="150">
        <f t="shared" si="49"/>
        <v>0</v>
      </c>
      <c r="AJ54" s="150">
        <f t="shared" si="49"/>
        <v>0</v>
      </c>
      <c r="AK54" s="150">
        <f t="shared" si="49"/>
        <v>0</v>
      </c>
      <c r="AL54" s="150">
        <f t="shared" si="49"/>
        <v>0</v>
      </c>
      <c r="AM54" s="150">
        <f t="shared" si="49"/>
        <v>0</v>
      </c>
      <c r="AN54" s="150">
        <f t="shared" si="49"/>
        <v>0</v>
      </c>
    </row>
    <row r="55" spans="1:40" ht="12.75" customHeight="1">
      <c r="A55" s="148">
        <f>CO_PO_Attainment_Analysis!A70</f>
        <v>52</v>
      </c>
      <c r="B55" s="22">
        <f>CSE4098C_Summer2026_Grade!B56</f>
        <v>223014033</v>
      </c>
      <c r="C55" s="22" t="str">
        <f>CSE4098C_Summer2026_Grade!C56</f>
        <v>Sadia Nuzat Prova</v>
      </c>
      <c r="D55" s="273" t="s">
        <v>85</v>
      </c>
      <c r="E55" s="274" t="s">
        <v>197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  <c r="AG55" s="150">
        <f t="shared" ref="AG55:AN55" si="50">SUM(F55,O55,X55)/3</f>
        <v>0</v>
      </c>
      <c r="AH55" s="150">
        <f t="shared" si="50"/>
        <v>0</v>
      </c>
      <c r="AI55" s="150">
        <f t="shared" si="50"/>
        <v>0</v>
      </c>
      <c r="AJ55" s="150">
        <f t="shared" si="50"/>
        <v>0</v>
      </c>
      <c r="AK55" s="150">
        <f t="shared" si="50"/>
        <v>0</v>
      </c>
      <c r="AL55" s="150">
        <f t="shared" si="50"/>
        <v>0</v>
      </c>
      <c r="AM55" s="150">
        <f t="shared" si="50"/>
        <v>0</v>
      </c>
      <c r="AN55" s="150">
        <f t="shared" si="50"/>
        <v>0</v>
      </c>
    </row>
    <row r="56" spans="1:40" ht="12.75" customHeight="1">
      <c r="A56" s="148">
        <f>CO_PO_Attainment_Analysis!A71</f>
        <v>53</v>
      </c>
      <c r="B56" s="22">
        <f>CSE4098C_Summer2026_Grade!B57</f>
        <v>223014042</v>
      </c>
      <c r="C56" s="22" t="str">
        <f>CSE4098C_Summer2026_Grade!C57</f>
        <v>Shahin Alam</v>
      </c>
      <c r="D56" s="235"/>
      <c r="E56" s="275"/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  <c r="AG56" s="150">
        <f t="shared" ref="AG56:AN56" si="51">SUM(F56,O56,X56)/3</f>
        <v>0</v>
      </c>
      <c r="AH56" s="150">
        <f t="shared" si="51"/>
        <v>0</v>
      </c>
      <c r="AI56" s="150">
        <f t="shared" si="51"/>
        <v>0</v>
      </c>
      <c r="AJ56" s="150">
        <f t="shared" si="51"/>
        <v>0</v>
      </c>
      <c r="AK56" s="150">
        <f t="shared" si="51"/>
        <v>0</v>
      </c>
      <c r="AL56" s="150">
        <f t="shared" si="51"/>
        <v>0</v>
      </c>
      <c r="AM56" s="150">
        <f t="shared" si="51"/>
        <v>0</v>
      </c>
      <c r="AN56" s="150">
        <f t="shared" si="51"/>
        <v>0</v>
      </c>
    </row>
    <row r="57" spans="1:40" ht="12.75" customHeight="1">
      <c r="A57" s="148">
        <f>CO_PO_Attainment_Analysis!A72</f>
        <v>54</v>
      </c>
      <c r="B57" s="22">
        <f>CSE4098C_Summer2026_Grade!B58</f>
        <v>223014040</v>
      </c>
      <c r="C57" s="22" t="str">
        <f>CSE4098C_Summer2026_Grade!C58</f>
        <v>Umme Asma Busra</v>
      </c>
      <c r="D57" s="235"/>
      <c r="E57" s="275"/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  <c r="AG57" s="150">
        <f t="shared" ref="AG57:AN57" si="52">SUM(F57,O57,X57)/3</f>
        <v>0</v>
      </c>
      <c r="AH57" s="150">
        <f t="shared" si="52"/>
        <v>0</v>
      </c>
      <c r="AI57" s="150">
        <f t="shared" si="52"/>
        <v>0</v>
      </c>
      <c r="AJ57" s="150">
        <f t="shared" si="52"/>
        <v>0</v>
      </c>
      <c r="AK57" s="150">
        <f t="shared" si="52"/>
        <v>0</v>
      </c>
      <c r="AL57" s="150">
        <f t="shared" si="52"/>
        <v>0</v>
      </c>
      <c r="AM57" s="150">
        <f t="shared" si="52"/>
        <v>0</v>
      </c>
      <c r="AN57" s="150">
        <f t="shared" si="52"/>
        <v>0</v>
      </c>
    </row>
    <row r="58" spans="1:40" ht="12.75" customHeight="1">
      <c r="A58" s="148">
        <f>CO_PO_Attainment_Analysis!A73</f>
        <v>55</v>
      </c>
      <c r="B58" s="22">
        <f>CSE4098C_Summer2026_Grade!B59</f>
        <v>223014054</v>
      </c>
      <c r="C58" s="22" t="str">
        <f>CSE4098C_Summer2026_Grade!C59</f>
        <v>Golam Munem Zarif</v>
      </c>
      <c r="D58" s="235"/>
      <c r="E58" s="275"/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  <c r="AG58" s="150">
        <f t="shared" ref="AG58:AN58" si="53">SUM(F58,O58,X58)/3</f>
        <v>0</v>
      </c>
      <c r="AH58" s="150">
        <f t="shared" si="53"/>
        <v>0</v>
      </c>
      <c r="AI58" s="150">
        <f t="shared" si="53"/>
        <v>0</v>
      </c>
      <c r="AJ58" s="150">
        <f t="shared" si="53"/>
        <v>0</v>
      </c>
      <c r="AK58" s="150">
        <f t="shared" si="53"/>
        <v>0</v>
      </c>
      <c r="AL58" s="150">
        <f t="shared" si="53"/>
        <v>0</v>
      </c>
      <c r="AM58" s="150">
        <f t="shared" si="53"/>
        <v>0</v>
      </c>
      <c r="AN58" s="150">
        <f t="shared" si="53"/>
        <v>0</v>
      </c>
    </row>
    <row r="59" spans="1:40" ht="12.75" customHeight="1" thickBot="1">
      <c r="A59" s="148">
        <f>CO_PO_Attainment_Analysis!A74</f>
        <v>56</v>
      </c>
      <c r="B59" s="22">
        <f>CSE4098C_Summer2026_Grade!B60</f>
        <v>231014049</v>
      </c>
      <c r="C59" s="22" t="str">
        <f>CSE4098C_Summer2026_Grade!C60</f>
        <v>Kazi Noor E Saba</v>
      </c>
      <c r="D59" s="235"/>
      <c r="E59" s="276"/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  <c r="AG59" s="150">
        <f t="shared" ref="AG59:AN59" si="54">SUM(F59,O59,X59)/3</f>
        <v>0</v>
      </c>
      <c r="AH59" s="150">
        <f t="shared" si="54"/>
        <v>0</v>
      </c>
      <c r="AI59" s="150">
        <f t="shared" si="54"/>
        <v>0</v>
      </c>
      <c r="AJ59" s="150">
        <f t="shared" si="54"/>
        <v>0</v>
      </c>
      <c r="AK59" s="150">
        <f t="shared" si="54"/>
        <v>0</v>
      </c>
      <c r="AL59" s="150">
        <f t="shared" si="54"/>
        <v>0</v>
      </c>
      <c r="AM59" s="150">
        <f t="shared" si="54"/>
        <v>0</v>
      </c>
      <c r="AN59" s="150">
        <f t="shared" si="54"/>
        <v>0</v>
      </c>
    </row>
    <row r="60" spans="1:40" ht="12.75" customHeight="1">
      <c r="A60" s="148">
        <f>CO_PO_Attainment_Analysis!A75</f>
        <v>57</v>
      </c>
      <c r="B60" s="22">
        <f>CSE4098C_Summer2026_Grade!B61</f>
        <v>231014016</v>
      </c>
      <c r="C60" s="22" t="str">
        <f>CSE4098C_Summer2026_Grade!C61</f>
        <v>Md. Akib Al Mahmud Dihan</v>
      </c>
      <c r="D60" s="273" t="s">
        <v>85</v>
      </c>
      <c r="E60" s="274" t="s">
        <v>198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G60" s="150">
        <f t="shared" ref="AG60:AN60" si="55">SUM(F60,O60,X60)/3</f>
        <v>0</v>
      </c>
      <c r="AH60" s="150">
        <f t="shared" si="55"/>
        <v>0</v>
      </c>
      <c r="AI60" s="150">
        <f t="shared" si="55"/>
        <v>0</v>
      </c>
      <c r="AJ60" s="150">
        <f t="shared" si="55"/>
        <v>0</v>
      </c>
      <c r="AK60" s="150">
        <f t="shared" si="55"/>
        <v>0</v>
      </c>
      <c r="AL60" s="150">
        <f t="shared" si="55"/>
        <v>0</v>
      </c>
      <c r="AM60" s="150">
        <f t="shared" si="55"/>
        <v>0</v>
      </c>
      <c r="AN60" s="150">
        <f t="shared" si="55"/>
        <v>0</v>
      </c>
    </row>
    <row r="61" spans="1:40" ht="12.75" customHeight="1">
      <c r="A61" s="148">
        <f>CO_PO_Attainment_Analysis!A76</f>
        <v>58</v>
      </c>
      <c r="B61" s="22">
        <f>CSE4098C_Summer2026_Grade!B62</f>
        <v>231014125</v>
      </c>
      <c r="C61" s="22" t="str">
        <f>CSE4098C_Summer2026_Grade!C62</f>
        <v>Jumana Muntaha</v>
      </c>
      <c r="D61" s="235"/>
      <c r="E61" s="275"/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  <c r="AG61" s="150">
        <f t="shared" ref="AG61:AN61" si="56">SUM(F61,O61,X61)/3</f>
        <v>0</v>
      </c>
      <c r="AH61" s="150">
        <f t="shared" si="56"/>
        <v>0</v>
      </c>
      <c r="AI61" s="150">
        <f t="shared" si="56"/>
        <v>0</v>
      </c>
      <c r="AJ61" s="150">
        <f t="shared" si="56"/>
        <v>0</v>
      </c>
      <c r="AK61" s="150">
        <f t="shared" si="56"/>
        <v>0</v>
      </c>
      <c r="AL61" s="150">
        <f t="shared" si="56"/>
        <v>0</v>
      </c>
      <c r="AM61" s="150">
        <f t="shared" si="56"/>
        <v>0</v>
      </c>
      <c r="AN61" s="150">
        <f t="shared" si="56"/>
        <v>0</v>
      </c>
    </row>
    <row r="62" spans="1:40" ht="12.75" customHeight="1">
      <c r="A62" s="148">
        <f>CO_PO_Attainment_Analysis!A77</f>
        <v>59</v>
      </c>
      <c r="B62" s="22">
        <f>CSE4098C_Summer2026_Grade!B63</f>
        <v>231014142</v>
      </c>
      <c r="C62" s="22" t="str">
        <f>CSE4098C_Summer2026_Grade!C63</f>
        <v>Abida Binte Asif</v>
      </c>
      <c r="D62" s="235"/>
      <c r="E62" s="275"/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  <c r="AG62" s="150">
        <f t="shared" ref="AG62:AN62" si="57">SUM(F62,O62,X62)/3</f>
        <v>0</v>
      </c>
      <c r="AH62" s="150">
        <f t="shared" si="57"/>
        <v>0</v>
      </c>
      <c r="AI62" s="150">
        <f t="shared" si="57"/>
        <v>0</v>
      </c>
      <c r="AJ62" s="150">
        <f t="shared" si="57"/>
        <v>0</v>
      </c>
      <c r="AK62" s="150">
        <f t="shared" si="57"/>
        <v>0</v>
      </c>
      <c r="AL62" s="150">
        <f t="shared" si="57"/>
        <v>0</v>
      </c>
      <c r="AM62" s="150">
        <f t="shared" si="57"/>
        <v>0</v>
      </c>
      <c r="AN62" s="150">
        <f t="shared" si="57"/>
        <v>0</v>
      </c>
    </row>
    <row r="63" spans="1:40" ht="12.75" customHeight="1">
      <c r="A63" s="148">
        <f>CO_PO_Attainment_Analysis!A78</f>
        <v>60</v>
      </c>
      <c r="B63" s="22">
        <f>CSE4098C_Summer2026_Grade!B64</f>
        <v>223014146</v>
      </c>
      <c r="C63" s="22" t="str">
        <f>CSE4098C_Summer2026_Grade!C64</f>
        <v>Sami Hossain</v>
      </c>
      <c r="D63" s="235"/>
      <c r="E63" s="275"/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G63" s="150">
        <f t="shared" ref="AG63:AN63" si="58">SUM(F63,O63,X63)/3</f>
        <v>0</v>
      </c>
      <c r="AH63" s="150">
        <f t="shared" si="58"/>
        <v>0</v>
      </c>
      <c r="AI63" s="150">
        <f t="shared" si="58"/>
        <v>0</v>
      </c>
      <c r="AJ63" s="150">
        <f t="shared" si="58"/>
        <v>0</v>
      </c>
      <c r="AK63" s="150">
        <f t="shared" si="58"/>
        <v>0</v>
      </c>
      <c r="AL63" s="150">
        <f t="shared" si="58"/>
        <v>0</v>
      </c>
      <c r="AM63" s="150">
        <f t="shared" si="58"/>
        <v>0</v>
      </c>
      <c r="AN63" s="150">
        <f t="shared" si="58"/>
        <v>0</v>
      </c>
    </row>
    <row r="64" spans="1:40" ht="12.75" customHeight="1" thickBot="1">
      <c r="A64" s="148">
        <f>CO_PO_Attainment_Analysis!A79</f>
        <v>61</v>
      </c>
      <c r="B64" s="22">
        <f>CSE4098C_Summer2026_Grade!B65</f>
        <v>231014024</v>
      </c>
      <c r="C64" s="22" t="str">
        <f>CSE4098C_Summer2026_Grade!C65</f>
        <v>Md. Shohanoor Rahman</v>
      </c>
      <c r="D64" s="235"/>
      <c r="E64" s="276"/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G64" s="150">
        <f t="shared" ref="AG64:AN64" si="59">SUM(F64,O64,X64)/3</f>
        <v>0</v>
      </c>
      <c r="AH64" s="150">
        <f t="shared" si="59"/>
        <v>0</v>
      </c>
      <c r="AI64" s="150">
        <f t="shared" si="59"/>
        <v>0</v>
      </c>
      <c r="AJ64" s="150">
        <f t="shared" si="59"/>
        <v>0</v>
      </c>
      <c r="AK64" s="150">
        <f t="shared" si="59"/>
        <v>0</v>
      </c>
      <c r="AL64" s="150">
        <f t="shared" si="59"/>
        <v>0</v>
      </c>
      <c r="AM64" s="150">
        <f t="shared" si="59"/>
        <v>0</v>
      </c>
      <c r="AN64" s="150">
        <f t="shared" si="59"/>
        <v>0</v>
      </c>
    </row>
    <row r="65" spans="1:40" ht="12.75" customHeight="1">
      <c r="A65" s="148">
        <f>CO_PO_Attainment_Analysis!A80</f>
        <v>62</v>
      </c>
      <c r="B65" s="22">
        <f>CSE4098C_Summer2026_Grade!B66</f>
        <v>231014064</v>
      </c>
      <c r="C65" s="22" t="str">
        <f>CSE4098C_Summer2026_Grade!C66</f>
        <v>Pranto Sikder</v>
      </c>
      <c r="D65" s="273" t="s">
        <v>86</v>
      </c>
      <c r="E65" s="274" t="s">
        <v>202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G65" s="150">
        <f t="shared" ref="AG65:AN65" si="60">SUM(F65,O65,X65)/3</f>
        <v>0</v>
      </c>
      <c r="AH65" s="150">
        <f t="shared" si="60"/>
        <v>0</v>
      </c>
      <c r="AI65" s="150">
        <f t="shared" si="60"/>
        <v>0</v>
      </c>
      <c r="AJ65" s="150">
        <f t="shared" si="60"/>
        <v>0</v>
      </c>
      <c r="AK65" s="150">
        <f t="shared" si="60"/>
        <v>0</v>
      </c>
      <c r="AL65" s="150">
        <f t="shared" si="60"/>
        <v>0</v>
      </c>
      <c r="AM65" s="150">
        <f t="shared" si="60"/>
        <v>0</v>
      </c>
      <c r="AN65" s="150">
        <f t="shared" si="60"/>
        <v>0</v>
      </c>
    </row>
    <row r="66" spans="1:40" ht="12.75" customHeight="1">
      <c r="A66" s="148">
        <f>CO_PO_Attainment_Analysis!A81</f>
        <v>63</v>
      </c>
      <c r="B66" s="22">
        <f>CSE4098C_Summer2026_Grade!B67</f>
        <v>231014050</v>
      </c>
      <c r="C66" s="22" t="str">
        <f>CSE4098C_Summer2026_Grade!C67</f>
        <v>Mahmudul Hasan Zeshan</v>
      </c>
      <c r="D66" s="235"/>
      <c r="E66" s="275"/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G66" s="150">
        <f t="shared" ref="AG66:AN66" si="61">SUM(F66,O66,X66)/3</f>
        <v>0</v>
      </c>
      <c r="AH66" s="150">
        <f t="shared" si="61"/>
        <v>0</v>
      </c>
      <c r="AI66" s="150">
        <f t="shared" si="61"/>
        <v>0</v>
      </c>
      <c r="AJ66" s="150">
        <f t="shared" si="61"/>
        <v>0</v>
      </c>
      <c r="AK66" s="150">
        <f t="shared" si="61"/>
        <v>0</v>
      </c>
      <c r="AL66" s="150">
        <f t="shared" si="61"/>
        <v>0</v>
      </c>
      <c r="AM66" s="150">
        <f t="shared" si="61"/>
        <v>0</v>
      </c>
      <c r="AN66" s="150">
        <f t="shared" si="61"/>
        <v>0</v>
      </c>
    </row>
    <row r="67" spans="1:40" ht="12.75" customHeight="1">
      <c r="A67" s="148">
        <f>CO_PO_Attainment_Analysis!A82</f>
        <v>64</v>
      </c>
      <c r="B67" s="22">
        <f>CSE4098C_Summer2026_Grade!B68</f>
        <v>231014160</v>
      </c>
      <c r="C67" s="22" t="str">
        <f>CSE4098C_Summer2026_Grade!C68</f>
        <v>Aysha Siddika Methila</v>
      </c>
      <c r="D67" s="235"/>
      <c r="E67" s="275"/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  <c r="AG67" s="150">
        <f t="shared" ref="AG67:AN67" si="62">SUM(F67,O67,X67)/3</f>
        <v>0</v>
      </c>
      <c r="AH67" s="150">
        <f t="shared" si="62"/>
        <v>0</v>
      </c>
      <c r="AI67" s="150">
        <f t="shared" si="62"/>
        <v>0</v>
      </c>
      <c r="AJ67" s="150">
        <f t="shared" si="62"/>
        <v>0</v>
      </c>
      <c r="AK67" s="150">
        <f t="shared" si="62"/>
        <v>0</v>
      </c>
      <c r="AL67" s="150">
        <f t="shared" si="62"/>
        <v>0</v>
      </c>
      <c r="AM67" s="150">
        <f t="shared" si="62"/>
        <v>0</v>
      </c>
      <c r="AN67" s="150">
        <f t="shared" si="62"/>
        <v>0</v>
      </c>
    </row>
    <row r="68" spans="1:40" ht="12.75" customHeight="1">
      <c r="A68" s="148">
        <f>CO_PO_Attainment_Analysis!A83</f>
        <v>65</v>
      </c>
      <c r="B68" s="22">
        <f>CSE4098C_Summer2026_Grade!B69</f>
        <v>231014116</v>
      </c>
      <c r="C68" s="22" t="str">
        <f>CSE4098C_Summer2026_Grade!C69</f>
        <v>Sukanta Majumder</v>
      </c>
      <c r="D68" s="235"/>
      <c r="E68" s="275"/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G68" s="150">
        <f t="shared" ref="AG68:AN68" si="63">SUM(F68,O68,X68)/3</f>
        <v>0</v>
      </c>
      <c r="AH68" s="150">
        <f t="shared" si="63"/>
        <v>0</v>
      </c>
      <c r="AI68" s="150">
        <f t="shared" si="63"/>
        <v>0</v>
      </c>
      <c r="AJ68" s="150">
        <f t="shared" si="63"/>
        <v>0</v>
      </c>
      <c r="AK68" s="150">
        <f t="shared" si="63"/>
        <v>0</v>
      </c>
      <c r="AL68" s="150">
        <f t="shared" si="63"/>
        <v>0</v>
      </c>
      <c r="AM68" s="150">
        <f t="shared" si="63"/>
        <v>0</v>
      </c>
      <c r="AN68" s="150">
        <f t="shared" si="63"/>
        <v>0</v>
      </c>
    </row>
    <row r="69" spans="1:40" ht="12.75" customHeight="1">
      <c r="A69" s="22"/>
      <c r="B69" s="22"/>
      <c r="C69" s="22"/>
      <c r="D69" s="136"/>
      <c r="E69" s="22"/>
      <c r="F69" s="78"/>
    </row>
    <row r="70" spans="1:40" ht="12.75" customHeight="1">
      <c r="A70" s="22"/>
      <c r="B70" s="22"/>
      <c r="C70" s="22"/>
      <c r="D70" s="136"/>
      <c r="E70" s="151"/>
      <c r="F70" s="78"/>
    </row>
    <row r="71" spans="1:40" ht="12.75" customHeight="1">
      <c r="A71" s="22"/>
      <c r="B71" s="22"/>
      <c r="C71" s="22"/>
      <c r="D71" s="136"/>
      <c r="E71" s="151"/>
      <c r="F71" s="78"/>
    </row>
    <row r="72" spans="1:40" ht="12.75" customHeight="1">
      <c r="A72" s="22"/>
      <c r="B72" s="22"/>
      <c r="C72" s="22"/>
      <c r="D72" s="136"/>
      <c r="E72" s="151"/>
      <c r="F72" s="78"/>
    </row>
    <row r="73" spans="1:40" ht="12.75" customHeight="1">
      <c r="A73" s="22"/>
      <c r="B73" s="22"/>
      <c r="C73" s="22"/>
      <c r="D73" s="136"/>
      <c r="E73" s="151"/>
    </row>
    <row r="74" spans="1:40" ht="12.75" customHeight="1">
      <c r="A74" s="22"/>
      <c r="B74" s="22" t="s">
        <v>88</v>
      </c>
      <c r="C74" s="152" t="s">
        <v>89</v>
      </c>
      <c r="D74" s="136"/>
      <c r="E74" s="151"/>
    </row>
    <row r="75" spans="1:40" ht="12.75" customHeight="1">
      <c r="A75" s="22"/>
      <c r="B75" s="22"/>
      <c r="C75" s="22"/>
      <c r="D75" s="136"/>
      <c r="E75" s="151"/>
    </row>
    <row r="76" spans="1:40" ht="12.75" customHeight="1">
      <c r="A76" s="22"/>
      <c r="B76" s="22"/>
      <c r="C76" s="22"/>
      <c r="D76" s="136"/>
      <c r="E76" s="151"/>
    </row>
    <row r="77" spans="1:40" ht="12.75" customHeight="1">
      <c r="A77" s="22"/>
      <c r="B77" s="22"/>
      <c r="C77" s="22"/>
      <c r="D77" s="136"/>
      <c r="E77" s="151"/>
    </row>
    <row r="78" spans="1:40" ht="12.75" customHeight="1">
      <c r="A78" s="22"/>
      <c r="B78" s="22"/>
      <c r="C78" s="22"/>
      <c r="D78" s="136"/>
      <c r="E78" s="151"/>
    </row>
    <row r="79" spans="1:40" ht="12.75" customHeight="1">
      <c r="A79" s="22"/>
      <c r="B79" s="22"/>
      <c r="C79" s="22"/>
      <c r="D79" s="136"/>
      <c r="E79" s="151"/>
    </row>
    <row r="80" spans="1:40" ht="12.75" customHeight="1">
      <c r="A80" s="22"/>
      <c r="B80" s="22"/>
      <c r="C80" s="22"/>
      <c r="D80" s="136"/>
      <c r="E80" s="151"/>
    </row>
    <row r="81" spans="1:5" ht="12.75" customHeight="1">
      <c r="A81" s="22"/>
      <c r="B81" s="22"/>
      <c r="C81" s="22"/>
      <c r="D81" s="136"/>
      <c r="E81" s="151"/>
    </row>
    <row r="82" spans="1:5" ht="12.75" customHeight="1">
      <c r="A82" s="22"/>
      <c r="B82" s="22"/>
      <c r="C82" s="22"/>
      <c r="D82" s="136"/>
      <c r="E82" s="151"/>
    </row>
    <row r="83" spans="1:5" ht="12.75" customHeight="1">
      <c r="A83" s="22"/>
      <c r="B83" s="22"/>
      <c r="C83" s="22"/>
      <c r="D83" s="136"/>
      <c r="E83" s="151"/>
    </row>
    <row r="84" spans="1:5" ht="12.75" customHeight="1">
      <c r="A84" s="22"/>
      <c r="B84" s="22"/>
      <c r="C84" s="22"/>
      <c r="D84" s="136"/>
      <c r="E84" s="151"/>
    </row>
    <row r="85" spans="1:5" ht="12.75" customHeight="1">
      <c r="A85" s="22"/>
      <c r="B85" s="22"/>
      <c r="C85" s="22"/>
      <c r="D85" s="136"/>
      <c r="E85" s="151"/>
    </row>
    <row r="86" spans="1:5" ht="12.75" customHeight="1">
      <c r="A86" s="22"/>
      <c r="B86" s="22"/>
      <c r="C86" s="22"/>
      <c r="D86" s="136"/>
      <c r="E86" s="151"/>
    </row>
    <row r="87" spans="1:5" ht="12.75" customHeight="1">
      <c r="A87" s="22"/>
      <c r="B87" s="22"/>
      <c r="C87" s="22"/>
      <c r="D87" s="136"/>
      <c r="E87" s="151"/>
    </row>
    <row r="88" spans="1:5" ht="12.75" customHeight="1">
      <c r="A88" s="22"/>
      <c r="B88" s="22"/>
      <c r="C88" s="22"/>
      <c r="D88" s="136"/>
      <c r="E88" s="151"/>
    </row>
    <row r="89" spans="1:5" ht="12.75" customHeight="1">
      <c r="A89" s="22"/>
      <c r="B89" s="22"/>
      <c r="C89" s="22"/>
      <c r="D89" s="136"/>
      <c r="E89" s="151"/>
    </row>
    <row r="90" spans="1:5" ht="12.75" customHeight="1">
      <c r="A90" s="22"/>
      <c r="B90" s="22"/>
      <c r="C90" s="22"/>
      <c r="D90" s="136"/>
      <c r="E90" s="151"/>
    </row>
    <row r="91" spans="1:5" ht="12.75" customHeight="1">
      <c r="A91" s="22"/>
      <c r="B91" s="22"/>
      <c r="C91" s="22"/>
      <c r="D91" s="136"/>
      <c r="E91" s="151"/>
    </row>
    <row r="92" spans="1:5" ht="12.75" customHeight="1">
      <c r="A92" s="22"/>
      <c r="B92" s="22"/>
      <c r="C92" s="22"/>
      <c r="D92" s="136"/>
      <c r="E92" s="151"/>
    </row>
    <row r="93" spans="1:5" ht="12.75" customHeight="1">
      <c r="A93" s="22"/>
      <c r="B93" s="22"/>
      <c r="C93" s="22"/>
      <c r="D93" s="136"/>
      <c r="E93" s="151"/>
    </row>
    <row r="94" spans="1:5" ht="12.75" customHeight="1">
      <c r="A94" s="22"/>
      <c r="B94" s="22"/>
      <c r="C94" s="22"/>
      <c r="D94" s="136"/>
      <c r="E94" s="151"/>
    </row>
    <row r="95" spans="1:5" ht="12.75" customHeight="1">
      <c r="A95" s="22"/>
      <c r="B95" s="22"/>
      <c r="C95" s="22"/>
      <c r="D95" s="136"/>
      <c r="E95" s="151"/>
    </row>
    <row r="96" spans="1:5" ht="12.75" customHeight="1">
      <c r="A96" s="22"/>
      <c r="B96" s="22"/>
      <c r="C96" s="22"/>
      <c r="D96" s="136"/>
      <c r="E96" s="151"/>
    </row>
    <row r="97" spans="1:5" ht="12.75" customHeight="1">
      <c r="A97" s="22"/>
      <c r="B97" s="22"/>
      <c r="C97" s="22"/>
      <c r="D97" s="136"/>
      <c r="E97" s="151"/>
    </row>
    <row r="98" spans="1:5" ht="12.75" customHeight="1">
      <c r="A98" s="22"/>
      <c r="B98" s="22"/>
      <c r="C98" s="22"/>
      <c r="D98" s="136"/>
      <c r="E98" s="151"/>
    </row>
    <row r="99" spans="1:5" ht="12.75" customHeight="1">
      <c r="A99" s="22"/>
      <c r="B99" s="22"/>
      <c r="C99" s="22"/>
      <c r="D99" s="136"/>
      <c r="E99" s="151"/>
    </row>
    <row r="100" spans="1:5" ht="12.75" customHeight="1">
      <c r="A100" s="22"/>
      <c r="B100" s="22"/>
      <c r="C100" s="22"/>
      <c r="D100" s="136"/>
      <c r="E100" s="151"/>
    </row>
    <row r="101" spans="1:5" ht="12.75" customHeight="1">
      <c r="A101" s="22"/>
      <c r="B101" s="22"/>
      <c r="C101" s="22"/>
      <c r="D101" s="136"/>
      <c r="E101" s="151"/>
    </row>
    <row r="102" spans="1:5" ht="12.75" customHeight="1">
      <c r="A102" s="22"/>
      <c r="B102" s="22"/>
      <c r="C102" s="22"/>
      <c r="D102" s="136"/>
      <c r="E102" s="151"/>
    </row>
    <row r="103" spans="1:5" ht="12.75" customHeight="1">
      <c r="A103" s="22"/>
      <c r="B103" s="22"/>
      <c r="C103" s="22"/>
      <c r="D103" s="136"/>
      <c r="E103" s="151"/>
    </row>
    <row r="104" spans="1:5" ht="12.75" customHeight="1">
      <c r="A104" s="22"/>
      <c r="B104" s="22"/>
      <c r="C104" s="22"/>
      <c r="D104" s="136"/>
      <c r="E104" s="151"/>
    </row>
    <row r="105" spans="1:5" ht="12.75" customHeight="1">
      <c r="A105" s="22"/>
      <c r="B105" s="22"/>
      <c r="C105" s="22"/>
      <c r="D105" s="136"/>
      <c r="E105" s="151"/>
    </row>
    <row r="106" spans="1:5" ht="12.75" customHeight="1">
      <c r="A106" s="22"/>
      <c r="B106" s="22"/>
      <c r="C106" s="22"/>
      <c r="D106" s="136"/>
      <c r="E106" s="151"/>
    </row>
    <row r="107" spans="1:5" ht="12.75" customHeight="1">
      <c r="A107" s="22"/>
      <c r="B107" s="22"/>
      <c r="C107" s="22"/>
      <c r="D107" s="136"/>
      <c r="E107" s="151"/>
    </row>
    <row r="108" spans="1:5" ht="12.75" customHeight="1">
      <c r="A108" s="22"/>
      <c r="B108" s="22"/>
      <c r="C108" s="22"/>
      <c r="D108" s="136"/>
      <c r="E108" s="151"/>
    </row>
    <row r="109" spans="1:5" ht="12.75" customHeight="1">
      <c r="A109" s="22"/>
      <c r="B109" s="22"/>
      <c r="C109" s="22"/>
      <c r="D109" s="136"/>
      <c r="E109" s="151"/>
    </row>
    <row r="110" spans="1:5" ht="12.75" customHeight="1">
      <c r="A110" s="22"/>
      <c r="B110" s="22"/>
      <c r="C110" s="22"/>
      <c r="D110" s="136"/>
      <c r="E110" s="151"/>
    </row>
    <row r="111" spans="1:5" ht="12.75" customHeight="1">
      <c r="A111" s="22"/>
      <c r="B111" s="22"/>
      <c r="C111" s="22"/>
      <c r="D111" s="136"/>
      <c r="E111" s="151"/>
    </row>
    <row r="112" spans="1:5" ht="12.75" customHeight="1">
      <c r="A112" s="22"/>
      <c r="B112" s="22"/>
      <c r="C112" s="22"/>
      <c r="D112" s="136"/>
      <c r="E112" s="151"/>
    </row>
    <row r="113" spans="1:5" ht="12.75" customHeight="1">
      <c r="A113" s="22"/>
      <c r="B113" s="22"/>
      <c r="C113" s="22"/>
      <c r="D113" s="136"/>
      <c r="E113" s="151"/>
    </row>
    <row r="114" spans="1:5" ht="12.75" customHeight="1">
      <c r="A114" s="22"/>
      <c r="B114" s="22"/>
      <c r="C114" s="22"/>
      <c r="D114" s="136"/>
      <c r="E114" s="151"/>
    </row>
    <row r="115" spans="1:5" ht="12.75" customHeight="1">
      <c r="A115" s="22"/>
      <c r="B115" s="22"/>
      <c r="C115" s="22"/>
      <c r="D115" s="136"/>
      <c r="E115" s="151"/>
    </row>
    <row r="116" spans="1:5" ht="12.75" customHeight="1">
      <c r="A116" s="22"/>
      <c r="B116" s="22"/>
      <c r="C116" s="22"/>
      <c r="D116" s="136"/>
      <c r="E116" s="151"/>
    </row>
    <row r="117" spans="1:5" ht="12.75" customHeight="1">
      <c r="A117" s="22"/>
      <c r="B117" s="22"/>
      <c r="C117" s="22"/>
      <c r="D117" s="136"/>
      <c r="E117" s="151"/>
    </row>
    <row r="118" spans="1:5" ht="12.75" customHeight="1">
      <c r="A118" s="22"/>
      <c r="B118" s="22"/>
      <c r="C118" s="22"/>
      <c r="D118" s="136"/>
      <c r="E118" s="151"/>
    </row>
    <row r="119" spans="1:5" ht="12.75" customHeight="1">
      <c r="A119" s="22"/>
      <c r="B119" s="22"/>
      <c r="C119" s="22"/>
      <c r="D119" s="136"/>
      <c r="E119" s="151"/>
    </row>
    <row r="120" spans="1:5" ht="12.75" customHeight="1">
      <c r="A120" s="22"/>
      <c r="B120" s="22"/>
      <c r="C120" s="22"/>
      <c r="D120" s="136"/>
      <c r="E120" s="151"/>
    </row>
    <row r="121" spans="1:5" ht="12.75" customHeight="1">
      <c r="A121" s="22"/>
      <c r="B121" s="22"/>
      <c r="C121" s="22"/>
      <c r="D121" s="136"/>
      <c r="E121" s="151"/>
    </row>
    <row r="122" spans="1:5" ht="12.75" customHeight="1">
      <c r="A122" s="22"/>
      <c r="B122" s="22"/>
      <c r="C122" s="22"/>
      <c r="D122" s="136"/>
      <c r="E122" s="151"/>
    </row>
    <row r="123" spans="1:5" ht="12.75" customHeight="1">
      <c r="A123" s="22"/>
      <c r="B123" s="22"/>
      <c r="C123" s="22"/>
      <c r="D123" s="136"/>
      <c r="E123" s="151"/>
    </row>
    <row r="124" spans="1:5" ht="12.75" customHeight="1">
      <c r="A124" s="22"/>
      <c r="B124" s="22"/>
      <c r="C124" s="22"/>
      <c r="D124" s="136"/>
      <c r="E124" s="151"/>
    </row>
    <row r="125" spans="1:5" ht="12.75" customHeight="1">
      <c r="A125" s="22"/>
      <c r="B125" s="22"/>
      <c r="C125" s="22"/>
      <c r="D125" s="136"/>
      <c r="E125" s="151"/>
    </row>
    <row r="126" spans="1:5" ht="12.75" customHeight="1">
      <c r="A126" s="22"/>
      <c r="B126" s="22"/>
      <c r="C126" s="22"/>
      <c r="D126" s="136"/>
      <c r="E126" s="151"/>
    </row>
    <row r="127" spans="1:5" ht="12.75" customHeight="1">
      <c r="A127" s="22"/>
      <c r="B127" s="22"/>
      <c r="C127" s="22"/>
      <c r="D127" s="136"/>
      <c r="E127" s="151"/>
    </row>
    <row r="128" spans="1:5" ht="12.75" customHeight="1">
      <c r="A128" s="22"/>
      <c r="B128" s="22"/>
      <c r="C128" s="22"/>
      <c r="D128" s="136"/>
      <c r="E128" s="151"/>
    </row>
    <row r="129" spans="1:5" ht="12.75" customHeight="1">
      <c r="A129" s="22"/>
      <c r="B129" s="22"/>
      <c r="C129" s="22"/>
      <c r="D129" s="136"/>
      <c r="E129" s="151"/>
    </row>
    <row r="130" spans="1:5" ht="12.75" customHeight="1">
      <c r="A130" s="22"/>
      <c r="B130" s="22"/>
      <c r="C130" s="22"/>
      <c r="D130" s="136"/>
      <c r="E130" s="151"/>
    </row>
    <row r="131" spans="1:5" ht="12.75" customHeight="1">
      <c r="A131" s="22"/>
      <c r="B131" s="22"/>
      <c r="C131" s="22"/>
      <c r="D131" s="136"/>
      <c r="E131" s="151"/>
    </row>
    <row r="132" spans="1:5" ht="12.75" customHeight="1">
      <c r="A132" s="22"/>
      <c r="B132" s="22"/>
      <c r="C132" s="22"/>
      <c r="D132" s="136"/>
      <c r="E132" s="151"/>
    </row>
    <row r="133" spans="1:5" ht="12.75" customHeight="1">
      <c r="A133" s="22"/>
      <c r="B133" s="22"/>
      <c r="C133" s="22"/>
      <c r="D133" s="136"/>
      <c r="E133" s="151"/>
    </row>
    <row r="134" spans="1:5" ht="12.75" customHeight="1">
      <c r="A134" s="22"/>
      <c r="B134" s="22"/>
      <c r="C134" s="22"/>
      <c r="D134" s="136"/>
      <c r="E134" s="151"/>
    </row>
    <row r="135" spans="1:5" ht="12.75" customHeight="1">
      <c r="A135" s="22"/>
      <c r="B135" s="22"/>
      <c r="C135" s="22"/>
      <c r="D135" s="136"/>
      <c r="E135" s="151"/>
    </row>
    <row r="136" spans="1:5" ht="12.75" customHeight="1">
      <c r="A136" s="22"/>
      <c r="B136" s="22"/>
      <c r="C136" s="22"/>
      <c r="D136" s="136"/>
      <c r="E136" s="151"/>
    </row>
    <row r="137" spans="1:5" ht="12.75" customHeight="1">
      <c r="A137" s="22"/>
      <c r="B137" s="22"/>
      <c r="C137" s="22"/>
      <c r="D137" s="136"/>
      <c r="E137" s="151"/>
    </row>
    <row r="138" spans="1:5" ht="12.75" customHeight="1">
      <c r="A138" s="22"/>
      <c r="B138" s="22"/>
      <c r="C138" s="22"/>
      <c r="D138" s="136"/>
      <c r="E138" s="151"/>
    </row>
    <row r="139" spans="1:5" ht="12.75" customHeight="1">
      <c r="A139" s="22"/>
      <c r="B139" s="22"/>
      <c r="C139" s="22"/>
      <c r="D139" s="136"/>
      <c r="E139" s="151"/>
    </row>
    <row r="140" spans="1:5" ht="12.75" customHeight="1">
      <c r="A140" s="22"/>
      <c r="B140" s="22"/>
      <c r="C140" s="22"/>
      <c r="D140" s="136"/>
      <c r="E140" s="151"/>
    </row>
    <row r="141" spans="1:5" ht="12.75" customHeight="1">
      <c r="A141" s="22"/>
      <c r="B141" s="22"/>
      <c r="C141" s="22"/>
      <c r="D141" s="136"/>
      <c r="E141" s="151"/>
    </row>
    <row r="142" spans="1:5" ht="12.75" customHeight="1">
      <c r="A142" s="22"/>
      <c r="B142" s="22"/>
      <c r="C142" s="22"/>
      <c r="D142" s="136"/>
      <c r="E142" s="151"/>
    </row>
    <row r="143" spans="1:5" ht="12.75" customHeight="1">
      <c r="A143" s="22"/>
      <c r="B143" s="22"/>
      <c r="C143" s="22"/>
      <c r="D143" s="136"/>
      <c r="E143" s="151"/>
    </row>
    <row r="144" spans="1:5" ht="12.75" customHeight="1">
      <c r="A144" s="22"/>
      <c r="B144" s="22"/>
      <c r="C144" s="22"/>
      <c r="D144" s="136"/>
      <c r="E144" s="151"/>
    </row>
    <row r="145" spans="1:5" ht="12.75" customHeight="1">
      <c r="A145" s="22"/>
      <c r="B145" s="22"/>
      <c r="C145" s="22"/>
      <c r="D145" s="136"/>
      <c r="E145" s="151"/>
    </row>
    <row r="146" spans="1:5" ht="12.75" customHeight="1">
      <c r="A146" s="22"/>
      <c r="B146" s="22"/>
      <c r="C146" s="22"/>
      <c r="D146" s="136"/>
      <c r="E146" s="151"/>
    </row>
    <row r="147" spans="1:5" ht="12.75" customHeight="1">
      <c r="A147" s="22"/>
      <c r="B147" s="22"/>
      <c r="C147" s="22"/>
      <c r="D147" s="136"/>
      <c r="E147" s="151"/>
    </row>
    <row r="148" spans="1:5" ht="12.75" customHeight="1">
      <c r="A148" s="22"/>
      <c r="B148" s="22"/>
      <c r="C148" s="22"/>
      <c r="D148" s="136"/>
      <c r="E148" s="151"/>
    </row>
    <row r="149" spans="1:5" ht="12.75" customHeight="1">
      <c r="A149" s="22"/>
      <c r="B149" s="22"/>
      <c r="C149" s="22"/>
      <c r="D149" s="136"/>
      <c r="E149" s="151"/>
    </row>
    <row r="150" spans="1:5" ht="12.75" customHeight="1">
      <c r="A150" s="22"/>
      <c r="B150" s="22"/>
      <c r="C150" s="22"/>
      <c r="D150" s="136"/>
      <c r="E150" s="151"/>
    </row>
    <row r="151" spans="1:5" ht="12.75" customHeight="1">
      <c r="A151" s="22"/>
      <c r="B151" s="22"/>
      <c r="C151" s="22"/>
      <c r="D151" s="136"/>
      <c r="E151" s="151"/>
    </row>
    <row r="152" spans="1:5" ht="12.75" customHeight="1">
      <c r="A152" s="22"/>
      <c r="B152" s="22"/>
      <c r="C152" s="22"/>
      <c r="D152" s="136"/>
      <c r="E152" s="151"/>
    </row>
    <row r="153" spans="1:5" ht="12.75" customHeight="1">
      <c r="A153" s="22"/>
      <c r="B153" s="22"/>
      <c r="C153" s="22"/>
      <c r="D153" s="136"/>
      <c r="E153" s="151"/>
    </row>
    <row r="154" spans="1:5" ht="12.75" customHeight="1">
      <c r="A154" s="22"/>
      <c r="B154" s="22"/>
      <c r="C154" s="22"/>
      <c r="D154" s="136"/>
      <c r="E154" s="151"/>
    </row>
    <row r="155" spans="1:5" ht="12.75" customHeight="1">
      <c r="A155" s="22"/>
      <c r="B155" s="22"/>
      <c r="C155" s="22"/>
      <c r="D155" s="136"/>
      <c r="E155" s="151"/>
    </row>
    <row r="156" spans="1:5" ht="12.75" customHeight="1">
      <c r="A156" s="22"/>
      <c r="B156" s="22"/>
      <c r="C156" s="22"/>
      <c r="D156" s="136"/>
      <c r="E156" s="151"/>
    </row>
    <row r="157" spans="1:5" ht="12.75" customHeight="1">
      <c r="A157" s="22"/>
      <c r="B157" s="22"/>
      <c r="C157" s="22"/>
      <c r="D157" s="136"/>
      <c r="E157" s="151"/>
    </row>
    <row r="158" spans="1:5" ht="12.75" customHeight="1">
      <c r="A158" s="22"/>
      <c r="B158" s="22"/>
      <c r="C158" s="22"/>
      <c r="D158" s="136"/>
      <c r="E158" s="151"/>
    </row>
    <row r="159" spans="1:5" ht="12.75" customHeight="1">
      <c r="A159" s="22"/>
      <c r="B159" s="22"/>
      <c r="C159" s="22"/>
      <c r="D159" s="136"/>
      <c r="E159" s="151"/>
    </row>
    <row r="160" spans="1:5" ht="12.75" customHeight="1">
      <c r="A160" s="22"/>
      <c r="B160" s="22"/>
      <c r="C160" s="22"/>
      <c r="D160" s="136"/>
      <c r="E160" s="151"/>
    </row>
    <row r="161" spans="1:5" ht="12.75" customHeight="1">
      <c r="A161" s="22"/>
      <c r="B161" s="22"/>
      <c r="C161" s="22"/>
      <c r="D161" s="136"/>
      <c r="E161" s="151"/>
    </row>
    <row r="162" spans="1:5" ht="12.75" customHeight="1">
      <c r="A162" s="22"/>
      <c r="B162" s="22"/>
      <c r="C162" s="22"/>
      <c r="D162" s="136"/>
      <c r="E162" s="151"/>
    </row>
    <row r="163" spans="1:5" ht="12.75" customHeight="1">
      <c r="A163" s="22"/>
      <c r="B163" s="22"/>
      <c r="C163" s="22"/>
      <c r="D163" s="136"/>
      <c r="E163" s="151"/>
    </row>
    <row r="164" spans="1:5" ht="12.75" customHeight="1">
      <c r="A164" s="22"/>
      <c r="B164" s="22"/>
      <c r="C164" s="22"/>
      <c r="D164" s="136"/>
      <c r="E164" s="151"/>
    </row>
    <row r="165" spans="1:5" ht="12.75" customHeight="1">
      <c r="A165" s="22"/>
      <c r="B165" s="22"/>
      <c r="C165" s="22"/>
      <c r="D165" s="136"/>
      <c r="E165" s="151"/>
    </row>
    <row r="166" spans="1:5" ht="12.75" customHeight="1">
      <c r="A166" s="22"/>
      <c r="B166" s="22"/>
      <c r="C166" s="22"/>
      <c r="D166" s="136"/>
      <c r="E166" s="151"/>
    </row>
    <row r="167" spans="1:5" ht="12.75" customHeight="1">
      <c r="A167" s="22"/>
      <c r="B167" s="22"/>
      <c r="C167" s="22"/>
      <c r="D167" s="136"/>
      <c r="E167" s="151"/>
    </row>
    <row r="168" spans="1:5" ht="12.75" customHeight="1">
      <c r="A168" s="22"/>
      <c r="B168" s="22"/>
      <c r="C168" s="22"/>
      <c r="D168" s="136"/>
      <c r="E168" s="151"/>
    </row>
    <row r="169" spans="1:5" ht="12.75" customHeight="1">
      <c r="A169" s="22"/>
      <c r="B169" s="22"/>
      <c r="C169" s="22"/>
      <c r="D169" s="136"/>
      <c r="E169" s="151"/>
    </row>
    <row r="170" spans="1:5" ht="12.75" customHeight="1">
      <c r="A170" s="22"/>
      <c r="B170" s="22"/>
      <c r="C170" s="22"/>
      <c r="D170" s="136"/>
      <c r="E170" s="151"/>
    </row>
    <row r="171" spans="1:5" ht="12.75" customHeight="1">
      <c r="A171" s="22"/>
      <c r="B171" s="22"/>
      <c r="C171" s="22"/>
      <c r="D171" s="136"/>
      <c r="E171" s="151"/>
    </row>
    <row r="172" spans="1:5" ht="12.75" customHeight="1">
      <c r="A172" s="22"/>
      <c r="B172" s="22"/>
      <c r="C172" s="22"/>
      <c r="D172" s="136"/>
      <c r="E172" s="151"/>
    </row>
    <row r="173" spans="1:5" ht="12.75" customHeight="1">
      <c r="A173" s="22"/>
      <c r="B173" s="22"/>
      <c r="C173" s="22"/>
      <c r="D173" s="136"/>
      <c r="E173" s="151"/>
    </row>
    <row r="174" spans="1:5" ht="12.75" customHeight="1">
      <c r="A174" s="22"/>
      <c r="B174" s="22"/>
      <c r="C174" s="22"/>
      <c r="D174" s="136"/>
      <c r="E174" s="151"/>
    </row>
    <row r="175" spans="1:5" ht="12.75" customHeight="1">
      <c r="A175" s="22"/>
      <c r="B175" s="22"/>
      <c r="C175" s="22"/>
      <c r="D175" s="136"/>
      <c r="E175" s="151"/>
    </row>
    <row r="176" spans="1:5" ht="12.75" customHeight="1">
      <c r="A176" s="22"/>
      <c r="B176" s="22"/>
      <c r="C176" s="22"/>
      <c r="D176" s="136"/>
      <c r="E176" s="151"/>
    </row>
    <row r="177" spans="1:5" ht="12.75" customHeight="1">
      <c r="A177" s="22"/>
      <c r="B177" s="22"/>
      <c r="C177" s="22"/>
      <c r="D177" s="136"/>
      <c r="E177" s="151"/>
    </row>
    <row r="178" spans="1:5" ht="12.75" customHeight="1">
      <c r="A178" s="22"/>
      <c r="B178" s="22"/>
      <c r="C178" s="22"/>
      <c r="D178" s="136"/>
      <c r="E178" s="151"/>
    </row>
    <row r="179" spans="1:5" ht="12.75" customHeight="1">
      <c r="A179" s="22"/>
      <c r="B179" s="22"/>
      <c r="C179" s="22"/>
      <c r="D179" s="136"/>
      <c r="E179" s="151"/>
    </row>
    <row r="180" spans="1:5" ht="12.75" customHeight="1">
      <c r="A180" s="22"/>
      <c r="B180" s="22"/>
      <c r="C180" s="22"/>
      <c r="D180" s="136"/>
      <c r="E180" s="151"/>
    </row>
    <row r="181" spans="1:5" ht="12.75" customHeight="1">
      <c r="A181" s="22"/>
      <c r="B181" s="22"/>
      <c r="C181" s="22"/>
      <c r="D181" s="136"/>
      <c r="E181" s="151"/>
    </row>
    <row r="182" spans="1:5" ht="12.75" customHeight="1">
      <c r="A182" s="22"/>
      <c r="B182" s="22"/>
      <c r="C182" s="22"/>
      <c r="D182" s="136"/>
      <c r="E182" s="151"/>
    </row>
    <row r="183" spans="1:5" ht="12.75" customHeight="1">
      <c r="A183" s="22"/>
      <c r="B183" s="22"/>
      <c r="C183" s="22"/>
      <c r="D183" s="136"/>
      <c r="E183" s="151"/>
    </row>
    <row r="184" spans="1:5" ht="12.75" customHeight="1">
      <c r="A184" s="22"/>
      <c r="B184" s="22"/>
      <c r="C184" s="22"/>
      <c r="D184" s="136"/>
      <c r="E184" s="151"/>
    </row>
    <row r="185" spans="1:5" ht="12.75" customHeight="1">
      <c r="A185" s="22"/>
      <c r="B185" s="22"/>
      <c r="C185" s="22"/>
      <c r="D185" s="136"/>
      <c r="E185" s="151"/>
    </row>
    <row r="186" spans="1:5" ht="12.75" customHeight="1">
      <c r="A186" s="22"/>
      <c r="B186" s="22"/>
      <c r="C186" s="22"/>
      <c r="D186" s="136"/>
      <c r="E186" s="151"/>
    </row>
    <row r="187" spans="1:5" ht="12.75" customHeight="1">
      <c r="A187" s="22"/>
      <c r="B187" s="22"/>
      <c r="C187" s="22"/>
      <c r="D187" s="136"/>
      <c r="E187" s="151"/>
    </row>
    <row r="188" spans="1:5" ht="12.75" customHeight="1">
      <c r="A188" s="22"/>
      <c r="B188" s="22"/>
      <c r="C188" s="22"/>
      <c r="D188" s="136"/>
      <c r="E188" s="151"/>
    </row>
    <row r="189" spans="1:5" ht="12.75" customHeight="1">
      <c r="A189" s="22"/>
      <c r="B189" s="22"/>
      <c r="C189" s="22"/>
      <c r="D189" s="136"/>
      <c r="E189" s="151"/>
    </row>
    <row r="190" spans="1:5" ht="12.75" customHeight="1">
      <c r="A190" s="22"/>
      <c r="B190" s="22"/>
      <c r="C190" s="22"/>
      <c r="D190" s="136"/>
      <c r="E190" s="151"/>
    </row>
    <row r="191" spans="1:5" ht="12.75" customHeight="1">
      <c r="A191" s="22"/>
      <c r="B191" s="22"/>
      <c r="C191" s="22"/>
      <c r="D191" s="136"/>
      <c r="E191" s="151"/>
    </row>
    <row r="192" spans="1:5" ht="12.75" customHeight="1">
      <c r="A192" s="22"/>
      <c r="B192" s="22"/>
      <c r="C192" s="22"/>
      <c r="D192" s="136"/>
      <c r="E192" s="151"/>
    </row>
    <row r="193" spans="1:5" ht="12.75" customHeight="1">
      <c r="A193" s="22"/>
      <c r="B193" s="22"/>
      <c r="C193" s="22"/>
      <c r="D193" s="136"/>
      <c r="E193" s="151"/>
    </row>
    <row r="194" spans="1:5" ht="12.75" customHeight="1">
      <c r="A194" s="22"/>
      <c r="B194" s="22"/>
      <c r="C194" s="22"/>
      <c r="D194" s="136"/>
      <c r="E194" s="151"/>
    </row>
    <row r="195" spans="1:5" ht="12.75" customHeight="1">
      <c r="A195" s="22"/>
      <c r="B195" s="22"/>
      <c r="C195" s="22"/>
      <c r="D195" s="136"/>
      <c r="E195" s="151"/>
    </row>
    <row r="196" spans="1:5" ht="12.75" customHeight="1">
      <c r="A196" s="22"/>
      <c r="B196" s="22"/>
      <c r="C196" s="22"/>
      <c r="D196" s="136"/>
      <c r="E196" s="151"/>
    </row>
    <row r="197" spans="1:5" ht="12.75" customHeight="1">
      <c r="A197" s="22"/>
      <c r="B197" s="22"/>
      <c r="C197" s="22"/>
      <c r="D197" s="136"/>
      <c r="E197" s="151"/>
    </row>
    <row r="198" spans="1:5" ht="12.75" customHeight="1">
      <c r="A198" s="22"/>
      <c r="B198" s="22"/>
      <c r="C198" s="22"/>
      <c r="D198" s="136"/>
      <c r="E198" s="151"/>
    </row>
    <row r="199" spans="1:5" ht="12.75" customHeight="1">
      <c r="A199" s="22"/>
      <c r="B199" s="22"/>
      <c r="C199" s="22"/>
      <c r="D199" s="136"/>
      <c r="E199" s="151"/>
    </row>
    <row r="200" spans="1:5" ht="12.75" customHeight="1">
      <c r="A200" s="22"/>
      <c r="B200" s="22"/>
      <c r="C200" s="22"/>
      <c r="D200" s="136"/>
      <c r="E200" s="151"/>
    </row>
    <row r="201" spans="1:5" ht="12.75" customHeight="1">
      <c r="A201" s="22"/>
      <c r="B201" s="22"/>
      <c r="C201" s="22"/>
      <c r="D201" s="136"/>
      <c r="E201" s="151"/>
    </row>
    <row r="202" spans="1:5" ht="12.75" customHeight="1">
      <c r="A202" s="22"/>
      <c r="B202" s="22"/>
      <c r="C202" s="22"/>
      <c r="D202" s="136"/>
      <c r="E202" s="151"/>
    </row>
    <row r="203" spans="1:5" ht="12.75" customHeight="1">
      <c r="A203" s="22"/>
      <c r="B203" s="22"/>
      <c r="C203" s="22"/>
      <c r="D203" s="136"/>
      <c r="E203" s="151"/>
    </row>
    <row r="204" spans="1:5" ht="12.75" customHeight="1">
      <c r="A204" s="22"/>
      <c r="B204" s="22"/>
      <c r="C204" s="22"/>
      <c r="D204" s="136"/>
      <c r="E204" s="151"/>
    </row>
    <row r="205" spans="1:5" ht="12.75" customHeight="1">
      <c r="A205" s="22"/>
      <c r="B205" s="22"/>
      <c r="C205" s="22"/>
      <c r="D205" s="136"/>
      <c r="E205" s="151"/>
    </row>
    <row r="206" spans="1:5" ht="12.75" customHeight="1">
      <c r="A206" s="22"/>
      <c r="B206" s="22"/>
      <c r="C206" s="22"/>
      <c r="D206" s="136"/>
      <c r="E206" s="151"/>
    </row>
    <row r="207" spans="1:5" ht="12.75" customHeight="1">
      <c r="A207" s="22"/>
      <c r="B207" s="22"/>
      <c r="C207" s="22"/>
      <c r="D207" s="136"/>
      <c r="E207" s="151"/>
    </row>
    <row r="208" spans="1:5" ht="12.75" customHeight="1">
      <c r="A208" s="22"/>
      <c r="B208" s="22"/>
      <c r="C208" s="22"/>
      <c r="D208" s="136"/>
      <c r="E208" s="151"/>
    </row>
    <row r="209" spans="1:5" ht="12.75" customHeight="1">
      <c r="A209" s="22"/>
      <c r="B209" s="22"/>
      <c r="C209" s="22"/>
      <c r="D209" s="136"/>
      <c r="E209" s="151"/>
    </row>
    <row r="210" spans="1:5" ht="12.75" customHeight="1">
      <c r="A210" s="22"/>
      <c r="B210" s="22"/>
      <c r="C210" s="22"/>
      <c r="D210" s="136"/>
      <c r="E210" s="151"/>
    </row>
    <row r="211" spans="1:5" ht="12.75" customHeight="1">
      <c r="A211" s="22"/>
      <c r="B211" s="22"/>
      <c r="C211" s="22"/>
      <c r="D211" s="136"/>
      <c r="E211" s="151"/>
    </row>
    <row r="212" spans="1:5" ht="12.75" customHeight="1">
      <c r="A212" s="22"/>
      <c r="B212" s="22"/>
      <c r="C212" s="22"/>
      <c r="D212" s="136"/>
      <c r="E212" s="151"/>
    </row>
    <row r="213" spans="1:5" ht="12.75" customHeight="1">
      <c r="A213" s="22"/>
      <c r="B213" s="22"/>
      <c r="C213" s="22"/>
      <c r="D213" s="136"/>
      <c r="E213" s="151"/>
    </row>
    <row r="214" spans="1:5" ht="12.75" customHeight="1">
      <c r="A214" s="22"/>
      <c r="B214" s="22"/>
      <c r="C214" s="22"/>
      <c r="D214" s="136"/>
      <c r="E214" s="151"/>
    </row>
    <row r="215" spans="1:5" ht="12.75" customHeight="1">
      <c r="A215" s="22"/>
      <c r="B215" s="22"/>
      <c r="C215" s="22"/>
      <c r="D215" s="136"/>
      <c r="E215" s="151"/>
    </row>
    <row r="216" spans="1:5" ht="12.75" customHeight="1">
      <c r="A216" s="22"/>
      <c r="B216" s="22"/>
      <c r="C216" s="22"/>
      <c r="D216" s="136"/>
      <c r="E216" s="151"/>
    </row>
    <row r="217" spans="1:5" ht="12.75" customHeight="1">
      <c r="A217" s="22"/>
      <c r="B217" s="22"/>
      <c r="C217" s="22"/>
      <c r="D217" s="136"/>
      <c r="E217" s="151"/>
    </row>
    <row r="218" spans="1:5" ht="12.75" customHeight="1">
      <c r="A218" s="22"/>
      <c r="B218" s="22"/>
      <c r="C218" s="22"/>
      <c r="D218" s="136"/>
      <c r="E218" s="151"/>
    </row>
    <row r="219" spans="1:5" ht="12.75" customHeight="1">
      <c r="A219" s="22"/>
      <c r="B219" s="22"/>
      <c r="C219" s="22"/>
      <c r="D219" s="136"/>
      <c r="E219" s="151"/>
    </row>
    <row r="220" spans="1:5" ht="12.75" customHeight="1">
      <c r="A220" s="22"/>
      <c r="B220" s="22"/>
      <c r="C220" s="22"/>
      <c r="D220" s="136"/>
      <c r="E220" s="151"/>
    </row>
    <row r="221" spans="1:5" ht="12.75" customHeight="1">
      <c r="A221" s="22"/>
      <c r="B221" s="22"/>
      <c r="C221" s="22"/>
      <c r="D221" s="136"/>
      <c r="E221" s="151"/>
    </row>
    <row r="222" spans="1:5" ht="12.75" customHeight="1">
      <c r="A222" s="22"/>
      <c r="B222" s="22"/>
      <c r="C222" s="22"/>
      <c r="D222" s="136"/>
      <c r="E222" s="151"/>
    </row>
    <row r="223" spans="1:5" ht="12.75" customHeight="1">
      <c r="A223" s="22"/>
      <c r="B223" s="22"/>
      <c r="C223" s="22"/>
      <c r="D223" s="136"/>
      <c r="E223" s="151"/>
    </row>
    <row r="224" spans="1:5" ht="12.75" customHeight="1">
      <c r="A224" s="22"/>
      <c r="B224" s="22"/>
      <c r="C224" s="22"/>
      <c r="D224" s="136"/>
      <c r="E224" s="151"/>
    </row>
    <row r="225" spans="1:5" ht="12.75" customHeight="1">
      <c r="A225" s="22"/>
      <c r="B225" s="22"/>
      <c r="C225" s="22"/>
      <c r="D225" s="136"/>
      <c r="E225" s="151"/>
    </row>
    <row r="226" spans="1:5" ht="12.75" customHeight="1">
      <c r="A226" s="22"/>
      <c r="B226" s="22"/>
      <c r="C226" s="22"/>
      <c r="D226" s="136"/>
      <c r="E226" s="151"/>
    </row>
    <row r="227" spans="1:5" ht="12.75" customHeight="1">
      <c r="A227" s="22"/>
      <c r="B227" s="22"/>
      <c r="C227" s="22"/>
      <c r="D227" s="136"/>
      <c r="E227" s="151"/>
    </row>
    <row r="228" spans="1:5" ht="12.75" customHeight="1">
      <c r="A228" s="22"/>
      <c r="B228" s="22"/>
      <c r="C228" s="22"/>
      <c r="D228" s="136"/>
      <c r="E228" s="151"/>
    </row>
    <row r="229" spans="1:5" ht="12.75" customHeight="1">
      <c r="A229" s="22"/>
      <c r="B229" s="22"/>
      <c r="C229" s="22"/>
      <c r="D229" s="136"/>
      <c r="E229" s="151"/>
    </row>
    <row r="230" spans="1:5" ht="12.75" customHeight="1">
      <c r="A230" s="22"/>
      <c r="B230" s="22"/>
      <c r="C230" s="22"/>
      <c r="D230" s="136"/>
      <c r="E230" s="151"/>
    </row>
    <row r="231" spans="1:5" ht="12.75" customHeight="1">
      <c r="A231" s="22"/>
      <c r="B231" s="22"/>
      <c r="C231" s="22"/>
      <c r="D231" s="136"/>
      <c r="E231" s="151"/>
    </row>
    <row r="232" spans="1:5" ht="12.75" customHeight="1">
      <c r="A232" s="22"/>
      <c r="B232" s="22"/>
      <c r="C232" s="22"/>
      <c r="D232" s="136"/>
      <c r="E232" s="151"/>
    </row>
    <row r="233" spans="1:5" ht="12.75" customHeight="1">
      <c r="A233" s="22"/>
      <c r="B233" s="22"/>
      <c r="C233" s="22"/>
      <c r="D233" s="136"/>
      <c r="E233" s="151"/>
    </row>
    <row r="234" spans="1:5" ht="12.75" customHeight="1">
      <c r="A234" s="22"/>
      <c r="B234" s="22"/>
      <c r="C234" s="22"/>
      <c r="D234" s="136"/>
      <c r="E234" s="151"/>
    </row>
    <row r="235" spans="1:5" ht="12.75" customHeight="1">
      <c r="A235" s="22"/>
      <c r="B235" s="22"/>
      <c r="C235" s="22"/>
      <c r="D235" s="136"/>
      <c r="E235" s="151"/>
    </row>
    <row r="236" spans="1:5" ht="12.75" customHeight="1">
      <c r="A236" s="22"/>
      <c r="B236" s="22"/>
      <c r="C236" s="22"/>
      <c r="D236" s="136"/>
      <c r="E236" s="151"/>
    </row>
    <row r="237" spans="1:5" ht="12.75" customHeight="1">
      <c r="A237" s="22"/>
      <c r="B237" s="22"/>
      <c r="C237" s="22"/>
      <c r="D237" s="136"/>
      <c r="E237" s="151"/>
    </row>
    <row r="238" spans="1:5" ht="12.75" customHeight="1">
      <c r="A238" s="22"/>
      <c r="B238" s="22"/>
      <c r="C238" s="22"/>
      <c r="D238" s="136"/>
      <c r="E238" s="151"/>
    </row>
    <row r="239" spans="1:5" ht="12.75" customHeight="1">
      <c r="A239" s="22"/>
      <c r="B239" s="22"/>
      <c r="C239" s="22"/>
      <c r="D239" s="136"/>
      <c r="E239" s="151"/>
    </row>
    <row r="240" spans="1:5" ht="12.75" customHeight="1">
      <c r="A240" s="22"/>
      <c r="B240" s="22"/>
      <c r="C240" s="22"/>
      <c r="D240" s="136"/>
      <c r="E240" s="151"/>
    </row>
    <row r="241" spans="1:5" ht="12.75" customHeight="1">
      <c r="A241" s="22"/>
      <c r="B241" s="22"/>
      <c r="C241" s="22"/>
      <c r="D241" s="136"/>
      <c r="E241" s="151"/>
    </row>
    <row r="242" spans="1:5" ht="12.75" customHeight="1">
      <c r="A242" s="22"/>
      <c r="B242" s="22"/>
      <c r="C242" s="22"/>
      <c r="D242" s="136"/>
      <c r="E242" s="151"/>
    </row>
    <row r="243" spans="1:5" ht="12.75" customHeight="1">
      <c r="A243" s="22"/>
      <c r="B243" s="22"/>
      <c r="C243" s="22"/>
      <c r="D243" s="136"/>
      <c r="E243" s="151"/>
    </row>
    <row r="244" spans="1:5" ht="12.75" customHeight="1">
      <c r="A244" s="22"/>
      <c r="B244" s="22"/>
      <c r="C244" s="22"/>
      <c r="D244" s="136"/>
      <c r="E244" s="151"/>
    </row>
    <row r="245" spans="1:5" ht="12.75" customHeight="1">
      <c r="A245" s="22"/>
      <c r="B245" s="22"/>
      <c r="C245" s="22"/>
      <c r="D245" s="136"/>
      <c r="E245" s="151"/>
    </row>
    <row r="246" spans="1:5" ht="12.75" customHeight="1">
      <c r="A246" s="22"/>
      <c r="B246" s="22"/>
      <c r="C246" s="22"/>
      <c r="D246" s="136"/>
      <c r="E246" s="151"/>
    </row>
    <row r="247" spans="1:5" ht="12.75" customHeight="1">
      <c r="A247" s="22"/>
      <c r="B247" s="22"/>
      <c r="C247" s="22"/>
      <c r="D247" s="136"/>
      <c r="E247" s="151"/>
    </row>
    <row r="248" spans="1:5" ht="12.75" customHeight="1">
      <c r="A248" s="22"/>
      <c r="B248" s="22"/>
      <c r="C248" s="22"/>
      <c r="D248" s="136"/>
      <c r="E248" s="151"/>
    </row>
    <row r="249" spans="1:5" ht="12.75" customHeight="1">
      <c r="A249" s="22"/>
      <c r="B249" s="22"/>
      <c r="C249" s="22"/>
      <c r="D249" s="136"/>
      <c r="E249" s="151"/>
    </row>
    <row r="250" spans="1:5" ht="12.75" customHeight="1">
      <c r="A250" s="22"/>
      <c r="B250" s="22"/>
      <c r="C250" s="22"/>
      <c r="D250" s="136"/>
      <c r="E250" s="151"/>
    </row>
    <row r="251" spans="1:5" ht="12.75" customHeight="1">
      <c r="A251" s="22"/>
      <c r="B251" s="22"/>
      <c r="C251" s="22"/>
      <c r="D251" s="136"/>
      <c r="E251" s="151"/>
    </row>
    <row r="252" spans="1:5" ht="12.75" customHeight="1">
      <c r="A252" s="22"/>
      <c r="B252" s="22"/>
      <c r="C252" s="22"/>
      <c r="D252" s="136"/>
      <c r="E252" s="151"/>
    </row>
    <row r="253" spans="1:5" ht="12.75" customHeight="1">
      <c r="A253" s="22"/>
      <c r="B253" s="22"/>
      <c r="C253" s="22"/>
      <c r="D253" s="136"/>
      <c r="E253" s="151"/>
    </row>
    <row r="254" spans="1:5" ht="12.75" customHeight="1">
      <c r="A254" s="22"/>
      <c r="B254" s="22"/>
      <c r="C254" s="22"/>
      <c r="D254" s="136"/>
      <c r="E254" s="151"/>
    </row>
    <row r="255" spans="1:5" ht="12.75" customHeight="1">
      <c r="A255" s="22"/>
      <c r="B255" s="22"/>
      <c r="C255" s="22"/>
      <c r="D255" s="136"/>
      <c r="E255" s="151"/>
    </row>
    <row r="256" spans="1:5" ht="12.75" customHeight="1">
      <c r="A256" s="22"/>
      <c r="B256" s="22"/>
      <c r="C256" s="22"/>
      <c r="D256" s="136"/>
      <c r="E256" s="151"/>
    </row>
    <row r="257" spans="1:5" ht="12.75" customHeight="1">
      <c r="A257" s="22"/>
      <c r="B257" s="22"/>
      <c r="C257" s="22"/>
      <c r="D257" s="136"/>
      <c r="E257" s="151"/>
    </row>
    <row r="258" spans="1:5" ht="12.75" customHeight="1">
      <c r="A258" s="22"/>
      <c r="B258" s="22"/>
      <c r="C258" s="22"/>
      <c r="D258" s="136"/>
      <c r="E258" s="151"/>
    </row>
    <row r="259" spans="1:5" ht="12.75" customHeight="1">
      <c r="A259" s="22"/>
      <c r="B259" s="22"/>
      <c r="C259" s="22"/>
      <c r="D259" s="136"/>
      <c r="E259" s="151"/>
    </row>
    <row r="260" spans="1:5" ht="12.75" customHeight="1">
      <c r="A260" s="22"/>
      <c r="B260" s="22"/>
      <c r="C260" s="22"/>
      <c r="D260" s="136"/>
      <c r="E260" s="151"/>
    </row>
    <row r="261" spans="1:5" ht="12.75" customHeight="1">
      <c r="A261" s="22"/>
      <c r="B261" s="22"/>
      <c r="C261" s="22"/>
      <c r="D261" s="136"/>
      <c r="E261" s="151"/>
    </row>
    <row r="262" spans="1:5" ht="12.75" customHeight="1">
      <c r="A262" s="22"/>
      <c r="B262" s="22"/>
      <c r="C262" s="22"/>
      <c r="D262" s="136"/>
      <c r="E262" s="151"/>
    </row>
    <row r="263" spans="1:5" ht="12.75" customHeight="1">
      <c r="A263" s="22"/>
      <c r="B263" s="22"/>
      <c r="C263" s="22"/>
      <c r="D263" s="136"/>
      <c r="E263" s="151"/>
    </row>
    <row r="264" spans="1:5" ht="12.75" customHeight="1">
      <c r="A264" s="22"/>
      <c r="B264" s="22"/>
      <c r="C264" s="22"/>
      <c r="D264" s="136"/>
      <c r="E264" s="151"/>
    </row>
    <row r="265" spans="1:5" ht="12.75" customHeight="1">
      <c r="A265" s="22"/>
      <c r="B265" s="22"/>
      <c r="C265" s="22"/>
      <c r="D265" s="136"/>
      <c r="E265" s="151"/>
    </row>
    <row r="266" spans="1:5" ht="12.75" customHeight="1">
      <c r="A266" s="22"/>
      <c r="B266" s="22"/>
      <c r="C266" s="22"/>
      <c r="D266" s="136"/>
      <c r="E266" s="151"/>
    </row>
    <row r="267" spans="1:5" ht="12.75" customHeight="1">
      <c r="A267" s="22"/>
      <c r="B267" s="22"/>
      <c r="C267" s="22"/>
      <c r="D267" s="136"/>
      <c r="E267" s="151"/>
    </row>
    <row r="268" spans="1:5" ht="12.75" customHeight="1">
      <c r="A268" s="22"/>
      <c r="B268" s="22"/>
      <c r="C268" s="22"/>
      <c r="D268" s="136"/>
      <c r="E268" s="151"/>
    </row>
    <row r="269" spans="1:5" ht="12.75" customHeight="1">
      <c r="A269" s="22"/>
      <c r="B269" s="22"/>
      <c r="C269" s="22"/>
      <c r="D269" s="136"/>
      <c r="E269" s="151"/>
    </row>
    <row r="270" spans="1:5" ht="12.75" customHeight="1">
      <c r="A270" s="22"/>
      <c r="B270" s="22"/>
      <c r="C270" s="22"/>
      <c r="D270" s="136"/>
      <c r="E270" s="151"/>
    </row>
    <row r="271" spans="1:5" ht="12.75" customHeight="1">
      <c r="A271" s="22"/>
      <c r="B271" s="22"/>
      <c r="C271" s="22"/>
      <c r="D271" s="136"/>
      <c r="E271" s="151"/>
    </row>
    <row r="272" spans="1:5" ht="12.75" customHeight="1">
      <c r="A272" s="22"/>
      <c r="B272" s="22"/>
      <c r="C272" s="22"/>
      <c r="D272" s="136"/>
      <c r="E272" s="151"/>
    </row>
    <row r="273" spans="1:5" ht="12.75" customHeight="1">
      <c r="A273" s="22"/>
      <c r="B273" s="22"/>
      <c r="C273" s="22"/>
      <c r="D273" s="136"/>
      <c r="E273" s="151"/>
    </row>
    <row r="274" spans="1:5" ht="12.75" customHeight="1">
      <c r="A274" s="22"/>
      <c r="B274" s="22"/>
      <c r="C274" s="22"/>
      <c r="D274" s="136"/>
      <c r="E274" s="151"/>
    </row>
    <row r="275" spans="1:5" ht="12.75" customHeight="1">
      <c r="A275" s="22"/>
      <c r="B275" s="22"/>
      <c r="C275" s="22"/>
      <c r="D275" s="136"/>
      <c r="E275" s="151"/>
    </row>
    <row r="276" spans="1:5" ht="12.75" customHeight="1">
      <c r="A276" s="22"/>
      <c r="B276" s="22"/>
      <c r="C276" s="22"/>
      <c r="D276" s="136"/>
      <c r="E276" s="151"/>
    </row>
    <row r="277" spans="1:5" ht="12.75" customHeight="1">
      <c r="A277" s="22"/>
      <c r="B277" s="22"/>
      <c r="C277" s="22"/>
      <c r="D277" s="136"/>
      <c r="E277" s="151"/>
    </row>
    <row r="278" spans="1:5" ht="12.75" customHeight="1">
      <c r="A278" s="22"/>
      <c r="B278" s="22"/>
      <c r="C278" s="22"/>
      <c r="D278" s="136"/>
      <c r="E278" s="151"/>
    </row>
    <row r="279" spans="1:5" ht="12.75" customHeight="1">
      <c r="A279" s="22"/>
      <c r="B279" s="22"/>
      <c r="C279" s="22"/>
      <c r="D279" s="136"/>
      <c r="E279" s="151"/>
    </row>
    <row r="280" spans="1:5" ht="12.75" customHeight="1">
      <c r="A280" s="22"/>
      <c r="B280" s="22"/>
      <c r="C280" s="22"/>
      <c r="D280" s="136"/>
      <c r="E280" s="151"/>
    </row>
    <row r="281" spans="1:5" ht="12.75" customHeight="1">
      <c r="A281" s="22"/>
      <c r="B281" s="22"/>
      <c r="C281" s="22"/>
      <c r="D281" s="136"/>
      <c r="E281" s="151"/>
    </row>
    <row r="282" spans="1:5" ht="12.75" customHeight="1">
      <c r="A282" s="22"/>
      <c r="B282" s="22"/>
      <c r="C282" s="22"/>
      <c r="D282" s="136"/>
      <c r="E282" s="151"/>
    </row>
    <row r="283" spans="1:5" ht="12.75" customHeight="1">
      <c r="A283" s="22"/>
      <c r="B283" s="22"/>
      <c r="C283" s="22"/>
      <c r="D283" s="136"/>
      <c r="E283" s="151"/>
    </row>
    <row r="284" spans="1:5" ht="12.75" customHeight="1">
      <c r="A284" s="22"/>
      <c r="B284" s="22"/>
      <c r="C284" s="22"/>
      <c r="D284" s="136"/>
      <c r="E284" s="151"/>
    </row>
    <row r="285" spans="1:5" ht="12.75" customHeight="1">
      <c r="A285" s="22"/>
      <c r="B285" s="22"/>
      <c r="C285" s="22"/>
      <c r="D285" s="136"/>
      <c r="E285" s="151"/>
    </row>
    <row r="286" spans="1:5" ht="12.75" customHeight="1">
      <c r="A286" s="22"/>
      <c r="B286" s="22"/>
      <c r="C286" s="22"/>
      <c r="D286" s="136"/>
      <c r="E286" s="151"/>
    </row>
    <row r="287" spans="1:5" ht="12.75" customHeight="1">
      <c r="A287" s="22"/>
      <c r="B287" s="22"/>
      <c r="C287" s="22"/>
      <c r="D287" s="136"/>
      <c r="E287" s="151"/>
    </row>
    <row r="288" spans="1:5" ht="12.75" customHeight="1">
      <c r="A288" s="22"/>
      <c r="B288" s="22"/>
      <c r="C288" s="22"/>
      <c r="D288" s="136"/>
      <c r="E288" s="151"/>
    </row>
    <row r="289" spans="1:5" ht="12.75" customHeight="1">
      <c r="A289" s="22"/>
      <c r="B289" s="22"/>
      <c r="C289" s="22"/>
      <c r="D289" s="136"/>
      <c r="E289" s="151"/>
    </row>
    <row r="290" spans="1:5" ht="12.75" customHeight="1">
      <c r="A290" s="22"/>
      <c r="B290" s="22"/>
      <c r="C290" s="22"/>
      <c r="D290" s="136"/>
      <c r="E290" s="151"/>
    </row>
    <row r="291" spans="1:5" ht="12.75" customHeight="1">
      <c r="A291" s="22"/>
      <c r="B291" s="22"/>
      <c r="C291" s="22"/>
      <c r="D291" s="136"/>
      <c r="E291" s="151"/>
    </row>
    <row r="292" spans="1:5" ht="12.75" customHeight="1">
      <c r="A292" s="22"/>
      <c r="B292" s="22"/>
      <c r="C292" s="22"/>
      <c r="D292" s="136"/>
      <c r="E292" s="151"/>
    </row>
    <row r="293" spans="1:5" ht="12.75" customHeight="1">
      <c r="A293" s="22"/>
      <c r="B293" s="22"/>
      <c r="C293" s="22"/>
      <c r="D293" s="136"/>
      <c r="E293" s="151"/>
    </row>
    <row r="294" spans="1:5" ht="12.75" customHeight="1">
      <c r="A294" s="22"/>
      <c r="B294" s="22"/>
      <c r="C294" s="22"/>
      <c r="D294" s="136"/>
      <c r="E294" s="151"/>
    </row>
    <row r="295" spans="1:5" ht="12.75" customHeight="1">
      <c r="A295" s="22"/>
      <c r="B295" s="22"/>
      <c r="C295" s="22"/>
      <c r="D295" s="136"/>
      <c r="E295" s="151"/>
    </row>
    <row r="296" spans="1:5" ht="12.75" customHeight="1">
      <c r="A296" s="22"/>
      <c r="B296" s="22"/>
      <c r="C296" s="22"/>
      <c r="D296" s="136"/>
      <c r="E296" s="151"/>
    </row>
    <row r="297" spans="1:5" ht="12.75" customHeight="1">
      <c r="A297" s="22"/>
      <c r="B297" s="22"/>
      <c r="C297" s="22"/>
      <c r="D297" s="136"/>
      <c r="E297" s="151"/>
    </row>
    <row r="298" spans="1:5" ht="12.75" customHeight="1">
      <c r="A298" s="22"/>
      <c r="B298" s="22"/>
      <c r="C298" s="22"/>
      <c r="D298" s="136"/>
      <c r="E298" s="151"/>
    </row>
    <row r="299" spans="1:5" ht="12.75" customHeight="1">
      <c r="A299" s="22"/>
      <c r="B299" s="22"/>
      <c r="C299" s="22"/>
      <c r="D299" s="136"/>
      <c r="E299" s="151"/>
    </row>
    <row r="300" spans="1:5" ht="12.75" customHeight="1">
      <c r="A300" s="22"/>
      <c r="B300" s="22"/>
      <c r="C300" s="22"/>
      <c r="D300" s="136"/>
      <c r="E300" s="151"/>
    </row>
    <row r="301" spans="1:5" ht="12.75" customHeight="1">
      <c r="A301" s="22"/>
      <c r="B301" s="22"/>
      <c r="C301" s="22"/>
      <c r="D301" s="136"/>
      <c r="E301" s="151"/>
    </row>
    <row r="302" spans="1:5" ht="12.75" customHeight="1">
      <c r="A302" s="22"/>
      <c r="B302" s="22"/>
      <c r="C302" s="22"/>
      <c r="D302" s="136"/>
      <c r="E302" s="151"/>
    </row>
    <row r="303" spans="1:5" ht="12.75" customHeight="1">
      <c r="A303" s="22"/>
      <c r="B303" s="22"/>
      <c r="C303" s="22"/>
      <c r="D303" s="136"/>
      <c r="E303" s="151"/>
    </row>
    <row r="304" spans="1:5" ht="12.75" customHeight="1">
      <c r="A304" s="22"/>
      <c r="B304" s="22"/>
      <c r="C304" s="22"/>
      <c r="D304" s="136"/>
      <c r="E304" s="151"/>
    </row>
    <row r="305" spans="1:5" ht="12.75" customHeight="1">
      <c r="A305" s="22"/>
      <c r="B305" s="22"/>
      <c r="C305" s="22"/>
      <c r="D305" s="136"/>
      <c r="E305" s="151"/>
    </row>
    <row r="306" spans="1:5" ht="12.75" customHeight="1">
      <c r="A306" s="22"/>
      <c r="B306" s="22"/>
      <c r="C306" s="22"/>
      <c r="D306" s="136"/>
      <c r="E306" s="151"/>
    </row>
    <row r="307" spans="1:5" ht="12.75" customHeight="1">
      <c r="A307" s="22"/>
      <c r="B307" s="22"/>
      <c r="C307" s="22"/>
      <c r="D307" s="136"/>
      <c r="E307" s="151"/>
    </row>
    <row r="308" spans="1:5" ht="12.75" customHeight="1">
      <c r="A308" s="22"/>
      <c r="B308" s="22"/>
      <c r="C308" s="22"/>
      <c r="D308" s="136"/>
      <c r="E308" s="151"/>
    </row>
    <row r="309" spans="1:5" ht="12.75" customHeight="1">
      <c r="A309" s="22"/>
      <c r="B309" s="22"/>
      <c r="C309" s="22"/>
      <c r="D309" s="136"/>
      <c r="E309" s="151"/>
    </row>
    <row r="310" spans="1:5" ht="12.75" customHeight="1">
      <c r="A310" s="22"/>
      <c r="B310" s="22"/>
      <c r="C310" s="22"/>
      <c r="D310" s="136"/>
      <c r="E310" s="151"/>
    </row>
    <row r="311" spans="1:5" ht="12.75" customHeight="1">
      <c r="A311" s="22"/>
      <c r="B311" s="22"/>
      <c r="C311" s="22"/>
      <c r="D311" s="136"/>
      <c r="E311" s="151"/>
    </row>
    <row r="312" spans="1:5" ht="12.75" customHeight="1">
      <c r="A312" s="22"/>
      <c r="B312" s="22"/>
      <c r="C312" s="22"/>
      <c r="D312" s="136"/>
      <c r="E312" s="151"/>
    </row>
    <row r="313" spans="1:5" ht="12.75" customHeight="1">
      <c r="A313" s="22"/>
      <c r="B313" s="22"/>
      <c r="C313" s="22"/>
      <c r="D313" s="136"/>
      <c r="E313" s="151"/>
    </row>
    <row r="314" spans="1:5" ht="12.75" customHeight="1">
      <c r="A314" s="22"/>
      <c r="B314" s="22"/>
      <c r="C314" s="22"/>
      <c r="D314" s="136"/>
      <c r="E314" s="151"/>
    </row>
    <row r="315" spans="1:5" ht="12.75" customHeight="1">
      <c r="A315" s="22"/>
      <c r="B315" s="22"/>
      <c r="C315" s="22"/>
      <c r="D315" s="136"/>
      <c r="E315" s="151"/>
    </row>
    <row r="316" spans="1:5" ht="12.75" customHeight="1">
      <c r="A316" s="22"/>
      <c r="B316" s="22"/>
      <c r="C316" s="22"/>
      <c r="D316" s="136"/>
      <c r="E316" s="151"/>
    </row>
    <row r="317" spans="1:5" ht="12.75" customHeight="1">
      <c r="A317" s="22"/>
      <c r="B317" s="22"/>
      <c r="C317" s="22"/>
      <c r="D317" s="136"/>
      <c r="E317" s="151"/>
    </row>
    <row r="318" spans="1:5" ht="12.75" customHeight="1">
      <c r="A318" s="22"/>
      <c r="B318" s="22"/>
      <c r="C318" s="22"/>
      <c r="D318" s="136"/>
      <c r="E318" s="151"/>
    </row>
    <row r="319" spans="1:5" ht="12.75" customHeight="1">
      <c r="A319" s="22"/>
      <c r="B319" s="22"/>
      <c r="C319" s="22"/>
      <c r="D319" s="136"/>
      <c r="E319" s="151"/>
    </row>
    <row r="320" spans="1:5" ht="12.75" customHeight="1">
      <c r="A320" s="22"/>
      <c r="B320" s="22"/>
      <c r="C320" s="22"/>
      <c r="D320" s="136"/>
      <c r="E320" s="151"/>
    </row>
    <row r="321" spans="1:5" ht="12.75" customHeight="1">
      <c r="A321" s="22"/>
      <c r="B321" s="22"/>
      <c r="C321" s="22"/>
      <c r="D321" s="136"/>
      <c r="E321" s="151"/>
    </row>
    <row r="322" spans="1:5" ht="12.75" customHeight="1">
      <c r="A322" s="22"/>
      <c r="B322" s="22"/>
      <c r="C322" s="22"/>
      <c r="D322" s="136"/>
      <c r="E322" s="151"/>
    </row>
    <row r="323" spans="1:5" ht="12.75" customHeight="1">
      <c r="A323" s="22"/>
      <c r="B323" s="22"/>
      <c r="C323" s="22"/>
      <c r="D323" s="136"/>
      <c r="E323" s="151"/>
    </row>
    <row r="324" spans="1:5" ht="12.75" customHeight="1">
      <c r="A324" s="22"/>
      <c r="B324" s="22"/>
      <c r="C324" s="22"/>
      <c r="D324" s="136"/>
      <c r="E324" s="151"/>
    </row>
    <row r="325" spans="1:5" ht="12.75" customHeight="1">
      <c r="A325" s="22"/>
      <c r="B325" s="22"/>
      <c r="C325" s="22"/>
      <c r="D325" s="136"/>
      <c r="E325" s="151"/>
    </row>
    <row r="326" spans="1:5" ht="12.75" customHeight="1">
      <c r="A326" s="22"/>
      <c r="B326" s="22"/>
      <c r="C326" s="22"/>
      <c r="D326" s="136"/>
      <c r="E326" s="151"/>
    </row>
    <row r="327" spans="1:5" ht="12.75" customHeight="1">
      <c r="A327" s="22"/>
      <c r="B327" s="22"/>
      <c r="C327" s="22"/>
      <c r="D327" s="136"/>
      <c r="E327" s="151"/>
    </row>
    <row r="328" spans="1:5" ht="12.75" customHeight="1">
      <c r="A328" s="22"/>
      <c r="B328" s="22"/>
      <c r="C328" s="22"/>
      <c r="D328" s="136"/>
      <c r="E328" s="151"/>
    </row>
    <row r="329" spans="1:5" ht="12.75" customHeight="1">
      <c r="A329" s="22"/>
      <c r="B329" s="22"/>
      <c r="C329" s="22"/>
      <c r="D329" s="136"/>
      <c r="E329" s="151"/>
    </row>
    <row r="330" spans="1:5" ht="12.75" customHeight="1">
      <c r="A330" s="22"/>
      <c r="B330" s="22"/>
      <c r="C330" s="22"/>
      <c r="D330" s="136"/>
      <c r="E330" s="151"/>
    </row>
    <row r="331" spans="1:5" ht="12.75" customHeight="1">
      <c r="A331" s="22"/>
      <c r="B331" s="22"/>
      <c r="C331" s="22"/>
      <c r="D331" s="136"/>
      <c r="E331" s="151"/>
    </row>
    <row r="332" spans="1:5" ht="12.75" customHeight="1">
      <c r="A332" s="22"/>
      <c r="B332" s="22"/>
      <c r="C332" s="22"/>
      <c r="D332" s="136"/>
      <c r="E332" s="151"/>
    </row>
    <row r="333" spans="1:5" ht="12.75" customHeight="1">
      <c r="A333" s="22"/>
      <c r="B333" s="22"/>
      <c r="C333" s="22"/>
      <c r="D333" s="136"/>
      <c r="E333" s="151"/>
    </row>
    <row r="334" spans="1:5" ht="12.75" customHeight="1">
      <c r="A334" s="22"/>
      <c r="B334" s="22"/>
      <c r="C334" s="22"/>
      <c r="D334" s="136"/>
      <c r="E334" s="151"/>
    </row>
    <row r="335" spans="1:5" ht="12.75" customHeight="1">
      <c r="A335" s="22"/>
      <c r="B335" s="22"/>
      <c r="C335" s="22"/>
      <c r="D335" s="136"/>
      <c r="E335" s="151"/>
    </row>
    <row r="336" spans="1:5" ht="12.75" customHeight="1">
      <c r="A336" s="22"/>
      <c r="B336" s="22"/>
      <c r="C336" s="22"/>
      <c r="D336" s="136"/>
      <c r="E336" s="151"/>
    </row>
    <row r="337" spans="1:5" ht="12.75" customHeight="1">
      <c r="A337" s="22"/>
      <c r="B337" s="22"/>
      <c r="C337" s="22"/>
      <c r="D337" s="136"/>
      <c r="E337" s="151"/>
    </row>
    <row r="338" spans="1:5" ht="12.75" customHeight="1">
      <c r="A338" s="22"/>
      <c r="B338" s="22"/>
      <c r="C338" s="22"/>
      <c r="D338" s="136"/>
      <c r="E338" s="151"/>
    </row>
    <row r="339" spans="1:5" ht="12.75" customHeight="1">
      <c r="A339" s="22"/>
      <c r="B339" s="22"/>
      <c r="C339" s="22"/>
      <c r="D339" s="136"/>
      <c r="E339" s="151"/>
    </row>
    <row r="340" spans="1:5" ht="12.75" customHeight="1">
      <c r="A340" s="22"/>
      <c r="B340" s="22"/>
      <c r="C340" s="22"/>
      <c r="D340" s="136"/>
      <c r="E340" s="151"/>
    </row>
    <row r="341" spans="1:5" ht="12.75" customHeight="1">
      <c r="A341" s="22"/>
      <c r="B341" s="22"/>
      <c r="C341" s="22"/>
      <c r="D341" s="136"/>
      <c r="E341" s="151"/>
    </row>
    <row r="342" spans="1:5" ht="12.75" customHeight="1">
      <c r="A342" s="22"/>
      <c r="B342" s="22"/>
      <c r="C342" s="22"/>
      <c r="D342" s="136"/>
      <c r="E342" s="151"/>
    </row>
    <row r="343" spans="1:5" ht="12.75" customHeight="1">
      <c r="A343" s="22"/>
      <c r="B343" s="22"/>
      <c r="C343" s="22"/>
      <c r="D343" s="136"/>
      <c r="E343" s="151"/>
    </row>
    <row r="344" spans="1:5" ht="12.75" customHeight="1">
      <c r="A344" s="22"/>
      <c r="B344" s="22"/>
      <c r="C344" s="22"/>
      <c r="D344" s="136"/>
      <c r="E344" s="151"/>
    </row>
    <row r="345" spans="1:5" ht="12.75" customHeight="1">
      <c r="A345" s="22"/>
      <c r="B345" s="22"/>
      <c r="C345" s="22"/>
      <c r="D345" s="136"/>
      <c r="E345" s="151"/>
    </row>
    <row r="346" spans="1:5" ht="12.75" customHeight="1">
      <c r="A346" s="22"/>
      <c r="B346" s="22"/>
      <c r="C346" s="22"/>
      <c r="D346" s="136"/>
      <c r="E346" s="151"/>
    </row>
    <row r="347" spans="1:5" ht="12.75" customHeight="1">
      <c r="A347" s="22"/>
      <c r="B347" s="22"/>
      <c r="C347" s="22"/>
      <c r="D347" s="136"/>
      <c r="E347" s="151"/>
    </row>
    <row r="348" spans="1:5" ht="12.75" customHeight="1">
      <c r="A348" s="22"/>
      <c r="B348" s="22"/>
      <c r="C348" s="22"/>
      <c r="D348" s="136"/>
      <c r="E348" s="151"/>
    </row>
    <row r="349" spans="1:5" ht="12.75" customHeight="1">
      <c r="A349" s="22"/>
      <c r="B349" s="22"/>
      <c r="C349" s="22"/>
      <c r="D349" s="136"/>
      <c r="E349" s="151"/>
    </row>
    <row r="350" spans="1:5" ht="12.75" customHeight="1">
      <c r="A350" s="22"/>
      <c r="B350" s="22"/>
      <c r="C350" s="22"/>
      <c r="D350" s="136"/>
      <c r="E350" s="151"/>
    </row>
    <row r="351" spans="1:5" ht="12.75" customHeight="1">
      <c r="A351" s="22"/>
      <c r="B351" s="22"/>
      <c r="C351" s="22"/>
      <c r="D351" s="136"/>
      <c r="E351" s="151"/>
    </row>
    <row r="352" spans="1:5" ht="12.75" customHeight="1">
      <c r="A352" s="22"/>
      <c r="B352" s="22"/>
      <c r="C352" s="22"/>
      <c r="D352" s="136"/>
      <c r="E352" s="151"/>
    </row>
    <row r="353" spans="1:5" ht="12.75" customHeight="1">
      <c r="A353" s="22"/>
      <c r="B353" s="22"/>
      <c r="C353" s="22"/>
      <c r="D353" s="136"/>
      <c r="E353" s="151"/>
    </row>
    <row r="354" spans="1:5" ht="12.75" customHeight="1">
      <c r="A354" s="22"/>
      <c r="B354" s="22"/>
      <c r="C354" s="22"/>
      <c r="D354" s="136"/>
      <c r="E354" s="151"/>
    </row>
    <row r="355" spans="1:5" ht="12.75" customHeight="1">
      <c r="A355" s="22"/>
      <c r="B355" s="22"/>
      <c r="C355" s="22"/>
      <c r="D355" s="136"/>
      <c r="E355" s="151"/>
    </row>
    <row r="356" spans="1:5" ht="12.75" customHeight="1">
      <c r="A356" s="22"/>
      <c r="B356" s="22"/>
      <c r="C356" s="22"/>
      <c r="D356" s="136"/>
      <c r="E356" s="151"/>
    </row>
    <row r="357" spans="1:5" ht="12.75" customHeight="1">
      <c r="A357" s="22"/>
      <c r="B357" s="22"/>
      <c r="C357" s="22"/>
      <c r="D357" s="136"/>
      <c r="E357" s="151"/>
    </row>
    <row r="358" spans="1:5" ht="12.75" customHeight="1">
      <c r="A358" s="22"/>
      <c r="B358" s="22"/>
      <c r="C358" s="22"/>
      <c r="D358" s="136"/>
      <c r="E358" s="151"/>
    </row>
    <row r="359" spans="1:5" ht="12.75" customHeight="1">
      <c r="A359" s="22"/>
      <c r="B359" s="22"/>
      <c r="C359" s="22"/>
      <c r="D359" s="136"/>
      <c r="E359" s="151"/>
    </row>
    <row r="360" spans="1:5" ht="12.75" customHeight="1">
      <c r="A360" s="22"/>
      <c r="B360" s="22"/>
      <c r="C360" s="22"/>
      <c r="D360" s="136"/>
      <c r="E360" s="151"/>
    </row>
    <row r="361" spans="1:5" ht="12.75" customHeight="1">
      <c r="A361" s="22"/>
      <c r="B361" s="22"/>
      <c r="C361" s="22"/>
      <c r="D361" s="136"/>
      <c r="E361" s="151"/>
    </row>
    <row r="362" spans="1:5" ht="12.75" customHeight="1">
      <c r="A362" s="22"/>
      <c r="B362" s="22"/>
      <c r="C362" s="22"/>
      <c r="D362" s="136"/>
      <c r="E362" s="151"/>
    </row>
    <row r="363" spans="1:5" ht="12.75" customHeight="1">
      <c r="A363" s="22"/>
      <c r="B363" s="22"/>
      <c r="C363" s="22"/>
      <c r="D363" s="136"/>
      <c r="E363" s="151"/>
    </row>
    <row r="364" spans="1:5" ht="12.75" customHeight="1">
      <c r="A364" s="22"/>
      <c r="B364" s="22"/>
      <c r="C364" s="22"/>
      <c r="D364" s="136"/>
      <c r="E364" s="151"/>
    </row>
    <row r="365" spans="1:5" ht="12.75" customHeight="1">
      <c r="A365" s="22"/>
      <c r="B365" s="22"/>
      <c r="C365" s="22"/>
      <c r="D365" s="136"/>
      <c r="E365" s="151"/>
    </row>
    <row r="366" spans="1:5" ht="12.75" customHeight="1">
      <c r="A366" s="22"/>
      <c r="B366" s="22"/>
      <c r="C366" s="22"/>
      <c r="D366" s="136"/>
      <c r="E366" s="151"/>
    </row>
    <row r="367" spans="1:5" ht="12.75" customHeight="1">
      <c r="A367" s="22"/>
      <c r="B367" s="22"/>
      <c r="C367" s="22"/>
      <c r="D367" s="136"/>
      <c r="E367" s="151"/>
    </row>
    <row r="368" spans="1:5" ht="12.75" customHeight="1">
      <c r="A368" s="22"/>
      <c r="B368" s="22"/>
      <c r="C368" s="22"/>
      <c r="D368" s="136"/>
      <c r="E368" s="151"/>
    </row>
    <row r="369" spans="1:5" ht="12.75" customHeight="1">
      <c r="A369" s="22"/>
      <c r="B369" s="22"/>
      <c r="C369" s="22"/>
      <c r="D369" s="136"/>
      <c r="E369" s="151"/>
    </row>
    <row r="370" spans="1:5" ht="12.75" customHeight="1">
      <c r="A370" s="22"/>
      <c r="B370" s="22"/>
      <c r="C370" s="22"/>
      <c r="D370" s="136"/>
      <c r="E370" s="151"/>
    </row>
    <row r="371" spans="1:5" ht="12.75" customHeight="1">
      <c r="A371" s="22"/>
      <c r="B371" s="22"/>
      <c r="C371" s="22"/>
      <c r="D371" s="136"/>
      <c r="E371" s="151"/>
    </row>
    <row r="372" spans="1:5" ht="12.75" customHeight="1">
      <c r="A372" s="22"/>
      <c r="B372" s="22"/>
      <c r="C372" s="22"/>
      <c r="D372" s="136"/>
      <c r="E372" s="151"/>
    </row>
    <row r="373" spans="1:5" ht="12.75" customHeight="1">
      <c r="A373" s="22"/>
      <c r="B373" s="22"/>
      <c r="C373" s="22"/>
      <c r="D373" s="136"/>
      <c r="E373" s="151"/>
    </row>
    <row r="374" spans="1:5" ht="12.75" customHeight="1">
      <c r="A374" s="22"/>
      <c r="B374" s="22"/>
      <c r="C374" s="22"/>
      <c r="D374" s="136"/>
      <c r="E374" s="151"/>
    </row>
    <row r="375" spans="1:5" ht="12.75" customHeight="1">
      <c r="A375" s="22"/>
      <c r="B375" s="22"/>
      <c r="C375" s="22"/>
      <c r="D375" s="136"/>
      <c r="E375" s="151"/>
    </row>
    <row r="376" spans="1:5" ht="12.75" customHeight="1">
      <c r="A376" s="22"/>
      <c r="B376" s="22"/>
      <c r="C376" s="22"/>
      <c r="D376" s="136"/>
      <c r="E376" s="151"/>
    </row>
    <row r="377" spans="1:5" ht="12.75" customHeight="1">
      <c r="A377" s="22"/>
      <c r="B377" s="22"/>
      <c r="C377" s="22"/>
      <c r="D377" s="136"/>
      <c r="E377" s="151"/>
    </row>
    <row r="378" spans="1:5" ht="12.75" customHeight="1">
      <c r="A378" s="22"/>
      <c r="B378" s="22"/>
      <c r="C378" s="22"/>
      <c r="D378" s="136"/>
      <c r="E378" s="151"/>
    </row>
    <row r="379" spans="1:5" ht="12.75" customHeight="1">
      <c r="A379" s="22"/>
      <c r="B379" s="22"/>
      <c r="C379" s="22"/>
      <c r="D379" s="136"/>
      <c r="E379" s="151"/>
    </row>
    <row r="380" spans="1:5" ht="12.75" customHeight="1">
      <c r="A380" s="22"/>
      <c r="B380" s="22"/>
      <c r="C380" s="22"/>
      <c r="D380" s="136"/>
      <c r="E380" s="151"/>
    </row>
    <row r="381" spans="1:5" ht="12.75" customHeight="1">
      <c r="A381" s="22"/>
      <c r="B381" s="22"/>
      <c r="C381" s="22"/>
      <c r="D381" s="136"/>
      <c r="E381" s="151"/>
    </row>
    <row r="382" spans="1:5" ht="12.75" customHeight="1">
      <c r="A382" s="22"/>
      <c r="B382" s="22"/>
      <c r="C382" s="22"/>
      <c r="D382" s="136"/>
      <c r="E382" s="151"/>
    </row>
    <row r="383" spans="1:5" ht="12.75" customHeight="1">
      <c r="A383" s="22"/>
      <c r="B383" s="22"/>
      <c r="C383" s="22"/>
      <c r="D383" s="136"/>
      <c r="E383" s="151"/>
    </row>
    <row r="384" spans="1:5" ht="12.75" customHeight="1">
      <c r="A384" s="22"/>
      <c r="B384" s="22"/>
      <c r="C384" s="22"/>
      <c r="D384" s="136"/>
      <c r="E384" s="151"/>
    </row>
    <row r="385" spans="1:5" ht="12.75" customHeight="1">
      <c r="A385" s="22"/>
      <c r="B385" s="22"/>
      <c r="C385" s="22"/>
      <c r="D385" s="136"/>
      <c r="E385" s="151"/>
    </row>
    <row r="386" spans="1:5" ht="12.75" customHeight="1">
      <c r="A386" s="22"/>
      <c r="B386" s="22"/>
      <c r="C386" s="22"/>
      <c r="D386" s="136"/>
      <c r="E386" s="151"/>
    </row>
    <row r="387" spans="1:5" ht="12.75" customHeight="1">
      <c r="A387" s="22"/>
      <c r="B387" s="22"/>
      <c r="C387" s="22"/>
      <c r="D387" s="136"/>
      <c r="E387" s="151"/>
    </row>
    <row r="388" spans="1:5" ht="12.75" customHeight="1">
      <c r="A388" s="22"/>
      <c r="B388" s="22"/>
      <c r="C388" s="22"/>
      <c r="D388" s="136"/>
      <c r="E388" s="151"/>
    </row>
    <row r="389" spans="1:5" ht="12.75" customHeight="1">
      <c r="A389" s="22"/>
      <c r="B389" s="22"/>
      <c r="C389" s="22"/>
      <c r="D389" s="136"/>
      <c r="E389" s="151"/>
    </row>
    <row r="390" spans="1:5" ht="12.75" customHeight="1">
      <c r="A390" s="22"/>
      <c r="B390" s="22"/>
      <c r="C390" s="22"/>
      <c r="D390" s="136"/>
      <c r="E390" s="151"/>
    </row>
    <row r="391" spans="1:5" ht="12.75" customHeight="1">
      <c r="A391" s="22"/>
      <c r="B391" s="22"/>
      <c r="C391" s="22"/>
      <c r="D391" s="136"/>
      <c r="E391" s="151"/>
    </row>
    <row r="392" spans="1:5" ht="12.75" customHeight="1">
      <c r="A392" s="22"/>
      <c r="B392" s="22"/>
      <c r="C392" s="22"/>
      <c r="D392" s="136"/>
      <c r="E392" s="151"/>
    </row>
    <row r="393" spans="1:5" ht="12.75" customHeight="1">
      <c r="A393" s="22"/>
      <c r="B393" s="22"/>
      <c r="C393" s="22"/>
      <c r="D393" s="136"/>
      <c r="E393" s="151"/>
    </row>
    <row r="394" spans="1:5" ht="12.75" customHeight="1">
      <c r="A394" s="22"/>
      <c r="B394" s="22"/>
      <c r="C394" s="22"/>
      <c r="D394" s="136"/>
      <c r="E394" s="151"/>
    </row>
    <row r="395" spans="1:5" ht="12.75" customHeight="1">
      <c r="A395" s="22"/>
      <c r="B395" s="22"/>
      <c r="C395" s="22"/>
      <c r="D395" s="136"/>
      <c r="E395" s="151"/>
    </row>
    <row r="396" spans="1:5" ht="12.75" customHeight="1">
      <c r="A396" s="22"/>
      <c r="B396" s="22"/>
      <c r="C396" s="22"/>
      <c r="D396" s="136"/>
      <c r="E396" s="151"/>
    </row>
    <row r="397" spans="1:5" ht="12.75" customHeight="1">
      <c r="A397" s="22"/>
      <c r="B397" s="22"/>
      <c r="C397" s="22"/>
      <c r="D397" s="136"/>
      <c r="E397" s="151"/>
    </row>
    <row r="398" spans="1:5" ht="12.75" customHeight="1">
      <c r="A398" s="22"/>
      <c r="B398" s="22"/>
      <c r="C398" s="22"/>
      <c r="D398" s="136"/>
      <c r="E398" s="151"/>
    </row>
    <row r="399" spans="1:5" ht="12.75" customHeight="1">
      <c r="A399" s="22"/>
      <c r="B399" s="22"/>
      <c r="C399" s="22"/>
      <c r="D399" s="136"/>
      <c r="E399" s="151"/>
    </row>
    <row r="400" spans="1:5" ht="12.75" customHeight="1">
      <c r="A400" s="22"/>
      <c r="B400" s="22"/>
      <c r="C400" s="22"/>
      <c r="D400" s="136"/>
      <c r="E400" s="151"/>
    </row>
    <row r="401" spans="1:5" ht="12.75" customHeight="1">
      <c r="A401" s="22"/>
      <c r="B401" s="22"/>
      <c r="C401" s="22"/>
      <c r="D401" s="136"/>
      <c r="E401" s="151"/>
    </row>
    <row r="402" spans="1:5" ht="12.75" customHeight="1">
      <c r="A402" s="22"/>
      <c r="B402" s="22"/>
      <c r="C402" s="22"/>
      <c r="D402" s="136"/>
      <c r="E402" s="151"/>
    </row>
    <row r="403" spans="1:5" ht="12.75" customHeight="1">
      <c r="A403" s="22"/>
      <c r="B403" s="22"/>
      <c r="C403" s="22"/>
      <c r="D403" s="136"/>
      <c r="E403" s="151"/>
    </row>
    <row r="404" spans="1:5" ht="12.75" customHeight="1">
      <c r="A404" s="22"/>
      <c r="B404" s="22"/>
      <c r="C404" s="22"/>
      <c r="D404" s="136"/>
      <c r="E404" s="151"/>
    </row>
    <row r="405" spans="1:5" ht="12.75" customHeight="1">
      <c r="A405" s="22"/>
      <c r="B405" s="22"/>
      <c r="C405" s="22"/>
      <c r="D405" s="136"/>
      <c r="E405" s="151"/>
    </row>
    <row r="406" spans="1:5" ht="12.75" customHeight="1">
      <c r="A406" s="22"/>
      <c r="B406" s="22"/>
      <c r="C406" s="22"/>
      <c r="D406" s="136"/>
      <c r="E406" s="151"/>
    </row>
    <row r="407" spans="1:5" ht="12.75" customHeight="1">
      <c r="A407" s="22"/>
      <c r="B407" s="22"/>
      <c r="C407" s="22"/>
      <c r="D407" s="136"/>
      <c r="E407" s="151"/>
    </row>
    <row r="408" spans="1:5" ht="12.75" customHeight="1">
      <c r="A408" s="22"/>
      <c r="B408" s="22"/>
      <c r="C408" s="22"/>
      <c r="D408" s="136"/>
      <c r="E408" s="151"/>
    </row>
    <row r="409" spans="1:5" ht="12.75" customHeight="1">
      <c r="A409" s="22"/>
      <c r="B409" s="22"/>
      <c r="C409" s="22"/>
      <c r="D409" s="136"/>
      <c r="E409" s="151"/>
    </row>
    <row r="410" spans="1:5" ht="12.75" customHeight="1">
      <c r="A410" s="22"/>
      <c r="B410" s="22"/>
      <c r="C410" s="22"/>
      <c r="D410" s="136"/>
      <c r="E410" s="151"/>
    </row>
    <row r="411" spans="1:5" ht="12.75" customHeight="1">
      <c r="A411" s="22"/>
      <c r="B411" s="22"/>
      <c r="C411" s="22"/>
      <c r="D411" s="136"/>
      <c r="E411" s="151"/>
    </row>
    <row r="412" spans="1:5" ht="12.75" customHeight="1">
      <c r="A412" s="22"/>
      <c r="B412" s="22"/>
      <c r="C412" s="22"/>
      <c r="D412" s="136"/>
      <c r="E412" s="151"/>
    </row>
    <row r="413" spans="1:5" ht="12.75" customHeight="1">
      <c r="A413" s="22"/>
      <c r="B413" s="22"/>
      <c r="C413" s="22"/>
      <c r="D413" s="136"/>
      <c r="E413" s="151"/>
    </row>
    <row r="414" spans="1:5" ht="12.75" customHeight="1">
      <c r="A414" s="22"/>
      <c r="B414" s="22"/>
      <c r="C414" s="22"/>
      <c r="D414" s="136"/>
      <c r="E414" s="151"/>
    </row>
    <row r="415" spans="1:5" ht="12.75" customHeight="1">
      <c r="A415" s="22"/>
      <c r="B415" s="22"/>
      <c r="C415" s="22"/>
      <c r="D415" s="136"/>
      <c r="E415" s="151"/>
    </row>
    <row r="416" spans="1:5" ht="12.75" customHeight="1">
      <c r="A416" s="22"/>
      <c r="B416" s="22"/>
      <c r="C416" s="22"/>
      <c r="D416" s="136"/>
      <c r="E416" s="151"/>
    </row>
    <row r="417" spans="1:5" ht="12.75" customHeight="1">
      <c r="A417" s="22"/>
      <c r="B417" s="22"/>
      <c r="C417" s="22"/>
      <c r="D417" s="136"/>
      <c r="E417" s="151"/>
    </row>
    <row r="418" spans="1:5" ht="12.75" customHeight="1">
      <c r="A418" s="22"/>
      <c r="B418" s="22"/>
      <c r="C418" s="22"/>
      <c r="D418" s="136"/>
      <c r="E418" s="151"/>
    </row>
    <row r="419" spans="1:5" ht="12.75" customHeight="1">
      <c r="A419" s="22"/>
      <c r="B419" s="22"/>
      <c r="C419" s="22"/>
      <c r="D419" s="136"/>
      <c r="E419" s="151"/>
    </row>
    <row r="420" spans="1:5" ht="12.75" customHeight="1">
      <c r="A420" s="22"/>
      <c r="B420" s="22"/>
      <c r="C420" s="22"/>
      <c r="D420" s="136"/>
      <c r="E420" s="151"/>
    </row>
    <row r="421" spans="1:5" ht="12.75" customHeight="1">
      <c r="A421" s="22"/>
      <c r="B421" s="22"/>
      <c r="C421" s="22"/>
      <c r="D421" s="136"/>
      <c r="E421" s="151"/>
    </row>
    <row r="422" spans="1:5" ht="12.75" customHeight="1">
      <c r="A422" s="22"/>
      <c r="B422" s="22"/>
      <c r="C422" s="22"/>
      <c r="D422" s="136"/>
      <c r="E422" s="151"/>
    </row>
    <row r="423" spans="1:5" ht="12.75" customHeight="1">
      <c r="A423" s="22"/>
      <c r="B423" s="22"/>
      <c r="C423" s="22"/>
      <c r="D423" s="136"/>
      <c r="E423" s="151"/>
    </row>
    <row r="424" spans="1:5" ht="12.75" customHeight="1">
      <c r="A424" s="22"/>
      <c r="B424" s="22"/>
      <c r="C424" s="22"/>
      <c r="D424" s="136"/>
      <c r="E424" s="151"/>
    </row>
    <row r="425" spans="1:5" ht="12.75" customHeight="1">
      <c r="A425" s="22"/>
      <c r="B425" s="22"/>
      <c r="C425" s="22"/>
      <c r="D425" s="136"/>
      <c r="E425" s="151"/>
    </row>
    <row r="426" spans="1:5" ht="12.75" customHeight="1">
      <c r="A426" s="22"/>
      <c r="B426" s="22"/>
      <c r="C426" s="22"/>
      <c r="D426" s="136"/>
      <c r="E426" s="151"/>
    </row>
    <row r="427" spans="1:5" ht="12.75" customHeight="1">
      <c r="A427" s="22"/>
      <c r="B427" s="22"/>
      <c r="C427" s="22"/>
      <c r="D427" s="136"/>
      <c r="E427" s="151"/>
    </row>
    <row r="428" spans="1:5" ht="12.75" customHeight="1">
      <c r="A428" s="22"/>
      <c r="B428" s="22"/>
      <c r="C428" s="22"/>
      <c r="D428" s="136"/>
      <c r="E428" s="151"/>
    </row>
    <row r="429" spans="1:5" ht="12.75" customHeight="1">
      <c r="A429" s="22"/>
      <c r="B429" s="22"/>
      <c r="C429" s="22"/>
      <c r="D429" s="136"/>
      <c r="E429" s="151"/>
    </row>
    <row r="430" spans="1:5" ht="12.75" customHeight="1">
      <c r="A430" s="22"/>
      <c r="B430" s="22"/>
      <c r="C430" s="22"/>
      <c r="D430" s="136"/>
      <c r="E430" s="151"/>
    </row>
    <row r="431" spans="1:5" ht="12.75" customHeight="1">
      <c r="A431" s="22"/>
      <c r="B431" s="22"/>
      <c r="C431" s="22"/>
      <c r="D431" s="136"/>
      <c r="E431" s="151"/>
    </row>
    <row r="432" spans="1:5" ht="12.75" customHeight="1">
      <c r="A432" s="22"/>
      <c r="B432" s="22"/>
      <c r="C432" s="22"/>
      <c r="D432" s="136"/>
      <c r="E432" s="151"/>
    </row>
    <row r="433" spans="1:5" ht="12.75" customHeight="1">
      <c r="A433" s="22"/>
      <c r="B433" s="22"/>
      <c r="C433" s="22"/>
      <c r="D433" s="136"/>
      <c r="E433" s="151"/>
    </row>
    <row r="434" spans="1:5" ht="12.75" customHeight="1">
      <c r="A434" s="22"/>
      <c r="B434" s="22"/>
      <c r="C434" s="22"/>
      <c r="D434" s="136"/>
      <c r="E434" s="151"/>
    </row>
    <row r="435" spans="1:5" ht="12.75" customHeight="1">
      <c r="A435" s="22"/>
      <c r="B435" s="22"/>
      <c r="C435" s="22"/>
      <c r="D435" s="136"/>
      <c r="E435" s="151"/>
    </row>
    <row r="436" spans="1:5" ht="12.75" customHeight="1">
      <c r="A436" s="22"/>
      <c r="B436" s="22"/>
      <c r="C436" s="22"/>
      <c r="D436" s="136"/>
      <c r="E436" s="151"/>
    </row>
    <row r="437" spans="1:5" ht="12.75" customHeight="1">
      <c r="A437" s="22"/>
      <c r="B437" s="22"/>
      <c r="C437" s="22"/>
      <c r="D437" s="136"/>
      <c r="E437" s="151"/>
    </row>
    <row r="438" spans="1:5" ht="12.75" customHeight="1">
      <c r="A438" s="22"/>
      <c r="B438" s="22"/>
      <c r="C438" s="22"/>
      <c r="D438" s="136"/>
      <c r="E438" s="151"/>
    </row>
    <row r="439" spans="1:5" ht="12.75" customHeight="1">
      <c r="A439" s="22"/>
      <c r="B439" s="22"/>
      <c r="C439" s="22"/>
      <c r="D439" s="136"/>
      <c r="E439" s="151"/>
    </row>
    <row r="440" spans="1:5" ht="12.75" customHeight="1">
      <c r="A440" s="22"/>
      <c r="B440" s="22"/>
      <c r="C440" s="22"/>
      <c r="D440" s="136"/>
      <c r="E440" s="151"/>
    </row>
    <row r="441" spans="1:5" ht="12.75" customHeight="1">
      <c r="A441" s="22"/>
      <c r="B441" s="22"/>
      <c r="C441" s="22"/>
      <c r="D441" s="136"/>
      <c r="E441" s="151"/>
    </row>
    <row r="442" spans="1:5" ht="12.75" customHeight="1">
      <c r="A442" s="22"/>
      <c r="B442" s="22"/>
      <c r="C442" s="22"/>
      <c r="D442" s="136"/>
      <c r="E442" s="151"/>
    </row>
    <row r="443" spans="1:5" ht="12.75" customHeight="1">
      <c r="A443" s="22"/>
      <c r="B443" s="22"/>
      <c r="C443" s="22"/>
      <c r="D443" s="136"/>
      <c r="E443" s="151"/>
    </row>
    <row r="444" spans="1:5" ht="12.75" customHeight="1">
      <c r="A444" s="22"/>
      <c r="B444" s="22"/>
      <c r="C444" s="22"/>
      <c r="D444" s="136"/>
      <c r="E444" s="151"/>
    </row>
    <row r="445" spans="1:5" ht="12.75" customHeight="1">
      <c r="A445" s="22"/>
      <c r="B445" s="22"/>
      <c r="C445" s="22"/>
      <c r="D445" s="136"/>
      <c r="E445" s="151"/>
    </row>
    <row r="446" spans="1:5" ht="12.75" customHeight="1">
      <c r="A446" s="22"/>
      <c r="B446" s="22"/>
      <c r="C446" s="22"/>
      <c r="D446" s="136"/>
      <c r="E446" s="151"/>
    </row>
    <row r="447" spans="1:5" ht="12.75" customHeight="1">
      <c r="A447" s="22"/>
      <c r="B447" s="22"/>
      <c r="C447" s="22"/>
      <c r="D447" s="136"/>
      <c r="E447" s="151"/>
    </row>
    <row r="448" spans="1:5" ht="12.75" customHeight="1">
      <c r="A448" s="22"/>
      <c r="B448" s="22"/>
      <c r="C448" s="22"/>
      <c r="D448" s="136"/>
      <c r="E448" s="151"/>
    </row>
    <row r="449" spans="1:5" ht="12.75" customHeight="1">
      <c r="A449" s="22"/>
      <c r="B449" s="22"/>
      <c r="C449" s="22"/>
      <c r="D449" s="136"/>
      <c r="E449" s="151"/>
    </row>
    <row r="450" spans="1:5" ht="12.75" customHeight="1">
      <c r="A450" s="22"/>
      <c r="B450" s="22"/>
      <c r="C450" s="22"/>
      <c r="D450" s="136"/>
      <c r="E450" s="151"/>
    </row>
    <row r="451" spans="1:5" ht="12.75" customHeight="1">
      <c r="A451" s="22"/>
      <c r="B451" s="22"/>
      <c r="C451" s="22"/>
      <c r="D451" s="136"/>
      <c r="E451" s="151"/>
    </row>
    <row r="452" spans="1:5" ht="12.75" customHeight="1">
      <c r="A452" s="22"/>
      <c r="B452" s="22"/>
      <c r="C452" s="22"/>
      <c r="D452" s="136"/>
      <c r="E452" s="151"/>
    </row>
    <row r="453" spans="1:5" ht="12.75" customHeight="1">
      <c r="A453" s="22"/>
      <c r="B453" s="22"/>
      <c r="C453" s="22"/>
      <c r="D453" s="136"/>
      <c r="E453" s="151"/>
    </row>
    <row r="454" spans="1:5" ht="12.75" customHeight="1">
      <c r="A454" s="22"/>
      <c r="B454" s="22"/>
      <c r="C454" s="22"/>
      <c r="D454" s="136"/>
      <c r="E454" s="151"/>
    </row>
    <row r="455" spans="1:5" ht="12.75" customHeight="1">
      <c r="A455" s="22"/>
      <c r="B455" s="22"/>
      <c r="C455" s="22"/>
      <c r="D455" s="136"/>
      <c r="E455" s="151"/>
    </row>
    <row r="456" spans="1:5" ht="12.75" customHeight="1">
      <c r="A456" s="22"/>
      <c r="B456" s="22"/>
      <c r="C456" s="22"/>
      <c r="D456" s="136"/>
      <c r="E456" s="151"/>
    </row>
    <row r="457" spans="1:5" ht="12.75" customHeight="1">
      <c r="A457" s="22"/>
      <c r="B457" s="22"/>
      <c r="C457" s="22"/>
      <c r="D457" s="136"/>
      <c r="E457" s="151"/>
    </row>
    <row r="458" spans="1:5" ht="12.75" customHeight="1">
      <c r="A458" s="22"/>
      <c r="B458" s="22"/>
      <c r="C458" s="22"/>
      <c r="D458" s="136"/>
      <c r="E458" s="151"/>
    </row>
    <row r="459" spans="1:5" ht="12.75" customHeight="1">
      <c r="A459" s="22"/>
      <c r="B459" s="22"/>
      <c r="C459" s="22"/>
      <c r="D459" s="136"/>
      <c r="E459" s="151"/>
    </row>
    <row r="460" spans="1:5" ht="12.75" customHeight="1">
      <c r="A460" s="22"/>
      <c r="B460" s="22"/>
      <c r="C460" s="22"/>
      <c r="D460" s="136"/>
      <c r="E460" s="151"/>
    </row>
    <row r="461" spans="1:5" ht="12.75" customHeight="1">
      <c r="A461" s="22"/>
      <c r="B461" s="22"/>
      <c r="C461" s="22"/>
      <c r="D461" s="136"/>
      <c r="E461" s="151"/>
    </row>
    <row r="462" spans="1:5" ht="12.75" customHeight="1">
      <c r="A462" s="22"/>
      <c r="B462" s="22"/>
      <c r="C462" s="22"/>
      <c r="D462" s="136"/>
      <c r="E462" s="151"/>
    </row>
    <row r="463" spans="1:5" ht="12.75" customHeight="1">
      <c r="A463" s="22"/>
      <c r="B463" s="22"/>
      <c r="C463" s="22"/>
      <c r="D463" s="136"/>
      <c r="E463" s="151"/>
    </row>
    <row r="464" spans="1:5" ht="12.75" customHeight="1">
      <c r="A464" s="22"/>
      <c r="B464" s="22"/>
      <c r="C464" s="22"/>
      <c r="D464" s="136"/>
      <c r="E464" s="151"/>
    </row>
    <row r="465" spans="1:5" ht="12.75" customHeight="1">
      <c r="A465" s="22"/>
      <c r="B465" s="22"/>
      <c r="C465" s="22"/>
      <c r="D465" s="136"/>
      <c r="E465" s="151"/>
    </row>
    <row r="466" spans="1:5" ht="12.75" customHeight="1">
      <c r="A466" s="22"/>
      <c r="B466" s="22"/>
      <c r="C466" s="22"/>
      <c r="D466" s="136"/>
      <c r="E466" s="151"/>
    </row>
    <row r="467" spans="1:5" ht="12.75" customHeight="1">
      <c r="A467" s="22"/>
      <c r="B467" s="22"/>
      <c r="C467" s="22"/>
      <c r="D467" s="136"/>
      <c r="E467" s="151"/>
    </row>
    <row r="468" spans="1:5" ht="12.75" customHeight="1">
      <c r="A468" s="22"/>
      <c r="B468" s="22"/>
      <c r="C468" s="22"/>
      <c r="D468" s="136"/>
      <c r="E468" s="151"/>
    </row>
    <row r="469" spans="1:5" ht="12.75" customHeight="1">
      <c r="A469" s="22"/>
      <c r="B469" s="22"/>
      <c r="C469" s="22"/>
      <c r="D469" s="136"/>
      <c r="E469" s="151"/>
    </row>
    <row r="470" spans="1:5" ht="12.75" customHeight="1">
      <c r="A470" s="22"/>
      <c r="B470" s="22"/>
      <c r="C470" s="22"/>
      <c r="D470" s="136"/>
      <c r="E470" s="151"/>
    </row>
    <row r="471" spans="1:5" ht="12.75" customHeight="1">
      <c r="A471" s="22"/>
      <c r="B471" s="22"/>
      <c r="C471" s="22"/>
      <c r="D471" s="136"/>
      <c r="E471" s="151"/>
    </row>
    <row r="472" spans="1:5" ht="12.75" customHeight="1">
      <c r="A472" s="22"/>
      <c r="B472" s="22"/>
      <c r="C472" s="22"/>
      <c r="D472" s="136"/>
      <c r="E472" s="151"/>
    </row>
    <row r="473" spans="1:5" ht="12.75" customHeight="1">
      <c r="A473" s="22"/>
      <c r="B473" s="22"/>
      <c r="C473" s="22"/>
      <c r="D473" s="136"/>
      <c r="E473" s="151"/>
    </row>
    <row r="474" spans="1:5" ht="12.75" customHeight="1">
      <c r="A474" s="22"/>
      <c r="B474" s="22"/>
      <c r="C474" s="22"/>
      <c r="D474" s="136"/>
      <c r="E474" s="151"/>
    </row>
    <row r="475" spans="1:5" ht="12.75" customHeight="1">
      <c r="A475" s="22"/>
      <c r="B475" s="22"/>
      <c r="C475" s="22"/>
      <c r="D475" s="136"/>
      <c r="E475" s="151"/>
    </row>
    <row r="476" spans="1:5" ht="12.75" customHeight="1">
      <c r="A476" s="22"/>
      <c r="B476" s="22"/>
      <c r="C476" s="22"/>
      <c r="D476" s="136"/>
      <c r="E476" s="151"/>
    </row>
    <row r="477" spans="1:5" ht="12.75" customHeight="1">
      <c r="A477" s="22"/>
      <c r="B477" s="22"/>
      <c r="C477" s="22"/>
      <c r="D477" s="136"/>
      <c r="E477" s="151"/>
    </row>
    <row r="478" spans="1:5" ht="12.75" customHeight="1">
      <c r="A478" s="22"/>
      <c r="B478" s="22"/>
      <c r="C478" s="22"/>
      <c r="D478" s="136"/>
      <c r="E478" s="151"/>
    </row>
    <row r="479" spans="1:5" ht="12.75" customHeight="1">
      <c r="A479" s="22"/>
      <c r="B479" s="22"/>
      <c r="C479" s="22"/>
      <c r="D479" s="136"/>
      <c r="E479" s="151"/>
    </row>
    <row r="480" spans="1:5" ht="12.75" customHeight="1">
      <c r="A480" s="22"/>
      <c r="B480" s="22"/>
      <c r="C480" s="22"/>
      <c r="D480" s="136"/>
      <c r="E480" s="151"/>
    </row>
    <row r="481" spans="1:5" ht="12.75" customHeight="1">
      <c r="A481" s="22"/>
      <c r="B481" s="22"/>
      <c r="C481" s="22"/>
      <c r="D481" s="136"/>
      <c r="E481" s="151"/>
    </row>
    <row r="482" spans="1:5" ht="12.75" customHeight="1">
      <c r="A482" s="22"/>
      <c r="B482" s="22"/>
      <c r="C482" s="22"/>
      <c r="D482" s="136"/>
      <c r="E482" s="151"/>
    </row>
    <row r="483" spans="1:5" ht="12.75" customHeight="1">
      <c r="A483" s="22"/>
      <c r="B483" s="22"/>
      <c r="C483" s="22"/>
      <c r="D483" s="136"/>
      <c r="E483" s="151"/>
    </row>
    <row r="484" spans="1:5" ht="12.75" customHeight="1">
      <c r="A484" s="22"/>
      <c r="B484" s="22"/>
      <c r="C484" s="22"/>
      <c r="D484" s="136"/>
      <c r="E484" s="151"/>
    </row>
    <row r="485" spans="1:5" ht="12.75" customHeight="1">
      <c r="A485" s="22"/>
      <c r="B485" s="22"/>
      <c r="C485" s="22"/>
      <c r="D485" s="136"/>
      <c r="E485" s="151"/>
    </row>
    <row r="486" spans="1:5" ht="12.75" customHeight="1">
      <c r="A486" s="22"/>
      <c r="B486" s="22"/>
      <c r="C486" s="22"/>
      <c r="D486" s="136"/>
      <c r="E486" s="151"/>
    </row>
    <row r="487" spans="1:5" ht="12.75" customHeight="1">
      <c r="A487" s="22"/>
      <c r="B487" s="22"/>
      <c r="C487" s="22"/>
      <c r="D487" s="136"/>
      <c r="E487" s="151"/>
    </row>
    <row r="488" spans="1:5" ht="12.75" customHeight="1">
      <c r="A488" s="22"/>
      <c r="B488" s="22"/>
      <c r="C488" s="22"/>
      <c r="D488" s="136"/>
      <c r="E488" s="151"/>
    </row>
    <row r="489" spans="1:5" ht="12.75" customHeight="1">
      <c r="A489" s="22"/>
      <c r="B489" s="22"/>
      <c r="C489" s="22"/>
      <c r="D489" s="136"/>
      <c r="E489" s="151"/>
    </row>
    <row r="490" spans="1:5" ht="12.75" customHeight="1">
      <c r="A490" s="22"/>
      <c r="B490" s="22"/>
      <c r="C490" s="22"/>
      <c r="D490" s="136"/>
      <c r="E490" s="151"/>
    </row>
    <row r="491" spans="1:5" ht="12.75" customHeight="1">
      <c r="A491" s="22"/>
      <c r="B491" s="22"/>
      <c r="C491" s="22"/>
      <c r="D491" s="136"/>
      <c r="E491" s="151"/>
    </row>
    <row r="492" spans="1:5" ht="12.75" customHeight="1">
      <c r="A492" s="22"/>
      <c r="B492" s="22"/>
      <c r="C492" s="22"/>
      <c r="D492" s="136"/>
      <c r="E492" s="151"/>
    </row>
    <row r="493" spans="1:5" ht="12.75" customHeight="1">
      <c r="A493" s="22"/>
      <c r="B493" s="22"/>
      <c r="C493" s="22"/>
      <c r="D493" s="136"/>
      <c r="E493" s="151"/>
    </row>
    <row r="494" spans="1:5" ht="12.75" customHeight="1">
      <c r="A494" s="22"/>
      <c r="B494" s="22"/>
      <c r="C494" s="22"/>
      <c r="D494" s="136"/>
      <c r="E494" s="151"/>
    </row>
    <row r="495" spans="1:5" ht="12.75" customHeight="1">
      <c r="A495" s="22"/>
      <c r="B495" s="22"/>
      <c r="C495" s="22"/>
      <c r="D495" s="136"/>
      <c r="E495" s="151"/>
    </row>
    <row r="496" spans="1:5" ht="12.75" customHeight="1">
      <c r="A496" s="22"/>
      <c r="B496" s="22"/>
      <c r="C496" s="22"/>
      <c r="D496" s="136"/>
      <c r="E496" s="151"/>
    </row>
    <row r="497" spans="1:5" ht="12.75" customHeight="1">
      <c r="A497" s="22"/>
      <c r="B497" s="22"/>
      <c r="C497" s="22"/>
      <c r="D497" s="136"/>
      <c r="E497" s="151"/>
    </row>
    <row r="498" spans="1:5" ht="12.75" customHeight="1">
      <c r="A498" s="22"/>
      <c r="B498" s="22"/>
      <c r="C498" s="22"/>
      <c r="D498" s="136"/>
      <c r="E498" s="151"/>
    </row>
    <row r="499" spans="1:5" ht="12.75" customHeight="1">
      <c r="A499" s="22"/>
      <c r="B499" s="22"/>
      <c r="C499" s="22"/>
      <c r="D499" s="136"/>
      <c r="E499" s="151"/>
    </row>
    <row r="500" spans="1:5" ht="12.75" customHeight="1">
      <c r="A500" s="22"/>
      <c r="B500" s="22"/>
      <c r="C500" s="22"/>
      <c r="D500" s="136"/>
      <c r="E500" s="151"/>
    </row>
    <row r="501" spans="1:5" ht="12.75" customHeight="1">
      <c r="A501" s="22"/>
      <c r="B501" s="22"/>
      <c r="C501" s="22"/>
      <c r="D501" s="136"/>
      <c r="E501" s="151"/>
    </row>
    <row r="502" spans="1:5" ht="12.75" customHeight="1">
      <c r="A502" s="22"/>
      <c r="B502" s="22"/>
      <c r="C502" s="22"/>
      <c r="D502" s="136"/>
      <c r="E502" s="151"/>
    </row>
    <row r="503" spans="1:5" ht="12.75" customHeight="1">
      <c r="A503" s="22"/>
      <c r="B503" s="22"/>
      <c r="C503" s="22"/>
      <c r="D503" s="136"/>
      <c r="E503" s="151"/>
    </row>
    <row r="504" spans="1:5" ht="12.75" customHeight="1">
      <c r="A504" s="22"/>
      <c r="B504" s="22"/>
      <c r="C504" s="22"/>
      <c r="D504" s="136"/>
      <c r="E504" s="151"/>
    </row>
    <row r="505" spans="1:5" ht="12.75" customHeight="1">
      <c r="A505" s="22"/>
      <c r="B505" s="22"/>
      <c r="C505" s="22"/>
      <c r="D505" s="136"/>
      <c r="E505" s="151"/>
    </row>
    <row r="506" spans="1:5" ht="12.75" customHeight="1">
      <c r="A506" s="22"/>
      <c r="B506" s="22"/>
      <c r="C506" s="22"/>
      <c r="D506" s="136"/>
      <c r="E506" s="151"/>
    </row>
    <row r="507" spans="1:5" ht="12.75" customHeight="1">
      <c r="A507" s="22"/>
      <c r="B507" s="22"/>
      <c r="C507" s="22"/>
      <c r="D507" s="136"/>
      <c r="E507" s="151"/>
    </row>
    <row r="508" spans="1:5" ht="12.75" customHeight="1">
      <c r="A508" s="22"/>
      <c r="B508" s="22"/>
      <c r="C508" s="22"/>
      <c r="D508" s="136"/>
      <c r="E508" s="151"/>
    </row>
    <row r="509" spans="1:5" ht="12.75" customHeight="1">
      <c r="A509" s="22"/>
      <c r="B509" s="22"/>
      <c r="C509" s="22"/>
      <c r="D509" s="136"/>
      <c r="E509" s="151"/>
    </row>
    <row r="510" spans="1:5" ht="12.75" customHeight="1">
      <c r="A510" s="22"/>
      <c r="B510" s="22"/>
      <c r="C510" s="22"/>
      <c r="D510" s="136"/>
      <c r="E510" s="151"/>
    </row>
    <row r="511" spans="1:5" ht="12.75" customHeight="1">
      <c r="A511" s="22"/>
      <c r="B511" s="22"/>
      <c r="C511" s="22"/>
      <c r="D511" s="136"/>
      <c r="E511" s="151"/>
    </row>
    <row r="512" spans="1:5" ht="12.75" customHeight="1">
      <c r="A512" s="22"/>
      <c r="B512" s="22"/>
      <c r="C512" s="22"/>
      <c r="D512" s="136"/>
      <c r="E512" s="151"/>
    </row>
    <row r="513" spans="1:5" ht="12.75" customHeight="1">
      <c r="A513" s="22"/>
      <c r="B513" s="22"/>
      <c r="C513" s="22"/>
      <c r="D513" s="136"/>
      <c r="E513" s="151"/>
    </row>
    <row r="514" spans="1:5" ht="12.75" customHeight="1">
      <c r="A514" s="22"/>
      <c r="B514" s="22"/>
      <c r="C514" s="22"/>
      <c r="D514" s="136"/>
      <c r="E514" s="151"/>
    </row>
    <row r="515" spans="1:5" ht="12.75" customHeight="1">
      <c r="A515" s="22"/>
      <c r="B515" s="22"/>
      <c r="C515" s="22"/>
      <c r="D515" s="136"/>
      <c r="E515" s="151"/>
    </row>
    <row r="516" spans="1:5" ht="12.75" customHeight="1">
      <c r="A516" s="22"/>
      <c r="B516" s="22"/>
      <c r="C516" s="22"/>
      <c r="D516" s="136"/>
      <c r="E516" s="151"/>
    </row>
    <row r="517" spans="1:5" ht="12.75" customHeight="1">
      <c r="A517" s="22"/>
      <c r="B517" s="22"/>
      <c r="C517" s="22"/>
      <c r="D517" s="136"/>
      <c r="E517" s="151"/>
    </row>
    <row r="518" spans="1:5" ht="12.75" customHeight="1">
      <c r="A518" s="22"/>
      <c r="B518" s="22"/>
      <c r="C518" s="22"/>
      <c r="D518" s="136"/>
      <c r="E518" s="151"/>
    </row>
    <row r="519" spans="1:5" ht="12.75" customHeight="1">
      <c r="A519" s="22"/>
      <c r="B519" s="22"/>
      <c r="C519" s="22"/>
      <c r="D519" s="136"/>
      <c r="E519" s="151"/>
    </row>
    <row r="520" spans="1:5" ht="12.75" customHeight="1">
      <c r="A520" s="22"/>
      <c r="B520" s="22"/>
      <c r="C520" s="22"/>
      <c r="D520" s="136"/>
      <c r="E520" s="151"/>
    </row>
    <row r="521" spans="1:5" ht="12.75" customHeight="1">
      <c r="A521" s="22"/>
      <c r="B521" s="22"/>
      <c r="C521" s="22"/>
      <c r="D521" s="136"/>
      <c r="E521" s="151"/>
    </row>
    <row r="522" spans="1:5" ht="12.75" customHeight="1">
      <c r="A522" s="22"/>
      <c r="B522" s="22"/>
      <c r="C522" s="22"/>
      <c r="D522" s="136"/>
      <c r="E522" s="151"/>
    </row>
    <row r="523" spans="1:5" ht="12.75" customHeight="1">
      <c r="A523" s="22"/>
      <c r="B523" s="22"/>
      <c r="C523" s="22"/>
      <c r="D523" s="136"/>
      <c r="E523" s="151"/>
    </row>
    <row r="524" spans="1:5" ht="12.75" customHeight="1">
      <c r="A524" s="22"/>
      <c r="B524" s="22"/>
      <c r="C524" s="22"/>
      <c r="D524" s="136"/>
      <c r="E524" s="151"/>
    </row>
    <row r="525" spans="1:5" ht="12.75" customHeight="1">
      <c r="A525" s="22"/>
      <c r="B525" s="22"/>
      <c r="C525" s="22"/>
      <c r="D525" s="136"/>
      <c r="E525" s="151"/>
    </row>
    <row r="526" spans="1:5" ht="12.75" customHeight="1">
      <c r="A526" s="22"/>
      <c r="B526" s="22"/>
      <c r="C526" s="22"/>
      <c r="D526" s="136"/>
      <c r="E526" s="151"/>
    </row>
    <row r="527" spans="1:5" ht="12.75" customHeight="1">
      <c r="A527" s="22"/>
      <c r="B527" s="22"/>
      <c r="C527" s="22"/>
      <c r="D527" s="136"/>
      <c r="E527" s="151"/>
    </row>
    <row r="528" spans="1:5" ht="12.75" customHeight="1">
      <c r="A528" s="22"/>
      <c r="B528" s="22"/>
      <c r="C528" s="22"/>
      <c r="D528" s="136"/>
      <c r="E528" s="151"/>
    </row>
    <row r="529" spans="1:5" ht="12.75" customHeight="1">
      <c r="A529" s="22"/>
      <c r="B529" s="22"/>
      <c r="C529" s="22"/>
      <c r="D529" s="136"/>
      <c r="E529" s="151"/>
    </row>
    <row r="530" spans="1:5" ht="12.75" customHeight="1">
      <c r="A530" s="22"/>
      <c r="B530" s="22"/>
      <c r="C530" s="22"/>
      <c r="D530" s="136"/>
      <c r="E530" s="151"/>
    </row>
    <row r="531" spans="1:5" ht="12.75" customHeight="1">
      <c r="A531" s="22"/>
      <c r="B531" s="22"/>
      <c r="C531" s="22"/>
      <c r="D531" s="136"/>
      <c r="E531" s="151"/>
    </row>
    <row r="532" spans="1:5" ht="12.75" customHeight="1">
      <c r="A532" s="22"/>
      <c r="B532" s="22"/>
      <c r="C532" s="22"/>
      <c r="D532" s="136"/>
      <c r="E532" s="151"/>
    </row>
    <row r="533" spans="1:5" ht="12.75" customHeight="1">
      <c r="A533" s="22"/>
      <c r="B533" s="22"/>
      <c r="C533" s="22"/>
      <c r="D533" s="136"/>
      <c r="E533" s="151"/>
    </row>
    <row r="534" spans="1:5" ht="12.75" customHeight="1">
      <c r="A534" s="22"/>
      <c r="B534" s="22"/>
      <c r="C534" s="22"/>
      <c r="D534" s="136"/>
      <c r="E534" s="151"/>
    </row>
    <row r="535" spans="1:5" ht="12.75" customHeight="1">
      <c r="A535" s="22"/>
      <c r="B535" s="22"/>
      <c r="C535" s="22"/>
      <c r="D535" s="136"/>
      <c r="E535" s="151"/>
    </row>
    <row r="536" spans="1:5" ht="12.75" customHeight="1">
      <c r="A536" s="22"/>
      <c r="B536" s="22"/>
      <c r="C536" s="22"/>
      <c r="D536" s="136"/>
      <c r="E536" s="151"/>
    </row>
    <row r="537" spans="1:5" ht="12.75" customHeight="1">
      <c r="A537" s="22"/>
      <c r="B537" s="22"/>
      <c r="C537" s="22"/>
      <c r="D537" s="136"/>
      <c r="E537" s="151"/>
    </row>
    <row r="538" spans="1:5" ht="12.75" customHeight="1">
      <c r="A538" s="22"/>
      <c r="B538" s="22"/>
      <c r="C538" s="22"/>
      <c r="D538" s="136"/>
      <c r="E538" s="151"/>
    </row>
    <row r="539" spans="1:5" ht="12.75" customHeight="1">
      <c r="A539" s="22"/>
      <c r="B539" s="22"/>
      <c r="C539" s="22"/>
      <c r="D539" s="136"/>
      <c r="E539" s="151"/>
    </row>
    <row r="540" spans="1:5" ht="12.75" customHeight="1">
      <c r="A540" s="22"/>
      <c r="B540" s="22"/>
      <c r="C540" s="22"/>
      <c r="D540" s="136"/>
      <c r="E540" s="151"/>
    </row>
    <row r="541" spans="1:5" ht="12.75" customHeight="1">
      <c r="A541" s="22"/>
      <c r="B541" s="22"/>
      <c r="C541" s="22"/>
      <c r="D541" s="136"/>
      <c r="E541" s="151"/>
    </row>
    <row r="542" spans="1:5" ht="12.75" customHeight="1">
      <c r="A542" s="22"/>
      <c r="B542" s="22"/>
      <c r="C542" s="22"/>
      <c r="D542" s="136"/>
      <c r="E542" s="151"/>
    </row>
    <row r="543" spans="1:5" ht="12.75" customHeight="1">
      <c r="A543" s="22"/>
      <c r="B543" s="22"/>
      <c r="C543" s="22"/>
      <c r="D543" s="136"/>
      <c r="E543" s="151"/>
    </row>
    <row r="544" spans="1:5" ht="12.75" customHeight="1">
      <c r="A544" s="22"/>
      <c r="B544" s="22"/>
      <c r="C544" s="22"/>
      <c r="D544" s="136"/>
      <c r="E544" s="151"/>
    </row>
    <row r="545" spans="1:5" ht="12.75" customHeight="1">
      <c r="A545" s="22"/>
      <c r="B545" s="22"/>
      <c r="C545" s="22"/>
      <c r="D545" s="136"/>
      <c r="E545" s="151"/>
    </row>
    <row r="546" spans="1:5" ht="12.75" customHeight="1">
      <c r="A546" s="22"/>
      <c r="B546" s="22"/>
      <c r="C546" s="22"/>
      <c r="D546" s="136"/>
      <c r="E546" s="151"/>
    </row>
    <row r="547" spans="1:5" ht="12.75" customHeight="1">
      <c r="A547" s="22"/>
      <c r="B547" s="22"/>
      <c r="C547" s="22"/>
      <c r="D547" s="136"/>
      <c r="E547" s="151"/>
    </row>
    <row r="548" spans="1:5" ht="12.75" customHeight="1">
      <c r="A548" s="22"/>
      <c r="B548" s="22"/>
      <c r="C548" s="22"/>
      <c r="D548" s="136"/>
      <c r="E548" s="151"/>
    </row>
    <row r="549" spans="1:5" ht="12.75" customHeight="1">
      <c r="A549" s="22"/>
      <c r="B549" s="22"/>
      <c r="C549" s="22"/>
      <c r="D549" s="136"/>
      <c r="E549" s="151"/>
    </row>
    <row r="550" spans="1:5" ht="12.75" customHeight="1">
      <c r="A550" s="22"/>
      <c r="B550" s="22"/>
      <c r="C550" s="22"/>
      <c r="D550" s="136"/>
      <c r="E550" s="151"/>
    </row>
    <row r="551" spans="1:5" ht="12.75" customHeight="1">
      <c r="A551" s="22"/>
      <c r="B551" s="22"/>
      <c r="C551" s="22"/>
      <c r="D551" s="136"/>
      <c r="E551" s="151"/>
    </row>
    <row r="552" spans="1:5" ht="12.75" customHeight="1">
      <c r="A552" s="22"/>
      <c r="B552" s="22"/>
      <c r="C552" s="22"/>
      <c r="D552" s="136"/>
      <c r="E552" s="151"/>
    </row>
    <row r="553" spans="1:5" ht="12.75" customHeight="1">
      <c r="A553" s="22"/>
      <c r="B553" s="22"/>
      <c r="C553" s="22"/>
      <c r="D553" s="136"/>
      <c r="E553" s="151"/>
    </row>
    <row r="554" spans="1:5" ht="12.75" customHeight="1">
      <c r="A554" s="22"/>
      <c r="B554" s="22"/>
      <c r="C554" s="22"/>
      <c r="D554" s="136"/>
      <c r="E554" s="151"/>
    </row>
    <row r="555" spans="1:5" ht="12.75" customHeight="1">
      <c r="A555" s="22"/>
      <c r="B555" s="22"/>
      <c r="C555" s="22"/>
      <c r="D555" s="136"/>
      <c r="E555" s="151"/>
    </row>
    <row r="556" spans="1:5" ht="12.75" customHeight="1">
      <c r="A556" s="22"/>
      <c r="B556" s="22"/>
      <c r="C556" s="22"/>
      <c r="D556" s="136"/>
      <c r="E556" s="151"/>
    </row>
    <row r="557" spans="1:5" ht="12.75" customHeight="1">
      <c r="A557" s="22"/>
      <c r="B557" s="22"/>
      <c r="C557" s="22"/>
      <c r="D557" s="136"/>
      <c r="E557" s="151"/>
    </row>
    <row r="558" spans="1:5" ht="12.75" customHeight="1">
      <c r="A558" s="22"/>
      <c r="B558" s="22"/>
      <c r="C558" s="22"/>
      <c r="D558" s="136"/>
      <c r="E558" s="151"/>
    </row>
    <row r="559" spans="1:5" ht="12.75" customHeight="1">
      <c r="A559" s="22"/>
      <c r="B559" s="22"/>
      <c r="C559" s="22"/>
      <c r="D559" s="136"/>
      <c r="E559" s="151"/>
    </row>
    <row r="560" spans="1:5" ht="12.75" customHeight="1">
      <c r="A560" s="22"/>
      <c r="B560" s="22"/>
      <c r="C560" s="22"/>
      <c r="D560" s="136"/>
      <c r="E560" s="151"/>
    </row>
    <row r="561" spans="1:5" ht="12.75" customHeight="1">
      <c r="A561" s="22"/>
      <c r="B561" s="22"/>
      <c r="C561" s="22"/>
      <c r="D561" s="136"/>
      <c r="E561" s="151"/>
    </row>
    <row r="562" spans="1:5" ht="12.75" customHeight="1">
      <c r="A562" s="22"/>
      <c r="B562" s="22"/>
      <c r="C562" s="22"/>
      <c r="D562" s="136"/>
      <c r="E562" s="151"/>
    </row>
    <row r="563" spans="1:5" ht="12.75" customHeight="1">
      <c r="A563" s="22"/>
      <c r="B563" s="22"/>
      <c r="C563" s="22"/>
      <c r="D563" s="136"/>
      <c r="E563" s="151"/>
    </row>
    <row r="564" spans="1:5" ht="12.75" customHeight="1">
      <c r="A564" s="22"/>
      <c r="B564" s="22"/>
      <c r="C564" s="22"/>
      <c r="D564" s="136"/>
      <c r="E564" s="151"/>
    </row>
    <row r="565" spans="1:5" ht="12.75" customHeight="1">
      <c r="A565" s="22"/>
      <c r="B565" s="22"/>
      <c r="C565" s="22"/>
      <c r="D565" s="136"/>
      <c r="E565" s="151"/>
    </row>
    <row r="566" spans="1:5" ht="12.75" customHeight="1">
      <c r="A566" s="22"/>
      <c r="B566" s="22"/>
      <c r="C566" s="22"/>
      <c r="D566" s="136"/>
      <c r="E566" s="151"/>
    </row>
    <row r="567" spans="1:5" ht="12.75" customHeight="1">
      <c r="A567" s="22"/>
      <c r="B567" s="22"/>
      <c r="C567" s="22"/>
      <c r="D567" s="136"/>
      <c r="E567" s="151"/>
    </row>
    <row r="568" spans="1:5" ht="12.75" customHeight="1">
      <c r="A568" s="22"/>
      <c r="B568" s="22"/>
      <c r="C568" s="22"/>
      <c r="D568" s="136"/>
      <c r="E568" s="151"/>
    </row>
    <row r="569" spans="1:5" ht="12.75" customHeight="1">
      <c r="A569" s="22"/>
      <c r="B569" s="22"/>
      <c r="C569" s="22"/>
      <c r="D569" s="136"/>
      <c r="E569" s="151"/>
    </row>
    <row r="570" spans="1:5" ht="12.75" customHeight="1">
      <c r="A570" s="22"/>
      <c r="B570" s="22"/>
      <c r="C570" s="22"/>
      <c r="D570" s="136"/>
      <c r="E570" s="151"/>
    </row>
    <row r="571" spans="1:5" ht="12.75" customHeight="1">
      <c r="A571" s="22"/>
      <c r="B571" s="22"/>
      <c r="C571" s="22"/>
      <c r="D571" s="136"/>
      <c r="E571" s="151"/>
    </row>
    <row r="572" spans="1:5" ht="12.75" customHeight="1">
      <c r="A572" s="22"/>
      <c r="B572" s="22"/>
      <c r="C572" s="22"/>
      <c r="D572" s="136"/>
      <c r="E572" s="151"/>
    </row>
    <row r="573" spans="1:5" ht="12.75" customHeight="1">
      <c r="A573" s="22"/>
      <c r="B573" s="22"/>
      <c r="C573" s="22"/>
      <c r="D573" s="136"/>
      <c r="E573" s="151"/>
    </row>
    <row r="574" spans="1:5" ht="12.75" customHeight="1">
      <c r="A574" s="22"/>
      <c r="B574" s="22"/>
      <c r="C574" s="22"/>
      <c r="D574" s="136"/>
      <c r="E574" s="151"/>
    </row>
    <row r="575" spans="1:5" ht="12.75" customHeight="1">
      <c r="A575" s="22"/>
      <c r="B575" s="22"/>
      <c r="C575" s="22"/>
      <c r="D575" s="136"/>
      <c r="E575" s="151"/>
    </row>
    <row r="576" spans="1:5" ht="12.75" customHeight="1">
      <c r="A576" s="22"/>
      <c r="B576" s="22"/>
      <c r="C576" s="22"/>
      <c r="D576" s="136"/>
      <c r="E576" s="151"/>
    </row>
    <row r="577" spans="1:5" ht="12.75" customHeight="1">
      <c r="A577" s="22"/>
      <c r="B577" s="22"/>
      <c r="C577" s="22"/>
      <c r="D577" s="136"/>
      <c r="E577" s="151"/>
    </row>
    <row r="578" spans="1:5" ht="12.75" customHeight="1">
      <c r="A578" s="22"/>
      <c r="B578" s="22"/>
      <c r="C578" s="22"/>
      <c r="D578" s="136"/>
      <c r="E578" s="151"/>
    </row>
    <row r="579" spans="1:5" ht="12.75" customHeight="1">
      <c r="A579" s="22"/>
      <c r="B579" s="22"/>
      <c r="C579" s="22"/>
      <c r="D579" s="136"/>
      <c r="E579" s="151"/>
    </row>
    <row r="580" spans="1:5" ht="12.75" customHeight="1">
      <c r="A580" s="22"/>
      <c r="B580" s="22"/>
      <c r="C580" s="22"/>
      <c r="D580" s="136"/>
      <c r="E580" s="151"/>
    </row>
    <row r="581" spans="1:5" ht="12.75" customHeight="1">
      <c r="A581" s="22"/>
      <c r="B581" s="22"/>
      <c r="C581" s="22"/>
      <c r="D581" s="136"/>
      <c r="E581" s="151"/>
    </row>
    <row r="582" spans="1:5" ht="12.75" customHeight="1">
      <c r="A582" s="22"/>
      <c r="B582" s="22"/>
      <c r="C582" s="22"/>
      <c r="D582" s="136"/>
      <c r="E582" s="151"/>
    </row>
    <row r="583" spans="1:5" ht="12.75" customHeight="1">
      <c r="A583" s="22"/>
      <c r="B583" s="22"/>
      <c r="C583" s="22"/>
      <c r="D583" s="136"/>
      <c r="E583" s="151"/>
    </row>
    <row r="584" spans="1:5" ht="12.75" customHeight="1">
      <c r="A584" s="22"/>
      <c r="B584" s="22"/>
      <c r="C584" s="22"/>
      <c r="D584" s="136"/>
      <c r="E584" s="151"/>
    </row>
    <row r="585" spans="1:5" ht="12.75" customHeight="1">
      <c r="A585" s="22"/>
      <c r="B585" s="22"/>
      <c r="C585" s="22"/>
      <c r="D585" s="136"/>
      <c r="E585" s="151"/>
    </row>
    <row r="586" spans="1:5" ht="12.75" customHeight="1">
      <c r="A586" s="22"/>
      <c r="B586" s="22"/>
      <c r="C586" s="22"/>
      <c r="D586" s="136"/>
      <c r="E586" s="151"/>
    </row>
    <row r="587" spans="1:5" ht="12.75" customHeight="1">
      <c r="A587" s="22"/>
      <c r="B587" s="22"/>
      <c r="C587" s="22"/>
      <c r="D587" s="136"/>
      <c r="E587" s="151"/>
    </row>
    <row r="588" spans="1:5" ht="12.75" customHeight="1">
      <c r="A588" s="22"/>
      <c r="B588" s="22"/>
      <c r="C588" s="22"/>
      <c r="D588" s="136"/>
      <c r="E588" s="151"/>
    </row>
    <row r="589" spans="1:5" ht="12.75" customHeight="1">
      <c r="A589" s="22"/>
      <c r="B589" s="22"/>
      <c r="C589" s="22"/>
      <c r="D589" s="136"/>
      <c r="E589" s="151"/>
    </row>
    <row r="590" spans="1:5" ht="12.75" customHeight="1">
      <c r="A590" s="22"/>
      <c r="B590" s="22"/>
      <c r="C590" s="22"/>
      <c r="D590" s="136"/>
      <c r="E590" s="151"/>
    </row>
    <row r="591" spans="1:5" ht="12.75" customHeight="1">
      <c r="A591" s="22"/>
      <c r="B591" s="22"/>
      <c r="C591" s="22"/>
      <c r="D591" s="136"/>
      <c r="E591" s="151"/>
    </row>
    <row r="592" spans="1:5" ht="12.75" customHeight="1">
      <c r="A592" s="22"/>
      <c r="B592" s="22"/>
      <c r="C592" s="22"/>
      <c r="D592" s="136"/>
      <c r="E592" s="151"/>
    </row>
    <row r="593" spans="1:5" ht="12.75" customHeight="1">
      <c r="A593" s="22"/>
      <c r="B593" s="22"/>
      <c r="C593" s="22"/>
      <c r="D593" s="136"/>
      <c r="E593" s="151"/>
    </row>
    <row r="594" spans="1:5" ht="12.75" customHeight="1">
      <c r="A594" s="22"/>
      <c r="B594" s="22"/>
      <c r="C594" s="22"/>
      <c r="D594" s="136"/>
      <c r="E594" s="151"/>
    </row>
    <row r="595" spans="1:5" ht="12.75" customHeight="1">
      <c r="A595" s="22"/>
      <c r="B595" s="22"/>
      <c r="C595" s="22"/>
      <c r="D595" s="136"/>
      <c r="E595" s="151"/>
    </row>
    <row r="596" spans="1:5" ht="12.75" customHeight="1">
      <c r="A596" s="22"/>
      <c r="B596" s="22"/>
      <c r="C596" s="22"/>
      <c r="D596" s="136"/>
      <c r="E596" s="151"/>
    </row>
    <row r="597" spans="1:5" ht="12.75" customHeight="1">
      <c r="A597" s="22"/>
      <c r="B597" s="22"/>
      <c r="C597" s="22"/>
      <c r="D597" s="136"/>
      <c r="E597" s="151"/>
    </row>
    <row r="598" spans="1:5" ht="12.75" customHeight="1">
      <c r="A598" s="22"/>
      <c r="B598" s="22"/>
      <c r="C598" s="22"/>
      <c r="D598" s="136"/>
      <c r="E598" s="151"/>
    </row>
    <row r="599" spans="1:5" ht="12.75" customHeight="1">
      <c r="A599" s="22"/>
      <c r="B599" s="22"/>
      <c r="C599" s="22"/>
      <c r="D599" s="136"/>
      <c r="E599" s="151"/>
    </row>
    <row r="600" spans="1:5" ht="12.75" customHeight="1">
      <c r="A600" s="22"/>
      <c r="B600" s="22"/>
      <c r="C600" s="22"/>
      <c r="D600" s="136"/>
      <c r="E600" s="151"/>
    </row>
    <row r="601" spans="1:5" ht="12.75" customHeight="1">
      <c r="A601" s="22"/>
      <c r="B601" s="22"/>
      <c r="C601" s="22"/>
      <c r="D601" s="136"/>
      <c r="E601" s="151"/>
    </row>
    <row r="602" spans="1:5" ht="12.75" customHeight="1">
      <c r="A602" s="22"/>
      <c r="B602" s="22"/>
      <c r="C602" s="22"/>
      <c r="D602" s="136"/>
      <c r="E602" s="151"/>
    </row>
    <row r="603" spans="1:5" ht="12.75" customHeight="1">
      <c r="A603" s="22"/>
      <c r="B603" s="22"/>
      <c r="C603" s="22"/>
      <c r="D603" s="136"/>
      <c r="E603" s="151"/>
    </row>
    <row r="604" spans="1:5" ht="12.75" customHeight="1">
      <c r="A604" s="22"/>
      <c r="B604" s="22"/>
      <c r="C604" s="22"/>
      <c r="D604" s="136"/>
      <c r="E604" s="151"/>
    </row>
    <row r="605" spans="1:5" ht="12.75" customHeight="1">
      <c r="A605" s="22"/>
      <c r="B605" s="22"/>
      <c r="C605" s="22"/>
      <c r="D605" s="136"/>
      <c r="E605" s="151"/>
    </row>
    <row r="606" spans="1:5" ht="12.75" customHeight="1">
      <c r="A606" s="22"/>
      <c r="B606" s="22"/>
      <c r="C606" s="22"/>
      <c r="D606" s="136"/>
      <c r="E606" s="151"/>
    </row>
    <row r="607" spans="1:5" ht="12.75" customHeight="1">
      <c r="A607" s="22"/>
      <c r="B607" s="22"/>
      <c r="C607" s="22"/>
      <c r="D607" s="136"/>
      <c r="E607" s="151"/>
    </row>
    <row r="608" spans="1:5" ht="12.75" customHeight="1">
      <c r="A608" s="22"/>
      <c r="B608" s="22"/>
      <c r="C608" s="22"/>
      <c r="D608" s="136"/>
      <c r="E608" s="151"/>
    </row>
    <row r="609" spans="1:5" ht="12.75" customHeight="1">
      <c r="A609" s="22"/>
      <c r="B609" s="22"/>
      <c r="C609" s="22"/>
      <c r="D609" s="136"/>
      <c r="E609" s="151"/>
    </row>
    <row r="610" spans="1:5" ht="12.75" customHeight="1">
      <c r="A610" s="22"/>
      <c r="B610" s="22"/>
      <c r="C610" s="22"/>
      <c r="D610" s="136"/>
      <c r="E610" s="151"/>
    </row>
    <row r="611" spans="1:5" ht="12.75" customHeight="1">
      <c r="A611" s="22"/>
      <c r="B611" s="22"/>
      <c r="C611" s="22"/>
      <c r="D611" s="136"/>
      <c r="E611" s="151"/>
    </row>
    <row r="612" spans="1:5" ht="12.75" customHeight="1">
      <c r="A612" s="22"/>
      <c r="B612" s="22"/>
      <c r="C612" s="22"/>
      <c r="D612" s="136"/>
      <c r="E612" s="151"/>
    </row>
    <row r="613" spans="1:5" ht="12.75" customHeight="1">
      <c r="A613" s="22"/>
      <c r="B613" s="22"/>
      <c r="C613" s="22"/>
      <c r="D613" s="136"/>
      <c r="E613" s="151"/>
    </row>
    <row r="614" spans="1:5" ht="12.75" customHeight="1">
      <c r="A614" s="22"/>
      <c r="B614" s="22"/>
      <c r="C614" s="22"/>
      <c r="D614" s="136"/>
      <c r="E614" s="151"/>
    </row>
    <row r="615" spans="1:5" ht="12.75" customHeight="1">
      <c r="A615" s="22"/>
      <c r="B615" s="22"/>
      <c r="C615" s="22"/>
      <c r="D615" s="136"/>
      <c r="E615" s="151"/>
    </row>
    <row r="616" spans="1:5" ht="12.75" customHeight="1">
      <c r="A616" s="22"/>
      <c r="B616" s="22"/>
      <c r="C616" s="22"/>
      <c r="D616" s="136"/>
      <c r="E616" s="151"/>
    </row>
    <row r="617" spans="1:5" ht="12.75" customHeight="1">
      <c r="A617" s="22"/>
      <c r="B617" s="22"/>
      <c r="C617" s="22"/>
      <c r="D617" s="136"/>
      <c r="E617" s="151"/>
    </row>
    <row r="618" spans="1:5" ht="12.75" customHeight="1">
      <c r="A618" s="22"/>
      <c r="B618" s="22"/>
      <c r="C618" s="22"/>
      <c r="D618" s="136"/>
      <c r="E618" s="151"/>
    </row>
    <row r="619" spans="1:5" ht="12.75" customHeight="1">
      <c r="A619" s="22"/>
      <c r="B619" s="22"/>
      <c r="C619" s="22"/>
      <c r="D619" s="136"/>
      <c r="E619" s="151"/>
    </row>
    <row r="620" spans="1:5" ht="12.75" customHeight="1">
      <c r="A620" s="22"/>
      <c r="B620" s="22"/>
      <c r="C620" s="22"/>
      <c r="D620" s="136"/>
      <c r="E620" s="151"/>
    </row>
    <row r="621" spans="1:5" ht="12.75" customHeight="1">
      <c r="A621" s="22"/>
      <c r="B621" s="22"/>
      <c r="C621" s="22"/>
      <c r="D621" s="136"/>
      <c r="E621" s="151"/>
    </row>
    <row r="622" spans="1:5" ht="12.75" customHeight="1">
      <c r="A622" s="22"/>
      <c r="B622" s="22"/>
      <c r="C622" s="22"/>
      <c r="D622" s="136"/>
      <c r="E622" s="151"/>
    </row>
    <row r="623" spans="1:5" ht="12.75" customHeight="1">
      <c r="A623" s="22"/>
      <c r="B623" s="22"/>
      <c r="C623" s="22"/>
      <c r="D623" s="136"/>
      <c r="E623" s="151"/>
    </row>
    <row r="624" spans="1:5" ht="12.75" customHeight="1">
      <c r="A624" s="22"/>
      <c r="B624" s="22"/>
      <c r="C624" s="22"/>
      <c r="D624" s="136"/>
      <c r="E624" s="151"/>
    </row>
    <row r="625" spans="1:5" ht="12.75" customHeight="1">
      <c r="A625" s="22"/>
      <c r="B625" s="22"/>
      <c r="C625" s="22"/>
      <c r="D625" s="136"/>
      <c r="E625" s="151"/>
    </row>
    <row r="626" spans="1:5" ht="12.75" customHeight="1">
      <c r="A626" s="22"/>
      <c r="B626" s="22"/>
      <c r="C626" s="22"/>
      <c r="D626" s="136"/>
      <c r="E626" s="151"/>
    </row>
    <row r="627" spans="1:5" ht="12.75" customHeight="1">
      <c r="A627" s="22"/>
      <c r="B627" s="22"/>
      <c r="C627" s="22"/>
      <c r="D627" s="136"/>
      <c r="E627" s="151"/>
    </row>
    <row r="628" spans="1:5" ht="12.75" customHeight="1">
      <c r="A628" s="22"/>
      <c r="B628" s="22"/>
      <c r="C628" s="22"/>
      <c r="D628" s="136"/>
      <c r="E628" s="151"/>
    </row>
    <row r="629" spans="1:5" ht="12.75" customHeight="1">
      <c r="A629" s="22"/>
      <c r="B629" s="22"/>
      <c r="C629" s="22"/>
      <c r="D629" s="136"/>
      <c r="E629" s="151"/>
    </row>
    <row r="630" spans="1:5" ht="12.75" customHeight="1">
      <c r="A630" s="22"/>
      <c r="B630" s="22"/>
      <c r="C630" s="22"/>
      <c r="D630" s="136"/>
      <c r="E630" s="151"/>
    </row>
    <row r="631" spans="1:5" ht="12.75" customHeight="1">
      <c r="A631" s="22"/>
      <c r="B631" s="22"/>
      <c r="C631" s="22"/>
      <c r="D631" s="136"/>
      <c r="E631" s="151"/>
    </row>
    <row r="632" spans="1:5" ht="12.75" customHeight="1">
      <c r="A632" s="22"/>
      <c r="B632" s="22"/>
      <c r="C632" s="22"/>
      <c r="D632" s="136"/>
      <c r="E632" s="151"/>
    </row>
    <row r="633" spans="1:5" ht="12.75" customHeight="1">
      <c r="A633" s="22"/>
      <c r="B633" s="22"/>
      <c r="C633" s="22"/>
      <c r="D633" s="136"/>
      <c r="E633" s="151"/>
    </row>
    <row r="634" spans="1:5" ht="12.75" customHeight="1">
      <c r="A634" s="22"/>
      <c r="B634" s="22"/>
      <c r="C634" s="22"/>
      <c r="D634" s="136"/>
      <c r="E634" s="151"/>
    </row>
    <row r="635" spans="1:5" ht="12.75" customHeight="1">
      <c r="A635" s="22"/>
      <c r="B635" s="22"/>
      <c r="C635" s="22"/>
      <c r="D635" s="136"/>
      <c r="E635" s="151"/>
    </row>
    <row r="636" spans="1:5" ht="12.75" customHeight="1">
      <c r="A636" s="22"/>
      <c r="B636" s="22"/>
      <c r="C636" s="22"/>
      <c r="D636" s="136"/>
      <c r="E636" s="151"/>
    </row>
    <row r="637" spans="1:5" ht="12.75" customHeight="1">
      <c r="A637" s="22"/>
      <c r="B637" s="22"/>
      <c r="C637" s="22"/>
      <c r="D637" s="136"/>
      <c r="E637" s="151"/>
    </row>
    <row r="638" spans="1:5" ht="12.75" customHeight="1">
      <c r="A638" s="22"/>
      <c r="B638" s="22"/>
      <c r="C638" s="22"/>
      <c r="D638" s="136"/>
      <c r="E638" s="151"/>
    </row>
    <row r="639" spans="1:5" ht="12.75" customHeight="1">
      <c r="A639" s="22"/>
      <c r="B639" s="22"/>
      <c r="C639" s="22"/>
      <c r="D639" s="136"/>
      <c r="E639" s="151"/>
    </row>
    <row r="640" spans="1:5" ht="12.75" customHeight="1">
      <c r="A640" s="22"/>
      <c r="B640" s="22"/>
      <c r="C640" s="22"/>
      <c r="D640" s="136"/>
      <c r="E640" s="151"/>
    </row>
    <row r="641" spans="1:5" ht="12.75" customHeight="1">
      <c r="A641" s="22"/>
      <c r="B641" s="22"/>
      <c r="C641" s="22"/>
      <c r="D641" s="136"/>
      <c r="E641" s="151"/>
    </row>
    <row r="642" spans="1:5" ht="12.75" customHeight="1">
      <c r="A642" s="22"/>
      <c r="B642" s="22"/>
      <c r="C642" s="22"/>
      <c r="D642" s="136"/>
      <c r="E642" s="151"/>
    </row>
    <row r="643" spans="1:5" ht="12.75" customHeight="1">
      <c r="A643" s="22"/>
      <c r="B643" s="22"/>
      <c r="C643" s="22"/>
      <c r="D643" s="136"/>
      <c r="E643" s="151"/>
    </row>
    <row r="644" spans="1:5" ht="12.75" customHeight="1">
      <c r="A644" s="22"/>
      <c r="B644" s="22"/>
      <c r="C644" s="22"/>
      <c r="D644" s="136"/>
      <c r="E644" s="151"/>
    </row>
    <row r="645" spans="1:5" ht="12.75" customHeight="1">
      <c r="A645" s="22"/>
      <c r="B645" s="22"/>
      <c r="C645" s="22"/>
      <c r="D645" s="136"/>
      <c r="E645" s="151"/>
    </row>
    <row r="646" spans="1:5" ht="12.75" customHeight="1">
      <c r="A646" s="22"/>
      <c r="B646" s="22"/>
      <c r="C646" s="22"/>
      <c r="D646" s="136"/>
      <c r="E646" s="151"/>
    </row>
    <row r="647" spans="1:5" ht="12.75" customHeight="1">
      <c r="A647" s="22"/>
      <c r="B647" s="22"/>
      <c r="C647" s="22"/>
      <c r="D647" s="136"/>
      <c r="E647" s="151"/>
    </row>
    <row r="648" spans="1:5" ht="12.75" customHeight="1">
      <c r="A648" s="22"/>
      <c r="B648" s="22"/>
      <c r="C648" s="22"/>
      <c r="D648" s="136"/>
      <c r="E648" s="151"/>
    </row>
    <row r="649" spans="1:5" ht="12.75" customHeight="1">
      <c r="A649" s="22"/>
      <c r="B649" s="22"/>
      <c r="C649" s="22"/>
      <c r="D649" s="136"/>
      <c r="E649" s="151"/>
    </row>
    <row r="650" spans="1:5" ht="12.75" customHeight="1">
      <c r="A650" s="22"/>
      <c r="B650" s="22"/>
      <c r="C650" s="22"/>
      <c r="D650" s="136"/>
      <c r="E650" s="151"/>
    </row>
    <row r="651" spans="1:5" ht="12.75" customHeight="1">
      <c r="A651" s="22"/>
      <c r="B651" s="22"/>
      <c r="C651" s="22"/>
      <c r="D651" s="136"/>
      <c r="E651" s="151"/>
    </row>
    <row r="652" spans="1:5" ht="12.75" customHeight="1">
      <c r="A652" s="22"/>
      <c r="B652" s="22"/>
      <c r="C652" s="22"/>
      <c r="D652" s="136"/>
      <c r="E652" s="151"/>
    </row>
    <row r="653" spans="1:5" ht="12.75" customHeight="1">
      <c r="A653" s="22"/>
      <c r="B653" s="22"/>
      <c r="C653" s="22"/>
      <c r="D653" s="136"/>
      <c r="E653" s="151"/>
    </row>
    <row r="654" spans="1:5" ht="12.75" customHeight="1">
      <c r="A654" s="22"/>
      <c r="B654" s="22"/>
      <c r="C654" s="22"/>
      <c r="D654" s="136"/>
      <c r="E654" s="151"/>
    </row>
    <row r="655" spans="1:5" ht="12.75" customHeight="1">
      <c r="A655" s="22"/>
      <c r="B655" s="22"/>
      <c r="C655" s="22"/>
      <c r="D655" s="136"/>
      <c r="E655" s="151"/>
    </row>
    <row r="656" spans="1:5" ht="12.75" customHeight="1">
      <c r="A656" s="22"/>
      <c r="B656" s="22"/>
      <c r="C656" s="22"/>
      <c r="D656" s="136"/>
      <c r="E656" s="151"/>
    </row>
    <row r="657" spans="1:5" ht="12.75" customHeight="1">
      <c r="A657" s="22"/>
      <c r="B657" s="22"/>
      <c r="C657" s="22"/>
      <c r="D657" s="136"/>
      <c r="E657" s="151"/>
    </row>
    <row r="658" spans="1:5" ht="12.75" customHeight="1">
      <c r="A658" s="22"/>
      <c r="B658" s="22"/>
      <c r="C658" s="22"/>
      <c r="D658" s="136"/>
      <c r="E658" s="151"/>
    </row>
    <row r="659" spans="1:5" ht="12.75" customHeight="1">
      <c r="A659" s="22"/>
      <c r="B659" s="22"/>
      <c r="C659" s="22"/>
      <c r="D659" s="136"/>
      <c r="E659" s="151"/>
    </row>
    <row r="660" spans="1:5" ht="12.75" customHeight="1">
      <c r="A660" s="22"/>
      <c r="B660" s="22"/>
      <c r="C660" s="22"/>
      <c r="D660" s="136"/>
      <c r="E660" s="151"/>
    </row>
    <row r="661" spans="1:5" ht="12.75" customHeight="1">
      <c r="A661" s="22"/>
      <c r="B661" s="22"/>
      <c r="C661" s="22"/>
      <c r="D661" s="136"/>
      <c r="E661" s="151"/>
    </row>
    <row r="662" spans="1:5" ht="12.75" customHeight="1">
      <c r="A662" s="22"/>
      <c r="B662" s="22"/>
      <c r="C662" s="22"/>
      <c r="D662" s="136"/>
      <c r="E662" s="151"/>
    </row>
    <row r="663" spans="1:5" ht="12.75" customHeight="1">
      <c r="A663" s="22"/>
      <c r="B663" s="22"/>
      <c r="C663" s="22"/>
      <c r="D663" s="136"/>
      <c r="E663" s="151"/>
    </row>
    <row r="664" spans="1:5" ht="12.75" customHeight="1">
      <c r="A664" s="22"/>
      <c r="B664" s="22"/>
      <c r="C664" s="22"/>
      <c r="D664" s="136"/>
      <c r="E664" s="151"/>
    </row>
    <row r="665" spans="1:5" ht="12.75" customHeight="1">
      <c r="A665" s="22"/>
      <c r="B665" s="22"/>
      <c r="C665" s="22"/>
      <c r="D665" s="136"/>
      <c r="E665" s="151"/>
    </row>
    <row r="666" spans="1:5" ht="12.75" customHeight="1">
      <c r="A666" s="22"/>
      <c r="B666" s="22"/>
      <c r="C666" s="22"/>
      <c r="D666" s="136"/>
      <c r="E666" s="151"/>
    </row>
    <row r="667" spans="1:5" ht="12.75" customHeight="1">
      <c r="A667" s="22"/>
      <c r="B667" s="22"/>
      <c r="C667" s="22"/>
      <c r="D667" s="136"/>
      <c r="E667" s="151"/>
    </row>
    <row r="668" spans="1:5" ht="12.75" customHeight="1">
      <c r="A668" s="22"/>
      <c r="B668" s="22"/>
      <c r="C668" s="22"/>
      <c r="D668" s="136"/>
      <c r="E668" s="151"/>
    </row>
    <row r="669" spans="1:5" ht="12.75" customHeight="1">
      <c r="A669" s="22"/>
      <c r="B669" s="22"/>
      <c r="C669" s="22"/>
      <c r="D669" s="136"/>
      <c r="E669" s="151"/>
    </row>
    <row r="670" spans="1:5" ht="12.75" customHeight="1">
      <c r="A670" s="22"/>
      <c r="B670" s="22"/>
      <c r="C670" s="22"/>
      <c r="D670" s="136"/>
      <c r="E670" s="151"/>
    </row>
    <row r="671" spans="1:5" ht="12.75" customHeight="1">
      <c r="A671" s="22"/>
      <c r="B671" s="22"/>
      <c r="C671" s="22"/>
      <c r="D671" s="136"/>
      <c r="E671" s="151"/>
    </row>
    <row r="672" spans="1:5" ht="12.75" customHeight="1">
      <c r="A672" s="22"/>
      <c r="B672" s="22"/>
      <c r="C672" s="22"/>
      <c r="D672" s="136"/>
      <c r="E672" s="151"/>
    </row>
    <row r="673" spans="1:5" ht="12.75" customHeight="1">
      <c r="A673" s="22"/>
      <c r="B673" s="22"/>
      <c r="C673" s="22"/>
      <c r="D673" s="136"/>
      <c r="E673" s="151"/>
    </row>
    <row r="674" spans="1:5" ht="12.75" customHeight="1">
      <c r="A674" s="22"/>
      <c r="B674" s="22"/>
      <c r="C674" s="22"/>
      <c r="D674" s="136"/>
      <c r="E674" s="151"/>
    </row>
    <row r="675" spans="1:5" ht="12.75" customHeight="1">
      <c r="A675" s="22"/>
      <c r="B675" s="22"/>
      <c r="C675" s="22"/>
      <c r="D675" s="136"/>
      <c r="E675" s="151"/>
    </row>
    <row r="676" spans="1:5" ht="12.75" customHeight="1">
      <c r="A676" s="22"/>
      <c r="B676" s="22"/>
      <c r="C676" s="22"/>
      <c r="D676" s="136"/>
      <c r="E676" s="151"/>
    </row>
    <row r="677" spans="1:5" ht="12.75" customHeight="1">
      <c r="A677" s="22"/>
      <c r="B677" s="22"/>
      <c r="C677" s="22"/>
      <c r="D677" s="136"/>
      <c r="E677" s="151"/>
    </row>
    <row r="678" spans="1:5" ht="12.75" customHeight="1">
      <c r="A678" s="22"/>
      <c r="B678" s="22"/>
      <c r="C678" s="22"/>
      <c r="D678" s="136"/>
      <c r="E678" s="151"/>
    </row>
    <row r="679" spans="1:5" ht="12.75" customHeight="1">
      <c r="A679" s="22"/>
      <c r="B679" s="22"/>
      <c r="C679" s="22"/>
      <c r="D679" s="136"/>
      <c r="E679" s="151"/>
    </row>
    <row r="680" spans="1:5" ht="12.75" customHeight="1">
      <c r="A680" s="22"/>
      <c r="B680" s="22"/>
      <c r="C680" s="22"/>
      <c r="D680" s="136"/>
      <c r="E680" s="151"/>
    </row>
    <row r="681" spans="1:5" ht="12.75" customHeight="1">
      <c r="A681" s="22"/>
      <c r="B681" s="22"/>
      <c r="C681" s="22"/>
      <c r="D681" s="136"/>
      <c r="E681" s="151"/>
    </row>
    <row r="682" spans="1:5" ht="12.75" customHeight="1">
      <c r="A682" s="22"/>
      <c r="B682" s="22"/>
      <c r="C682" s="22"/>
      <c r="D682" s="136"/>
      <c r="E682" s="151"/>
    </row>
    <row r="683" spans="1:5" ht="12.75" customHeight="1">
      <c r="A683" s="22"/>
      <c r="B683" s="22"/>
      <c r="C683" s="22"/>
      <c r="D683" s="136"/>
      <c r="E683" s="151"/>
    </row>
    <row r="684" spans="1:5" ht="12.75" customHeight="1">
      <c r="A684" s="22"/>
      <c r="B684" s="22"/>
      <c r="C684" s="22"/>
      <c r="D684" s="136"/>
      <c r="E684" s="151"/>
    </row>
    <row r="685" spans="1:5" ht="12.75" customHeight="1">
      <c r="A685" s="22"/>
      <c r="B685" s="22"/>
      <c r="C685" s="22"/>
      <c r="D685" s="136"/>
      <c r="E685" s="151"/>
    </row>
    <row r="686" spans="1:5" ht="12.75" customHeight="1">
      <c r="A686" s="22"/>
      <c r="B686" s="22"/>
      <c r="C686" s="22"/>
      <c r="D686" s="136"/>
      <c r="E686" s="151"/>
    </row>
    <row r="687" spans="1:5" ht="12.75" customHeight="1">
      <c r="A687" s="22"/>
      <c r="B687" s="22"/>
      <c r="C687" s="22"/>
      <c r="D687" s="136"/>
      <c r="E687" s="151"/>
    </row>
    <row r="688" spans="1:5" ht="12.75" customHeight="1">
      <c r="A688" s="22"/>
      <c r="B688" s="22"/>
      <c r="C688" s="22"/>
      <c r="D688" s="136"/>
      <c r="E688" s="151"/>
    </row>
    <row r="689" spans="1:5" ht="12.75" customHeight="1">
      <c r="A689" s="22"/>
      <c r="B689" s="22"/>
      <c r="C689" s="22"/>
      <c r="D689" s="136"/>
      <c r="E689" s="151"/>
    </row>
    <row r="690" spans="1:5" ht="12.75" customHeight="1">
      <c r="A690" s="22"/>
      <c r="B690" s="22"/>
      <c r="C690" s="22"/>
      <c r="D690" s="136"/>
      <c r="E690" s="151"/>
    </row>
    <row r="691" spans="1:5" ht="12.75" customHeight="1">
      <c r="A691" s="22"/>
      <c r="B691" s="22"/>
      <c r="C691" s="22"/>
      <c r="D691" s="136"/>
      <c r="E691" s="151"/>
    </row>
    <row r="692" spans="1:5" ht="12.75" customHeight="1">
      <c r="A692" s="22"/>
      <c r="B692" s="22"/>
      <c r="C692" s="22"/>
      <c r="D692" s="136"/>
      <c r="E692" s="151"/>
    </row>
    <row r="693" spans="1:5" ht="12.75" customHeight="1">
      <c r="A693" s="22"/>
      <c r="B693" s="22"/>
      <c r="C693" s="22"/>
      <c r="D693" s="136"/>
      <c r="E693" s="151"/>
    </row>
    <row r="694" spans="1:5" ht="12.75" customHeight="1">
      <c r="A694" s="22"/>
      <c r="B694" s="22"/>
      <c r="C694" s="22"/>
      <c r="D694" s="136"/>
      <c r="E694" s="151"/>
    </row>
    <row r="695" spans="1:5" ht="12.75" customHeight="1">
      <c r="A695" s="22"/>
      <c r="B695" s="22"/>
      <c r="C695" s="22"/>
      <c r="D695" s="136"/>
      <c r="E695" s="151"/>
    </row>
    <row r="696" spans="1:5" ht="12.75" customHeight="1">
      <c r="A696" s="22"/>
      <c r="B696" s="22"/>
      <c r="C696" s="22"/>
      <c r="D696" s="136"/>
      <c r="E696" s="151"/>
    </row>
    <row r="697" spans="1:5" ht="12.75" customHeight="1">
      <c r="A697" s="22"/>
      <c r="B697" s="22"/>
      <c r="C697" s="22"/>
      <c r="D697" s="136"/>
      <c r="E697" s="151"/>
    </row>
    <row r="698" spans="1:5" ht="12.75" customHeight="1">
      <c r="A698" s="22"/>
      <c r="B698" s="22"/>
      <c r="C698" s="22"/>
      <c r="D698" s="136"/>
      <c r="E698" s="151"/>
    </row>
    <row r="699" spans="1:5" ht="12.75" customHeight="1">
      <c r="A699" s="22"/>
      <c r="B699" s="22"/>
      <c r="C699" s="22"/>
      <c r="D699" s="136"/>
      <c r="E699" s="151"/>
    </row>
    <row r="700" spans="1:5" ht="12.75" customHeight="1">
      <c r="A700" s="22"/>
      <c r="B700" s="22"/>
      <c r="C700" s="22"/>
      <c r="D700" s="136"/>
      <c r="E700" s="151"/>
    </row>
    <row r="701" spans="1:5" ht="12.75" customHeight="1">
      <c r="A701" s="22"/>
      <c r="B701" s="22"/>
      <c r="C701" s="22"/>
      <c r="D701" s="136"/>
      <c r="E701" s="151"/>
    </row>
    <row r="702" spans="1:5" ht="12.75" customHeight="1">
      <c r="A702" s="22"/>
      <c r="B702" s="22"/>
      <c r="C702" s="22"/>
      <c r="D702" s="136"/>
      <c r="E702" s="151"/>
    </row>
    <row r="703" spans="1:5" ht="12.75" customHeight="1">
      <c r="A703" s="22"/>
      <c r="B703" s="22"/>
      <c r="C703" s="22"/>
      <c r="D703" s="136"/>
      <c r="E703" s="151"/>
    </row>
    <row r="704" spans="1:5" ht="12.75" customHeight="1">
      <c r="A704" s="22"/>
      <c r="B704" s="22"/>
      <c r="C704" s="22"/>
      <c r="D704" s="136"/>
      <c r="E704" s="151"/>
    </row>
    <row r="705" spans="1:5" ht="12.75" customHeight="1">
      <c r="A705" s="22"/>
      <c r="B705" s="22"/>
      <c r="C705" s="22"/>
      <c r="D705" s="136"/>
      <c r="E705" s="151"/>
    </row>
    <row r="706" spans="1:5" ht="12.75" customHeight="1">
      <c r="A706" s="22"/>
      <c r="B706" s="22"/>
      <c r="C706" s="22"/>
      <c r="D706" s="136"/>
      <c r="E706" s="151"/>
    </row>
    <row r="707" spans="1:5" ht="12.75" customHeight="1">
      <c r="A707" s="22"/>
      <c r="B707" s="22"/>
      <c r="C707" s="22"/>
      <c r="D707" s="136"/>
      <c r="E707" s="151"/>
    </row>
    <row r="708" spans="1:5" ht="12.75" customHeight="1">
      <c r="A708" s="22"/>
      <c r="B708" s="22"/>
      <c r="C708" s="22"/>
      <c r="D708" s="136"/>
      <c r="E708" s="151"/>
    </row>
    <row r="709" spans="1:5" ht="12.75" customHeight="1">
      <c r="A709" s="22"/>
      <c r="B709" s="22"/>
      <c r="C709" s="22"/>
      <c r="D709" s="136"/>
      <c r="E709" s="151"/>
    </row>
    <row r="710" spans="1:5" ht="12.75" customHeight="1">
      <c r="A710" s="22"/>
      <c r="B710" s="22"/>
      <c r="C710" s="22"/>
      <c r="D710" s="136"/>
      <c r="E710" s="151"/>
    </row>
    <row r="711" spans="1:5" ht="12.75" customHeight="1">
      <c r="A711" s="22"/>
      <c r="B711" s="22"/>
      <c r="C711" s="22"/>
      <c r="D711" s="136"/>
      <c r="E711" s="151"/>
    </row>
    <row r="712" spans="1:5" ht="12.75" customHeight="1">
      <c r="A712" s="22"/>
      <c r="B712" s="22"/>
      <c r="C712" s="22"/>
      <c r="D712" s="136"/>
      <c r="E712" s="151"/>
    </row>
    <row r="713" spans="1:5" ht="12.75" customHeight="1">
      <c r="A713" s="22"/>
      <c r="B713" s="22"/>
      <c r="C713" s="22"/>
      <c r="D713" s="136"/>
      <c r="E713" s="151"/>
    </row>
    <row r="714" spans="1:5" ht="12.75" customHeight="1">
      <c r="A714" s="22"/>
      <c r="B714" s="22"/>
      <c r="C714" s="22"/>
      <c r="D714" s="136"/>
      <c r="E714" s="151"/>
    </row>
    <row r="715" spans="1:5" ht="12.75" customHeight="1">
      <c r="A715" s="22"/>
      <c r="B715" s="22"/>
      <c r="C715" s="22"/>
      <c r="D715" s="136"/>
      <c r="E715" s="151"/>
    </row>
    <row r="716" spans="1:5" ht="12.75" customHeight="1">
      <c r="A716" s="22"/>
      <c r="B716" s="22"/>
      <c r="C716" s="22"/>
      <c r="D716" s="136"/>
      <c r="E716" s="151"/>
    </row>
    <row r="717" spans="1:5" ht="12.75" customHeight="1">
      <c r="A717" s="22"/>
      <c r="B717" s="22"/>
      <c r="C717" s="22"/>
      <c r="D717" s="136"/>
      <c r="E717" s="151"/>
    </row>
    <row r="718" spans="1:5" ht="12.75" customHeight="1">
      <c r="A718" s="22"/>
      <c r="B718" s="22"/>
      <c r="C718" s="22"/>
      <c r="D718" s="136"/>
      <c r="E718" s="151"/>
    </row>
    <row r="719" spans="1:5" ht="12.75" customHeight="1">
      <c r="A719" s="22"/>
      <c r="B719" s="22"/>
      <c r="C719" s="22"/>
      <c r="D719" s="136"/>
      <c r="E719" s="151"/>
    </row>
    <row r="720" spans="1:5" ht="12.75" customHeight="1">
      <c r="A720" s="22"/>
      <c r="B720" s="22"/>
      <c r="C720" s="22"/>
      <c r="D720" s="136"/>
      <c r="E720" s="151"/>
    </row>
    <row r="721" spans="1:5" ht="12.75" customHeight="1">
      <c r="A721" s="22"/>
      <c r="B721" s="22"/>
      <c r="C721" s="22"/>
      <c r="D721" s="136"/>
      <c r="E721" s="151"/>
    </row>
    <row r="722" spans="1:5" ht="12.75" customHeight="1">
      <c r="A722" s="22"/>
      <c r="B722" s="22"/>
      <c r="C722" s="22"/>
      <c r="D722" s="136"/>
      <c r="E722" s="151"/>
    </row>
    <row r="723" spans="1:5" ht="12.75" customHeight="1">
      <c r="A723" s="22"/>
      <c r="B723" s="22"/>
      <c r="C723" s="22"/>
      <c r="D723" s="136"/>
      <c r="E723" s="151"/>
    </row>
    <row r="724" spans="1:5" ht="12.75" customHeight="1">
      <c r="A724" s="22"/>
      <c r="B724" s="22"/>
      <c r="C724" s="22"/>
      <c r="D724" s="136"/>
      <c r="E724" s="151"/>
    </row>
    <row r="725" spans="1:5" ht="12.75" customHeight="1">
      <c r="A725" s="22"/>
      <c r="B725" s="22"/>
      <c r="C725" s="22"/>
      <c r="D725" s="136"/>
      <c r="E725" s="151"/>
    </row>
    <row r="726" spans="1:5" ht="12.75" customHeight="1">
      <c r="A726" s="22"/>
      <c r="B726" s="22"/>
      <c r="C726" s="22"/>
      <c r="D726" s="136"/>
      <c r="E726" s="151"/>
    </row>
    <row r="727" spans="1:5" ht="12.75" customHeight="1">
      <c r="A727" s="22"/>
      <c r="B727" s="22"/>
      <c r="C727" s="22"/>
      <c r="D727" s="136"/>
      <c r="E727" s="151"/>
    </row>
    <row r="728" spans="1:5" ht="12.75" customHeight="1">
      <c r="A728" s="22"/>
      <c r="B728" s="22"/>
      <c r="C728" s="22"/>
      <c r="D728" s="136"/>
      <c r="E728" s="151"/>
    </row>
    <row r="729" spans="1:5" ht="12.75" customHeight="1">
      <c r="A729" s="22"/>
      <c r="B729" s="22"/>
      <c r="C729" s="22"/>
      <c r="D729" s="136"/>
      <c r="E729" s="151"/>
    </row>
    <row r="730" spans="1:5" ht="12.75" customHeight="1">
      <c r="A730" s="22"/>
      <c r="B730" s="22"/>
      <c r="C730" s="22"/>
      <c r="D730" s="136"/>
      <c r="E730" s="151"/>
    </row>
    <row r="731" spans="1:5" ht="12.75" customHeight="1">
      <c r="A731" s="22"/>
      <c r="B731" s="22"/>
      <c r="C731" s="22"/>
      <c r="D731" s="136"/>
      <c r="E731" s="151"/>
    </row>
    <row r="732" spans="1:5" ht="12.75" customHeight="1">
      <c r="A732" s="22"/>
      <c r="B732" s="22"/>
      <c r="C732" s="22"/>
      <c r="D732" s="136"/>
      <c r="E732" s="151"/>
    </row>
    <row r="733" spans="1:5" ht="12.75" customHeight="1">
      <c r="A733" s="22"/>
      <c r="B733" s="22"/>
      <c r="C733" s="22"/>
      <c r="D733" s="136"/>
      <c r="E733" s="151"/>
    </row>
    <row r="734" spans="1:5" ht="12.75" customHeight="1">
      <c r="A734" s="22"/>
      <c r="B734" s="22"/>
      <c r="C734" s="22"/>
      <c r="D734" s="136"/>
      <c r="E734" s="151"/>
    </row>
    <row r="735" spans="1:5" ht="12.75" customHeight="1">
      <c r="A735" s="22"/>
      <c r="B735" s="22"/>
      <c r="C735" s="22"/>
      <c r="D735" s="136"/>
      <c r="E735" s="151"/>
    </row>
    <row r="736" spans="1:5" ht="12.75" customHeight="1">
      <c r="A736" s="22"/>
      <c r="B736" s="22"/>
      <c r="C736" s="22"/>
      <c r="D736" s="136"/>
      <c r="E736" s="151"/>
    </row>
    <row r="737" spans="1:5" ht="12.75" customHeight="1">
      <c r="A737" s="22"/>
      <c r="B737" s="22"/>
      <c r="C737" s="22"/>
      <c r="D737" s="136"/>
      <c r="E737" s="151"/>
    </row>
    <row r="738" spans="1:5" ht="12.75" customHeight="1">
      <c r="A738" s="22"/>
      <c r="B738" s="22"/>
      <c r="C738" s="22"/>
      <c r="D738" s="136"/>
      <c r="E738" s="151"/>
    </row>
    <row r="739" spans="1:5" ht="12.75" customHeight="1">
      <c r="A739" s="22"/>
      <c r="B739" s="22"/>
      <c r="C739" s="22"/>
      <c r="D739" s="136"/>
      <c r="E739" s="151"/>
    </row>
    <row r="740" spans="1:5" ht="12.75" customHeight="1">
      <c r="A740" s="22"/>
      <c r="B740" s="22"/>
      <c r="C740" s="22"/>
      <c r="D740" s="136"/>
      <c r="E740" s="151"/>
    </row>
    <row r="741" spans="1:5" ht="12.75" customHeight="1">
      <c r="A741" s="22"/>
      <c r="B741" s="22"/>
      <c r="C741" s="22"/>
      <c r="D741" s="136"/>
      <c r="E741" s="151"/>
    </row>
    <row r="742" spans="1:5" ht="12.75" customHeight="1">
      <c r="A742" s="22"/>
      <c r="B742" s="22"/>
      <c r="C742" s="22"/>
      <c r="D742" s="136"/>
      <c r="E742" s="151"/>
    </row>
    <row r="743" spans="1:5" ht="12.75" customHeight="1">
      <c r="A743" s="22"/>
      <c r="B743" s="22"/>
      <c r="C743" s="22"/>
      <c r="D743" s="136"/>
      <c r="E743" s="151"/>
    </row>
    <row r="744" spans="1:5" ht="12.75" customHeight="1">
      <c r="A744" s="22"/>
      <c r="B744" s="22"/>
      <c r="C744" s="22"/>
      <c r="D744" s="136"/>
      <c r="E744" s="151"/>
    </row>
    <row r="745" spans="1:5" ht="12.75" customHeight="1">
      <c r="A745" s="22"/>
      <c r="B745" s="22"/>
      <c r="C745" s="22"/>
      <c r="D745" s="136"/>
      <c r="E745" s="151"/>
    </row>
    <row r="746" spans="1:5" ht="12.75" customHeight="1">
      <c r="A746" s="22"/>
      <c r="B746" s="22"/>
      <c r="C746" s="22"/>
      <c r="D746" s="136"/>
      <c r="E746" s="151"/>
    </row>
    <row r="747" spans="1:5" ht="12.75" customHeight="1">
      <c r="A747" s="22"/>
      <c r="B747" s="22"/>
      <c r="C747" s="22"/>
      <c r="D747" s="136"/>
      <c r="E747" s="151"/>
    </row>
    <row r="748" spans="1:5" ht="12.75" customHeight="1">
      <c r="A748" s="22"/>
      <c r="B748" s="22"/>
      <c r="C748" s="22"/>
      <c r="D748" s="136"/>
      <c r="E748" s="151"/>
    </row>
    <row r="749" spans="1:5" ht="12.75" customHeight="1">
      <c r="A749" s="22"/>
      <c r="B749" s="22"/>
      <c r="C749" s="22"/>
      <c r="D749" s="136"/>
      <c r="E749" s="151"/>
    </row>
    <row r="750" spans="1:5" ht="12.75" customHeight="1">
      <c r="A750" s="22"/>
      <c r="B750" s="22"/>
      <c r="C750" s="22"/>
      <c r="D750" s="136"/>
      <c r="E750" s="151"/>
    </row>
    <row r="751" spans="1:5" ht="12.75" customHeight="1">
      <c r="A751" s="22"/>
      <c r="B751" s="22"/>
      <c r="C751" s="22"/>
      <c r="D751" s="136"/>
      <c r="E751" s="151"/>
    </row>
    <row r="752" spans="1:5" ht="12.75" customHeight="1">
      <c r="A752" s="22"/>
      <c r="B752" s="22"/>
      <c r="C752" s="22"/>
      <c r="D752" s="136"/>
      <c r="E752" s="151"/>
    </row>
    <row r="753" spans="1:5" ht="12.75" customHeight="1">
      <c r="A753" s="22"/>
      <c r="B753" s="22"/>
      <c r="C753" s="22"/>
      <c r="D753" s="136"/>
      <c r="E753" s="151"/>
    </row>
    <row r="754" spans="1:5" ht="12.75" customHeight="1">
      <c r="A754" s="22"/>
      <c r="B754" s="22"/>
      <c r="C754" s="22"/>
      <c r="D754" s="136"/>
      <c r="E754" s="151"/>
    </row>
    <row r="755" spans="1:5" ht="12.75" customHeight="1">
      <c r="A755" s="22"/>
      <c r="B755" s="22"/>
      <c r="C755" s="22"/>
      <c r="D755" s="136"/>
      <c r="E755" s="151"/>
    </row>
    <row r="756" spans="1:5" ht="12.75" customHeight="1">
      <c r="A756" s="22"/>
      <c r="B756" s="22"/>
      <c r="C756" s="22"/>
      <c r="D756" s="136"/>
      <c r="E756" s="151"/>
    </row>
    <row r="757" spans="1:5" ht="12.75" customHeight="1">
      <c r="A757" s="22"/>
      <c r="B757" s="22"/>
      <c r="C757" s="22"/>
      <c r="D757" s="136"/>
      <c r="E757" s="151"/>
    </row>
    <row r="758" spans="1:5" ht="12.75" customHeight="1">
      <c r="A758" s="22"/>
      <c r="B758" s="22"/>
      <c r="C758" s="22"/>
      <c r="D758" s="136"/>
      <c r="E758" s="151"/>
    </row>
    <row r="759" spans="1:5" ht="12.75" customHeight="1">
      <c r="A759" s="22"/>
      <c r="B759" s="22"/>
      <c r="C759" s="22"/>
      <c r="D759" s="136"/>
      <c r="E759" s="151"/>
    </row>
    <row r="760" spans="1:5" ht="12.75" customHeight="1">
      <c r="A760" s="22"/>
      <c r="B760" s="22"/>
      <c r="C760" s="22"/>
      <c r="D760" s="136"/>
      <c r="E760" s="151"/>
    </row>
    <row r="761" spans="1:5" ht="12.75" customHeight="1">
      <c r="A761" s="22"/>
      <c r="B761" s="22"/>
      <c r="C761" s="22"/>
      <c r="D761" s="136"/>
      <c r="E761" s="151"/>
    </row>
    <row r="762" spans="1:5" ht="12.75" customHeight="1">
      <c r="A762" s="22"/>
      <c r="B762" s="22"/>
      <c r="C762" s="22"/>
      <c r="D762" s="136"/>
      <c r="E762" s="151"/>
    </row>
    <row r="763" spans="1:5" ht="12.75" customHeight="1">
      <c r="A763" s="22"/>
      <c r="B763" s="22"/>
      <c r="C763" s="22"/>
      <c r="D763" s="136"/>
      <c r="E763" s="151"/>
    </row>
    <row r="764" spans="1:5" ht="12.75" customHeight="1">
      <c r="A764" s="22"/>
      <c r="B764" s="22"/>
      <c r="C764" s="22"/>
      <c r="D764" s="136"/>
      <c r="E764" s="151"/>
    </row>
    <row r="765" spans="1:5" ht="12.75" customHeight="1">
      <c r="A765" s="22"/>
      <c r="B765" s="22"/>
      <c r="C765" s="22"/>
      <c r="D765" s="136"/>
      <c r="E765" s="151"/>
    </row>
    <row r="766" spans="1:5" ht="12.75" customHeight="1">
      <c r="A766" s="22"/>
      <c r="B766" s="22"/>
      <c r="C766" s="22"/>
      <c r="D766" s="136"/>
      <c r="E766" s="151"/>
    </row>
    <row r="767" spans="1:5" ht="12.75" customHeight="1">
      <c r="A767" s="22"/>
      <c r="B767" s="22"/>
      <c r="C767" s="22"/>
      <c r="D767" s="136"/>
      <c r="E767" s="151"/>
    </row>
    <row r="768" spans="1:5" ht="12.75" customHeight="1">
      <c r="A768" s="22"/>
      <c r="B768" s="22"/>
      <c r="C768" s="22"/>
      <c r="D768" s="136"/>
      <c r="E768" s="151"/>
    </row>
    <row r="769" spans="1:5" ht="12.75" customHeight="1">
      <c r="A769" s="22"/>
      <c r="B769" s="22"/>
      <c r="C769" s="22"/>
      <c r="D769" s="136"/>
      <c r="E769" s="151"/>
    </row>
    <row r="770" spans="1:5" ht="12.75" customHeight="1">
      <c r="A770" s="22"/>
      <c r="B770" s="22"/>
      <c r="C770" s="22"/>
      <c r="D770" s="136"/>
      <c r="E770" s="151"/>
    </row>
    <row r="771" spans="1:5" ht="12.75" customHeight="1">
      <c r="A771" s="22"/>
      <c r="B771" s="22"/>
      <c r="C771" s="22"/>
      <c r="D771" s="136"/>
      <c r="E771" s="151"/>
    </row>
    <row r="772" spans="1:5" ht="12.75" customHeight="1">
      <c r="A772" s="22"/>
      <c r="B772" s="22"/>
      <c r="C772" s="22"/>
      <c r="D772" s="136"/>
      <c r="E772" s="151"/>
    </row>
    <row r="773" spans="1:5" ht="12.75" customHeight="1">
      <c r="A773" s="22"/>
      <c r="B773" s="22"/>
      <c r="C773" s="22"/>
      <c r="D773" s="136"/>
      <c r="E773" s="151"/>
    </row>
    <row r="774" spans="1:5" ht="12.75" customHeight="1">
      <c r="A774" s="22"/>
      <c r="B774" s="22"/>
      <c r="C774" s="22"/>
      <c r="D774" s="136"/>
      <c r="E774" s="151"/>
    </row>
    <row r="775" spans="1:5" ht="12.75" customHeight="1">
      <c r="A775" s="22"/>
      <c r="B775" s="22"/>
      <c r="C775" s="22"/>
      <c r="D775" s="136"/>
      <c r="E775" s="151"/>
    </row>
    <row r="776" spans="1:5" ht="12.75" customHeight="1">
      <c r="A776" s="22"/>
      <c r="B776" s="22"/>
      <c r="C776" s="22"/>
      <c r="D776" s="136"/>
      <c r="E776" s="151"/>
    </row>
    <row r="777" spans="1:5" ht="12.75" customHeight="1">
      <c r="A777" s="22"/>
      <c r="B777" s="22"/>
      <c r="C777" s="22"/>
      <c r="D777" s="136"/>
      <c r="E777" s="151"/>
    </row>
    <row r="778" spans="1:5" ht="12.75" customHeight="1">
      <c r="A778" s="22"/>
      <c r="B778" s="22"/>
      <c r="C778" s="22"/>
      <c r="D778" s="136"/>
      <c r="E778" s="151"/>
    </row>
    <row r="779" spans="1:5" ht="12.75" customHeight="1">
      <c r="A779" s="22"/>
      <c r="B779" s="22"/>
      <c r="C779" s="22"/>
      <c r="D779" s="136"/>
      <c r="E779" s="151"/>
    </row>
    <row r="780" spans="1:5" ht="12.75" customHeight="1">
      <c r="A780" s="22"/>
      <c r="B780" s="22"/>
      <c r="C780" s="22"/>
      <c r="D780" s="136"/>
      <c r="E780" s="151"/>
    </row>
    <row r="781" spans="1:5" ht="12.75" customHeight="1">
      <c r="A781" s="22"/>
      <c r="B781" s="22"/>
      <c r="C781" s="22"/>
      <c r="D781" s="136"/>
      <c r="E781" s="151"/>
    </row>
    <row r="782" spans="1:5" ht="12.75" customHeight="1">
      <c r="A782" s="22"/>
      <c r="B782" s="22"/>
      <c r="C782" s="22"/>
      <c r="D782" s="136"/>
      <c r="E782" s="151"/>
    </row>
    <row r="783" spans="1:5" ht="12.75" customHeight="1">
      <c r="A783" s="22"/>
      <c r="B783" s="22"/>
      <c r="C783" s="22"/>
      <c r="D783" s="136"/>
      <c r="E783" s="151"/>
    </row>
    <row r="784" spans="1:5" ht="12.75" customHeight="1">
      <c r="A784" s="22"/>
      <c r="B784" s="22"/>
      <c r="C784" s="22"/>
      <c r="D784" s="136"/>
      <c r="E784" s="151"/>
    </row>
    <row r="785" spans="1:5" ht="12.75" customHeight="1">
      <c r="A785" s="22"/>
      <c r="B785" s="22"/>
      <c r="C785" s="22"/>
      <c r="D785" s="136"/>
      <c r="E785" s="151"/>
    </row>
    <row r="786" spans="1:5" ht="12.75" customHeight="1">
      <c r="A786" s="22"/>
      <c r="B786" s="22"/>
      <c r="C786" s="22"/>
      <c r="D786" s="136"/>
      <c r="E786" s="151"/>
    </row>
    <row r="787" spans="1:5" ht="12.75" customHeight="1">
      <c r="A787" s="22"/>
      <c r="B787" s="22"/>
      <c r="C787" s="22"/>
      <c r="D787" s="136"/>
      <c r="E787" s="151"/>
    </row>
    <row r="788" spans="1:5" ht="12.75" customHeight="1">
      <c r="A788" s="22"/>
      <c r="B788" s="22"/>
      <c r="C788" s="22"/>
      <c r="D788" s="136"/>
      <c r="E788" s="151"/>
    </row>
    <row r="789" spans="1:5" ht="12.75" customHeight="1">
      <c r="A789" s="22"/>
      <c r="B789" s="22"/>
      <c r="C789" s="22"/>
      <c r="D789" s="136"/>
      <c r="E789" s="151"/>
    </row>
    <row r="790" spans="1:5" ht="12.75" customHeight="1">
      <c r="A790" s="22"/>
      <c r="B790" s="22"/>
      <c r="C790" s="22"/>
      <c r="D790" s="136"/>
      <c r="E790" s="151"/>
    </row>
    <row r="791" spans="1:5" ht="12.75" customHeight="1">
      <c r="A791" s="22"/>
      <c r="B791" s="22"/>
      <c r="C791" s="22"/>
      <c r="D791" s="136"/>
      <c r="E791" s="151"/>
    </row>
    <row r="792" spans="1:5" ht="12.75" customHeight="1">
      <c r="A792" s="22"/>
      <c r="B792" s="22"/>
      <c r="C792" s="22"/>
      <c r="D792" s="136"/>
      <c r="E792" s="151"/>
    </row>
    <row r="793" spans="1:5" ht="12.75" customHeight="1">
      <c r="A793" s="22"/>
      <c r="B793" s="22"/>
      <c r="C793" s="22"/>
      <c r="D793" s="136"/>
      <c r="E793" s="151"/>
    </row>
    <row r="794" spans="1:5" ht="12.75" customHeight="1">
      <c r="A794" s="22"/>
      <c r="B794" s="22"/>
      <c r="C794" s="22"/>
      <c r="D794" s="136"/>
      <c r="E794" s="151"/>
    </row>
    <row r="795" spans="1:5" ht="12.75" customHeight="1">
      <c r="A795" s="22"/>
      <c r="B795" s="22"/>
      <c r="C795" s="22"/>
      <c r="D795" s="136"/>
      <c r="E795" s="151"/>
    </row>
    <row r="796" spans="1:5" ht="12.75" customHeight="1">
      <c r="A796" s="22"/>
      <c r="B796" s="22"/>
      <c r="C796" s="22"/>
      <c r="D796" s="136"/>
      <c r="E796" s="151"/>
    </row>
    <row r="797" spans="1:5" ht="12.75" customHeight="1">
      <c r="A797" s="22"/>
      <c r="B797" s="22"/>
      <c r="C797" s="22"/>
      <c r="D797" s="136"/>
      <c r="E797" s="151"/>
    </row>
    <row r="798" spans="1:5" ht="12.75" customHeight="1">
      <c r="A798" s="22"/>
      <c r="B798" s="22"/>
      <c r="C798" s="22"/>
      <c r="D798" s="136"/>
      <c r="E798" s="151"/>
    </row>
    <row r="799" spans="1:5" ht="12.75" customHeight="1">
      <c r="A799" s="22"/>
      <c r="B799" s="22"/>
      <c r="C799" s="22"/>
      <c r="D799" s="136"/>
      <c r="E799" s="151"/>
    </row>
    <row r="800" spans="1:5" ht="12.75" customHeight="1">
      <c r="A800" s="22"/>
      <c r="B800" s="22"/>
      <c r="C800" s="22"/>
      <c r="D800" s="136"/>
      <c r="E800" s="151"/>
    </row>
    <row r="801" spans="1:5" ht="12.75" customHeight="1">
      <c r="A801" s="22"/>
      <c r="B801" s="22"/>
      <c r="C801" s="22"/>
      <c r="D801" s="136"/>
      <c r="E801" s="151"/>
    </row>
    <row r="802" spans="1:5" ht="12.75" customHeight="1">
      <c r="A802" s="22"/>
      <c r="B802" s="22"/>
      <c r="C802" s="22"/>
      <c r="D802" s="136"/>
      <c r="E802" s="151"/>
    </row>
    <row r="803" spans="1:5" ht="12.75" customHeight="1">
      <c r="A803" s="22"/>
      <c r="B803" s="22"/>
      <c r="C803" s="22"/>
      <c r="D803" s="136"/>
      <c r="E803" s="151"/>
    </row>
    <row r="804" spans="1:5" ht="12.75" customHeight="1">
      <c r="A804" s="22"/>
      <c r="B804" s="22"/>
      <c r="C804" s="22"/>
      <c r="D804" s="136"/>
      <c r="E804" s="151"/>
    </row>
    <row r="805" spans="1:5" ht="12.75" customHeight="1">
      <c r="A805" s="22"/>
      <c r="B805" s="22"/>
      <c r="C805" s="22"/>
      <c r="D805" s="136"/>
      <c r="E805" s="151"/>
    </row>
    <row r="806" spans="1:5" ht="12.75" customHeight="1">
      <c r="A806" s="22"/>
      <c r="B806" s="22"/>
      <c r="C806" s="22"/>
      <c r="D806" s="136"/>
      <c r="E806" s="151"/>
    </row>
    <row r="807" spans="1:5" ht="12.75" customHeight="1">
      <c r="A807" s="22"/>
      <c r="B807" s="22"/>
      <c r="C807" s="22"/>
      <c r="D807" s="136"/>
      <c r="E807" s="151"/>
    </row>
    <row r="808" spans="1:5" ht="12.75" customHeight="1">
      <c r="A808" s="22"/>
      <c r="B808" s="22"/>
      <c r="C808" s="22"/>
      <c r="D808" s="136"/>
      <c r="E808" s="151"/>
    </row>
    <row r="809" spans="1:5" ht="12.75" customHeight="1">
      <c r="A809" s="22"/>
      <c r="B809" s="22"/>
      <c r="C809" s="22"/>
      <c r="D809" s="136"/>
      <c r="E809" s="151"/>
    </row>
    <row r="810" spans="1:5" ht="12.75" customHeight="1">
      <c r="A810" s="22"/>
      <c r="B810" s="22"/>
      <c r="C810" s="22"/>
      <c r="D810" s="136"/>
      <c r="E810" s="151"/>
    </row>
    <row r="811" spans="1:5" ht="12.75" customHeight="1">
      <c r="A811" s="22"/>
      <c r="B811" s="22"/>
      <c r="C811" s="22"/>
      <c r="D811" s="136"/>
      <c r="E811" s="151"/>
    </row>
    <row r="812" spans="1:5" ht="12.75" customHeight="1">
      <c r="A812" s="22"/>
      <c r="B812" s="22"/>
      <c r="C812" s="22"/>
      <c r="D812" s="136"/>
      <c r="E812" s="151"/>
    </row>
    <row r="813" spans="1:5" ht="12.75" customHeight="1">
      <c r="A813" s="22"/>
      <c r="B813" s="22"/>
      <c r="C813" s="22"/>
      <c r="D813" s="136"/>
      <c r="E813" s="151"/>
    </row>
    <row r="814" spans="1:5" ht="12.75" customHeight="1">
      <c r="A814" s="22"/>
      <c r="B814" s="22"/>
      <c r="C814" s="22"/>
      <c r="D814" s="136"/>
      <c r="E814" s="151"/>
    </row>
    <row r="815" spans="1:5" ht="12.75" customHeight="1">
      <c r="A815" s="22"/>
      <c r="B815" s="22"/>
      <c r="C815" s="22"/>
      <c r="D815" s="136"/>
      <c r="E815" s="151"/>
    </row>
    <row r="816" spans="1:5" ht="12.75" customHeight="1">
      <c r="A816" s="22"/>
      <c r="B816" s="22"/>
      <c r="C816" s="22"/>
      <c r="D816" s="136"/>
      <c r="E816" s="151"/>
    </row>
    <row r="817" spans="1:5" ht="12.75" customHeight="1">
      <c r="A817" s="22"/>
      <c r="B817" s="22"/>
      <c r="C817" s="22"/>
      <c r="D817" s="136"/>
      <c r="E817" s="151"/>
    </row>
    <row r="818" spans="1:5" ht="12.75" customHeight="1">
      <c r="A818" s="22"/>
      <c r="B818" s="22"/>
      <c r="C818" s="22"/>
      <c r="D818" s="136"/>
      <c r="E818" s="151"/>
    </row>
    <row r="819" spans="1:5" ht="12.75" customHeight="1">
      <c r="A819" s="22"/>
      <c r="B819" s="22"/>
      <c r="C819" s="22"/>
      <c r="D819" s="136"/>
      <c r="E819" s="151"/>
    </row>
    <row r="820" spans="1:5" ht="12.75" customHeight="1">
      <c r="A820" s="22"/>
      <c r="B820" s="22"/>
      <c r="C820" s="22"/>
      <c r="D820" s="136"/>
      <c r="E820" s="151"/>
    </row>
    <row r="821" spans="1:5" ht="12.75" customHeight="1">
      <c r="A821" s="22"/>
      <c r="B821" s="22"/>
      <c r="C821" s="22"/>
      <c r="D821" s="136"/>
      <c r="E821" s="151"/>
    </row>
    <row r="822" spans="1:5" ht="12.75" customHeight="1">
      <c r="A822" s="22"/>
      <c r="B822" s="22"/>
      <c r="C822" s="22"/>
      <c r="D822" s="136"/>
      <c r="E822" s="151"/>
    </row>
    <row r="823" spans="1:5" ht="12.75" customHeight="1">
      <c r="A823" s="22"/>
      <c r="B823" s="22"/>
      <c r="C823" s="22"/>
      <c r="D823" s="136"/>
      <c r="E823" s="151"/>
    </row>
    <row r="824" spans="1:5" ht="12.75" customHeight="1">
      <c r="A824" s="22"/>
      <c r="B824" s="22"/>
      <c r="C824" s="22"/>
      <c r="D824" s="136"/>
      <c r="E824" s="151"/>
    </row>
    <row r="825" spans="1:5" ht="12.75" customHeight="1">
      <c r="A825" s="22"/>
      <c r="B825" s="22"/>
      <c r="C825" s="22"/>
      <c r="D825" s="136"/>
      <c r="E825" s="151"/>
    </row>
    <row r="826" spans="1:5" ht="12.75" customHeight="1">
      <c r="A826" s="22"/>
      <c r="B826" s="22"/>
      <c r="C826" s="22"/>
      <c r="D826" s="136"/>
      <c r="E826" s="151"/>
    </row>
    <row r="827" spans="1:5" ht="12.75" customHeight="1">
      <c r="A827" s="22"/>
      <c r="B827" s="22"/>
      <c r="C827" s="22"/>
      <c r="D827" s="136"/>
      <c r="E827" s="151"/>
    </row>
    <row r="828" spans="1:5" ht="12.75" customHeight="1">
      <c r="A828" s="22"/>
      <c r="B828" s="22"/>
      <c r="C828" s="22"/>
      <c r="D828" s="136"/>
      <c r="E828" s="151"/>
    </row>
    <row r="829" spans="1:5" ht="12.75" customHeight="1">
      <c r="A829" s="22"/>
      <c r="B829" s="22"/>
      <c r="C829" s="22"/>
      <c r="D829" s="136"/>
      <c r="E829" s="151"/>
    </row>
    <row r="830" spans="1:5" ht="12.75" customHeight="1">
      <c r="A830" s="22"/>
      <c r="B830" s="22"/>
      <c r="C830" s="22"/>
      <c r="D830" s="136"/>
      <c r="E830" s="151"/>
    </row>
    <row r="831" spans="1:5" ht="12.75" customHeight="1">
      <c r="A831" s="22"/>
      <c r="B831" s="22"/>
      <c r="C831" s="22"/>
      <c r="D831" s="136"/>
      <c r="E831" s="151"/>
    </row>
    <row r="832" spans="1:5" ht="12.75" customHeight="1">
      <c r="A832" s="22"/>
      <c r="B832" s="22"/>
      <c r="C832" s="22"/>
      <c r="D832" s="136"/>
      <c r="E832" s="151"/>
    </row>
    <row r="833" spans="1:5" ht="12.75" customHeight="1">
      <c r="A833" s="22"/>
      <c r="B833" s="22"/>
      <c r="C833" s="22"/>
      <c r="D833" s="136"/>
      <c r="E833" s="151"/>
    </row>
    <row r="834" spans="1:5" ht="12.75" customHeight="1">
      <c r="A834" s="22"/>
      <c r="B834" s="22"/>
      <c r="C834" s="22"/>
      <c r="D834" s="136"/>
      <c r="E834" s="151"/>
    </row>
    <row r="835" spans="1:5" ht="12.75" customHeight="1">
      <c r="A835" s="22"/>
      <c r="B835" s="22"/>
      <c r="C835" s="22"/>
      <c r="D835" s="136"/>
      <c r="E835" s="151"/>
    </row>
    <row r="836" spans="1:5" ht="12.75" customHeight="1">
      <c r="A836" s="22"/>
      <c r="B836" s="22"/>
      <c r="C836" s="22"/>
      <c r="D836" s="136"/>
      <c r="E836" s="151"/>
    </row>
    <row r="837" spans="1:5" ht="12.75" customHeight="1">
      <c r="A837" s="22"/>
      <c r="B837" s="22"/>
      <c r="C837" s="22"/>
      <c r="D837" s="136"/>
      <c r="E837" s="151"/>
    </row>
    <row r="838" spans="1:5" ht="12.75" customHeight="1">
      <c r="A838" s="22"/>
      <c r="B838" s="22"/>
      <c r="C838" s="22"/>
      <c r="D838" s="136"/>
      <c r="E838" s="151"/>
    </row>
    <row r="839" spans="1:5" ht="12.75" customHeight="1">
      <c r="A839" s="22"/>
      <c r="B839" s="22"/>
      <c r="C839" s="22"/>
      <c r="D839" s="136"/>
      <c r="E839" s="151"/>
    </row>
    <row r="840" spans="1:5" ht="12.75" customHeight="1">
      <c r="A840" s="22"/>
      <c r="B840" s="22"/>
      <c r="C840" s="22"/>
      <c r="D840" s="136"/>
      <c r="E840" s="151"/>
    </row>
    <row r="841" spans="1:5" ht="12.75" customHeight="1">
      <c r="A841" s="22"/>
      <c r="B841" s="22"/>
      <c r="C841" s="22"/>
      <c r="D841" s="136"/>
      <c r="E841" s="151"/>
    </row>
    <row r="842" spans="1:5" ht="12.75" customHeight="1">
      <c r="A842" s="22"/>
      <c r="B842" s="22"/>
      <c r="C842" s="22"/>
      <c r="D842" s="136"/>
      <c r="E842" s="151"/>
    </row>
    <row r="843" spans="1:5" ht="12.75" customHeight="1">
      <c r="A843" s="22"/>
      <c r="B843" s="22"/>
      <c r="C843" s="22"/>
      <c r="D843" s="136"/>
      <c r="E843" s="151"/>
    </row>
    <row r="844" spans="1:5" ht="12.75" customHeight="1">
      <c r="A844" s="22"/>
      <c r="B844" s="22"/>
      <c r="C844" s="22"/>
      <c r="D844" s="136"/>
      <c r="E844" s="151"/>
    </row>
    <row r="845" spans="1:5" ht="12.75" customHeight="1">
      <c r="A845" s="22"/>
      <c r="B845" s="22"/>
      <c r="C845" s="22"/>
      <c r="D845" s="136"/>
      <c r="E845" s="151"/>
    </row>
    <row r="846" spans="1:5" ht="12.75" customHeight="1">
      <c r="A846" s="22"/>
      <c r="B846" s="22"/>
      <c r="C846" s="22"/>
      <c r="D846" s="136"/>
      <c r="E846" s="151"/>
    </row>
    <row r="847" spans="1:5" ht="12.75" customHeight="1">
      <c r="A847" s="22"/>
      <c r="B847" s="22"/>
      <c r="C847" s="22"/>
      <c r="D847" s="136"/>
      <c r="E847" s="151"/>
    </row>
    <row r="848" spans="1:5" ht="12.75" customHeight="1">
      <c r="A848" s="22"/>
      <c r="B848" s="22"/>
      <c r="C848" s="22"/>
      <c r="D848" s="136"/>
      <c r="E848" s="151"/>
    </row>
    <row r="849" spans="1:5" ht="12.75" customHeight="1">
      <c r="A849" s="22"/>
      <c r="B849" s="22"/>
      <c r="C849" s="22"/>
      <c r="D849" s="136"/>
      <c r="E849" s="151"/>
    </row>
    <row r="850" spans="1:5" ht="12.75" customHeight="1">
      <c r="A850" s="22"/>
      <c r="B850" s="22"/>
      <c r="C850" s="22"/>
      <c r="D850" s="136"/>
      <c r="E850" s="151"/>
    </row>
    <row r="851" spans="1:5" ht="12.75" customHeight="1">
      <c r="A851" s="22"/>
      <c r="B851" s="22"/>
      <c r="C851" s="22"/>
      <c r="D851" s="136"/>
      <c r="E851" s="151"/>
    </row>
    <row r="852" spans="1:5" ht="12.75" customHeight="1">
      <c r="A852" s="22"/>
      <c r="B852" s="22"/>
      <c r="C852" s="22"/>
      <c r="D852" s="136"/>
      <c r="E852" s="151"/>
    </row>
    <row r="853" spans="1:5" ht="12.75" customHeight="1">
      <c r="A853" s="22"/>
      <c r="B853" s="22"/>
      <c r="C853" s="22"/>
      <c r="D853" s="136"/>
      <c r="E853" s="151"/>
    </row>
    <row r="854" spans="1:5" ht="12.75" customHeight="1">
      <c r="A854" s="22"/>
      <c r="B854" s="22"/>
      <c r="C854" s="22"/>
      <c r="D854" s="136"/>
      <c r="E854" s="151"/>
    </row>
    <row r="855" spans="1:5" ht="12.75" customHeight="1">
      <c r="A855" s="22"/>
      <c r="B855" s="22"/>
      <c r="C855" s="22"/>
      <c r="D855" s="136"/>
      <c r="E855" s="151"/>
    </row>
    <row r="856" spans="1:5" ht="12.75" customHeight="1">
      <c r="A856" s="22"/>
      <c r="B856" s="22"/>
      <c r="C856" s="22"/>
      <c r="D856" s="136"/>
      <c r="E856" s="151"/>
    </row>
    <row r="857" spans="1:5" ht="12.75" customHeight="1">
      <c r="A857" s="22"/>
      <c r="B857" s="22"/>
      <c r="C857" s="22"/>
      <c r="D857" s="136"/>
      <c r="E857" s="151"/>
    </row>
    <row r="858" spans="1:5" ht="12.75" customHeight="1">
      <c r="A858" s="22"/>
      <c r="B858" s="22"/>
      <c r="C858" s="22"/>
      <c r="D858" s="136"/>
      <c r="E858" s="151"/>
    </row>
    <row r="859" spans="1:5" ht="12.75" customHeight="1">
      <c r="A859" s="22"/>
      <c r="B859" s="22"/>
      <c r="C859" s="22"/>
      <c r="D859" s="136"/>
      <c r="E859" s="151"/>
    </row>
    <row r="860" spans="1:5" ht="12.75" customHeight="1">
      <c r="A860" s="22"/>
      <c r="B860" s="22"/>
      <c r="C860" s="22"/>
      <c r="D860" s="136"/>
      <c r="E860" s="151"/>
    </row>
    <row r="861" spans="1:5" ht="12.75" customHeight="1">
      <c r="A861" s="22"/>
      <c r="B861" s="22"/>
      <c r="C861" s="22"/>
      <c r="D861" s="136"/>
      <c r="E861" s="151"/>
    </row>
    <row r="862" spans="1:5" ht="12.75" customHeight="1">
      <c r="A862" s="22"/>
      <c r="B862" s="22"/>
      <c r="C862" s="22"/>
      <c r="D862" s="136"/>
      <c r="E862" s="151"/>
    </row>
    <row r="863" spans="1:5" ht="12.75" customHeight="1">
      <c r="A863" s="22"/>
      <c r="B863" s="22"/>
      <c r="C863" s="22"/>
      <c r="D863" s="136"/>
      <c r="E863" s="151"/>
    </row>
    <row r="864" spans="1:5" ht="12.75" customHeight="1">
      <c r="A864" s="22"/>
      <c r="B864" s="22"/>
      <c r="C864" s="22"/>
      <c r="D864" s="136"/>
      <c r="E864" s="151"/>
    </row>
    <row r="865" spans="1:5" ht="12.75" customHeight="1">
      <c r="A865" s="22"/>
      <c r="B865" s="22"/>
      <c r="C865" s="22"/>
      <c r="D865" s="136"/>
      <c r="E865" s="151"/>
    </row>
    <row r="866" spans="1:5" ht="12.75" customHeight="1">
      <c r="A866" s="22"/>
      <c r="B866" s="22"/>
      <c r="C866" s="22"/>
      <c r="D866" s="136"/>
      <c r="E866" s="151"/>
    </row>
    <row r="867" spans="1:5" ht="12.75" customHeight="1">
      <c r="A867" s="22"/>
      <c r="B867" s="22"/>
      <c r="C867" s="22"/>
      <c r="D867" s="136"/>
      <c r="E867" s="151"/>
    </row>
    <row r="868" spans="1:5" ht="12.75" customHeight="1">
      <c r="A868" s="22"/>
      <c r="B868" s="22"/>
      <c r="C868" s="22"/>
      <c r="D868" s="136"/>
      <c r="E868" s="151"/>
    </row>
    <row r="869" spans="1:5" ht="12.75" customHeight="1">
      <c r="A869" s="22"/>
      <c r="B869" s="22"/>
      <c r="C869" s="22"/>
      <c r="D869" s="136"/>
      <c r="E869" s="151"/>
    </row>
    <row r="870" spans="1:5" ht="12.75" customHeight="1">
      <c r="A870" s="22"/>
      <c r="B870" s="22"/>
      <c r="C870" s="22"/>
      <c r="D870" s="136"/>
      <c r="E870" s="151"/>
    </row>
    <row r="871" spans="1:5" ht="12.75" customHeight="1">
      <c r="A871" s="22"/>
      <c r="B871" s="22"/>
      <c r="C871" s="22"/>
      <c r="D871" s="136"/>
      <c r="E871" s="151"/>
    </row>
    <row r="872" spans="1:5" ht="12.75" customHeight="1">
      <c r="A872" s="22"/>
      <c r="B872" s="22"/>
      <c r="C872" s="22"/>
      <c r="D872" s="136"/>
      <c r="E872" s="151"/>
    </row>
    <row r="873" spans="1:5" ht="12.75" customHeight="1">
      <c r="A873" s="22"/>
      <c r="B873" s="22"/>
      <c r="C873" s="22"/>
      <c r="D873" s="136"/>
      <c r="E873" s="151"/>
    </row>
    <row r="874" spans="1:5" ht="12.75" customHeight="1">
      <c r="A874" s="22"/>
      <c r="B874" s="22"/>
      <c r="C874" s="22"/>
      <c r="D874" s="136"/>
      <c r="E874" s="151"/>
    </row>
    <row r="875" spans="1:5" ht="12.75" customHeight="1">
      <c r="A875" s="22"/>
      <c r="B875" s="22"/>
      <c r="C875" s="22"/>
      <c r="D875" s="136"/>
      <c r="E875" s="151"/>
    </row>
    <row r="876" spans="1:5" ht="12.75" customHeight="1">
      <c r="A876" s="22"/>
      <c r="B876" s="22"/>
      <c r="C876" s="22"/>
      <c r="D876" s="136"/>
      <c r="E876" s="151"/>
    </row>
    <row r="877" spans="1:5" ht="12.75" customHeight="1">
      <c r="A877" s="22"/>
      <c r="B877" s="22"/>
      <c r="C877" s="22"/>
      <c r="D877" s="136"/>
      <c r="E877" s="151"/>
    </row>
    <row r="878" spans="1:5" ht="12.75" customHeight="1">
      <c r="A878" s="22"/>
      <c r="B878" s="22"/>
      <c r="C878" s="22"/>
      <c r="D878" s="136"/>
      <c r="E878" s="151"/>
    </row>
    <row r="879" spans="1:5" ht="12.75" customHeight="1">
      <c r="A879" s="22"/>
      <c r="B879" s="22"/>
      <c r="C879" s="22"/>
      <c r="D879" s="136"/>
      <c r="E879" s="151"/>
    </row>
    <row r="880" spans="1:5" ht="12.75" customHeight="1">
      <c r="A880" s="22"/>
      <c r="B880" s="22"/>
      <c r="C880" s="22"/>
      <c r="D880" s="136"/>
      <c r="E880" s="151"/>
    </row>
    <row r="881" spans="1:5" ht="12.75" customHeight="1">
      <c r="A881" s="22"/>
      <c r="B881" s="22"/>
      <c r="C881" s="22"/>
      <c r="D881" s="136"/>
      <c r="E881" s="151"/>
    </row>
    <row r="882" spans="1:5" ht="12.75" customHeight="1">
      <c r="A882" s="22"/>
      <c r="B882" s="22"/>
      <c r="C882" s="22"/>
      <c r="D882" s="136"/>
      <c r="E882" s="151"/>
    </row>
    <row r="883" spans="1:5" ht="12.75" customHeight="1">
      <c r="A883" s="22"/>
      <c r="B883" s="22"/>
      <c r="C883" s="22"/>
      <c r="D883" s="136"/>
      <c r="E883" s="151"/>
    </row>
    <row r="884" spans="1:5" ht="12.75" customHeight="1">
      <c r="A884" s="22"/>
      <c r="B884" s="22"/>
      <c r="C884" s="22"/>
      <c r="D884" s="136"/>
      <c r="E884" s="151"/>
    </row>
    <row r="885" spans="1:5" ht="12.75" customHeight="1">
      <c r="A885" s="22"/>
      <c r="B885" s="22"/>
      <c r="C885" s="22"/>
      <c r="D885" s="136"/>
      <c r="E885" s="151"/>
    </row>
    <row r="886" spans="1:5" ht="12.75" customHeight="1">
      <c r="A886" s="22"/>
      <c r="B886" s="22"/>
      <c r="C886" s="22"/>
      <c r="D886" s="136"/>
      <c r="E886" s="151"/>
    </row>
    <row r="887" spans="1:5" ht="12.75" customHeight="1">
      <c r="A887" s="22"/>
      <c r="B887" s="22"/>
      <c r="C887" s="22"/>
      <c r="D887" s="136"/>
      <c r="E887" s="151"/>
    </row>
    <row r="888" spans="1:5" ht="12.75" customHeight="1">
      <c r="A888" s="22"/>
      <c r="B888" s="22"/>
      <c r="C888" s="22"/>
      <c r="D888" s="136"/>
      <c r="E888" s="151"/>
    </row>
    <row r="889" spans="1:5" ht="12.75" customHeight="1">
      <c r="A889" s="22"/>
      <c r="B889" s="22"/>
      <c r="C889" s="22"/>
      <c r="D889" s="136"/>
      <c r="E889" s="151"/>
    </row>
    <row r="890" spans="1:5" ht="12.75" customHeight="1">
      <c r="A890" s="22"/>
      <c r="B890" s="22"/>
      <c r="C890" s="22"/>
      <c r="D890" s="136"/>
      <c r="E890" s="151"/>
    </row>
    <row r="891" spans="1:5" ht="12.75" customHeight="1">
      <c r="A891" s="22"/>
      <c r="B891" s="22"/>
      <c r="C891" s="22"/>
      <c r="D891" s="136"/>
      <c r="E891" s="151"/>
    </row>
    <row r="892" spans="1:5" ht="12.75" customHeight="1">
      <c r="A892" s="22"/>
      <c r="B892" s="22"/>
      <c r="C892" s="22"/>
      <c r="D892" s="136"/>
      <c r="E892" s="151"/>
    </row>
    <row r="893" spans="1:5" ht="12.75" customHeight="1">
      <c r="A893" s="22"/>
      <c r="B893" s="22"/>
      <c r="C893" s="22"/>
      <c r="D893" s="136"/>
      <c r="E893" s="151"/>
    </row>
    <row r="894" spans="1:5" ht="12.75" customHeight="1">
      <c r="A894" s="22"/>
      <c r="B894" s="22"/>
      <c r="C894" s="22"/>
      <c r="D894" s="136"/>
      <c r="E894" s="151"/>
    </row>
    <row r="895" spans="1:5" ht="12.75" customHeight="1">
      <c r="A895" s="22"/>
      <c r="B895" s="22"/>
      <c r="C895" s="22"/>
      <c r="D895" s="136"/>
      <c r="E895" s="151"/>
    </row>
    <row r="896" spans="1:5" ht="12.75" customHeight="1">
      <c r="A896" s="22"/>
      <c r="B896" s="22"/>
      <c r="C896" s="22"/>
      <c r="D896" s="136"/>
      <c r="E896" s="151"/>
    </row>
    <row r="897" spans="1:5" ht="12.75" customHeight="1">
      <c r="A897" s="22"/>
      <c r="B897" s="22"/>
      <c r="C897" s="22"/>
      <c r="D897" s="136"/>
      <c r="E897" s="151"/>
    </row>
    <row r="898" spans="1:5" ht="12.75" customHeight="1">
      <c r="A898" s="22"/>
      <c r="B898" s="22"/>
      <c r="C898" s="22"/>
      <c r="D898" s="136"/>
      <c r="E898" s="151"/>
    </row>
    <row r="899" spans="1:5" ht="12.75" customHeight="1">
      <c r="A899" s="22"/>
      <c r="B899" s="22"/>
      <c r="C899" s="22"/>
      <c r="D899" s="136"/>
      <c r="E899" s="151"/>
    </row>
    <row r="900" spans="1:5" ht="12.75" customHeight="1">
      <c r="A900" s="22"/>
      <c r="B900" s="22"/>
      <c r="C900" s="22"/>
      <c r="D900" s="136"/>
      <c r="E900" s="151"/>
    </row>
    <row r="901" spans="1:5" ht="12.75" customHeight="1">
      <c r="A901" s="22"/>
      <c r="B901" s="22"/>
      <c r="C901" s="22"/>
      <c r="D901" s="136"/>
      <c r="E901" s="151"/>
    </row>
    <row r="902" spans="1:5" ht="12.75" customHeight="1">
      <c r="A902" s="22"/>
      <c r="B902" s="22"/>
      <c r="C902" s="22"/>
      <c r="D902" s="136"/>
      <c r="E902" s="151"/>
    </row>
    <row r="903" spans="1:5" ht="12.75" customHeight="1">
      <c r="A903" s="22"/>
      <c r="B903" s="22"/>
      <c r="C903" s="22"/>
      <c r="D903" s="136"/>
      <c r="E903" s="151"/>
    </row>
    <row r="904" spans="1:5" ht="12.75" customHeight="1">
      <c r="A904" s="22"/>
      <c r="B904" s="22"/>
      <c r="C904" s="22"/>
      <c r="D904" s="136"/>
      <c r="E904" s="151"/>
    </row>
    <row r="905" spans="1:5" ht="12.75" customHeight="1">
      <c r="A905" s="22"/>
      <c r="B905" s="22"/>
      <c r="C905" s="22"/>
      <c r="D905" s="136"/>
      <c r="E905" s="151"/>
    </row>
    <row r="906" spans="1:5" ht="12.75" customHeight="1">
      <c r="A906" s="22"/>
      <c r="B906" s="22"/>
      <c r="C906" s="22"/>
      <c r="D906" s="136"/>
      <c r="E906" s="151"/>
    </row>
    <row r="907" spans="1:5" ht="12.75" customHeight="1">
      <c r="A907" s="22"/>
      <c r="B907" s="22"/>
      <c r="C907" s="22"/>
      <c r="D907" s="136"/>
      <c r="E907" s="151"/>
    </row>
    <row r="908" spans="1:5" ht="12.75" customHeight="1">
      <c r="A908" s="22"/>
      <c r="B908" s="22"/>
      <c r="C908" s="22"/>
      <c r="D908" s="136"/>
      <c r="E908" s="151"/>
    </row>
    <row r="909" spans="1:5" ht="12.75" customHeight="1">
      <c r="A909" s="22"/>
      <c r="B909" s="22"/>
      <c r="C909" s="22"/>
      <c r="D909" s="136"/>
      <c r="E909" s="151"/>
    </row>
    <row r="910" spans="1:5" ht="12.75" customHeight="1">
      <c r="A910" s="22"/>
      <c r="B910" s="22"/>
      <c r="C910" s="22"/>
      <c r="D910" s="136"/>
      <c r="E910" s="151"/>
    </row>
    <row r="911" spans="1:5" ht="12.75" customHeight="1">
      <c r="A911" s="22"/>
      <c r="B911" s="22"/>
      <c r="C911" s="22"/>
      <c r="D911" s="136"/>
      <c r="E911" s="151"/>
    </row>
    <row r="912" spans="1:5" ht="12.75" customHeight="1">
      <c r="A912" s="22"/>
      <c r="B912" s="22"/>
      <c r="C912" s="22"/>
      <c r="D912" s="136"/>
      <c r="E912" s="151"/>
    </row>
    <row r="913" spans="1:5" ht="12.75" customHeight="1">
      <c r="A913" s="22"/>
      <c r="B913" s="22"/>
      <c r="C913" s="22"/>
      <c r="D913" s="136"/>
      <c r="E913" s="151"/>
    </row>
    <row r="914" spans="1:5" ht="12.75" customHeight="1">
      <c r="A914" s="22"/>
      <c r="B914" s="22"/>
      <c r="C914" s="22"/>
      <c r="D914" s="136"/>
      <c r="E914" s="151"/>
    </row>
    <row r="915" spans="1:5" ht="12.75" customHeight="1">
      <c r="A915" s="22"/>
      <c r="B915" s="22"/>
      <c r="C915" s="22"/>
      <c r="D915" s="136"/>
      <c r="E915" s="151"/>
    </row>
    <row r="916" spans="1:5" ht="12.75" customHeight="1">
      <c r="A916" s="22"/>
      <c r="B916" s="22"/>
      <c r="C916" s="22"/>
      <c r="D916" s="136"/>
      <c r="E916" s="151"/>
    </row>
    <row r="917" spans="1:5" ht="12.75" customHeight="1">
      <c r="A917" s="22"/>
      <c r="B917" s="22"/>
      <c r="C917" s="22"/>
      <c r="D917" s="136"/>
      <c r="E917" s="151"/>
    </row>
    <row r="918" spans="1:5" ht="12.75" customHeight="1">
      <c r="A918" s="22"/>
      <c r="B918" s="22"/>
      <c r="C918" s="22"/>
      <c r="D918" s="136"/>
      <c r="E918" s="151"/>
    </row>
    <row r="919" spans="1:5" ht="12.75" customHeight="1">
      <c r="A919" s="22"/>
      <c r="B919" s="22"/>
      <c r="C919" s="22"/>
      <c r="D919" s="136"/>
      <c r="E919" s="151"/>
    </row>
    <row r="920" spans="1:5" ht="12.75" customHeight="1">
      <c r="A920" s="22"/>
      <c r="B920" s="22"/>
      <c r="C920" s="22"/>
      <c r="D920" s="136"/>
      <c r="E920" s="151"/>
    </row>
    <row r="921" spans="1:5" ht="12.75" customHeight="1">
      <c r="A921" s="22"/>
      <c r="B921" s="22"/>
      <c r="C921" s="22"/>
      <c r="D921" s="136"/>
      <c r="E921" s="151"/>
    </row>
    <row r="922" spans="1:5" ht="12.75" customHeight="1">
      <c r="A922" s="22"/>
      <c r="B922" s="22"/>
      <c r="C922" s="22"/>
      <c r="D922" s="136"/>
      <c r="E922" s="151"/>
    </row>
    <row r="923" spans="1:5" ht="12.75" customHeight="1">
      <c r="A923" s="22"/>
      <c r="B923" s="22"/>
      <c r="C923" s="22"/>
      <c r="D923" s="136"/>
      <c r="E923" s="151"/>
    </row>
    <row r="924" spans="1:5" ht="12.75" customHeight="1">
      <c r="A924" s="22"/>
      <c r="B924" s="22"/>
      <c r="C924" s="22"/>
      <c r="D924" s="136"/>
      <c r="E924" s="151"/>
    </row>
    <row r="925" spans="1:5" ht="12.75" customHeight="1">
      <c r="A925" s="22"/>
      <c r="B925" s="22"/>
      <c r="C925" s="22"/>
      <c r="D925" s="136"/>
      <c r="E925" s="151"/>
    </row>
    <row r="926" spans="1:5" ht="12.75" customHeight="1">
      <c r="A926" s="22"/>
      <c r="B926" s="22"/>
      <c r="C926" s="22"/>
      <c r="D926" s="136"/>
      <c r="E926" s="151"/>
    </row>
    <row r="927" spans="1:5" ht="12.75" customHeight="1">
      <c r="A927" s="22"/>
      <c r="B927" s="22"/>
      <c r="C927" s="22"/>
      <c r="D927" s="136"/>
      <c r="E927" s="151"/>
    </row>
    <row r="928" spans="1:5" ht="12.75" customHeight="1">
      <c r="A928" s="22"/>
      <c r="B928" s="22"/>
      <c r="C928" s="22"/>
      <c r="D928" s="136"/>
      <c r="E928" s="151"/>
    </row>
    <row r="929" spans="1:5" ht="12.75" customHeight="1">
      <c r="A929" s="22"/>
      <c r="B929" s="22"/>
      <c r="C929" s="22"/>
      <c r="D929" s="136"/>
      <c r="E929" s="151"/>
    </row>
    <row r="930" spans="1:5" ht="12.75" customHeight="1">
      <c r="A930" s="22"/>
      <c r="B930" s="22"/>
      <c r="C930" s="22"/>
      <c r="D930" s="136"/>
      <c r="E930" s="151"/>
    </row>
    <row r="931" spans="1:5" ht="12.75" customHeight="1">
      <c r="A931" s="22"/>
      <c r="B931" s="22"/>
      <c r="C931" s="22"/>
      <c r="D931" s="136"/>
      <c r="E931" s="151"/>
    </row>
    <row r="932" spans="1:5" ht="12.75" customHeight="1">
      <c r="A932" s="22"/>
      <c r="B932" s="22"/>
      <c r="C932" s="22"/>
      <c r="D932" s="136"/>
      <c r="E932" s="151"/>
    </row>
    <row r="933" spans="1:5" ht="12.75" customHeight="1">
      <c r="A933" s="22"/>
      <c r="B933" s="22"/>
      <c r="C933" s="22"/>
      <c r="D933" s="136"/>
      <c r="E933" s="151"/>
    </row>
    <row r="934" spans="1:5" ht="12.75" customHeight="1">
      <c r="A934" s="22"/>
      <c r="B934" s="22"/>
      <c r="C934" s="22"/>
      <c r="D934" s="136"/>
      <c r="E934" s="151"/>
    </row>
    <row r="935" spans="1:5" ht="12.75" customHeight="1">
      <c r="A935" s="22"/>
      <c r="B935" s="22"/>
      <c r="C935" s="22"/>
      <c r="D935" s="136"/>
      <c r="E935" s="151"/>
    </row>
    <row r="936" spans="1:5" ht="12.75" customHeight="1">
      <c r="A936" s="22"/>
      <c r="B936" s="22"/>
      <c r="C936" s="22"/>
      <c r="D936" s="136"/>
      <c r="E936" s="151"/>
    </row>
    <row r="937" spans="1:5" ht="12.75" customHeight="1">
      <c r="A937" s="22"/>
      <c r="B937" s="22"/>
      <c r="C937" s="22"/>
      <c r="D937" s="136"/>
      <c r="E937" s="151"/>
    </row>
    <row r="938" spans="1:5" ht="12.75" customHeight="1">
      <c r="A938" s="22"/>
      <c r="B938" s="22"/>
      <c r="C938" s="22"/>
      <c r="D938" s="136"/>
      <c r="E938" s="151"/>
    </row>
    <row r="939" spans="1:5" ht="12.75" customHeight="1">
      <c r="A939" s="22"/>
      <c r="B939" s="22"/>
      <c r="C939" s="22"/>
      <c r="D939" s="136"/>
      <c r="E939" s="151"/>
    </row>
    <row r="940" spans="1:5" ht="12.75" customHeight="1">
      <c r="A940" s="22"/>
      <c r="B940" s="22"/>
      <c r="C940" s="22"/>
      <c r="D940" s="136"/>
      <c r="E940" s="151"/>
    </row>
    <row r="941" spans="1:5" ht="12.75" customHeight="1">
      <c r="A941" s="22"/>
      <c r="B941" s="22"/>
      <c r="C941" s="22"/>
      <c r="D941" s="136"/>
      <c r="E941" s="151"/>
    </row>
    <row r="942" spans="1:5" ht="12.75" customHeight="1">
      <c r="A942" s="22"/>
      <c r="B942" s="22"/>
      <c r="C942" s="22"/>
      <c r="D942" s="136"/>
      <c r="E942" s="151"/>
    </row>
    <row r="943" spans="1:5" ht="12.75" customHeight="1">
      <c r="A943" s="22"/>
      <c r="B943" s="22"/>
      <c r="C943" s="22"/>
      <c r="D943" s="136"/>
      <c r="E943" s="151"/>
    </row>
    <row r="944" spans="1:5" ht="12.75" customHeight="1">
      <c r="A944" s="22"/>
      <c r="B944" s="22"/>
      <c r="C944" s="22"/>
      <c r="D944" s="136"/>
      <c r="E944" s="151"/>
    </row>
    <row r="945" spans="1:5" ht="12.75" customHeight="1">
      <c r="A945" s="22"/>
      <c r="B945" s="22"/>
      <c r="C945" s="22"/>
      <c r="D945" s="136"/>
      <c r="E945" s="151"/>
    </row>
    <row r="946" spans="1:5" ht="12.75" customHeight="1">
      <c r="A946" s="22"/>
      <c r="B946" s="22"/>
      <c r="C946" s="22"/>
      <c r="D946" s="136"/>
      <c r="E946" s="151"/>
    </row>
    <row r="947" spans="1:5" ht="12.75" customHeight="1">
      <c r="A947" s="22"/>
      <c r="B947" s="22"/>
      <c r="C947" s="22"/>
      <c r="D947" s="136"/>
      <c r="E947" s="151"/>
    </row>
    <row r="948" spans="1:5" ht="12.75" customHeight="1">
      <c r="A948" s="22"/>
      <c r="B948" s="22"/>
      <c r="C948" s="22"/>
      <c r="D948" s="136"/>
      <c r="E948" s="151"/>
    </row>
    <row r="949" spans="1:5" ht="12.75" customHeight="1">
      <c r="A949" s="22"/>
      <c r="B949" s="22"/>
      <c r="C949" s="22"/>
      <c r="D949" s="136"/>
      <c r="E949" s="151"/>
    </row>
    <row r="950" spans="1:5" ht="12.75" customHeight="1">
      <c r="A950" s="22"/>
      <c r="B950" s="22"/>
      <c r="C950" s="22"/>
      <c r="D950" s="136"/>
      <c r="E950" s="151"/>
    </row>
    <row r="951" spans="1:5" ht="12.75" customHeight="1">
      <c r="A951" s="22"/>
      <c r="B951" s="22"/>
      <c r="C951" s="22"/>
      <c r="D951" s="136"/>
      <c r="E951" s="151"/>
    </row>
    <row r="952" spans="1:5" ht="12.75" customHeight="1">
      <c r="A952" s="22"/>
      <c r="B952" s="22"/>
      <c r="C952" s="22"/>
      <c r="D952" s="136"/>
      <c r="E952" s="151"/>
    </row>
    <row r="953" spans="1:5" ht="12.75" customHeight="1">
      <c r="A953" s="22"/>
      <c r="B953" s="22"/>
      <c r="C953" s="22"/>
      <c r="D953" s="136"/>
      <c r="E953" s="151"/>
    </row>
    <row r="954" spans="1:5" ht="12.75" customHeight="1">
      <c r="A954" s="22"/>
      <c r="B954" s="22"/>
      <c r="C954" s="22"/>
      <c r="D954" s="136"/>
      <c r="E954" s="151"/>
    </row>
    <row r="955" spans="1:5" ht="12.75" customHeight="1">
      <c r="A955" s="22"/>
      <c r="B955" s="22"/>
      <c r="C955" s="22"/>
      <c r="D955" s="136"/>
      <c r="E955" s="151"/>
    </row>
    <row r="956" spans="1:5" ht="12.75" customHeight="1">
      <c r="A956" s="22"/>
      <c r="B956" s="22"/>
      <c r="C956" s="22"/>
      <c r="D956" s="136"/>
      <c r="E956" s="151"/>
    </row>
    <row r="957" spans="1:5" ht="12.75" customHeight="1">
      <c r="A957" s="22"/>
      <c r="B957" s="22"/>
      <c r="C957" s="22"/>
      <c r="D957" s="136"/>
      <c r="E957" s="151"/>
    </row>
    <row r="958" spans="1:5" ht="12.75" customHeight="1">
      <c r="A958" s="22"/>
      <c r="B958" s="22"/>
      <c r="C958" s="22"/>
      <c r="D958" s="136"/>
      <c r="E958" s="151"/>
    </row>
    <row r="959" spans="1:5" ht="12.75" customHeight="1">
      <c r="A959" s="22"/>
      <c r="B959" s="22"/>
      <c r="C959" s="22"/>
      <c r="D959" s="136"/>
      <c r="E959" s="151"/>
    </row>
    <row r="960" spans="1:5" ht="12.75" customHeight="1">
      <c r="A960" s="22"/>
      <c r="B960" s="22"/>
      <c r="C960" s="22"/>
      <c r="D960" s="136"/>
      <c r="E960" s="151"/>
    </row>
    <row r="961" spans="1:5" ht="12.75" customHeight="1">
      <c r="A961" s="22"/>
      <c r="B961" s="22"/>
      <c r="C961" s="22"/>
      <c r="D961" s="136"/>
      <c r="E961" s="151"/>
    </row>
    <row r="962" spans="1:5" ht="12.75" customHeight="1">
      <c r="A962" s="22"/>
      <c r="B962" s="22"/>
      <c r="C962" s="22"/>
      <c r="D962" s="136"/>
      <c r="E962" s="151"/>
    </row>
    <row r="963" spans="1:5" ht="12.75" customHeight="1">
      <c r="A963" s="22"/>
      <c r="B963" s="22"/>
      <c r="C963" s="22"/>
      <c r="D963" s="136"/>
      <c r="E963" s="151"/>
    </row>
    <row r="964" spans="1:5" ht="12.75" customHeight="1">
      <c r="A964" s="22"/>
      <c r="B964" s="22"/>
      <c r="C964" s="22"/>
      <c r="D964" s="136"/>
      <c r="E964" s="151"/>
    </row>
    <row r="965" spans="1:5" ht="12.75" customHeight="1">
      <c r="A965" s="22"/>
      <c r="B965" s="22"/>
      <c r="C965" s="22"/>
      <c r="D965" s="136"/>
      <c r="E965" s="151"/>
    </row>
    <row r="966" spans="1:5" ht="12.75" customHeight="1">
      <c r="A966" s="22"/>
      <c r="B966" s="22"/>
      <c r="C966" s="22"/>
      <c r="D966" s="136"/>
      <c r="E966" s="151"/>
    </row>
    <row r="967" spans="1:5" ht="12.75" customHeight="1">
      <c r="A967" s="22"/>
      <c r="B967" s="22"/>
      <c r="C967" s="22"/>
      <c r="D967" s="136"/>
      <c r="E967" s="151"/>
    </row>
    <row r="968" spans="1:5" ht="12.75" customHeight="1">
      <c r="A968" s="22"/>
      <c r="B968" s="22"/>
      <c r="C968" s="22"/>
      <c r="D968" s="136"/>
      <c r="E968" s="151"/>
    </row>
    <row r="969" spans="1:5" ht="12.75" customHeight="1">
      <c r="A969" s="22"/>
      <c r="B969" s="22"/>
      <c r="C969" s="22"/>
      <c r="D969" s="136"/>
      <c r="E969" s="151"/>
    </row>
    <row r="970" spans="1:5" ht="12.75" customHeight="1">
      <c r="A970" s="22"/>
      <c r="B970" s="22"/>
      <c r="C970" s="22"/>
      <c r="D970" s="136"/>
      <c r="E970" s="151"/>
    </row>
    <row r="971" spans="1:5" ht="15" customHeight="1">
      <c r="D971" s="136"/>
      <c r="E971" s="151"/>
    </row>
    <row r="972" spans="1:5" ht="15" customHeight="1">
      <c r="D972" s="136"/>
      <c r="E972" s="151"/>
    </row>
    <row r="973" spans="1:5" ht="15" customHeight="1">
      <c r="D973" s="136"/>
      <c r="E973" s="151"/>
    </row>
    <row r="974" spans="1:5" ht="15" customHeight="1">
      <c r="D974" s="136"/>
      <c r="E974" s="151"/>
    </row>
    <row r="975" spans="1:5" ht="15" customHeight="1">
      <c r="D975" s="136"/>
      <c r="E975" s="151"/>
    </row>
    <row r="976" spans="1:5" ht="15" customHeight="1">
      <c r="D976" s="136"/>
      <c r="E976" s="151"/>
    </row>
    <row r="977" spans="4:5" ht="15" customHeight="1">
      <c r="D977" s="136"/>
      <c r="E977" s="151"/>
    </row>
    <row r="978" spans="4:5" ht="15" customHeight="1">
      <c r="D978" s="136"/>
      <c r="E978" s="151"/>
    </row>
    <row r="979" spans="4:5" ht="15" customHeight="1">
      <c r="D979" s="136"/>
      <c r="E979" s="151"/>
    </row>
    <row r="980" spans="4:5" ht="15" customHeight="1">
      <c r="D980" s="136"/>
      <c r="E980" s="151"/>
    </row>
    <row r="981" spans="4:5" ht="15" customHeight="1">
      <c r="D981" s="136"/>
      <c r="E981" s="151"/>
    </row>
    <row r="982" spans="4:5" ht="15" customHeight="1">
      <c r="D982" s="136"/>
      <c r="E982" s="151"/>
    </row>
    <row r="983" spans="4:5" ht="15" customHeight="1">
      <c r="D983" s="136"/>
      <c r="E983" s="151"/>
    </row>
    <row r="984" spans="4:5" ht="13.2">
      <c r="D984" s="136"/>
    </row>
    <row r="985" spans="4:5" ht="13.2">
      <c r="D985" s="136"/>
    </row>
    <row r="986" spans="4:5" ht="13.2">
      <c r="D986" s="136"/>
    </row>
    <row r="987" spans="4:5" ht="13.2">
      <c r="D987" s="136"/>
    </row>
  </sheetData>
  <mergeCells count="34">
    <mergeCell ref="E42:E45"/>
    <mergeCell ref="E46:E50"/>
    <mergeCell ref="E51:E54"/>
    <mergeCell ref="E55:E59"/>
    <mergeCell ref="E60:E64"/>
    <mergeCell ref="E65:E68"/>
    <mergeCell ref="D37:D41"/>
    <mergeCell ref="D42:D45"/>
    <mergeCell ref="D46:D50"/>
    <mergeCell ref="D51:D54"/>
    <mergeCell ref="D55:D59"/>
    <mergeCell ref="D60:D64"/>
    <mergeCell ref="D65:D68"/>
    <mergeCell ref="D32:D36"/>
    <mergeCell ref="E32:E36"/>
    <mergeCell ref="E37:E41"/>
    <mergeCell ref="D20:D24"/>
    <mergeCell ref="E20:E24"/>
    <mergeCell ref="D25:D27"/>
    <mergeCell ref="E25:E27"/>
    <mergeCell ref="D28:D31"/>
    <mergeCell ref="E28:E31"/>
    <mergeCell ref="E8:E11"/>
    <mergeCell ref="D8:D11"/>
    <mergeCell ref="D12:D16"/>
    <mergeCell ref="E12:E16"/>
    <mergeCell ref="D17:D19"/>
    <mergeCell ref="E17:E19"/>
    <mergeCell ref="F1:M1"/>
    <mergeCell ref="O1:V1"/>
    <mergeCell ref="X1:AE1"/>
    <mergeCell ref="AG1:AN1"/>
    <mergeCell ref="D4:D7"/>
    <mergeCell ref="E4:E7"/>
  </mergeCells>
  <hyperlinks>
    <hyperlink ref="C74" r:id="rId1" xr:uid="{00000000-0004-0000-0500-000000000000}"/>
    <hyperlink ref="E4" r:id="rId2" xr:uid="{00000000-0004-0000-0500-000001000000}"/>
    <hyperlink ref="E8" r:id="rId3" xr:uid="{00000000-0004-0000-0500-000002000000}"/>
    <hyperlink ref="E12" r:id="rId4" xr:uid="{00000000-0004-0000-0500-000003000000}"/>
    <hyperlink ref="E17" r:id="rId5" xr:uid="{00000000-0004-0000-0500-000004000000}"/>
    <hyperlink ref="E20" r:id="rId6" xr:uid="{00000000-0004-0000-0500-000005000000}"/>
    <hyperlink ref="E25" r:id="rId7" xr:uid="{00000000-0004-0000-0500-000006000000}"/>
    <hyperlink ref="E28" r:id="rId8" xr:uid="{00000000-0004-0000-0500-000007000000}"/>
    <hyperlink ref="E32" r:id="rId9" xr:uid="{00000000-0004-0000-0500-000008000000}"/>
    <hyperlink ref="E37" r:id="rId10" xr:uid="{00000000-0004-0000-0500-000009000000}"/>
    <hyperlink ref="E42" r:id="rId11" xr:uid="{00000000-0004-0000-0500-00000A000000}"/>
    <hyperlink ref="E46" r:id="rId12" xr:uid="{00000000-0004-0000-0500-00000B000000}"/>
    <hyperlink ref="E51" r:id="rId13" xr:uid="{00000000-0004-0000-0500-00000C000000}"/>
    <hyperlink ref="E55" r:id="rId14" xr:uid="{00000000-0004-0000-0500-00000D000000}"/>
    <hyperlink ref="E60" r:id="rId15" xr:uid="{00000000-0004-0000-0500-00000E000000}"/>
    <hyperlink ref="E65" r:id="rId16" xr:uid="{00000000-0004-0000-0500-00000F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87"/>
  <sheetViews>
    <sheetView topLeftCell="A46" workbookViewId="0">
      <selection activeCell="J62" sqref="J62"/>
    </sheetView>
  </sheetViews>
  <sheetFormatPr defaultColWidth="12.6640625" defaultRowHeight="15" customHeight="1"/>
  <cols>
    <col min="3" max="3" width="26.6640625" customWidth="1"/>
    <col min="5" max="5" width="32.44140625" customWidth="1"/>
    <col min="6" max="6" width="17.33203125" customWidth="1"/>
    <col min="7" max="7" width="19.33203125" customWidth="1"/>
    <col min="8" max="8" width="17.44140625" customWidth="1"/>
    <col min="9" max="9" width="15.88671875" customWidth="1"/>
  </cols>
  <sheetData>
    <row r="1" spans="1:11">
      <c r="A1" s="140" t="s">
        <v>73</v>
      </c>
      <c r="B1" s="140" t="s">
        <v>3</v>
      </c>
      <c r="C1" s="140" t="s">
        <v>4</v>
      </c>
      <c r="D1" s="141" t="s">
        <v>71</v>
      </c>
      <c r="E1" s="140" t="s">
        <v>74</v>
      </c>
      <c r="F1" s="153" t="s">
        <v>90</v>
      </c>
      <c r="G1" s="153" t="s">
        <v>91</v>
      </c>
      <c r="H1" s="153" t="s">
        <v>71</v>
      </c>
      <c r="I1" s="153" t="s">
        <v>92</v>
      </c>
      <c r="J1" s="135"/>
      <c r="K1" s="135"/>
    </row>
    <row r="2" spans="1:11">
      <c r="A2" s="140"/>
      <c r="B2" s="140"/>
      <c r="C2" s="140"/>
      <c r="D2" s="141"/>
      <c r="E2" s="140"/>
      <c r="F2" s="154" t="s">
        <v>93</v>
      </c>
      <c r="G2" s="154" t="s">
        <v>93</v>
      </c>
      <c r="H2" s="154" t="s">
        <v>93</v>
      </c>
      <c r="I2" s="154" t="s">
        <v>93</v>
      </c>
      <c r="J2" s="135"/>
      <c r="K2" s="135"/>
    </row>
    <row r="3" spans="1:11">
      <c r="A3" s="6">
        <v>1</v>
      </c>
      <c r="B3" s="7">
        <f>CO_Report_Evaluation!B4</f>
        <v>223014152</v>
      </c>
      <c r="C3" s="7" t="str">
        <f>CO_Report_Evaluation!C4</f>
        <v>Ahadul Islam Rahul</v>
      </c>
      <c r="D3" s="273" t="s">
        <v>75</v>
      </c>
      <c r="E3" s="277"/>
      <c r="F3" s="135">
        <v>0</v>
      </c>
      <c r="G3" s="135">
        <v>0</v>
      </c>
      <c r="H3" s="135">
        <v>0</v>
      </c>
      <c r="I3" s="155">
        <f t="shared" ref="I3:I67" si="0">SUM(F3,G3,H3)/3</f>
        <v>0</v>
      </c>
    </row>
    <row r="4" spans="1:11">
      <c r="A4" s="6">
        <f t="shared" ref="A4:A67" si="1">A3+1</f>
        <v>2</v>
      </c>
      <c r="B4" s="7">
        <f>CO_Report_Evaluation!B5</f>
        <v>223014049</v>
      </c>
      <c r="C4" s="7" t="str">
        <f>CO_Report_Evaluation!C5</f>
        <v>Md. Sojib Al Hasan</v>
      </c>
      <c r="D4" s="235"/>
      <c r="E4" s="235"/>
      <c r="F4" s="135">
        <v>0</v>
      </c>
      <c r="G4" s="135">
        <v>0</v>
      </c>
      <c r="H4" s="135">
        <v>0</v>
      </c>
      <c r="I4" s="155">
        <f t="shared" si="0"/>
        <v>0</v>
      </c>
    </row>
    <row r="5" spans="1:11">
      <c r="A5" s="6">
        <f t="shared" si="1"/>
        <v>3</v>
      </c>
      <c r="B5" s="7">
        <f>CO_Report_Evaluation!B6</f>
        <v>222014039</v>
      </c>
      <c r="C5" s="7" t="str">
        <f>CO_Report_Evaluation!C6</f>
        <v>Nadia Akter Jui</v>
      </c>
      <c r="D5" s="235"/>
      <c r="E5" s="235"/>
      <c r="F5" s="135">
        <v>0</v>
      </c>
      <c r="G5" s="135">
        <v>0</v>
      </c>
      <c r="H5" s="135">
        <v>0</v>
      </c>
      <c r="I5" s="155">
        <f t="shared" si="0"/>
        <v>0</v>
      </c>
    </row>
    <row r="6" spans="1:11">
      <c r="A6" s="6">
        <f t="shared" si="1"/>
        <v>4</v>
      </c>
      <c r="B6" s="7">
        <f>CO_Report_Evaluation!B7</f>
        <v>222014012</v>
      </c>
      <c r="C6" s="7" t="str">
        <f>CO_Report_Evaluation!C7</f>
        <v>Md. Minhazul Islam</v>
      </c>
      <c r="D6" s="235"/>
      <c r="E6" s="235"/>
      <c r="F6" s="135">
        <v>0</v>
      </c>
      <c r="G6" s="135">
        <v>0</v>
      </c>
      <c r="H6" s="135">
        <v>0</v>
      </c>
      <c r="I6" s="155">
        <f t="shared" si="0"/>
        <v>0</v>
      </c>
    </row>
    <row r="7" spans="1:11">
      <c r="A7" s="6">
        <f t="shared" si="1"/>
        <v>5</v>
      </c>
      <c r="B7" s="7">
        <f>CO_Report_Evaluation!B8</f>
        <v>222014096</v>
      </c>
      <c r="C7" s="7" t="str">
        <f>CO_Report_Evaluation!C8</f>
        <v>Md. Shams Arefin</v>
      </c>
      <c r="D7" s="273" t="s">
        <v>75</v>
      </c>
      <c r="E7" s="277"/>
      <c r="F7" s="135">
        <v>0</v>
      </c>
      <c r="G7" s="135">
        <v>0</v>
      </c>
      <c r="H7" s="135">
        <v>0</v>
      </c>
      <c r="I7" s="155">
        <f t="shared" si="0"/>
        <v>0</v>
      </c>
    </row>
    <row r="8" spans="1:11">
      <c r="A8" s="6">
        <f t="shared" si="1"/>
        <v>6</v>
      </c>
      <c r="B8" s="7">
        <f>CO_Report_Evaluation!B9</f>
        <v>221014135</v>
      </c>
      <c r="C8" s="7" t="str">
        <f>CO_Report_Evaluation!C9</f>
        <v>Aminul Islam</v>
      </c>
      <c r="D8" s="235"/>
      <c r="E8" s="235"/>
      <c r="F8" s="135">
        <v>0</v>
      </c>
      <c r="G8" s="135">
        <v>0</v>
      </c>
      <c r="H8" s="135">
        <v>0</v>
      </c>
      <c r="I8" s="155">
        <f t="shared" si="0"/>
        <v>0</v>
      </c>
    </row>
    <row r="9" spans="1:11">
      <c r="A9" s="6">
        <f t="shared" si="1"/>
        <v>7</v>
      </c>
      <c r="B9" s="7">
        <f>CO_Report_Evaluation!B10</f>
        <v>221014018</v>
      </c>
      <c r="C9" s="7" t="str">
        <f>CO_Report_Evaluation!C10</f>
        <v>Israfill Hossain Mehedi</v>
      </c>
      <c r="D9" s="235"/>
      <c r="E9" s="235"/>
      <c r="F9" s="135">
        <v>0</v>
      </c>
      <c r="G9" s="135">
        <v>0</v>
      </c>
      <c r="H9" s="135">
        <v>0</v>
      </c>
      <c r="I9" s="155">
        <f t="shared" si="0"/>
        <v>0</v>
      </c>
    </row>
    <row r="10" spans="1:11">
      <c r="A10" s="6">
        <f t="shared" si="1"/>
        <v>8</v>
      </c>
      <c r="B10" s="7">
        <f>CO_Report_Evaluation!B11</f>
        <v>221014008</v>
      </c>
      <c r="C10" s="7" t="str">
        <f>CO_Report_Evaluation!C11</f>
        <v>Mahmudul Hasan Dipto</v>
      </c>
      <c r="D10" s="235"/>
      <c r="E10" s="235"/>
      <c r="F10" s="135">
        <v>0</v>
      </c>
      <c r="G10" s="135">
        <v>0</v>
      </c>
      <c r="H10" s="135">
        <v>0</v>
      </c>
      <c r="I10" s="155">
        <f t="shared" si="0"/>
        <v>0</v>
      </c>
    </row>
    <row r="11" spans="1:11">
      <c r="A11" s="6">
        <f t="shared" si="1"/>
        <v>9</v>
      </c>
      <c r="B11" s="7">
        <f>CO_Report_Evaluation!B12</f>
        <v>223014142</v>
      </c>
      <c r="C11" s="7" t="str">
        <f>CO_Report_Evaluation!C12</f>
        <v>Tamanna Akter</v>
      </c>
      <c r="D11" s="273" t="s">
        <v>76</v>
      </c>
      <c r="E11" s="277"/>
      <c r="F11" s="135">
        <v>0</v>
      </c>
      <c r="G11" s="135">
        <v>0</v>
      </c>
      <c r="H11" s="135">
        <v>0</v>
      </c>
      <c r="I11" s="155">
        <f t="shared" si="0"/>
        <v>0</v>
      </c>
    </row>
    <row r="12" spans="1:11">
      <c r="A12" s="6">
        <f t="shared" si="1"/>
        <v>10</v>
      </c>
      <c r="B12" s="7">
        <f>CO_Report_Evaluation!B13</f>
        <v>223014204</v>
      </c>
      <c r="C12" s="7" t="str">
        <f>CO_Report_Evaluation!C13</f>
        <v>Ashrafun Nahar Rahi</v>
      </c>
      <c r="D12" s="235"/>
      <c r="E12" s="235"/>
      <c r="F12" s="135">
        <v>0</v>
      </c>
      <c r="G12" s="135">
        <v>0</v>
      </c>
      <c r="H12" s="135">
        <v>0</v>
      </c>
      <c r="I12" s="155">
        <f t="shared" si="0"/>
        <v>0</v>
      </c>
    </row>
    <row r="13" spans="1:11">
      <c r="A13" s="6">
        <f t="shared" si="1"/>
        <v>11</v>
      </c>
      <c r="B13" s="7">
        <f>CO_Report_Evaluation!B14</f>
        <v>213014052</v>
      </c>
      <c r="C13" s="7" t="str">
        <f>CO_Report_Evaluation!C14</f>
        <v>Khuslima Fardush Mony</v>
      </c>
      <c r="D13" s="235"/>
      <c r="E13" s="235"/>
      <c r="F13" s="135">
        <v>0</v>
      </c>
      <c r="G13" s="135">
        <v>0</v>
      </c>
      <c r="H13" s="135">
        <v>0</v>
      </c>
      <c r="I13" s="155">
        <f t="shared" si="0"/>
        <v>0</v>
      </c>
    </row>
    <row r="14" spans="1:11">
      <c r="A14" s="6">
        <f t="shared" si="1"/>
        <v>12</v>
      </c>
      <c r="B14" s="7">
        <f>CO_Report_Evaluation!B15</f>
        <v>221014035</v>
      </c>
      <c r="C14" s="7" t="str">
        <f>CO_Report_Evaluation!C15</f>
        <v>Md. Alif Hossain</v>
      </c>
      <c r="D14" s="235"/>
      <c r="E14" s="235"/>
      <c r="F14" s="135">
        <v>0</v>
      </c>
      <c r="G14" s="135">
        <v>0</v>
      </c>
      <c r="H14" s="135">
        <v>0</v>
      </c>
      <c r="I14" s="155">
        <f t="shared" si="0"/>
        <v>0</v>
      </c>
    </row>
    <row r="15" spans="1:11">
      <c r="A15" s="6">
        <f t="shared" si="1"/>
        <v>13</v>
      </c>
      <c r="B15" s="7">
        <f>CO_Report_Evaluation!B16</f>
        <v>223014074</v>
      </c>
      <c r="C15" s="7" t="str">
        <f>CO_Report_Evaluation!C16</f>
        <v>Salvir Rahman Ratul</v>
      </c>
      <c r="D15" s="235"/>
      <c r="E15" s="235"/>
      <c r="F15" s="135">
        <v>0</v>
      </c>
      <c r="G15" s="135">
        <v>0</v>
      </c>
      <c r="H15" s="135">
        <v>0</v>
      </c>
      <c r="I15" s="155">
        <f t="shared" si="0"/>
        <v>0</v>
      </c>
    </row>
    <row r="16" spans="1:11">
      <c r="A16" s="6">
        <f t="shared" si="1"/>
        <v>14</v>
      </c>
      <c r="B16" s="7">
        <f>CO_Report_Evaluation!B17</f>
        <v>223014133</v>
      </c>
      <c r="C16" s="7" t="str">
        <f>CO_Report_Evaluation!C17</f>
        <v>Nancy Drong</v>
      </c>
      <c r="D16" s="273" t="s">
        <v>77</v>
      </c>
      <c r="E16" s="277"/>
      <c r="F16" s="135">
        <v>0</v>
      </c>
      <c r="G16" s="135">
        <v>0</v>
      </c>
      <c r="H16" s="135">
        <v>0</v>
      </c>
      <c r="I16" s="155">
        <f t="shared" si="0"/>
        <v>0</v>
      </c>
    </row>
    <row r="17" spans="1:9">
      <c r="A17" s="6">
        <f t="shared" si="1"/>
        <v>15</v>
      </c>
      <c r="B17" s="7">
        <f>CO_Report_Evaluation!B18</f>
        <v>223014052</v>
      </c>
      <c r="C17" s="7" t="str">
        <f>CO_Report_Evaluation!C18</f>
        <v>Argho Das</v>
      </c>
      <c r="D17" s="235"/>
      <c r="E17" s="235"/>
      <c r="F17" s="135">
        <v>0</v>
      </c>
      <c r="G17" s="135">
        <v>0</v>
      </c>
      <c r="H17" s="135">
        <v>0</v>
      </c>
      <c r="I17" s="155">
        <f t="shared" si="0"/>
        <v>0</v>
      </c>
    </row>
    <row r="18" spans="1:9">
      <c r="A18" s="6">
        <f t="shared" si="1"/>
        <v>16</v>
      </c>
      <c r="B18" s="7">
        <f>CO_Report_Evaluation!B19</f>
        <v>223014105</v>
      </c>
      <c r="C18" s="7" t="str">
        <f>CO_Report_Evaluation!C19</f>
        <v>Navid Rahman</v>
      </c>
      <c r="D18" s="235"/>
      <c r="E18" s="235"/>
      <c r="F18" s="135">
        <v>0</v>
      </c>
      <c r="G18" s="135">
        <v>0</v>
      </c>
      <c r="H18" s="135">
        <v>0</v>
      </c>
      <c r="I18" s="155">
        <f t="shared" si="0"/>
        <v>0</v>
      </c>
    </row>
    <row r="19" spans="1:9">
      <c r="A19" s="6">
        <f t="shared" si="1"/>
        <v>17</v>
      </c>
      <c r="B19" s="7">
        <f>CO_Report_Evaluation!B20</f>
        <v>223014196</v>
      </c>
      <c r="C19" s="7" t="str">
        <f>CO_Report_Evaluation!C20</f>
        <v>Shafwan Shadid Khan</v>
      </c>
      <c r="D19" s="273" t="s">
        <v>78</v>
      </c>
      <c r="E19" s="277"/>
      <c r="F19" s="135">
        <v>0</v>
      </c>
      <c r="G19" s="135">
        <v>0</v>
      </c>
      <c r="H19" s="135">
        <v>0</v>
      </c>
      <c r="I19" s="155">
        <f t="shared" si="0"/>
        <v>0</v>
      </c>
    </row>
    <row r="20" spans="1:9">
      <c r="A20" s="6">
        <f t="shared" si="1"/>
        <v>18</v>
      </c>
      <c r="B20" s="7">
        <f>CO_Report_Evaluation!B21</f>
        <v>201014026</v>
      </c>
      <c r="C20" s="7" t="str">
        <f>CO_Report_Evaluation!C21</f>
        <v>Sabbir Hossain</v>
      </c>
      <c r="D20" s="235"/>
      <c r="E20" s="235"/>
      <c r="F20" s="135">
        <v>0</v>
      </c>
      <c r="G20" s="135">
        <v>0</v>
      </c>
      <c r="H20" s="135">
        <v>0</v>
      </c>
      <c r="I20" s="155">
        <f t="shared" si="0"/>
        <v>0</v>
      </c>
    </row>
    <row r="21" spans="1:9">
      <c r="A21" s="6">
        <f t="shared" si="1"/>
        <v>19</v>
      </c>
      <c r="B21" s="7">
        <f>CO_Report_Evaluation!B22</f>
        <v>173014054</v>
      </c>
      <c r="C21" s="7" t="str">
        <f>CO_Report_Evaluation!C22</f>
        <v>Pranto Sarkar</v>
      </c>
      <c r="D21" s="235"/>
      <c r="E21" s="235"/>
      <c r="F21" s="135">
        <v>0</v>
      </c>
      <c r="G21" s="135">
        <v>0</v>
      </c>
      <c r="H21" s="135">
        <v>0</v>
      </c>
      <c r="I21" s="155">
        <f t="shared" si="0"/>
        <v>0</v>
      </c>
    </row>
    <row r="22" spans="1:9">
      <c r="A22" s="6">
        <f t="shared" si="1"/>
        <v>20</v>
      </c>
      <c r="B22" s="7">
        <f>CO_Report_Evaluation!B23</f>
        <v>201014068</v>
      </c>
      <c r="C22" s="7" t="str">
        <f>CO_Report_Evaluation!C23</f>
        <v>Shatabdi Mondal Shila</v>
      </c>
      <c r="D22" s="235"/>
      <c r="E22" s="235"/>
      <c r="F22" s="135">
        <v>0</v>
      </c>
      <c r="G22" s="135">
        <v>0</v>
      </c>
      <c r="H22" s="135">
        <v>0</v>
      </c>
      <c r="I22" s="155">
        <f t="shared" si="0"/>
        <v>0</v>
      </c>
    </row>
    <row r="23" spans="1:9">
      <c r="A23" s="6">
        <f t="shared" si="1"/>
        <v>21</v>
      </c>
      <c r="B23" s="7">
        <f>CO_Report_Evaluation!B24</f>
        <v>201014030</v>
      </c>
      <c r="C23" s="7" t="str">
        <f>CO_Report_Evaluation!C24</f>
        <v>Md. Asiful Islam</v>
      </c>
      <c r="D23" s="235"/>
      <c r="E23" s="235"/>
      <c r="F23" s="135">
        <v>0</v>
      </c>
      <c r="G23" s="135">
        <v>0</v>
      </c>
      <c r="H23" s="135">
        <v>0</v>
      </c>
      <c r="I23" s="155">
        <f t="shared" si="0"/>
        <v>0</v>
      </c>
    </row>
    <row r="24" spans="1:9">
      <c r="A24" s="6">
        <f t="shared" si="1"/>
        <v>22</v>
      </c>
      <c r="B24" s="7">
        <f>CO_Report_Evaluation!B25</f>
        <v>201014050</v>
      </c>
      <c r="C24" s="7" t="str">
        <f>CO_Report_Evaluation!C25</f>
        <v>Dip Kumar Mondal</v>
      </c>
      <c r="D24" s="273" t="s">
        <v>79</v>
      </c>
      <c r="E24" s="277"/>
      <c r="F24" s="135">
        <v>0</v>
      </c>
      <c r="G24" s="135">
        <v>0</v>
      </c>
      <c r="H24" s="135">
        <v>0</v>
      </c>
      <c r="I24" s="155">
        <f t="shared" si="0"/>
        <v>0</v>
      </c>
    </row>
    <row r="25" spans="1:9">
      <c r="A25" s="6">
        <f t="shared" si="1"/>
        <v>23</v>
      </c>
      <c r="B25" s="7">
        <f>CO_Report_Evaluation!B26</f>
        <v>223014213</v>
      </c>
      <c r="C25" s="7" t="str">
        <f>CO_Report_Evaluation!C26</f>
        <v>Md. Minhazul Islam</v>
      </c>
      <c r="D25" s="235"/>
      <c r="E25" s="235"/>
      <c r="F25" s="135">
        <v>0</v>
      </c>
      <c r="G25" s="135">
        <v>0</v>
      </c>
      <c r="H25" s="135">
        <v>0</v>
      </c>
      <c r="I25" s="155">
        <f t="shared" si="0"/>
        <v>0</v>
      </c>
    </row>
    <row r="26" spans="1:9">
      <c r="A26" s="6">
        <f t="shared" si="1"/>
        <v>24</v>
      </c>
      <c r="B26" s="7">
        <f>CO_Report_Evaluation!B27</f>
        <v>223014078</v>
      </c>
      <c r="C26" s="7" t="str">
        <f>CO_Report_Evaluation!C27</f>
        <v>Shakhar Das Rony</v>
      </c>
      <c r="D26" s="235"/>
      <c r="E26" s="235"/>
      <c r="F26" s="135">
        <v>0</v>
      </c>
      <c r="G26" s="135">
        <v>0</v>
      </c>
      <c r="H26" s="135">
        <v>0</v>
      </c>
      <c r="I26" s="155">
        <f t="shared" si="0"/>
        <v>0</v>
      </c>
    </row>
    <row r="27" spans="1:9">
      <c r="A27" s="6">
        <f t="shared" si="1"/>
        <v>25</v>
      </c>
      <c r="B27" s="7">
        <f>CO_Report_Evaluation!B28</f>
        <v>223014212</v>
      </c>
      <c r="C27" s="7" t="str">
        <f>CO_Report_Evaluation!C28</f>
        <v>Md. Tamim Hasan</v>
      </c>
      <c r="D27" s="273" t="s">
        <v>80</v>
      </c>
      <c r="E27" s="277"/>
      <c r="F27" s="135">
        <v>0</v>
      </c>
      <c r="G27" s="135">
        <v>0</v>
      </c>
      <c r="H27" s="135">
        <v>0</v>
      </c>
      <c r="I27" s="155">
        <f t="shared" si="0"/>
        <v>0</v>
      </c>
    </row>
    <row r="28" spans="1:9">
      <c r="A28" s="6">
        <f t="shared" si="1"/>
        <v>26</v>
      </c>
      <c r="B28" s="7">
        <f>CO_Report_Evaluation!B29</f>
        <v>223014110</v>
      </c>
      <c r="C28" s="7" t="str">
        <f>CO_Report_Evaluation!C29</f>
        <v>Md. Maruf Hossain</v>
      </c>
      <c r="D28" s="235"/>
      <c r="E28" s="235"/>
      <c r="F28" s="135">
        <v>0</v>
      </c>
      <c r="G28" s="135">
        <v>0</v>
      </c>
      <c r="H28" s="135">
        <v>0</v>
      </c>
      <c r="I28" s="155">
        <f t="shared" si="0"/>
        <v>0</v>
      </c>
    </row>
    <row r="29" spans="1:9">
      <c r="A29" s="6">
        <f t="shared" si="1"/>
        <v>27</v>
      </c>
      <c r="B29" s="7">
        <f>CO_Report_Evaluation!B30</f>
        <v>223014135</v>
      </c>
      <c r="C29" s="7" t="str">
        <f>CO_Report_Evaluation!C30</f>
        <v>Rakibul Hasan</v>
      </c>
      <c r="D29" s="235"/>
      <c r="E29" s="235"/>
      <c r="F29" s="135">
        <v>0</v>
      </c>
      <c r="G29" s="135">
        <v>0</v>
      </c>
      <c r="H29" s="135">
        <v>0</v>
      </c>
      <c r="I29" s="155">
        <f t="shared" si="0"/>
        <v>0</v>
      </c>
    </row>
    <row r="30" spans="1:9">
      <c r="A30" s="6">
        <f t="shared" si="1"/>
        <v>28</v>
      </c>
      <c r="B30" s="7">
        <f>CO_Report_Evaluation!B31</f>
        <v>223014122</v>
      </c>
      <c r="C30" s="7" t="str">
        <f>CO_Report_Evaluation!C31</f>
        <v>Rabbi Sadnan Khan</v>
      </c>
      <c r="D30" s="235"/>
      <c r="E30" s="235"/>
      <c r="F30" s="135">
        <v>0</v>
      </c>
      <c r="G30" s="135">
        <v>0</v>
      </c>
      <c r="H30" s="135">
        <v>0</v>
      </c>
      <c r="I30" s="155">
        <f t="shared" si="0"/>
        <v>0</v>
      </c>
    </row>
    <row r="31" spans="1:9">
      <c r="A31" s="6">
        <f t="shared" si="1"/>
        <v>29</v>
      </c>
      <c r="B31" s="7">
        <f>CO_Report_Evaluation!B32</f>
        <v>212014030</v>
      </c>
      <c r="C31" s="7" t="str">
        <f>CO_Report_Evaluation!C32</f>
        <v>Faria Islam Sara</v>
      </c>
      <c r="D31" s="273" t="s">
        <v>81</v>
      </c>
      <c r="E31" s="277"/>
      <c r="F31" s="135">
        <v>0</v>
      </c>
      <c r="G31" s="135">
        <v>0</v>
      </c>
      <c r="H31" s="135">
        <v>0</v>
      </c>
      <c r="I31" s="155">
        <f t="shared" si="0"/>
        <v>0</v>
      </c>
    </row>
    <row r="32" spans="1:9">
      <c r="A32" s="6">
        <f t="shared" si="1"/>
        <v>30</v>
      </c>
      <c r="B32" s="7">
        <f>CO_Report_Evaluation!B33</f>
        <v>222014072</v>
      </c>
      <c r="C32" s="7" t="str">
        <f>CO_Report_Evaluation!C33</f>
        <v>Md. Rahat Pervez</v>
      </c>
      <c r="D32" s="235"/>
      <c r="E32" s="235"/>
      <c r="F32" s="135">
        <v>0</v>
      </c>
      <c r="G32" s="135">
        <v>0</v>
      </c>
      <c r="H32" s="135">
        <v>0</v>
      </c>
      <c r="I32" s="155">
        <f t="shared" si="0"/>
        <v>0</v>
      </c>
    </row>
    <row r="33" spans="1:9">
      <c r="A33" s="6">
        <f t="shared" si="1"/>
        <v>31</v>
      </c>
      <c r="B33" s="7">
        <f>CO_Report_Evaluation!B34</f>
        <v>222014097</v>
      </c>
      <c r="C33" s="7" t="str">
        <f>CO_Report_Evaluation!C34</f>
        <v>Md. Abul Hashem</v>
      </c>
      <c r="D33" s="235"/>
      <c r="E33" s="235"/>
      <c r="F33" s="135">
        <v>0</v>
      </c>
      <c r="G33" s="135">
        <v>0</v>
      </c>
      <c r="H33" s="135">
        <v>0</v>
      </c>
      <c r="I33" s="155">
        <f t="shared" si="0"/>
        <v>0</v>
      </c>
    </row>
    <row r="34" spans="1:9">
      <c r="A34" s="6">
        <f t="shared" si="1"/>
        <v>32</v>
      </c>
      <c r="B34" s="7">
        <f>CO_Report_Evaluation!B35</f>
        <v>222014040</v>
      </c>
      <c r="C34" s="7" t="str">
        <f>CO_Report_Evaluation!C35</f>
        <v>Md. Fiaz Anam Tasfi</v>
      </c>
      <c r="D34" s="235"/>
      <c r="E34" s="235"/>
      <c r="F34" s="135">
        <v>0</v>
      </c>
      <c r="G34" s="135">
        <v>0</v>
      </c>
      <c r="H34" s="135">
        <v>0</v>
      </c>
      <c r="I34" s="155">
        <f t="shared" si="0"/>
        <v>0</v>
      </c>
    </row>
    <row r="35" spans="1:9">
      <c r="A35" s="6">
        <f t="shared" si="1"/>
        <v>33</v>
      </c>
      <c r="B35" s="7">
        <f>CO_Report_Evaluation!B36</f>
        <v>222014071</v>
      </c>
      <c r="C35" s="7" t="str">
        <f>CO_Report_Evaluation!C36</f>
        <v>Kasfia Hossain</v>
      </c>
      <c r="D35" s="235"/>
      <c r="E35" s="235"/>
      <c r="F35" s="135">
        <v>0</v>
      </c>
      <c r="G35" s="135">
        <v>0</v>
      </c>
      <c r="H35" s="135">
        <v>0</v>
      </c>
      <c r="I35" s="155">
        <f t="shared" si="0"/>
        <v>0</v>
      </c>
    </row>
    <row r="36" spans="1:9">
      <c r="A36" s="6">
        <f t="shared" si="1"/>
        <v>34</v>
      </c>
      <c r="B36" s="7">
        <f>CO_Report_Evaluation!B37</f>
        <v>223014195</v>
      </c>
      <c r="C36" s="7" t="str">
        <f>CO_Report_Evaluation!C37</f>
        <v>Md. Rashedul Islam</v>
      </c>
      <c r="D36" s="273" t="s">
        <v>82</v>
      </c>
      <c r="E36" s="277"/>
      <c r="F36" s="135">
        <v>0</v>
      </c>
      <c r="G36" s="135">
        <v>0</v>
      </c>
      <c r="H36" s="135">
        <v>0</v>
      </c>
      <c r="I36" s="155">
        <f t="shared" si="0"/>
        <v>0</v>
      </c>
    </row>
    <row r="37" spans="1:9">
      <c r="A37" s="6">
        <f t="shared" si="1"/>
        <v>35</v>
      </c>
      <c r="B37" s="7">
        <f>CO_Report_Evaluation!B38</f>
        <v>223014143</v>
      </c>
      <c r="C37" s="7" t="str">
        <f>CO_Report_Evaluation!C38</f>
        <v>Upoma Paul</v>
      </c>
      <c r="D37" s="235"/>
      <c r="E37" s="235"/>
      <c r="F37" s="135">
        <v>0</v>
      </c>
      <c r="G37" s="135">
        <v>0</v>
      </c>
      <c r="H37" s="135">
        <v>0</v>
      </c>
      <c r="I37" s="155">
        <f t="shared" si="0"/>
        <v>0</v>
      </c>
    </row>
    <row r="38" spans="1:9">
      <c r="A38" s="6">
        <f t="shared" si="1"/>
        <v>36</v>
      </c>
      <c r="B38" s="7">
        <f>CO_Report_Evaluation!B39</f>
        <v>231014167</v>
      </c>
      <c r="C38" s="7" t="str">
        <f>CO_Report_Evaluation!C39</f>
        <v>Fariha Ahmed</v>
      </c>
      <c r="D38" s="235"/>
      <c r="E38" s="235"/>
      <c r="F38" s="135">
        <v>0</v>
      </c>
      <c r="G38" s="135">
        <v>0</v>
      </c>
      <c r="H38" s="135">
        <v>0</v>
      </c>
      <c r="I38" s="155">
        <f t="shared" si="0"/>
        <v>0</v>
      </c>
    </row>
    <row r="39" spans="1:9">
      <c r="A39" s="6">
        <f t="shared" si="1"/>
        <v>37</v>
      </c>
      <c r="B39" s="7">
        <f>CO_Report_Evaluation!B40</f>
        <v>231014073</v>
      </c>
      <c r="C39" s="7" t="str">
        <f>CO_Report_Evaluation!C40</f>
        <v>Amifat Juhad Pranto</v>
      </c>
      <c r="D39" s="235"/>
      <c r="E39" s="235"/>
      <c r="F39" s="135">
        <v>0</v>
      </c>
      <c r="G39" s="135">
        <v>0</v>
      </c>
      <c r="H39" s="135">
        <v>0</v>
      </c>
      <c r="I39" s="155">
        <f t="shared" si="0"/>
        <v>0</v>
      </c>
    </row>
    <row r="40" spans="1:9">
      <c r="A40" s="6">
        <f t="shared" si="1"/>
        <v>38</v>
      </c>
      <c r="B40" s="7">
        <f>CO_Report_Evaluation!B41</f>
        <v>232014058</v>
      </c>
      <c r="C40" s="7" t="str">
        <f>CO_Report_Evaluation!C41</f>
        <v>Tasnia Kabir Mahia</v>
      </c>
      <c r="D40" s="235"/>
      <c r="E40" s="235"/>
      <c r="F40" s="135">
        <v>0</v>
      </c>
      <c r="G40" s="135">
        <v>0</v>
      </c>
      <c r="H40" s="135">
        <v>0</v>
      </c>
      <c r="I40" s="155">
        <f t="shared" si="0"/>
        <v>0</v>
      </c>
    </row>
    <row r="41" spans="1:9">
      <c r="A41" s="6">
        <f t="shared" si="1"/>
        <v>39</v>
      </c>
      <c r="B41" s="7">
        <f>CO_Report_Evaluation!B42</f>
        <v>223014183</v>
      </c>
      <c r="C41" s="7" t="str">
        <f>CO_Report_Evaluation!C42</f>
        <v>Mahbuba Akter Chowdhury</v>
      </c>
      <c r="D41" s="273" t="s">
        <v>82</v>
      </c>
      <c r="E41" s="277"/>
      <c r="F41" s="135">
        <v>0</v>
      </c>
      <c r="G41" s="135">
        <v>0</v>
      </c>
      <c r="H41" s="135">
        <v>0</v>
      </c>
      <c r="I41" s="155">
        <f t="shared" si="0"/>
        <v>0</v>
      </c>
    </row>
    <row r="42" spans="1:9">
      <c r="A42" s="6">
        <f t="shared" si="1"/>
        <v>40</v>
      </c>
      <c r="B42" s="7">
        <f>CO_Report_Evaluation!B43</f>
        <v>223014182</v>
      </c>
      <c r="C42" s="7" t="str">
        <f>CO_Report_Evaluation!C43</f>
        <v>Divya Jyoti Bagchi</v>
      </c>
      <c r="D42" s="235"/>
      <c r="E42" s="235"/>
      <c r="F42" s="135">
        <v>0</v>
      </c>
      <c r="G42" s="135">
        <v>0</v>
      </c>
      <c r="H42" s="135">
        <v>0</v>
      </c>
      <c r="I42" s="155">
        <f t="shared" si="0"/>
        <v>0</v>
      </c>
    </row>
    <row r="43" spans="1:9">
      <c r="A43" s="6">
        <f t="shared" si="1"/>
        <v>41</v>
      </c>
      <c r="B43" s="7">
        <f>CO_Report_Evaluation!B44</f>
        <v>223014127</v>
      </c>
      <c r="C43" s="7" t="str">
        <f>CO_Report_Evaluation!C44</f>
        <v>Naznine Sultana Nitu</v>
      </c>
      <c r="D43" s="235"/>
      <c r="E43" s="235"/>
      <c r="F43" s="135">
        <v>0</v>
      </c>
      <c r="G43" s="135">
        <v>0</v>
      </c>
      <c r="H43" s="135">
        <v>0</v>
      </c>
      <c r="I43" s="155">
        <f t="shared" si="0"/>
        <v>0</v>
      </c>
    </row>
    <row r="44" spans="1:9">
      <c r="A44" s="6">
        <f t="shared" si="1"/>
        <v>42</v>
      </c>
      <c r="B44" s="7">
        <f>CO_Report_Evaluation!B45</f>
        <v>223014011</v>
      </c>
      <c r="C44" s="7" t="str">
        <f>CO_Report_Evaluation!C45</f>
        <v>Fabiha Fayruj</v>
      </c>
      <c r="D44" s="235"/>
      <c r="E44" s="235"/>
      <c r="F44" s="135">
        <v>0</v>
      </c>
      <c r="G44" s="135">
        <v>0</v>
      </c>
      <c r="H44" s="135">
        <v>0</v>
      </c>
      <c r="I44" s="155">
        <f t="shared" si="0"/>
        <v>0</v>
      </c>
    </row>
    <row r="45" spans="1:9">
      <c r="A45" s="6">
        <f t="shared" si="1"/>
        <v>43</v>
      </c>
      <c r="B45" s="7">
        <f>CO_Report_Evaluation!B46</f>
        <v>231014007</v>
      </c>
      <c r="C45" s="7" t="str">
        <f>CO_Report_Evaluation!C46</f>
        <v>Abdullah Al Baki</v>
      </c>
      <c r="D45" s="273" t="s">
        <v>83</v>
      </c>
      <c r="E45" s="277"/>
      <c r="F45" s="135">
        <v>0</v>
      </c>
      <c r="G45" s="135">
        <v>0</v>
      </c>
      <c r="H45" s="135">
        <v>0</v>
      </c>
      <c r="I45" s="155">
        <f t="shared" si="0"/>
        <v>0</v>
      </c>
    </row>
    <row r="46" spans="1:9">
      <c r="A46" s="6">
        <f t="shared" si="1"/>
        <v>44</v>
      </c>
      <c r="B46" s="7">
        <f>CO_Report_Evaluation!B47</f>
        <v>212014015</v>
      </c>
      <c r="C46" s="7" t="str">
        <f>CO_Report_Evaluation!C47</f>
        <v>Md. Arif Hossain Mir</v>
      </c>
      <c r="D46" s="235"/>
      <c r="E46" s="235"/>
      <c r="F46" s="135">
        <v>0</v>
      </c>
      <c r="G46" s="135">
        <v>0</v>
      </c>
      <c r="H46" s="135">
        <v>0</v>
      </c>
      <c r="I46" s="155">
        <f t="shared" si="0"/>
        <v>0</v>
      </c>
    </row>
    <row r="47" spans="1:9">
      <c r="A47" s="6">
        <f t="shared" si="1"/>
        <v>45</v>
      </c>
      <c r="B47" s="7">
        <f>CO_Report_Evaluation!B48</f>
        <v>223014050</v>
      </c>
      <c r="C47" s="7" t="str">
        <f>CO_Report_Evaluation!C48</f>
        <v>Isnat Jahan Ome</v>
      </c>
      <c r="D47" s="235"/>
      <c r="E47" s="235"/>
      <c r="F47" s="135">
        <v>0</v>
      </c>
      <c r="G47" s="135">
        <v>0</v>
      </c>
      <c r="H47" s="135">
        <v>0</v>
      </c>
      <c r="I47" s="155">
        <f t="shared" si="0"/>
        <v>0</v>
      </c>
    </row>
    <row r="48" spans="1:9">
      <c r="A48" s="6">
        <f t="shared" si="1"/>
        <v>46</v>
      </c>
      <c r="B48" s="7">
        <f>CO_Report_Evaluation!B49</f>
        <v>231014075</v>
      </c>
      <c r="C48" s="7" t="str">
        <f>CO_Report_Evaluation!C49</f>
        <v>Hasib Mahmud</v>
      </c>
      <c r="D48" s="235"/>
      <c r="E48" s="235"/>
      <c r="F48" s="135">
        <v>0</v>
      </c>
      <c r="G48" s="135">
        <v>0</v>
      </c>
      <c r="H48" s="135">
        <v>0</v>
      </c>
      <c r="I48" s="155">
        <f t="shared" si="0"/>
        <v>0</v>
      </c>
    </row>
    <row r="49" spans="1:9">
      <c r="A49" s="6">
        <f t="shared" si="1"/>
        <v>47</v>
      </c>
      <c r="B49" s="7">
        <f>CO_Report_Evaluation!B50</f>
        <v>222014052</v>
      </c>
      <c r="C49" s="7" t="str">
        <f>CO_Report_Evaluation!C50</f>
        <v>Redwan Ahamad Samir</v>
      </c>
      <c r="D49" s="235"/>
      <c r="E49" s="235"/>
      <c r="F49" s="135">
        <v>0</v>
      </c>
      <c r="G49" s="135">
        <v>0</v>
      </c>
      <c r="H49" s="135">
        <v>0</v>
      </c>
      <c r="I49" s="155">
        <f t="shared" si="0"/>
        <v>0</v>
      </c>
    </row>
    <row r="50" spans="1:9">
      <c r="A50" s="6">
        <f t="shared" si="1"/>
        <v>48</v>
      </c>
      <c r="B50" s="7">
        <f>CO_Report_Evaluation!B51</f>
        <v>222014009</v>
      </c>
      <c r="C50" s="7" t="str">
        <f>CO_Report_Evaluation!C51</f>
        <v>Samia Rahman</v>
      </c>
      <c r="D50" s="273" t="s">
        <v>84</v>
      </c>
      <c r="E50" s="277"/>
      <c r="F50" s="135">
        <v>0</v>
      </c>
      <c r="G50" s="135">
        <v>0</v>
      </c>
      <c r="H50" s="135">
        <v>0</v>
      </c>
      <c r="I50" s="155">
        <f t="shared" si="0"/>
        <v>0</v>
      </c>
    </row>
    <row r="51" spans="1:9">
      <c r="A51" s="6">
        <f t="shared" si="1"/>
        <v>49</v>
      </c>
      <c r="B51" s="7">
        <f>CO_Report_Evaluation!B52</f>
        <v>222014088</v>
      </c>
      <c r="C51" s="7" t="str">
        <f>CO_Report_Evaluation!C52</f>
        <v>Md. Omur Faruk</v>
      </c>
      <c r="D51" s="235"/>
      <c r="E51" s="235"/>
      <c r="F51" s="135">
        <v>0</v>
      </c>
      <c r="G51" s="135">
        <v>0</v>
      </c>
      <c r="H51" s="135">
        <v>0</v>
      </c>
      <c r="I51" s="155">
        <f t="shared" si="0"/>
        <v>0</v>
      </c>
    </row>
    <row r="52" spans="1:9">
      <c r="A52" s="6">
        <f t="shared" si="1"/>
        <v>50</v>
      </c>
      <c r="B52" s="7">
        <f>CO_Report_Evaluation!B53</f>
        <v>231014021</v>
      </c>
      <c r="C52" s="7" t="str">
        <f>CO_Report_Evaluation!C53</f>
        <v>Raiyan Islam</v>
      </c>
      <c r="D52" s="235"/>
      <c r="E52" s="235"/>
      <c r="F52" s="135">
        <v>0</v>
      </c>
      <c r="G52" s="135">
        <v>0</v>
      </c>
      <c r="H52" s="135">
        <v>0</v>
      </c>
      <c r="I52" s="155">
        <f t="shared" si="0"/>
        <v>0</v>
      </c>
    </row>
    <row r="53" spans="1:9">
      <c r="A53" s="6">
        <f t="shared" si="1"/>
        <v>51</v>
      </c>
      <c r="B53" s="7">
        <f>CO_Report_Evaluation!B54</f>
        <v>223014086</v>
      </c>
      <c r="C53" s="7" t="str">
        <f>CO_Report_Evaluation!C54</f>
        <v>Talat Mahmud Lam</v>
      </c>
      <c r="D53" s="235"/>
      <c r="E53" s="235"/>
      <c r="F53" s="135">
        <v>0</v>
      </c>
      <c r="G53" s="135">
        <v>0</v>
      </c>
      <c r="H53" s="135">
        <v>0</v>
      </c>
      <c r="I53" s="155">
        <f t="shared" si="0"/>
        <v>0</v>
      </c>
    </row>
    <row r="54" spans="1:9">
      <c r="A54" s="6">
        <f t="shared" si="1"/>
        <v>52</v>
      </c>
      <c r="B54" s="7">
        <f>CO_Report_Evaluation!B55</f>
        <v>223014033</v>
      </c>
      <c r="C54" s="7" t="str">
        <f>CO_Report_Evaluation!C55</f>
        <v>Sadia Nuzat Prova</v>
      </c>
      <c r="D54" s="273" t="s">
        <v>85</v>
      </c>
      <c r="E54" s="277"/>
      <c r="F54" s="135">
        <v>0</v>
      </c>
      <c r="G54" s="135">
        <v>0</v>
      </c>
      <c r="H54" s="135">
        <v>0</v>
      </c>
      <c r="I54" s="155">
        <f t="shared" si="0"/>
        <v>0</v>
      </c>
    </row>
    <row r="55" spans="1:9">
      <c r="A55" s="6">
        <f t="shared" si="1"/>
        <v>53</v>
      </c>
      <c r="B55" s="7">
        <f>CO_Report_Evaluation!B56</f>
        <v>223014042</v>
      </c>
      <c r="C55" s="7" t="str">
        <f>CO_Report_Evaluation!C56</f>
        <v>Shahin Alam</v>
      </c>
      <c r="D55" s="235"/>
      <c r="E55" s="235"/>
      <c r="F55" s="135">
        <v>0</v>
      </c>
      <c r="G55" s="135">
        <v>0</v>
      </c>
      <c r="H55" s="135">
        <v>0</v>
      </c>
      <c r="I55" s="155">
        <f t="shared" si="0"/>
        <v>0</v>
      </c>
    </row>
    <row r="56" spans="1:9">
      <c r="A56" s="6">
        <f t="shared" si="1"/>
        <v>54</v>
      </c>
      <c r="B56" s="7">
        <f>CO_Report_Evaluation!B57</f>
        <v>223014040</v>
      </c>
      <c r="C56" s="7" t="str">
        <f>CO_Report_Evaluation!C57</f>
        <v>Umme Asma Busra</v>
      </c>
      <c r="D56" s="235"/>
      <c r="E56" s="235"/>
      <c r="F56" s="135">
        <v>0</v>
      </c>
      <c r="G56" s="135">
        <v>0</v>
      </c>
      <c r="H56" s="135">
        <v>0</v>
      </c>
      <c r="I56" s="155">
        <f t="shared" si="0"/>
        <v>0</v>
      </c>
    </row>
    <row r="57" spans="1:9">
      <c r="A57" s="6">
        <f t="shared" si="1"/>
        <v>55</v>
      </c>
      <c r="B57" s="7">
        <f>CO_Report_Evaluation!B58</f>
        <v>223014054</v>
      </c>
      <c r="C57" s="7" t="str">
        <f>CO_Report_Evaluation!C58</f>
        <v>Golam Munem Zarif</v>
      </c>
      <c r="D57" s="235"/>
      <c r="E57" s="235"/>
      <c r="F57" s="135">
        <v>0</v>
      </c>
      <c r="G57" s="135">
        <v>0</v>
      </c>
      <c r="H57" s="135">
        <v>0</v>
      </c>
      <c r="I57" s="155">
        <f t="shared" si="0"/>
        <v>0</v>
      </c>
    </row>
    <row r="58" spans="1:9">
      <c r="A58" s="6">
        <f t="shared" si="1"/>
        <v>56</v>
      </c>
      <c r="B58" s="7">
        <f>CO_Report_Evaluation!B59</f>
        <v>231014049</v>
      </c>
      <c r="C58" s="7" t="str">
        <f>CO_Report_Evaluation!C59</f>
        <v>Kazi Noor E Saba</v>
      </c>
      <c r="D58" s="235"/>
      <c r="E58" s="235"/>
      <c r="F58" s="135">
        <v>0</v>
      </c>
      <c r="G58" s="135">
        <v>0</v>
      </c>
      <c r="H58" s="135">
        <v>0</v>
      </c>
      <c r="I58" s="155">
        <f t="shared" si="0"/>
        <v>0</v>
      </c>
    </row>
    <row r="59" spans="1:9">
      <c r="A59" s="6">
        <f t="shared" si="1"/>
        <v>57</v>
      </c>
      <c r="B59" s="7">
        <f>CO_Report_Evaluation!B60</f>
        <v>231014016</v>
      </c>
      <c r="C59" s="7" t="str">
        <f>CO_Report_Evaluation!C60</f>
        <v>Md. Akib Al Mahmud Dihan</v>
      </c>
      <c r="D59" s="273" t="s">
        <v>85</v>
      </c>
      <c r="E59" s="277"/>
      <c r="F59" s="135">
        <v>0</v>
      </c>
      <c r="G59" s="135">
        <v>0</v>
      </c>
      <c r="H59" s="135">
        <v>0</v>
      </c>
      <c r="I59" s="155">
        <f t="shared" si="0"/>
        <v>0</v>
      </c>
    </row>
    <row r="60" spans="1:9">
      <c r="A60" s="6">
        <f t="shared" si="1"/>
        <v>58</v>
      </c>
      <c r="B60" s="7">
        <f>CO_Report_Evaluation!B61</f>
        <v>231014125</v>
      </c>
      <c r="C60" s="7" t="str">
        <f>CO_Report_Evaluation!C61</f>
        <v>Jumana Muntaha</v>
      </c>
      <c r="D60" s="235"/>
      <c r="E60" s="235"/>
      <c r="F60" s="135">
        <v>0</v>
      </c>
      <c r="G60" s="135">
        <v>0</v>
      </c>
      <c r="H60" s="135">
        <v>0</v>
      </c>
      <c r="I60" s="155">
        <f t="shared" si="0"/>
        <v>0</v>
      </c>
    </row>
    <row r="61" spans="1:9">
      <c r="A61" s="6">
        <f t="shared" si="1"/>
        <v>59</v>
      </c>
      <c r="B61" s="7">
        <f>CO_Report_Evaluation!B62</f>
        <v>231014142</v>
      </c>
      <c r="C61" s="7" t="str">
        <f>CO_Report_Evaluation!C62</f>
        <v>Abida Binte Asif</v>
      </c>
      <c r="D61" s="235"/>
      <c r="E61" s="235"/>
      <c r="F61" s="135">
        <v>0</v>
      </c>
      <c r="G61" s="135">
        <v>0</v>
      </c>
      <c r="H61" s="135">
        <v>0</v>
      </c>
      <c r="I61" s="155">
        <f t="shared" si="0"/>
        <v>0</v>
      </c>
    </row>
    <row r="62" spans="1:9">
      <c r="A62" s="6">
        <f t="shared" si="1"/>
        <v>60</v>
      </c>
      <c r="B62" s="7">
        <f>CO_Report_Evaluation!B63</f>
        <v>223014146</v>
      </c>
      <c r="C62" s="7" t="str">
        <f>CO_Report_Evaluation!C63</f>
        <v>Sami Hossain</v>
      </c>
      <c r="D62" s="235"/>
      <c r="E62" s="235"/>
      <c r="F62" s="135">
        <v>0</v>
      </c>
      <c r="G62" s="135">
        <v>0</v>
      </c>
      <c r="H62" s="135">
        <v>0</v>
      </c>
      <c r="I62" s="155">
        <f t="shared" si="0"/>
        <v>0</v>
      </c>
    </row>
    <row r="63" spans="1:9">
      <c r="A63" s="6">
        <f t="shared" si="1"/>
        <v>61</v>
      </c>
      <c r="B63" s="7">
        <f>CO_Report_Evaluation!B64</f>
        <v>231014024</v>
      </c>
      <c r="C63" s="7" t="str">
        <f>CO_Report_Evaluation!C64</f>
        <v>Md. Shohanoor Rahman</v>
      </c>
      <c r="D63" s="235"/>
      <c r="E63" s="235"/>
      <c r="F63" s="135">
        <v>0</v>
      </c>
      <c r="G63" s="135">
        <v>0</v>
      </c>
      <c r="H63" s="135">
        <v>0</v>
      </c>
      <c r="I63" s="155">
        <f t="shared" si="0"/>
        <v>0</v>
      </c>
    </row>
    <row r="64" spans="1:9">
      <c r="A64" s="6">
        <f t="shared" si="1"/>
        <v>62</v>
      </c>
      <c r="B64" s="7">
        <f>CO_Report_Evaluation!B65</f>
        <v>231014064</v>
      </c>
      <c r="C64" s="7" t="str">
        <f>CO_Report_Evaluation!C65</f>
        <v>Pranto Sikder</v>
      </c>
      <c r="D64" s="273" t="s">
        <v>86</v>
      </c>
      <c r="E64" s="277"/>
      <c r="F64" s="135">
        <v>0</v>
      </c>
      <c r="G64" s="135">
        <v>0</v>
      </c>
      <c r="H64" s="135">
        <v>0</v>
      </c>
      <c r="I64" s="155">
        <f t="shared" si="0"/>
        <v>0</v>
      </c>
    </row>
    <row r="65" spans="1:9">
      <c r="A65" s="6">
        <f t="shared" si="1"/>
        <v>63</v>
      </c>
      <c r="B65" s="7">
        <f>CO_Report_Evaluation!B66</f>
        <v>231014050</v>
      </c>
      <c r="C65" s="7" t="str">
        <f>CO_Report_Evaluation!C66</f>
        <v>Mahmudul Hasan Zeshan</v>
      </c>
      <c r="D65" s="235"/>
      <c r="E65" s="235"/>
      <c r="F65" s="135">
        <v>0</v>
      </c>
      <c r="G65" s="135">
        <v>0</v>
      </c>
      <c r="H65" s="135">
        <v>0</v>
      </c>
      <c r="I65" s="155">
        <f t="shared" si="0"/>
        <v>0</v>
      </c>
    </row>
    <row r="66" spans="1:9">
      <c r="A66" s="6">
        <f t="shared" si="1"/>
        <v>64</v>
      </c>
      <c r="B66" s="7">
        <f>CO_Report_Evaluation!B67</f>
        <v>231014160</v>
      </c>
      <c r="C66" s="7" t="str">
        <f>CO_Report_Evaluation!C67</f>
        <v>Aysha Siddika Methila</v>
      </c>
      <c r="D66" s="235"/>
      <c r="E66" s="235"/>
      <c r="F66" s="135">
        <v>0</v>
      </c>
      <c r="G66" s="135">
        <v>0</v>
      </c>
      <c r="H66" s="135">
        <v>0</v>
      </c>
      <c r="I66" s="155">
        <f t="shared" si="0"/>
        <v>0</v>
      </c>
    </row>
    <row r="67" spans="1:9">
      <c r="A67" s="6">
        <f t="shared" si="1"/>
        <v>65</v>
      </c>
      <c r="B67" s="7">
        <f>CO_Report_Evaluation!B68</f>
        <v>231014116</v>
      </c>
      <c r="C67" s="7" t="str">
        <f>CO_Report_Evaluation!C68</f>
        <v>Sukanta Majumder</v>
      </c>
      <c r="D67" s="235"/>
      <c r="E67" s="235"/>
      <c r="F67" s="135">
        <v>0</v>
      </c>
      <c r="G67" s="135">
        <v>0</v>
      </c>
      <c r="H67" s="135">
        <v>0</v>
      </c>
      <c r="I67" s="155">
        <f t="shared" si="0"/>
        <v>0</v>
      </c>
    </row>
    <row r="68" spans="1:9">
      <c r="D68" s="136"/>
      <c r="E68" s="151"/>
      <c r="F68" s="135"/>
      <c r="G68" s="135"/>
      <c r="H68" s="135"/>
      <c r="I68" s="135"/>
    </row>
    <row r="69" spans="1:9">
      <c r="D69" s="136"/>
      <c r="E69" s="151"/>
      <c r="F69" s="135"/>
      <c r="G69" s="135"/>
      <c r="H69" s="135"/>
      <c r="I69" s="135"/>
    </row>
    <row r="70" spans="1:9">
      <c r="D70" s="136"/>
      <c r="E70" s="151"/>
      <c r="F70" s="135"/>
      <c r="G70" s="135"/>
      <c r="H70" s="135"/>
      <c r="I70" s="135"/>
    </row>
    <row r="71" spans="1:9">
      <c r="D71" s="136"/>
      <c r="E71" s="151"/>
      <c r="F71" s="135"/>
      <c r="G71" s="135"/>
      <c r="H71" s="135"/>
      <c r="I71" s="135"/>
    </row>
    <row r="72" spans="1:9">
      <c r="D72" s="136"/>
      <c r="E72" s="151"/>
      <c r="F72" s="135"/>
      <c r="G72" s="135"/>
      <c r="H72" s="135"/>
      <c r="I72" s="135"/>
    </row>
    <row r="73" spans="1:9">
      <c r="D73" s="136"/>
      <c r="E73" s="151"/>
      <c r="F73" s="135"/>
      <c r="G73" s="135"/>
      <c r="H73" s="135"/>
      <c r="I73" s="135"/>
    </row>
    <row r="74" spans="1:9">
      <c r="D74" s="136"/>
      <c r="E74" s="151"/>
      <c r="F74" s="135"/>
      <c r="G74" s="135"/>
      <c r="H74" s="135"/>
      <c r="I74" s="135"/>
    </row>
    <row r="75" spans="1:9">
      <c r="D75" s="136"/>
      <c r="E75" s="151"/>
      <c r="F75" s="135"/>
      <c r="G75" s="135"/>
      <c r="H75" s="135"/>
      <c r="I75" s="135"/>
    </row>
    <row r="76" spans="1:9">
      <c r="D76" s="136"/>
      <c r="E76" s="151"/>
      <c r="F76" s="135"/>
      <c r="G76" s="135"/>
      <c r="H76" s="135"/>
      <c r="I76" s="135"/>
    </row>
    <row r="77" spans="1:9">
      <c r="D77" s="136"/>
      <c r="E77" s="151"/>
      <c r="F77" s="135"/>
      <c r="G77" s="135"/>
      <c r="H77" s="135"/>
      <c r="I77" s="135"/>
    </row>
    <row r="78" spans="1:9">
      <c r="D78" s="136"/>
      <c r="E78" s="151"/>
      <c r="F78" s="135"/>
      <c r="G78" s="135"/>
      <c r="H78" s="135"/>
      <c r="I78" s="135"/>
    </row>
    <row r="79" spans="1:9">
      <c r="D79" s="136"/>
      <c r="E79" s="151"/>
      <c r="F79" s="135"/>
      <c r="G79" s="135"/>
      <c r="H79" s="135"/>
      <c r="I79" s="135"/>
    </row>
    <row r="80" spans="1:9">
      <c r="D80" s="136"/>
      <c r="E80" s="151"/>
      <c r="F80" s="135"/>
      <c r="G80" s="135"/>
      <c r="H80" s="135"/>
      <c r="I80" s="135"/>
    </row>
    <row r="81" spans="4:9">
      <c r="D81" s="136"/>
      <c r="E81" s="151"/>
      <c r="F81" s="135"/>
      <c r="G81" s="135"/>
      <c r="H81" s="135"/>
      <c r="I81" s="135"/>
    </row>
    <row r="82" spans="4:9">
      <c r="D82" s="136"/>
      <c r="E82" s="151"/>
      <c r="F82" s="135"/>
      <c r="G82" s="135"/>
      <c r="H82" s="135"/>
      <c r="I82" s="135"/>
    </row>
    <row r="83" spans="4:9">
      <c r="D83" s="136"/>
      <c r="E83" s="151"/>
      <c r="F83" s="135"/>
      <c r="G83" s="135"/>
      <c r="H83" s="135"/>
      <c r="I83" s="135"/>
    </row>
    <row r="84" spans="4:9">
      <c r="D84" s="136"/>
      <c r="E84" s="151"/>
      <c r="F84" s="135"/>
      <c r="G84" s="135"/>
      <c r="H84" s="135"/>
      <c r="I84" s="135"/>
    </row>
    <row r="85" spans="4:9">
      <c r="D85" s="136"/>
      <c r="E85" s="151"/>
      <c r="F85" s="135"/>
      <c r="G85" s="135"/>
      <c r="H85" s="135"/>
      <c r="I85" s="135"/>
    </row>
    <row r="86" spans="4:9">
      <c r="D86" s="136"/>
      <c r="E86" s="151"/>
      <c r="F86" s="135"/>
      <c r="G86" s="135"/>
      <c r="H86" s="135"/>
      <c r="I86" s="135"/>
    </row>
    <row r="87" spans="4:9">
      <c r="D87" s="136"/>
      <c r="E87" s="151"/>
      <c r="F87" s="135"/>
      <c r="G87" s="135"/>
      <c r="H87" s="135"/>
      <c r="I87" s="135"/>
    </row>
    <row r="88" spans="4:9">
      <c r="D88" s="136"/>
      <c r="E88" s="151"/>
      <c r="F88" s="135"/>
      <c r="G88" s="135"/>
      <c r="H88" s="135"/>
      <c r="I88" s="135"/>
    </row>
    <row r="89" spans="4:9">
      <c r="D89" s="136"/>
      <c r="E89" s="151"/>
      <c r="F89" s="135"/>
      <c r="G89" s="135"/>
      <c r="H89" s="135"/>
      <c r="I89" s="135"/>
    </row>
    <row r="90" spans="4:9">
      <c r="D90" s="136"/>
      <c r="E90" s="151"/>
      <c r="F90" s="135"/>
      <c r="G90" s="135"/>
      <c r="H90" s="135"/>
      <c r="I90" s="135"/>
    </row>
    <row r="91" spans="4:9">
      <c r="D91" s="136"/>
      <c r="E91" s="151"/>
      <c r="F91" s="135"/>
      <c r="G91" s="135"/>
      <c r="H91" s="135"/>
      <c r="I91" s="135"/>
    </row>
    <row r="92" spans="4:9">
      <c r="D92" s="136"/>
      <c r="E92" s="151"/>
      <c r="F92" s="135"/>
      <c r="G92" s="135"/>
      <c r="H92" s="135"/>
      <c r="I92" s="135"/>
    </row>
    <row r="93" spans="4:9">
      <c r="D93" s="136"/>
      <c r="E93" s="151"/>
      <c r="F93" s="135"/>
      <c r="G93" s="135"/>
      <c r="H93" s="135"/>
      <c r="I93" s="135"/>
    </row>
    <row r="94" spans="4:9">
      <c r="D94" s="136"/>
      <c r="E94" s="151"/>
      <c r="F94" s="135"/>
      <c r="G94" s="135"/>
      <c r="H94" s="135"/>
      <c r="I94" s="135"/>
    </row>
    <row r="95" spans="4:9">
      <c r="D95" s="136"/>
      <c r="E95" s="151"/>
      <c r="F95" s="135"/>
      <c r="G95" s="135"/>
      <c r="H95" s="135"/>
      <c r="I95" s="135"/>
    </row>
    <row r="96" spans="4:9">
      <c r="D96" s="136"/>
      <c r="E96" s="151"/>
      <c r="F96" s="135"/>
      <c r="G96" s="135"/>
      <c r="H96" s="135"/>
      <c r="I96" s="135"/>
    </row>
    <row r="97" spans="4:9">
      <c r="D97" s="136"/>
      <c r="E97" s="151"/>
      <c r="F97" s="135"/>
      <c r="G97" s="135"/>
      <c r="H97" s="135"/>
      <c r="I97" s="135"/>
    </row>
    <row r="98" spans="4:9">
      <c r="D98" s="136"/>
      <c r="E98" s="151"/>
      <c r="F98" s="135"/>
      <c r="G98" s="135"/>
      <c r="H98" s="135"/>
      <c r="I98" s="135"/>
    </row>
    <row r="99" spans="4:9">
      <c r="D99" s="136"/>
      <c r="E99" s="151"/>
      <c r="F99" s="135"/>
      <c r="G99" s="135"/>
      <c r="H99" s="135"/>
      <c r="I99" s="135"/>
    </row>
    <row r="100" spans="4:9">
      <c r="D100" s="136"/>
      <c r="E100" s="151"/>
      <c r="F100" s="135"/>
      <c r="G100" s="135"/>
      <c r="H100" s="135"/>
      <c r="I100" s="135"/>
    </row>
    <row r="101" spans="4:9">
      <c r="D101" s="136"/>
      <c r="E101" s="151"/>
      <c r="F101" s="135"/>
      <c r="G101" s="135"/>
      <c r="H101" s="135"/>
      <c r="I101" s="135"/>
    </row>
    <row r="102" spans="4:9">
      <c r="D102" s="136"/>
      <c r="E102" s="151"/>
      <c r="F102" s="135"/>
      <c r="G102" s="135"/>
      <c r="H102" s="135"/>
      <c r="I102" s="135"/>
    </row>
    <row r="103" spans="4:9">
      <c r="D103" s="136"/>
      <c r="E103" s="151"/>
      <c r="F103" s="135"/>
      <c r="G103" s="135"/>
      <c r="H103" s="135"/>
      <c r="I103" s="135"/>
    </row>
    <row r="104" spans="4:9">
      <c r="D104" s="136"/>
      <c r="E104" s="151"/>
      <c r="F104" s="135"/>
      <c r="G104" s="135"/>
      <c r="H104" s="135"/>
      <c r="I104" s="135"/>
    </row>
    <row r="105" spans="4:9">
      <c r="D105" s="136"/>
      <c r="E105" s="151"/>
      <c r="F105" s="135"/>
      <c r="G105" s="135"/>
      <c r="H105" s="135"/>
      <c r="I105" s="135"/>
    </row>
    <row r="106" spans="4:9">
      <c r="D106" s="136"/>
      <c r="E106" s="151"/>
      <c r="F106" s="135"/>
      <c r="G106" s="135"/>
      <c r="H106" s="135"/>
      <c r="I106" s="135"/>
    </row>
    <row r="107" spans="4:9">
      <c r="D107" s="136"/>
      <c r="E107" s="151"/>
      <c r="F107" s="135"/>
      <c r="G107" s="135"/>
      <c r="H107" s="135"/>
      <c r="I107" s="135"/>
    </row>
    <row r="108" spans="4:9">
      <c r="D108" s="136"/>
      <c r="E108" s="151"/>
      <c r="F108" s="135"/>
      <c r="G108" s="135"/>
      <c r="H108" s="135"/>
      <c r="I108" s="135"/>
    </row>
    <row r="109" spans="4:9">
      <c r="D109" s="136"/>
      <c r="E109" s="151"/>
      <c r="F109" s="135"/>
      <c r="G109" s="135"/>
      <c r="H109" s="135"/>
      <c r="I109" s="135"/>
    </row>
    <row r="110" spans="4:9">
      <c r="D110" s="136"/>
      <c r="E110" s="151"/>
      <c r="F110" s="135"/>
      <c r="G110" s="135"/>
      <c r="H110" s="135"/>
      <c r="I110" s="135"/>
    </row>
    <row r="111" spans="4:9">
      <c r="D111" s="136"/>
      <c r="E111" s="151"/>
      <c r="F111" s="135"/>
      <c r="G111" s="135"/>
      <c r="H111" s="135"/>
      <c r="I111" s="135"/>
    </row>
    <row r="112" spans="4:9">
      <c r="D112" s="136"/>
      <c r="E112" s="151"/>
      <c r="F112" s="135"/>
      <c r="G112" s="135"/>
      <c r="H112" s="135"/>
      <c r="I112" s="135"/>
    </row>
    <row r="113" spans="4:9">
      <c r="D113" s="136"/>
      <c r="E113" s="151"/>
      <c r="F113" s="135"/>
      <c r="G113" s="135"/>
      <c r="H113" s="135"/>
      <c r="I113" s="135"/>
    </row>
    <row r="114" spans="4:9">
      <c r="D114" s="136"/>
      <c r="E114" s="151"/>
      <c r="F114" s="135"/>
      <c r="G114" s="135"/>
      <c r="H114" s="135"/>
      <c r="I114" s="135"/>
    </row>
    <row r="115" spans="4:9">
      <c r="D115" s="136"/>
      <c r="E115" s="151"/>
      <c r="F115" s="135"/>
      <c r="G115" s="135"/>
      <c r="H115" s="135"/>
      <c r="I115" s="135"/>
    </row>
    <row r="116" spans="4:9">
      <c r="D116" s="136"/>
      <c r="E116" s="151"/>
      <c r="F116" s="135"/>
      <c r="G116" s="135"/>
      <c r="H116" s="135"/>
      <c r="I116" s="135"/>
    </row>
    <row r="117" spans="4:9">
      <c r="D117" s="136"/>
      <c r="E117" s="151"/>
      <c r="F117" s="135"/>
      <c r="G117" s="135"/>
      <c r="H117" s="135"/>
      <c r="I117" s="135"/>
    </row>
    <row r="118" spans="4:9">
      <c r="D118" s="136"/>
      <c r="E118" s="151"/>
      <c r="F118" s="135"/>
      <c r="G118" s="135"/>
      <c r="H118" s="135"/>
      <c r="I118" s="135"/>
    </row>
    <row r="119" spans="4:9">
      <c r="D119" s="136"/>
      <c r="E119" s="151"/>
      <c r="F119" s="135"/>
      <c r="G119" s="135"/>
      <c r="H119" s="135"/>
      <c r="I119" s="135"/>
    </row>
    <row r="120" spans="4:9">
      <c r="D120" s="136"/>
      <c r="E120" s="151"/>
      <c r="F120" s="135"/>
      <c r="G120" s="135"/>
      <c r="H120" s="135"/>
      <c r="I120" s="135"/>
    </row>
    <row r="121" spans="4:9">
      <c r="D121" s="136"/>
      <c r="E121" s="151"/>
      <c r="F121" s="135"/>
      <c r="G121" s="135"/>
      <c r="H121" s="135"/>
      <c r="I121" s="135"/>
    </row>
    <row r="122" spans="4:9">
      <c r="D122" s="136"/>
      <c r="E122" s="151"/>
      <c r="F122" s="135"/>
      <c r="G122" s="135"/>
      <c r="H122" s="135"/>
      <c r="I122" s="135"/>
    </row>
    <row r="123" spans="4:9">
      <c r="D123" s="136"/>
      <c r="E123" s="151"/>
      <c r="F123" s="135"/>
      <c r="G123" s="135"/>
      <c r="H123" s="135"/>
      <c r="I123" s="135"/>
    </row>
    <row r="124" spans="4:9">
      <c r="D124" s="136"/>
      <c r="E124" s="151"/>
      <c r="F124" s="135"/>
      <c r="G124" s="135"/>
      <c r="H124" s="135"/>
      <c r="I124" s="135"/>
    </row>
    <row r="125" spans="4:9">
      <c r="D125" s="136"/>
      <c r="E125" s="151"/>
      <c r="F125" s="135"/>
      <c r="G125" s="135"/>
      <c r="H125" s="135"/>
      <c r="I125" s="135"/>
    </row>
    <row r="126" spans="4:9">
      <c r="D126" s="136"/>
      <c r="E126" s="151"/>
      <c r="F126" s="135"/>
      <c r="G126" s="135"/>
      <c r="H126" s="135"/>
      <c r="I126" s="135"/>
    </row>
    <row r="127" spans="4:9">
      <c r="D127" s="136"/>
      <c r="E127" s="151"/>
      <c r="F127" s="135"/>
      <c r="G127" s="135"/>
      <c r="H127" s="135"/>
      <c r="I127" s="135"/>
    </row>
    <row r="128" spans="4:9">
      <c r="D128" s="136"/>
      <c r="E128" s="151"/>
      <c r="F128" s="135"/>
      <c r="G128" s="135"/>
      <c r="H128" s="135"/>
      <c r="I128" s="135"/>
    </row>
    <row r="129" spans="4:9">
      <c r="D129" s="136"/>
      <c r="E129" s="151"/>
      <c r="F129" s="135"/>
      <c r="G129" s="135"/>
      <c r="H129" s="135"/>
      <c r="I129" s="135"/>
    </row>
    <row r="130" spans="4:9">
      <c r="D130" s="136"/>
      <c r="E130" s="151"/>
      <c r="F130" s="135"/>
      <c r="G130" s="135"/>
      <c r="H130" s="135"/>
      <c r="I130" s="135"/>
    </row>
    <row r="131" spans="4:9">
      <c r="D131" s="136"/>
      <c r="E131" s="151"/>
      <c r="F131" s="135"/>
      <c r="G131" s="135"/>
      <c r="H131" s="135"/>
      <c r="I131" s="135"/>
    </row>
    <row r="132" spans="4:9">
      <c r="D132" s="136"/>
      <c r="E132" s="151"/>
      <c r="F132" s="135"/>
      <c r="G132" s="135"/>
      <c r="H132" s="135"/>
      <c r="I132" s="135"/>
    </row>
    <row r="133" spans="4:9">
      <c r="D133" s="136"/>
      <c r="E133" s="151"/>
      <c r="F133" s="135"/>
      <c r="G133" s="135"/>
      <c r="H133" s="135"/>
      <c r="I133" s="135"/>
    </row>
    <row r="134" spans="4:9">
      <c r="D134" s="136"/>
      <c r="E134" s="151"/>
      <c r="F134" s="135"/>
      <c r="G134" s="135"/>
      <c r="H134" s="135"/>
      <c r="I134" s="135"/>
    </row>
    <row r="135" spans="4:9">
      <c r="D135" s="136"/>
      <c r="E135" s="151"/>
      <c r="F135" s="135"/>
      <c r="G135" s="135"/>
      <c r="H135" s="135"/>
      <c r="I135" s="135"/>
    </row>
    <row r="136" spans="4:9">
      <c r="D136" s="136"/>
      <c r="E136" s="151"/>
      <c r="F136" s="135"/>
      <c r="G136" s="135"/>
      <c r="H136" s="135"/>
      <c r="I136" s="135"/>
    </row>
    <row r="137" spans="4:9">
      <c r="D137" s="136"/>
      <c r="E137" s="151"/>
      <c r="F137" s="135"/>
      <c r="G137" s="135"/>
      <c r="H137" s="135"/>
      <c r="I137" s="135"/>
    </row>
    <row r="138" spans="4:9">
      <c r="D138" s="136"/>
      <c r="E138" s="151"/>
      <c r="F138" s="135"/>
      <c r="G138" s="135"/>
      <c r="H138" s="135"/>
      <c r="I138" s="135"/>
    </row>
    <row r="139" spans="4:9">
      <c r="D139" s="136"/>
      <c r="E139" s="151"/>
      <c r="F139" s="135"/>
      <c r="G139" s="135"/>
      <c r="H139" s="135"/>
      <c r="I139" s="135"/>
    </row>
    <row r="140" spans="4:9">
      <c r="D140" s="136"/>
      <c r="E140" s="151"/>
      <c r="F140" s="135"/>
      <c r="G140" s="135"/>
      <c r="H140" s="135"/>
      <c r="I140" s="135"/>
    </row>
    <row r="141" spans="4:9">
      <c r="D141" s="136"/>
      <c r="E141" s="151"/>
      <c r="F141" s="135"/>
      <c r="G141" s="135"/>
      <c r="H141" s="135"/>
      <c r="I141" s="135"/>
    </row>
    <row r="142" spans="4:9">
      <c r="D142" s="136"/>
      <c r="E142" s="151"/>
      <c r="F142" s="135"/>
      <c r="G142" s="135"/>
      <c r="H142" s="135"/>
      <c r="I142" s="135"/>
    </row>
    <row r="143" spans="4:9">
      <c r="D143" s="136"/>
      <c r="E143" s="151"/>
      <c r="F143" s="135"/>
      <c r="G143" s="135"/>
      <c r="H143" s="135"/>
      <c r="I143" s="135"/>
    </row>
    <row r="144" spans="4:9">
      <c r="D144" s="136"/>
      <c r="E144" s="151"/>
      <c r="F144" s="135"/>
      <c r="G144" s="135"/>
      <c r="H144" s="135"/>
      <c r="I144" s="135"/>
    </row>
    <row r="145" spans="4:9">
      <c r="D145" s="136"/>
      <c r="E145" s="151"/>
      <c r="F145" s="135"/>
      <c r="G145" s="135"/>
      <c r="H145" s="135"/>
      <c r="I145" s="135"/>
    </row>
    <row r="146" spans="4:9">
      <c r="D146" s="136"/>
      <c r="E146" s="151"/>
      <c r="F146" s="135"/>
      <c r="G146" s="135"/>
      <c r="H146" s="135"/>
      <c r="I146" s="135"/>
    </row>
    <row r="147" spans="4:9">
      <c r="D147" s="136"/>
      <c r="E147" s="151"/>
      <c r="F147" s="135"/>
      <c r="G147" s="135"/>
      <c r="H147" s="135"/>
      <c r="I147" s="135"/>
    </row>
    <row r="148" spans="4:9">
      <c r="D148" s="136"/>
      <c r="E148" s="151"/>
      <c r="F148" s="135"/>
      <c r="G148" s="135"/>
      <c r="H148" s="135"/>
      <c r="I148" s="135"/>
    </row>
    <row r="149" spans="4:9">
      <c r="D149" s="136"/>
      <c r="E149" s="151"/>
      <c r="F149" s="135"/>
      <c r="G149" s="135"/>
      <c r="H149" s="135"/>
      <c r="I149" s="135"/>
    </row>
    <row r="150" spans="4:9">
      <c r="D150" s="136"/>
      <c r="E150" s="151"/>
      <c r="F150" s="135"/>
      <c r="G150" s="135"/>
      <c r="H150" s="135"/>
      <c r="I150" s="135"/>
    </row>
    <row r="151" spans="4:9">
      <c r="D151" s="136"/>
      <c r="E151" s="151"/>
      <c r="F151" s="135"/>
      <c r="G151" s="135"/>
      <c r="H151" s="135"/>
      <c r="I151" s="135"/>
    </row>
    <row r="152" spans="4:9">
      <c r="D152" s="136"/>
      <c r="E152" s="151"/>
      <c r="F152" s="135"/>
      <c r="G152" s="135"/>
      <c r="H152" s="135"/>
      <c r="I152" s="135"/>
    </row>
    <row r="153" spans="4:9">
      <c r="D153" s="136"/>
      <c r="E153" s="151"/>
      <c r="F153" s="135"/>
      <c r="G153" s="135"/>
      <c r="H153" s="135"/>
      <c r="I153" s="135"/>
    </row>
    <row r="154" spans="4:9">
      <c r="D154" s="136"/>
      <c r="E154" s="151"/>
      <c r="F154" s="135"/>
      <c r="G154" s="135"/>
      <c r="H154" s="135"/>
      <c r="I154" s="135"/>
    </row>
    <row r="155" spans="4:9">
      <c r="D155" s="136"/>
      <c r="E155" s="151"/>
      <c r="F155" s="135"/>
      <c r="G155" s="135"/>
      <c r="H155" s="135"/>
      <c r="I155" s="135"/>
    </row>
    <row r="156" spans="4:9">
      <c r="D156" s="136"/>
      <c r="E156" s="151"/>
      <c r="F156" s="135"/>
      <c r="G156" s="135"/>
      <c r="H156" s="135"/>
      <c r="I156" s="135"/>
    </row>
    <row r="157" spans="4:9">
      <c r="D157" s="136"/>
      <c r="E157" s="151"/>
      <c r="F157" s="135"/>
      <c r="G157" s="135"/>
      <c r="H157" s="135"/>
      <c r="I157" s="135"/>
    </row>
    <row r="158" spans="4:9">
      <c r="D158" s="136"/>
      <c r="E158" s="151"/>
      <c r="F158" s="135"/>
      <c r="G158" s="135"/>
      <c r="H158" s="135"/>
      <c r="I158" s="135"/>
    </row>
    <row r="159" spans="4:9">
      <c r="D159" s="136"/>
      <c r="E159" s="151"/>
      <c r="F159" s="135"/>
      <c r="G159" s="135"/>
      <c r="H159" s="135"/>
      <c r="I159" s="135"/>
    </row>
    <row r="160" spans="4:9">
      <c r="D160" s="136"/>
      <c r="E160" s="151"/>
      <c r="F160" s="135"/>
      <c r="G160" s="135"/>
      <c r="H160" s="135"/>
      <c r="I160" s="135"/>
    </row>
    <row r="161" spans="4:9">
      <c r="D161" s="136"/>
      <c r="E161" s="151"/>
      <c r="F161" s="135"/>
      <c r="G161" s="135"/>
      <c r="H161" s="135"/>
      <c r="I161" s="135"/>
    </row>
    <row r="162" spans="4:9">
      <c r="D162" s="136"/>
      <c r="E162" s="151"/>
      <c r="F162" s="135"/>
      <c r="G162" s="135"/>
      <c r="H162" s="135"/>
      <c r="I162" s="135"/>
    </row>
    <row r="163" spans="4:9">
      <c r="D163" s="136"/>
      <c r="E163" s="151"/>
      <c r="F163" s="135"/>
      <c r="G163" s="135"/>
      <c r="H163" s="135"/>
      <c r="I163" s="135"/>
    </row>
    <row r="164" spans="4:9">
      <c r="D164" s="136"/>
      <c r="E164" s="151"/>
      <c r="F164" s="135"/>
      <c r="G164" s="135"/>
      <c r="H164" s="135"/>
      <c r="I164" s="135"/>
    </row>
    <row r="165" spans="4:9">
      <c r="D165" s="136"/>
      <c r="E165" s="151"/>
      <c r="F165" s="135"/>
      <c r="G165" s="135"/>
      <c r="H165" s="135"/>
      <c r="I165" s="135"/>
    </row>
    <row r="166" spans="4:9">
      <c r="D166" s="136"/>
      <c r="E166" s="151"/>
      <c r="F166" s="135"/>
      <c r="G166" s="135"/>
      <c r="H166" s="135"/>
      <c r="I166" s="135"/>
    </row>
    <row r="167" spans="4:9">
      <c r="D167" s="136"/>
      <c r="E167" s="151"/>
      <c r="F167" s="135"/>
      <c r="G167" s="135"/>
      <c r="H167" s="135"/>
      <c r="I167" s="135"/>
    </row>
    <row r="168" spans="4:9">
      <c r="D168" s="136"/>
      <c r="E168" s="151"/>
      <c r="F168" s="135"/>
      <c r="G168" s="135"/>
      <c r="H168" s="135"/>
      <c r="I168" s="135"/>
    </row>
    <row r="169" spans="4:9">
      <c r="D169" s="136"/>
      <c r="E169" s="151"/>
      <c r="F169" s="135"/>
      <c r="G169" s="135"/>
      <c r="H169" s="135"/>
      <c r="I169" s="135"/>
    </row>
    <row r="170" spans="4:9">
      <c r="D170" s="136"/>
      <c r="E170" s="151"/>
      <c r="F170" s="135"/>
      <c r="G170" s="135"/>
      <c r="H170" s="135"/>
      <c r="I170" s="135"/>
    </row>
    <row r="171" spans="4:9">
      <c r="D171" s="136"/>
      <c r="E171" s="151"/>
      <c r="F171" s="135"/>
      <c r="G171" s="135"/>
      <c r="H171" s="135"/>
      <c r="I171" s="135"/>
    </row>
    <row r="172" spans="4:9">
      <c r="D172" s="136"/>
      <c r="E172" s="151"/>
      <c r="F172" s="135"/>
      <c r="G172" s="135"/>
      <c r="H172" s="135"/>
      <c r="I172" s="135"/>
    </row>
    <row r="173" spans="4:9">
      <c r="D173" s="136"/>
      <c r="E173" s="151"/>
      <c r="F173" s="135"/>
      <c r="G173" s="135"/>
      <c r="H173" s="135"/>
      <c r="I173" s="135"/>
    </row>
    <row r="174" spans="4:9">
      <c r="D174" s="136"/>
      <c r="E174" s="151"/>
      <c r="F174" s="135"/>
      <c r="G174" s="135"/>
      <c r="H174" s="135"/>
      <c r="I174" s="135"/>
    </row>
    <row r="175" spans="4:9">
      <c r="D175" s="136"/>
      <c r="E175" s="151"/>
      <c r="F175" s="135"/>
      <c r="G175" s="135"/>
      <c r="H175" s="135"/>
      <c r="I175" s="135"/>
    </row>
    <row r="176" spans="4:9">
      <c r="D176" s="136"/>
      <c r="E176" s="151"/>
      <c r="F176" s="135"/>
      <c r="G176" s="135"/>
      <c r="H176" s="135"/>
      <c r="I176" s="135"/>
    </row>
    <row r="177" spans="4:9">
      <c r="D177" s="136"/>
      <c r="E177" s="151"/>
      <c r="F177" s="135"/>
      <c r="G177" s="135"/>
      <c r="H177" s="135"/>
      <c r="I177" s="135"/>
    </row>
    <row r="178" spans="4:9">
      <c r="D178" s="136"/>
      <c r="E178" s="151"/>
      <c r="F178" s="135"/>
      <c r="G178" s="135"/>
      <c r="H178" s="135"/>
      <c r="I178" s="135"/>
    </row>
    <row r="179" spans="4:9">
      <c r="D179" s="136"/>
      <c r="E179" s="151"/>
      <c r="F179" s="135"/>
      <c r="G179" s="135"/>
      <c r="H179" s="135"/>
      <c r="I179" s="135"/>
    </row>
    <row r="180" spans="4:9">
      <c r="D180" s="136"/>
      <c r="E180" s="151"/>
      <c r="F180" s="135"/>
      <c r="G180" s="135"/>
      <c r="H180" s="135"/>
      <c r="I180" s="135"/>
    </row>
    <row r="181" spans="4:9">
      <c r="D181" s="136"/>
      <c r="E181" s="151"/>
      <c r="F181" s="135"/>
      <c r="G181" s="135"/>
      <c r="H181" s="135"/>
      <c r="I181" s="135"/>
    </row>
    <row r="182" spans="4:9">
      <c r="D182" s="136"/>
      <c r="E182" s="151"/>
      <c r="F182" s="135"/>
      <c r="G182" s="135"/>
      <c r="H182" s="135"/>
      <c r="I182" s="135"/>
    </row>
    <row r="183" spans="4:9">
      <c r="D183" s="136"/>
      <c r="E183" s="151"/>
      <c r="F183" s="135"/>
      <c r="G183" s="135"/>
      <c r="H183" s="135"/>
      <c r="I183" s="135"/>
    </row>
    <row r="184" spans="4:9">
      <c r="D184" s="136"/>
      <c r="E184" s="151"/>
      <c r="F184" s="135"/>
      <c r="G184" s="135"/>
      <c r="H184" s="135"/>
      <c r="I184" s="135"/>
    </row>
    <row r="185" spans="4:9">
      <c r="D185" s="136"/>
      <c r="E185" s="151"/>
      <c r="F185" s="135"/>
      <c r="G185" s="135"/>
      <c r="H185" s="135"/>
      <c r="I185" s="135"/>
    </row>
    <row r="186" spans="4:9">
      <c r="D186" s="136"/>
      <c r="E186" s="151"/>
      <c r="F186" s="135"/>
      <c r="G186" s="135"/>
      <c r="H186" s="135"/>
      <c r="I186" s="135"/>
    </row>
    <row r="187" spans="4:9">
      <c r="D187" s="136"/>
      <c r="E187" s="151"/>
      <c r="F187" s="135"/>
      <c r="G187" s="135"/>
      <c r="H187" s="135"/>
      <c r="I187" s="135"/>
    </row>
    <row r="188" spans="4:9">
      <c r="D188" s="136"/>
      <c r="E188" s="151"/>
      <c r="F188" s="135"/>
      <c r="G188" s="135"/>
      <c r="H188" s="135"/>
      <c r="I188" s="135"/>
    </row>
    <row r="189" spans="4:9">
      <c r="D189" s="136"/>
      <c r="E189" s="151"/>
      <c r="F189" s="135"/>
      <c r="G189" s="135"/>
      <c r="H189" s="135"/>
      <c r="I189" s="135"/>
    </row>
    <row r="190" spans="4:9">
      <c r="D190" s="136"/>
      <c r="E190" s="151"/>
      <c r="F190" s="135"/>
      <c r="G190" s="135"/>
      <c r="H190" s="135"/>
      <c r="I190" s="135"/>
    </row>
    <row r="191" spans="4:9">
      <c r="D191" s="136"/>
      <c r="E191" s="151"/>
      <c r="F191" s="135"/>
      <c r="G191" s="135"/>
      <c r="H191" s="135"/>
      <c r="I191" s="135"/>
    </row>
    <row r="192" spans="4:9">
      <c r="D192" s="136"/>
      <c r="E192" s="151"/>
      <c r="F192" s="135"/>
      <c r="G192" s="135"/>
      <c r="H192" s="135"/>
      <c r="I192" s="135"/>
    </row>
    <row r="193" spans="4:9">
      <c r="D193" s="136"/>
      <c r="E193" s="151"/>
      <c r="F193" s="135"/>
      <c r="G193" s="135"/>
      <c r="H193" s="135"/>
      <c r="I193" s="135"/>
    </row>
    <row r="194" spans="4:9">
      <c r="D194" s="136"/>
      <c r="E194" s="151"/>
      <c r="F194" s="135"/>
      <c r="G194" s="135"/>
      <c r="H194" s="135"/>
      <c r="I194" s="135"/>
    </row>
    <row r="195" spans="4:9">
      <c r="D195" s="136"/>
      <c r="E195" s="151"/>
      <c r="F195" s="135"/>
      <c r="G195" s="135"/>
      <c r="H195" s="135"/>
      <c r="I195" s="135"/>
    </row>
    <row r="196" spans="4:9">
      <c r="D196" s="136"/>
      <c r="E196" s="151"/>
      <c r="F196" s="135"/>
      <c r="G196" s="135"/>
      <c r="H196" s="135"/>
      <c r="I196" s="135"/>
    </row>
    <row r="197" spans="4:9">
      <c r="D197" s="136"/>
      <c r="E197" s="151"/>
      <c r="F197" s="135"/>
      <c r="G197" s="135"/>
      <c r="H197" s="135"/>
      <c r="I197" s="135"/>
    </row>
    <row r="198" spans="4:9">
      <c r="D198" s="136"/>
      <c r="E198" s="151"/>
      <c r="F198" s="135"/>
      <c r="G198" s="135"/>
      <c r="H198" s="135"/>
      <c r="I198" s="135"/>
    </row>
    <row r="199" spans="4:9">
      <c r="D199" s="136"/>
      <c r="E199" s="151"/>
      <c r="F199" s="135"/>
      <c r="G199" s="135"/>
      <c r="H199" s="135"/>
      <c r="I199" s="135"/>
    </row>
    <row r="200" spans="4:9">
      <c r="D200" s="136"/>
      <c r="E200" s="151"/>
      <c r="F200" s="135"/>
      <c r="G200" s="135"/>
      <c r="H200" s="135"/>
      <c r="I200" s="135"/>
    </row>
    <row r="201" spans="4:9">
      <c r="D201" s="136"/>
      <c r="E201" s="151"/>
      <c r="F201" s="135"/>
      <c r="G201" s="135"/>
      <c r="H201" s="135"/>
      <c r="I201" s="135"/>
    </row>
    <row r="202" spans="4:9">
      <c r="D202" s="136"/>
      <c r="E202" s="151"/>
      <c r="F202" s="135"/>
      <c r="G202" s="135"/>
      <c r="H202" s="135"/>
      <c r="I202" s="135"/>
    </row>
    <row r="203" spans="4:9">
      <c r="D203" s="136"/>
      <c r="E203" s="151"/>
      <c r="F203" s="135"/>
      <c r="G203" s="135"/>
      <c r="H203" s="135"/>
      <c r="I203" s="135"/>
    </row>
    <row r="204" spans="4:9">
      <c r="D204" s="136"/>
      <c r="E204" s="151"/>
      <c r="F204" s="135"/>
      <c r="G204" s="135"/>
      <c r="H204" s="135"/>
      <c r="I204" s="135"/>
    </row>
    <row r="205" spans="4:9">
      <c r="D205" s="136"/>
      <c r="E205" s="151"/>
      <c r="F205" s="135"/>
      <c r="G205" s="135"/>
      <c r="H205" s="135"/>
      <c r="I205" s="135"/>
    </row>
    <row r="206" spans="4:9">
      <c r="D206" s="136"/>
      <c r="E206" s="151"/>
      <c r="F206" s="135"/>
      <c r="G206" s="135"/>
      <c r="H206" s="135"/>
      <c r="I206" s="135"/>
    </row>
    <row r="207" spans="4:9">
      <c r="D207" s="136"/>
      <c r="E207" s="151"/>
      <c r="F207" s="135"/>
      <c r="G207" s="135"/>
      <c r="H207" s="135"/>
      <c r="I207" s="135"/>
    </row>
    <row r="208" spans="4:9">
      <c r="D208" s="136"/>
      <c r="E208" s="151"/>
      <c r="F208" s="135"/>
      <c r="G208" s="135"/>
      <c r="H208" s="135"/>
      <c r="I208" s="135"/>
    </row>
    <row r="209" spans="4:9">
      <c r="D209" s="136"/>
      <c r="E209" s="151"/>
      <c r="F209" s="135"/>
      <c r="G209" s="135"/>
      <c r="H209" s="135"/>
      <c r="I209" s="135"/>
    </row>
    <row r="210" spans="4:9">
      <c r="D210" s="136"/>
      <c r="E210" s="151"/>
      <c r="F210" s="135"/>
      <c r="G210" s="135"/>
      <c r="H210" s="135"/>
      <c r="I210" s="135"/>
    </row>
    <row r="211" spans="4:9">
      <c r="D211" s="136"/>
      <c r="E211" s="151"/>
      <c r="F211" s="135"/>
      <c r="G211" s="135"/>
      <c r="H211" s="135"/>
      <c r="I211" s="135"/>
    </row>
    <row r="212" spans="4:9">
      <c r="D212" s="136"/>
      <c r="E212" s="151"/>
      <c r="F212" s="135"/>
      <c r="G212" s="135"/>
      <c r="H212" s="135"/>
      <c r="I212" s="135"/>
    </row>
    <row r="213" spans="4:9">
      <c r="D213" s="136"/>
      <c r="E213" s="151"/>
      <c r="F213" s="135"/>
      <c r="G213" s="135"/>
      <c r="H213" s="135"/>
      <c r="I213" s="135"/>
    </row>
    <row r="214" spans="4:9">
      <c r="D214" s="136"/>
      <c r="E214" s="151"/>
      <c r="F214" s="135"/>
      <c r="G214" s="135"/>
      <c r="H214" s="135"/>
      <c r="I214" s="135"/>
    </row>
    <row r="215" spans="4:9">
      <c r="D215" s="136"/>
      <c r="E215" s="151"/>
      <c r="F215" s="135"/>
      <c r="G215" s="135"/>
      <c r="H215" s="135"/>
      <c r="I215" s="135"/>
    </row>
    <row r="216" spans="4:9">
      <c r="D216" s="136"/>
      <c r="E216" s="151"/>
      <c r="F216" s="135"/>
      <c r="G216" s="135"/>
      <c r="H216" s="135"/>
      <c r="I216" s="135"/>
    </row>
    <row r="217" spans="4:9">
      <c r="D217" s="136"/>
      <c r="E217" s="151"/>
      <c r="F217" s="135"/>
      <c r="G217" s="135"/>
      <c r="H217" s="135"/>
      <c r="I217" s="135"/>
    </row>
    <row r="218" spans="4:9">
      <c r="D218" s="136"/>
      <c r="E218" s="151"/>
      <c r="F218" s="135"/>
      <c r="G218" s="135"/>
      <c r="H218" s="135"/>
      <c r="I218" s="135"/>
    </row>
    <row r="219" spans="4:9">
      <c r="D219" s="136"/>
      <c r="E219" s="151"/>
      <c r="F219" s="135"/>
      <c r="G219" s="135"/>
      <c r="H219" s="135"/>
      <c r="I219" s="135"/>
    </row>
    <row r="220" spans="4:9">
      <c r="D220" s="136"/>
      <c r="E220" s="151"/>
      <c r="F220" s="135"/>
      <c r="G220" s="135"/>
      <c r="H220" s="135"/>
      <c r="I220" s="135"/>
    </row>
    <row r="221" spans="4:9">
      <c r="D221" s="136"/>
      <c r="E221" s="151"/>
      <c r="F221" s="135"/>
      <c r="G221" s="135"/>
      <c r="H221" s="135"/>
      <c r="I221" s="135"/>
    </row>
    <row r="222" spans="4:9">
      <c r="D222" s="136"/>
      <c r="E222" s="151"/>
      <c r="F222" s="135"/>
      <c r="G222" s="135"/>
      <c r="H222" s="135"/>
      <c r="I222" s="135"/>
    </row>
    <row r="223" spans="4:9">
      <c r="D223" s="136"/>
      <c r="E223" s="151"/>
      <c r="F223" s="135"/>
      <c r="G223" s="135"/>
      <c r="H223" s="135"/>
      <c r="I223" s="135"/>
    </row>
    <row r="224" spans="4:9">
      <c r="D224" s="136"/>
      <c r="E224" s="151"/>
      <c r="F224" s="135"/>
      <c r="G224" s="135"/>
      <c r="H224" s="135"/>
      <c r="I224" s="135"/>
    </row>
    <row r="225" spans="4:9">
      <c r="D225" s="136"/>
      <c r="E225" s="151"/>
      <c r="F225" s="135"/>
      <c r="G225" s="135"/>
      <c r="H225" s="135"/>
      <c r="I225" s="135"/>
    </row>
    <row r="226" spans="4:9">
      <c r="D226" s="136"/>
      <c r="E226" s="151"/>
      <c r="F226" s="135"/>
      <c r="G226" s="135"/>
      <c r="H226" s="135"/>
      <c r="I226" s="135"/>
    </row>
    <row r="227" spans="4:9">
      <c r="D227" s="136"/>
      <c r="E227" s="151"/>
      <c r="F227" s="135"/>
      <c r="G227" s="135"/>
      <c r="H227" s="135"/>
      <c r="I227" s="135"/>
    </row>
    <row r="228" spans="4:9">
      <c r="D228" s="136"/>
      <c r="E228" s="151"/>
      <c r="F228" s="135"/>
      <c r="G228" s="135"/>
      <c r="H228" s="135"/>
      <c r="I228" s="135"/>
    </row>
    <row r="229" spans="4:9">
      <c r="D229" s="136"/>
      <c r="E229" s="151"/>
      <c r="F229" s="135"/>
      <c r="G229" s="135"/>
      <c r="H229" s="135"/>
      <c r="I229" s="135"/>
    </row>
    <row r="230" spans="4:9">
      <c r="D230" s="136"/>
      <c r="E230" s="151"/>
      <c r="F230" s="135"/>
      <c r="G230" s="135"/>
      <c r="H230" s="135"/>
      <c r="I230" s="135"/>
    </row>
    <row r="231" spans="4:9">
      <c r="D231" s="136"/>
      <c r="E231" s="151"/>
      <c r="F231" s="135"/>
      <c r="G231" s="135"/>
      <c r="H231" s="135"/>
      <c r="I231" s="135"/>
    </row>
    <row r="232" spans="4:9">
      <c r="D232" s="136"/>
      <c r="E232" s="151"/>
      <c r="F232" s="135"/>
      <c r="G232" s="135"/>
      <c r="H232" s="135"/>
      <c r="I232" s="135"/>
    </row>
    <row r="233" spans="4:9">
      <c r="D233" s="136"/>
      <c r="E233" s="151"/>
      <c r="F233" s="135"/>
      <c r="G233" s="135"/>
      <c r="H233" s="135"/>
      <c r="I233" s="135"/>
    </row>
    <row r="234" spans="4:9">
      <c r="D234" s="136"/>
      <c r="E234" s="151"/>
      <c r="F234" s="135"/>
      <c r="G234" s="135"/>
      <c r="H234" s="135"/>
      <c r="I234" s="135"/>
    </row>
    <row r="235" spans="4:9">
      <c r="D235" s="136"/>
      <c r="E235" s="151"/>
      <c r="F235" s="135"/>
      <c r="G235" s="135"/>
      <c r="H235" s="135"/>
      <c r="I235" s="135"/>
    </row>
    <row r="236" spans="4:9">
      <c r="D236" s="136"/>
      <c r="E236" s="151"/>
      <c r="F236" s="135"/>
      <c r="G236" s="135"/>
      <c r="H236" s="135"/>
      <c r="I236" s="135"/>
    </row>
    <row r="237" spans="4:9">
      <c r="D237" s="136"/>
      <c r="E237" s="151"/>
      <c r="F237" s="135"/>
      <c r="G237" s="135"/>
      <c r="H237" s="135"/>
      <c r="I237" s="135"/>
    </row>
    <row r="238" spans="4:9">
      <c r="D238" s="136"/>
      <c r="E238" s="151"/>
      <c r="F238" s="135"/>
      <c r="G238" s="135"/>
      <c r="H238" s="135"/>
      <c r="I238" s="135"/>
    </row>
    <row r="239" spans="4:9">
      <c r="D239" s="136"/>
      <c r="E239" s="151"/>
      <c r="F239" s="135"/>
      <c r="G239" s="135"/>
      <c r="H239" s="135"/>
      <c r="I239" s="135"/>
    </row>
    <row r="240" spans="4:9">
      <c r="D240" s="136"/>
      <c r="E240" s="151"/>
      <c r="F240" s="135"/>
      <c r="G240" s="135"/>
      <c r="H240" s="135"/>
      <c r="I240" s="135"/>
    </row>
    <row r="241" spans="4:9">
      <c r="D241" s="136"/>
      <c r="E241" s="151"/>
      <c r="F241" s="135"/>
      <c r="G241" s="135"/>
      <c r="H241" s="135"/>
      <c r="I241" s="135"/>
    </row>
    <row r="242" spans="4:9">
      <c r="D242" s="136"/>
      <c r="E242" s="151"/>
      <c r="F242" s="135"/>
      <c r="G242" s="135"/>
      <c r="H242" s="135"/>
      <c r="I242" s="135"/>
    </row>
    <row r="243" spans="4:9">
      <c r="D243" s="136"/>
      <c r="E243" s="151"/>
      <c r="F243" s="135"/>
      <c r="G243" s="135"/>
      <c r="H243" s="135"/>
      <c r="I243" s="135"/>
    </row>
    <row r="244" spans="4:9">
      <c r="D244" s="136"/>
      <c r="E244" s="151"/>
      <c r="F244" s="135"/>
      <c r="G244" s="135"/>
      <c r="H244" s="135"/>
      <c r="I244" s="135"/>
    </row>
    <row r="245" spans="4:9">
      <c r="D245" s="136"/>
      <c r="E245" s="151"/>
      <c r="F245" s="135"/>
      <c r="G245" s="135"/>
      <c r="H245" s="135"/>
      <c r="I245" s="135"/>
    </row>
    <row r="246" spans="4:9">
      <c r="D246" s="136"/>
      <c r="E246" s="151"/>
      <c r="F246" s="135"/>
      <c r="G246" s="135"/>
      <c r="H246" s="135"/>
      <c r="I246" s="135"/>
    </row>
    <row r="247" spans="4:9">
      <c r="D247" s="136"/>
      <c r="E247" s="151"/>
      <c r="F247" s="135"/>
      <c r="G247" s="135"/>
      <c r="H247" s="135"/>
      <c r="I247" s="135"/>
    </row>
    <row r="248" spans="4:9">
      <c r="D248" s="136"/>
      <c r="E248" s="151"/>
      <c r="F248" s="135"/>
      <c r="G248" s="135"/>
      <c r="H248" s="135"/>
      <c r="I248" s="135"/>
    </row>
    <row r="249" spans="4:9">
      <c r="D249" s="136"/>
      <c r="E249" s="151"/>
      <c r="F249" s="135"/>
      <c r="G249" s="135"/>
      <c r="H249" s="135"/>
      <c r="I249" s="135"/>
    </row>
    <row r="250" spans="4:9">
      <c r="D250" s="136"/>
      <c r="E250" s="151"/>
      <c r="F250" s="135"/>
      <c r="G250" s="135"/>
      <c r="H250" s="135"/>
      <c r="I250" s="135"/>
    </row>
    <row r="251" spans="4:9">
      <c r="D251" s="136"/>
      <c r="E251" s="151"/>
      <c r="F251" s="135"/>
      <c r="G251" s="135"/>
      <c r="H251" s="135"/>
      <c r="I251" s="135"/>
    </row>
    <row r="252" spans="4:9">
      <c r="D252" s="136"/>
      <c r="E252" s="151"/>
      <c r="F252" s="135"/>
      <c r="G252" s="135"/>
      <c r="H252" s="135"/>
      <c r="I252" s="135"/>
    </row>
    <row r="253" spans="4:9">
      <c r="D253" s="136"/>
      <c r="E253" s="151"/>
      <c r="F253" s="135"/>
      <c r="G253" s="135"/>
      <c r="H253" s="135"/>
      <c r="I253" s="135"/>
    </row>
    <row r="254" spans="4:9">
      <c r="D254" s="136"/>
      <c r="E254" s="151"/>
      <c r="F254" s="135"/>
      <c r="G254" s="135"/>
      <c r="H254" s="135"/>
      <c r="I254" s="135"/>
    </row>
    <row r="255" spans="4:9">
      <c r="D255" s="136"/>
      <c r="E255" s="151"/>
      <c r="F255" s="135"/>
      <c r="G255" s="135"/>
      <c r="H255" s="135"/>
      <c r="I255" s="135"/>
    </row>
    <row r="256" spans="4:9">
      <c r="D256" s="136"/>
      <c r="E256" s="151"/>
      <c r="F256" s="135"/>
      <c r="G256" s="135"/>
      <c r="H256" s="135"/>
      <c r="I256" s="135"/>
    </row>
    <row r="257" spans="4:9">
      <c r="D257" s="136"/>
      <c r="E257" s="151"/>
      <c r="F257" s="135"/>
      <c r="G257" s="135"/>
      <c r="H257" s="135"/>
      <c r="I257" s="135"/>
    </row>
    <row r="258" spans="4:9">
      <c r="D258" s="136"/>
      <c r="E258" s="151"/>
      <c r="F258" s="135"/>
      <c r="G258" s="135"/>
      <c r="H258" s="135"/>
      <c r="I258" s="135"/>
    </row>
    <row r="259" spans="4:9">
      <c r="D259" s="136"/>
      <c r="E259" s="151"/>
      <c r="F259" s="135"/>
      <c r="G259" s="135"/>
      <c r="H259" s="135"/>
      <c r="I259" s="135"/>
    </row>
    <row r="260" spans="4:9">
      <c r="D260" s="136"/>
      <c r="E260" s="151"/>
      <c r="F260" s="135"/>
      <c r="G260" s="135"/>
      <c r="H260" s="135"/>
      <c r="I260" s="135"/>
    </row>
    <row r="261" spans="4:9">
      <c r="D261" s="136"/>
      <c r="E261" s="151"/>
      <c r="F261" s="135"/>
      <c r="G261" s="135"/>
      <c r="H261" s="135"/>
      <c r="I261" s="135"/>
    </row>
    <row r="262" spans="4:9">
      <c r="D262" s="136"/>
      <c r="E262" s="151"/>
      <c r="F262" s="135"/>
      <c r="G262" s="135"/>
      <c r="H262" s="135"/>
      <c r="I262" s="135"/>
    </row>
    <row r="263" spans="4:9">
      <c r="D263" s="136"/>
      <c r="E263" s="151"/>
      <c r="F263" s="135"/>
      <c r="G263" s="135"/>
      <c r="H263" s="135"/>
      <c r="I263" s="135"/>
    </row>
    <row r="264" spans="4:9">
      <c r="D264" s="136"/>
      <c r="E264" s="151"/>
      <c r="F264" s="135"/>
      <c r="G264" s="135"/>
      <c r="H264" s="135"/>
      <c r="I264" s="135"/>
    </row>
    <row r="265" spans="4:9">
      <c r="D265" s="136"/>
      <c r="E265" s="151"/>
      <c r="F265" s="135"/>
      <c r="G265" s="135"/>
      <c r="H265" s="135"/>
      <c r="I265" s="135"/>
    </row>
    <row r="266" spans="4:9">
      <c r="D266" s="136"/>
      <c r="E266" s="151"/>
      <c r="F266" s="135"/>
      <c r="G266" s="135"/>
      <c r="H266" s="135"/>
      <c r="I266" s="135"/>
    </row>
    <row r="267" spans="4:9">
      <c r="D267" s="136"/>
      <c r="E267" s="151"/>
      <c r="F267" s="135"/>
      <c r="G267" s="135"/>
      <c r="H267" s="135"/>
      <c r="I267" s="135"/>
    </row>
    <row r="268" spans="4:9">
      <c r="D268" s="136"/>
      <c r="E268" s="151"/>
      <c r="F268" s="135"/>
      <c r="G268" s="135"/>
      <c r="H268" s="135"/>
      <c r="I268" s="135"/>
    </row>
    <row r="269" spans="4:9">
      <c r="D269" s="136"/>
      <c r="E269" s="151"/>
      <c r="F269" s="135"/>
      <c r="G269" s="135"/>
      <c r="H269" s="135"/>
      <c r="I269" s="135"/>
    </row>
    <row r="270" spans="4:9">
      <c r="D270" s="136"/>
      <c r="E270" s="151"/>
      <c r="F270" s="135"/>
      <c r="G270" s="135"/>
      <c r="H270" s="135"/>
      <c r="I270" s="135"/>
    </row>
    <row r="271" spans="4:9">
      <c r="D271" s="136"/>
      <c r="E271" s="151"/>
      <c r="F271" s="135"/>
      <c r="G271" s="135"/>
      <c r="H271" s="135"/>
      <c r="I271" s="135"/>
    </row>
    <row r="272" spans="4:9">
      <c r="D272" s="136"/>
      <c r="E272" s="151"/>
      <c r="F272" s="135"/>
      <c r="G272" s="135"/>
      <c r="H272" s="135"/>
      <c r="I272" s="135"/>
    </row>
    <row r="273" spans="4:9">
      <c r="D273" s="136"/>
      <c r="E273" s="151"/>
      <c r="F273" s="135"/>
      <c r="G273" s="135"/>
      <c r="H273" s="135"/>
      <c r="I273" s="135"/>
    </row>
    <row r="274" spans="4:9">
      <c r="D274" s="136"/>
      <c r="E274" s="151"/>
      <c r="F274" s="135"/>
      <c r="G274" s="135"/>
      <c r="H274" s="135"/>
      <c r="I274" s="135"/>
    </row>
    <row r="275" spans="4:9">
      <c r="D275" s="136"/>
      <c r="E275" s="151"/>
      <c r="F275" s="135"/>
      <c r="G275" s="135"/>
      <c r="H275" s="135"/>
      <c r="I275" s="135"/>
    </row>
    <row r="276" spans="4:9">
      <c r="D276" s="136"/>
      <c r="E276" s="151"/>
      <c r="F276" s="135"/>
      <c r="G276" s="135"/>
      <c r="H276" s="135"/>
      <c r="I276" s="135"/>
    </row>
    <row r="277" spans="4:9">
      <c r="D277" s="136"/>
      <c r="E277" s="151"/>
      <c r="F277" s="135"/>
      <c r="G277" s="135"/>
      <c r="H277" s="135"/>
      <c r="I277" s="135"/>
    </row>
    <row r="278" spans="4:9">
      <c r="D278" s="136"/>
      <c r="E278" s="151"/>
      <c r="F278" s="135"/>
      <c r="G278" s="135"/>
      <c r="H278" s="135"/>
      <c r="I278" s="135"/>
    </row>
    <row r="279" spans="4:9">
      <c r="D279" s="136"/>
      <c r="E279" s="151"/>
      <c r="F279" s="135"/>
      <c r="G279" s="135"/>
      <c r="H279" s="135"/>
      <c r="I279" s="135"/>
    </row>
    <row r="280" spans="4:9">
      <c r="D280" s="136"/>
      <c r="E280" s="151"/>
      <c r="F280" s="135"/>
      <c r="G280" s="135"/>
      <c r="H280" s="135"/>
      <c r="I280" s="135"/>
    </row>
    <row r="281" spans="4:9">
      <c r="D281" s="136"/>
      <c r="E281" s="151"/>
      <c r="F281" s="135"/>
      <c r="G281" s="135"/>
      <c r="H281" s="135"/>
      <c r="I281" s="135"/>
    </row>
    <row r="282" spans="4:9">
      <c r="D282" s="136"/>
      <c r="E282" s="151"/>
      <c r="F282" s="135"/>
      <c r="G282" s="135"/>
      <c r="H282" s="135"/>
      <c r="I282" s="135"/>
    </row>
    <row r="283" spans="4:9">
      <c r="D283" s="136"/>
      <c r="E283" s="151"/>
      <c r="F283" s="135"/>
      <c r="G283" s="135"/>
      <c r="H283" s="135"/>
      <c r="I283" s="135"/>
    </row>
    <row r="284" spans="4:9">
      <c r="D284" s="136"/>
      <c r="E284" s="151"/>
      <c r="F284" s="135"/>
      <c r="G284" s="135"/>
      <c r="H284" s="135"/>
      <c r="I284" s="135"/>
    </row>
    <row r="285" spans="4:9">
      <c r="D285" s="136"/>
      <c r="E285" s="151"/>
      <c r="F285" s="135"/>
      <c r="G285" s="135"/>
      <c r="H285" s="135"/>
      <c r="I285" s="135"/>
    </row>
    <row r="286" spans="4:9">
      <c r="D286" s="136"/>
      <c r="E286" s="151"/>
      <c r="F286" s="135"/>
      <c r="G286" s="135"/>
      <c r="H286" s="135"/>
      <c r="I286" s="135"/>
    </row>
    <row r="287" spans="4:9">
      <c r="D287" s="136"/>
      <c r="E287" s="151"/>
      <c r="F287" s="135"/>
      <c r="G287" s="135"/>
      <c r="H287" s="135"/>
      <c r="I287" s="135"/>
    </row>
    <row r="288" spans="4:9">
      <c r="D288" s="136"/>
      <c r="E288" s="151"/>
      <c r="F288" s="135"/>
      <c r="G288" s="135"/>
      <c r="H288" s="135"/>
      <c r="I288" s="135"/>
    </row>
    <row r="289" spans="4:9">
      <c r="D289" s="136"/>
      <c r="E289" s="151"/>
      <c r="F289" s="135"/>
      <c r="G289" s="135"/>
      <c r="H289" s="135"/>
      <c r="I289" s="135"/>
    </row>
    <row r="290" spans="4:9">
      <c r="D290" s="136"/>
      <c r="E290" s="151"/>
      <c r="F290" s="135"/>
      <c r="G290" s="135"/>
      <c r="H290" s="135"/>
      <c r="I290" s="135"/>
    </row>
    <row r="291" spans="4:9">
      <c r="D291" s="136"/>
      <c r="E291" s="151"/>
      <c r="F291" s="135"/>
      <c r="G291" s="135"/>
      <c r="H291" s="135"/>
      <c r="I291" s="135"/>
    </row>
    <row r="292" spans="4:9">
      <c r="D292" s="136"/>
      <c r="E292" s="151"/>
      <c r="F292" s="135"/>
      <c r="G292" s="135"/>
      <c r="H292" s="135"/>
      <c r="I292" s="135"/>
    </row>
    <row r="293" spans="4:9">
      <c r="D293" s="136"/>
      <c r="E293" s="151"/>
      <c r="F293" s="135"/>
      <c r="G293" s="135"/>
      <c r="H293" s="135"/>
      <c r="I293" s="135"/>
    </row>
    <row r="294" spans="4:9">
      <c r="D294" s="136"/>
      <c r="E294" s="151"/>
      <c r="F294" s="135"/>
      <c r="G294" s="135"/>
      <c r="H294" s="135"/>
      <c r="I294" s="135"/>
    </row>
    <row r="295" spans="4:9">
      <c r="D295" s="136"/>
      <c r="E295" s="151"/>
      <c r="F295" s="135"/>
      <c r="G295" s="135"/>
      <c r="H295" s="135"/>
      <c r="I295" s="135"/>
    </row>
    <row r="296" spans="4:9">
      <c r="D296" s="136"/>
      <c r="E296" s="151"/>
      <c r="F296" s="135"/>
      <c r="G296" s="135"/>
      <c r="H296" s="135"/>
      <c r="I296" s="135"/>
    </row>
    <row r="297" spans="4:9">
      <c r="D297" s="136"/>
      <c r="E297" s="151"/>
      <c r="F297" s="135"/>
      <c r="G297" s="135"/>
      <c r="H297" s="135"/>
      <c r="I297" s="135"/>
    </row>
    <row r="298" spans="4:9">
      <c r="D298" s="136"/>
      <c r="E298" s="151"/>
      <c r="F298" s="135"/>
      <c r="G298" s="135"/>
      <c r="H298" s="135"/>
      <c r="I298" s="135"/>
    </row>
    <row r="299" spans="4:9">
      <c r="D299" s="136"/>
      <c r="E299" s="151"/>
      <c r="F299" s="135"/>
      <c r="G299" s="135"/>
      <c r="H299" s="135"/>
      <c r="I299" s="135"/>
    </row>
    <row r="300" spans="4:9">
      <c r="D300" s="136"/>
      <c r="E300" s="151"/>
      <c r="F300" s="135"/>
      <c r="G300" s="135"/>
      <c r="H300" s="135"/>
      <c r="I300" s="135"/>
    </row>
    <row r="301" spans="4:9">
      <c r="D301" s="136"/>
      <c r="E301" s="151"/>
      <c r="F301" s="135"/>
      <c r="G301" s="135"/>
      <c r="H301" s="135"/>
      <c r="I301" s="135"/>
    </row>
    <row r="302" spans="4:9">
      <c r="D302" s="136"/>
      <c r="E302" s="151"/>
      <c r="F302" s="135"/>
      <c r="G302" s="135"/>
      <c r="H302" s="135"/>
      <c r="I302" s="135"/>
    </row>
    <row r="303" spans="4:9">
      <c r="D303" s="136"/>
      <c r="E303" s="151"/>
      <c r="F303" s="135"/>
      <c r="G303" s="135"/>
      <c r="H303" s="135"/>
      <c r="I303" s="135"/>
    </row>
    <row r="304" spans="4:9">
      <c r="D304" s="136"/>
      <c r="E304" s="151"/>
      <c r="F304" s="135"/>
      <c r="G304" s="135"/>
      <c r="H304" s="135"/>
      <c r="I304" s="135"/>
    </row>
    <row r="305" spans="4:9">
      <c r="D305" s="136"/>
      <c r="E305" s="151"/>
      <c r="F305" s="135"/>
      <c r="G305" s="135"/>
      <c r="H305" s="135"/>
      <c r="I305" s="135"/>
    </row>
    <row r="306" spans="4:9">
      <c r="D306" s="136"/>
      <c r="E306" s="151"/>
      <c r="F306" s="135"/>
      <c r="G306" s="135"/>
      <c r="H306" s="135"/>
      <c r="I306" s="135"/>
    </row>
    <row r="307" spans="4:9">
      <c r="D307" s="136"/>
      <c r="E307" s="151"/>
      <c r="F307" s="135"/>
      <c r="G307" s="135"/>
      <c r="H307" s="135"/>
      <c r="I307" s="135"/>
    </row>
    <row r="308" spans="4:9">
      <c r="D308" s="136"/>
      <c r="E308" s="151"/>
      <c r="F308" s="135"/>
      <c r="G308" s="135"/>
      <c r="H308" s="135"/>
      <c r="I308" s="135"/>
    </row>
    <row r="309" spans="4:9">
      <c r="D309" s="136"/>
      <c r="E309" s="151"/>
      <c r="F309" s="135"/>
      <c r="G309" s="135"/>
      <c r="H309" s="135"/>
      <c r="I309" s="135"/>
    </row>
    <row r="310" spans="4:9">
      <c r="D310" s="136"/>
      <c r="E310" s="151"/>
      <c r="F310" s="135"/>
      <c r="G310" s="135"/>
      <c r="H310" s="135"/>
      <c r="I310" s="135"/>
    </row>
    <row r="311" spans="4:9">
      <c r="D311" s="136"/>
      <c r="E311" s="151"/>
      <c r="F311" s="135"/>
      <c r="G311" s="135"/>
      <c r="H311" s="135"/>
      <c r="I311" s="135"/>
    </row>
    <row r="312" spans="4:9">
      <c r="D312" s="136"/>
      <c r="E312" s="151"/>
      <c r="F312" s="135"/>
      <c r="G312" s="135"/>
      <c r="H312" s="135"/>
      <c r="I312" s="135"/>
    </row>
    <row r="313" spans="4:9">
      <c r="D313" s="136"/>
      <c r="E313" s="151"/>
      <c r="F313" s="135"/>
      <c r="G313" s="135"/>
      <c r="H313" s="135"/>
      <c r="I313" s="135"/>
    </row>
    <row r="314" spans="4:9">
      <c r="D314" s="136"/>
      <c r="E314" s="151"/>
      <c r="F314" s="135"/>
      <c r="G314" s="135"/>
      <c r="H314" s="135"/>
      <c r="I314" s="135"/>
    </row>
    <row r="315" spans="4:9">
      <c r="D315" s="136"/>
      <c r="E315" s="151"/>
      <c r="F315" s="135"/>
      <c r="G315" s="135"/>
      <c r="H315" s="135"/>
      <c r="I315" s="135"/>
    </row>
    <row r="316" spans="4:9">
      <c r="D316" s="136"/>
      <c r="E316" s="151"/>
      <c r="F316" s="135"/>
      <c r="G316" s="135"/>
      <c r="H316" s="135"/>
      <c r="I316" s="135"/>
    </row>
    <row r="317" spans="4:9">
      <c r="D317" s="136"/>
      <c r="E317" s="151"/>
      <c r="F317" s="135"/>
      <c r="G317" s="135"/>
      <c r="H317" s="135"/>
      <c r="I317" s="135"/>
    </row>
    <row r="318" spans="4:9">
      <c r="D318" s="136"/>
      <c r="E318" s="151"/>
      <c r="F318" s="135"/>
      <c r="G318" s="135"/>
      <c r="H318" s="135"/>
      <c r="I318" s="135"/>
    </row>
    <row r="319" spans="4:9">
      <c r="D319" s="136"/>
      <c r="E319" s="151"/>
      <c r="F319" s="135"/>
      <c r="G319" s="135"/>
      <c r="H319" s="135"/>
      <c r="I319" s="135"/>
    </row>
    <row r="320" spans="4:9">
      <c r="D320" s="136"/>
      <c r="E320" s="151"/>
      <c r="F320" s="135"/>
      <c r="G320" s="135"/>
      <c r="H320" s="135"/>
      <c r="I320" s="135"/>
    </row>
    <row r="321" spans="4:9">
      <c r="D321" s="136"/>
      <c r="E321" s="151"/>
      <c r="F321" s="135"/>
      <c r="G321" s="135"/>
      <c r="H321" s="135"/>
      <c r="I321" s="135"/>
    </row>
    <row r="322" spans="4:9">
      <c r="D322" s="136"/>
      <c r="E322" s="151"/>
      <c r="F322" s="135"/>
      <c r="G322" s="135"/>
      <c r="H322" s="135"/>
      <c r="I322" s="135"/>
    </row>
    <row r="323" spans="4:9">
      <c r="D323" s="136"/>
      <c r="E323" s="151"/>
      <c r="F323" s="135"/>
      <c r="G323" s="135"/>
      <c r="H323" s="135"/>
      <c r="I323" s="135"/>
    </row>
    <row r="324" spans="4:9">
      <c r="D324" s="136"/>
      <c r="E324" s="151"/>
      <c r="F324" s="135"/>
      <c r="G324" s="135"/>
      <c r="H324" s="135"/>
      <c r="I324" s="135"/>
    </row>
    <row r="325" spans="4:9">
      <c r="D325" s="136"/>
      <c r="E325" s="151"/>
      <c r="F325" s="135"/>
      <c r="G325" s="135"/>
      <c r="H325" s="135"/>
      <c r="I325" s="135"/>
    </row>
    <row r="326" spans="4:9">
      <c r="D326" s="136"/>
      <c r="E326" s="151"/>
      <c r="F326" s="135"/>
      <c r="G326" s="135"/>
      <c r="H326" s="135"/>
      <c r="I326" s="135"/>
    </row>
    <row r="327" spans="4:9">
      <c r="D327" s="136"/>
      <c r="E327" s="151"/>
      <c r="F327" s="135"/>
      <c r="G327" s="135"/>
      <c r="H327" s="135"/>
      <c r="I327" s="135"/>
    </row>
    <row r="328" spans="4:9">
      <c r="D328" s="136"/>
      <c r="E328" s="151"/>
      <c r="F328" s="135"/>
      <c r="G328" s="135"/>
      <c r="H328" s="135"/>
      <c r="I328" s="135"/>
    </row>
    <row r="329" spans="4:9">
      <c r="D329" s="136"/>
      <c r="E329" s="151"/>
      <c r="F329" s="135"/>
      <c r="G329" s="135"/>
      <c r="H329" s="135"/>
      <c r="I329" s="135"/>
    </row>
    <row r="330" spans="4:9">
      <c r="D330" s="136"/>
      <c r="E330" s="151"/>
      <c r="F330" s="135"/>
      <c r="G330" s="135"/>
      <c r="H330" s="135"/>
      <c r="I330" s="135"/>
    </row>
    <row r="331" spans="4:9">
      <c r="D331" s="136"/>
      <c r="E331" s="151"/>
      <c r="F331" s="135"/>
      <c r="G331" s="135"/>
      <c r="H331" s="135"/>
      <c r="I331" s="135"/>
    </row>
    <row r="332" spans="4:9">
      <c r="D332" s="136"/>
      <c r="E332" s="151"/>
      <c r="F332" s="135"/>
      <c r="G332" s="135"/>
      <c r="H332" s="135"/>
      <c r="I332" s="135"/>
    </row>
    <row r="333" spans="4:9">
      <c r="D333" s="136"/>
      <c r="E333" s="151"/>
      <c r="F333" s="135"/>
      <c r="G333" s="135"/>
      <c r="H333" s="135"/>
      <c r="I333" s="135"/>
    </row>
    <row r="334" spans="4:9">
      <c r="D334" s="136"/>
      <c r="E334" s="151"/>
      <c r="F334" s="135"/>
      <c r="G334" s="135"/>
      <c r="H334" s="135"/>
      <c r="I334" s="135"/>
    </row>
    <row r="335" spans="4:9">
      <c r="D335" s="136"/>
      <c r="E335" s="151"/>
      <c r="F335" s="135"/>
      <c r="G335" s="135"/>
      <c r="H335" s="135"/>
      <c r="I335" s="135"/>
    </row>
    <row r="336" spans="4:9">
      <c r="D336" s="136"/>
      <c r="E336" s="151"/>
      <c r="F336" s="135"/>
      <c r="G336" s="135"/>
      <c r="H336" s="135"/>
      <c r="I336" s="135"/>
    </row>
    <row r="337" spans="4:9">
      <c r="D337" s="136"/>
      <c r="E337" s="151"/>
      <c r="F337" s="135"/>
      <c r="G337" s="135"/>
      <c r="H337" s="135"/>
      <c r="I337" s="135"/>
    </row>
    <row r="338" spans="4:9">
      <c r="D338" s="136"/>
      <c r="E338" s="151"/>
      <c r="F338" s="135"/>
      <c r="G338" s="135"/>
      <c r="H338" s="135"/>
      <c r="I338" s="135"/>
    </row>
    <row r="339" spans="4:9">
      <c r="D339" s="136"/>
      <c r="E339" s="151"/>
      <c r="F339" s="135"/>
      <c r="G339" s="135"/>
      <c r="H339" s="135"/>
      <c r="I339" s="135"/>
    </row>
    <row r="340" spans="4:9">
      <c r="D340" s="136"/>
      <c r="E340" s="151"/>
      <c r="F340" s="135"/>
      <c r="G340" s="135"/>
      <c r="H340" s="135"/>
      <c r="I340" s="135"/>
    </row>
    <row r="341" spans="4:9">
      <c r="D341" s="136"/>
      <c r="E341" s="151"/>
      <c r="F341" s="135"/>
      <c r="G341" s="135"/>
      <c r="H341" s="135"/>
      <c r="I341" s="135"/>
    </row>
    <row r="342" spans="4:9">
      <c r="D342" s="136"/>
      <c r="E342" s="151"/>
      <c r="F342" s="135"/>
      <c r="G342" s="135"/>
      <c r="H342" s="135"/>
      <c r="I342" s="135"/>
    </row>
    <row r="343" spans="4:9">
      <c r="D343" s="136"/>
      <c r="E343" s="151"/>
      <c r="F343" s="135"/>
      <c r="G343" s="135"/>
      <c r="H343" s="135"/>
      <c r="I343" s="135"/>
    </row>
    <row r="344" spans="4:9">
      <c r="D344" s="136"/>
      <c r="E344" s="151"/>
      <c r="F344" s="135"/>
      <c r="G344" s="135"/>
      <c r="H344" s="135"/>
      <c r="I344" s="135"/>
    </row>
    <row r="345" spans="4:9">
      <c r="D345" s="136"/>
      <c r="E345" s="151"/>
      <c r="F345" s="135"/>
      <c r="G345" s="135"/>
      <c r="H345" s="135"/>
      <c r="I345" s="135"/>
    </row>
    <row r="346" spans="4:9">
      <c r="D346" s="136"/>
      <c r="E346" s="151"/>
      <c r="F346" s="135"/>
      <c r="G346" s="135"/>
      <c r="H346" s="135"/>
      <c r="I346" s="135"/>
    </row>
    <row r="347" spans="4:9">
      <c r="D347" s="136"/>
      <c r="E347" s="151"/>
      <c r="F347" s="135"/>
      <c r="G347" s="135"/>
      <c r="H347" s="135"/>
      <c r="I347" s="135"/>
    </row>
    <row r="348" spans="4:9">
      <c r="D348" s="136"/>
      <c r="E348" s="151"/>
      <c r="F348" s="135"/>
      <c r="G348" s="135"/>
      <c r="H348" s="135"/>
      <c r="I348" s="135"/>
    </row>
    <row r="349" spans="4:9">
      <c r="D349" s="136"/>
      <c r="E349" s="151"/>
      <c r="F349" s="135"/>
      <c r="G349" s="135"/>
      <c r="H349" s="135"/>
      <c r="I349" s="135"/>
    </row>
    <row r="350" spans="4:9">
      <c r="D350" s="136"/>
      <c r="E350" s="151"/>
      <c r="F350" s="135"/>
      <c r="G350" s="135"/>
      <c r="H350" s="135"/>
      <c r="I350" s="135"/>
    </row>
    <row r="351" spans="4:9">
      <c r="D351" s="136"/>
      <c r="E351" s="151"/>
      <c r="F351" s="135"/>
      <c r="G351" s="135"/>
      <c r="H351" s="135"/>
      <c r="I351" s="135"/>
    </row>
    <row r="352" spans="4:9">
      <c r="D352" s="136"/>
      <c r="E352" s="151"/>
      <c r="F352" s="135"/>
      <c r="G352" s="135"/>
      <c r="H352" s="135"/>
      <c r="I352" s="135"/>
    </row>
    <row r="353" spans="4:9">
      <c r="D353" s="136"/>
      <c r="E353" s="151"/>
      <c r="F353" s="135"/>
      <c r="G353" s="135"/>
      <c r="H353" s="135"/>
      <c r="I353" s="135"/>
    </row>
    <row r="354" spans="4:9">
      <c r="D354" s="136"/>
      <c r="E354" s="151"/>
      <c r="F354" s="135"/>
      <c r="G354" s="135"/>
      <c r="H354" s="135"/>
      <c r="I354" s="135"/>
    </row>
    <row r="355" spans="4:9">
      <c r="D355" s="136"/>
      <c r="E355" s="151"/>
      <c r="F355" s="135"/>
      <c r="G355" s="135"/>
      <c r="H355" s="135"/>
      <c r="I355" s="135"/>
    </row>
    <row r="356" spans="4:9">
      <c r="D356" s="136"/>
      <c r="E356" s="151"/>
      <c r="F356" s="135"/>
      <c r="G356" s="135"/>
      <c r="H356" s="135"/>
      <c r="I356" s="135"/>
    </row>
    <row r="357" spans="4:9">
      <c r="D357" s="136"/>
      <c r="E357" s="151"/>
      <c r="F357" s="135"/>
      <c r="G357" s="135"/>
      <c r="H357" s="135"/>
      <c r="I357" s="135"/>
    </row>
    <row r="358" spans="4:9">
      <c r="D358" s="136"/>
      <c r="E358" s="151"/>
      <c r="F358" s="135"/>
      <c r="G358" s="135"/>
      <c r="H358" s="135"/>
      <c r="I358" s="135"/>
    </row>
    <row r="359" spans="4:9">
      <c r="D359" s="136"/>
      <c r="E359" s="151"/>
      <c r="F359" s="135"/>
      <c r="G359" s="135"/>
      <c r="H359" s="135"/>
      <c r="I359" s="135"/>
    </row>
    <row r="360" spans="4:9">
      <c r="D360" s="136"/>
      <c r="E360" s="151"/>
      <c r="F360" s="135"/>
      <c r="G360" s="135"/>
      <c r="H360" s="135"/>
      <c r="I360" s="135"/>
    </row>
    <row r="361" spans="4:9">
      <c r="D361" s="136"/>
      <c r="E361" s="151"/>
      <c r="F361" s="135"/>
      <c r="G361" s="135"/>
      <c r="H361" s="135"/>
      <c r="I361" s="135"/>
    </row>
    <row r="362" spans="4:9">
      <c r="D362" s="136"/>
      <c r="E362" s="151"/>
      <c r="F362" s="135"/>
      <c r="G362" s="135"/>
      <c r="H362" s="135"/>
      <c r="I362" s="135"/>
    </row>
    <row r="363" spans="4:9">
      <c r="D363" s="136"/>
      <c r="E363" s="151"/>
      <c r="F363" s="135"/>
      <c r="G363" s="135"/>
      <c r="H363" s="135"/>
      <c r="I363" s="135"/>
    </row>
    <row r="364" spans="4:9">
      <c r="D364" s="136"/>
      <c r="E364" s="151"/>
      <c r="F364" s="135"/>
      <c r="G364" s="135"/>
      <c r="H364" s="135"/>
      <c r="I364" s="135"/>
    </row>
    <row r="365" spans="4:9">
      <c r="D365" s="136"/>
      <c r="E365" s="151"/>
      <c r="F365" s="135"/>
      <c r="G365" s="135"/>
      <c r="H365" s="135"/>
      <c r="I365" s="135"/>
    </row>
    <row r="366" spans="4:9">
      <c r="D366" s="136"/>
      <c r="E366" s="151"/>
      <c r="F366" s="135"/>
      <c r="G366" s="135"/>
      <c r="H366" s="135"/>
      <c r="I366" s="135"/>
    </row>
    <row r="367" spans="4:9">
      <c r="D367" s="136"/>
      <c r="E367" s="151"/>
      <c r="F367" s="135"/>
      <c r="G367" s="135"/>
      <c r="H367" s="135"/>
      <c r="I367" s="135"/>
    </row>
    <row r="368" spans="4:9">
      <c r="D368" s="136"/>
      <c r="E368" s="151"/>
      <c r="F368" s="135"/>
      <c r="G368" s="135"/>
      <c r="H368" s="135"/>
      <c r="I368" s="135"/>
    </row>
    <row r="369" spans="4:9">
      <c r="D369" s="136"/>
      <c r="E369" s="151"/>
      <c r="F369" s="135"/>
      <c r="G369" s="135"/>
      <c r="H369" s="135"/>
      <c r="I369" s="135"/>
    </row>
    <row r="370" spans="4:9">
      <c r="D370" s="136"/>
      <c r="E370" s="151"/>
      <c r="F370" s="135"/>
      <c r="G370" s="135"/>
      <c r="H370" s="135"/>
      <c r="I370" s="135"/>
    </row>
    <row r="371" spans="4:9">
      <c r="D371" s="136"/>
      <c r="E371" s="151"/>
      <c r="F371" s="135"/>
      <c r="G371" s="135"/>
      <c r="H371" s="135"/>
      <c r="I371" s="135"/>
    </row>
    <row r="372" spans="4:9">
      <c r="D372" s="136"/>
      <c r="E372" s="151"/>
      <c r="F372" s="135"/>
      <c r="G372" s="135"/>
      <c r="H372" s="135"/>
      <c r="I372" s="135"/>
    </row>
    <row r="373" spans="4:9">
      <c r="D373" s="136"/>
      <c r="E373" s="151"/>
      <c r="F373" s="135"/>
      <c r="G373" s="135"/>
      <c r="H373" s="135"/>
      <c r="I373" s="135"/>
    </row>
    <row r="374" spans="4:9">
      <c r="D374" s="136"/>
      <c r="E374" s="151"/>
      <c r="F374" s="135"/>
      <c r="G374" s="135"/>
      <c r="H374" s="135"/>
      <c r="I374" s="135"/>
    </row>
    <row r="375" spans="4:9">
      <c r="D375" s="136"/>
      <c r="E375" s="151"/>
      <c r="F375" s="135"/>
      <c r="G375" s="135"/>
      <c r="H375" s="135"/>
      <c r="I375" s="135"/>
    </row>
    <row r="376" spans="4:9">
      <c r="D376" s="136"/>
      <c r="E376" s="151"/>
      <c r="F376" s="135"/>
      <c r="G376" s="135"/>
      <c r="H376" s="135"/>
      <c r="I376" s="135"/>
    </row>
    <row r="377" spans="4:9">
      <c r="D377" s="136"/>
      <c r="E377" s="151"/>
      <c r="F377" s="135"/>
      <c r="G377" s="135"/>
      <c r="H377" s="135"/>
      <c r="I377" s="135"/>
    </row>
    <row r="378" spans="4:9">
      <c r="D378" s="136"/>
      <c r="E378" s="151"/>
      <c r="F378" s="135"/>
      <c r="G378" s="135"/>
      <c r="H378" s="135"/>
      <c r="I378" s="135"/>
    </row>
    <row r="379" spans="4:9">
      <c r="D379" s="136"/>
      <c r="E379" s="151"/>
      <c r="F379" s="135"/>
      <c r="G379" s="135"/>
      <c r="H379" s="135"/>
      <c r="I379" s="135"/>
    </row>
    <row r="380" spans="4:9">
      <c r="D380" s="136"/>
      <c r="E380" s="151"/>
      <c r="F380" s="135"/>
      <c r="G380" s="135"/>
      <c r="H380" s="135"/>
      <c r="I380" s="135"/>
    </row>
    <row r="381" spans="4:9">
      <c r="D381" s="136"/>
      <c r="E381" s="151"/>
      <c r="F381" s="135"/>
      <c r="G381" s="135"/>
      <c r="H381" s="135"/>
      <c r="I381" s="135"/>
    </row>
    <row r="382" spans="4:9">
      <c r="D382" s="136"/>
      <c r="E382" s="151"/>
      <c r="F382" s="135"/>
      <c r="G382" s="135"/>
      <c r="H382" s="135"/>
      <c r="I382" s="135"/>
    </row>
    <row r="383" spans="4:9">
      <c r="D383" s="136"/>
      <c r="E383" s="151"/>
      <c r="F383" s="135"/>
      <c r="G383" s="135"/>
      <c r="H383" s="135"/>
      <c r="I383" s="135"/>
    </row>
    <row r="384" spans="4:9">
      <c r="D384" s="136"/>
      <c r="E384" s="151"/>
      <c r="F384" s="135"/>
      <c r="G384" s="135"/>
      <c r="H384" s="135"/>
      <c r="I384" s="135"/>
    </row>
    <row r="385" spans="4:9">
      <c r="D385" s="136"/>
      <c r="E385" s="151"/>
      <c r="F385" s="135"/>
      <c r="G385" s="135"/>
      <c r="H385" s="135"/>
      <c r="I385" s="135"/>
    </row>
    <row r="386" spans="4:9">
      <c r="D386" s="136"/>
      <c r="E386" s="151"/>
      <c r="F386" s="135"/>
      <c r="G386" s="135"/>
      <c r="H386" s="135"/>
      <c r="I386" s="135"/>
    </row>
    <row r="387" spans="4:9">
      <c r="D387" s="136"/>
      <c r="E387" s="151"/>
      <c r="F387" s="135"/>
      <c r="G387" s="135"/>
      <c r="H387" s="135"/>
      <c r="I387" s="135"/>
    </row>
    <row r="388" spans="4:9">
      <c r="D388" s="136"/>
      <c r="E388" s="151"/>
      <c r="F388" s="135"/>
      <c r="G388" s="135"/>
      <c r="H388" s="135"/>
      <c r="I388" s="135"/>
    </row>
    <row r="389" spans="4:9">
      <c r="D389" s="136"/>
      <c r="E389" s="151"/>
      <c r="F389" s="135"/>
      <c r="G389" s="135"/>
      <c r="H389" s="135"/>
      <c r="I389" s="135"/>
    </row>
    <row r="390" spans="4:9">
      <c r="D390" s="136"/>
      <c r="E390" s="151"/>
      <c r="F390" s="135"/>
      <c r="G390" s="135"/>
      <c r="H390" s="135"/>
      <c r="I390" s="135"/>
    </row>
    <row r="391" spans="4:9">
      <c r="D391" s="136"/>
      <c r="E391" s="151"/>
      <c r="F391" s="135"/>
      <c r="G391" s="135"/>
      <c r="H391" s="135"/>
      <c r="I391" s="135"/>
    </row>
    <row r="392" spans="4:9">
      <c r="D392" s="136"/>
      <c r="E392" s="151"/>
      <c r="F392" s="135"/>
      <c r="G392" s="135"/>
      <c r="H392" s="135"/>
      <c r="I392" s="135"/>
    </row>
    <row r="393" spans="4:9">
      <c r="D393" s="136"/>
      <c r="E393" s="151"/>
      <c r="F393" s="135"/>
      <c r="G393" s="135"/>
      <c r="H393" s="135"/>
      <c r="I393" s="135"/>
    </row>
    <row r="394" spans="4:9">
      <c r="D394" s="136"/>
      <c r="E394" s="151"/>
      <c r="F394" s="135"/>
      <c r="G394" s="135"/>
      <c r="H394" s="135"/>
      <c r="I394" s="135"/>
    </row>
    <row r="395" spans="4:9">
      <c r="D395" s="136"/>
      <c r="E395" s="151"/>
      <c r="F395" s="135"/>
      <c r="G395" s="135"/>
      <c r="H395" s="135"/>
      <c r="I395" s="135"/>
    </row>
    <row r="396" spans="4:9">
      <c r="D396" s="136"/>
      <c r="E396" s="151"/>
      <c r="F396" s="135"/>
      <c r="G396" s="135"/>
      <c r="H396" s="135"/>
      <c r="I396" s="135"/>
    </row>
    <row r="397" spans="4:9">
      <c r="D397" s="136"/>
      <c r="E397" s="151"/>
      <c r="F397" s="135"/>
      <c r="G397" s="135"/>
      <c r="H397" s="135"/>
      <c r="I397" s="135"/>
    </row>
    <row r="398" spans="4:9">
      <c r="D398" s="136"/>
      <c r="E398" s="151"/>
      <c r="F398" s="135"/>
      <c r="G398" s="135"/>
      <c r="H398" s="135"/>
      <c r="I398" s="135"/>
    </row>
    <row r="399" spans="4:9">
      <c r="D399" s="136"/>
      <c r="E399" s="151"/>
      <c r="F399" s="135"/>
      <c r="G399" s="135"/>
      <c r="H399" s="135"/>
      <c r="I399" s="135"/>
    </row>
    <row r="400" spans="4:9">
      <c r="D400" s="136"/>
      <c r="E400" s="151"/>
      <c r="F400" s="135"/>
      <c r="G400" s="135"/>
      <c r="H400" s="135"/>
      <c r="I400" s="135"/>
    </row>
    <row r="401" spans="4:9">
      <c r="D401" s="136"/>
      <c r="E401" s="151"/>
      <c r="F401" s="135"/>
      <c r="G401" s="135"/>
      <c r="H401" s="135"/>
      <c r="I401" s="135"/>
    </row>
    <row r="402" spans="4:9">
      <c r="D402" s="136"/>
      <c r="E402" s="151"/>
      <c r="F402" s="135"/>
      <c r="G402" s="135"/>
      <c r="H402" s="135"/>
      <c r="I402" s="135"/>
    </row>
    <row r="403" spans="4:9">
      <c r="D403" s="136"/>
      <c r="E403" s="151"/>
      <c r="F403" s="135"/>
      <c r="G403" s="135"/>
      <c r="H403" s="135"/>
      <c r="I403" s="135"/>
    </row>
    <row r="404" spans="4:9">
      <c r="D404" s="136"/>
      <c r="E404" s="151"/>
      <c r="F404" s="135"/>
      <c r="G404" s="135"/>
      <c r="H404" s="135"/>
      <c r="I404" s="135"/>
    </row>
    <row r="405" spans="4:9">
      <c r="D405" s="136"/>
      <c r="E405" s="151"/>
      <c r="F405" s="135"/>
      <c r="G405" s="135"/>
      <c r="H405" s="135"/>
      <c r="I405" s="135"/>
    </row>
    <row r="406" spans="4:9">
      <c r="D406" s="136"/>
      <c r="E406" s="151"/>
      <c r="F406" s="135"/>
      <c r="G406" s="135"/>
      <c r="H406" s="135"/>
      <c r="I406" s="135"/>
    </row>
    <row r="407" spans="4:9">
      <c r="D407" s="136"/>
      <c r="E407" s="151"/>
      <c r="F407" s="135"/>
      <c r="G407" s="135"/>
      <c r="H407" s="135"/>
      <c r="I407" s="135"/>
    </row>
    <row r="408" spans="4:9">
      <c r="D408" s="136"/>
      <c r="E408" s="151"/>
      <c r="F408" s="135"/>
      <c r="G408" s="135"/>
      <c r="H408" s="135"/>
      <c r="I408" s="135"/>
    </row>
    <row r="409" spans="4:9">
      <c r="D409" s="136"/>
      <c r="E409" s="151"/>
      <c r="F409" s="135"/>
      <c r="G409" s="135"/>
      <c r="H409" s="135"/>
      <c r="I409" s="135"/>
    </row>
    <row r="410" spans="4:9">
      <c r="D410" s="136"/>
      <c r="E410" s="151"/>
      <c r="F410" s="135"/>
      <c r="G410" s="135"/>
      <c r="H410" s="135"/>
      <c r="I410" s="135"/>
    </row>
    <row r="411" spans="4:9">
      <c r="D411" s="136"/>
      <c r="E411" s="151"/>
      <c r="F411" s="135"/>
      <c r="G411" s="135"/>
      <c r="H411" s="135"/>
      <c r="I411" s="135"/>
    </row>
    <row r="412" spans="4:9">
      <c r="D412" s="136"/>
      <c r="E412" s="151"/>
      <c r="F412" s="135"/>
      <c r="G412" s="135"/>
      <c r="H412" s="135"/>
      <c r="I412" s="135"/>
    </row>
    <row r="413" spans="4:9">
      <c r="D413" s="136"/>
      <c r="E413" s="151"/>
      <c r="F413" s="135"/>
      <c r="G413" s="135"/>
      <c r="H413" s="135"/>
      <c r="I413" s="135"/>
    </row>
    <row r="414" spans="4:9">
      <c r="D414" s="136"/>
      <c r="E414" s="151"/>
      <c r="F414" s="135"/>
      <c r="G414" s="135"/>
      <c r="H414" s="135"/>
      <c r="I414" s="135"/>
    </row>
    <row r="415" spans="4:9">
      <c r="D415" s="136"/>
      <c r="E415" s="151"/>
      <c r="F415" s="135"/>
      <c r="G415" s="135"/>
      <c r="H415" s="135"/>
      <c r="I415" s="135"/>
    </row>
    <row r="416" spans="4:9">
      <c r="D416" s="136"/>
      <c r="E416" s="151"/>
      <c r="F416" s="135"/>
      <c r="G416" s="135"/>
      <c r="H416" s="135"/>
      <c r="I416" s="135"/>
    </row>
    <row r="417" spans="4:9">
      <c r="D417" s="136"/>
      <c r="E417" s="151"/>
      <c r="F417" s="135"/>
      <c r="G417" s="135"/>
      <c r="H417" s="135"/>
      <c r="I417" s="135"/>
    </row>
    <row r="418" spans="4:9">
      <c r="D418" s="136"/>
      <c r="E418" s="151"/>
      <c r="F418" s="135"/>
      <c r="G418" s="135"/>
      <c r="H418" s="135"/>
      <c r="I418" s="135"/>
    </row>
    <row r="419" spans="4:9">
      <c r="D419" s="136"/>
      <c r="E419" s="151"/>
      <c r="F419" s="135"/>
      <c r="G419" s="135"/>
      <c r="H419" s="135"/>
      <c r="I419" s="135"/>
    </row>
    <row r="420" spans="4:9">
      <c r="D420" s="136"/>
      <c r="E420" s="151"/>
      <c r="F420" s="135"/>
      <c r="G420" s="135"/>
      <c r="H420" s="135"/>
      <c r="I420" s="135"/>
    </row>
    <row r="421" spans="4:9">
      <c r="D421" s="136"/>
      <c r="E421" s="151"/>
      <c r="F421" s="135"/>
      <c r="G421" s="135"/>
      <c r="H421" s="135"/>
      <c r="I421" s="135"/>
    </row>
    <row r="422" spans="4:9">
      <c r="D422" s="136"/>
      <c r="E422" s="151"/>
      <c r="F422" s="135"/>
      <c r="G422" s="135"/>
      <c r="H422" s="135"/>
      <c r="I422" s="135"/>
    </row>
    <row r="423" spans="4:9">
      <c r="D423" s="136"/>
      <c r="E423" s="151"/>
      <c r="F423" s="135"/>
      <c r="G423" s="135"/>
      <c r="H423" s="135"/>
      <c r="I423" s="135"/>
    </row>
    <row r="424" spans="4:9">
      <c r="D424" s="136"/>
      <c r="E424" s="151"/>
      <c r="F424" s="135"/>
      <c r="G424" s="135"/>
      <c r="H424" s="135"/>
      <c r="I424" s="135"/>
    </row>
    <row r="425" spans="4:9">
      <c r="D425" s="136"/>
      <c r="E425" s="151"/>
      <c r="F425" s="135"/>
      <c r="G425" s="135"/>
      <c r="H425" s="135"/>
      <c r="I425" s="135"/>
    </row>
    <row r="426" spans="4:9">
      <c r="D426" s="136"/>
      <c r="E426" s="151"/>
      <c r="F426" s="135"/>
      <c r="G426" s="135"/>
      <c r="H426" s="135"/>
      <c r="I426" s="135"/>
    </row>
    <row r="427" spans="4:9">
      <c r="D427" s="136"/>
      <c r="E427" s="151"/>
      <c r="F427" s="135"/>
      <c r="G427" s="135"/>
      <c r="H427" s="135"/>
      <c r="I427" s="135"/>
    </row>
    <row r="428" spans="4:9">
      <c r="D428" s="136"/>
      <c r="E428" s="151"/>
      <c r="F428" s="135"/>
      <c r="G428" s="135"/>
      <c r="H428" s="135"/>
      <c r="I428" s="135"/>
    </row>
    <row r="429" spans="4:9">
      <c r="D429" s="136"/>
      <c r="E429" s="151"/>
      <c r="F429" s="135"/>
      <c r="G429" s="135"/>
      <c r="H429" s="135"/>
      <c r="I429" s="135"/>
    </row>
    <row r="430" spans="4:9">
      <c r="D430" s="136"/>
      <c r="E430" s="151"/>
      <c r="F430" s="135"/>
      <c r="G430" s="135"/>
      <c r="H430" s="135"/>
      <c r="I430" s="135"/>
    </row>
    <row r="431" spans="4:9">
      <c r="D431" s="136"/>
      <c r="E431" s="151"/>
      <c r="F431" s="135"/>
      <c r="G431" s="135"/>
      <c r="H431" s="135"/>
      <c r="I431" s="135"/>
    </row>
    <row r="432" spans="4:9">
      <c r="D432" s="136"/>
      <c r="E432" s="151"/>
      <c r="F432" s="135"/>
      <c r="G432" s="135"/>
      <c r="H432" s="135"/>
      <c r="I432" s="135"/>
    </row>
    <row r="433" spans="4:9">
      <c r="D433" s="136"/>
      <c r="E433" s="151"/>
      <c r="F433" s="135"/>
      <c r="G433" s="135"/>
      <c r="H433" s="135"/>
      <c r="I433" s="135"/>
    </row>
    <row r="434" spans="4:9">
      <c r="D434" s="136"/>
      <c r="E434" s="151"/>
      <c r="F434" s="135"/>
      <c r="G434" s="135"/>
      <c r="H434" s="135"/>
      <c r="I434" s="135"/>
    </row>
    <row r="435" spans="4:9">
      <c r="D435" s="136"/>
      <c r="E435" s="151"/>
      <c r="F435" s="135"/>
      <c r="G435" s="135"/>
      <c r="H435" s="135"/>
      <c r="I435" s="135"/>
    </row>
    <row r="436" spans="4:9">
      <c r="D436" s="136"/>
      <c r="E436" s="151"/>
      <c r="F436" s="135"/>
      <c r="G436" s="135"/>
      <c r="H436" s="135"/>
      <c r="I436" s="135"/>
    </row>
    <row r="437" spans="4:9">
      <c r="D437" s="136"/>
      <c r="E437" s="151"/>
      <c r="F437" s="135"/>
      <c r="G437" s="135"/>
      <c r="H437" s="135"/>
      <c r="I437" s="135"/>
    </row>
    <row r="438" spans="4:9">
      <c r="D438" s="136"/>
      <c r="E438" s="151"/>
      <c r="F438" s="135"/>
      <c r="G438" s="135"/>
      <c r="H438" s="135"/>
      <c r="I438" s="135"/>
    </row>
    <row r="439" spans="4:9">
      <c r="D439" s="136"/>
      <c r="E439" s="151"/>
      <c r="F439" s="135"/>
      <c r="G439" s="135"/>
      <c r="H439" s="135"/>
      <c r="I439" s="135"/>
    </row>
    <row r="440" spans="4:9">
      <c r="D440" s="136"/>
      <c r="E440" s="151"/>
      <c r="F440" s="135"/>
      <c r="G440" s="135"/>
      <c r="H440" s="135"/>
      <c r="I440" s="135"/>
    </row>
    <row r="441" spans="4:9">
      <c r="D441" s="136"/>
      <c r="E441" s="151"/>
      <c r="F441" s="135"/>
      <c r="G441" s="135"/>
      <c r="H441" s="135"/>
      <c r="I441" s="135"/>
    </row>
    <row r="442" spans="4:9">
      <c r="D442" s="136"/>
      <c r="E442" s="151"/>
      <c r="F442" s="135"/>
      <c r="G442" s="135"/>
      <c r="H442" s="135"/>
      <c r="I442" s="135"/>
    </row>
    <row r="443" spans="4:9">
      <c r="D443" s="136"/>
      <c r="E443" s="151"/>
      <c r="F443" s="135"/>
      <c r="G443" s="135"/>
      <c r="H443" s="135"/>
      <c r="I443" s="135"/>
    </row>
    <row r="444" spans="4:9">
      <c r="D444" s="136"/>
      <c r="E444" s="151"/>
      <c r="F444" s="135"/>
      <c r="G444" s="135"/>
      <c r="H444" s="135"/>
      <c r="I444" s="135"/>
    </row>
    <row r="445" spans="4:9">
      <c r="D445" s="136"/>
      <c r="E445" s="151"/>
      <c r="F445" s="135"/>
      <c r="G445" s="135"/>
      <c r="H445" s="135"/>
      <c r="I445" s="135"/>
    </row>
    <row r="446" spans="4:9">
      <c r="D446" s="136"/>
      <c r="E446" s="151"/>
      <c r="F446" s="135"/>
      <c r="G446" s="135"/>
      <c r="H446" s="135"/>
      <c r="I446" s="135"/>
    </row>
    <row r="447" spans="4:9">
      <c r="D447" s="136"/>
      <c r="E447" s="151"/>
      <c r="F447" s="135"/>
      <c r="G447" s="135"/>
      <c r="H447" s="135"/>
      <c r="I447" s="135"/>
    </row>
    <row r="448" spans="4:9">
      <c r="D448" s="136"/>
      <c r="E448" s="151"/>
      <c r="F448" s="135"/>
      <c r="G448" s="135"/>
      <c r="H448" s="135"/>
      <c r="I448" s="135"/>
    </row>
    <row r="449" spans="4:9">
      <c r="D449" s="136"/>
      <c r="E449" s="151"/>
      <c r="F449" s="135"/>
      <c r="G449" s="135"/>
      <c r="H449" s="135"/>
      <c r="I449" s="135"/>
    </row>
    <row r="450" spans="4:9">
      <c r="D450" s="136"/>
      <c r="E450" s="151"/>
      <c r="F450" s="135"/>
      <c r="G450" s="135"/>
      <c r="H450" s="135"/>
      <c r="I450" s="135"/>
    </row>
    <row r="451" spans="4:9">
      <c r="D451" s="136"/>
      <c r="E451" s="151"/>
      <c r="F451" s="135"/>
      <c r="G451" s="135"/>
      <c r="H451" s="135"/>
      <c r="I451" s="135"/>
    </row>
    <row r="452" spans="4:9">
      <c r="D452" s="136"/>
      <c r="E452" s="151"/>
      <c r="F452" s="135"/>
      <c r="G452" s="135"/>
      <c r="H452" s="135"/>
      <c r="I452" s="135"/>
    </row>
    <row r="453" spans="4:9">
      <c r="D453" s="136"/>
      <c r="E453" s="151"/>
      <c r="F453" s="135"/>
      <c r="G453" s="135"/>
      <c r="H453" s="135"/>
      <c r="I453" s="135"/>
    </row>
    <row r="454" spans="4:9">
      <c r="D454" s="136"/>
      <c r="E454" s="151"/>
      <c r="F454" s="135"/>
      <c r="G454" s="135"/>
      <c r="H454" s="135"/>
      <c r="I454" s="135"/>
    </row>
    <row r="455" spans="4:9">
      <c r="D455" s="136"/>
      <c r="E455" s="151"/>
      <c r="F455" s="135"/>
      <c r="G455" s="135"/>
      <c r="H455" s="135"/>
      <c r="I455" s="135"/>
    </row>
    <row r="456" spans="4:9">
      <c r="D456" s="136"/>
      <c r="E456" s="151"/>
      <c r="F456" s="135"/>
      <c r="G456" s="135"/>
      <c r="H456" s="135"/>
      <c r="I456" s="135"/>
    </row>
    <row r="457" spans="4:9">
      <c r="D457" s="136"/>
      <c r="E457" s="151"/>
      <c r="F457" s="135"/>
      <c r="G457" s="135"/>
      <c r="H457" s="135"/>
      <c r="I457" s="135"/>
    </row>
    <row r="458" spans="4:9">
      <c r="D458" s="136"/>
      <c r="E458" s="151"/>
      <c r="F458" s="135"/>
      <c r="G458" s="135"/>
      <c r="H458" s="135"/>
      <c r="I458" s="135"/>
    </row>
    <row r="459" spans="4:9">
      <c r="D459" s="136"/>
      <c r="E459" s="151"/>
      <c r="F459" s="135"/>
      <c r="G459" s="135"/>
      <c r="H459" s="135"/>
      <c r="I459" s="135"/>
    </row>
    <row r="460" spans="4:9">
      <c r="D460" s="136"/>
      <c r="E460" s="151"/>
      <c r="F460" s="135"/>
      <c r="G460" s="135"/>
      <c r="H460" s="135"/>
      <c r="I460" s="135"/>
    </row>
    <row r="461" spans="4:9">
      <c r="D461" s="136"/>
      <c r="E461" s="151"/>
      <c r="F461" s="135"/>
      <c r="G461" s="135"/>
      <c r="H461" s="135"/>
      <c r="I461" s="135"/>
    </row>
    <row r="462" spans="4:9">
      <c r="D462" s="136"/>
      <c r="E462" s="151"/>
      <c r="F462" s="135"/>
      <c r="G462" s="135"/>
      <c r="H462" s="135"/>
      <c r="I462" s="135"/>
    </row>
    <row r="463" spans="4:9">
      <c r="D463" s="136"/>
      <c r="E463" s="151"/>
      <c r="F463" s="135"/>
      <c r="G463" s="135"/>
      <c r="H463" s="135"/>
      <c r="I463" s="135"/>
    </row>
    <row r="464" spans="4:9">
      <c r="D464" s="136"/>
      <c r="E464" s="151"/>
      <c r="F464" s="135"/>
      <c r="G464" s="135"/>
      <c r="H464" s="135"/>
      <c r="I464" s="135"/>
    </row>
    <row r="465" spans="4:9">
      <c r="D465" s="136"/>
      <c r="E465" s="151"/>
      <c r="F465" s="135"/>
      <c r="G465" s="135"/>
      <c r="H465" s="135"/>
      <c r="I465" s="135"/>
    </row>
    <row r="466" spans="4:9">
      <c r="D466" s="136"/>
      <c r="E466" s="151"/>
      <c r="F466" s="135"/>
      <c r="G466" s="135"/>
      <c r="H466" s="135"/>
      <c r="I466" s="135"/>
    </row>
    <row r="467" spans="4:9">
      <c r="D467" s="136"/>
      <c r="E467" s="151"/>
      <c r="F467" s="135"/>
      <c r="G467" s="135"/>
      <c r="H467" s="135"/>
      <c r="I467" s="135"/>
    </row>
    <row r="468" spans="4:9">
      <c r="D468" s="136"/>
      <c r="E468" s="151"/>
      <c r="F468" s="135"/>
      <c r="G468" s="135"/>
      <c r="H468" s="135"/>
      <c r="I468" s="135"/>
    </row>
    <row r="469" spans="4:9">
      <c r="D469" s="136"/>
      <c r="E469" s="151"/>
      <c r="F469" s="135"/>
      <c r="G469" s="135"/>
      <c r="H469" s="135"/>
      <c r="I469" s="135"/>
    </row>
    <row r="470" spans="4:9">
      <c r="D470" s="136"/>
      <c r="E470" s="151"/>
      <c r="F470" s="135"/>
      <c r="G470" s="135"/>
      <c r="H470" s="135"/>
      <c r="I470" s="135"/>
    </row>
    <row r="471" spans="4:9">
      <c r="D471" s="136"/>
      <c r="E471" s="151"/>
      <c r="F471" s="135"/>
      <c r="G471" s="135"/>
      <c r="H471" s="135"/>
      <c r="I471" s="135"/>
    </row>
    <row r="472" spans="4:9">
      <c r="D472" s="136"/>
      <c r="E472" s="151"/>
      <c r="F472" s="135"/>
      <c r="G472" s="135"/>
      <c r="H472" s="135"/>
      <c r="I472" s="135"/>
    </row>
    <row r="473" spans="4:9">
      <c r="D473" s="136"/>
      <c r="E473" s="151"/>
      <c r="F473" s="135"/>
      <c r="G473" s="135"/>
      <c r="H473" s="135"/>
      <c r="I473" s="135"/>
    </row>
    <row r="474" spans="4:9">
      <c r="D474" s="136"/>
      <c r="E474" s="151"/>
      <c r="F474" s="135"/>
      <c r="G474" s="135"/>
      <c r="H474" s="135"/>
      <c r="I474" s="135"/>
    </row>
    <row r="475" spans="4:9">
      <c r="D475" s="136"/>
      <c r="E475" s="151"/>
      <c r="F475" s="135"/>
      <c r="G475" s="135"/>
      <c r="H475" s="135"/>
      <c r="I475" s="135"/>
    </row>
    <row r="476" spans="4:9">
      <c r="D476" s="136"/>
      <c r="E476" s="151"/>
      <c r="F476" s="135"/>
      <c r="G476" s="135"/>
      <c r="H476" s="135"/>
      <c r="I476" s="135"/>
    </row>
    <row r="477" spans="4:9">
      <c r="D477" s="136"/>
      <c r="E477" s="151"/>
      <c r="F477" s="135"/>
      <c r="G477" s="135"/>
      <c r="H477" s="135"/>
      <c r="I477" s="135"/>
    </row>
    <row r="478" spans="4:9">
      <c r="D478" s="136"/>
      <c r="E478" s="151"/>
      <c r="F478" s="135"/>
      <c r="G478" s="135"/>
      <c r="H478" s="135"/>
      <c r="I478" s="135"/>
    </row>
    <row r="479" spans="4:9">
      <c r="D479" s="136"/>
      <c r="E479" s="151"/>
      <c r="F479" s="135"/>
      <c r="G479" s="135"/>
      <c r="H479" s="135"/>
      <c r="I479" s="135"/>
    </row>
    <row r="480" spans="4:9">
      <c r="D480" s="136"/>
      <c r="E480" s="151"/>
      <c r="F480" s="135"/>
      <c r="G480" s="135"/>
      <c r="H480" s="135"/>
      <c r="I480" s="135"/>
    </row>
    <row r="481" spans="4:9">
      <c r="D481" s="136"/>
      <c r="E481" s="151"/>
      <c r="F481" s="135"/>
      <c r="G481" s="135"/>
      <c r="H481" s="135"/>
      <c r="I481" s="135"/>
    </row>
    <row r="482" spans="4:9">
      <c r="D482" s="136"/>
      <c r="E482" s="151"/>
      <c r="F482" s="135"/>
      <c r="G482" s="135"/>
      <c r="H482" s="135"/>
      <c r="I482" s="135"/>
    </row>
    <row r="483" spans="4:9">
      <c r="D483" s="136"/>
      <c r="E483" s="151"/>
      <c r="F483" s="135"/>
      <c r="G483" s="135"/>
      <c r="H483" s="135"/>
      <c r="I483" s="135"/>
    </row>
    <row r="484" spans="4:9">
      <c r="D484" s="136"/>
      <c r="E484" s="151"/>
      <c r="F484" s="135"/>
      <c r="G484" s="135"/>
      <c r="H484" s="135"/>
      <c r="I484" s="135"/>
    </row>
    <row r="485" spans="4:9">
      <c r="D485" s="136"/>
      <c r="E485" s="151"/>
      <c r="F485" s="135"/>
      <c r="G485" s="135"/>
      <c r="H485" s="135"/>
      <c r="I485" s="135"/>
    </row>
    <row r="486" spans="4:9">
      <c r="D486" s="136"/>
      <c r="E486" s="151"/>
      <c r="F486" s="135"/>
      <c r="G486" s="135"/>
      <c r="H486" s="135"/>
      <c r="I486" s="135"/>
    </row>
    <row r="487" spans="4:9">
      <c r="D487" s="136"/>
      <c r="E487" s="151"/>
      <c r="F487" s="135"/>
      <c r="G487" s="135"/>
      <c r="H487" s="135"/>
      <c r="I487" s="135"/>
    </row>
    <row r="488" spans="4:9">
      <c r="D488" s="136"/>
      <c r="E488" s="151"/>
      <c r="F488" s="135"/>
      <c r="G488" s="135"/>
      <c r="H488" s="135"/>
      <c r="I488" s="135"/>
    </row>
    <row r="489" spans="4:9">
      <c r="D489" s="136"/>
      <c r="E489" s="151"/>
      <c r="F489" s="135"/>
      <c r="G489" s="135"/>
      <c r="H489" s="135"/>
      <c r="I489" s="135"/>
    </row>
    <row r="490" spans="4:9">
      <c r="D490" s="136"/>
      <c r="E490" s="151"/>
      <c r="F490" s="135"/>
      <c r="G490" s="135"/>
      <c r="H490" s="135"/>
      <c r="I490" s="135"/>
    </row>
    <row r="491" spans="4:9">
      <c r="D491" s="136"/>
      <c r="E491" s="151"/>
      <c r="F491" s="135"/>
      <c r="G491" s="135"/>
      <c r="H491" s="135"/>
      <c r="I491" s="135"/>
    </row>
    <row r="492" spans="4:9">
      <c r="D492" s="136"/>
      <c r="E492" s="151"/>
      <c r="F492" s="135"/>
      <c r="G492" s="135"/>
      <c r="H492" s="135"/>
      <c r="I492" s="135"/>
    </row>
    <row r="493" spans="4:9">
      <c r="D493" s="136"/>
      <c r="E493" s="151"/>
      <c r="F493" s="135"/>
      <c r="G493" s="135"/>
      <c r="H493" s="135"/>
      <c r="I493" s="135"/>
    </row>
    <row r="494" spans="4:9">
      <c r="D494" s="136"/>
      <c r="E494" s="151"/>
      <c r="F494" s="135"/>
      <c r="G494" s="135"/>
      <c r="H494" s="135"/>
      <c r="I494" s="135"/>
    </row>
    <row r="495" spans="4:9">
      <c r="D495" s="136"/>
      <c r="E495" s="151"/>
      <c r="F495" s="135"/>
      <c r="G495" s="135"/>
      <c r="H495" s="135"/>
      <c r="I495" s="135"/>
    </row>
    <row r="496" spans="4:9">
      <c r="D496" s="136"/>
      <c r="E496" s="151"/>
      <c r="F496" s="135"/>
      <c r="G496" s="135"/>
      <c r="H496" s="135"/>
      <c r="I496" s="135"/>
    </row>
    <row r="497" spans="4:9">
      <c r="D497" s="136"/>
      <c r="E497" s="151"/>
      <c r="F497" s="135"/>
      <c r="G497" s="135"/>
      <c r="H497" s="135"/>
      <c r="I497" s="135"/>
    </row>
    <row r="498" spans="4:9">
      <c r="D498" s="136"/>
      <c r="E498" s="151"/>
      <c r="F498" s="135"/>
      <c r="G498" s="135"/>
      <c r="H498" s="135"/>
      <c r="I498" s="135"/>
    </row>
    <row r="499" spans="4:9">
      <c r="D499" s="136"/>
      <c r="E499" s="151"/>
      <c r="F499" s="135"/>
      <c r="G499" s="135"/>
      <c r="H499" s="135"/>
      <c r="I499" s="135"/>
    </row>
    <row r="500" spans="4:9">
      <c r="D500" s="136"/>
      <c r="E500" s="151"/>
      <c r="F500" s="135"/>
      <c r="G500" s="135"/>
      <c r="H500" s="135"/>
      <c r="I500" s="135"/>
    </row>
    <row r="501" spans="4:9">
      <c r="D501" s="136"/>
      <c r="E501" s="151"/>
      <c r="F501" s="135"/>
      <c r="G501" s="135"/>
      <c r="H501" s="135"/>
      <c r="I501" s="135"/>
    </row>
    <row r="502" spans="4:9">
      <c r="D502" s="136"/>
      <c r="E502" s="151"/>
      <c r="F502" s="135"/>
      <c r="G502" s="135"/>
      <c r="H502" s="135"/>
      <c r="I502" s="135"/>
    </row>
    <row r="503" spans="4:9">
      <c r="D503" s="136"/>
      <c r="E503" s="151"/>
      <c r="F503" s="135"/>
      <c r="G503" s="135"/>
      <c r="H503" s="135"/>
      <c r="I503" s="135"/>
    </row>
    <row r="504" spans="4:9">
      <c r="D504" s="136"/>
      <c r="E504" s="151"/>
      <c r="F504" s="135"/>
      <c r="G504" s="135"/>
      <c r="H504" s="135"/>
      <c r="I504" s="135"/>
    </row>
    <row r="505" spans="4:9">
      <c r="D505" s="136"/>
      <c r="E505" s="151"/>
      <c r="F505" s="135"/>
      <c r="G505" s="135"/>
      <c r="H505" s="135"/>
      <c r="I505" s="135"/>
    </row>
    <row r="506" spans="4:9">
      <c r="D506" s="136"/>
      <c r="E506" s="151"/>
      <c r="F506" s="135"/>
      <c r="G506" s="135"/>
      <c r="H506" s="135"/>
      <c r="I506" s="135"/>
    </row>
    <row r="507" spans="4:9">
      <c r="D507" s="136"/>
      <c r="E507" s="151"/>
      <c r="F507" s="135"/>
      <c r="G507" s="135"/>
      <c r="H507" s="135"/>
      <c r="I507" s="135"/>
    </row>
    <row r="508" spans="4:9">
      <c r="D508" s="136"/>
      <c r="E508" s="151"/>
      <c r="F508" s="135"/>
      <c r="G508" s="135"/>
      <c r="H508" s="135"/>
      <c r="I508" s="135"/>
    </row>
    <row r="509" spans="4:9">
      <c r="D509" s="136"/>
      <c r="E509" s="151"/>
      <c r="F509" s="135"/>
      <c r="G509" s="135"/>
      <c r="H509" s="135"/>
      <c r="I509" s="135"/>
    </row>
    <row r="510" spans="4:9">
      <c r="D510" s="136"/>
      <c r="E510" s="151"/>
      <c r="F510" s="135"/>
      <c r="G510" s="135"/>
      <c r="H510" s="135"/>
      <c r="I510" s="135"/>
    </row>
    <row r="511" spans="4:9">
      <c r="D511" s="136"/>
      <c r="E511" s="151"/>
      <c r="F511" s="135"/>
      <c r="G511" s="135"/>
      <c r="H511" s="135"/>
      <c r="I511" s="135"/>
    </row>
    <row r="512" spans="4:9">
      <c r="D512" s="136"/>
      <c r="E512" s="151"/>
      <c r="F512" s="135"/>
      <c r="G512" s="135"/>
      <c r="H512" s="135"/>
      <c r="I512" s="135"/>
    </row>
    <row r="513" spans="4:9">
      <c r="D513" s="136"/>
      <c r="E513" s="151"/>
      <c r="F513" s="135"/>
      <c r="G513" s="135"/>
      <c r="H513" s="135"/>
      <c r="I513" s="135"/>
    </row>
    <row r="514" spans="4:9">
      <c r="D514" s="136"/>
      <c r="E514" s="151"/>
      <c r="F514" s="135"/>
      <c r="G514" s="135"/>
      <c r="H514" s="135"/>
      <c r="I514" s="135"/>
    </row>
    <row r="515" spans="4:9">
      <c r="D515" s="136"/>
      <c r="E515" s="151"/>
      <c r="F515" s="135"/>
      <c r="G515" s="135"/>
      <c r="H515" s="135"/>
      <c r="I515" s="135"/>
    </row>
    <row r="516" spans="4:9">
      <c r="D516" s="136"/>
      <c r="E516" s="151"/>
      <c r="F516" s="135"/>
      <c r="G516" s="135"/>
      <c r="H516" s="135"/>
      <c r="I516" s="135"/>
    </row>
    <row r="517" spans="4:9">
      <c r="D517" s="136"/>
      <c r="E517" s="151"/>
      <c r="F517" s="135"/>
      <c r="G517" s="135"/>
      <c r="H517" s="135"/>
      <c r="I517" s="135"/>
    </row>
    <row r="518" spans="4:9">
      <c r="D518" s="136"/>
      <c r="E518" s="151"/>
      <c r="F518" s="135"/>
      <c r="G518" s="135"/>
      <c r="H518" s="135"/>
      <c r="I518" s="135"/>
    </row>
    <row r="519" spans="4:9">
      <c r="D519" s="136"/>
      <c r="E519" s="151"/>
      <c r="F519" s="135"/>
      <c r="G519" s="135"/>
      <c r="H519" s="135"/>
      <c r="I519" s="135"/>
    </row>
    <row r="520" spans="4:9">
      <c r="D520" s="136"/>
      <c r="E520" s="151"/>
      <c r="F520" s="135"/>
      <c r="G520" s="135"/>
      <c r="H520" s="135"/>
      <c r="I520" s="135"/>
    </row>
    <row r="521" spans="4:9">
      <c r="D521" s="136"/>
      <c r="E521" s="151"/>
      <c r="F521" s="135"/>
      <c r="G521" s="135"/>
      <c r="H521" s="135"/>
      <c r="I521" s="135"/>
    </row>
    <row r="522" spans="4:9">
      <c r="D522" s="136"/>
      <c r="E522" s="151"/>
      <c r="F522" s="135"/>
      <c r="G522" s="135"/>
      <c r="H522" s="135"/>
      <c r="I522" s="135"/>
    </row>
    <row r="523" spans="4:9">
      <c r="D523" s="136"/>
      <c r="E523" s="151"/>
      <c r="F523" s="135"/>
      <c r="G523" s="135"/>
      <c r="H523" s="135"/>
      <c r="I523" s="135"/>
    </row>
    <row r="524" spans="4:9">
      <c r="D524" s="136"/>
      <c r="E524" s="151"/>
      <c r="F524" s="135"/>
      <c r="G524" s="135"/>
      <c r="H524" s="135"/>
      <c r="I524" s="135"/>
    </row>
    <row r="525" spans="4:9">
      <c r="D525" s="136"/>
      <c r="E525" s="151"/>
      <c r="F525" s="135"/>
      <c r="G525" s="135"/>
      <c r="H525" s="135"/>
      <c r="I525" s="135"/>
    </row>
    <row r="526" spans="4:9">
      <c r="D526" s="136"/>
      <c r="E526" s="151"/>
      <c r="F526" s="135"/>
      <c r="G526" s="135"/>
      <c r="H526" s="135"/>
      <c r="I526" s="135"/>
    </row>
    <row r="527" spans="4:9">
      <c r="D527" s="136"/>
      <c r="E527" s="151"/>
      <c r="F527" s="135"/>
      <c r="G527" s="135"/>
      <c r="H527" s="135"/>
      <c r="I527" s="135"/>
    </row>
    <row r="528" spans="4:9">
      <c r="D528" s="136"/>
      <c r="E528" s="151"/>
      <c r="F528" s="135"/>
      <c r="G528" s="135"/>
      <c r="H528" s="135"/>
      <c r="I528" s="135"/>
    </row>
    <row r="529" spans="4:9">
      <c r="D529" s="136"/>
      <c r="E529" s="151"/>
      <c r="F529" s="135"/>
      <c r="G529" s="135"/>
      <c r="H529" s="135"/>
      <c r="I529" s="135"/>
    </row>
    <row r="530" spans="4:9">
      <c r="D530" s="136"/>
      <c r="E530" s="151"/>
      <c r="F530" s="135"/>
      <c r="G530" s="135"/>
      <c r="H530" s="135"/>
      <c r="I530" s="135"/>
    </row>
    <row r="531" spans="4:9">
      <c r="D531" s="136"/>
      <c r="E531" s="151"/>
      <c r="F531" s="135"/>
      <c r="G531" s="135"/>
      <c r="H531" s="135"/>
      <c r="I531" s="135"/>
    </row>
    <row r="532" spans="4:9">
      <c r="D532" s="136"/>
      <c r="E532" s="151"/>
      <c r="F532" s="135"/>
      <c r="G532" s="135"/>
      <c r="H532" s="135"/>
      <c r="I532" s="135"/>
    </row>
    <row r="533" spans="4:9">
      <c r="D533" s="136"/>
      <c r="E533" s="151"/>
      <c r="F533" s="135"/>
      <c r="G533" s="135"/>
      <c r="H533" s="135"/>
      <c r="I533" s="135"/>
    </row>
    <row r="534" spans="4:9">
      <c r="D534" s="136"/>
      <c r="E534" s="151"/>
      <c r="F534" s="135"/>
      <c r="G534" s="135"/>
      <c r="H534" s="135"/>
      <c r="I534" s="135"/>
    </row>
    <row r="535" spans="4:9">
      <c r="D535" s="136"/>
      <c r="E535" s="151"/>
      <c r="F535" s="135"/>
      <c r="G535" s="135"/>
      <c r="H535" s="135"/>
      <c r="I535" s="135"/>
    </row>
    <row r="536" spans="4:9">
      <c r="D536" s="136"/>
      <c r="E536" s="151"/>
      <c r="F536" s="135"/>
      <c r="G536" s="135"/>
      <c r="H536" s="135"/>
      <c r="I536" s="135"/>
    </row>
    <row r="537" spans="4:9">
      <c r="D537" s="136"/>
      <c r="E537" s="151"/>
      <c r="F537" s="135"/>
      <c r="G537" s="135"/>
      <c r="H537" s="135"/>
      <c r="I537" s="135"/>
    </row>
    <row r="538" spans="4:9">
      <c r="D538" s="136"/>
      <c r="E538" s="151"/>
      <c r="F538" s="135"/>
      <c r="G538" s="135"/>
      <c r="H538" s="135"/>
      <c r="I538" s="135"/>
    </row>
    <row r="539" spans="4:9">
      <c r="D539" s="136"/>
      <c r="E539" s="151"/>
      <c r="F539" s="135"/>
      <c r="G539" s="135"/>
      <c r="H539" s="135"/>
      <c r="I539" s="135"/>
    </row>
    <row r="540" spans="4:9">
      <c r="D540" s="136"/>
      <c r="E540" s="151"/>
      <c r="F540" s="135"/>
      <c r="G540" s="135"/>
      <c r="H540" s="135"/>
      <c r="I540" s="135"/>
    </row>
    <row r="541" spans="4:9">
      <c r="D541" s="136"/>
      <c r="E541" s="151"/>
      <c r="F541" s="135"/>
      <c r="G541" s="135"/>
      <c r="H541" s="135"/>
      <c r="I541" s="135"/>
    </row>
    <row r="542" spans="4:9">
      <c r="D542" s="136"/>
      <c r="E542" s="151"/>
      <c r="F542" s="135"/>
      <c r="G542" s="135"/>
      <c r="H542" s="135"/>
      <c r="I542" s="135"/>
    </row>
    <row r="543" spans="4:9">
      <c r="D543" s="136"/>
      <c r="E543" s="151"/>
      <c r="F543" s="135"/>
      <c r="G543" s="135"/>
      <c r="H543" s="135"/>
      <c r="I543" s="135"/>
    </row>
    <row r="544" spans="4:9">
      <c r="D544" s="136"/>
      <c r="E544" s="151"/>
      <c r="F544" s="135"/>
      <c r="G544" s="135"/>
      <c r="H544" s="135"/>
      <c r="I544" s="135"/>
    </row>
    <row r="545" spans="4:9">
      <c r="D545" s="136"/>
      <c r="E545" s="151"/>
      <c r="F545" s="135"/>
      <c r="G545" s="135"/>
      <c r="H545" s="135"/>
      <c r="I545" s="135"/>
    </row>
    <row r="546" spans="4:9">
      <c r="D546" s="136"/>
      <c r="E546" s="151"/>
      <c r="F546" s="135"/>
      <c r="G546" s="135"/>
      <c r="H546" s="135"/>
      <c r="I546" s="135"/>
    </row>
    <row r="547" spans="4:9">
      <c r="D547" s="136"/>
      <c r="E547" s="151"/>
      <c r="F547" s="135"/>
      <c r="G547" s="135"/>
      <c r="H547" s="135"/>
      <c r="I547" s="135"/>
    </row>
    <row r="548" spans="4:9">
      <c r="D548" s="136"/>
      <c r="E548" s="151"/>
      <c r="F548" s="135"/>
      <c r="G548" s="135"/>
      <c r="H548" s="135"/>
      <c r="I548" s="135"/>
    </row>
    <row r="549" spans="4:9">
      <c r="D549" s="136"/>
      <c r="E549" s="151"/>
      <c r="F549" s="135"/>
      <c r="G549" s="135"/>
      <c r="H549" s="135"/>
      <c r="I549" s="135"/>
    </row>
    <row r="550" spans="4:9">
      <c r="D550" s="136"/>
      <c r="E550" s="151"/>
      <c r="F550" s="135"/>
      <c r="G550" s="135"/>
      <c r="H550" s="135"/>
      <c r="I550" s="135"/>
    </row>
    <row r="551" spans="4:9">
      <c r="D551" s="136"/>
      <c r="E551" s="151"/>
      <c r="F551" s="135"/>
      <c r="G551" s="135"/>
      <c r="H551" s="135"/>
      <c r="I551" s="135"/>
    </row>
    <row r="552" spans="4:9">
      <c r="D552" s="136"/>
      <c r="E552" s="151"/>
      <c r="F552" s="135"/>
      <c r="G552" s="135"/>
      <c r="H552" s="135"/>
      <c r="I552" s="135"/>
    </row>
    <row r="553" spans="4:9">
      <c r="D553" s="136"/>
      <c r="E553" s="151"/>
      <c r="F553" s="135"/>
      <c r="G553" s="135"/>
      <c r="H553" s="135"/>
      <c r="I553" s="135"/>
    </row>
    <row r="554" spans="4:9">
      <c r="D554" s="136"/>
      <c r="E554" s="151"/>
      <c r="F554" s="135"/>
      <c r="G554" s="135"/>
      <c r="H554" s="135"/>
      <c r="I554" s="135"/>
    </row>
    <row r="555" spans="4:9">
      <c r="D555" s="136"/>
      <c r="E555" s="151"/>
      <c r="F555" s="135"/>
      <c r="G555" s="135"/>
      <c r="H555" s="135"/>
      <c r="I555" s="135"/>
    </row>
    <row r="556" spans="4:9">
      <c r="D556" s="136"/>
      <c r="E556" s="151"/>
      <c r="F556" s="135"/>
      <c r="G556" s="135"/>
      <c r="H556" s="135"/>
      <c r="I556" s="135"/>
    </row>
    <row r="557" spans="4:9">
      <c r="D557" s="136"/>
      <c r="E557" s="151"/>
      <c r="F557" s="135"/>
      <c r="G557" s="135"/>
      <c r="H557" s="135"/>
      <c r="I557" s="135"/>
    </row>
    <row r="558" spans="4:9">
      <c r="D558" s="136"/>
      <c r="E558" s="151"/>
      <c r="F558" s="135"/>
      <c r="G558" s="135"/>
      <c r="H558" s="135"/>
      <c r="I558" s="135"/>
    </row>
    <row r="559" spans="4:9">
      <c r="D559" s="136"/>
      <c r="E559" s="151"/>
      <c r="F559" s="135"/>
      <c r="G559" s="135"/>
      <c r="H559" s="135"/>
      <c r="I559" s="135"/>
    </row>
    <row r="560" spans="4:9">
      <c r="D560" s="136"/>
      <c r="E560" s="151"/>
      <c r="F560" s="135"/>
      <c r="G560" s="135"/>
      <c r="H560" s="135"/>
      <c r="I560" s="135"/>
    </row>
    <row r="561" spans="4:9">
      <c r="D561" s="136"/>
      <c r="E561" s="151"/>
      <c r="F561" s="135"/>
      <c r="G561" s="135"/>
      <c r="H561" s="135"/>
      <c r="I561" s="135"/>
    </row>
    <row r="562" spans="4:9">
      <c r="D562" s="136"/>
      <c r="E562" s="151"/>
      <c r="F562" s="135"/>
      <c r="G562" s="135"/>
      <c r="H562" s="135"/>
      <c r="I562" s="135"/>
    </row>
    <row r="563" spans="4:9">
      <c r="D563" s="136"/>
      <c r="E563" s="151"/>
      <c r="F563" s="135"/>
      <c r="G563" s="135"/>
      <c r="H563" s="135"/>
      <c r="I563" s="135"/>
    </row>
    <row r="564" spans="4:9">
      <c r="D564" s="136"/>
      <c r="E564" s="151"/>
      <c r="F564" s="135"/>
      <c r="G564" s="135"/>
      <c r="H564" s="135"/>
      <c r="I564" s="135"/>
    </row>
    <row r="565" spans="4:9">
      <c r="D565" s="136"/>
      <c r="E565" s="151"/>
      <c r="F565" s="135"/>
      <c r="G565" s="135"/>
      <c r="H565" s="135"/>
      <c r="I565" s="135"/>
    </row>
    <row r="566" spans="4:9">
      <c r="D566" s="136"/>
      <c r="E566" s="151"/>
      <c r="F566" s="135"/>
      <c r="G566" s="135"/>
      <c r="H566" s="135"/>
      <c r="I566" s="135"/>
    </row>
    <row r="567" spans="4:9">
      <c r="D567" s="136"/>
      <c r="E567" s="151"/>
      <c r="F567" s="135"/>
      <c r="G567" s="135"/>
      <c r="H567" s="135"/>
      <c r="I567" s="135"/>
    </row>
    <row r="568" spans="4:9">
      <c r="D568" s="136"/>
      <c r="E568" s="151"/>
      <c r="F568" s="135"/>
      <c r="G568" s="135"/>
      <c r="H568" s="135"/>
      <c r="I568" s="135"/>
    </row>
    <row r="569" spans="4:9">
      <c r="D569" s="136"/>
      <c r="E569" s="151"/>
      <c r="F569" s="135"/>
      <c r="G569" s="135"/>
      <c r="H569" s="135"/>
      <c r="I569" s="135"/>
    </row>
    <row r="570" spans="4:9">
      <c r="D570" s="136"/>
      <c r="E570" s="151"/>
      <c r="F570" s="135"/>
      <c r="G570" s="135"/>
      <c r="H570" s="135"/>
      <c r="I570" s="135"/>
    </row>
    <row r="571" spans="4:9">
      <c r="D571" s="136"/>
      <c r="E571" s="151"/>
      <c r="F571" s="135"/>
      <c r="G571" s="135"/>
      <c r="H571" s="135"/>
      <c r="I571" s="135"/>
    </row>
    <row r="572" spans="4:9">
      <c r="D572" s="136"/>
      <c r="E572" s="151"/>
      <c r="F572" s="135"/>
      <c r="G572" s="135"/>
      <c r="H572" s="135"/>
      <c r="I572" s="135"/>
    </row>
    <row r="573" spans="4:9">
      <c r="D573" s="136"/>
      <c r="E573" s="151"/>
      <c r="F573" s="135"/>
      <c r="G573" s="135"/>
      <c r="H573" s="135"/>
      <c r="I573" s="135"/>
    </row>
    <row r="574" spans="4:9">
      <c r="D574" s="136"/>
      <c r="E574" s="151"/>
      <c r="F574" s="135"/>
      <c r="G574" s="135"/>
      <c r="H574" s="135"/>
      <c r="I574" s="135"/>
    </row>
    <row r="575" spans="4:9">
      <c r="D575" s="136"/>
      <c r="E575" s="151"/>
      <c r="F575" s="135"/>
      <c r="G575" s="135"/>
      <c r="H575" s="135"/>
      <c r="I575" s="135"/>
    </row>
    <row r="576" spans="4:9">
      <c r="D576" s="136"/>
      <c r="E576" s="151"/>
      <c r="F576" s="135"/>
      <c r="G576" s="135"/>
      <c r="H576" s="135"/>
      <c r="I576" s="135"/>
    </row>
    <row r="577" spans="4:9">
      <c r="D577" s="136"/>
      <c r="E577" s="151"/>
      <c r="F577" s="135"/>
      <c r="G577" s="135"/>
      <c r="H577" s="135"/>
      <c r="I577" s="135"/>
    </row>
    <row r="578" spans="4:9">
      <c r="D578" s="136"/>
      <c r="E578" s="151"/>
      <c r="F578" s="135"/>
      <c r="G578" s="135"/>
      <c r="H578" s="135"/>
      <c r="I578" s="135"/>
    </row>
    <row r="579" spans="4:9">
      <c r="D579" s="136"/>
      <c r="E579" s="151"/>
      <c r="F579" s="135"/>
      <c r="G579" s="135"/>
      <c r="H579" s="135"/>
      <c r="I579" s="135"/>
    </row>
    <row r="580" spans="4:9">
      <c r="D580" s="136"/>
      <c r="E580" s="151"/>
      <c r="F580" s="135"/>
      <c r="G580" s="135"/>
      <c r="H580" s="135"/>
      <c r="I580" s="135"/>
    </row>
    <row r="581" spans="4:9">
      <c r="D581" s="136"/>
      <c r="E581" s="151"/>
      <c r="F581" s="135"/>
      <c r="G581" s="135"/>
      <c r="H581" s="135"/>
      <c r="I581" s="135"/>
    </row>
    <row r="582" spans="4:9">
      <c r="D582" s="136"/>
      <c r="E582" s="151"/>
      <c r="F582" s="135"/>
      <c r="G582" s="135"/>
      <c r="H582" s="135"/>
      <c r="I582" s="135"/>
    </row>
    <row r="583" spans="4:9">
      <c r="D583" s="136"/>
      <c r="E583" s="151"/>
      <c r="F583" s="135"/>
      <c r="G583" s="135"/>
      <c r="H583" s="135"/>
      <c r="I583" s="135"/>
    </row>
    <row r="584" spans="4:9">
      <c r="D584" s="136"/>
      <c r="E584" s="151"/>
      <c r="F584" s="135"/>
      <c r="G584" s="135"/>
      <c r="H584" s="135"/>
      <c r="I584" s="135"/>
    </row>
    <row r="585" spans="4:9">
      <c r="D585" s="136"/>
      <c r="E585" s="151"/>
      <c r="F585" s="135"/>
      <c r="G585" s="135"/>
      <c r="H585" s="135"/>
      <c r="I585" s="135"/>
    </row>
    <row r="586" spans="4:9">
      <c r="D586" s="136"/>
      <c r="E586" s="151"/>
      <c r="F586" s="135"/>
      <c r="G586" s="135"/>
      <c r="H586" s="135"/>
      <c r="I586" s="135"/>
    </row>
    <row r="587" spans="4:9">
      <c r="D587" s="136"/>
      <c r="E587" s="151"/>
      <c r="F587" s="135"/>
      <c r="G587" s="135"/>
      <c r="H587" s="135"/>
      <c r="I587" s="135"/>
    </row>
    <row r="588" spans="4:9">
      <c r="D588" s="136"/>
      <c r="E588" s="151"/>
      <c r="F588" s="135"/>
      <c r="G588" s="135"/>
      <c r="H588" s="135"/>
      <c r="I588" s="135"/>
    </row>
    <row r="589" spans="4:9">
      <c r="D589" s="136"/>
      <c r="E589" s="151"/>
      <c r="F589" s="135"/>
      <c r="G589" s="135"/>
      <c r="H589" s="135"/>
      <c r="I589" s="135"/>
    </row>
    <row r="590" spans="4:9">
      <c r="D590" s="136"/>
      <c r="E590" s="151"/>
      <c r="F590" s="135"/>
      <c r="G590" s="135"/>
      <c r="H590" s="135"/>
      <c r="I590" s="135"/>
    </row>
    <row r="591" spans="4:9">
      <c r="D591" s="136"/>
      <c r="E591" s="151"/>
      <c r="F591" s="135"/>
      <c r="G591" s="135"/>
      <c r="H591" s="135"/>
      <c r="I591" s="135"/>
    </row>
    <row r="592" spans="4:9">
      <c r="D592" s="136"/>
      <c r="E592" s="151"/>
      <c r="F592" s="135"/>
      <c r="G592" s="135"/>
      <c r="H592" s="135"/>
      <c r="I592" s="135"/>
    </row>
    <row r="593" spans="4:9">
      <c r="D593" s="136"/>
      <c r="E593" s="151"/>
      <c r="F593" s="135"/>
      <c r="G593" s="135"/>
      <c r="H593" s="135"/>
      <c r="I593" s="135"/>
    </row>
    <row r="594" spans="4:9">
      <c r="D594" s="136"/>
      <c r="E594" s="151"/>
      <c r="F594" s="135"/>
      <c r="G594" s="135"/>
      <c r="H594" s="135"/>
      <c r="I594" s="135"/>
    </row>
    <row r="595" spans="4:9">
      <c r="D595" s="136"/>
      <c r="E595" s="151"/>
      <c r="F595" s="135"/>
      <c r="G595" s="135"/>
      <c r="H595" s="135"/>
      <c r="I595" s="135"/>
    </row>
    <row r="596" spans="4:9">
      <c r="D596" s="136"/>
      <c r="E596" s="151"/>
      <c r="F596" s="135"/>
      <c r="G596" s="135"/>
      <c r="H596" s="135"/>
      <c r="I596" s="135"/>
    </row>
    <row r="597" spans="4:9">
      <c r="D597" s="136"/>
      <c r="E597" s="151"/>
      <c r="F597" s="135"/>
      <c r="G597" s="135"/>
      <c r="H597" s="135"/>
      <c r="I597" s="135"/>
    </row>
    <row r="598" spans="4:9">
      <c r="D598" s="136"/>
      <c r="E598" s="151"/>
      <c r="F598" s="135"/>
      <c r="G598" s="135"/>
      <c r="H598" s="135"/>
      <c r="I598" s="135"/>
    </row>
    <row r="599" spans="4:9">
      <c r="D599" s="136"/>
      <c r="E599" s="151"/>
      <c r="F599" s="135"/>
      <c r="G599" s="135"/>
      <c r="H599" s="135"/>
      <c r="I599" s="135"/>
    </row>
    <row r="600" spans="4:9">
      <c r="D600" s="136"/>
      <c r="E600" s="151"/>
      <c r="F600" s="135"/>
      <c r="G600" s="135"/>
      <c r="H600" s="135"/>
      <c r="I600" s="135"/>
    </row>
    <row r="601" spans="4:9">
      <c r="D601" s="136"/>
      <c r="E601" s="151"/>
      <c r="F601" s="135"/>
      <c r="G601" s="135"/>
      <c r="H601" s="135"/>
      <c r="I601" s="135"/>
    </row>
    <row r="602" spans="4:9">
      <c r="D602" s="136"/>
      <c r="E602" s="151"/>
      <c r="F602" s="135"/>
      <c r="G602" s="135"/>
      <c r="H602" s="135"/>
      <c r="I602" s="135"/>
    </row>
    <row r="603" spans="4:9">
      <c r="D603" s="136"/>
      <c r="E603" s="151"/>
      <c r="F603" s="135"/>
      <c r="G603" s="135"/>
      <c r="H603" s="135"/>
      <c r="I603" s="135"/>
    </row>
    <row r="604" spans="4:9">
      <c r="D604" s="136"/>
      <c r="E604" s="151"/>
      <c r="F604" s="135"/>
      <c r="G604" s="135"/>
      <c r="H604" s="135"/>
      <c r="I604" s="135"/>
    </row>
    <row r="605" spans="4:9">
      <c r="D605" s="136"/>
      <c r="E605" s="151"/>
      <c r="F605" s="135"/>
      <c r="G605" s="135"/>
      <c r="H605" s="135"/>
      <c r="I605" s="135"/>
    </row>
    <row r="606" spans="4:9">
      <c r="D606" s="136"/>
      <c r="E606" s="151"/>
      <c r="F606" s="135"/>
      <c r="G606" s="135"/>
      <c r="H606" s="135"/>
      <c r="I606" s="135"/>
    </row>
    <row r="607" spans="4:9">
      <c r="D607" s="136"/>
      <c r="E607" s="151"/>
      <c r="F607" s="135"/>
      <c r="G607" s="135"/>
      <c r="H607" s="135"/>
      <c r="I607" s="135"/>
    </row>
    <row r="608" spans="4:9">
      <c r="D608" s="136"/>
      <c r="E608" s="151"/>
      <c r="F608" s="135"/>
      <c r="G608" s="135"/>
      <c r="H608" s="135"/>
      <c r="I608" s="135"/>
    </row>
    <row r="609" spans="4:9">
      <c r="D609" s="136"/>
      <c r="E609" s="151"/>
      <c r="F609" s="135"/>
      <c r="G609" s="135"/>
      <c r="H609" s="135"/>
      <c r="I609" s="135"/>
    </row>
    <row r="610" spans="4:9">
      <c r="D610" s="136"/>
      <c r="E610" s="151"/>
      <c r="F610" s="135"/>
      <c r="G610" s="135"/>
      <c r="H610" s="135"/>
      <c r="I610" s="135"/>
    </row>
    <row r="611" spans="4:9">
      <c r="D611" s="136"/>
      <c r="E611" s="151"/>
      <c r="F611" s="135"/>
      <c r="G611" s="135"/>
      <c r="H611" s="135"/>
      <c r="I611" s="135"/>
    </row>
    <row r="612" spans="4:9">
      <c r="D612" s="136"/>
      <c r="E612" s="151"/>
      <c r="F612" s="135"/>
      <c r="G612" s="135"/>
      <c r="H612" s="135"/>
      <c r="I612" s="135"/>
    </row>
    <row r="613" spans="4:9">
      <c r="D613" s="136"/>
      <c r="E613" s="151"/>
      <c r="F613" s="135"/>
      <c r="G613" s="135"/>
      <c r="H613" s="135"/>
      <c r="I613" s="135"/>
    </row>
    <row r="614" spans="4:9">
      <c r="D614" s="136"/>
      <c r="E614" s="151"/>
      <c r="F614" s="135"/>
      <c r="G614" s="135"/>
      <c r="H614" s="135"/>
      <c r="I614" s="135"/>
    </row>
    <row r="615" spans="4:9">
      <c r="D615" s="136"/>
      <c r="E615" s="151"/>
      <c r="F615" s="135"/>
      <c r="G615" s="135"/>
      <c r="H615" s="135"/>
      <c r="I615" s="135"/>
    </row>
    <row r="616" spans="4:9">
      <c r="D616" s="136"/>
      <c r="E616" s="151"/>
      <c r="F616" s="135"/>
      <c r="G616" s="135"/>
      <c r="H616" s="135"/>
      <c r="I616" s="135"/>
    </row>
    <row r="617" spans="4:9">
      <c r="D617" s="136"/>
      <c r="E617" s="151"/>
      <c r="F617" s="135"/>
      <c r="G617" s="135"/>
      <c r="H617" s="135"/>
      <c r="I617" s="135"/>
    </row>
    <row r="618" spans="4:9">
      <c r="D618" s="136"/>
      <c r="E618" s="151"/>
      <c r="F618" s="135"/>
      <c r="G618" s="135"/>
      <c r="H618" s="135"/>
      <c r="I618" s="135"/>
    </row>
    <row r="619" spans="4:9">
      <c r="D619" s="136"/>
      <c r="E619" s="151"/>
      <c r="F619" s="135"/>
      <c r="G619" s="135"/>
      <c r="H619" s="135"/>
      <c r="I619" s="135"/>
    </row>
    <row r="620" spans="4:9">
      <c r="D620" s="136"/>
      <c r="E620" s="151"/>
      <c r="F620" s="135"/>
      <c r="G620" s="135"/>
      <c r="H620" s="135"/>
      <c r="I620" s="135"/>
    </row>
    <row r="621" spans="4:9">
      <c r="D621" s="136"/>
      <c r="E621" s="151"/>
      <c r="F621" s="135"/>
      <c r="G621" s="135"/>
      <c r="H621" s="135"/>
      <c r="I621" s="135"/>
    </row>
    <row r="622" spans="4:9">
      <c r="D622" s="136"/>
      <c r="E622" s="151"/>
      <c r="F622" s="135"/>
      <c r="G622" s="135"/>
      <c r="H622" s="135"/>
      <c r="I622" s="135"/>
    </row>
    <row r="623" spans="4:9">
      <c r="D623" s="136"/>
      <c r="E623" s="151"/>
      <c r="F623" s="135"/>
      <c r="G623" s="135"/>
      <c r="H623" s="135"/>
      <c r="I623" s="135"/>
    </row>
    <row r="624" spans="4:9">
      <c r="D624" s="136"/>
      <c r="E624" s="151"/>
      <c r="F624" s="135"/>
      <c r="G624" s="135"/>
      <c r="H624" s="135"/>
      <c r="I624" s="135"/>
    </row>
    <row r="625" spans="4:9">
      <c r="D625" s="136"/>
      <c r="E625" s="151"/>
      <c r="F625" s="135"/>
      <c r="G625" s="135"/>
      <c r="H625" s="135"/>
      <c r="I625" s="135"/>
    </row>
    <row r="626" spans="4:9">
      <c r="D626" s="136"/>
      <c r="E626" s="151"/>
      <c r="F626" s="135"/>
      <c r="G626" s="135"/>
      <c r="H626" s="135"/>
      <c r="I626" s="135"/>
    </row>
    <row r="627" spans="4:9">
      <c r="D627" s="136"/>
      <c r="E627" s="151"/>
      <c r="F627" s="135"/>
      <c r="G627" s="135"/>
      <c r="H627" s="135"/>
      <c r="I627" s="135"/>
    </row>
    <row r="628" spans="4:9">
      <c r="D628" s="136"/>
      <c r="E628" s="151"/>
      <c r="F628" s="135"/>
      <c r="G628" s="135"/>
      <c r="H628" s="135"/>
      <c r="I628" s="135"/>
    </row>
    <row r="629" spans="4:9">
      <c r="D629" s="136"/>
      <c r="E629" s="151"/>
      <c r="F629" s="135"/>
      <c r="G629" s="135"/>
      <c r="H629" s="135"/>
      <c r="I629" s="135"/>
    </row>
    <row r="630" spans="4:9">
      <c r="D630" s="136"/>
      <c r="E630" s="151"/>
      <c r="F630" s="135"/>
      <c r="G630" s="135"/>
      <c r="H630" s="135"/>
      <c r="I630" s="135"/>
    </row>
    <row r="631" spans="4:9">
      <c r="D631" s="136"/>
      <c r="E631" s="151"/>
      <c r="F631" s="135"/>
      <c r="G631" s="135"/>
      <c r="H631" s="135"/>
      <c r="I631" s="135"/>
    </row>
    <row r="632" spans="4:9">
      <c r="D632" s="136"/>
      <c r="E632" s="151"/>
      <c r="F632" s="135"/>
      <c r="G632" s="135"/>
      <c r="H632" s="135"/>
      <c r="I632" s="135"/>
    </row>
    <row r="633" spans="4:9">
      <c r="D633" s="136"/>
      <c r="E633" s="151"/>
      <c r="F633" s="135"/>
      <c r="G633" s="135"/>
      <c r="H633" s="135"/>
      <c r="I633" s="135"/>
    </row>
    <row r="634" spans="4:9">
      <c r="D634" s="136"/>
      <c r="E634" s="151"/>
      <c r="F634" s="135"/>
      <c r="G634" s="135"/>
      <c r="H634" s="135"/>
      <c r="I634" s="135"/>
    </row>
    <row r="635" spans="4:9">
      <c r="D635" s="136"/>
      <c r="E635" s="151"/>
      <c r="F635" s="135"/>
      <c r="G635" s="135"/>
      <c r="H635" s="135"/>
      <c r="I635" s="135"/>
    </row>
    <row r="636" spans="4:9">
      <c r="D636" s="136"/>
      <c r="E636" s="151"/>
      <c r="F636" s="135"/>
      <c r="G636" s="135"/>
      <c r="H636" s="135"/>
      <c r="I636" s="135"/>
    </row>
    <row r="637" spans="4:9">
      <c r="D637" s="136"/>
      <c r="E637" s="151"/>
      <c r="F637" s="135"/>
      <c r="G637" s="135"/>
      <c r="H637" s="135"/>
      <c r="I637" s="135"/>
    </row>
    <row r="638" spans="4:9">
      <c r="D638" s="136"/>
      <c r="E638" s="151"/>
      <c r="F638" s="135"/>
      <c r="G638" s="135"/>
      <c r="H638" s="135"/>
      <c r="I638" s="135"/>
    </row>
    <row r="639" spans="4:9">
      <c r="D639" s="136"/>
      <c r="E639" s="151"/>
      <c r="F639" s="135"/>
      <c r="G639" s="135"/>
      <c r="H639" s="135"/>
      <c r="I639" s="135"/>
    </row>
    <row r="640" spans="4:9">
      <c r="D640" s="136"/>
      <c r="E640" s="151"/>
      <c r="F640" s="135"/>
      <c r="G640" s="135"/>
      <c r="H640" s="135"/>
      <c r="I640" s="135"/>
    </row>
    <row r="641" spans="4:9">
      <c r="D641" s="136"/>
      <c r="E641" s="151"/>
      <c r="F641" s="135"/>
      <c r="G641" s="135"/>
      <c r="H641" s="135"/>
      <c r="I641" s="135"/>
    </row>
    <row r="642" spans="4:9">
      <c r="D642" s="136"/>
      <c r="E642" s="151"/>
      <c r="F642" s="135"/>
      <c r="G642" s="135"/>
      <c r="H642" s="135"/>
      <c r="I642" s="135"/>
    </row>
    <row r="643" spans="4:9">
      <c r="D643" s="136"/>
      <c r="E643" s="151"/>
      <c r="F643" s="135"/>
      <c r="G643" s="135"/>
      <c r="H643" s="135"/>
      <c r="I643" s="135"/>
    </row>
    <row r="644" spans="4:9">
      <c r="D644" s="136"/>
      <c r="E644" s="151"/>
      <c r="F644" s="135"/>
      <c r="G644" s="135"/>
      <c r="H644" s="135"/>
      <c r="I644" s="135"/>
    </row>
    <row r="645" spans="4:9">
      <c r="D645" s="136"/>
      <c r="E645" s="151"/>
      <c r="F645" s="135"/>
      <c r="G645" s="135"/>
      <c r="H645" s="135"/>
      <c r="I645" s="135"/>
    </row>
    <row r="646" spans="4:9">
      <c r="D646" s="136"/>
      <c r="E646" s="151"/>
      <c r="F646" s="135"/>
      <c r="G646" s="135"/>
      <c r="H646" s="135"/>
      <c r="I646" s="135"/>
    </row>
    <row r="647" spans="4:9">
      <c r="D647" s="136"/>
      <c r="E647" s="151"/>
      <c r="F647" s="135"/>
      <c r="G647" s="135"/>
      <c r="H647" s="135"/>
      <c r="I647" s="135"/>
    </row>
    <row r="648" spans="4:9">
      <c r="D648" s="136"/>
      <c r="E648" s="151"/>
      <c r="F648" s="135"/>
      <c r="G648" s="135"/>
      <c r="H648" s="135"/>
      <c r="I648" s="135"/>
    </row>
    <row r="649" spans="4:9">
      <c r="D649" s="136"/>
      <c r="E649" s="151"/>
      <c r="F649" s="135"/>
      <c r="G649" s="135"/>
      <c r="H649" s="135"/>
      <c r="I649" s="135"/>
    </row>
    <row r="650" spans="4:9">
      <c r="D650" s="136"/>
      <c r="E650" s="151"/>
      <c r="F650" s="135"/>
      <c r="G650" s="135"/>
      <c r="H650" s="135"/>
      <c r="I650" s="135"/>
    </row>
    <row r="651" spans="4:9">
      <c r="D651" s="136"/>
      <c r="E651" s="151"/>
      <c r="F651" s="135"/>
      <c r="G651" s="135"/>
      <c r="H651" s="135"/>
      <c r="I651" s="135"/>
    </row>
    <row r="652" spans="4:9">
      <c r="D652" s="136"/>
      <c r="E652" s="151"/>
      <c r="F652" s="135"/>
      <c r="G652" s="135"/>
      <c r="H652" s="135"/>
      <c r="I652" s="135"/>
    </row>
    <row r="653" spans="4:9">
      <c r="D653" s="136"/>
      <c r="E653" s="151"/>
      <c r="F653" s="135"/>
      <c r="G653" s="135"/>
      <c r="H653" s="135"/>
      <c r="I653" s="135"/>
    </row>
    <row r="654" spans="4:9">
      <c r="D654" s="136"/>
      <c r="E654" s="151"/>
      <c r="F654" s="135"/>
      <c r="G654" s="135"/>
      <c r="H654" s="135"/>
      <c r="I654" s="135"/>
    </row>
    <row r="655" spans="4:9">
      <c r="D655" s="136"/>
      <c r="E655" s="151"/>
      <c r="F655" s="135"/>
      <c r="G655" s="135"/>
      <c r="H655" s="135"/>
      <c r="I655" s="135"/>
    </row>
    <row r="656" spans="4:9">
      <c r="D656" s="136"/>
      <c r="E656" s="151"/>
      <c r="F656" s="135"/>
      <c r="G656" s="135"/>
      <c r="H656" s="135"/>
      <c r="I656" s="135"/>
    </row>
    <row r="657" spans="4:9">
      <c r="D657" s="136"/>
      <c r="E657" s="151"/>
      <c r="F657" s="135"/>
      <c r="G657" s="135"/>
      <c r="H657" s="135"/>
      <c r="I657" s="135"/>
    </row>
    <row r="658" spans="4:9">
      <c r="D658" s="136"/>
      <c r="E658" s="151"/>
      <c r="F658" s="135"/>
      <c r="G658" s="135"/>
      <c r="H658" s="135"/>
      <c r="I658" s="135"/>
    </row>
    <row r="659" spans="4:9">
      <c r="D659" s="136"/>
      <c r="E659" s="151"/>
      <c r="F659" s="135"/>
      <c r="G659" s="135"/>
      <c r="H659" s="135"/>
      <c r="I659" s="135"/>
    </row>
    <row r="660" spans="4:9">
      <c r="D660" s="136"/>
      <c r="E660" s="151"/>
      <c r="F660" s="135"/>
      <c r="G660" s="135"/>
      <c r="H660" s="135"/>
      <c r="I660" s="135"/>
    </row>
    <row r="661" spans="4:9">
      <c r="D661" s="136"/>
      <c r="E661" s="151"/>
      <c r="F661" s="135"/>
      <c r="G661" s="135"/>
      <c r="H661" s="135"/>
      <c r="I661" s="135"/>
    </row>
    <row r="662" spans="4:9">
      <c r="D662" s="136"/>
      <c r="E662" s="151"/>
      <c r="F662" s="135"/>
      <c r="G662" s="135"/>
      <c r="H662" s="135"/>
      <c r="I662" s="135"/>
    </row>
    <row r="663" spans="4:9">
      <c r="D663" s="136"/>
      <c r="E663" s="151"/>
      <c r="F663" s="135"/>
      <c r="G663" s="135"/>
      <c r="H663" s="135"/>
      <c r="I663" s="135"/>
    </row>
    <row r="664" spans="4:9">
      <c r="D664" s="136"/>
      <c r="E664" s="151"/>
      <c r="F664" s="135"/>
      <c r="G664" s="135"/>
      <c r="H664" s="135"/>
      <c r="I664" s="135"/>
    </row>
    <row r="665" spans="4:9">
      <c r="D665" s="136"/>
      <c r="E665" s="151"/>
      <c r="F665" s="135"/>
      <c r="G665" s="135"/>
      <c r="H665" s="135"/>
      <c r="I665" s="135"/>
    </row>
    <row r="666" spans="4:9">
      <c r="D666" s="136"/>
      <c r="E666" s="151"/>
      <c r="F666" s="135"/>
      <c r="G666" s="135"/>
      <c r="H666" s="135"/>
      <c r="I666" s="135"/>
    </row>
    <row r="667" spans="4:9">
      <c r="D667" s="136"/>
      <c r="E667" s="151"/>
      <c r="F667" s="135"/>
      <c r="G667" s="135"/>
      <c r="H667" s="135"/>
      <c r="I667" s="135"/>
    </row>
    <row r="668" spans="4:9">
      <c r="D668" s="136"/>
      <c r="E668" s="151"/>
      <c r="F668" s="135"/>
      <c r="G668" s="135"/>
      <c r="H668" s="135"/>
      <c r="I668" s="135"/>
    </row>
    <row r="669" spans="4:9">
      <c r="D669" s="136"/>
      <c r="E669" s="151"/>
      <c r="F669" s="135"/>
      <c r="G669" s="135"/>
      <c r="H669" s="135"/>
      <c r="I669" s="135"/>
    </row>
    <row r="670" spans="4:9">
      <c r="D670" s="136"/>
      <c r="E670" s="151"/>
      <c r="F670" s="135"/>
      <c r="G670" s="135"/>
      <c r="H670" s="135"/>
      <c r="I670" s="135"/>
    </row>
    <row r="671" spans="4:9">
      <c r="D671" s="136"/>
      <c r="E671" s="151"/>
      <c r="F671" s="135"/>
      <c r="G671" s="135"/>
      <c r="H671" s="135"/>
      <c r="I671" s="135"/>
    </row>
    <row r="672" spans="4:9">
      <c r="D672" s="136"/>
      <c r="E672" s="151"/>
      <c r="F672" s="135"/>
      <c r="G672" s="135"/>
      <c r="H672" s="135"/>
      <c r="I672" s="135"/>
    </row>
    <row r="673" spans="4:9">
      <c r="D673" s="136"/>
      <c r="E673" s="151"/>
      <c r="F673" s="135"/>
      <c r="G673" s="135"/>
      <c r="H673" s="135"/>
      <c r="I673" s="135"/>
    </row>
    <row r="674" spans="4:9">
      <c r="D674" s="136"/>
      <c r="E674" s="151"/>
      <c r="F674" s="135"/>
      <c r="G674" s="135"/>
      <c r="H674" s="135"/>
      <c r="I674" s="135"/>
    </row>
    <row r="675" spans="4:9">
      <c r="D675" s="136"/>
      <c r="E675" s="151"/>
      <c r="F675" s="135"/>
      <c r="G675" s="135"/>
      <c r="H675" s="135"/>
      <c r="I675" s="135"/>
    </row>
    <row r="676" spans="4:9">
      <c r="D676" s="136"/>
      <c r="E676" s="151"/>
      <c r="F676" s="135"/>
      <c r="G676" s="135"/>
      <c r="H676" s="135"/>
      <c r="I676" s="135"/>
    </row>
    <row r="677" spans="4:9">
      <c r="D677" s="136"/>
      <c r="E677" s="151"/>
      <c r="F677" s="135"/>
      <c r="G677" s="135"/>
      <c r="H677" s="135"/>
      <c r="I677" s="135"/>
    </row>
    <row r="678" spans="4:9">
      <c r="D678" s="136"/>
      <c r="E678" s="151"/>
      <c r="F678" s="135"/>
      <c r="G678" s="135"/>
      <c r="H678" s="135"/>
      <c r="I678" s="135"/>
    </row>
    <row r="679" spans="4:9">
      <c r="D679" s="136"/>
      <c r="E679" s="151"/>
      <c r="F679" s="135"/>
      <c r="G679" s="135"/>
      <c r="H679" s="135"/>
      <c r="I679" s="135"/>
    </row>
    <row r="680" spans="4:9">
      <c r="D680" s="136"/>
      <c r="E680" s="151"/>
      <c r="F680" s="135"/>
      <c r="G680" s="135"/>
      <c r="H680" s="135"/>
      <c r="I680" s="135"/>
    </row>
    <row r="681" spans="4:9">
      <c r="D681" s="136"/>
      <c r="E681" s="151"/>
      <c r="F681" s="135"/>
      <c r="G681" s="135"/>
      <c r="H681" s="135"/>
      <c r="I681" s="135"/>
    </row>
    <row r="682" spans="4:9">
      <c r="D682" s="136"/>
      <c r="E682" s="151"/>
      <c r="F682" s="135"/>
      <c r="G682" s="135"/>
      <c r="H682" s="135"/>
      <c r="I682" s="135"/>
    </row>
    <row r="683" spans="4:9">
      <c r="D683" s="136"/>
      <c r="E683" s="151"/>
      <c r="F683" s="135"/>
      <c r="G683" s="135"/>
      <c r="H683" s="135"/>
      <c r="I683" s="135"/>
    </row>
    <row r="684" spans="4:9">
      <c r="D684" s="136"/>
      <c r="E684" s="151"/>
      <c r="F684" s="135"/>
      <c r="G684" s="135"/>
      <c r="H684" s="135"/>
      <c r="I684" s="135"/>
    </row>
    <row r="685" spans="4:9">
      <c r="D685" s="136"/>
      <c r="E685" s="151"/>
      <c r="F685" s="135"/>
      <c r="G685" s="135"/>
      <c r="H685" s="135"/>
      <c r="I685" s="135"/>
    </row>
    <row r="686" spans="4:9">
      <c r="D686" s="136"/>
      <c r="E686" s="151"/>
      <c r="F686" s="135"/>
      <c r="G686" s="135"/>
      <c r="H686" s="135"/>
      <c r="I686" s="135"/>
    </row>
    <row r="687" spans="4:9">
      <c r="D687" s="136"/>
      <c r="E687" s="151"/>
      <c r="F687" s="135"/>
      <c r="G687" s="135"/>
      <c r="H687" s="135"/>
      <c r="I687" s="135"/>
    </row>
    <row r="688" spans="4:9">
      <c r="D688" s="136"/>
      <c r="E688" s="151"/>
      <c r="F688" s="135"/>
      <c r="G688" s="135"/>
      <c r="H688" s="135"/>
      <c r="I688" s="135"/>
    </row>
    <row r="689" spans="4:9">
      <c r="D689" s="136"/>
      <c r="E689" s="151"/>
      <c r="F689" s="135"/>
      <c r="G689" s="135"/>
      <c r="H689" s="135"/>
      <c r="I689" s="135"/>
    </row>
    <row r="690" spans="4:9">
      <c r="D690" s="136"/>
      <c r="E690" s="151"/>
      <c r="F690" s="135"/>
      <c r="G690" s="135"/>
      <c r="H690" s="135"/>
      <c r="I690" s="135"/>
    </row>
    <row r="691" spans="4:9">
      <c r="D691" s="136"/>
      <c r="E691" s="151"/>
      <c r="F691" s="135"/>
      <c r="G691" s="135"/>
      <c r="H691" s="135"/>
      <c r="I691" s="135"/>
    </row>
    <row r="692" spans="4:9">
      <c r="D692" s="136"/>
      <c r="E692" s="151"/>
      <c r="F692" s="135"/>
      <c r="G692" s="135"/>
      <c r="H692" s="135"/>
      <c r="I692" s="135"/>
    </row>
    <row r="693" spans="4:9">
      <c r="D693" s="136"/>
      <c r="E693" s="151"/>
      <c r="F693" s="135"/>
      <c r="G693" s="135"/>
      <c r="H693" s="135"/>
      <c r="I693" s="135"/>
    </row>
    <row r="694" spans="4:9">
      <c r="D694" s="136"/>
      <c r="E694" s="151"/>
      <c r="F694" s="135"/>
      <c r="G694" s="135"/>
      <c r="H694" s="135"/>
      <c r="I694" s="135"/>
    </row>
    <row r="695" spans="4:9">
      <c r="D695" s="136"/>
      <c r="E695" s="151"/>
      <c r="F695" s="135"/>
      <c r="G695" s="135"/>
      <c r="H695" s="135"/>
      <c r="I695" s="135"/>
    </row>
    <row r="696" spans="4:9">
      <c r="D696" s="136"/>
      <c r="E696" s="151"/>
      <c r="F696" s="135"/>
      <c r="G696" s="135"/>
      <c r="H696" s="135"/>
      <c r="I696" s="135"/>
    </row>
    <row r="697" spans="4:9">
      <c r="D697" s="136"/>
      <c r="E697" s="151"/>
      <c r="F697" s="135"/>
      <c r="G697" s="135"/>
      <c r="H697" s="135"/>
      <c r="I697" s="135"/>
    </row>
    <row r="698" spans="4:9">
      <c r="D698" s="136"/>
      <c r="E698" s="151"/>
      <c r="F698" s="135"/>
      <c r="G698" s="135"/>
      <c r="H698" s="135"/>
      <c r="I698" s="135"/>
    </row>
    <row r="699" spans="4:9">
      <c r="D699" s="136"/>
      <c r="E699" s="151"/>
      <c r="F699" s="135"/>
      <c r="G699" s="135"/>
      <c r="H699" s="135"/>
      <c r="I699" s="135"/>
    </row>
    <row r="700" spans="4:9">
      <c r="D700" s="136"/>
      <c r="E700" s="151"/>
      <c r="F700" s="135"/>
      <c r="G700" s="135"/>
      <c r="H700" s="135"/>
      <c r="I700" s="135"/>
    </row>
    <row r="701" spans="4:9">
      <c r="D701" s="136"/>
      <c r="E701" s="151"/>
      <c r="F701" s="135"/>
      <c r="G701" s="135"/>
      <c r="H701" s="135"/>
      <c r="I701" s="135"/>
    </row>
    <row r="702" spans="4:9">
      <c r="D702" s="136"/>
      <c r="E702" s="151"/>
      <c r="F702" s="135"/>
      <c r="G702" s="135"/>
      <c r="H702" s="135"/>
      <c r="I702" s="135"/>
    </row>
    <row r="703" spans="4:9">
      <c r="D703" s="136"/>
      <c r="E703" s="151"/>
      <c r="F703" s="135"/>
      <c r="G703" s="135"/>
      <c r="H703" s="135"/>
      <c r="I703" s="135"/>
    </row>
    <row r="704" spans="4:9">
      <c r="D704" s="136"/>
      <c r="E704" s="151"/>
      <c r="F704" s="135"/>
      <c r="G704" s="135"/>
      <c r="H704" s="135"/>
      <c r="I704" s="135"/>
    </row>
    <row r="705" spans="4:9">
      <c r="D705" s="136"/>
      <c r="E705" s="151"/>
      <c r="F705" s="135"/>
      <c r="G705" s="135"/>
      <c r="H705" s="135"/>
      <c r="I705" s="135"/>
    </row>
    <row r="706" spans="4:9">
      <c r="D706" s="136"/>
      <c r="E706" s="151"/>
      <c r="F706" s="135"/>
      <c r="G706" s="135"/>
      <c r="H706" s="135"/>
      <c r="I706" s="135"/>
    </row>
    <row r="707" spans="4:9">
      <c r="D707" s="136"/>
      <c r="E707" s="151"/>
      <c r="F707" s="135"/>
      <c r="G707" s="135"/>
      <c r="H707" s="135"/>
      <c r="I707" s="135"/>
    </row>
    <row r="708" spans="4:9">
      <c r="D708" s="136"/>
      <c r="E708" s="151"/>
      <c r="F708" s="135"/>
      <c r="G708" s="135"/>
      <c r="H708" s="135"/>
      <c r="I708" s="135"/>
    </row>
    <row r="709" spans="4:9">
      <c r="D709" s="136"/>
      <c r="E709" s="151"/>
      <c r="F709" s="135"/>
      <c r="G709" s="135"/>
      <c r="H709" s="135"/>
      <c r="I709" s="135"/>
    </row>
    <row r="710" spans="4:9">
      <c r="D710" s="136"/>
      <c r="E710" s="151"/>
      <c r="F710" s="135"/>
      <c r="G710" s="135"/>
      <c r="H710" s="135"/>
      <c r="I710" s="135"/>
    </row>
    <row r="711" spans="4:9">
      <c r="D711" s="136"/>
      <c r="E711" s="151"/>
      <c r="F711" s="135"/>
      <c r="G711" s="135"/>
      <c r="H711" s="135"/>
      <c r="I711" s="135"/>
    </row>
    <row r="712" spans="4:9">
      <c r="D712" s="136"/>
      <c r="E712" s="151"/>
      <c r="F712" s="135"/>
      <c r="G712" s="135"/>
      <c r="H712" s="135"/>
      <c r="I712" s="135"/>
    </row>
    <row r="713" spans="4:9">
      <c r="D713" s="136"/>
      <c r="E713" s="151"/>
      <c r="F713" s="135"/>
      <c r="G713" s="135"/>
      <c r="H713" s="135"/>
      <c r="I713" s="135"/>
    </row>
    <row r="714" spans="4:9">
      <c r="D714" s="136"/>
      <c r="E714" s="151"/>
      <c r="F714" s="135"/>
      <c r="G714" s="135"/>
      <c r="H714" s="135"/>
      <c r="I714" s="135"/>
    </row>
    <row r="715" spans="4:9">
      <c r="D715" s="136"/>
      <c r="E715" s="151"/>
      <c r="F715" s="135"/>
      <c r="G715" s="135"/>
      <c r="H715" s="135"/>
      <c r="I715" s="135"/>
    </row>
    <row r="716" spans="4:9">
      <c r="D716" s="136"/>
      <c r="E716" s="151"/>
      <c r="F716" s="135"/>
      <c r="G716" s="135"/>
      <c r="H716" s="135"/>
      <c r="I716" s="135"/>
    </row>
    <row r="717" spans="4:9">
      <c r="D717" s="136"/>
      <c r="E717" s="151"/>
      <c r="F717" s="135"/>
      <c r="G717" s="135"/>
      <c r="H717" s="135"/>
      <c r="I717" s="135"/>
    </row>
    <row r="718" spans="4:9">
      <c r="D718" s="136"/>
      <c r="E718" s="151"/>
      <c r="F718" s="135"/>
      <c r="G718" s="135"/>
      <c r="H718" s="135"/>
      <c r="I718" s="135"/>
    </row>
    <row r="719" spans="4:9">
      <c r="D719" s="136"/>
      <c r="E719" s="151"/>
      <c r="F719" s="135"/>
      <c r="G719" s="135"/>
      <c r="H719" s="135"/>
      <c r="I719" s="135"/>
    </row>
    <row r="720" spans="4:9">
      <c r="D720" s="136"/>
      <c r="E720" s="151"/>
      <c r="F720" s="135"/>
      <c r="G720" s="135"/>
      <c r="H720" s="135"/>
      <c r="I720" s="135"/>
    </row>
    <row r="721" spans="4:9">
      <c r="D721" s="136"/>
      <c r="E721" s="151"/>
      <c r="F721" s="135"/>
      <c r="G721" s="135"/>
      <c r="H721" s="135"/>
      <c r="I721" s="135"/>
    </row>
    <row r="722" spans="4:9">
      <c r="D722" s="136"/>
      <c r="E722" s="151"/>
      <c r="F722" s="135"/>
      <c r="G722" s="135"/>
      <c r="H722" s="135"/>
      <c r="I722" s="135"/>
    </row>
    <row r="723" spans="4:9">
      <c r="D723" s="136"/>
      <c r="E723" s="151"/>
      <c r="F723" s="135"/>
      <c r="G723" s="135"/>
      <c r="H723" s="135"/>
      <c r="I723" s="135"/>
    </row>
    <row r="724" spans="4:9">
      <c r="D724" s="136"/>
      <c r="E724" s="151"/>
      <c r="F724" s="135"/>
      <c r="G724" s="135"/>
      <c r="H724" s="135"/>
      <c r="I724" s="135"/>
    </row>
    <row r="725" spans="4:9">
      <c r="D725" s="136"/>
      <c r="E725" s="151"/>
      <c r="F725" s="135"/>
      <c r="G725" s="135"/>
      <c r="H725" s="135"/>
      <c r="I725" s="135"/>
    </row>
    <row r="726" spans="4:9">
      <c r="D726" s="136"/>
      <c r="E726" s="151"/>
      <c r="F726" s="135"/>
      <c r="G726" s="135"/>
      <c r="H726" s="135"/>
      <c r="I726" s="135"/>
    </row>
    <row r="727" spans="4:9">
      <c r="D727" s="136"/>
      <c r="E727" s="151"/>
      <c r="F727" s="135"/>
      <c r="G727" s="135"/>
      <c r="H727" s="135"/>
      <c r="I727" s="135"/>
    </row>
    <row r="728" spans="4:9">
      <c r="D728" s="136"/>
      <c r="E728" s="151"/>
      <c r="F728" s="135"/>
      <c r="G728" s="135"/>
      <c r="H728" s="135"/>
      <c r="I728" s="135"/>
    </row>
    <row r="729" spans="4:9">
      <c r="D729" s="136"/>
      <c r="E729" s="151"/>
      <c r="F729" s="135"/>
      <c r="G729" s="135"/>
      <c r="H729" s="135"/>
      <c r="I729" s="135"/>
    </row>
    <row r="730" spans="4:9">
      <c r="D730" s="136"/>
      <c r="E730" s="151"/>
      <c r="F730" s="135"/>
      <c r="G730" s="135"/>
      <c r="H730" s="135"/>
      <c r="I730" s="135"/>
    </row>
    <row r="731" spans="4:9">
      <c r="D731" s="136"/>
      <c r="E731" s="151"/>
      <c r="F731" s="135"/>
      <c r="G731" s="135"/>
      <c r="H731" s="135"/>
      <c r="I731" s="135"/>
    </row>
    <row r="732" spans="4:9">
      <c r="D732" s="136"/>
      <c r="E732" s="151"/>
      <c r="F732" s="135"/>
      <c r="G732" s="135"/>
      <c r="H732" s="135"/>
      <c r="I732" s="135"/>
    </row>
    <row r="733" spans="4:9">
      <c r="D733" s="136"/>
      <c r="E733" s="151"/>
      <c r="F733" s="135"/>
      <c r="G733" s="135"/>
      <c r="H733" s="135"/>
      <c r="I733" s="135"/>
    </row>
    <row r="734" spans="4:9">
      <c r="D734" s="136"/>
      <c r="E734" s="151"/>
      <c r="F734" s="135"/>
      <c r="G734" s="135"/>
      <c r="H734" s="135"/>
      <c r="I734" s="135"/>
    </row>
    <row r="735" spans="4:9">
      <c r="D735" s="136"/>
      <c r="E735" s="151"/>
      <c r="F735" s="135"/>
      <c r="G735" s="135"/>
      <c r="H735" s="135"/>
      <c r="I735" s="135"/>
    </row>
    <row r="736" spans="4:9">
      <c r="D736" s="136"/>
      <c r="E736" s="151"/>
      <c r="F736" s="135"/>
      <c r="G736" s="135"/>
      <c r="H736" s="135"/>
      <c r="I736" s="135"/>
    </row>
    <row r="737" spans="4:9">
      <c r="D737" s="136"/>
      <c r="E737" s="151"/>
      <c r="F737" s="135"/>
      <c r="G737" s="135"/>
      <c r="H737" s="135"/>
      <c r="I737" s="135"/>
    </row>
    <row r="738" spans="4:9">
      <c r="D738" s="136"/>
      <c r="E738" s="151"/>
      <c r="F738" s="135"/>
      <c r="G738" s="135"/>
      <c r="H738" s="135"/>
      <c r="I738" s="135"/>
    </row>
    <row r="739" spans="4:9">
      <c r="D739" s="136"/>
      <c r="E739" s="151"/>
      <c r="F739" s="135"/>
      <c r="G739" s="135"/>
      <c r="H739" s="135"/>
      <c r="I739" s="135"/>
    </row>
    <row r="740" spans="4:9">
      <c r="D740" s="136"/>
      <c r="E740" s="151"/>
      <c r="F740" s="135"/>
      <c r="G740" s="135"/>
      <c r="H740" s="135"/>
      <c r="I740" s="135"/>
    </row>
    <row r="741" spans="4:9">
      <c r="D741" s="136"/>
      <c r="E741" s="151"/>
      <c r="F741" s="135"/>
      <c r="G741" s="135"/>
      <c r="H741" s="135"/>
      <c r="I741" s="135"/>
    </row>
    <row r="742" spans="4:9">
      <c r="D742" s="136"/>
      <c r="E742" s="151"/>
      <c r="F742" s="135"/>
      <c r="G742" s="135"/>
      <c r="H742" s="135"/>
      <c r="I742" s="135"/>
    </row>
    <row r="743" spans="4:9">
      <c r="D743" s="136"/>
      <c r="E743" s="151"/>
      <c r="F743" s="135"/>
      <c r="G743" s="135"/>
      <c r="H743" s="135"/>
      <c r="I743" s="135"/>
    </row>
    <row r="744" spans="4:9">
      <c r="D744" s="136"/>
      <c r="E744" s="151"/>
      <c r="F744" s="135"/>
      <c r="G744" s="135"/>
      <c r="H744" s="135"/>
      <c r="I744" s="135"/>
    </row>
    <row r="745" spans="4:9">
      <c r="D745" s="136"/>
      <c r="E745" s="151"/>
      <c r="F745" s="135"/>
      <c r="G745" s="135"/>
      <c r="H745" s="135"/>
      <c r="I745" s="135"/>
    </row>
    <row r="746" spans="4:9">
      <c r="D746" s="136"/>
      <c r="E746" s="151"/>
      <c r="F746" s="135"/>
      <c r="G746" s="135"/>
      <c r="H746" s="135"/>
      <c r="I746" s="135"/>
    </row>
    <row r="747" spans="4:9">
      <c r="D747" s="136"/>
      <c r="E747" s="151"/>
      <c r="F747" s="135"/>
      <c r="G747" s="135"/>
      <c r="H747" s="135"/>
      <c r="I747" s="135"/>
    </row>
    <row r="748" spans="4:9">
      <c r="D748" s="136"/>
      <c r="E748" s="151"/>
      <c r="F748" s="135"/>
      <c r="G748" s="135"/>
      <c r="H748" s="135"/>
      <c r="I748" s="135"/>
    </row>
    <row r="749" spans="4:9">
      <c r="D749" s="136"/>
      <c r="E749" s="151"/>
      <c r="F749" s="135"/>
      <c r="G749" s="135"/>
      <c r="H749" s="135"/>
      <c r="I749" s="135"/>
    </row>
    <row r="750" spans="4:9">
      <c r="D750" s="136"/>
      <c r="E750" s="151"/>
      <c r="F750" s="135"/>
      <c r="G750" s="135"/>
      <c r="H750" s="135"/>
      <c r="I750" s="135"/>
    </row>
    <row r="751" spans="4:9">
      <c r="D751" s="136"/>
      <c r="E751" s="151"/>
      <c r="F751" s="135"/>
      <c r="G751" s="135"/>
      <c r="H751" s="135"/>
      <c r="I751" s="135"/>
    </row>
    <row r="752" spans="4:9">
      <c r="D752" s="136"/>
      <c r="E752" s="151"/>
      <c r="F752" s="135"/>
      <c r="G752" s="135"/>
      <c r="H752" s="135"/>
      <c r="I752" s="135"/>
    </row>
    <row r="753" spans="4:9">
      <c r="D753" s="136"/>
      <c r="E753" s="151"/>
      <c r="F753" s="135"/>
      <c r="G753" s="135"/>
      <c r="H753" s="135"/>
      <c r="I753" s="135"/>
    </row>
    <row r="754" spans="4:9">
      <c r="D754" s="136"/>
      <c r="E754" s="151"/>
      <c r="F754" s="135"/>
      <c r="G754" s="135"/>
      <c r="H754" s="135"/>
      <c r="I754" s="135"/>
    </row>
    <row r="755" spans="4:9">
      <c r="D755" s="136"/>
      <c r="E755" s="151"/>
      <c r="F755" s="135"/>
      <c r="G755" s="135"/>
      <c r="H755" s="135"/>
      <c r="I755" s="135"/>
    </row>
    <row r="756" spans="4:9">
      <c r="D756" s="136"/>
      <c r="E756" s="151"/>
      <c r="F756" s="135"/>
      <c r="G756" s="135"/>
      <c r="H756" s="135"/>
      <c r="I756" s="135"/>
    </row>
    <row r="757" spans="4:9">
      <c r="D757" s="136"/>
      <c r="E757" s="151"/>
      <c r="F757" s="135"/>
      <c r="G757" s="135"/>
      <c r="H757" s="135"/>
      <c r="I757" s="135"/>
    </row>
    <row r="758" spans="4:9">
      <c r="D758" s="136"/>
      <c r="E758" s="151"/>
      <c r="F758" s="135"/>
      <c r="G758" s="135"/>
      <c r="H758" s="135"/>
      <c r="I758" s="135"/>
    </row>
    <row r="759" spans="4:9">
      <c r="D759" s="136"/>
      <c r="E759" s="151"/>
      <c r="F759" s="135"/>
      <c r="G759" s="135"/>
      <c r="H759" s="135"/>
      <c r="I759" s="135"/>
    </row>
    <row r="760" spans="4:9">
      <c r="D760" s="136"/>
      <c r="E760" s="151"/>
      <c r="F760" s="135"/>
      <c r="G760" s="135"/>
      <c r="H760" s="135"/>
      <c r="I760" s="135"/>
    </row>
    <row r="761" spans="4:9">
      <c r="D761" s="136"/>
      <c r="E761" s="151"/>
      <c r="F761" s="135"/>
      <c r="G761" s="135"/>
      <c r="H761" s="135"/>
      <c r="I761" s="135"/>
    </row>
    <row r="762" spans="4:9">
      <c r="D762" s="136"/>
      <c r="E762" s="151"/>
      <c r="F762" s="135"/>
      <c r="G762" s="135"/>
      <c r="H762" s="135"/>
      <c r="I762" s="135"/>
    </row>
    <row r="763" spans="4:9">
      <c r="D763" s="136"/>
      <c r="E763" s="151"/>
      <c r="F763" s="135"/>
      <c r="G763" s="135"/>
      <c r="H763" s="135"/>
      <c r="I763" s="135"/>
    </row>
    <row r="764" spans="4:9">
      <c r="D764" s="136"/>
      <c r="E764" s="151"/>
      <c r="F764" s="135"/>
      <c r="G764" s="135"/>
      <c r="H764" s="135"/>
      <c r="I764" s="135"/>
    </row>
    <row r="765" spans="4:9">
      <c r="D765" s="136"/>
      <c r="E765" s="151"/>
      <c r="F765" s="135"/>
      <c r="G765" s="135"/>
      <c r="H765" s="135"/>
      <c r="I765" s="135"/>
    </row>
    <row r="766" spans="4:9">
      <c r="D766" s="136"/>
      <c r="E766" s="151"/>
      <c r="F766" s="135"/>
      <c r="G766" s="135"/>
      <c r="H766" s="135"/>
      <c r="I766" s="135"/>
    </row>
    <row r="767" spans="4:9">
      <c r="D767" s="136"/>
      <c r="E767" s="151"/>
      <c r="F767" s="135"/>
      <c r="G767" s="135"/>
      <c r="H767" s="135"/>
      <c r="I767" s="135"/>
    </row>
    <row r="768" spans="4:9">
      <c r="D768" s="136"/>
      <c r="E768" s="151"/>
      <c r="F768" s="135"/>
      <c r="G768" s="135"/>
      <c r="H768" s="135"/>
      <c r="I768" s="135"/>
    </row>
    <row r="769" spans="4:9">
      <c r="D769" s="136"/>
      <c r="E769" s="151"/>
      <c r="F769" s="135"/>
      <c r="G769" s="135"/>
      <c r="H769" s="135"/>
      <c r="I769" s="135"/>
    </row>
    <row r="770" spans="4:9">
      <c r="D770" s="136"/>
      <c r="E770" s="151"/>
      <c r="F770" s="135"/>
      <c r="G770" s="135"/>
      <c r="H770" s="135"/>
      <c r="I770" s="135"/>
    </row>
    <row r="771" spans="4:9">
      <c r="D771" s="136"/>
      <c r="E771" s="151"/>
      <c r="F771" s="135"/>
      <c r="G771" s="135"/>
      <c r="H771" s="135"/>
      <c r="I771" s="135"/>
    </row>
    <row r="772" spans="4:9">
      <c r="D772" s="136"/>
      <c r="E772" s="151"/>
      <c r="F772" s="135"/>
      <c r="G772" s="135"/>
      <c r="H772" s="135"/>
      <c r="I772" s="135"/>
    </row>
    <row r="773" spans="4:9">
      <c r="D773" s="136"/>
      <c r="E773" s="151"/>
      <c r="F773" s="135"/>
      <c r="G773" s="135"/>
      <c r="H773" s="135"/>
      <c r="I773" s="135"/>
    </row>
    <row r="774" spans="4:9">
      <c r="D774" s="136"/>
      <c r="E774" s="151"/>
      <c r="F774" s="135"/>
      <c r="G774" s="135"/>
      <c r="H774" s="135"/>
      <c r="I774" s="135"/>
    </row>
    <row r="775" spans="4:9">
      <c r="D775" s="136"/>
      <c r="E775" s="151"/>
      <c r="F775" s="135"/>
      <c r="G775" s="135"/>
      <c r="H775" s="135"/>
      <c r="I775" s="135"/>
    </row>
    <row r="776" spans="4:9">
      <c r="D776" s="136"/>
      <c r="E776" s="151"/>
      <c r="F776" s="135"/>
      <c r="G776" s="135"/>
      <c r="H776" s="135"/>
      <c r="I776" s="135"/>
    </row>
    <row r="777" spans="4:9">
      <c r="D777" s="136"/>
      <c r="E777" s="151"/>
      <c r="F777" s="135"/>
      <c r="G777" s="135"/>
      <c r="H777" s="135"/>
      <c r="I777" s="135"/>
    </row>
    <row r="778" spans="4:9">
      <c r="D778" s="136"/>
      <c r="E778" s="151"/>
      <c r="F778" s="135"/>
      <c r="G778" s="135"/>
      <c r="H778" s="135"/>
      <c r="I778" s="135"/>
    </row>
    <row r="779" spans="4:9">
      <c r="D779" s="136"/>
      <c r="E779" s="151"/>
      <c r="F779" s="135"/>
      <c r="G779" s="135"/>
      <c r="H779" s="135"/>
      <c r="I779" s="135"/>
    </row>
    <row r="780" spans="4:9">
      <c r="D780" s="136"/>
      <c r="E780" s="151"/>
      <c r="F780" s="135"/>
      <c r="G780" s="135"/>
      <c r="H780" s="135"/>
      <c r="I780" s="135"/>
    </row>
    <row r="781" spans="4:9">
      <c r="D781" s="136"/>
      <c r="E781" s="151"/>
      <c r="F781" s="135"/>
      <c r="G781" s="135"/>
      <c r="H781" s="135"/>
      <c r="I781" s="135"/>
    </row>
    <row r="782" spans="4:9">
      <c r="D782" s="136"/>
      <c r="E782" s="151"/>
      <c r="F782" s="135"/>
      <c r="G782" s="135"/>
      <c r="H782" s="135"/>
      <c r="I782" s="135"/>
    </row>
    <row r="783" spans="4:9">
      <c r="D783" s="136"/>
      <c r="E783" s="151"/>
      <c r="F783" s="135"/>
      <c r="G783" s="135"/>
      <c r="H783" s="135"/>
      <c r="I783" s="135"/>
    </row>
    <row r="784" spans="4:9">
      <c r="D784" s="136"/>
      <c r="E784" s="151"/>
      <c r="F784" s="135"/>
      <c r="G784" s="135"/>
      <c r="H784" s="135"/>
      <c r="I784" s="135"/>
    </row>
    <row r="785" spans="4:9">
      <c r="D785" s="136"/>
      <c r="E785" s="151"/>
      <c r="F785" s="135"/>
      <c r="G785" s="135"/>
      <c r="H785" s="135"/>
      <c r="I785" s="135"/>
    </row>
    <row r="786" spans="4:9">
      <c r="D786" s="136"/>
      <c r="E786" s="151"/>
      <c r="F786" s="135"/>
      <c r="G786" s="135"/>
      <c r="H786" s="135"/>
      <c r="I786" s="135"/>
    </row>
    <row r="787" spans="4:9">
      <c r="D787" s="136"/>
      <c r="E787" s="151"/>
      <c r="F787" s="135"/>
      <c r="G787" s="135"/>
      <c r="H787" s="135"/>
      <c r="I787" s="135"/>
    </row>
    <row r="788" spans="4:9">
      <c r="D788" s="136"/>
      <c r="E788" s="151"/>
      <c r="F788" s="135"/>
      <c r="G788" s="135"/>
      <c r="H788" s="135"/>
      <c r="I788" s="135"/>
    </row>
    <row r="789" spans="4:9">
      <c r="D789" s="136"/>
      <c r="E789" s="151"/>
      <c r="F789" s="135"/>
      <c r="G789" s="135"/>
      <c r="H789" s="135"/>
      <c r="I789" s="135"/>
    </row>
    <row r="790" spans="4:9">
      <c r="D790" s="136"/>
      <c r="E790" s="151"/>
      <c r="F790" s="135"/>
      <c r="G790" s="135"/>
      <c r="H790" s="135"/>
      <c r="I790" s="135"/>
    </row>
    <row r="791" spans="4:9">
      <c r="D791" s="136"/>
      <c r="E791" s="151"/>
      <c r="F791" s="135"/>
      <c r="G791" s="135"/>
      <c r="H791" s="135"/>
      <c r="I791" s="135"/>
    </row>
    <row r="792" spans="4:9">
      <c r="D792" s="136"/>
      <c r="E792" s="151"/>
      <c r="F792" s="135"/>
      <c r="G792" s="135"/>
      <c r="H792" s="135"/>
      <c r="I792" s="135"/>
    </row>
    <row r="793" spans="4:9">
      <c r="D793" s="136"/>
      <c r="E793" s="151"/>
      <c r="F793" s="135"/>
      <c r="G793" s="135"/>
      <c r="H793" s="135"/>
      <c r="I793" s="135"/>
    </row>
    <row r="794" spans="4:9">
      <c r="D794" s="136"/>
      <c r="E794" s="151"/>
      <c r="F794" s="135"/>
      <c r="G794" s="135"/>
      <c r="H794" s="135"/>
      <c r="I794" s="135"/>
    </row>
    <row r="795" spans="4:9">
      <c r="D795" s="136"/>
      <c r="E795" s="151"/>
      <c r="F795" s="135"/>
      <c r="G795" s="135"/>
      <c r="H795" s="135"/>
      <c r="I795" s="135"/>
    </row>
    <row r="796" spans="4:9">
      <c r="D796" s="136"/>
      <c r="E796" s="151"/>
      <c r="F796" s="135"/>
      <c r="G796" s="135"/>
      <c r="H796" s="135"/>
      <c r="I796" s="135"/>
    </row>
    <row r="797" spans="4:9">
      <c r="D797" s="136"/>
      <c r="E797" s="151"/>
      <c r="F797" s="135"/>
      <c r="G797" s="135"/>
      <c r="H797" s="135"/>
      <c r="I797" s="135"/>
    </row>
    <row r="798" spans="4:9">
      <c r="D798" s="136"/>
      <c r="E798" s="151"/>
      <c r="F798" s="135"/>
      <c r="G798" s="135"/>
      <c r="H798" s="135"/>
      <c r="I798" s="135"/>
    </row>
    <row r="799" spans="4:9">
      <c r="D799" s="136"/>
      <c r="E799" s="151"/>
      <c r="F799" s="135"/>
      <c r="G799" s="135"/>
      <c r="H799" s="135"/>
      <c r="I799" s="135"/>
    </row>
    <row r="800" spans="4:9">
      <c r="D800" s="136"/>
      <c r="E800" s="151"/>
      <c r="F800" s="135"/>
      <c r="G800" s="135"/>
      <c r="H800" s="135"/>
      <c r="I800" s="135"/>
    </row>
    <row r="801" spans="4:9">
      <c r="D801" s="136"/>
      <c r="E801" s="151"/>
      <c r="F801" s="135"/>
      <c r="G801" s="135"/>
      <c r="H801" s="135"/>
      <c r="I801" s="135"/>
    </row>
    <row r="802" spans="4:9">
      <c r="D802" s="136"/>
      <c r="E802" s="151"/>
      <c r="F802" s="135"/>
      <c r="G802" s="135"/>
      <c r="H802" s="135"/>
      <c r="I802" s="135"/>
    </row>
    <row r="803" spans="4:9">
      <c r="D803" s="136"/>
      <c r="E803" s="151"/>
      <c r="F803" s="135"/>
      <c r="G803" s="135"/>
      <c r="H803" s="135"/>
      <c r="I803" s="135"/>
    </row>
    <row r="804" spans="4:9">
      <c r="D804" s="136"/>
      <c r="E804" s="151"/>
      <c r="F804" s="135"/>
      <c r="G804" s="135"/>
      <c r="H804" s="135"/>
      <c r="I804" s="135"/>
    </row>
    <row r="805" spans="4:9">
      <c r="D805" s="136"/>
      <c r="E805" s="151"/>
      <c r="F805" s="135"/>
      <c r="G805" s="135"/>
      <c r="H805" s="135"/>
      <c r="I805" s="135"/>
    </row>
    <row r="806" spans="4:9">
      <c r="D806" s="136"/>
      <c r="E806" s="151"/>
      <c r="F806" s="135"/>
      <c r="G806" s="135"/>
      <c r="H806" s="135"/>
      <c r="I806" s="135"/>
    </row>
    <row r="807" spans="4:9">
      <c r="D807" s="136"/>
      <c r="E807" s="151"/>
      <c r="F807" s="135"/>
      <c r="G807" s="135"/>
      <c r="H807" s="135"/>
      <c r="I807" s="135"/>
    </row>
    <row r="808" spans="4:9">
      <c r="D808" s="136"/>
      <c r="E808" s="151"/>
      <c r="F808" s="135"/>
      <c r="G808" s="135"/>
      <c r="H808" s="135"/>
      <c r="I808" s="135"/>
    </row>
    <row r="809" spans="4:9">
      <c r="D809" s="136"/>
      <c r="E809" s="151"/>
      <c r="F809" s="135"/>
      <c r="G809" s="135"/>
      <c r="H809" s="135"/>
      <c r="I809" s="135"/>
    </row>
    <row r="810" spans="4:9">
      <c r="D810" s="136"/>
      <c r="E810" s="151"/>
      <c r="F810" s="135"/>
      <c r="G810" s="135"/>
      <c r="H810" s="135"/>
      <c r="I810" s="135"/>
    </row>
    <row r="811" spans="4:9">
      <c r="D811" s="136"/>
      <c r="E811" s="151"/>
      <c r="F811" s="135"/>
      <c r="G811" s="135"/>
      <c r="H811" s="135"/>
      <c r="I811" s="135"/>
    </row>
    <row r="812" spans="4:9">
      <c r="D812" s="136"/>
      <c r="E812" s="151"/>
      <c r="F812" s="135"/>
      <c r="G812" s="135"/>
      <c r="H812" s="135"/>
      <c r="I812" s="135"/>
    </row>
    <row r="813" spans="4:9">
      <c r="D813" s="136"/>
      <c r="E813" s="151"/>
      <c r="F813" s="135"/>
      <c r="G813" s="135"/>
      <c r="H813" s="135"/>
      <c r="I813" s="135"/>
    </row>
    <row r="814" spans="4:9">
      <c r="D814" s="136"/>
      <c r="E814" s="151"/>
      <c r="F814" s="135"/>
      <c r="G814" s="135"/>
      <c r="H814" s="135"/>
      <c r="I814" s="135"/>
    </row>
    <row r="815" spans="4:9">
      <c r="D815" s="136"/>
      <c r="E815" s="151"/>
      <c r="F815" s="135"/>
      <c r="G815" s="135"/>
      <c r="H815" s="135"/>
      <c r="I815" s="135"/>
    </row>
    <row r="816" spans="4:9">
      <c r="D816" s="136"/>
      <c r="E816" s="151"/>
      <c r="F816" s="135"/>
      <c r="G816" s="135"/>
      <c r="H816" s="135"/>
      <c r="I816" s="135"/>
    </row>
    <row r="817" spans="4:9">
      <c r="D817" s="136"/>
      <c r="E817" s="151"/>
      <c r="F817" s="135"/>
      <c r="G817" s="135"/>
      <c r="H817" s="135"/>
      <c r="I817" s="135"/>
    </row>
    <row r="818" spans="4:9">
      <c r="D818" s="136"/>
      <c r="E818" s="151"/>
      <c r="F818" s="135"/>
      <c r="G818" s="135"/>
      <c r="H818" s="135"/>
      <c r="I818" s="135"/>
    </row>
    <row r="819" spans="4:9">
      <c r="D819" s="136"/>
      <c r="E819" s="151"/>
      <c r="F819" s="135"/>
      <c r="G819" s="135"/>
      <c r="H819" s="135"/>
      <c r="I819" s="135"/>
    </row>
    <row r="820" spans="4:9">
      <c r="D820" s="136"/>
      <c r="E820" s="151"/>
      <c r="F820" s="135"/>
      <c r="G820" s="135"/>
      <c r="H820" s="135"/>
      <c r="I820" s="135"/>
    </row>
    <row r="821" spans="4:9">
      <c r="D821" s="136"/>
      <c r="E821" s="151"/>
      <c r="F821" s="135"/>
      <c r="G821" s="135"/>
      <c r="H821" s="135"/>
      <c r="I821" s="135"/>
    </row>
    <row r="822" spans="4:9">
      <c r="D822" s="136"/>
      <c r="E822" s="151"/>
      <c r="F822" s="135"/>
      <c r="G822" s="135"/>
      <c r="H822" s="135"/>
      <c r="I822" s="135"/>
    </row>
    <row r="823" spans="4:9">
      <c r="D823" s="136"/>
      <c r="E823" s="151"/>
      <c r="F823" s="135"/>
      <c r="G823" s="135"/>
      <c r="H823" s="135"/>
      <c r="I823" s="135"/>
    </row>
    <row r="824" spans="4:9">
      <c r="D824" s="136"/>
      <c r="E824" s="151"/>
      <c r="F824" s="135"/>
      <c r="G824" s="135"/>
      <c r="H824" s="135"/>
      <c r="I824" s="135"/>
    </row>
    <row r="825" spans="4:9">
      <c r="D825" s="136"/>
      <c r="E825" s="151"/>
      <c r="F825" s="135"/>
      <c r="G825" s="135"/>
      <c r="H825" s="135"/>
      <c r="I825" s="135"/>
    </row>
    <row r="826" spans="4:9">
      <c r="D826" s="136"/>
      <c r="E826" s="151"/>
      <c r="F826" s="135"/>
      <c r="G826" s="135"/>
      <c r="H826" s="135"/>
      <c r="I826" s="135"/>
    </row>
    <row r="827" spans="4:9">
      <c r="D827" s="136"/>
      <c r="E827" s="151"/>
      <c r="F827" s="135"/>
      <c r="G827" s="135"/>
      <c r="H827" s="135"/>
      <c r="I827" s="135"/>
    </row>
    <row r="828" spans="4:9">
      <c r="D828" s="136"/>
      <c r="E828" s="151"/>
      <c r="F828" s="135"/>
      <c r="G828" s="135"/>
      <c r="H828" s="135"/>
      <c r="I828" s="135"/>
    </row>
    <row r="829" spans="4:9">
      <c r="D829" s="136"/>
      <c r="E829" s="151"/>
      <c r="F829" s="135"/>
      <c r="G829" s="135"/>
      <c r="H829" s="135"/>
      <c r="I829" s="135"/>
    </row>
    <row r="830" spans="4:9">
      <c r="D830" s="136"/>
      <c r="E830" s="151"/>
      <c r="F830" s="135"/>
      <c r="G830" s="135"/>
      <c r="H830" s="135"/>
      <c r="I830" s="135"/>
    </row>
    <row r="831" spans="4:9">
      <c r="D831" s="136"/>
      <c r="E831" s="151"/>
      <c r="F831" s="135"/>
      <c r="G831" s="135"/>
      <c r="H831" s="135"/>
      <c r="I831" s="135"/>
    </row>
    <row r="832" spans="4:9">
      <c r="D832" s="136"/>
      <c r="E832" s="151"/>
      <c r="F832" s="135"/>
      <c r="G832" s="135"/>
      <c r="H832" s="135"/>
      <c r="I832" s="135"/>
    </row>
    <row r="833" spans="4:9">
      <c r="D833" s="136"/>
      <c r="E833" s="151"/>
      <c r="F833" s="135"/>
      <c r="G833" s="135"/>
      <c r="H833" s="135"/>
      <c r="I833" s="135"/>
    </row>
    <row r="834" spans="4:9">
      <c r="D834" s="136"/>
      <c r="E834" s="151"/>
      <c r="F834" s="135"/>
      <c r="G834" s="135"/>
      <c r="H834" s="135"/>
      <c r="I834" s="135"/>
    </row>
    <row r="835" spans="4:9">
      <c r="D835" s="136"/>
      <c r="E835" s="151"/>
      <c r="F835" s="135"/>
      <c r="G835" s="135"/>
      <c r="H835" s="135"/>
      <c r="I835" s="135"/>
    </row>
    <row r="836" spans="4:9">
      <c r="D836" s="136"/>
      <c r="E836" s="151"/>
      <c r="F836" s="135"/>
      <c r="G836" s="135"/>
      <c r="H836" s="135"/>
      <c r="I836" s="135"/>
    </row>
    <row r="837" spans="4:9">
      <c r="D837" s="136"/>
      <c r="E837" s="151"/>
      <c r="F837" s="135"/>
      <c r="G837" s="135"/>
      <c r="H837" s="135"/>
      <c r="I837" s="135"/>
    </row>
    <row r="838" spans="4:9">
      <c r="D838" s="136"/>
      <c r="E838" s="151"/>
      <c r="F838" s="135"/>
      <c r="G838" s="135"/>
      <c r="H838" s="135"/>
      <c r="I838" s="135"/>
    </row>
    <row r="839" spans="4:9">
      <c r="D839" s="136"/>
      <c r="E839" s="151"/>
      <c r="F839" s="135"/>
      <c r="G839" s="135"/>
      <c r="H839" s="135"/>
      <c r="I839" s="135"/>
    </row>
    <row r="840" spans="4:9">
      <c r="D840" s="136"/>
      <c r="E840" s="151"/>
      <c r="F840" s="135"/>
      <c r="G840" s="135"/>
      <c r="H840" s="135"/>
      <c r="I840" s="135"/>
    </row>
    <row r="841" spans="4:9">
      <c r="D841" s="136"/>
      <c r="E841" s="151"/>
      <c r="F841" s="135"/>
      <c r="G841" s="135"/>
      <c r="H841" s="135"/>
      <c r="I841" s="135"/>
    </row>
    <row r="842" spans="4:9">
      <c r="D842" s="136"/>
      <c r="E842" s="151"/>
      <c r="F842" s="135"/>
      <c r="G842" s="135"/>
      <c r="H842" s="135"/>
      <c r="I842" s="135"/>
    </row>
    <row r="843" spans="4:9">
      <c r="D843" s="136"/>
      <c r="E843" s="151"/>
      <c r="F843" s="135"/>
      <c r="G843" s="135"/>
      <c r="H843" s="135"/>
      <c r="I843" s="135"/>
    </row>
    <row r="844" spans="4:9">
      <c r="D844" s="136"/>
      <c r="E844" s="151"/>
      <c r="F844" s="135"/>
      <c r="G844" s="135"/>
      <c r="H844" s="135"/>
      <c r="I844" s="135"/>
    </row>
    <row r="845" spans="4:9">
      <c r="D845" s="136"/>
      <c r="E845" s="151"/>
      <c r="F845" s="135"/>
      <c r="G845" s="135"/>
      <c r="H845" s="135"/>
      <c r="I845" s="135"/>
    </row>
    <row r="846" spans="4:9">
      <c r="D846" s="136"/>
      <c r="E846" s="151"/>
      <c r="F846" s="135"/>
      <c r="G846" s="135"/>
      <c r="H846" s="135"/>
      <c r="I846" s="135"/>
    </row>
    <row r="847" spans="4:9">
      <c r="D847" s="136"/>
      <c r="E847" s="151"/>
      <c r="F847" s="135"/>
      <c r="G847" s="135"/>
      <c r="H847" s="135"/>
      <c r="I847" s="135"/>
    </row>
    <row r="848" spans="4:9">
      <c r="D848" s="136"/>
      <c r="E848" s="151"/>
      <c r="F848" s="135"/>
      <c r="G848" s="135"/>
      <c r="H848" s="135"/>
      <c r="I848" s="135"/>
    </row>
    <row r="849" spans="4:9">
      <c r="D849" s="136"/>
      <c r="E849" s="151"/>
      <c r="F849" s="135"/>
      <c r="G849" s="135"/>
      <c r="H849" s="135"/>
      <c r="I849" s="135"/>
    </row>
    <row r="850" spans="4:9">
      <c r="D850" s="136"/>
      <c r="E850" s="151"/>
      <c r="F850" s="135"/>
      <c r="G850" s="135"/>
      <c r="H850" s="135"/>
      <c r="I850" s="135"/>
    </row>
    <row r="851" spans="4:9">
      <c r="D851" s="136"/>
      <c r="E851" s="151"/>
      <c r="F851" s="135"/>
      <c r="G851" s="135"/>
      <c r="H851" s="135"/>
      <c r="I851" s="135"/>
    </row>
    <row r="852" spans="4:9">
      <c r="D852" s="136"/>
      <c r="E852" s="151"/>
      <c r="F852" s="135"/>
      <c r="G852" s="135"/>
      <c r="H852" s="135"/>
      <c r="I852" s="135"/>
    </row>
    <row r="853" spans="4:9">
      <c r="D853" s="136"/>
      <c r="E853" s="151"/>
      <c r="F853" s="135"/>
      <c r="G853" s="135"/>
      <c r="H853" s="135"/>
      <c r="I853" s="135"/>
    </row>
    <row r="854" spans="4:9">
      <c r="D854" s="136"/>
      <c r="E854" s="151"/>
      <c r="F854" s="135"/>
      <c r="G854" s="135"/>
      <c r="H854" s="135"/>
      <c r="I854" s="135"/>
    </row>
    <row r="855" spans="4:9">
      <c r="D855" s="136"/>
      <c r="E855" s="151"/>
      <c r="F855" s="135"/>
      <c r="G855" s="135"/>
      <c r="H855" s="135"/>
      <c r="I855" s="135"/>
    </row>
    <row r="856" spans="4:9">
      <c r="D856" s="136"/>
      <c r="E856" s="151"/>
      <c r="F856" s="135"/>
      <c r="G856" s="135"/>
      <c r="H856" s="135"/>
      <c r="I856" s="135"/>
    </row>
    <row r="857" spans="4:9">
      <c r="D857" s="136"/>
      <c r="E857" s="151"/>
      <c r="F857" s="135"/>
      <c r="G857" s="135"/>
      <c r="H857" s="135"/>
      <c r="I857" s="135"/>
    </row>
    <row r="858" spans="4:9">
      <c r="D858" s="136"/>
      <c r="E858" s="151"/>
      <c r="F858" s="135"/>
      <c r="G858" s="135"/>
      <c r="H858" s="135"/>
      <c r="I858" s="135"/>
    </row>
    <row r="859" spans="4:9">
      <c r="D859" s="136"/>
      <c r="E859" s="151"/>
      <c r="F859" s="135"/>
      <c r="G859" s="135"/>
      <c r="H859" s="135"/>
      <c r="I859" s="135"/>
    </row>
    <row r="860" spans="4:9">
      <c r="D860" s="136"/>
      <c r="E860" s="151"/>
      <c r="F860" s="135"/>
      <c r="G860" s="135"/>
      <c r="H860" s="135"/>
      <c r="I860" s="135"/>
    </row>
    <row r="861" spans="4:9">
      <c r="D861" s="136"/>
      <c r="E861" s="151"/>
      <c r="F861" s="135"/>
      <c r="G861" s="135"/>
      <c r="H861" s="135"/>
      <c r="I861" s="135"/>
    </row>
    <row r="862" spans="4:9">
      <c r="D862" s="136"/>
      <c r="E862" s="151"/>
      <c r="F862" s="135"/>
      <c r="G862" s="135"/>
      <c r="H862" s="135"/>
      <c r="I862" s="135"/>
    </row>
    <row r="863" spans="4:9">
      <c r="D863" s="136"/>
      <c r="E863" s="151"/>
      <c r="F863" s="135"/>
      <c r="G863" s="135"/>
      <c r="H863" s="135"/>
      <c r="I863" s="135"/>
    </row>
    <row r="864" spans="4:9">
      <c r="D864" s="136"/>
      <c r="E864" s="151"/>
      <c r="F864" s="135"/>
      <c r="G864" s="135"/>
      <c r="H864" s="135"/>
      <c r="I864" s="135"/>
    </row>
    <row r="865" spans="4:9">
      <c r="D865" s="136"/>
      <c r="E865" s="151"/>
      <c r="F865" s="135"/>
      <c r="G865" s="135"/>
      <c r="H865" s="135"/>
      <c r="I865" s="135"/>
    </row>
    <row r="866" spans="4:9">
      <c r="D866" s="136"/>
      <c r="E866" s="151"/>
      <c r="F866" s="135"/>
      <c r="G866" s="135"/>
      <c r="H866" s="135"/>
      <c r="I866" s="135"/>
    </row>
    <row r="867" spans="4:9">
      <c r="D867" s="136"/>
      <c r="E867" s="151"/>
      <c r="F867" s="135"/>
      <c r="G867" s="135"/>
      <c r="H867" s="135"/>
      <c r="I867" s="135"/>
    </row>
    <row r="868" spans="4:9">
      <c r="D868" s="136"/>
      <c r="E868" s="151"/>
      <c r="F868" s="135"/>
      <c r="G868" s="135"/>
      <c r="H868" s="135"/>
      <c r="I868" s="135"/>
    </row>
    <row r="869" spans="4:9">
      <c r="D869" s="136"/>
      <c r="E869" s="151"/>
      <c r="F869" s="135"/>
      <c r="G869" s="135"/>
      <c r="H869" s="135"/>
      <c r="I869" s="135"/>
    </row>
    <row r="870" spans="4:9">
      <c r="D870" s="136"/>
      <c r="E870" s="151"/>
      <c r="F870" s="135"/>
      <c r="G870" s="135"/>
      <c r="H870" s="135"/>
      <c r="I870" s="135"/>
    </row>
    <row r="871" spans="4:9">
      <c r="D871" s="136"/>
      <c r="E871" s="151"/>
      <c r="F871" s="135"/>
      <c r="G871" s="135"/>
      <c r="H871" s="135"/>
      <c r="I871" s="135"/>
    </row>
    <row r="872" spans="4:9">
      <c r="D872" s="136"/>
      <c r="E872" s="151"/>
      <c r="F872" s="135"/>
      <c r="G872" s="135"/>
      <c r="H872" s="135"/>
      <c r="I872" s="135"/>
    </row>
    <row r="873" spans="4:9">
      <c r="D873" s="136"/>
      <c r="E873" s="151"/>
      <c r="F873" s="135"/>
      <c r="G873" s="135"/>
      <c r="H873" s="135"/>
      <c r="I873" s="135"/>
    </row>
    <row r="874" spans="4:9">
      <c r="D874" s="136"/>
      <c r="E874" s="151"/>
      <c r="F874" s="135"/>
      <c r="G874" s="135"/>
      <c r="H874" s="135"/>
      <c r="I874" s="135"/>
    </row>
    <row r="875" spans="4:9">
      <c r="D875" s="136"/>
      <c r="E875" s="151"/>
      <c r="F875" s="135"/>
      <c r="G875" s="135"/>
      <c r="H875" s="135"/>
      <c r="I875" s="135"/>
    </row>
    <row r="876" spans="4:9">
      <c r="D876" s="136"/>
      <c r="E876" s="151"/>
      <c r="F876" s="135"/>
      <c r="G876" s="135"/>
      <c r="H876" s="135"/>
      <c r="I876" s="135"/>
    </row>
    <row r="877" spans="4:9">
      <c r="D877" s="136"/>
      <c r="E877" s="151"/>
      <c r="F877" s="135"/>
      <c r="G877" s="135"/>
      <c r="H877" s="135"/>
      <c r="I877" s="135"/>
    </row>
    <row r="878" spans="4:9">
      <c r="D878" s="136"/>
      <c r="E878" s="151"/>
      <c r="F878" s="135"/>
      <c r="G878" s="135"/>
      <c r="H878" s="135"/>
      <c r="I878" s="135"/>
    </row>
    <row r="879" spans="4:9">
      <c r="D879" s="136"/>
      <c r="E879" s="151"/>
      <c r="F879" s="135"/>
      <c r="G879" s="135"/>
      <c r="H879" s="135"/>
      <c r="I879" s="135"/>
    </row>
    <row r="880" spans="4:9">
      <c r="D880" s="136"/>
      <c r="E880" s="151"/>
      <c r="F880" s="135"/>
      <c r="G880" s="135"/>
      <c r="H880" s="135"/>
      <c r="I880" s="135"/>
    </row>
    <row r="881" spans="4:9">
      <c r="D881" s="136"/>
      <c r="E881" s="151"/>
      <c r="F881" s="135"/>
      <c r="G881" s="135"/>
      <c r="H881" s="135"/>
      <c r="I881" s="135"/>
    </row>
    <row r="882" spans="4:9">
      <c r="D882" s="136"/>
      <c r="E882" s="151"/>
      <c r="F882" s="135"/>
      <c r="G882" s="135"/>
      <c r="H882" s="135"/>
      <c r="I882" s="135"/>
    </row>
    <row r="883" spans="4:9">
      <c r="D883" s="136"/>
      <c r="E883" s="151"/>
      <c r="F883" s="135"/>
      <c r="G883" s="135"/>
      <c r="H883" s="135"/>
      <c r="I883" s="135"/>
    </row>
    <row r="884" spans="4:9">
      <c r="D884" s="136"/>
      <c r="E884" s="151"/>
      <c r="F884" s="135"/>
      <c r="G884" s="135"/>
      <c r="H884" s="135"/>
      <c r="I884" s="135"/>
    </row>
    <row r="885" spans="4:9">
      <c r="D885" s="136"/>
      <c r="E885" s="151"/>
      <c r="F885" s="135"/>
      <c r="G885" s="135"/>
      <c r="H885" s="135"/>
      <c r="I885" s="135"/>
    </row>
    <row r="886" spans="4:9">
      <c r="D886" s="136"/>
      <c r="E886" s="151"/>
      <c r="F886" s="135"/>
      <c r="G886" s="135"/>
      <c r="H886" s="135"/>
      <c r="I886" s="135"/>
    </row>
    <row r="887" spans="4:9">
      <c r="D887" s="136"/>
      <c r="E887" s="151"/>
      <c r="F887" s="135"/>
      <c r="G887" s="135"/>
      <c r="H887" s="135"/>
      <c r="I887" s="135"/>
    </row>
    <row r="888" spans="4:9">
      <c r="D888" s="136"/>
      <c r="E888" s="151"/>
      <c r="F888" s="135"/>
      <c r="G888" s="135"/>
      <c r="H888" s="135"/>
      <c r="I888" s="135"/>
    </row>
    <row r="889" spans="4:9">
      <c r="D889" s="136"/>
      <c r="E889" s="151"/>
      <c r="F889" s="135"/>
      <c r="G889" s="135"/>
      <c r="H889" s="135"/>
      <c r="I889" s="135"/>
    </row>
    <row r="890" spans="4:9">
      <c r="D890" s="136"/>
      <c r="E890" s="151"/>
      <c r="F890" s="135"/>
      <c r="G890" s="135"/>
      <c r="H890" s="135"/>
      <c r="I890" s="135"/>
    </row>
    <row r="891" spans="4:9">
      <c r="D891" s="136"/>
      <c r="E891" s="151"/>
      <c r="F891" s="135"/>
      <c r="G891" s="135"/>
      <c r="H891" s="135"/>
      <c r="I891" s="135"/>
    </row>
    <row r="892" spans="4:9">
      <c r="D892" s="136"/>
      <c r="E892" s="151"/>
      <c r="F892" s="135"/>
      <c r="G892" s="135"/>
      <c r="H892" s="135"/>
      <c r="I892" s="135"/>
    </row>
    <row r="893" spans="4:9">
      <c r="D893" s="136"/>
      <c r="E893" s="151"/>
      <c r="F893" s="135"/>
      <c r="G893" s="135"/>
      <c r="H893" s="135"/>
      <c r="I893" s="135"/>
    </row>
    <row r="894" spans="4:9">
      <c r="D894" s="136"/>
      <c r="E894" s="151"/>
      <c r="F894" s="135"/>
      <c r="G894" s="135"/>
      <c r="H894" s="135"/>
      <c r="I894" s="135"/>
    </row>
    <row r="895" spans="4:9">
      <c r="D895" s="136"/>
      <c r="E895" s="151"/>
      <c r="F895" s="135"/>
      <c r="G895" s="135"/>
      <c r="H895" s="135"/>
      <c r="I895" s="135"/>
    </row>
    <row r="896" spans="4:9">
      <c r="D896" s="136"/>
      <c r="E896" s="151"/>
      <c r="F896" s="135"/>
      <c r="G896" s="135"/>
      <c r="H896" s="135"/>
      <c r="I896" s="135"/>
    </row>
    <row r="897" spans="4:9">
      <c r="D897" s="136"/>
      <c r="E897" s="151"/>
      <c r="F897" s="135"/>
      <c r="G897" s="135"/>
      <c r="H897" s="135"/>
      <c r="I897" s="135"/>
    </row>
    <row r="898" spans="4:9">
      <c r="D898" s="136"/>
      <c r="E898" s="151"/>
      <c r="F898" s="135"/>
      <c r="G898" s="135"/>
      <c r="H898" s="135"/>
      <c r="I898" s="135"/>
    </row>
    <row r="899" spans="4:9">
      <c r="D899" s="136"/>
      <c r="E899" s="151"/>
      <c r="F899" s="135"/>
      <c r="G899" s="135"/>
      <c r="H899" s="135"/>
      <c r="I899" s="135"/>
    </row>
    <row r="900" spans="4:9">
      <c r="D900" s="136"/>
      <c r="E900" s="151"/>
      <c r="F900" s="135"/>
      <c r="G900" s="135"/>
      <c r="H900" s="135"/>
      <c r="I900" s="135"/>
    </row>
    <row r="901" spans="4:9">
      <c r="D901" s="136"/>
      <c r="E901" s="151"/>
      <c r="F901" s="135"/>
      <c r="G901" s="135"/>
      <c r="H901" s="135"/>
      <c r="I901" s="135"/>
    </row>
    <row r="902" spans="4:9">
      <c r="D902" s="136"/>
      <c r="E902" s="151"/>
      <c r="F902" s="135"/>
      <c r="G902" s="135"/>
      <c r="H902" s="135"/>
      <c r="I902" s="135"/>
    </row>
    <row r="903" spans="4:9">
      <c r="D903" s="136"/>
      <c r="E903" s="151"/>
      <c r="F903" s="135"/>
      <c r="G903" s="135"/>
      <c r="H903" s="135"/>
      <c r="I903" s="135"/>
    </row>
    <row r="904" spans="4:9">
      <c r="D904" s="136"/>
      <c r="E904" s="151"/>
      <c r="F904" s="135"/>
      <c r="G904" s="135"/>
      <c r="H904" s="135"/>
      <c r="I904" s="135"/>
    </row>
    <row r="905" spans="4:9">
      <c r="D905" s="136"/>
      <c r="E905" s="151"/>
      <c r="F905" s="135"/>
      <c r="G905" s="135"/>
      <c r="H905" s="135"/>
      <c r="I905" s="135"/>
    </row>
    <row r="906" spans="4:9">
      <c r="D906" s="136"/>
      <c r="E906" s="151"/>
      <c r="F906" s="135"/>
      <c r="G906" s="135"/>
      <c r="H906" s="135"/>
      <c r="I906" s="135"/>
    </row>
    <row r="907" spans="4:9">
      <c r="D907" s="136"/>
      <c r="E907" s="151"/>
      <c r="F907" s="135"/>
      <c r="G907" s="135"/>
      <c r="H907" s="135"/>
      <c r="I907" s="135"/>
    </row>
    <row r="908" spans="4:9">
      <c r="D908" s="136"/>
      <c r="E908" s="151"/>
      <c r="F908" s="135"/>
      <c r="G908" s="135"/>
      <c r="H908" s="135"/>
      <c r="I908" s="135"/>
    </row>
    <row r="909" spans="4:9">
      <c r="D909" s="136"/>
      <c r="E909" s="151"/>
      <c r="F909" s="135"/>
      <c r="G909" s="135"/>
      <c r="H909" s="135"/>
      <c r="I909" s="135"/>
    </row>
    <row r="910" spans="4:9">
      <c r="D910" s="136"/>
      <c r="E910" s="151"/>
      <c r="F910" s="135"/>
      <c r="G910" s="135"/>
      <c r="H910" s="135"/>
      <c r="I910" s="135"/>
    </row>
    <row r="911" spans="4:9">
      <c r="D911" s="136"/>
      <c r="E911" s="151"/>
      <c r="F911" s="135"/>
      <c r="G911" s="135"/>
      <c r="H911" s="135"/>
      <c r="I911" s="135"/>
    </row>
    <row r="912" spans="4:9">
      <c r="D912" s="136"/>
      <c r="E912" s="151"/>
      <c r="F912" s="135"/>
      <c r="G912" s="135"/>
      <c r="H912" s="135"/>
      <c r="I912" s="135"/>
    </row>
    <row r="913" spans="4:9">
      <c r="D913" s="136"/>
      <c r="E913" s="151"/>
      <c r="F913" s="135"/>
      <c r="G913" s="135"/>
      <c r="H913" s="135"/>
      <c r="I913" s="135"/>
    </row>
    <row r="914" spans="4:9">
      <c r="D914" s="136"/>
      <c r="E914" s="151"/>
      <c r="F914" s="135"/>
      <c r="G914" s="135"/>
      <c r="H914" s="135"/>
      <c r="I914" s="135"/>
    </row>
    <row r="915" spans="4:9">
      <c r="D915" s="136"/>
      <c r="E915" s="151"/>
      <c r="F915" s="135"/>
      <c r="G915" s="135"/>
      <c r="H915" s="135"/>
      <c r="I915" s="135"/>
    </row>
    <row r="916" spans="4:9">
      <c r="D916" s="136"/>
      <c r="E916" s="151"/>
      <c r="F916" s="135"/>
      <c r="G916" s="135"/>
      <c r="H916" s="135"/>
      <c r="I916" s="135"/>
    </row>
    <row r="917" spans="4:9">
      <c r="D917" s="136"/>
      <c r="E917" s="151"/>
      <c r="F917" s="135"/>
      <c r="G917" s="135"/>
      <c r="H917" s="135"/>
      <c r="I917" s="135"/>
    </row>
    <row r="918" spans="4:9">
      <c r="D918" s="136"/>
      <c r="E918" s="151"/>
      <c r="F918" s="135"/>
      <c r="G918" s="135"/>
      <c r="H918" s="135"/>
      <c r="I918" s="135"/>
    </row>
    <row r="919" spans="4:9">
      <c r="D919" s="136"/>
      <c r="E919" s="151"/>
      <c r="F919" s="135"/>
      <c r="G919" s="135"/>
      <c r="H919" s="135"/>
      <c r="I919" s="135"/>
    </row>
    <row r="920" spans="4:9">
      <c r="D920" s="136"/>
      <c r="E920" s="151"/>
      <c r="F920" s="135"/>
      <c r="G920" s="135"/>
      <c r="H920" s="135"/>
      <c r="I920" s="135"/>
    </row>
    <row r="921" spans="4:9">
      <c r="D921" s="136"/>
      <c r="E921" s="151"/>
      <c r="F921" s="135"/>
      <c r="G921" s="135"/>
      <c r="H921" s="135"/>
      <c r="I921" s="135"/>
    </row>
    <row r="922" spans="4:9">
      <c r="D922" s="136"/>
      <c r="E922" s="151"/>
      <c r="F922" s="135"/>
      <c r="G922" s="135"/>
      <c r="H922" s="135"/>
      <c r="I922" s="135"/>
    </row>
    <row r="923" spans="4:9">
      <c r="D923" s="136"/>
      <c r="E923" s="151"/>
      <c r="F923" s="135"/>
      <c r="G923" s="135"/>
      <c r="H923" s="135"/>
      <c r="I923" s="135"/>
    </row>
    <row r="924" spans="4:9">
      <c r="D924" s="136"/>
      <c r="E924" s="151"/>
      <c r="F924" s="135"/>
      <c r="G924" s="135"/>
      <c r="H924" s="135"/>
      <c r="I924" s="135"/>
    </row>
    <row r="925" spans="4:9">
      <c r="D925" s="136"/>
      <c r="E925" s="151"/>
      <c r="F925" s="135"/>
      <c r="G925" s="135"/>
      <c r="H925" s="135"/>
      <c r="I925" s="135"/>
    </row>
    <row r="926" spans="4:9">
      <c r="D926" s="136"/>
      <c r="E926" s="151"/>
      <c r="F926" s="135"/>
      <c r="G926" s="135"/>
      <c r="H926" s="135"/>
      <c r="I926" s="135"/>
    </row>
    <row r="927" spans="4:9">
      <c r="D927" s="136"/>
      <c r="E927" s="151"/>
      <c r="F927" s="135"/>
      <c r="G927" s="135"/>
      <c r="H927" s="135"/>
      <c r="I927" s="135"/>
    </row>
    <row r="928" spans="4:9">
      <c r="D928" s="136"/>
      <c r="E928" s="151"/>
      <c r="F928" s="135"/>
      <c r="G928" s="135"/>
      <c r="H928" s="135"/>
      <c r="I928" s="135"/>
    </row>
    <row r="929" spans="4:9">
      <c r="D929" s="136"/>
      <c r="E929" s="151"/>
      <c r="F929" s="135"/>
      <c r="G929" s="135"/>
      <c r="H929" s="135"/>
      <c r="I929" s="135"/>
    </row>
    <row r="930" spans="4:9">
      <c r="D930" s="136"/>
      <c r="E930" s="151"/>
      <c r="F930" s="135"/>
      <c r="G930" s="135"/>
      <c r="H930" s="135"/>
      <c r="I930" s="135"/>
    </row>
    <row r="931" spans="4:9">
      <c r="D931" s="136"/>
      <c r="E931" s="151"/>
      <c r="F931" s="135"/>
      <c r="G931" s="135"/>
      <c r="H931" s="135"/>
      <c r="I931" s="135"/>
    </row>
    <row r="932" spans="4:9">
      <c r="D932" s="136"/>
      <c r="E932" s="151"/>
      <c r="F932" s="135"/>
      <c r="G932" s="135"/>
      <c r="H932" s="135"/>
      <c r="I932" s="135"/>
    </row>
    <row r="933" spans="4:9">
      <c r="D933" s="136"/>
      <c r="E933" s="151"/>
      <c r="F933" s="135"/>
      <c r="G933" s="135"/>
      <c r="H933" s="135"/>
      <c r="I933" s="135"/>
    </row>
    <row r="934" spans="4:9">
      <c r="D934" s="136"/>
      <c r="E934" s="151"/>
      <c r="F934" s="135"/>
      <c r="G934" s="135"/>
      <c r="H934" s="135"/>
      <c r="I934" s="135"/>
    </row>
    <row r="935" spans="4:9">
      <c r="D935" s="136"/>
      <c r="E935" s="151"/>
      <c r="F935" s="135"/>
      <c r="G935" s="135"/>
      <c r="H935" s="135"/>
      <c r="I935" s="135"/>
    </row>
    <row r="936" spans="4:9">
      <c r="D936" s="136"/>
      <c r="E936" s="151"/>
      <c r="F936" s="135"/>
      <c r="G936" s="135"/>
      <c r="H936" s="135"/>
      <c r="I936" s="135"/>
    </row>
    <row r="937" spans="4:9">
      <c r="D937" s="136"/>
      <c r="E937" s="151"/>
      <c r="F937" s="135"/>
      <c r="G937" s="135"/>
      <c r="H937" s="135"/>
      <c r="I937" s="135"/>
    </row>
    <row r="938" spans="4:9">
      <c r="D938" s="136"/>
      <c r="E938" s="151"/>
      <c r="F938" s="135"/>
      <c r="G938" s="135"/>
      <c r="H938" s="135"/>
      <c r="I938" s="135"/>
    </row>
    <row r="939" spans="4:9">
      <c r="D939" s="136"/>
      <c r="E939" s="151"/>
      <c r="F939" s="135"/>
      <c r="G939" s="135"/>
      <c r="H939" s="135"/>
      <c r="I939" s="135"/>
    </row>
    <row r="940" spans="4:9">
      <c r="D940" s="136"/>
      <c r="E940" s="151"/>
      <c r="F940" s="135"/>
      <c r="G940" s="135"/>
      <c r="H940" s="135"/>
      <c r="I940" s="135"/>
    </row>
    <row r="941" spans="4:9">
      <c r="D941" s="136"/>
      <c r="E941" s="151"/>
      <c r="F941" s="135"/>
      <c r="G941" s="135"/>
      <c r="H941" s="135"/>
      <c r="I941" s="135"/>
    </row>
    <row r="942" spans="4:9">
      <c r="D942" s="136"/>
      <c r="E942" s="151"/>
      <c r="F942" s="135"/>
      <c r="G942" s="135"/>
      <c r="H942" s="135"/>
      <c r="I942" s="135"/>
    </row>
    <row r="943" spans="4:9">
      <c r="D943" s="136"/>
      <c r="E943" s="151"/>
      <c r="F943" s="135"/>
      <c r="G943" s="135"/>
      <c r="H943" s="135"/>
      <c r="I943" s="135"/>
    </row>
    <row r="944" spans="4:9">
      <c r="D944" s="136"/>
      <c r="E944" s="151"/>
      <c r="F944" s="135"/>
      <c r="G944" s="135"/>
      <c r="H944" s="135"/>
      <c r="I944" s="135"/>
    </row>
    <row r="945" spans="4:9">
      <c r="D945" s="136"/>
      <c r="E945" s="151"/>
      <c r="F945" s="135"/>
      <c r="G945" s="135"/>
      <c r="H945" s="135"/>
      <c r="I945" s="135"/>
    </row>
    <row r="946" spans="4:9">
      <c r="D946" s="136"/>
      <c r="E946" s="151"/>
      <c r="F946" s="135"/>
      <c r="G946" s="135"/>
      <c r="H946" s="135"/>
      <c r="I946" s="135"/>
    </row>
    <row r="947" spans="4:9">
      <c r="D947" s="136"/>
      <c r="E947" s="151"/>
      <c r="F947" s="135"/>
      <c r="G947" s="135"/>
      <c r="H947" s="135"/>
      <c r="I947" s="135"/>
    </row>
    <row r="948" spans="4:9">
      <c r="D948" s="136"/>
      <c r="E948" s="151"/>
      <c r="F948" s="135"/>
      <c r="G948" s="135"/>
      <c r="H948" s="135"/>
      <c r="I948" s="135"/>
    </row>
    <row r="949" spans="4:9">
      <c r="D949" s="136"/>
      <c r="E949" s="151"/>
      <c r="F949" s="135"/>
      <c r="G949" s="135"/>
      <c r="H949" s="135"/>
      <c r="I949" s="135"/>
    </row>
    <row r="950" spans="4:9">
      <c r="D950" s="136"/>
      <c r="E950" s="151"/>
      <c r="F950" s="135"/>
      <c r="G950" s="135"/>
      <c r="H950" s="135"/>
      <c r="I950" s="135"/>
    </row>
    <row r="951" spans="4:9">
      <c r="D951" s="136"/>
      <c r="E951" s="151"/>
      <c r="F951" s="135"/>
      <c r="G951" s="135"/>
      <c r="H951" s="135"/>
      <c r="I951" s="135"/>
    </row>
    <row r="952" spans="4:9">
      <c r="D952" s="136"/>
      <c r="E952" s="151"/>
      <c r="F952" s="135"/>
      <c r="G952" s="135"/>
      <c r="H952" s="135"/>
      <c r="I952" s="135"/>
    </row>
    <row r="953" spans="4:9">
      <c r="D953" s="136"/>
      <c r="E953" s="151"/>
      <c r="F953" s="135"/>
      <c r="G953" s="135"/>
      <c r="H953" s="135"/>
      <c r="I953" s="135"/>
    </row>
    <row r="954" spans="4:9">
      <c r="D954" s="136"/>
      <c r="E954" s="151"/>
      <c r="F954" s="135"/>
      <c r="G954" s="135"/>
      <c r="H954" s="135"/>
      <c r="I954" s="135"/>
    </row>
    <row r="955" spans="4:9">
      <c r="D955" s="136"/>
      <c r="E955" s="151"/>
      <c r="F955" s="135"/>
      <c r="G955" s="135"/>
      <c r="H955" s="135"/>
      <c r="I955" s="135"/>
    </row>
    <row r="956" spans="4:9">
      <c r="D956" s="136"/>
      <c r="E956" s="151"/>
      <c r="F956" s="135"/>
      <c r="G956" s="135"/>
      <c r="H956" s="135"/>
      <c r="I956" s="135"/>
    </row>
    <row r="957" spans="4:9">
      <c r="D957" s="136"/>
      <c r="E957" s="151"/>
      <c r="F957" s="135"/>
      <c r="G957" s="135"/>
      <c r="H957" s="135"/>
      <c r="I957" s="135"/>
    </row>
    <row r="958" spans="4:9">
      <c r="D958" s="136"/>
      <c r="E958" s="151"/>
      <c r="F958" s="135"/>
      <c r="G958" s="135"/>
      <c r="H958" s="135"/>
      <c r="I958" s="135"/>
    </row>
    <row r="959" spans="4:9">
      <c r="D959" s="136"/>
      <c r="E959" s="151"/>
      <c r="F959" s="135"/>
      <c r="G959" s="135"/>
      <c r="H959" s="135"/>
      <c r="I959" s="135"/>
    </row>
    <row r="960" spans="4:9">
      <c r="D960" s="136"/>
      <c r="E960" s="151"/>
      <c r="F960" s="135"/>
      <c r="G960" s="135"/>
      <c r="H960" s="135"/>
      <c r="I960" s="135"/>
    </row>
    <row r="961" spans="4:9">
      <c r="D961" s="136"/>
      <c r="E961" s="151"/>
      <c r="F961" s="135"/>
      <c r="G961" s="135"/>
      <c r="H961" s="135"/>
      <c r="I961" s="135"/>
    </row>
    <row r="962" spans="4:9">
      <c r="D962" s="136"/>
      <c r="E962" s="151"/>
      <c r="F962" s="135"/>
      <c r="G962" s="135"/>
      <c r="H962" s="135"/>
      <c r="I962" s="135"/>
    </row>
    <row r="963" spans="4:9">
      <c r="D963" s="136"/>
      <c r="E963" s="151"/>
      <c r="F963" s="135"/>
      <c r="G963" s="135"/>
      <c r="H963" s="135"/>
      <c r="I963" s="135"/>
    </row>
    <row r="964" spans="4:9">
      <c r="D964" s="136"/>
      <c r="E964" s="151"/>
      <c r="F964" s="135"/>
      <c r="G964" s="135"/>
      <c r="H964" s="135"/>
      <c r="I964" s="135"/>
    </row>
    <row r="965" spans="4:9">
      <c r="D965" s="136"/>
      <c r="E965" s="151"/>
      <c r="F965" s="135"/>
      <c r="G965" s="135"/>
      <c r="H965" s="135"/>
      <c r="I965" s="135"/>
    </row>
    <row r="966" spans="4:9">
      <c r="D966" s="136"/>
      <c r="E966" s="151"/>
      <c r="F966" s="135"/>
      <c r="G966" s="135"/>
      <c r="H966" s="135"/>
      <c r="I966" s="135"/>
    </row>
    <row r="967" spans="4:9">
      <c r="D967" s="136"/>
      <c r="E967" s="151"/>
      <c r="F967" s="135"/>
      <c r="G967" s="135"/>
      <c r="H967" s="135"/>
      <c r="I967" s="135"/>
    </row>
    <row r="968" spans="4:9">
      <c r="D968" s="136"/>
      <c r="E968" s="151"/>
      <c r="F968" s="135"/>
      <c r="G968" s="135"/>
      <c r="H968" s="135"/>
      <c r="I968" s="135"/>
    </row>
    <row r="969" spans="4:9">
      <c r="D969" s="136"/>
      <c r="E969" s="151"/>
      <c r="F969" s="135"/>
      <c r="G969" s="135"/>
      <c r="H969" s="135"/>
      <c r="I969" s="135"/>
    </row>
    <row r="970" spans="4:9">
      <c r="D970" s="136"/>
      <c r="E970" s="151"/>
      <c r="F970" s="135"/>
      <c r="G970" s="135"/>
      <c r="H970" s="135"/>
      <c r="I970" s="135"/>
    </row>
    <row r="971" spans="4:9">
      <c r="D971" s="136"/>
      <c r="E971" s="151"/>
      <c r="F971" s="135"/>
      <c r="G971" s="135"/>
      <c r="H971" s="135"/>
      <c r="I971" s="135"/>
    </row>
    <row r="972" spans="4:9">
      <c r="D972" s="136"/>
      <c r="E972" s="151"/>
      <c r="F972" s="135"/>
      <c r="G972" s="135"/>
      <c r="H972" s="135"/>
      <c r="I972" s="135"/>
    </row>
    <row r="973" spans="4:9">
      <c r="D973" s="136"/>
      <c r="E973" s="151"/>
      <c r="F973" s="135"/>
      <c r="G973" s="135"/>
      <c r="H973" s="135"/>
      <c r="I973" s="135"/>
    </row>
    <row r="974" spans="4:9">
      <c r="D974" s="136"/>
      <c r="E974" s="151"/>
      <c r="F974" s="135"/>
      <c r="G974" s="135"/>
      <c r="H974" s="135"/>
      <c r="I974" s="135"/>
    </row>
    <row r="975" spans="4:9">
      <c r="D975" s="136"/>
      <c r="E975" s="151"/>
      <c r="F975" s="135"/>
      <c r="G975" s="135"/>
      <c r="H975" s="135"/>
      <c r="I975" s="135"/>
    </row>
    <row r="976" spans="4:9">
      <c r="D976" s="136"/>
      <c r="E976" s="151"/>
      <c r="F976" s="135"/>
      <c r="G976" s="135"/>
      <c r="H976" s="135"/>
      <c r="I976" s="135"/>
    </row>
    <row r="977" spans="4:9">
      <c r="D977" s="136"/>
      <c r="E977" s="151"/>
      <c r="F977" s="135"/>
      <c r="G977" s="135"/>
      <c r="H977" s="135"/>
      <c r="I977" s="135"/>
    </row>
    <row r="978" spans="4:9">
      <c r="D978" s="136"/>
      <c r="E978" s="151"/>
      <c r="F978" s="135"/>
      <c r="G978" s="135"/>
      <c r="H978" s="135"/>
      <c r="I978" s="135"/>
    </row>
    <row r="979" spans="4:9">
      <c r="D979" s="136"/>
      <c r="E979" s="151"/>
      <c r="F979" s="135"/>
      <c r="G979" s="135"/>
      <c r="H979" s="135"/>
      <c r="I979" s="135"/>
    </row>
    <row r="980" spans="4:9">
      <c r="D980" s="136"/>
      <c r="E980" s="151"/>
      <c r="F980" s="135"/>
      <c r="G980" s="135"/>
      <c r="H980" s="135"/>
      <c r="I980" s="135"/>
    </row>
    <row r="981" spans="4:9">
      <c r="D981" s="136"/>
      <c r="E981" s="151"/>
      <c r="F981" s="135"/>
      <c r="G981" s="135"/>
      <c r="H981" s="135"/>
      <c r="I981" s="135"/>
    </row>
    <row r="982" spans="4:9">
      <c r="D982" s="136"/>
      <c r="E982" s="151"/>
      <c r="F982" s="135"/>
      <c r="G982" s="135"/>
      <c r="H982" s="135"/>
      <c r="I982" s="135"/>
    </row>
    <row r="983" spans="4:9">
      <c r="D983" s="136"/>
      <c r="E983" s="151"/>
      <c r="F983" s="135"/>
      <c r="G983" s="135"/>
      <c r="H983" s="135"/>
      <c r="I983" s="135"/>
    </row>
    <row r="984" spans="4:9">
      <c r="D984" s="136"/>
    </row>
    <row r="985" spans="4:9">
      <c r="D985" s="136"/>
    </row>
    <row r="986" spans="4:9">
      <c r="D986" s="136"/>
    </row>
    <row r="987" spans="4:9">
      <c r="D987" s="136"/>
    </row>
  </sheetData>
  <mergeCells count="30">
    <mergeCell ref="E59:E63"/>
    <mergeCell ref="E64:E67"/>
    <mergeCell ref="D59:D63"/>
    <mergeCell ref="D64:D67"/>
    <mergeCell ref="D27:D30"/>
    <mergeCell ref="E27:E30"/>
    <mergeCell ref="D45:D49"/>
    <mergeCell ref="D50:D53"/>
    <mergeCell ref="D54:D58"/>
    <mergeCell ref="E50:E53"/>
    <mergeCell ref="E54:E58"/>
    <mergeCell ref="D31:D35"/>
    <mergeCell ref="E31:E35"/>
    <mergeCell ref="D36:D40"/>
    <mergeCell ref="E36:E40"/>
    <mergeCell ref="D41:D44"/>
    <mergeCell ref="E41:E44"/>
    <mergeCell ref="E45:E49"/>
    <mergeCell ref="E16:E18"/>
    <mergeCell ref="D16:D18"/>
    <mergeCell ref="D19:D23"/>
    <mergeCell ref="E19:E23"/>
    <mergeCell ref="D24:D26"/>
    <mergeCell ref="E24:E26"/>
    <mergeCell ref="D3:D6"/>
    <mergeCell ref="E3:E6"/>
    <mergeCell ref="D7:D10"/>
    <mergeCell ref="E7:E10"/>
    <mergeCell ref="D11:D15"/>
    <mergeCell ref="E11:E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D4" sqref="D4"/>
    </sheetView>
  </sheetViews>
  <sheetFormatPr defaultColWidth="12.6640625" defaultRowHeight="15" customHeight="1"/>
  <cols>
    <col min="1" max="1" width="17.6640625" customWidth="1"/>
    <col min="2" max="2" width="26.33203125" customWidth="1"/>
    <col min="3" max="3" width="37.33203125" customWidth="1"/>
    <col min="4" max="4" width="40" customWidth="1"/>
    <col min="5" max="26" width="8.6640625" customWidth="1"/>
  </cols>
  <sheetData>
    <row r="1" spans="1:4" ht="12.75" customHeight="1">
      <c r="A1" s="281" t="s">
        <v>108</v>
      </c>
      <c r="B1" s="251"/>
      <c r="C1" s="251"/>
      <c r="D1" s="233"/>
    </row>
    <row r="2" spans="1:4" ht="12.75" customHeight="1">
      <c r="A2" s="177" t="s">
        <v>109</v>
      </c>
      <c r="B2" s="178" t="s">
        <v>110</v>
      </c>
      <c r="C2" s="178" t="s">
        <v>111</v>
      </c>
      <c r="D2" s="179">
        <v>1</v>
      </c>
    </row>
    <row r="3" spans="1:4" ht="15.75" customHeight="1">
      <c r="A3" s="177" t="s">
        <v>112</v>
      </c>
      <c r="B3" s="178" t="s">
        <v>113</v>
      </c>
      <c r="C3" s="180" t="s">
        <v>114</v>
      </c>
      <c r="D3" s="181" t="s">
        <v>203</v>
      </c>
    </row>
    <row r="4" spans="1:4" ht="12.75" customHeight="1">
      <c r="A4" s="177" t="s">
        <v>115</v>
      </c>
      <c r="B4" s="182">
        <v>1</v>
      </c>
      <c r="C4" s="183" t="s">
        <v>116</v>
      </c>
      <c r="D4" s="184">
        <f>CSE4098C_Summer2026_Grade!J83</f>
        <v>0</v>
      </c>
    </row>
    <row r="5" spans="1:4" ht="12.75" customHeight="1">
      <c r="A5" s="20"/>
      <c r="B5" s="20"/>
      <c r="C5" s="20"/>
      <c r="D5" s="20"/>
    </row>
    <row r="6" spans="1:4" ht="12.75" customHeight="1">
      <c r="A6" s="282" t="s">
        <v>117</v>
      </c>
      <c r="B6" s="283"/>
      <c r="C6" s="185" t="s">
        <v>118</v>
      </c>
      <c r="D6" s="186" t="s">
        <v>60</v>
      </c>
    </row>
    <row r="7" spans="1:4" ht="12.75" customHeight="1">
      <c r="A7" s="278" t="s">
        <v>29</v>
      </c>
      <c r="B7" s="279"/>
      <c r="C7" s="284" t="s">
        <v>119</v>
      </c>
      <c r="D7" s="187">
        <f>IF(CSE4098C_Summer2026_Grade!$J$83=0, 0,
CO_PO_Attainment_Analysis!AM84 /
CSE4098C_Summer2026_Grade!$J$83)</f>
        <v>0</v>
      </c>
    </row>
    <row r="8" spans="1:4" ht="12.75" customHeight="1">
      <c r="A8" s="282" t="s">
        <v>30</v>
      </c>
      <c r="B8" s="251"/>
      <c r="C8" s="285"/>
      <c r="D8" s="187">
        <f>IF(CSE4098C_Summer2026_Grade!$J$83=0, 0,
CO_PO_Attainment_Analysis!AN84 /
CSE4098C_Summer2026_Grade!$J$83)</f>
        <v>0</v>
      </c>
    </row>
    <row r="9" spans="1:4" ht="12.75" customHeight="1">
      <c r="A9" s="278" t="s">
        <v>31</v>
      </c>
      <c r="B9" s="279"/>
      <c r="C9" s="285"/>
      <c r="D9" s="187">
        <f>IF(CSE4098C_Summer2026_Grade!$J$83=0, 0,
CO_PO_Attainment_Analysis!AO84 /
CSE4098C_Summer2026_Grade!$J$83)</f>
        <v>0</v>
      </c>
    </row>
    <row r="10" spans="1:4" ht="12.75" customHeight="1">
      <c r="A10" s="278" t="s">
        <v>32</v>
      </c>
      <c r="B10" s="279"/>
      <c r="C10" s="285"/>
      <c r="D10" s="187">
        <f>IF(CSE4098C_Summer2026_Grade!$J$83=0, 0,
CO_PO_Attainment_Analysis!AP84 /
CSE4098C_Summer2026_Grade!$J$83)</f>
        <v>0</v>
      </c>
    </row>
    <row r="11" spans="1:4" ht="12.75" customHeight="1">
      <c r="A11" s="278" t="s">
        <v>33</v>
      </c>
      <c r="B11" s="279"/>
      <c r="C11" s="285"/>
      <c r="D11" s="187">
        <f>IF(CSE4098C_Summer2026_Grade!$J$83=0, 0,
CO_PO_Attainment_Analysis!AQ84 /
CSE4098C_Summer2026_Grade!$J$83)</f>
        <v>0</v>
      </c>
    </row>
    <row r="12" spans="1:4" ht="12.75" customHeight="1">
      <c r="A12" s="278" t="s">
        <v>34</v>
      </c>
      <c r="B12" s="279"/>
      <c r="C12" s="285"/>
      <c r="D12" s="187">
        <f>IF(CSE4098C_Summer2026_Grade!$J$83=0, 0,
CO_PO_Attainment_Analysis!AR84 /
CSE4098C_Summer2026_Grade!$J$83)</f>
        <v>0</v>
      </c>
    </row>
    <row r="13" spans="1:4" ht="12.75" customHeight="1">
      <c r="A13" s="278" t="s">
        <v>35</v>
      </c>
      <c r="B13" s="279"/>
      <c r="C13" s="285"/>
      <c r="D13" s="187">
        <f>IF(CSE4098C_Summer2026_Grade!$J$83=0, 0,
CO_PO_Attainment_Analysis!AS84 /
CSE4098C_Summer2026_Grade!$J$83)</f>
        <v>0</v>
      </c>
    </row>
    <row r="14" spans="1:4" ht="12.75" customHeight="1">
      <c r="A14" s="278" t="s">
        <v>36</v>
      </c>
      <c r="B14" s="279"/>
      <c r="C14" s="285"/>
      <c r="D14" s="187">
        <f>IF(CSE4098C_Summer2026_Grade!$J$83=0, 0,
CO_PO_Attainment_Analysis!AT84 /
CSE4098C_Summer2026_Grade!$J$83)</f>
        <v>0</v>
      </c>
    </row>
    <row r="15" spans="1:4" ht="12.75" customHeight="1">
      <c r="A15" s="278" t="s">
        <v>37</v>
      </c>
      <c r="B15" s="279"/>
      <c r="C15" s="285"/>
      <c r="D15" s="187">
        <f>IF(CSE4098C_Summer2026_Grade!$J$83=0, 0,
CO_PO_Attainment_Analysis!AU84 /
CSE4098C_Summer2026_Grade!$J$83)</f>
        <v>0</v>
      </c>
    </row>
    <row r="16" spans="1:4" ht="12.75" customHeight="1">
      <c r="A16" s="278" t="s">
        <v>38</v>
      </c>
      <c r="B16" s="279"/>
      <c r="C16" s="286"/>
      <c r="D16" s="187">
        <f>IF(CSE4098C_Summer2026_Grade!$J$83=0, 0,
CO_PO_Attainment_Analysis!AV84 /
CSE4098C_Summer2026_Grade!$J$83)</f>
        <v>0</v>
      </c>
    </row>
    <row r="17" spans="1:4" ht="12.75" customHeight="1">
      <c r="A17" s="280"/>
      <c r="B17" s="235"/>
      <c r="C17" s="20"/>
      <c r="D17" s="20"/>
    </row>
    <row r="18" spans="1:4" ht="12.75" customHeight="1">
      <c r="A18" s="288" t="s">
        <v>120</v>
      </c>
      <c r="B18" s="289"/>
      <c r="C18" s="289"/>
      <c r="D18" s="289"/>
    </row>
    <row r="19" spans="1:4" ht="12.75" customHeight="1">
      <c r="A19" s="290" t="s">
        <v>121</v>
      </c>
      <c r="B19" s="268"/>
      <c r="C19" s="268"/>
      <c r="D19" s="262"/>
    </row>
    <row r="20" spans="1:4" ht="12.75" customHeight="1">
      <c r="A20" s="287"/>
      <c r="B20" s="268"/>
      <c r="C20" s="268"/>
      <c r="D20" s="262"/>
    </row>
    <row r="21" spans="1:4" ht="12.75" customHeight="1">
      <c r="A21" s="188"/>
      <c r="B21" s="189"/>
      <c r="C21" s="189"/>
      <c r="D21" s="190"/>
    </row>
    <row r="22" spans="1:4" ht="12.75" customHeight="1">
      <c r="A22" s="287"/>
      <c r="B22" s="268"/>
      <c r="C22" s="268"/>
      <c r="D22" s="262"/>
    </row>
    <row r="23" spans="1:4" ht="12.75" customHeight="1">
      <c r="A23" s="191"/>
      <c r="B23" s="189"/>
      <c r="C23" s="189"/>
      <c r="D23" s="190"/>
    </row>
    <row r="24" spans="1:4" ht="12.75" customHeight="1">
      <c r="A24" s="287"/>
      <c r="B24" s="268"/>
      <c r="C24" s="268"/>
      <c r="D24" s="262"/>
    </row>
    <row r="25" spans="1:4" ht="12.75" customHeight="1">
      <c r="A25" s="191"/>
      <c r="B25" s="189"/>
      <c r="C25" s="189"/>
      <c r="D25" s="190"/>
    </row>
    <row r="26" spans="1:4" ht="12.75" customHeight="1">
      <c r="A26" s="287"/>
      <c r="B26" s="268"/>
      <c r="C26" s="268"/>
      <c r="D26" s="262"/>
    </row>
    <row r="27" spans="1:4" ht="12.75" customHeight="1">
      <c r="A27" s="287"/>
      <c r="B27" s="268"/>
      <c r="C27" s="268"/>
      <c r="D27" s="262"/>
    </row>
    <row r="28" spans="1:4" ht="12.75" customHeight="1">
      <c r="A28" s="287"/>
      <c r="B28" s="268"/>
      <c r="C28" s="268"/>
      <c r="D28" s="262"/>
    </row>
    <row r="29" spans="1:4" ht="12.75" customHeight="1">
      <c r="A29" s="287"/>
      <c r="B29" s="268"/>
      <c r="C29" s="268"/>
      <c r="D29" s="262"/>
    </row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">
    <mergeCell ref="A28:D28"/>
    <mergeCell ref="A29:D29"/>
    <mergeCell ref="A18:D18"/>
    <mergeCell ref="A19:D19"/>
    <mergeCell ref="A20:D20"/>
    <mergeCell ref="A22:D22"/>
    <mergeCell ref="A24:D24"/>
    <mergeCell ref="A26:D26"/>
    <mergeCell ref="A27:D27"/>
    <mergeCell ref="A16:B16"/>
    <mergeCell ref="A17:B17"/>
    <mergeCell ref="A1:D1"/>
    <mergeCell ref="A6:B6"/>
    <mergeCell ref="A7:B7"/>
    <mergeCell ref="C7:C16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sqref="A1:E1"/>
    </sheetView>
  </sheetViews>
  <sheetFormatPr defaultColWidth="12.6640625" defaultRowHeight="15" customHeight="1"/>
  <cols>
    <col min="1" max="1" width="41.109375" customWidth="1"/>
    <col min="2" max="2" width="29.88671875" customWidth="1"/>
    <col min="3" max="26" width="12.44140625" customWidth="1"/>
  </cols>
  <sheetData>
    <row r="1" spans="1:26" ht="15" customHeight="1">
      <c r="A1" s="294" t="s">
        <v>130</v>
      </c>
      <c r="B1" s="259"/>
      <c r="C1" s="259"/>
      <c r="D1" s="259"/>
      <c r="E1" s="257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spans="1:26" ht="13.2">
      <c r="A2" s="211"/>
      <c r="B2" s="211"/>
      <c r="C2" s="211"/>
      <c r="D2" s="211"/>
      <c r="E2" s="211"/>
      <c r="F2" s="211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spans="1:26" ht="15" customHeight="1">
      <c r="A3" s="212" t="s">
        <v>131</v>
      </c>
      <c r="B3" s="213" t="s">
        <v>4</v>
      </c>
      <c r="C3" s="213" t="s">
        <v>3</v>
      </c>
      <c r="D3" s="213" t="s">
        <v>132</v>
      </c>
      <c r="E3" s="213" t="s">
        <v>133</v>
      </c>
      <c r="F3" s="213" t="s">
        <v>134</v>
      </c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13.8">
      <c r="A4" s="295" t="s">
        <v>135</v>
      </c>
      <c r="B4" s="214" t="s">
        <v>136</v>
      </c>
      <c r="C4" s="215">
        <v>183014045</v>
      </c>
      <c r="D4" s="214" t="s">
        <v>137</v>
      </c>
      <c r="E4" s="298" t="s">
        <v>138</v>
      </c>
      <c r="F4" s="216" t="s">
        <v>139</v>
      </c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spans="1:26" ht="13.8">
      <c r="A5" s="296"/>
      <c r="B5" s="214" t="s">
        <v>140</v>
      </c>
      <c r="C5" s="215">
        <v>173014049</v>
      </c>
      <c r="D5" s="214" t="s">
        <v>137</v>
      </c>
      <c r="E5" s="299"/>
      <c r="F5" s="216" t="s">
        <v>141</v>
      </c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13.8">
      <c r="A6" s="297"/>
      <c r="B6" s="214" t="s">
        <v>142</v>
      </c>
      <c r="C6" s="215">
        <v>181014091</v>
      </c>
      <c r="D6" s="214" t="s">
        <v>137</v>
      </c>
      <c r="E6" s="300"/>
      <c r="F6" s="216" t="s">
        <v>143</v>
      </c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spans="1:26" ht="13.2">
      <c r="A7" s="217"/>
      <c r="B7" s="217"/>
      <c r="C7" s="217"/>
      <c r="D7" s="217"/>
      <c r="E7" s="217"/>
      <c r="F7" s="211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spans="1:26" ht="13.8">
      <c r="A8" s="295" t="s">
        <v>144</v>
      </c>
      <c r="B8" s="214" t="s">
        <v>145</v>
      </c>
      <c r="C8" s="215">
        <v>191014043</v>
      </c>
      <c r="D8" s="214" t="s">
        <v>146</v>
      </c>
      <c r="E8" s="298" t="s">
        <v>138</v>
      </c>
      <c r="F8" s="216" t="s">
        <v>139</v>
      </c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spans="1:26" ht="13.8">
      <c r="A9" s="296"/>
      <c r="B9" s="214" t="s">
        <v>147</v>
      </c>
      <c r="C9" s="215">
        <v>191014016</v>
      </c>
      <c r="D9" s="214" t="s">
        <v>146</v>
      </c>
      <c r="E9" s="299"/>
      <c r="F9" s="216" t="s">
        <v>141</v>
      </c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spans="1:26" ht="13.8">
      <c r="A10" s="297"/>
      <c r="B10" s="214" t="s">
        <v>148</v>
      </c>
      <c r="C10" s="215">
        <v>183014023</v>
      </c>
      <c r="D10" s="214" t="s">
        <v>146</v>
      </c>
      <c r="E10" s="300"/>
      <c r="F10" s="216" t="s">
        <v>143</v>
      </c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spans="1:26" ht="13.2">
      <c r="A11" s="217"/>
      <c r="B11" s="217"/>
      <c r="C11" s="217"/>
      <c r="D11" s="217"/>
      <c r="E11" s="217"/>
      <c r="F11" s="211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spans="1:26" ht="13.8">
      <c r="A12" s="295" t="s">
        <v>149</v>
      </c>
      <c r="B12" s="214" t="s">
        <v>150</v>
      </c>
      <c r="C12" s="215">
        <v>183014034</v>
      </c>
      <c r="D12" s="214" t="s">
        <v>151</v>
      </c>
      <c r="E12" s="298" t="s">
        <v>152</v>
      </c>
      <c r="F12" s="216" t="s">
        <v>153</v>
      </c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spans="1:26" ht="13.8">
      <c r="A13" s="296"/>
      <c r="B13" s="214" t="s">
        <v>154</v>
      </c>
      <c r="C13" s="215">
        <v>192014001</v>
      </c>
      <c r="D13" s="214" t="s">
        <v>151</v>
      </c>
      <c r="E13" s="299"/>
      <c r="F13" s="216" t="s">
        <v>141</v>
      </c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spans="1:26" ht="13.8">
      <c r="A14" s="297"/>
      <c r="B14" s="214" t="s">
        <v>155</v>
      </c>
      <c r="C14" s="215">
        <v>181014038</v>
      </c>
      <c r="D14" s="214" t="s">
        <v>151</v>
      </c>
      <c r="E14" s="300"/>
      <c r="F14" s="216" t="s">
        <v>156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spans="1:26" ht="13.2">
      <c r="A15" s="217"/>
      <c r="B15" s="217"/>
      <c r="C15" s="217"/>
      <c r="D15" s="217"/>
      <c r="E15" s="217"/>
      <c r="F15" s="211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spans="1:26" ht="13.8">
      <c r="A16" s="295" t="s">
        <v>157</v>
      </c>
      <c r="B16" s="214" t="s">
        <v>158</v>
      </c>
      <c r="C16" s="215">
        <v>192014010</v>
      </c>
      <c r="D16" s="214" t="s">
        <v>159</v>
      </c>
      <c r="E16" s="298" t="s">
        <v>160</v>
      </c>
      <c r="F16" s="216" t="s">
        <v>161</v>
      </c>
      <c r="G16" s="291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spans="1:26" ht="13.8">
      <c r="A17" s="296"/>
      <c r="B17" s="214" t="s">
        <v>162</v>
      </c>
      <c r="C17" s="215">
        <v>192014004</v>
      </c>
      <c r="D17" s="214" t="s">
        <v>159</v>
      </c>
      <c r="E17" s="299"/>
      <c r="F17" s="216" t="s">
        <v>143</v>
      </c>
      <c r="G17" s="292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spans="1:26" ht="13.8">
      <c r="A18" s="296"/>
      <c r="B18" s="214" t="s">
        <v>163</v>
      </c>
      <c r="C18" s="215">
        <v>191014044</v>
      </c>
      <c r="D18" s="214" t="s">
        <v>159</v>
      </c>
      <c r="E18" s="299"/>
      <c r="F18" s="216" t="s">
        <v>156</v>
      </c>
      <c r="G18" s="292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spans="1:26" ht="13.8">
      <c r="A19" s="297"/>
      <c r="B19" s="214" t="s">
        <v>164</v>
      </c>
      <c r="C19" s="215">
        <v>182014006</v>
      </c>
      <c r="D19" s="214" t="s">
        <v>159</v>
      </c>
      <c r="E19" s="300"/>
      <c r="F19" s="216"/>
      <c r="G19" s="293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spans="1:26" ht="13.2">
      <c r="A20" s="217"/>
      <c r="B20" s="217"/>
      <c r="C20" s="217"/>
      <c r="D20" s="217"/>
      <c r="E20" s="217"/>
      <c r="F20" s="211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13.8">
      <c r="A21" s="295" t="s">
        <v>165</v>
      </c>
      <c r="B21" s="214" t="s">
        <v>166</v>
      </c>
      <c r="C21" s="215">
        <v>191014001</v>
      </c>
      <c r="D21" s="214" t="s">
        <v>151</v>
      </c>
      <c r="E21" s="298" t="s">
        <v>160</v>
      </c>
      <c r="F21" s="216" t="s">
        <v>161</v>
      </c>
      <c r="G21" s="291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spans="1:26" ht="13.8">
      <c r="A22" s="296"/>
      <c r="B22" s="214" t="s">
        <v>167</v>
      </c>
      <c r="C22" s="215">
        <v>191014060</v>
      </c>
      <c r="D22" s="214" t="s">
        <v>151</v>
      </c>
      <c r="E22" s="299"/>
      <c r="F22" s="216" t="s">
        <v>156</v>
      </c>
      <c r="G22" s="292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spans="1:26" ht="13.8">
      <c r="A23" s="297"/>
      <c r="B23" s="214"/>
      <c r="C23" s="214"/>
      <c r="D23" s="214"/>
      <c r="E23" s="300"/>
      <c r="F23" s="216" t="s">
        <v>168</v>
      </c>
      <c r="G23" s="293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spans="1:26" ht="13.2">
      <c r="A24" s="217"/>
      <c r="B24" s="217"/>
      <c r="C24" s="217"/>
      <c r="D24" s="217"/>
      <c r="E24" s="217"/>
      <c r="F24" s="211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spans="1:26" ht="13.8">
      <c r="A25" s="295" t="s">
        <v>169</v>
      </c>
      <c r="B25" s="214" t="s">
        <v>170</v>
      </c>
      <c r="C25" s="215">
        <v>183014046</v>
      </c>
      <c r="D25" s="214" t="s">
        <v>151</v>
      </c>
      <c r="E25" s="298" t="s">
        <v>152</v>
      </c>
      <c r="F25" s="216" t="s">
        <v>171</v>
      </c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spans="1:26" ht="13.8">
      <c r="A26" s="296"/>
      <c r="B26" s="214" t="s">
        <v>172</v>
      </c>
      <c r="C26" s="215">
        <v>183014061</v>
      </c>
      <c r="D26" s="214" t="s">
        <v>151</v>
      </c>
      <c r="E26" s="299"/>
      <c r="F26" s="216" t="s">
        <v>173</v>
      </c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spans="1:26" ht="13.8">
      <c r="A27" s="297"/>
      <c r="B27" s="214" t="s">
        <v>174</v>
      </c>
      <c r="C27" s="215">
        <v>191014008</v>
      </c>
      <c r="D27" s="214" t="s">
        <v>151</v>
      </c>
      <c r="E27" s="300"/>
      <c r="F27" s="216" t="s">
        <v>168</v>
      </c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spans="1:26" ht="13.2">
      <c r="A28" s="217"/>
      <c r="B28" s="217"/>
      <c r="C28" s="217"/>
      <c r="D28" s="217"/>
      <c r="E28" s="78"/>
      <c r="F28" s="217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spans="1:26" ht="13.8">
      <c r="A29" s="302" t="s">
        <v>175</v>
      </c>
      <c r="B29" s="214" t="s">
        <v>176</v>
      </c>
      <c r="C29" s="215">
        <v>183014030</v>
      </c>
      <c r="D29" s="214"/>
      <c r="E29" s="298" t="s">
        <v>152</v>
      </c>
      <c r="F29" s="216" t="s">
        <v>153</v>
      </c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spans="1:26" ht="13.8">
      <c r="A30" s="296"/>
      <c r="B30" s="214" t="s">
        <v>177</v>
      </c>
      <c r="C30" s="215">
        <v>183014067</v>
      </c>
      <c r="D30" s="214"/>
      <c r="E30" s="299"/>
      <c r="F30" s="216" t="s">
        <v>173</v>
      </c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spans="1:26" ht="13.8">
      <c r="A31" s="297"/>
      <c r="B31" s="214" t="s">
        <v>178</v>
      </c>
      <c r="C31" s="215">
        <v>183014041</v>
      </c>
      <c r="D31" s="214"/>
      <c r="E31" s="300"/>
      <c r="F31" s="216" t="s">
        <v>168</v>
      </c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spans="1:26" ht="13.2">
      <c r="A32" s="211"/>
      <c r="B32" s="211"/>
      <c r="C32" s="211"/>
      <c r="D32" s="211"/>
      <c r="E32" s="211"/>
      <c r="F32" s="211"/>
      <c r="G32" s="78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spans="1:26" ht="13.8">
      <c r="A33" s="301" t="s">
        <v>179</v>
      </c>
      <c r="B33" s="218" t="s">
        <v>180</v>
      </c>
      <c r="C33" s="219">
        <v>183014014</v>
      </c>
      <c r="D33" s="218" t="s">
        <v>146</v>
      </c>
      <c r="E33" s="298" t="s">
        <v>181</v>
      </c>
      <c r="F33" s="216" t="s">
        <v>153</v>
      </c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spans="1:26" ht="13.8">
      <c r="A34" s="296"/>
      <c r="B34" s="218" t="s">
        <v>182</v>
      </c>
      <c r="C34" s="219">
        <v>172014064</v>
      </c>
      <c r="D34" s="218" t="s">
        <v>146</v>
      </c>
      <c r="E34" s="299"/>
      <c r="F34" s="216" t="s">
        <v>173</v>
      </c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spans="1:26" ht="13.8">
      <c r="A35" s="296"/>
      <c r="B35" s="218" t="s">
        <v>183</v>
      </c>
      <c r="C35" s="219">
        <v>171014045</v>
      </c>
      <c r="D35" s="218" t="s">
        <v>146</v>
      </c>
      <c r="E35" s="299"/>
      <c r="F35" s="216" t="s">
        <v>143</v>
      </c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spans="1:26" ht="13.8">
      <c r="A36" s="297"/>
      <c r="B36" s="218" t="s">
        <v>184</v>
      </c>
      <c r="C36" s="219">
        <v>142014040</v>
      </c>
      <c r="D36" s="218" t="s">
        <v>146</v>
      </c>
      <c r="E36" s="300"/>
      <c r="F36" s="22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spans="1:26" ht="13.2">
      <c r="A37" s="211"/>
      <c r="B37" s="211"/>
      <c r="C37" s="211"/>
      <c r="D37" s="211"/>
      <c r="E37" s="211"/>
      <c r="F37" s="211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spans="1:26" ht="13.8">
      <c r="A38" s="301" t="s">
        <v>185</v>
      </c>
      <c r="B38" s="218" t="s">
        <v>186</v>
      </c>
      <c r="C38" s="219">
        <v>133014018</v>
      </c>
      <c r="D38" s="218" t="s">
        <v>159</v>
      </c>
      <c r="E38" s="298" t="s">
        <v>187</v>
      </c>
      <c r="F38" s="216" t="s">
        <v>153</v>
      </c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spans="1:26" ht="13.8">
      <c r="A39" s="296"/>
      <c r="B39" s="218" t="s">
        <v>188</v>
      </c>
      <c r="C39" s="219">
        <v>171014034</v>
      </c>
      <c r="D39" s="218" t="s">
        <v>159</v>
      </c>
      <c r="E39" s="299"/>
      <c r="F39" s="216" t="s">
        <v>173</v>
      </c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spans="1:26" ht="13.8">
      <c r="A40" s="297"/>
      <c r="B40" s="218" t="s">
        <v>189</v>
      </c>
      <c r="C40" s="219">
        <v>192014002</v>
      </c>
      <c r="D40" s="218" t="s">
        <v>159</v>
      </c>
      <c r="E40" s="300"/>
      <c r="F40" s="216" t="s">
        <v>141</v>
      </c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spans="1:26" ht="13.2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spans="1:26" ht="13.2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spans="1:26" ht="13.2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spans="1:26" ht="13.2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spans="1:26" ht="13.2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spans="1:26" ht="13.2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spans="1:26" ht="13.2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spans="1:26" ht="13.2">
      <c r="A48" s="210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spans="1:26" ht="13.2">
      <c r="A49" s="210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spans="1:26" ht="13.2">
      <c r="A50" s="210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spans="1:26" ht="13.2">
      <c r="A51" s="210"/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spans="1:26" ht="13.2">
      <c r="A52" s="210"/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spans="1:26" ht="13.2">
      <c r="A53" s="210"/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spans="1:26" ht="13.2">
      <c r="A54" s="210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spans="1:26" ht="13.2">
      <c r="A55" s="210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spans="1:26" ht="13.2">
      <c r="A56" s="210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spans="1:26" ht="13.2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spans="1:26" ht="13.2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spans="1:26" ht="13.2">
      <c r="A59" s="210"/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spans="1:26" ht="13.2">
      <c r="A60" s="210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spans="1:26" ht="13.2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spans="1:26" ht="13.2">
      <c r="A62" s="210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spans="1:26" ht="13.2">
      <c r="A63" s="210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spans="1:26" ht="13.2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spans="1:26" ht="13.2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spans="1:26" ht="13.2">
      <c r="A66" s="210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spans="1:26" ht="13.2">
      <c r="A67" s="210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spans="1:26" ht="13.2">
      <c r="A68" s="210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spans="1:26" ht="13.2">
      <c r="A69" s="210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spans="1:26" ht="13.2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spans="1:26" ht="13.2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spans="1:26" ht="13.2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spans="1:26" ht="13.2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spans="1:26" ht="13.2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spans="1:26" ht="13.2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spans="1:26" ht="13.2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spans="1:26" ht="13.2">
      <c r="A77" s="210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spans="1:26" ht="13.2">
      <c r="A78" s="210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spans="1:26" ht="13.2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spans="1:26" ht="13.2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spans="1:26" ht="13.2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spans="1:26" ht="13.2">
      <c r="A82" s="210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spans="1:26" ht="13.2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spans="1:26" ht="13.2">
      <c r="A84" s="210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spans="1:26" ht="13.2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spans="1:26" ht="13.2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spans="1:26" ht="13.2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spans="1:26" ht="13.2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spans="1:26" ht="13.2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spans="1:26" ht="13.2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spans="1:26" ht="13.2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spans="1:26" ht="13.2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spans="1:26" ht="13.2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spans="1:26" ht="13.2">
      <c r="A94" s="210"/>
      <c r="B94" s="210"/>
      <c r="C94" s="210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spans="1:26" ht="13.2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spans="1:26" ht="13.2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spans="1:26" ht="13.2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spans="1:26" ht="13.2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spans="1:26" ht="13.2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spans="1:26" ht="13.2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spans="1:26" ht="13.2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spans="1:26" ht="13.2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spans="1:26" ht="13.2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spans="1:26" ht="13.2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spans="1:26" ht="13.2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spans="1:26" ht="13.2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spans="1:26" ht="13.2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spans="1:26" ht="13.2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spans="1:26" ht="13.2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spans="1:26" ht="13.2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spans="1:26" ht="13.2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spans="1:26" ht="13.2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spans="1:26" ht="13.2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spans="1:26" ht="13.2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spans="1:26" ht="13.2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spans="1:26" ht="13.2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spans="1:26" ht="13.2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spans="1:26" ht="13.2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spans="1:26" ht="13.2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spans="1:26" ht="13.2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spans="1:26" ht="13.2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spans="1:26" ht="13.2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spans="1:26" ht="13.2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spans="1:26" ht="13.2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spans="1:26" ht="13.2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spans="1:26" ht="13.2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spans="1:26" ht="13.2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spans="1:26" ht="13.2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spans="1:26" ht="13.2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1:26" ht="13.2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spans="1:26" ht="13.2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1:26" ht="13.2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spans="1:26" ht="13.2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spans="1:26" ht="13.2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spans="1:26" ht="13.2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spans="1:26" ht="13.2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spans="1:26" ht="13.2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spans="1:26" ht="13.2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spans="1:26" ht="13.2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spans="1:26" ht="13.2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spans="1:26" ht="13.2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spans="1:26" ht="13.2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spans="1:26" ht="13.2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spans="1:26" ht="13.2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spans="1:26" ht="13.2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spans="1:26" ht="13.2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spans="1:26" ht="13.2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spans="1:26" ht="13.2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spans="1:26" ht="13.2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spans="1:26" ht="13.2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spans="1:26" ht="13.2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spans="1:26" ht="13.2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spans="1:26" ht="13.2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spans="1:26" ht="13.2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spans="1:26" ht="13.2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spans="1:26" ht="13.2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spans="1:26" ht="13.2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spans="1:26" ht="13.2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spans="1:26" ht="13.2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spans="1:26" ht="13.2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spans="1:26" ht="13.2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spans="1:26" ht="13.2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spans="1:26" ht="13.2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spans="1:26" ht="13.2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spans="1:26" ht="13.2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spans="1:26" ht="13.2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spans="1:26" ht="13.2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spans="1:26" ht="13.2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spans="1:26" ht="13.2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spans="1:26" ht="13.2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spans="1:26" ht="13.2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spans="1:26" ht="13.2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spans="1:26" ht="13.2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spans="1:26" ht="13.2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spans="1:26" ht="13.2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spans="1:26" ht="13.2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spans="1:26" ht="13.2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spans="1:26" ht="13.2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spans="1:26" ht="13.2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spans="1:26" ht="13.2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spans="1:26" ht="13.2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spans="1:26" ht="13.2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spans="1:26" ht="13.2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spans="1:26" ht="13.2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spans="1:26" ht="13.2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spans="1:26" ht="13.2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spans="1:26" ht="13.2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spans="1:26" ht="13.2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spans="1:26" ht="13.2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spans="1:26" ht="13.2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spans="1:26" ht="13.2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spans="1:26" ht="13.2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spans="1:26" ht="13.2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spans="1:26" ht="13.2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spans="1:26" ht="13.2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spans="1:26" ht="13.2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spans="1:26" ht="13.2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spans="1:26" ht="13.2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spans="1:26" ht="13.2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spans="1:26" ht="13.2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spans="1:26" ht="13.2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spans="1:26" ht="13.2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spans="1:26" ht="13.2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spans="1:26" ht="13.2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spans="1:26" ht="13.2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spans="1:26" ht="13.2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spans="1:26" ht="13.2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spans="1:26" ht="13.2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spans="1:26" ht="13.2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spans="1:26" ht="13.2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spans="1:26" ht="13.2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spans="1:26" ht="13.2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spans="1:26" ht="13.2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spans="1:26" ht="13.2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spans="1:26" ht="13.2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spans="1:26" ht="13.2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spans="1:26" ht="13.2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spans="1:26" ht="13.2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spans="1:26" ht="13.2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spans="1:26" ht="13.2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spans="1:26" ht="13.2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13.2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spans="1:26" ht="13.2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spans="1:26" ht="13.2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spans="1:26" ht="13.2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spans="1:26" ht="13.2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spans="1:26" ht="13.2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spans="1:26" ht="13.2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1:26" ht="13.2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spans="1:26" ht="13.2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spans="1:26" ht="13.2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spans="1:26" ht="13.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3.2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3.2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3.2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3.2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3.2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3.2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3.2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3.2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3.2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3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3.2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3.2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3.2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3.2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3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3.2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3.2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3.2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3.2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3.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3.2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3.2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3.2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3.2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3.2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3.2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3.2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3.2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3.2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3.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3.2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3.2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3.2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3.2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3.2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3.2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3.2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3.2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3.2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3.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3.2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3.2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3.2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3.2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3.2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3.2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3.2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3.2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3.2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3.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3.2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3.2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3.2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3.2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3.2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3.2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3.2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3.2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3.2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3.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3.2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3.2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3.2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3.2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3.2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3.2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3.2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3.2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3.2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3.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3.2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3.2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3.2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3.2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3.2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3.2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3.2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3.2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3.2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3.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3.2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3.2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3.2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3.2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3.2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3.2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3.2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3.2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3.2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3.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3.2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3.2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3.2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3.2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3.2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3.2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3.2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3.2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3.2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3.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3.2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3.2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3.2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3.2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3.2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3.2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3.2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3.2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3.2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3.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3.2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3.2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3.2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3.2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3.2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3.2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3.2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3.2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3.2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3.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3.2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3.2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3.2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3.2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3.2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3.2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3.2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3.2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3.2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3.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3.2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3.2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3.2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3.2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3.2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2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3.2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3.2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3.2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3.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3.2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3.2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3.2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3.2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3.2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3.2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3.2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3.2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3.2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3.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3.2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3.2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3.2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3.2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3.2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3.2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3.2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3.2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3.2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3.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3.2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3.2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3.2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3.2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3.2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3.2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3.2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3.2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3.2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3.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3.2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3.2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3.2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3.2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3.2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3.2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3.2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3.2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3.2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3.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3.2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3.2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3.2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3.2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3.2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3.2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3.2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3.2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3.2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3.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3.2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3.2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3.2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3.2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3.2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3.2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3.2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3.2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3.2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3.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3.2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3.2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3.2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3.2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3.2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3.2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3.2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3.2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3.2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3.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3.2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3.2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3.2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3.2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3.2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3.2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3.2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3.2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3.2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3.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3.2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3.2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3.2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3.2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3.2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3.2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3.2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3.2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3.2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3.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3.2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3.2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3.2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3.2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3.2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3.2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3.2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3.2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3.2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3.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3.2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3.2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3.2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3.2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3.2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3.2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3.2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3.2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3.2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3.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3.2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3.2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3.2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3.2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3.2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3.2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3.2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3.2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3.2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3.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3.2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3.2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3.2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3.2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3.2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3.2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3.2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3.2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3.2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3.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3.2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3.2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3.2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3.2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3.2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3.2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3.2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3.2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3.2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3.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3.2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3.2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3.2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3.2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3.2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3.2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3.2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3.2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3.2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3.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3.2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3.2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3.2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3.2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3.2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3.2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3.2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3.2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3.2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3.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3.2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3.2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3.2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3.2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3.2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3.2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3.2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3.2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3.2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3.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3.2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3.2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3.2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3.2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3.2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3.2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3.2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3.2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3.2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3.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3.2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3.2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3.2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3.2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3.2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3.2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3.2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3.2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3.2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3.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3.2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3.2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3.2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3.2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3.2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3.2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3.2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3.2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3.2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3.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3.2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3.2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3.2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3.2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3.2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3.2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3.2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3.2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3.2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3.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3.2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3.2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3.2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3.2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3.2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3.2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3.2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3.2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3.2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3.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3.2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3.2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3.2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3.2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3.2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3.2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3.2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3.2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3.2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3.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3.2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3.2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3.2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3.2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3.2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3.2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3.2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3.2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3.2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3.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3.2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3.2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3.2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3.2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3.2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3.2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3.2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3.2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3.2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3.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3.2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3.2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3.2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3.2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3.2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3.2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3.2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3.2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3.2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3.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3.2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3.2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3.2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3.2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3.2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3.2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3.2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3.2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3.2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3.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3.2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3.2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3.2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3.2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3.2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3.2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3.2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3.2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3.2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3.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3.2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3.2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3.2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3.2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3.2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3.2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3.2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3.2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3.2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3.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3.2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3.2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3.2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3.2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3.2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3.2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3.2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3.2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3.2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3.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3.2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3.2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3.2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3.2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3.2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3.2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3.2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3.2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3.2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3.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3.2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3.2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3.2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3.2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3.2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3.2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3.2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3.2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3.2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3.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3.2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3.2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3.2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3.2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3.2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3.2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3.2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3.2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3.2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3.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3.2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3.2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3.2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3.2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3.2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3.2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3.2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3.2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3.2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3.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3.2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3.2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3.2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3.2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3.2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3.2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3.2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3.2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3.2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3.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3.2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3.2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3.2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3.2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3.2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3.2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3.2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3.2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3.2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3.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3.2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3.2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3.2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3.2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3.2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3.2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3.2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3.2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3.2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3.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3.2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3.2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3.2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3.2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3.2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3.2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3.2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3.2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3.2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3.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3.2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3.2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3.2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3.2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3.2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3.2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3.2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3.2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3.2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3.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3.2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3.2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3.2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3.2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3.2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3.2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3.2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3.2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3.2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3.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3.2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3.2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3.2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3.2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3.2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3.2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3.2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3.2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3.2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3.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3.2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3.2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3.2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3.2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3.2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3.2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3.2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3.2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3.2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3.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3.2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3.2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3.2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3.2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3.2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3.2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3.2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3.2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3.2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3.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3.2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3.2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3.2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3.2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3.2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3.2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3.2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3.2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3.2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3.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3.2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3.2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3.2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3.2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3.2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3.2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3.2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3.2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3.2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3.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3.2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3.2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3.2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3.2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3.2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3.2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3.2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3.2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3.2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3.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3.2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3.2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3.2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3.2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3.2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3.2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3.2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3.2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3.2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3.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3.2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3.2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3.2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3.2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3.2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3.2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3.2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3.2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3.2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3.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3.2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3.2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3.2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3.2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3.2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3.2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3.2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3.2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3.2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3.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3.2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3.2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3.2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3.2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3.2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3.2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3.2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3.2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3.2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3.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3.2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3.2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3.2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3.2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3.2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3.2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3.2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3.2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3.2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3.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3.2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3.2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3.2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3.2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3.2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3.2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3.2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3.2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3.2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3.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3.2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3.2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3.2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3.2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3.2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3.2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3.2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3.2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3.2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3.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3.2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3.2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3.2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3.2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3.2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3.2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3.2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3.2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3.2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3.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3.2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3.2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3.2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3.2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3.2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3.2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3.2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3.2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3.2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3.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3.2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3.2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3.2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3.2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3.2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3.2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3.2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3.2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3.2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3.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3.2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3.2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3.2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3.2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3.2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3.2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3.2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3.2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3.2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3.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3.2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3.2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3.2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3.2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3.2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3.2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3.2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3.2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3.2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3.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3.2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3.2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3.2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3.2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3.2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3.2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3.2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3.2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3.2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3.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3.2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3.2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3.2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3.2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3.2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3.2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3.2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3.2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3.2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3.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3.2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3.2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3.2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3.2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3.2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3.2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3.2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3.2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3.2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3.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3.2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3.2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3.2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3.2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3.2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3.2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3.2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3.2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3.2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3.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3.2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3.2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3.2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3.2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3.2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3.2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3.2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3.2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21">
    <mergeCell ref="G21:G23"/>
    <mergeCell ref="A25:A27"/>
    <mergeCell ref="E25:E27"/>
    <mergeCell ref="A29:A31"/>
    <mergeCell ref="A33:A36"/>
    <mergeCell ref="E29:E31"/>
    <mergeCell ref="E33:E36"/>
    <mergeCell ref="A38:A40"/>
    <mergeCell ref="E38:E40"/>
    <mergeCell ref="A21:A23"/>
    <mergeCell ref="E21:E23"/>
    <mergeCell ref="E12:E14"/>
    <mergeCell ref="E16:E19"/>
    <mergeCell ref="G16:G19"/>
    <mergeCell ref="A1:E1"/>
    <mergeCell ref="A4:A6"/>
    <mergeCell ref="E4:E6"/>
    <mergeCell ref="A8:A10"/>
    <mergeCell ref="E8:E10"/>
    <mergeCell ref="A12:A14"/>
    <mergeCell ref="A16:A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CSE4098C_Summer2026_Grade</vt:lpstr>
      <vt:lpstr>CSE4098C_Summer2026_Report</vt:lpstr>
      <vt:lpstr>CSE4098C_Summer2026_Poster</vt:lpstr>
      <vt:lpstr>CSE4098C_Spring26_Presentation</vt:lpstr>
      <vt:lpstr>CO_PO_Attainment_Analysis</vt:lpstr>
      <vt:lpstr>CO_Report_Evaluation</vt:lpstr>
      <vt:lpstr>Poster Evaluation</vt:lpstr>
      <vt:lpstr>ContinuousQualityAssessment</vt:lpstr>
      <vt:lpstr>Supervisor_Evaluator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Shifat</dc:creator>
  <cp:lastModifiedBy>Office</cp:lastModifiedBy>
  <dcterms:created xsi:type="dcterms:W3CDTF">2016-06-01T10:56:26Z</dcterms:created>
  <dcterms:modified xsi:type="dcterms:W3CDTF">2026-09-15T17:50:16Z</dcterms:modified>
</cp:coreProperties>
</file>