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4098B_Spring2026_Grade" sheetId="1" r:id="rId4"/>
    <sheet state="visible" name="CO Report Evaluation" sheetId="2" r:id="rId5"/>
    <sheet state="visible" name="CO-PO Attainment Analysis" sheetId="3" r:id="rId6"/>
    <sheet state="visible" name="ContinuousQualityImprovement" sheetId="4" r:id="rId7"/>
    <sheet state="visible" name="CSE4098B_Spring2026_Report" sheetId="5" r:id="rId8"/>
    <sheet state="visible" name="CSE4098B_Spring2026_Presentatio" sheetId="6" r:id="rId9"/>
  </sheets>
  <definedNames>
    <definedName name="mygrade">#REF!</definedName>
    <definedName name="Grades">#REF!</definedName>
    <definedName name="mygrades">#REF!</definedName>
  </definedNames>
  <calcPr/>
  <extLst>
    <ext uri="GoogleSheetsCustomDataVersion2">
      <go:sheetsCustomData xmlns:go="http://customooxmlschemas.google.com/" r:id="rId10" roundtripDataChecksum="6kOdeEStODQnRKscLRkkGfWsFOa/ySZO5XRLPHdP1CE="/>
    </ext>
  </extLst>
</workbook>
</file>

<file path=xl/sharedStrings.xml><?xml version="1.0" encoding="utf-8"?>
<sst xmlns="http://schemas.openxmlformats.org/spreadsheetml/2006/main" count="396" uniqueCount="205">
  <si>
    <t>Capstone Project Grade (CSE 4098B)</t>
  </si>
  <si>
    <t>Marks Distribution</t>
  </si>
  <si>
    <t>Spring 2026</t>
  </si>
  <si>
    <t>Sl</t>
  </si>
  <si>
    <t>Student ID</t>
  </si>
  <si>
    <t>Student Name</t>
  </si>
  <si>
    <t>Report
(40%)</t>
  </si>
  <si>
    <t>Presentation (45%)</t>
  </si>
  <si>
    <t>Peer 
(5%)</t>
  </si>
  <si>
    <t>Weekly Journal 
(10%)</t>
  </si>
  <si>
    <t>Total 
(100%)</t>
  </si>
  <si>
    <t>Grade</t>
  </si>
  <si>
    <t>Supervisor</t>
  </si>
  <si>
    <t>Title</t>
  </si>
  <si>
    <t>Ahadul Islam Rahul</t>
  </si>
  <si>
    <t>MGK</t>
  </si>
  <si>
    <t>Automated Leather Defect Detection and Classification Using an Ensemble Deep Learning Framework</t>
  </si>
  <si>
    <t>Md. Sojib Al Hasan</t>
  </si>
  <si>
    <t>Nadia Akter Jui</t>
  </si>
  <si>
    <t>Md. Minhazul Islam</t>
  </si>
  <si>
    <t>Md. Shams Arefin</t>
  </si>
  <si>
    <t>Redwan Ahamad Samir</t>
  </si>
  <si>
    <t>RaiK</t>
  </si>
  <si>
    <t>AdaLLM: Domain adaptation of LLMs and specialization</t>
  </si>
  <si>
    <t>Samia Rahman</t>
  </si>
  <si>
    <t>Md. Omur Faruk</t>
  </si>
  <si>
    <t>Raiyan Islam</t>
  </si>
  <si>
    <t>Tamanna Akter</t>
  </si>
  <si>
    <t>RHF</t>
  </si>
  <si>
    <t>Nirbighne: AI-Driven Dynamic Traffic Signal Control System</t>
  </si>
  <si>
    <t>Ashrafun Nahar Rahi</t>
  </si>
  <si>
    <t>Khuslima Fardush Mony</t>
  </si>
  <si>
    <t>Md. Alif Hossain</t>
  </si>
  <si>
    <t>Salvir Rahman Ratul</t>
  </si>
  <si>
    <t>BioCal RA: A Trustworthy and Explainable Multi-Agent Research Assistant for Biomedical Field.</t>
  </si>
  <si>
    <t>Nancy Drong</t>
  </si>
  <si>
    <t xml:space="preserve">Argho Das </t>
  </si>
  <si>
    <t>Navid Rahman</t>
  </si>
  <si>
    <t>Shafwan Shadid Khan</t>
  </si>
  <si>
    <t>JFR</t>
  </si>
  <si>
    <t>AI-Enabled Bi-Directional Translation System for Continuous Bengali Sign Language in Daily Conversation</t>
  </si>
  <si>
    <t>Shakhar Das Rony</t>
  </si>
  <si>
    <t>Md. Tamim Hasan</t>
  </si>
  <si>
    <t xml:space="preserve">Kazi Noor E Saba </t>
  </si>
  <si>
    <t>NafM</t>
  </si>
  <si>
    <t>Blockchain Based Bug Bounty System with A Novel Reputation Driven Consensus Mechanism</t>
  </si>
  <si>
    <t>Md. Akib Al Mahmud Dihan</t>
  </si>
  <si>
    <t>Jumana Muntaha</t>
  </si>
  <si>
    <t>Abida Binte Asif</t>
  </si>
  <si>
    <t>Sami Hossain</t>
  </si>
  <si>
    <t>Md. Shohanoor Rahman</t>
  </si>
  <si>
    <t>Design of an Efficient Consensus Mechanism for Transparent Private Blockchain-Based Donation Systems</t>
  </si>
  <si>
    <t>Pranto Sikder</t>
  </si>
  <si>
    <t xml:space="preserve">Mahmudul Hasan Zeshan </t>
  </si>
  <si>
    <t>Aysha Siddika Methila</t>
  </si>
  <si>
    <t>Sukanta Majumder</t>
  </si>
  <si>
    <t>Md. Arif Hossain Mir</t>
  </si>
  <si>
    <t>MdKH</t>
  </si>
  <si>
    <t>Cross-Lingual Abstractive Summarization with Transformers for Bangla and Chinese</t>
  </si>
  <si>
    <t>Isnat Jahan Ome</t>
  </si>
  <si>
    <t>Hasib Mahmud</t>
  </si>
  <si>
    <t>Aminul Islam</t>
  </si>
  <si>
    <t>WFU</t>
  </si>
  <si>
    <t>An Intelligent CV Screening Model Using NLP And LLM</t>
  </si>
  <si>
    <t>Israfill Hossain Mehedi</t>
  </si>
  <si>
    <t>Mahmudul Hasan Dipto</t>
  </si>
  <si>
    <t>Talat Mahmud Lam</t>
  </si>
  <si>
    <t>MNMA</t>
  </si>
  <si>
    <t>A Unified, Multimodal Deep Learning Framework for Online Exam Proctoring and Student Attention Detection using Behavioral Biometrics</t>
  </si>
  <si>
    <t>Sadia Nuzat Prova</t>
  </si>
  <si>
    <t>Shahin Alam</t>
  </si>
  <si>
    <t>Umme Asma Busra</t>
  </si>
  <si>
    <t>Golam Munem Zarif</t>
  </si>
  <si>
    <t>MD.Samiul Alam</t>
  </si>
  <si>
    <t>RWAIK</t>
  </si>
  <si>
    <t>An Embedded Systems Approach To Real-time Multi-sensor Data Acquisition And Control-oriented Optimization For Water Quality Monitoring In Bangladesh</t>
  </si>
  <si>
    <t>MD.Hafiz Ullah</t>
  </si>
  <si>
    <t>MD.Yusuf</t>
  </si>
  <si>
    <t>Mahfuzur Rahman</t>
  </si>
  <si>
    <t>Upoma Paul</t>
  </si>
  <si>
    <t>SJSQ</t>
  </si>
  <si>
    <t>Foodbot- Personal Food and health Assistant</t>
  </si>
  <si>
    <t>Fariha Ahmed</t>
  </si>
  <si>
    <t>Amifat Juhad Pranto</t>
  </si>
  <si>
    <t>Tasnia Kabir Mahia</t>
  </si>
  <si>
    <t>Mahbuba Akter Chowdhury</t>
  </si>
  <si>
    <t>AI-Assisted Visual Programming Environment For C</t>
  </si>
  <si>
    <t>Divya Jyoti Bagchi</t>
  </si>
  <si>
    <t>Naznine Sultana Nitu</t>
  </si>
  <si>
    <t>Fabiha Fayruj</t>
  </si>
  <si>
    <t>Abdullah Al Baki</t>
  </si>
  <si>
    <t>Md. Rahat Pervez</t>
  </si>
  <si>
    <t>NUA</t>
  </si>
  <si>
    <t>CareerLense – A Lens into CareerFit</t>
  </si>
  <si>
    <t>Md. Abul Hashem</t>
  </si>
  <si>
    <t>Md. Fiaz Anam Tasfi</t>
  </si>
  <si>
    <t>Kasfia Hossain</t>
  </si>
  <si>
    <t>Md. Rashedul Islam</t>
  </si>
  <si>
    <t>Md. Maruf Hossain</t>
  </si>
  <si>
    <t>OceanSense: An AI-Powered ENSO Early Disaster Warning System</t>
  </si>
  <si>
    <t>Rakibul Hasan</t>
  </si>
  <si>
    <t>Rabbi Sadnan Khan</t>
  </si>
  <si>
    <t>Faria Islam Sara</t>
  </si>
  <si>
    <t>Salina Akhter</t>
  </si>
  <si>
    <t>Design and Implementation of a Memory-Augmented LLM-Based Adaptive Tutoring System</t>
  </si>
  <si>
    <t>Rownak Salsabil</t>
  </si>
  <si>
    <t>Adnan Chowdhury</t>
  </si>
  <si>
    <t>Sheikh Nusaibah Noor</t>
  </si>
  <si>
    <t>Grade Summery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</si>
  <si>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</si>
  <si>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</si>
  <si>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</si>
  <si>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</si>
  <si>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</si>
  <si>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</si>
  <si>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</si>
  <si>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</si>
  <si>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</si>
  <si>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</si>
  <si>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Total</t>
  </si>
  <si>
    <t>Muhammad Golam Kibria</t>
  </si>
  <si>
    <t>CSE 4098 B</t>
  </si>
  <si>
    <t>Evaluator 01</t>
  </si>
  <si>
    <t>Evaluator 02</t>
  </si>
  <si>
    <t>Final</t>
  </si>
  <si>
    <t>S/N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</si>
  <si>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</si>
  <si>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</si>
  <si>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</si>
  <si>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</si>
  <si>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</si>
  <si>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</si>
  <si>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</si>
  <si>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</si>
  <si>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</si>
  <si>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Mapping of COs to POs</t>
  </si>
  <si>
    <t>Assessment Items</t>
  </si>
  <si>
    <t>CO10</t>
  </si>
  <si>
    <t>CO11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</si>
  <si>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</si>
  <si>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</si>
  <si>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</si>
  <si>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</si>
  <si>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</si>
  <si>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</si>
  <si>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</si>
  <si>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</si>
  <si>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</si>
  <si>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</si>
  <si>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</si>
  <si>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</si>
  <si>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Report</t>
  </si>
  <si>
    <t>Peer</t>
  </si>
  <si>
    <t>Term Final Presentation</t>
  </si>
  <si>
    <t>CO Attainment Analysis CSE 4098B [Spring 2026]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</si>
  <si>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</si>
  <si>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</si>
  <si>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</si>
  <si>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</si>
  <si>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</si>
  <si>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</si>
  <si>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Name</t>
  </si>
  <si>
    <t>If CO achieved (≥55%) then 1, else 0</t>
  </si>
  <si>
    <t>If PO achieved (≥55%) then 1, else 0</t>
  </si>
  <si>
    <t>Class Average</t>
  </si>
  <si>
    <t>Continuous Quality Improvement (CQI) Form</t>
  </si>
  <si>
    <t>Course Code</t>
  </si>
  <si>
    <t>CSE 4098B</t>
  </si>
  <si>
    <t>Section</t>
  </si>
  <si>
    <t>Course Title</t>
  </si>
  <si>
    <t>Capstone Project</t>
  </si>
  <si>
    <t>Semester</t>
  </si>
  <si>
    <t>Credit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</si>
  <si>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</si>
  <si>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</si>
  <si>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</si>
  <si>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</si>
  <si>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</si>
  <si>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>Should be given more practices</t>
  </si>
  <si>
    <t>* attach additional sheet, if required</t>
  </si>
  <si>
    <t>Signature of the Instructor:</t>
  </si>
  <si>
    <t>Name of the Instructor:</t>
  </si>
  <si>
    <t>Date:</t>
  </si>
  <si>
    <t>Capstone Project Report (CSE 4098B)</t>
  </si>
  <si>
    <t>Evaluator's Marks (Provided in Rubrics: 42)</t>
  </si>
  <si>
    <t>Supervisor (Provided in Rubrics: 42)</t>
  </si>
  <si>
    <t>Supervisor Marks (40%)</t>
  </si>
  <si>
    <t>MMSM</t>
  </si>
  <si>
    <t>FsAh</t>
  </si>
  <si>
    <t>MAWA</t>
  </si>
  <si>
    <t>FK</t>
  </si>
  <si>
    <t>SviA</t>
  </si>
  <si>
    <t>ASU</t>
  </si>
  <si>
    <t>ABY</t>
  </si>
  <si>
    <t>SBMM</t>
  </si>
  <si>
    <t>ASR</t>
  </si>
  <si>
    <t>DWAMT</t>
  </si>
  <si>
    <t>Evaluator's Marsk (40%)</t>
  </si>
  <si>
    <t>Total
(Supervisor: 60% + Evaluator: 40%)</t>
  </si>
  <si>
    <t>Sup</t>
  </si>
  <si>
    <t>Capstone Project Presentation (CSE 4098B)</t>
  </si>
  <si>
    <t>Evaluator's Marks (Provided in Rubrics: 45)</t>
  </si>
  <si>
    <t>Supervisor (Provided in Rubrics: 45)</t>
  </si>
  <si>
    <t>Supervisor Marks (50%)</t>
  </si>
  <si>
    <t>Evaluator's Marsk (50%)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</si>
</sst>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27">
    <font>
      <sz val="10.0"/>
      <color rgb="FF000000"/>
      <name val="Arial"/>
      <scheme val="minor"/>
    </font>
    <font>
      <b/>
      <sz val="14.0"/>
      <color rgb="FF000000"/>
      <name val="Times New Roman"/>
    </font>
    <font/>
    <font>
      <b/>
      <sz val="12.0"/>
      <color rgb="FF000000"/>
      <name val="Times New Roman"/>
    </font>
    <font>
      <b/>
      <sz val="10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Arial"/>
    </font>
    <font>
      <sz val="10.0"/>
      <color theme="1"/>
      <name val="Times New Roman"/>
    </font>
    <font>
      <color rgb="FF1F1F1F"/>
      <name val="Times New Roman"/>
    </font>
    <font>
      <sz val="10.0"/>
      <color rgb="FF000000"/>
      <name val="Times New Roman"/>
    </font>
    <font>
      <color theme="1"/>
      <name val="Times New Roman"/>
    </font>
    <font>
      <sz val="10.0"/>
      <color theme="1"/>
      <name val="Serif"/>
    </font>
    <font>
      <sz val="10.0"/>
      <color rgb="FF000000"/>
      <name val="Serif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rgb="FF1F1F1F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Times New Roman"/>
    </font>
    <font>
      <b/>
      <sz val="14.0"/>
      <color theme="1"/>
      <name val="Arial Narrow"/>
    </font>
    <font>
      <b/>
      <color theme="1"/>
      <name val="Arial Narrow"/>
    </font>
    <font>
      <sz val="11.0"/>
      <color theme="1"/>
      <name val="Arial Narrow"/>
    </font>
    <font>
      <b/>
      <u/>
      <color theme="1"/>
      <name val="Arial Narrow"/>
    </font>
    <font>
      <i/>
      <sz val="11.0"/>
      <color theme="1"/>
      <name val="Arial Narrow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2D69B"/>
        <bgColor rgb="FFC2D69B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FAF9F9"/>
        <bgColor rgb="FFFAF9F9"/>
      </patternFill>
    </fill>
    <fill>
      <patternFill patternType="solid">
        <fgColor rgb="FFE5DFEC"/>
        <bgColor rgb="FFE5DFEC"/>
      </patternFill>
    </fill>
    <fill>
      <patternFill patternType="solid">
        <fgColor rgb="FFD9EAD3"/>
        <bgColor rgb="FFD9EAD3"/>
      </patternFill>
    </fill>
    <fill>
      <patternFill patternType="solid">
        <fgColor rgb="FFB8CCE4"/>
        <bgColor rgb="FFB8CCE4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81">
    <border/>
    <border>
      <left style="thin">
        <color rgb="FF000000"/>
      </left>
      <top/>
      <bottom/>
    </border>
    <border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7" fillId="4" fontId="6" numFmtId="0" xfId="0" applyBorder="1" applyFill="1" applyFont="1"/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/>
    </xf>
    <xf borderId="5" fillId="5" fontId="9" numFmtId="0" xfId="0" applyAlignment="1" applyBorder="1" applyFill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6" numFmtId="0" xfId="0" applyFont="1"/>
    <xf borderId="3" fillId="0" fontId="2" numFmtId="0" xfId="0" applyBorder="1" applyFont="1"/>
    <xf borderId="8" fillId="0" fontId="7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 shrinkToFit="0" wrapText="1"/>
    </xf>
    <xf borderId="5" fillId="0" fontId="11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/>
    </xf>
    <xf borderId="5" fillId="0" fontId="11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horizontal="center" readingOrder="0" vertical="center"/>
    </xf>
    <xf borderId="0" fillId="0" fontId="13" numFmtId="0" xfId="0" applyFont="1"/>
    <xf borderId="5" fillId="0" fontId="14" numFmtId="0" xfId="0" applyAlignment="1" applyBorder="1" applyFont="1">
      <alignment horizontal="center" readingOrder="0" vertical="center"/>
    </xf>
    <xf borderId="5" fillId="7" fontId="7" numFmtId="0" xfId="0" applyAlignment="1" applyBorder="1" applyFill="1" applyFont="1">
      <alignment horizontal="center" vertical="center"/>
    </xf>
    <xf borderId="5" fillId="7" fontId="10" numFmtId="0" xfId="0" applyAlignment="1" applyBorder="1" applyFont="1">
      <alignment horizontal="center"/>
    </xf>
    <xf borderId="5" fillId="7" fontId="11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5" fillId="8" fontId="10" numFmtId="0" xfId="0" applyAlignment="1" applyBorder="1" applyFill="1" applyFont="1">
      <alignment horizont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11" fillId="0" fontId="2" numFmtId="0" xfId="0" applyBorder="1" applyFont="1"/>
    <xf borderId="5" fillId="0" fontId="9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center"/>
    </xf>
    <xf borderId="0" fillId="7" fontId="13" numFmtId="0" xfId="0" applyAlignment="1" applyFont="1">
      <alignment vertical="bottom"/>
    </xf>
    <xf borderId="5" fillId="7" fontId="13" numFmtId="0" xfId="0" applyAlignment="1" applyBorder="1" applyFont="1">
      <alignment vertical="bottom"/>
    </xf>
    <xf borderId="5" fillId="7" fontId="14" numFmtId="0" xfId="0" applyAlignment="1" applyBorder="1" applyFont="1">
      <alignment vertical="bottom"/>
    </xf>
    <xf borderId="0" fillId="7" fontId="15" numFmtId="0" xfId="0" applyAlignment="1" applyFont="1">
      <alignment horizontal="center" vertical="bottom"/>
    </xf>
    <xf borderId="0" fillId="7" fontId="16" numFmtId="0" xfId="0" applyFont="1"/>
    <xf borderId="5" fillId="7" fontId="13" numFmtId="0" xfId="0" applyAlignment="1" applyBorder="1" applyFont="1">
      <alignment horizontal="center" vertical="bottom"/>
    </xf>
    <xf borderId="5" fillId="7" fontId="17" numFmtId="0" xfId="0" applyAlignment="1" applyBorder="1" applyFont="1">
      <alignment horizontal="center" vertical="bottom"/>
    </xf>
    <xf borderId="5" fillId="7" fontId="14" numFmtId="0" xfId="0" applyAlignment="1" applyBorder="1" applyFont="1">
      <alignment horizontal="center" vertical="bottom"/>
    </xf>
    <xf borderId="0" fillId="7" fontId="13" numFmtId="0" xfId="0" applyAlignment="1" applyFont="1">
      <alignment horizontal="center" vertical="bottom"/>
    </xf>
    <xf borderId="12" fillId="7" fontId="18" numFmtId="0" xfId="0" applyAlignment="1" applyBorder="1" applyFont="1">
      <alignment horizontal="center" vertical="center"/>
    </xf>
    <xf borderId="13" fillId="7" fontId="18" numFmtId="0" xfId="0" applyAlignment="1" applyBorder="1" applyFont="1">
      <alignment horizontal="center" vertical="center"/>
    </xf>
    <xf borderId="14" fillId="7" fontId="18" numFmtId="0" xfId="0" applyAlignment="1" applyBorder="1" applyFont="1">
      <alignment horizontal="center" vertical="center"/>
    </xf>
    <xf borderId="0" fillId="7" fontId="13" numFmtId="0" xfId="0" applyAlignment="1" applyFont="1">
      <alignment horizontal="right" readingOrder="0" vertical="bottom"/>
    </xf>
    <xf borderId="0" fillId="7" fontId="13" numFmtId="0" xfId="0" applyAlignment="1" applyFont="1">
      <alignment readingOrder="0"/>
    </xf>
    <xf borderId="0" fillId="7" fontId="13" numFmtId="0" xfId="0" applyFont="1"/>
    <xf borderId="0" fillId="7" fontId="18" numFmtId="0" xfId="0" applyAlignment="1" applyFont="1">
      <alignment horizontal="center" vertical="center"/>
    </xf>
    <xf borderId="15" fillId="7" fontId="18" numFmtId="0" xfId="0" applyAlignment="1" applyBorder="1" applyFont="1">
      <alignment horizontal="center" vertical="center"/>
    </xf>
    <xf borderId="0" fillId="0" fontId="16" numFmtId="0" xfId="0" applyAlignment="1" applyFont="1">
      <alignment readingOrder="0"/>
    </xf>
    <xf borderId="0" fillId="7" fontId="13" numFmtId="0" xfId="0" applyAlignment="1" applyFont="1">
      <alignment horizontal="right" vertical="bottom"/>
    </xf>
    <xf borderId="0" fillId="7" fontId="16" numFmtId="0" xfId="0" applyAlignment="1" applyFont="1">
      <alignment readingOrder="0"/>
    </xf>
    <xf borderId="0" fillId="7" fontId="13" numFmtId="0" xfId="0" applyAlignment="1" applyFont="1">
      <alignment readingOrder="0" vertical="bottom"/>
    </xf>
    <xf borderId="0" fillId="7" fontId="14" numFmtId="0" xfId="0" applyFont="1"/>
    <xf borderId="9" fillId="7" fontId="13" numFmtId="0" xfId="0" applyBorder="1" applyFont="1"/>
    <xf borderId="9" fillId="7" fontId="14" numFmtId="0" xfId="0" applyBorder="1" applyFont="1"/>
    <xf borderId="5" fillId="7" fontId="13" numFmtId="0" xfId="0" applyBorder="1" applyFont="1"/>
    <xf borderId="5" fillId="7" fontId="14" numFmtId="0" xfId="0" applyBorder="1" applyFont="1"/>
    <xf borderId="0" fillId="0" fontId="13" numFmtId="1" xfId="0" applyAlignment="1" applyFont="1" applyNumberFormat="1">
      <alignment vertical="bottom"/>
    </xf>
    <xf borderId="16" fillId="0" fontId="19" numFmtId="1" xfId="0" applyAlignment="1" applyBorder="1" applyFont="1" applyNumberFormat="1">
      <alignment horizontal="center" vertical="bottom"/>
    </xf>
    <xf borderId="17" fillId="0" fontId="2" numFmtId="0" xfId="0" applyBorder="1" applyFont="1"/>
    <xf borderId="18" fillId="0" fontId="2" numFmtId="0" xfId="0" applyBorder="1" applyFont="1"/>
    <xf borderId="5" fillId="0" fontId="19" numFmtId="1" xfId="0" applyAlignment="1" applyBorder="1" applyFont="1" applyNumberFormat="1">
      <alignment horizontal="center" vertical="bottom"/>
    </xf>
    <xf borderId="5" fillId="0" fontId="20" numFmtId="1" xfId="0" applyAlignment="1" applyBorder="1" applyFont="1" applyNumberFormat="1">
      <alignment horizontal="center" vertical="bottom"/>
    </xf>
    <xf borderId="5" fillId="7" fontId="13" numFmtId="1" xfId="0" applyAlignment="1" applyBorder="1" applyFont="1" applyNumberFormat="1">
      <alignment vertical="bottom"/>
    </xf>
    <xf borderId="19" fillId="0" fontId="13" numFmtId="1" xfId="0" applyAlignment="1" applyBorder="1" applyFont="1" applyNumberFormat="1">
      <alignment vertical="bottom"/>
    </xf>
    <xf borderId="20" fillId="0" fontId="20" numFmtId="1" xfId="0" applyAlignment="1" applyBorder="1" applyFont="1" applyNumberFormat="1">
      <alignment horizontal="center" vertical="bottom"/>
    </xf>
    <xf borderId="21" fillId="0" fontId="20" numFmtId="1" xfId="0" applyAlignment="1" applyBorder="1" applyFont="1" applyNumberFormat="1">
      <alignment horizontal="center" vertical="bottom"/>
    </xf>
    <xf borderId="22" fillId="0" fontId="20" numFmtId="1" xfId="0" applyAlignment="1" applyBorder="1" applyFont="1" applyNumberFormat="1">
      <alignment horizontal="center" vertical="bottom"/>
    </xf>
    <xf borderId="5" fillId="9" fontId="20" numFmtId="2" xfId="0" applyAlignment="1" applyBorder="1" applyFill="1" applyFont="1" applyNumberFormat="1">
      <alignment horizontal="center" vertical="bottom"/>
    </xf>
    <xf borderId="5" fillId="9" fontId="13" numFmtId="2" xfId="0" applyAlignment="1" applyBorder="1" applyFont="1" applyNumberFormat="1">
      <alignment horizontal="center" vertical="bottom"/>
    </xf>
    <xf borderId="5" fillId="9" fontId="13" numFmtId="2" xfId="0" applyAlignment="1" applyBorder="1" applyFont="1" applyNumberFormat="1">
      <alignment vertical="bottom"/>
    </xf>
    <xf borderId="5" fillId="7" fontId="13" numFmtId="2" xfId="0" applyAlignment="1" applyBorder="1" applyFont="1" applyNumberFormat="1">
      <alignment vertical="bottom"/>
    </xf>
    <xf borderId="23" fillId="0" fontId="20" numFmtId="1" xfId="0" applyAlignment="1" applyBorder="1" applyFont="1" applyNumberFormat="1">
      <alignment horizontal="center" vertical="bottom"/>
    </xf>
    <xf borderId="24" fillId="9" fontId="20" numFmtId="1" xfId="0" applyAlignment="1" applyBorder="1" applyFont="1" applyNumberFormat="1">
      <alignment horizontal="center" vertical="bottom"/>
    </xf>
    <xf borderId="25" fillId="9" fontId="20" numFmtId="1" xfId="0" applyAlignment="1" applyBorder="1" applyFont="1" applyNumberFormat="1">
      <alignment horizontal="center" vertical="bottom"/>
    </xf>
    <xf borderId="26" fillId="9" fontId="20" numFmtId="1" xfId="0" applyAlignment="1" applyBorder="1" applyFont="1" applyNumberFormat="1">
      <alignment horizontal="center" vertical="bottom"/>
    </xf>
    <xf borderId="27" fillId="0" fontId="20" numFmtId="1" xfId="0" applyAlignment="1" applyBorder="1" applyFont="1" applyNumberFormat="1">
      <alignment horizontal="center" vertical="bottom"/>
    </xf>
    <xf borderId="5" fillId="0" fontId="13" numFmtId="1" xfId="0" applyAlignment="1" applyBorder="1" applyFont="1" applyNumberFormat="1">
      <alignment vertical="bottom"/>
    </xf>
    <xf borderId="5" fillId="0" fontId="20" numFmtId="2" xfId="0" applyAlignment="1" applyBorder="1" applyFont="1" applyNumberFormat="1">
      <alignment horizontal="center" vertical="bottom"/>
    </xf>
    <xf borderId="28" fillId="0" fontId="20" numFmtId="1" xfId="0" applyAlignment="1" applyBorder="1" applyFont="1" applyNumberFormat="1">
      <alignment horizontal="center" vertical="bottom"/>
    </xf>
    <xf borderId="29" fillId="0" fontId="20" numFmtId="1" xfId="0" applyAlignment="1" applyBorder="1" applyFont="1" applyNumberFormat="1">
      <alignment horizontal="center" vertical="bottom"/>
    </xf>
    <xf borderId="19" fillId="0" fontId="20" numFmtId="1" xfId="0" applyAlignment="1" applyBorder="1" applyFont="1" applyNumberFormat="1">
      <alignment horizontal="center" vertical="bottom"/>
    </xf>
    <xf borderId="30" fillId="0" fontId="20" numFmtId="1" xfId="0" applyAlignment="1" applyBorder="1" applyFont="1" applyNumberFormat="1">
      <alignment horizontal="center" vertical="bottom"/>
    </xf>
    <xf borderId="31" fillId="0" fontId="20" numFmtId="1" xfId="0" applyAlignment="1" applyBorder="1" applyFont="1" applyNumberFormat="1">
      <alignment horizontal="center" vertical="bottom"/>
    </xf>
    <xf borderId="32" fillId="0" fontId="20" numFmtId="1" xfId="0" applyAlignment="1" applyBorder="1" applyFont="1" applyNumberFormat="1">
      <alignment horizontal="center" vertical="bottom"/>
    </xf>
    <xf borderId="16" fillId="0" fontId="19" numFmtId="1" xfId="0" applyAlignment="1" applyBorder="1" applyFont="1" applyNumberFormat="1">
      <alignment horizontal="center" readingOrder="0" shrinkToFit="0" vertical="bottom" wrapText="1"/>
    </xf>
    <xf borderId="33" fillId="0" fontId="13" numFmtId="1" xfId="0" applyAlignment="1" applyBorder="1" applyFont="1" applyNumberFormat="1">
      <alignment vertical="bottom"/>
    </xf>
    <xf borderId="34" fillId="10" fontId="19" numFmtId="1" xfId="0" applyAlignment="1" applyBorder="1" applyFill="1" applyFont="1" applyNumberFormat="1">
      <alignment horizontal="center" vertical="bottom"/>
    </xf>
    <xf borderId="33" fillId="0" fontId="2" numFmtId="0" xfId="0" applyBorder="1" applyFont="1"/>
    <xf borderId="35" fillId="0" fontId="2" numFmtId="0" xfId="0" applyBorder="1" applyFont="1"/>
    <xf borderId="34" fillId="11" fontId="19" numFmtId="1" xfId="0" applyAlignment="1" applyBorder="1" applyFill="1" applyFont="1" applyNumberFormat="1">
      <alignment horizontal="center" vertical="bottom"/>
    </xf>
    <xf borderId="36" fillId="0" fontId="2" numFmtId="0" xfId="0" applyBorder="1" applyFont="1"/>
    <xf borderId="37" fillId="0" fontId="2" numFmtId="0" xfId="0" applyBorder="1" applyFont="1"/>
    <xf borderId="38" fillId="0" fontId="19" numFmtId="1" xfId="0" applyAlignment="1" applyBorder="1" applyFont="1" applyNumberFormat="1">
      <alignment horizontal="center" vertical="bottom"/>
    </xf>
    <xf borderId="38" fillId="0" fontId="2" numFmtId="0" xfId="0" applyBorder="1" applyFont="1"/>
    <xf borderId="39" fillId="0" fontId="2" numFmtId="0" xfId="0" applyBorder="1" applyFont="1"/>
    <xf borderId="40" fillId="0" fontId="19" numFmtId="1" xfId="0" applyAlignment="1" applyBorder="1" applyFont="1" applyNumberFormat="1">
      <alignment horizontal="center" vertical="bottom"/>
    </xf>
    <xf borderId="41" fillId="0" fontId="19" numFmtId="1" xfId="0" applyAlignment="1" applyBorder="1" applyFont="1" applyNumberFormat="1">
      <alignment horizontal="center" vertical="bottom"/>
    </xf>
    <xf borderId="16" fillId="0" fontId="21" numFmtId="1" xfId="0" applyAlignment="1" applyBorder="1" applyFont="1" applyNumberFormat="1">
      <alignment horizontal="center" vertical="bottom"/>
    </xf>
    <xf borderId="34" fillId="0" fontId="19" numFmtId="1" xfId="0" applyAlignment="1" applyBorder="1" applyFont="1" applyNumberFormat="1">
      <alignment horizontal="center" vertical="bottom"/>
    </xf>
    <xf borderId="14" fillId="0" fontId="20" numFmtId="1" xfId="0" applyAlignment="1" applyBorder="1" applyFont="1" applyNumberFormat="1">
      <alignment horizontal="center" vertical="bottom"/>
    </xf>
    <xf borderId="8" fillId="0" fontId="20" numFmtId="1" xfId="0" applyAlignment="1" applyBorder="1" applyFont="1" applyNumberFormat="1">
      <alignment horizontal="center" vertical="bottom"/>
    </xf>
    <xf borderId="12" fillId="0" fontId="20" numFmtId="1" xfId="0" applyAlignment="1" applyBorder="1" applyFont="1" applyNumberFormat="1">
      <alignment horizontal="center" vertical="bottom"/>
    </xf>
    <xf borderId="42" fillId="0" fontId="20" numFmtId="1" xfId="0" applyAlignment="1" applyBorder="1" applyFont="1" applyNumberFormat="1">
      <alignment horizontal="center" vertical="bottom"/>
    </xf>
    <xf borderId="43" fillId="0" fontId="20" numFmtId="1" xfId="0" applyAlignment="1" applyBorder="1" applyFont="1" applyNumberFormat="1">
      <alignment horizontal="center" vertical="bottom"/>
    </xf>
    <xf borderId="44" fillId="0" fontId="20" numFmtId="1" xfId="0" applyAlignment="1" applyBorder="1" applyFont="1" applyNumberFormat="1">
      <alignment horizontal="center" vertical="bottom"/>
    </xf>
    <xf borderId="3" fillId="0" fontId="20" numFmtId="1" xfId="0" applyAlignment="1" applyBorder="1" applyFont="1" applyNumberFormat="1">
      <alignment horizontal="center" vertical="bottom"/>
    </xf>
    <xf borderId="45" fillId="0" fontId="20" numFmtId="1" xfId="0" applyAlignment="1" applyBorder="1" applyFont="1" applyNumberFormat="1">
      <alignment horizontal="center" vertical="bottom"/>
    </xf>
    <xf borderId="39" fillId="0" fontId="20" numFmtId="1" xfId="0" applyAlignment="1" applyBorder="1" applyFont="1" applyNumberFormat="1">
      <alignment horizontal="center" vertical="bottom"/>
    </xf>
    <xf borderId="46" fillId="0" fontId="20" numFmtId="1" xfId="0" applyAlignment="1" applyBorder="1" applyFont="1" applyNumberFormat="1">
      <alignment horizontal="center" vertical="bottom"/>
    </xf>
    <xf borderId="47" fillId="0" fontId="20" numFmtId="1" xfId="0" applyAlignment="1" applyBorder="1" applyFont="1" applyNumberFormat="1">
      <alignment horizontal="center" vertical="bottom"/>
    </xf>
    <xf borderId="48" fillId="0" fontId="20" numFmtId="1" xfId="0" applyAlignment="1" applyBorder="1" applyFont="1" applyNumberFormat="1">
      <alignment horizontal="center" vertical="bottom"/>
    </xf>
    <xf borderId="49" fillId="0" fontId="20" numFmtId="1" xfId="0" applyAlignment="1" applyBorder="1" applyFont="1" applyNumberFormat="1">
      <alignment horizontal="center" vertical="bottom"/>
    </xf>
    <xf borderId="46" fillId="0" fontId="19" numFmtId="1" xfId="0" applyAlignment="1" applyBorder="1" applyFont="1" applyNumberFormat="1">
      <alignment horizontal="center" shrinkToFit="0" vertical="bottom" wrapText="1"/>
    </xf>
    <xf borderId="48" fillId="0" fontId="19" numFmtId="1" xfId="0" applyAlignment="1" applyBorder="1" applyFont="1" applyNumberFormat="1">
      <alignment horizontal="center" vertical="bottom"/>
    </xf>
    <xf borderId="49" fillId="0" fontId="19" numFmtId="1" xfId="0" applyAlignment="1" applyBorder="1" applyFont="1" applyNumberFormat="1">
      <alignment vertical="bottom"/>
    </xf>
    <xf borderId="50" fillId="12" fontId="20" numFmtId="1" xfId="0" applyAlignment="1" applyBorder="1" applyFill="1" applyFont="1" applyNumberFormat="1">
      <alignment horizontal="center" vertical="bottom"/>
    </xf>
    <xf borderId="50" fillId="12" fontId="13" numFmtId="1" xfId="0" applyAlignment="1" applyBorder="1" applyFont="1" applyNumberFormat="1">
      <alignment vertical="bottom"/>
    </xf>
    <xf borderId="48" fillId="12" fontId="13" numFmtId="1" xfId="0" applyAlignment="1" applyBorder="1" applyFont="1" applyNumberFormat="1">
      <alignment vertical="bottom"/>
    </xf>
    <xf borderId="48" fillId="12" fontId="13" numFmtId="1" xfId="0" applyAlignment="1" applyBorder="1" applyFont="1" applyNumberFormat="1">
      <alignment horizontal="center" vertical="bottom"/>
    </xf>
    <xf borderId="51" fillId="12" fontId="13" numFmtId="1" xfId="0" applyAlignment="1" applyBorder="1" applyFont="1" applyNumberFormat="1">
      <alignment horizontal="center" vertical="bottom"/>
    </xf>
    <xf borderId="46" fillId="12" fontId="20" numFmtId="1" xfId="0" applyAlignment="1" applyBorder="1" applyFont="1" applyNumberFormat="1">
      <alignment horizontal="center" vertical="bottom"/>
    </xf>
    <xf borderId="48" fillId="12" fontId="20" numFmtId="1" xfId="0" applyAlignment="1" applyBorder="1" applyFont="1" applyNumberFormat="1">
      <alignment horizontal="center" vertical="bottom"/>
    </xf>
    <xf borderId="46" fillId="12" fontId="20" numFmtId="9" xfId="0" applyAlignment="1" applyBorder="1" applyFont="1" applyNumberFormat="1">
      <alignment horizontal="center" vertical="bottom"/>
    </xf>
    <xf borderId="48" fillId="12" fontId="20" numFmtId="9" xfId="0" applyAlignment="1" applyBorder="1" applyFont="1" applyNumberFormat="1">
      <alignment horizontal="center" vertical="bottom"/>
    </xf>
    <xf borderId="49" fillId="12" fontId="20" numFmtId="9" xfId="0" applyAlignment="1" applyBorder="1" applyFont="1" applyNumberFormat="1">
      <alignment horizontal="center" vertical="bottom"/>
    </xf>
    <xf borderId="52" fillId="12" fontId="20" numFmtId="9" xfId="0" applyAlignment="1" applyBorder="1" applyFont="1" applyNumberFormat="1">
      <alignment horizontal="center" vertical="bottom"/>
    </xf>
    <xf borderId="53" fillId="12" fontId="20" numFmtId="1" xfId="0" applyAlignment="1" applyBorder="1" applyFont="1" applyNumberFormat="1">
      <alignment horizontal="center" vertical="bottom"/>
    </xf>
    <xf borderId="54" fillId="12" fontId="20" numFmtId="9" xfId="0" applyAlignment="1" applyBorder="1" applyFont="1" applyNumberFormat="1">
      <alignment horizontal="center" vertical="bottom"/>
    </xf>
    <xf borderId="55" fillId="12" fontId="20" numFmtId="9" xfId="0" applyAlignment="1" applyBorder="1" applyFont="1" applyNumberFormat="1">
      <alignment horizontal="center" vertical="bottom"/>
    </xf>
    <xf borderId="56" fillId="12" fontId="20" numFmtId="9" xfId="0" applyAlignment="1" applyBorder="1" applyFont="1" applyNumberFormat="1">
      <alignment horizontal="center" vertical="bottom"/>
    </xf>
    <xf borderId="57" fillId="12" fontId="20" numFmtId="1" xfId="0" applyAlignment="1" applyBorder="1" applyFont="1" applyNumberFormat="1">
      <alignment horizontal="center" vertical="bottom"/>
    </xf>
    <xf borderId="58" fillId="0" fontId="2" numFmtId="0" xfId="0" applyBorder="1" applyFont="1"/>
    <xf borderId="59" fillId="0" fontId="2" numFmtId="0" xfId="0" applyBorder="1" applyFont="1"/>
    <xf borderId="60" fillId="0" fontId="20" numFmtId="1" xfId="0" applyAlignment="1" applyBorder="1" applyFont="1" applyNumberFormat="1">
      <alignment horizontal="center" vertical="bottom"/>
    </xf>
    <xf borderId="5" fillId="0" fontId="13" numFmtId="1" xfId="0" applyAlignment="1" applyBorder="1" applyFont="1" applyNumberFormat="1">
      <alignment horizontal="center" vertical="bottom"/>
    </xf>
    <xf borderId="61" fillId="9" fontId="20" numFmtId="2" xfId="0" applyAlignment="1" applyBorder="1" applyFont="1" applyNumberFormat="1">
      <alignment horizontal="center" vertical="bottom"/>
    </xf>
    <xf borderId="62" fillId="9" fontId="13" numFmtId="2" xfId="0" applyAlignment="1" applyBorder="1" applyFont="1" applyNumberFormat="1">
      <alignment horizontal="center" vertical="bottom"/>
    </xf>
    <xf borderId="63" fillId="9" fontId="13" numFmtId="2" xfId="0" applyAlignment="1" applyBorder="1" applyFont="1" applyNumberFormat="1">
      <alignment horizontal="center" vertical="bottom"/>
    </xf>
    <xf borderId="64" fillId="9" fontId="13" numFmtId="2" xfId="0" applyAlignment="1" applyBorder="1" applyFont="1" applyNumberFormat="1">
      <alignment horizontal="center" vertical="bottom"/>
    </xf>
    <xf borderId="61" fillId="9" fontId="13" numFmtId="2" xfId="0" applyAlignment="1" applyBorder="1" applyFont="1" applyNumberFormat="1">
      <alignment vertical="bottom"/>
    </xf>
    <xf borderId="62" fillId="9" fontId="13" numFmtId="2" xfId="0" applyAlignment="1" applyBorder="1" applyFont="1" applyNumberFormat="1">
      <alignment vertical="bottom"/>
    </xf>
    <xf borderId="65" fillId="9" fontId="13" numFmtId="2" xfId="0" applyAlignment="1" applyBorder="1" applyFont="1" applyNumberFormat="1">
      <alignment horizontal="center" vertical="bottom"/>
    </xf>
    <xf borderId="66" fillId="0" fontId="20" numFmtId="2" xfId="0" applyAlignment="1" applyBorder="1" applyFont="1" applyNumberFormat="1">
      <alignment horizontal="center" vertical="bottom"/>
    </xf>
    <xf borderId="9" fillId="0" fontId="20" numFmtId="2" xfId="0" applyAlignment="1" applyBorder="1" applyFont="1" applyNumberFormat="1">
      <alignment horizontal="center" vertical="bottom"/>
    </xf>
    <xf borderId="26" fillId="0" fontId="20" numFmtId="9" xfId="0" applyAlignment="1" applyBorder="1" applyFont="1" applyNumberFormat="1">
      <alignment horizontal="center" vertical="bottom"/>
    </xf>
    <xf borderId="24" fillId="0" fontId="20" numFmtId="1" xfId="0" applyAlignment="1" applyBorder="1" applyFont="1" applyNumberFormat="1">
      <alignment horizontal="center" vertical="bottom"/>
    </xf>
    <xf borderId="67" fillId="0" fontId="20" numFmtId="9" xfId="0" applyAlignment="1" applyBorder="1" applyFont="1" applyNumberFormat="1">
      <alignment horizontal="center" vertical="bottom"/>
    </xf>
    <xf borderId="68" fillId="12" fontId="19" numFmtId="1" xfId="0" applyAlignment="1" applyBorder="1" applyFont="1" applyNumberFormat="1">
      <alignment horizontal="center" vertical="bottom"/>
    </xf>
    <xf borderId="34" fillId="12" fontId="19" numFmtId="1" xfId="0" applyAlignment="1" applyBorder="1" applyFont="1" applyNumberFormat="1">
      <alignment horizontal="center" vertical="bottom"/>
    </xf>
    <xf borderId="46" fillId="12" fontId="20" numFmtId="2" xfId="0" applyAlignment="1" applyBorder="1" applyFont="1" applyNumberFormat="1">
      <alignment horizontal="center" vertical="bottom"/>
    </xf>
    <xf borderId="48" fillId="12" fontId="20" numFmtId="2" xfId="0" applyAlignment="1" applyBorder="1" applyFont="1" applyNumberFormat="1">
      <alignment horizontal="center" vertical="bottom"/>
    </xf>
    <xf borderId="49" fillId="12" fontId="20" numFmtId="1" xfId="0" applyAlignment="1" applyBorder="1" applyFont="1" applyNumberFormat="1">
      <alignment horizontal="center" vertical="bottom"/>
    </xf>
    <xf borderId="0" fillId="0" fontId="13" numFmtId="9" xfId="0" applyAlignment="1" applyFont="1" applyNumberFormat="1">
      <alignment vertical="bottom"/>
    </xf>
    <xf borderId="0" fillId="13" fontId="13" numFmtId="0" xfId="0" applyAlignment="1" applyFill="1" applyFont="1">
      <alignment vertical="bottom"/>
    </xf>
    <xf borderId="34" fillId="0" fontId="22" numFmtId="1" xfId="0" applyAlignment="1" applyBorder="1" applyFont="1" applyNumberFormat="1">
      <alignment horizontal="center" vertical="bottom"/>
    </xf>
    <xf borderId="24" fillId="14" fontId="23" numFmtId="1" xfId="0" applyAlignment="1" applyBorder="1" applyFill="1" applyFont="1" applyNumberFormat="1">
      <alignment horizontal="center" vertical="bottom"/>
    </xf>
    <xf borderId="25" fillId="14" fontId="23" numFmtId="1" xfId="0" applyAlignment="1" applyBorder="1" applyFont="1" applyNumberFormat="1">
      <alignment horizontal="center" vertical="bottom"/>
    </xf>
    <xf borderId="26" fillId="14" fontId="23" numFmtId="1" xfId="0" applyAlignment="1" applyBorder="1" applyFont="1" applyNumberFormat="1">
      <alignment horizontal="center" vertical="bottom"/>
    </xf>
    <xf borderId="5" fillId="14" fontId="23" numFmtId="1" xfId="0" applyAlignment="1" applyBorder="1" applyFont="1" applyNumberFormat="1">
      <alignment horizontal="center" shrinkToFit="0" vertical="bottom" wrapText="1"/>
    </xf>
    <xf borderId="69" fillId="14" fontId="23" numFmtId="1" xfId="0" applyAlignment="1" applyBorder="1" applyFont="1" applyNumberFormat="1">
      <alignment horizontal="center" readingOrder="0" shrinkToFit="0" vertical="bottom" wrapText="1"/>
    </xf>
    <xf borderId="70" fillId="14" fontId="23" numFmtId="164" xfId="0" applyAlignment="1" applyBorder="1" applyFont="1" applyNumberFormat="1">
      <alignment horizontal="center" vertical="bottom"/>
    </xf>
    <xf borderId="70" fillId="14" fontId="23" numFmtId="1" xfId="0" applyAlignment="1" applyBorder="1" applyFont="1" applyNumberFormat="1">
      <alignment horizontal="center" vertical="bottom"/>
    </xf>
    <xf borderId="71" fillId="14" fontId="23" numFmtId="1" xfId="0" applyAlignment="1" applyBorder="1" applyFont="1" applyNumberFormat="1">
      <alignment horizontal="center" vertical="bottom"/>
    </xf>
    <xf borderId="34" fillId="0" fontId="23" numFmtId="1" xfId="0" applyAlignment="1" applyBorder="1" applyFont="1" applyNumberFormat="1">
      <alignment horizontal="center" vertical="bottom"/>
    </xf>
    <xf borderId="72" fillId="0" fontId="2" numFmtId="0" xfId="0" applyBorder="1" applyFont="1"/>
    <xf borderId="21" fillId="0" fontId="23" numFmtId="1" xfId="0" applyAlignment="1" applyBorder="1" applyFont="1" applyNumberFormat="1">
      <alignment horizontal="center" vertical="bottom"/>
    </xf>
    <xf borderId="49" fillId="0" fontId="23" numFmtId="1" xfId="0" applyAlignment="1" applyBorder="1" applyFont="1" applyNumberFormat="1">
      <alignment horizontal="center" vertical="bottom"/>
    </xf>
    <xf borderId="23" fillId="0" fontId="23" numFmtId="1" xfId="0" applyAlignment="1" applyBorder="1" applyFont="1" applyNumberFormat="1">
      <alignment horizontal="center" vertical="bottom"/>
    </xf>
    <xf borderId="73" fillId="0" fontId="2" numFmtId="0" xfId="0" applyBorder="1" applyFont="1"/>
    <xf borderId="74" fillId="0" fontId="24" numFmtId="9" xfId="0" applyAlignment="1" applyBorder="1" applyFont="1" applyNumberFormat="1">
      <alignment horizontal="center" shrinkToFit="0" vertical="bottom" wrapText="1"/>
    </xf>
    <xf borderId="75" fillId="0" fontId="23" numFmtId="9" xfId="0" applyAlignment="1" applyBorder="1" applyFont="1" applyNumberFormat="1">
      <alignment horizontal="center" vertical="bottom"/>
    </xf>
    <xf borderId="76" fillId="0" fontId="2" numFmtId="0" xfId="0" applyBorder="1" applyFont="1"/>
    <xf borderId="16" fillId="0" fontId="23" numFmtId="1" xfId="0" applyAlignment="1" applyBorder="1" applyFont="1" applyNumberFormat="1">
      <alignment horizontal="center" vertical="bottom"/>
    </xf>
    <xf borderId="41" fillId="0" fontId="2" numFmtId="0" xfId="0" applyBorder="1" applyFont="1"/>
    <xf borderId="77" fillId="0" fontId="25" numFmtId="1" xfId="0" applyAlignment="1" applyBorder="1" applyFont="1" applyNumberFormat="1">
      <alignment shrinkToFit="0" vertical="bottom" wrapText="1"/>
    </xf>
    <xf borderId="77" fillId="0" fontId="2" numFmtId="0" xfId="0" applyBorder="1" applyFont="1"/>
    <xf borderId="10" fillId="5" fontId="19" numFmtId="1" xfId="0" applyAlignment="1" applyBorder="1" applyFont="1" applyNumberFormat="1">
      <alignment horizontal="center" vertical="bottom"/>
    </xf>
    <xf borderId="78" fillId="0" fontId="2" numFmtId="0" xfId="0" applyBorder="1" applyFont="1"/>
    <xf borderId="10" fillId="5" fontId="13" numFmtId="1" xfId="0" applyAlignment="1" applyBorder="1" applyFont="1" applyNumberFormat="1">
      <alignment vertical="bottom"/>
    </xf>
    <xf borderId="7" fillId="15" fontId="13" numFmtId="1" xfId="0" applyAlignment="1" applyBorder="1" applyFill="1" applyFont="1" applyNumberFormat="1">
      <alignment vertical="bottom"/>
    </xf>
    <xf borderId="79" fillId="5" fontId="13" numFmtId="1" xfId="0" applyAlignment="1" applyBorder="1" applyFont="1" applyNumberFormat="1">
      <alignment vertical="bottom"/>
    </xf>
    <xf borderId="6" fillId="5" fontId="13" numFmtId="1" xfId="0" applyAlignment="1" applyBorder="1" applyFont="1" applyNumberFormat="1">
      <alignment vertical="bottom"/>
    </xf>
    <xf borderId="80" fillId="5" fontId="13" numFmtId="1" xfId="0" applyAlignment="1" applyBorder="1" applyFont="1" applyNumberFormat="1">
      <alignment vertical="bottom"/>
    </xf>
    <xf borderId="0" fillId="0" fontId="26" numFmtId="1" xfId="0" applyAlignment="1" applyFont="1" applyNumberFormat="1">
      <alignment horizontal="right" vertical="bottom"/>
    </xf>
    <xf borderId="0" fillId="0" fontId="23" numFmtId="1" xfId="0" applyAlignment="1" applyFont="1" applyNumberFormat="1">
      <alignment horizontal="right" vertical="bottom"/>
    </xf>
    <xf borderId="77" fillId="0" fontId="13" numFmtId="1" xfId="0" applyAlignment="1" applyBorder="1" applyFont="1" applyNumberFormat="1">
      <alignment vertical="bottom"/>
    </xf>
    <xf borderId="0" fillId="0" fontId="13" numFmtId="165" xfId="0" applyAlignment="1" applyFont="1" applyNumberFormat="1">
      <alignment vertical="bottom"/>
    </xf>
    <xf borderId="3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right" shrinkToFit="0" vertical="center" wrapText="1"/>
    </xf>
    <xf borderId="5" fillId="0" fontId="5" numFmtId="0" xfId="0" applyAlignment="1" applyBorder="1" applyFont="1">
      <alignment horizontal="left" readingOrder="0" vertical="center"/>
    </xf>
    <xf borderId="10" fillId="3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5" fillId="3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5" fillId="9" fontId="9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shrinkToFit="0" vertical="center" wrapText="1"/>
    </xf>
    <xf borderId="5" fillId="16" fontId="4" numFmtId="0" xfId="0" applyAlignment="1" applyBorder="1" applyFill="1" applyFont="1">
      <alignment horizontal="center" vertical="center"/>
    </xf>
    <xf borderId="0" fillId="0" fontId="14" numFmtId="0" xfId="0" applyFont="1"/>
    <xf borderId="5" fillId="17" fontId="7" numFmtId="0" xfId="0" applyAlignment="1" applyBorder="1" applyFill="1" applyFont="1">
      <alignment horizontal="center" vertical="center"/>
    </xf>
    <xf borderId="5" fillId="7" fontId="12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vertical="center"/>
    </xf>
    <xf borderId="5" fillId="7" fontId="6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horizontal="left" readingOrder="0" vertical="center"/>
    </xf>
    <xf borderId="10" fillId="3" fontId="5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vertical="center"/>
    </xf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5" fillId="16" fontId="5" numFmtId="0" xfId="0" applyAlignment="1" applyBorder="1" applyFont="1">
      <alignment horizontal="center" vertical="center"/>
    </xf>
    <xf borderId="12" fillId="0" fontId="20" numFmtId="0" xfId="0" applyAlignment="1" applyBorder="1" applyFont="1">
      <alignment shrinkToFit="0" wrapText="1"/>
    </xf>
    <xf borderId="3" fillId="0" fontId="14" numFmtId="0" xfId="0" applyBorder="1" applyFont="1"/>
    <xf borderId="5" fillId="0" fontId="12" numFmtId="0" xfId="0" applyAlignment="1" applyBorder="1" applyFont="1">
      <alignment horizontal="center" readingOrder="0" vertical="center"/>
    </xf>
    <xf borderId="5" fillId="18" fontId="7" numFmtId="0" xfId="0" applyAlignment="1" applyBorder="1" applyFill="1" applyFont="1">
      <alignment horizontal="center" vertical="center"/>
    </xf>
    <xf borderId="5" fillId="18" fontId="18" numFmtId="0" xfId="0" applyAlignment="1" applyBorder="1" applyFont="1">
      <alignment horizontal="center" vertical="center"/>
    </xf>
    <xf borderId="5" fillId="18" fontId="6" numFmtId="0" xfId="0" applyAlignment="1" applyBorder="1" applyFont="1">
      <alignment horizontal="center" vertical="center"/>
    </xf>
    <xf borderId="5" fillId="18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CSE 4098B Grade Summary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CSE4098B_Spring2026_Grade!$H$78</c:f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CSE4098B_Spring2026_Grade!$G$79:$G$88</c:f>
            </c:strRef>
          </c:cat>
          <c:val>
            <c:numRef>
              <c:f>CSE4098B_Spring2026_Grade!$H$79:$H$88</c:f>
              <c:numCache/>
            </c:numRef>
          </c:val>
        </c:ser>
        <c:axId val="1688433501"/>
        <c:axId val="1771539848"/>
      </c:barChart>
      <c:catAx>
        <c:axId val="1688433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Grade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1539848"/>
      </c:catAx>
      <c:valAx>
        <c:axId val="1771539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chemeClr val="dk1"/>
                    </a:solidFill>
                    <a:latin typeface="+mn-lt"/>
                  </a:defRPr>
                </a:pPr>
                <a:r>
                  <a:rPr b="1" i="0">
                    <a:solidFill>
                      <a:schemeClr val="dk1"/>
                    </a:solidFill>
                    <a:latin typeface="+mn-lt"/>
                  </a:rPr>
                  <a:t>Number of Grades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84335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74</xdr:row>
      <xdr:rowOff>114300</xdr:rowOff>
    </xdr:from>
    <xdr:ext cx="4981575" cy="3086100"/>
    <xdr:graphicFrame>
      <xdr:nvGraphicFramePr>
        <xdr:cNvPr id="132812191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2.0"/>
    <col customWidth="1" min="3" max="3" width="31.88"/>
    <col customWidth="1" min="4" max="8" width="15.38"/>
    <col customWidth="1" min="9" max="9" width="14.63"/>
    <col customWidth="1" min="10" max="10" width="14.38"/>
    <col customWidth="1" min="11" max="11" width="107.88"/>
    <col customWidth="1" min="12" max="29" width="14.38"/>
    <col customWidth="1" min="30" max="30" width="12.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4.0" customHeight="1">
      <c r="A2" s="3" t="s">
        <v>1</v>
      </c>
    </row>
    <row r="3" ht="24.75" customHeight="1">
      <c r="A3" s="4" t="s">
        <v>2</v>
      </c>
    </row>
    <row r="4" ht="41.25" customHeight="1">
      <c r="A4" s="5" t="s">
        <v>3</v>
      </c>
      <c r="B4" s="5" t="s">
        <v>4</v>
      </c>
      <c r="C4" s="6" t="s">
        <v>5</v>
      </c>
      <c r="D4" s="5" t="s">
        <v>6</v>
      </c>
      <c r="E4" s="7" t="s">
        <v>7</v>
      </c>
      <c r="F4" s="7" t="s">
        <v>8</v>
      </c>
      <c r="G4" s="8" t="s">
        <v>9</v>
      </c>
      <c r="H4" s="9" t="s">
        <v>10</v>
      </c>
      <c r="I4" s="7" t="s">
        <v>11</v>
      </c>
      <c r="J4" s="10" t="s">
        <v>12</v>
      </c>
      <c r="K4" s="10" t="s">
        <v>13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5.75" customHeight="1">
      <c r="A5" s="11">
        <v>1.0</v>
      </c>
      <c r="B5" s="12">
        <v>2.23014152E8</v>
      </c>
      <c r="C5" s="12" t="s">
        <v>14</v>
      </c>
      <c r="D5" s="13">
        <f>CSE4098B_Spring2026_Report!AB5</f>
        <v>31.43</v>
      </c>
      <c r="E5" s="14">
        <f>MIN(45, IF(CSE4098B_Spring2026_Presentatio!Z5&gt;1,
CSE4098B_Spring2026_Presentatio!Z5,
CSE4098B_Spring2026_Presentatio!Z5*45))
</f>
        <v>36.89</v>
      </c>
      <c r="F5" s="15">
        <v>2.0</v>
      </c>
      <c r="G5" s="15">
        <v>6.0</v>
      </c>
      <c r="H5" s="16">
        <f t="shared" ref="H5:H72" si="1">SUM(D5:G5)</f>
        <v>76.32</v>
      </c>
      <c r="I5" s="17" t="str">
        <f t="shared" ref="I5:I72" si="2">IF(H5&gt;=95,"A+",IF(H5&gt;=85,"A",IF(H5&gt;=80,"A-",IF(H5&gt;=75,"B+",IF(H5&gt;=70,"B",IF(H5&gt;=65,"B-",IF(H5&gt;=60,"C+",IF(H5&gt;=55,"C",IF(H5&gt;=50,"D","F")))))))))</f>
        <v>B+</v>
      </c>
      <c r="J5" s="18" t="s">
        <v>15</v>
      </c>
      <c r="K5" s="19" t="s">
        <v>16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11">
        <v>2.0</v>
      </c>
      <c r="B6" s="12">
        <v>2.23014049E8</v>
      </c>
      <c r="C6" s="12" t="s">
        <v>17</v>
      </c>
      <c r="D6" s="13">
        <f>CSE4098B_Spring2026_Report!AB6</f>
        <v>31.43</v>
      </c>
      <c r="E6" s="14">
        <f>MIN(45, IF(CSE4098B_Spring2026_Presentatio!Z6&gt;1,
CSE4098B_Spring2026_Presentatio!Z6,
CSE4098B_Spring2026_Presentatio!Z6*45))
</f>
        <v>39.67</v>
      </c>
      <c r="F6" s="15">
        <v>3.0</v>
      </c>
      <c r="G6" s="15">
        <v>7.0</v>
      </c>
      <c r="H6" s="16">
        <f t="shared" si="1"/>
        <v>81.1</v>
      </c>
      <c r="I6" s="17" t="str">
        <f t="shared" si="2"/>
        <v>A-</v>
      </c>
      <c r="J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11">
        <v>3.0</v>
      </c>
      <c r="B7" s="12">
        <v>2.22014039E8</v>
      </c>
      <c r="C7" s="12" t="s">
        <v>18</v>
      </c>
      <c r="D7" s="13">
        <f>CSE4098B_Spring2026_Report!AB7</f>
        <v>31.43</v>
      </c>
      <c r="E7" s="14">
        <f>MIN(45, IF(CSE4098B_Spring2026_Presentatio!Z7&gt;1,
CSE4098B_Spring2026_Presentatio!Z7,
CSE4098B_Spring2026_Presentatio!Z7*45))
</f>
        <v>32.44</v>
      </c>
      <c r="F7" s="22">
        <v>2.0</v>
      </c>
      <c r="G7" s="22">
        <v>4.0</v>
      </c>
      <c r="H7" s="16">
        <f t="shared" si="1"/>
        <v>69.87</v>
      </c>
      <c r="I7" s="17" t="str">
        <f t="shared" si="2"/>
        <v>B-</v>
      </c>
      <c r="J7" s="21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11">
        <v>4.0</v>
      </c>
      <c r="B8" s="12">
        <v>2.22014012E8</v>
      </c>
      <c r="C8" s="12" t="s">
        <v>19</v>
      </c>
      <c r="D8" s="13">
        <f>CSE4098B_Spring2026_Report!AB8</f>
        <v>31.43</v>
      </c>
      <c r="E8" s="14">
        <f>MIN(45, IF(CSE4098B_Spring2026_Presentatio!Z8&gt;1,
CSE4098B_Spring2026_Presentatio!Z8,
CSE4098B_Spring2026_Presentatio!Z8*45))
</f>
        <v>32.89</v>
      </c>
      <c r="F8" s="15">
        <v>2.0</v>
      </c>
      <c r="G8" s="15">
        <v>4.0</v>
      </c>
      <c r="H8" s="16">
        <f t="shared" si="1"/>
        <v>70.32</v>
      </c>
      <c r="I8" s="17" t="str">
        <f t="shared" si="2"/>
        <v>B</v>
      </c>
      <c r="J8" s="21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11">
        <v>5.0</v>
      </c>
      <c r="B9" s="12">
        <v>2.22014096E8</v>
      </c>
      <c r="C9" s="12" t="s">
        <v>20</v>
      </c>
      <c r="D9" s="13">
        <f>CSE4098B_Spring2026_Report!AB9</f>
        <v>31.43</v>
      </c>
      <c r="E9" s="14">
        <f>MIN(45, IF(CSE4098B_Spring2026_Presentatio!Z9&gt;1,
CSE4098B_Spring2026_Presentatio!Z9,
CSE4098B_Spring2026_Presentatio!Z9*45))
</f>
        <v>41.44</v>
      </c>
      <c r="F9" s="15">
        <v>4.0</v>
      </c>
      <c r="G9" s="15">
        <v>7.0</v>
      </c>
      <c r="H9" s="16">
        <f t="shared" si="1"/>
        <v>83.87</v>
      </c>
      <c r="I9" s="17" t="str">
        <f t="shared" si="2"/>
        <v>A-</v>
      </c>
      <c r="J9" s="21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11">
        <v>6.0</v>
      </c>
      <c r="B10" s="12">
        <v>2.22014052E8</v>
      </c>
      <c r="C10" s="12" t="s">
        <v>21</v>
      </c>
      <c r="D10" s="13">
        <f>CSE4098B_Spring2026_Report!AB10</f>
        <v>26.67</v>
      </c>
      <c r="E10" s="14">
        <f>MIN(45, IF(CSE4098B_Spring2026_Presentatio!Z10&gt;1,
CSE4098B_Spring2026_Presentatio!Z10,
CSE4098B_Spring2026_Presentatio!Z10*45))
</f>
        <v>42.67</v>
      </c>
      <c r="F10" s="15">
        <v>4.0</v>
      </c>
      <c r="G10" s="15">
        <v>9.0</v>
      </c>
      <c r="H10" s="16">
        <f t="shared" si="1"/>
        <v>82.34</v>
      </c>
      <c r="I10" s="17" t="str">
        <f t="shared" si="2"/>
        <v>A-</v>
      </c>
      <c r="J10" s="18" t="s">
        <v>22</v>
      </c>
      <c r="K10" s="19" t="s">
        <v>23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11">
        <v>7.0</v>
      </c>
      <c r="B11" s="12">
        <v>2.22014009E8</v>
      </c>
      <c r="C11" s="12" t="s">
        <v>24</v>
      </c>
      <c r="D11" s="13">
        <f>CSE4098B_Spring2026_Report!AB11</f>
        <v>26.67</v>
      </c>
      <c r="E11" s="14">
        <f>MIN(45, IF(CSE4098B_Spring2026_Presentatio!Z11&gt;1,
CSE4098B_Spring2026_Presentatio!Z11,
CSE4098B_Spring2026_Presentatio!Z11*45))
</f>
        <v>40.67</v>
      </c>
      <c r="F11" s="15">
        <v>3.0</v>
      </c>
      <c r="G11" s="15">
        <v>7.0</v>
      </c>
      <c r="H11" s="16">
        <f t="shared" si="1"/>
        <v>77.34</v>
      </c>
      <c r="I11" s="17" t="str">
        <f t="shared" si="2"/>
        <v>B+</v>
      </c>
      <c r="J11" s="21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11">
        <v>8.0</v>
      </c>
      <c r="B12" s="12">
        <v>2.22014088E8</v>
      </c>
      <c r="C12" s="12" t="s">
        <v>25</v>
      </c>
      <c r="D12" s="13">
        <f>CSE4098B_Spring2026_Report!AB12</f>
        <v>26.67</v>
      </c>
      <c r="E12" s="14">
        <f>MIN(45, IF(CSE4098B_Spring2026_Presentatio!Z12&gt;1,
CSE4098B_Spring2026_Presentatio!Z12,
CSE4098B_Spring2026_Presentatio!Z12*45))
</f>
        <v>39.33</v>
      </c>
      <c r="F12" s="15">
        <v>3.0</v>
      </c>
      <c r="G12" s="15">
        <v>5.0</v>
      </c>
      <c r="H12" s="16">
        <f t="shared" si="1"/>
        <v>74</v>
      </c>
      <c r="I12" s="17" t="str">
        <f t="shared" si="2"/>
        <v>B</v>
      </c>
      <c r="J12" s="21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11">
        <v>9.0</v>
      </c>
      <c r="B13" s="12">
        <v>2.31014021E8</v>
      </c>
      <c r="C13" s="12" t="s">
        <v>26</v>
      </c>
      <c r="D13" s="13">
        <f>CSE4098B_Spring2026_Report!AB13</f>
        <v>26.67</v>
      </c>
      <c r="E13" s="14">
        <f>MIN(45, IF(CSE4098B_Spring2026_Presentatio!Z13&gt;1,
CSE4098B_Spring2026_Presentatio!Z13,
CSE4098B_Spring2026_Presentatio!Z13*45))
</f>
        <v>39</v>
      </c>
      <c r="F13" s="15">
        <v>3.0</v>
      </c>
      <c r="G13" s="23">
        <v>5.0</v>
      </c>
      <c r="H13" s="16">
        <f t="shared" si="1"/>
        <v>73.67</v>
      </c>
      <c r="I13" s="17" t="str">
        <f t="shared" si="2"/>
        <v>B</v>
      </c>
      <c r="J13" s="21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11">
        <v>10.0</v>
      </c>
      <c r="B14" s="12">
        <v>2.23014142E8</v>
      </c>
      <c r="C14" s="12" t="s">
        <v>27</v>
      </c>
      <c r="D14" s="13">
        <f>CSE4098B_Spring2026_Report!AB14</f>
        <v>32</v>
      </c>
      <c r="E14" s="14">
        <f>MIN(45, IF(CSE4098B_Spring2026_Presentatio!Z14&gt;1,
CSE4098B_Spring2026_Presentatio!Z14,
CSE4098B_Spring2026_Presentatio!Z14*45))
</f>
        <v>43.41</v>
      </c>
      <c r="F14" s="15">
        <v>5.0</v>
      </c>
      <c r="G14" s="23">
        <v>8.0</v>
      </c>
      <c r="H14" s="16">
        <f t="shared" si="1"/>
        <v>88.41</v>
      </c>
      <c r="I14" s="17" t="str">
        <f t="shared" si="2"/>
        <v>A</v>
      </c>
      <c r="J14" s="18" t="s">
        <v>28</v>
      </c>
      <c r="K14" s="19" t="s">
        <v>29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11">
        <v>11.0</v>
      </c>
      <c r="B15" s="12">
        <v>2.23014204E8</v>
      </c>
      <c r="C15" s="12" t="s">
        <v>30</v>
      </c>
      <c r="D15" s="13">
        <f>CSE4098B_Spring2026_Report!AB15</f>
        <v>32</v>
      </c>
      <c r="E15" s="14">
        <f>MIN(45, IF(CSE4098B_Spring2026_Presentatio!Z15&gt;1,
CSE4098B_Spring2026_Presentatio!Z15,
CSE4098B_Spring2026_Presentatio!Z15*45))
</f>
        <v>43.41</v>
      </c>
      <c r="F15" s="15">
        <v>5.0</v>
      </c>
      <c r="G15" s="23">
        <v>8.0</v>
      </c>
      <c r="H15" s="16">
        <f t="shared" si="1"/>
        <v>88.41</v>
      </c>
      <c r="I15" s="17" t="str">
        <f t="shared" si="2"/>
        <v>A</v>
      </c>
      <c r="J15" s="21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11">
        <v>12.0</v>
      </c>
      <c r="B16" s="12">
        <v>2.13014052E8</v>
      </c>
      <c r="C16" s="12" t="s">
        <v>31</v>
      </c>
      <c r="D16" s="13">
        <f>CSE4098B_Spring2026_Report!AB16</f>
        <v>32</v>
      </c>
      <c r="E16" s="14">
        <f>MIN(45, IF(CSE4098B_Spring2026_Presentatio!Z16&gt;1,
CSE4098B_Spring2026_Presentatio!Z16,
CSE4098B_Spring2026_Presentatio!Z16*45))
</f>
        <v>40.74</v>
      </c>
      <c r="F16" s="15">
        <v>4.0</v>
      </c>
      <c r="G16" s="23">
        <v>7.0</v>
      </c>
      <c r="H16" s="16">
        <f t="shared" si="1"/>
        <v>83.74</v>
      </c>
      <c r="I16" s="17" t="str">
        <f t="shared" si="2"/>
        <v>A-</v>
      </c>
      <c r="J16" s="21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11">
        <v>13.0</v>
      </c>
      <c r="B17" s="12">
        <v>2.21014035E8</v>
      </c>
      <c r="C17" s="12" t="s">
        <v>32</v>
      </c>
      <c r="D17" s="13">
        <f>CSE4098B_Spring2026_Report!AB17</f>
        <v>32</v>
      </c>
      <c r="E17" s="14">
        <f>MIN(45, IF(CSE4098B_Spring2026_Presentatio!Z17&gt;1,
CSE4098B_Spring2026_Presentatio!Z17,
CSE4098B_Spring2026_Presentatio!Z17*45))
</f>
        <v>39.63</v>
      </c>
      <c r="F17" s="15">
        <v>3.0</v>
      </c>
      <c r="G17" s="23">
        <v>7.0</v>
      </c>
      <c r="H17" s="16">
        <f t="shared" si="1"/>
        <v>81.63</v>
      </c>
      <c r="I17" s="17" t="str">
        <f t="shared" si="2"/>
        <v>A-</v>
      </c>
      <c r="J17" s="21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11">
        <v>14.0</v>
      </c>
      <c r="B18" s="12">
        <v>2.23014074E8</v>
      </c>
      <c r="C18" s="12" t="s">
        <v>33</v>
      </c>
      <c r="D18" s="13">
        <f>CSE4098B_Spring2026_Report!AB18</f>
        <v>34.67</v>
      </c>
      <c r="E18" s="14">
        <f>MIN(45, IF(CSE4098B_Spring2026_Presentatio!Z18&gt;1,
CSE4098B_Spring2026_Presentatio!Z18,
CSE4098B_Spring2026_Presentatio!Z18*45))
</f>
        <v>44.33</v>
      </c>
      <c r="F18" s="15">
        <v>4.0</v>
      </c>
      <c r="G18" s="23">
        <v>9.0</v>
      </c>
      <c r="H18" s="16">
        <f t="shared" si="1"/>
        <v>92</v>
      </c>
      <c r="I18" s="17" t="str">
        <f t="shared" si="2"/>
        <v>A</v>
      </c>
      <c r="J18" s="18" t="s">
        <v>28</v>
      </c>
      <c r="K18" s="19" t="s">
        <v>34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11">
        <v>15.0</v>
      </c>
      <c r="B19" s="12">
        <v>2.23014133E8</v>
      </c>
      <c r="C19" s="12" t="s">
        <v>35</v>
      </c>
      <c r="D19" s="13">
        <f>CSE4098B_Spring2026_Report!AB19</f>
        <v>34.67</v>
      </c>
      <c r="E19" s="14">
        <f>MIN(45, IF(CSE4098B_Spring2026_Presentatio!Z19&gt;1,
CSE4098B_Spring2026_Presentatio!Z19,
CSE4098B_Spring2026_Presentatio!Z19*45))
</f>
        <v>42.78</v>
      </c>
      <c r="F19" s="15">
        <v>4.0</v>
      </c>
      <c r="G19" s="23">
        <v>8.0</v>
      </c>
      <c r="H19" s="16">
        <f t="shared" si="1"/>
        <v>89.45</v>
      </c>
      <c r="I19" s="17" t="str">
        <f t="shared" si="2"/>
        <v>A</v>
      </c>
      <c r="J19" s="21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11">
        <v>16.0</v>
      </c>
      <c r="B20" s="12">
        <v>2.23014052E8</v>
      </c>
      <c r="C20" s="12" t="s">
        <v>36</v>
      </c>
      <c r="D20" s="13">
        <f>CSE4098B_Spring2026_Report!AB20</f>
        <v>34.67</v>
      </c>
      <c r="E20" s="14">
        <f>MIN(45, IF(CSE4098B_Spring2026_Presentatio!Z20&gt;1,
CSE4098B_Spring2026_Presentatio!Z20,
CSE4098B_Spring2026_Presentatio!Z20*45))
</f>
        <v>42.78</v>
      </c>
      <c r="F20" s="15">
        <v>4.0</v>
      </c>
      <c r="G20" s="23">
        <v>8.0</v>
      </c>
      <c r="H20" s="16">
        <f t="shared" si="1"/>
        <v>89.45</v>
      </c>
      <c r="I20" s="17" t="str">
        <f t="shared" si="2"/>
        <v>A</v>
      </c>
      <c r="J20" s="21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11">
        <v>17.0</v>
      </c>
      <c r="B21" s="12">
        <v>2.23014105E8</v>
      </c>
      <c r="C21" s="12" t="s">
        <v>37</v>
      </c>
      <c r="D21" s="13">
        <f>CSE4098B_Spring2026_Report!AB21</f>
        <v>34.67</v>
      </c>
      <c r="E21" s="14">
        <f>MIN(45, IF(CSE4098B_Spring2026_Presentatio!Z21&gt;1,
CSE4098B_Spring2026_Presentatio!Z21,
CSE4098B_Spring2026_Presentatio!Z21*45))
</f>
        <v>45</v>
      </c>
      <c r="F21" s="15">
        <v>5.0</v>
      </c>
      <c r="G21" s="23">
        <v>9.0</v>
      </c>
      <c r="H21" s="16">
        <f t="shared" si="1"/>
        <v>93.67</v>
      </c>
      <c r="I21" s="17" t="str">
        <f t="shared" si="2"/>
        <v>A</v>
      </c>
      <c r="J21" s="21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11">
        <v>18.0</v>
      </c>
      <c r="B22" s="12">
        <v>2.23014196E8</v>
      </c>
      <c r="C22" s="12" t="s">
        <v>38</v>
      </c>
      <c r="D22" s="13">
        <f>CSE4098B_Spring2026_Report!AB22</f>
        <v>34.67</v>
      </c>
      <c r="E22" s="14">
        <f>MIN(45, IF(CSE4098B_Spring2026_Presentatio!Z22&gt;1,
CSE4098B_Spring2026_Presentatio!Z22,
CSE4098B_Spring2026_Presentatio!Z22*45))
</f>
        <v>42.78</v>
      </c>
      <c r="F22" s="15">
        <v>5.0</v>
      </c>
      <c r="G22" s="23">
        <v>9.0</v>
      </c>
      <c r="H22" s="16">
        <f t="shared" si="1"/>
        <v>91.45</v>
      </c>
      <c r="I22" s="17" t="str">
        <f t="shared" si="2"/>
        <v>A</v>
      </c>
      <c r="J22" s="21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11">
        <v>19.0</v>
      </c>
      <c r="B23" s="12">
        <v>2.23014213E8</v>
      </c>
      <c r="C23" s="12" t="s">
        <v>19</v>
      </c>
      <c r="D23" s="13">
        <f>CSE4098B_Spring2026_Report!AB23</f>
        <v>34.86</v>
      </c>
      <c r="E23" s="14">
        <f>MIN(45, IF(CSE4098B_Spring2026_Presentatio!Z23&gt;1,
CSE4098B_Spring2026_Presentatio!Z23,
CSE4098B_Spring2026_Presentatio!Z23*45))
</f>
        <v>42.74</v>
      </c>
      <c r="F23" s="15">
        <v>5.0</v>
      </c>
      <c r="G23" s="23">
        <v>10.0</v>
      </c>
      <c r="H23" s="16">
        <f t="shared" si="1"/>
        <v>92.6</v>
      </c>
      <c r="I23" s="17" t="str">
        <f t="shared" si="2"/>
        <v>A</v>
      </c>
      <c r="J23" s="18" t="s">
        <v>39</v>
      </c>
      <c r="K23" s="19" t="s">
        <v>40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11">
        <v>20.0</v>
      </c>
      <c r="B24" s="12">
        <v>2.23014078E8</v>
      </c>
      <c r="C24" s="12" t="s">
        <v>41</v>
      </c>
      <c r="D24" s="13">
        <f>CSE4098B_Spring2026_Report!AB24</f>
        <v>34.86</v>
      </c>
      <c r="E24" s="14">
        <f>MIN(45, IF(CSE4098B_Spring2026_Presentatio!Z24&gt;1,
CSE4098B_Spring2026_Presentatio!Z24,
CSE4098B_Spring2026_Presentatio!Z24*45))
</f>
        <v>43.48</v>
      </c>
      <c r="F24" s="15">
        <v>5.0</v>
      </c>
      <c r="G24" s="23">
        <v>10.0</v>
      </c>
      <c r="H24" s="16">
        <f t="shared" si="1"/>
        <v>93.34</v>
      </c>
      <c r="I24" s="17" t="str">
        <f t="shared" si="2"/>
        <v>A</v>
      </c>
      <c r="J24" s="21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11">
        <v>21.0</v>
      </c>
      <c r="B25" s="24">
        <v>2.23014212E8</v>
      </c>
      <c r="C25" s="25" t="s">
        <v>42</v>
      </c>
      <c r="D25" s="13">
        <f>CSE4098B_Spring2026_Report!AB25</f>
        <v>34.86</v>
      </c>
      <c r="E25" s="14">
        <f>MIN(45, IF(CSE4098B_Spring2026_Presentatio!Z25&gt;1,
CSE4098B_Spring2026_Presentatio!Z25,
CSE4098B_Spring2026_Presentatio!Z25*45))
</f>
        <v>42.74</v>
      </c>
      <c r="F25" s="15">
        <v>5.0</v>
      </c>
      <c r="G25" s="23">
        <v>10.0</v>
      </c>
      <c r="H25" s="16">
        <f t="shared" si="1"/>
        <v>92.6</v>
      </c>
      <c r="I25" s="17" t="str">
        <f t="shared" si="2"/>
        <v>A</v>
      </c>
      <c r="J25" s="21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11">
        <v>22.0</v>
      </c>
      <c r="B26" s="24">
        <v>2.31014049E8</v>
      </c>
      <c r="C26" s="25" t="s">
        <v>43</v>
      </c>
      <c r="D26" s="13">
        <f>CSE4098B_Spring2026_Report!AB26</f>
        <v>36.38</v>
      </c>
      <c r="E26" s="14">
        <f>MIN(45, IF(CSE4098B_Spring2026_Presentatio!Z26&gt;1,
CSE4098B_Spring2026_Presentatio!Z26,
CSE4098B_Spring2026_Presentatio!Z26*45))
</f>
        <v>45</v>
      </c>
      <c r="F26" s="26">
        <v>5.0</v>
      </c>
      <c r="G26" s="27">
        <v>10.0</v>
      </c>
      <c r="H26" s="16">
        <f t="shared" si="1"/>
        <v>96.38</v>
      </c>
      <c r="I26" s="17" t="str">
        <f t="shared" si="2"/>
        <v>A+</v>
      </c>
      <c r="J26" s="18" t="s">
        <v>44</v>
      </c>
      <c r="K26" s="28" t="s">
        <v>45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11">
        <v>23.0</v>
      </c>
      <c r="B27" s="24">
        <v>2.31014016E8</v>
      </c>
      <c r="C27" s="25" t="s">
        <v>46</v>
      </c>
      <c r="D27" s="13">
        <f>CSE4098B_Spring2026_Report!AB27</f>
        <v>36.38</v>
      </c>
      <c r="E27" s="14">
        <f>MIN(45, IF(CSE4098B_Spring2026_Presentatio!Z27&gt;1,
CSE4098B_Spring2026_Presentatio!Z27,
CSE4098B_Spring2026_Presentatio!Z27*45))
</f>
        <v>45</v>
      </c>
      <c r="F27" s="26">
        <v>5.0</v>
      </c>
      <c r="G27" s="27">
        <v>10.0</v>
      </c>
      <c r="H27" s="16">
        <f t="shared" si="1"/>
        <v>96.38</v>
      </c>
      <c r="I27" s="17" t="str">
        <f t="shared" si="2"/>
        <v>A+</v>
      </c>
      <c r="J27" s="21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11">
        <v>24.0</v>
      </c>
      <c r="B28" s="24">
        <v>2.31014125E8</v>
      </c>
      <c r="C28" s="25" t="s">
        <v>47</v>
      </c>
      <c r="D28" s="13">
        <f>CSE4098B_Spring2026_Report!AB28</f>
        <v>36.38</v>
      </c>
      <c r="E28" s="14">
        <f>MIN(45, IF(CSE4098B_Spring2026_Presentatio!Z28&gt;1,
CSE4098B_Spring2026_Presentatio!Z28,
CSE4098B_Spring2026_Presentatio!Z28*45))
</f>
        <v>45</v>
      </c>
      <c r="F28" s="26">
        <v>5.0</v>
      </c>
      <c r="G28" s="27">
        <v>10.0</v>
      </c>
      <c r="H28" s="16">
        <f t="shared" si="1"/>
        <v>96.38</v>
      </c>
      <c r="I28" s="17" t="str">
        <f t="shared" si="2"/>
        <v>A+</v>
      </c>
      <c r="J28" s="21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11">
        <v>25.0</v>
      </c>
      <c r="B29" s="24">
        <v>2.31014142E8</v>
      </c>
      <c r="C29" s="25" t="s">
        <v>48</v>
      </c>
      <c r="D29" s="13">
        <f>CSE4098B_Spring2026_Report!AB29</f>
        <v>36.38</v>
      </c>
      <c r="E29" s="14">
        <f>MIN(45, IF(CSE4098B_Spring2026_Presentatio!Z29&gt;1,
CSE4098B_Spring2026_Presentatio!Z29,
CSE4098B_Spring2026_Presentatio!Z29*45))
</f>
        <v>44.33</v>
      </c>
      <c r="F29" s="26">
        <v>5.0</v>
      </c>
      <c r="G29" s="27">
        <v>10.0</v>
      </c>
      <c r="H29" s="16">
        <f t="shared" si="1"/>
        <v>95.71</v>
      </c>
      <c r="I29" s="17" t="str">
        <f t="shared" si="2"/>
        <v>A+</v>
      </c>
      <c r="J29" s="21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15.75" customHeight="1">
      <c r="A30" s="11">
        <v>26.0</v>
      </c>
      <c r="B30" s="24">
        <v>2.23014146E8</v>
      </c>
      <c r="C30" s="25" t="s">
        <v>49</v>
      </c>
      <c r="D30" s="13">
        <f>CSE4098B_Spring2026_Report!AB30</f>
        <v>36.38</v>
      </c>
      <c r="E30" s="14">
        <f>MIN(45, IF(CSE4098B_Spring2026_Presentatio!Z30&gt;1,
CSE4098B_Spring2026_Presentatio!Z30,
CSE4098B_Spring2026_Presentatio!Z30*45))
</f>
        <v>44</v>
      </c>
      <c r="F30" s="26">
        <v>5.0</v>
      </c>
      <c r="G30" s="27">
        <v>10.0</v>
      </c>
      <c r="H30" s="16">
        <f t="shared" si="1"/>
        <v>95.38</v>
      </c>
      <c r="I30" s="17" t="str">
        <f t="shared" si="2"/>
        <v>A+</v>
      </c>
      <c r="J30" s="21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15.75" customHeight="1">
      <c r="A31" s="11">
        <v>27.0</v>
      </c>
      <c r="B31" s="24">
        <v>2.31014024E8</v>
      </c>
      <c r="C31" s="25" t="s">
        <v>50</v>
      </c>
      <c r="D31" s="13">
        <f>CSE4098B_Spring2026_Report!AB31</f>
        <v>34.67</v>
      </c>
      <c r="E31" s="14">
        <f>MIN(45, IF(CSE4098B_Spring2026_Presentatio!Z31&gt;1,
CSE4098B_Spring2026_Presentatio!Z31,
CSE4098B_Spring2026_Presentatio!Z31*45))
</f>
        <v>34.33</v>
      </c>
      <c r="F31" s="26">
        <v>5.0</v>
      </c>
      <c r="G31" s="27">
        <v>10.0</v>
      </c>
      <c r="H31" s="16">
        <f t="shared" si="1"/>
        <v>84</v>
      </c>
      <c r="I31" s="17" t="str">
        <f t="shared" si="2"/>
        <v>A-</v>
      </c>
      <c r="J31" s="18" t="s">
        <v>44</v>
      </c>
      <c r="K31" s="19" t="s">
        <v>51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15.75" customHeight="1">
      <c r="A32" s="11">
        <v>28.0</v>
      </c>
      <c r="B32" s="24">
        <v>2.31014064E8</v>
      </c>
      <c r="C32" s="25" t="s">
        <v>52</v>
      </c>
      <c r="D32" s="13">
        <f>CSE4098B_Spring2026_Report!AB32</f>
        <v>34.67</v>
      </c>
      <c r="E32" s="14">
        <f>MIN(45, IF(CSE4098B_Spring2026_Presentatio!Z32&gt;1,
CSE4098B_Spring2026_Presentatio!Z32,
CSE4098B_Spring2026_Presentatio!Z32*45))
</f>
        <v>34.33</v>
      </c>
      <c r="F32" s="26">
        <v>5.0</v>
      </c>
      <c r="G32" s="27">
        <v>10.0</v>
      </c>
      <c r="H32" s="16">
        <f t="shared" si="1"/>
        <v>84</v>
      </c>
      <c r="I32" s="17" t="str">
        <f t="shared" si="2"/>
        <v>A-</v>
      </c>
      <c r="J32" s="21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15.75" customHeight="1">
      <c r="A33" s="11">
        <v>29.0</v>
      </c>
      <c r="B33" s="24">
        <v>2.3101405E8</v>
      </c>
      <c r="C33" s="25" t="s">
        <v>53</v>
      </c>
      <c r="D33" s="13">
        <f>CSE4098B_Spring2026_Report!AB33</f>
        <v>34.67</v>
      </c>
      <c r="E33" s="14">
        <f>MIN(45, IF(CSE4098B_Spring2026_Presentatio!Z33&gt;1,
CSE4098B_Spring2026_Presentatio!Z33,
CSE4098B_Spring2026_Presentatio!Z33*45))
</f>
        <v>34.33</v>
      </c>
      <c r="F33" s="26">
        <v>5.0</v>
      </c>
      <c r="G33" s="27">
        <v>10.0</v>
      </c>
      <c r="H33" s="16">
        <f t="shared" si="1"/>
        <v>84</v>
      </c>
      <c r="I33" s="17" t="str">
        <f t="shared" si="2"/>
        <v>A-</v>
      </c>
      <c r="J33" s="21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15.75" customHeight="1">
      <c r="A34" s="11">
        <v>30.0</v>
      </c>
      <c r="B34" s="24">
        <v>2.3101416E8</v>
      </c>
      <c r="C34" s="29" t="s">
        <v>54</v>
      </c>
      <c r="D34" s="13">
        <f>CSE4098B_Spring2026_Report!AB34</f>
        <v>34.67</v>
      </c>
      <c r="E34" s="14">
        <f>MIN(45, IF(CSE4098B_Spring2026_Presentatio!Z34&gt;1,
CSE4098B_Spring2026_Presentatio!Z34,
CSE4098B_Spring2026_Presentatio!Z34*45))
</f>
        <v>34.33</v>
      </c>
      <c r="F34" s="26">
        <v>5.0</v>
      </c>
      <c r="G34" s="27">
        <v>10.0</v>
      </c>
      <c r="H34" s="16">
        <f t="shared" si="1"/>
        <v>84</v>
      </c>
      <c r="I34" s="17" t="str">
        <f t="shared" si="2"/>
        <v>A-</v>
      </c>
      <c r="J34" s="2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15.75" customHeight="1">
      <c r="A35" s="11">
        <v>31.0</v>
      </c>
      <c r="B35" s="24">
        <v>2.31014116E8</v>
      </c>
      <c r="C35" s="25" t="s">
        <v>55</v>
      </c>
      <c r="D35" s="13">
        <f>CSE4098B_Spring2026_Report!AB35</f>
        <v>34.67</v>
      </c>
      <c r="E35" s="14">
        <f>MIN(45, IF(CSE4098B_Spring2026_Presentatio!Z35&gt;1,
CSE4098B_Spring2026_Presentatio!Z35,
CSE4098B_Spring2026_Presentatio!Z35*45))
</f>
        <v>34.33</v>
      </c>
      <c r="F35" s="30">
        <v>5.0</v>
      </c>
      <c r="G35" s="31">
        <v>10.0</v>
      </c>
      <c r="H35" s="16">
        <f t="shared" si="1"/>
        <v>84</v>
      </c>
      <c r="I35" s="17" t="str">
        <f t="shared" si="2"/>
        <v>A-</v>
      </c>
      <c r="J35" s="21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ht="15.75" customHeight="1">
      <c r="A36" s="11">
        <v>32.0</v>
      </c>
      <c r="B36" s="24">
        <v>2.12014015E8</v>
      </c>
      <c r="C36" s="25" t="s">
        <v>56</v>
      </c>
      <c r="D36" s="13">
        <f>CSE4098B_Spring2026_Report!AB36</f>
        <v>34.47</v>
      </c>
      <c r="E36" s="14">
        <f>MIN(45, IF(CSE4098B_Spring2026_Presentatio!Z36&gt;1,
CSE4098B_Spring2026_Presentatio!Z36,
CSE4098B_Spring2026_Presentatio!Z36*45))
</f>
        <v>39.11</v>
      </c>
      <c r="F36" s="15">
        <v>4.0</v>
      </c>
      <c r="G36" s="23">
        <v>9.0</v>
      </c>
      <c r="H36" s="16">
        <f t="shared" si="1"/>
        <v>86.58</v>
      </c>
      <c r="I36" s="17" t="str">
        <f t="shared" si="2"/>
        <v>A</v>
      </c>
      <c r="J36" s="18" t="s">
        <v>57</v>
      </c>
      <c r="K36" s="19" t="s">
        <v>58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ht="15.75" customHeight="1">
      <c r="A37" s="11">
        <v>33.0</v>
      </c>
      <c r="B37" s="24">
        <v>2.2301405E8</v>
      </c>
      <c r="C37" s="25" t="s">
        <v>59</v>
      </c>
      <c r="D37" s="13">
        <f>CSE4098B_Spring2026_Report!AB37</f>
        <v>34.47</v>
      </c>
      <c r="E37" s="14">
        <f>MIN(45, IF(CSE4098B_Spring2026_Presentatio!Z37&gt;1,
CSE4098B_Spring2026_Presentatio!Z37,
CSE4098B_Spring2026_Presentatio!Z37*45))
</f>
        <v>36.22</v>
      </c>
      <c r="F37" s="15">
        <v>4.0</v>
      </c>
      <c r="G37" s="23">
        <v>9.0</v>
      </c>
      <c r="H37" s="16">
        <f t="shared" si="1"/>
        <v>83.69</v>
      </c>
      <c r="I37" s="17" t="str">
        <f t="shared" si="2"/>
        <v>A-</v>
      </c>
      <c r="J37" s="21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15.75" customHeight="1">
      <c r="A38" s="11">
        <v>34.0</v>
      </c>
      <c r="B38" s="32">
        <v>2.31014075E8</v>
      </c>
      <c r="C38" s="33" t="s">
        <v>60</v>
      </c>
      <c r="D38" s="13">
        <f>CSE4098B_Spring2026_Report!AB38</f>
        <v>34.47</v>
      </c>
      <c r="E38" s="14">
        <f>MIN(45, IF(CSE4098B_Spring2026_Presentatio!Z38&gt;1,
CSE4098B_Spring2026_Presentatio!Z38,
CSE4098B_Spring2026_Presentatio!Z38*45))
</f>
        <v>36.67</v>
      </c>
      <c r="F38" s="15">
        <v>4.0</v>
      </c>
      <c r="G38" s="23">
        <v>9.0</v>
      </c>
      <c r="H38" s="16">
        <f t="shared" si="1"/>
        <v>84.14</v>
      </c>
      <c r="I38" s="17" t="str">
        <f t="shared" si="2"/>
        <v>A-</v>
      </c>
      <c r="J38" s="21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15.75" customHeight="1">
      <c r="A39" s="11">
        <v>35.0</v>
      </c>
      <c r="B39" s="24">
        <v>2.21014135E8</v>
      </c>
      <c r="C39" s="25" t="s">
        <v>61</v>
      </c>
      <c r="D39" s="13">
        <f>CSE4098B_Spring2026_Report!AB39</f>
        <v>30.86</v>
      </c>
      <c r="E39" s="14">
        <f>MIN(45, IF(CSE4098B_Spring2026_Presentatio!Z39&gt;1,
CSE4098B_Spring2026_Presentatio!Z39,
CSE4098B_Spring2026_Presentatio!Z39*45))
</f>
        <v>31.56</v>
      </c>
      <c r="F39" s="15">
        <v>4.0</v>
      </c>
      <c r="G39" s="23">
        <v>7.0</v>
      </c>
      <c r="H39" s="16">
        <f t="shared" si="1"/>
        <v>73.42</v>
      </c>
      <c r="I39" s="17" t="str">
        <f t="shared" si="2"/>
        <v>B</v>
      </c>
      <c r="J39" s="18" t="s">
        <v>62</v>
      </c>
      <c r="K39" s="19" t="s">
        <v>63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15.75" customHeight="1">
      <c r="A40" s="11">
        <v>36.0</v>
      </c>
      <c r="B40" s="24">
        <v>2.21014018E8</v>
      </c>
      <c r="C40" s="25" t="s">
        <v>64</v>
      </c>
      <c r="D40" s="13">
        <f>CSE4098B_Spring2026_Report!AB40</f>
        <v>30.86</v>
      </c>
      <c r="E40" s="14">
        <f>MIN(45, IF(CSE4098B_Spring2026_Presentatio!Z40&gt;1,
CSE4098B_Spring2026_Presentatio!Z40,
CSE4098B_Spring2026_Presentatio!Z40*45))
</f>
        <v>36.44</v>
      </c>
      <c r="F40" s="15">
        <v>5.0</v>
      </c>
      <c r="G40" s="23">
        <v>10.0</v>
      </c>
      <c r="H40" s="16">
        <f t="shared" si="1"/>
        <v>82.3</v>
      </c>
      <c r="I40" s="17" t="str">
        <f t="shared" si="2"/>
        <v>A-</v>
      </c>
      <c r="J40" s="21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ht="15.75" customHeight="1">
      <c r="A41" s="11">
        <v>37.0</v>
      </c>
      <c r="B41" s="24">
        <v>2.21014008E8</v>
      </c>
      <c r="C41" s="25" t="s">
        <v>65</v>
      </c>
      <c r="D41" s="13">
        <f>CSE4098B_Spring2026_Report!AB41</f>
        <v>30.86</v>
      </c>
      <c r="E41" s="14">
        <f>MIN(45, IF(CSE4098B_Spring2026_Presentatio!Z41&gt;1,
CSE4098B_Spring2026_Presentatio!Z41,
CSE4098B_Spring2026_Presentatio!Z41*45))
</f>
        <v>31.56</v>
      </c>
      <c r="F41" s="15">
        <v>4.0</v>
      </c>
      <c r="G41" s="23">
        <v>7.0</v>
      </c>
      <c r="H41" s="16">
        <f t="shared" si="1"/>
        <v>73.42</v>
      </c>
      <c r="I41" s="17" t="str">
        <f t="shared" si="2"/>
        <v>B</v>
      </c>
      <c r="J41" s="21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ht="15.75" customHeight="1">
      <c r="A42" s="11">
        <v>38.0</v>
      </c>
      <c r="B42" s="24">
        <v>2.23014086E8</v>
      </c>
      <c r="C42" s="25" t="s">
        <v>66</v>
      </c>
      <c r="D42" s="13">
        <f>CSE4098B_Spring2026_Report!AB42</f>
        <v>35.43</v>
      </c>
      <c r="E42" s="14">
        <f>MIN(45, IF(CSE4098B_Spring2026_Presentatio!Z42&gt;1,
CSE4098B_Spring2026_Presentatio!Z42,
CSE4098B_Spring2026_Presentatio!Z42*45))
</f>
        <v>42.67</v>
      </c>
      <c r="F42" s="15">
        <v>5.0</v>
      </c>
      <c r="G42" s="23">
        <v>10.0</v>
      </c>
      <c r="H42" s="16">
        <f t="shared" si="1"/>
        <v>93.1</v>
      </c>
      <c r="I42" s="17" t="str">
        <f t="shared" si="2"/>
        <v>A</v>
      </c>
      <c r="J42" s="18" t="s">
        <v>67</v>
      </c>
      <c r="K42" s="19" t="s">
        <v>68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ht="15.75" customHeight="1">
      <c r="A43" s="11">
        <v>39.0</v>
      </c>
      <c r="B43" s="24">
        <v>2.23014033E8</v>
      </c>
      <c r="C43" s="25" t="s">
        <v>69</v>
      </c>
      <c r="D43" s="13">
        <f>CSE4098B_Spring2026_Report!AB43</f>
        <v>35.43</v>
      </c>
      <c r="E43" s="14">
        <f>MIN(45, IF(CSE4098B_Spring2026_Presentatio!Z43&gt;1,
CSE4098B_Spring2026_Presentatio!Z43,
CSE4098B_Spring2026_Presentatio!Z43*45))
</f>
        <v>39.11</v>
      </c>
      <c r="F43" s="15">
        <v>5.0</v>
      </c>
      <c r="G43" s="23">
        <v>9.0</v>
      </c>
      <c r="H43" s="16">
        <f t="shared" si="1"/>
        <v>88.54</v>
      </c>
      <c r="I43" s="17" t="str">
        <f t="shared" si="2"/>
        <v>A</v>
      </c>
      <c r="J43" s="21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ht="15.75" customHeight="1">
      <c r="A44" s="11">
        <v>40.0</v>
      </c>
      <c r="B44" s="24">
        <v>2.23014042E8</v>
      </c>
      <c r="C44" s="25" t="s">
        <v>70</v>
      </c>
      <c r="D44" s="13">
        <f>CSE4098B_Spring2026_Report!AB44</f>
        <v>35.43</v>
      </c>
      <c r="E44" s="14">
        <f>MIN(45, IF(CSE4098B_Spring2026_Presentatio!Z44&gt;1,
CSE4098B_Spring2026_Presentatio!Z44,
CSE4098B_Spring2026_Presentatio!Z44*45))
</f>
        <v>34</v>
      </c>
      <c r="F44" s="15">
        <v>4.0</v>
      </c>
      <c r="G44" s="23">
        <v>8.0</v>
      </c>
      <c r="H44" s="16">
        <f t="shared" si="1"/>
        <v>81.43</v>
      </c>
      <c r="I44" s="17" t="str">
        <f t="shared" si="2"/>
        <v>A-</v>
      </c>
      <c r="J44" s="21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ht="15.75" customHeight="1">
      <c r="A45" s="11">
        <v>41.0</v>
      </c>
      <c r="B45" s="24">
        <v>2.2301404E8</v>
      </c>
      <c r="C45" s="25" t="s">
        <v>71</v>
      </c>
      <c r="D45" s="13">
        <f>CSE4098B_Spring2026_Report!AB45</f>
        <v>35.43</v>
      </c>
      <c r="E45" s="14">
        <f>MIN(45, IF(CSE4098B_Spring2026_Presentatio!Z45&gt;1,
CSE4098B_Spring2026_Presentatio!Z45,
CSE4098B_Spring2026_Presentatio!Z45*45))
</f>
        <v>33.11</v>
      </c>
      <c r="F45" s="15">
        <v>4.0</v>
      </c>
      <c r="G45" s="23">
        <v>8.0</v>
      </c>
      <c r="H45" s="16">
        <f t="shared" si="1"/>
        <v>80.54</v>
      </c>
      <c r="I45" s="17" t="str">
        <f t="shared" si="2"/>
        <v>A-</v>
      </c>
      <c r="J45" s="21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ht="15.75" customHeight="1">
      <c r="A46" s="11">
        <v>42.0</v>
      </c>
      <c r="B46" s="24">
        <v>2.23014054E8</v>
      </c>
      <c r="C46" s="25" t="s">
        <v>72</v>
      </c>
      <c r="D46" s="13">
        <f>CSE4098B_Spring2026_Report!AB46</f>
        <v>35.43</v>
      </c>
      <c r="E46" s="14">
        <f>MIN(45, IF(CSE4098B_Spring2026_Presentatio!Z46&gt;1,
CSE4098B_Spring2026_Presentatio!Z46,
CSE4098B_Spring2026_Presentatio!Z46*45))
</f>
        <v>33.11</v>
      </c>
      <c r="F46" s="15">
        <v>4.0</v>
      </c>
      <c r="G46" s="23">
        <v>7.0</v>
      </c>
      <c r="H46" s="16">
        <f t="shared" si="1"/>
        <v>79.54</v>
      </c>
      <c r="I46" s="17" t="str">
        <f t="shared" si="2"/>
        <v>B+</v>
      </c>
      <c r="J46" s="21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ht="15.75" customHeight="1">
      <c r="A47" s="11">
        <v>43.0</v>
      </c>
      <c r="B47" s="24">
        <v>2.23014176E8</v>
      </c>
      <c r="C47" s="25" t="s">
        <v>73</v>
      </c>
      <c r="D47" s="13">
        <f>CSE4098B_Spring2026_Report!AB47</f>
        <v>16.19</v>
      </c>
      <c r="E47" s="14">
        <f>MIN(45, IF(CSE4098B_Spring2026_Presentatio!Z47&gt;1,
CSE4098B_Spring2026_Presentatio!Z47,
CSE4098B_Spring2026_Presentatio!Z47*45))
</f>
        <v>19.19</v>
      </c>
      <c r="F47" s="15">
        <v>2.0</v>
      </c>
      <c r="G47" s="23">
        <v>4.0</v>
      </c>
      <c r="H47" s="16">
        <f t="shared" si="1"/>
        <v>41.38</v>
      </c>
      <c r="I47" s="17" t="str">
        <f t="shared" si="2"/>
        <v>F</v>
      </c>
      <c r="J47" s="18" t="s">
        <v>74</v>
      </c>
      <c r="K47" s="19" t="s">
        <v>75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ht="15.75" customHeight="1">
      <c r="A48" s="11">
        <v>44.0</v>
      </c>
      <c r="B48" s="24">
        <v>2.23014199E8</v>
      </c>
      <c r="C48" s="25" t="s">
        <v>76</v>
      </c>
      <c r="D48" s="13">
        <f>CSE4098B_Spring2026_Report!AB48</f>
        <v>16.19</v>
      </c>
      <c r="E48" s="14">
        <f>MIN(45, IF(CSE4098B_Spring2026_Presentatio!Z48&gt;1,
CSE4098B_Spring2026_Presentatio!Z48,
CSE4098B_Spring2026_Presentatio!Z48*45))
</f>
        <v>19.19</v>
      </c>
      <c r="F48" s="15">
        <v>2.0</v>
      </c>
      <c r="G48" s="23">
        <v>4.0</v>
      </c>
      <c r="H48" s="16">
        <f t="shared" si="1"/>
        <v>41.38</v>
      </c>
      <c r="I48" s="17" t="str">
        <f t="shared" si="2"/>
        <v>F</v>
      </c>
      <c r="J48" s="21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ht="15.75" customHeight="1">
      <c r="A49" s="11">
        <v>45.0</v>
      </c>
      <c r="B49" s="24">
        <v>2.23014012E8</v>
      </c>
      <c r="C49" s="25" t="s">
        <v>77</v>
      </c>
      <c r="D49" s="13">
        <f>CSE4098B_Spring2026_Report!AB49</f>
        <v>16.19</v>
      </c>
      <c r="E49" s="14">
        <f>MIN(45, IF(CSE4098B_Spring2026_Presentatio!Z49&gt;1,
CSE4098B_Spring2026_Presentatio!Z49,
CSE4098B_Spring2026_Presentatio!Z49*45))
</f>
        <v>18.74</v>
      </c>
      <c r="F49" s="15">
        <v>2.0</v>
      </c>
      <c r="G49" s="23">
        <v>4.0</v>
      </c>
      <c r="H49" s="16">
        <f t="shared" si="1"/>
        <v>40.93</v>
      </c>
      <c r="I49" s="17" t="str">
        <f t="shared" si="2"/>
        <v>F</v>
      </c>
      <c r="J49" s="21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ht="15.75" customHeight="1">
      <c r="A50" s="11">
        <v>46.0</v>
      </c>
      <c r="B50" s="24">
        <v>2.1101403E8</v>
      </c>
      <c r="C50" s="25" t="s">
        <v>78</v>
      </c>
      <c r="D50" s="13">
        <f>CSE4098B_Spring2026_Report!AB50</f>
        <v>16.19</v>
      </c>
      <c r="E50" s="14">
        <f>MIN(45, IF(CSE4098B_Spring2026_Presentatio!Z50&gt;1,
CSE4098B_Spring2026_Presentatio!Z50,
CSE4098B_Spring2026_Presentatio!Z50*45))
</f>
        <v>18.89</v>
      </c>
      <c r="F50" s="15">
        <v>2.0</v>
      </c>
      <c r="G50" s="23">
        <v>4.0</v>
      </c>
      <c r="H50" s="16">
        <f t="shared" si="1"/>
        <v>41.08</v>
      </c>
      <c r="I50" s="17" t="str">
        <f t="shared" si="2"/>
        <v>F</v>
      </c>
      <c r="J50" s="21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ht="15.75" customHeight="1">
      <c r="A51" s="11">
        <v>47.0</v>
      </c>
      <c r="B51" s="24">
        <v>2.23014143E8</v>
      </c>
      <c r="C51" s="25" t="s">
        <v>79</v>
      </c>
      <c r="D51" s="13">
        <f>CSE4098B_Spring2026_Report!AB51</f>
        <v>30.86</v>
      </c>
      <c r="E51" s="14">
        <f>MIN(45, IF(CSE4098B_Spring2026_Presentatio!Z51&gt;1,
CSE4098B_Spring2026_Presentatio!Z51,
CSE4098B_Spring2026_Presentatio!Z51*45))
</f>
        <v>30.22</v>
      </c>
      <c r="F51" s="15">
        <v>4.0</v>
      </c>
      <c r="G51" s="23">
        <v>8.0</v>
      </c>
      <c r="H51" s="16">
        <f t="shared" si="1"/>
        <v>73.08</v>
      </c>
      <c r="I51" s="17" t="str">
        <f t="shared" si="2"/>
        <v>B</v>
      </c>
      <c r="J51" s="18" t="s">
        <v>80</v>
      </c>
      <c r="K51" s="19" t="s">
        <v>81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ht="15.75" customHeight="1">
      <c r="A52" s="11">
        <v>48.0</v>
      </c>
      <c r="B52" s="24">
        <v>2.31014167E8</v>
      </c>
      <c r="C52" s="25" t="s">
        <v>82</v>
      </c>
      <c r="D52" s="13">
        <f>CSE4098B_Spring2026_Report!AB52</f>
        <v>30.86</v>
      </c>
      <c r="E52" s="14">
        <f>MIN(45, IF(CSE4098B_Spring2026_Presentatio!Z52&gt;1,
CSE4098B_Spring2026_Presentatio!Z52,
CSE4098B_Spring2026_Presentatio!Z52*45))
</f>
        <v>28.22</v>
      </c>
      <c r="F52" s="15">
        <v>4.0</v>
      </c>
      <c r="G52" s="23">
        <v>9.0</v>
      </c>
      <c r="H52" s="16">
        <f t="shared" si="1"/>
        <v>72.08</v>
      </c>
      <c r="I52" s="17" t="str">
        <f t="shared" si="2"/>
        <v>B</v>
      </c>
      <c r="J52" s="21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ht="15.75" customHeight="1">
      <c r="A53" s="11">
        <v>49.0</v>
      </c>
      <c r="B53" s="32">
        <v>2.31014073E8</v>
      </c>
      <c r="C53" s="33" t="s">
        <v>83</v>
      </c>
      <c r="D53" s="13">
        <f>CSE4098B_Spring2026_Report!AB53</f>
        <v>30.86</v>
      </c>
      <c r="E53" s="14">
        <f>MIN(45, IF(CSE4098B_Spring2026_Presentatio!Z53&gt;1,
CSE4098B_Spring2026_Presentatio!Z53,
CSE4098B_Spring2026_Presentatio!Z53*45))
</f>
        <v>32.89</v>
      </c>
      <c r="F53" s="15">
        <v>4.0</v>
      </c>
      <c r="G53" s="23">
        <v>9.0</v>
      </c>
      <c r="H53" s="16">
        <f t="shared" si="1"/>
        <v>76.75</v>
      </c>
      <c r="I53" s="17" t="str">
        <f t="shared" si="2"/>
        <v>B+</v>
      </c>
      <c r="J53" s="21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ht="15.75" customHeight="1">
      <c r="A54" s="11">
        <v>50.0</v>
      </c>
      <c r="B54" s="24">
        <v>2.32014058E8</v>
      </c>
      <c r="C54" s="25" t="s">
        <v>84</v>
      </c>
      <c r="D54" s="13">
        <f>CSE4098B_Spring2026_Report!AB54</f>
        <v>30.86</v>
      </c>
      <c r="E54" s="14">
        <f>MIN(45, IF(CSE4098B_Spring2026_Presentatio!Z54&gt;1,
CSE4098B_Spring2026_Presentatio!Z54,
CSE4098B_Spring2026_Presentatio!Z54*45))
</f>
        <v>30.89</v>
      </c>
      <c r="F54" s="15">
        <v>3.0</v>
      </c>
      <c r="G54" s="23">
        <v>7.0</v>
      </c>
      <c r="H54" s="16">
        <f t="shared" si="1"/>
        <v>71.75</v>
      </c>
      <c r="I54" s="17" t="str">
        <f t="shared" si="2"/>
        <v>B</v>
      </c>
      <c r="J54" s="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ht="15.75" customHeight="1">
      <c r="A55" s="11">
        <v>51.0</v>
      </c>
      <c r="B55" s="24">
        <v>2.23014183E8</v>
      </c>
      <c r="C55" s="25" t="s">
        <v>85</v>
      </c>
      <c r="D55" s="13">
        <f>CSE4098B_Spring2026_Report!AB55</f>
        <v>32.38</v>
      </c>
      <c r="E55" s="14">
        <f>MIN(45, IF(CSE4098B_Spring2026_Presentatio!Z55&gt;1,
CSE4098B_Spring2026_Presentatio!Z55,
CSE4098B_Spring2026_Presentatio!Z55*45))
</f>
        <v>39.78</v>
      </c>
      <c r="F55" s="15">
        <v>5.0</v>
      </c>
      <c r="G55" s="23">
        <v>9.0</v>
      </c>
      <c r="H55" s="16">
        <f t="shared" si="1"/>
        <v>86.16</v>
      </c>
      <c r="I55" s="17" t="str">
        <f t="shared" si="2"/>
        <v>A</v>
      </c>
      <c r="J55" s="18" t="s">
        <v>80</v>
      </c>
      <c r="K55" s="19" t="s">
        <v>86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ht="15.75" customHeight="1">
      <c r="A56" s="11">
        <v>52.0</v>
      </c>
      <c r="B56" s="24">
        <v>2.23014182E8</v>
      </c>
      <c r="C56" s="24" t="s">
        <v>87</v>
      </c>
      <c r="D56" s="13">
        <f>CSE4098B_Spring2026_Report!AB56</f>
        <v>32.38</v>
      </c>
      <c r="E56" s="14">
        <f>MIN(45, IF(CSE4098B_Spring2026_Presentatio!Z56&gt;1,
CSE4098B_Spring2026_Presentatio!Z56,
CSE4098B_Spring2026_Presentatio!Z56*45))
</f>
        <v>39.78</v>
      </c>
      <c r="F56" s="15">
        <v>5.0</v>
      </c>
      <c r="G56" s="15">
        <v>9.0</v>
      </c>
      <c r="H56" s="16">
        <f t="shared" si="1"/>
        <v>86.16</v>
      </c>
      <c r="I56" s="17" t="str">
        <f t="shared" si="2"/>
        <v>A</v>
      </c>
      <c r="J56" s="21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ht="15.75" customHeight="1">
      <c r="A57" s="11">
        <v>53.0</v>
      </c>
      <c r="B57" s="24">
        <v>2.23014127E8</v>
      </c>
      <c r="C57" s="24" t="s">
        <v>88</v>
      </c>
      <c r="D57" s="13">
        <f>CSE4098B_Spring2026_Report!AB57</f>
        <v>32.38</v>
      </c>
      <c r="E57" s="14">
        <f>MIN(45, IF(CSE4098B_Spring2026_Presentatio!Z57&gt;1,
CSE4098B_Spring2026_Presentatio!Z57,
CSE4098B_Spring2026_Presentatio!Z57*45))
</f>
        <v>39.78</v>
      </c>
      <c r="F57" s="15">
        <v>4.0</v>
      </c>
      <c r="G57" s="15">
        <v>9.0</v>
      </c>
      <c r="H57" s="16">
        <f t="shared" si="1"/>
        <v>85.16</v>
      </c>
      <c r="I57" s="17" t="str">
        <f t="shared" si="2"/>
        <v>A</v>
      </c>
      <c r="J57" s="21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ht="15.75" customHeight="1">
      <c r="A58" s="11">
        <v>54.0</v>
      </c>
      <c r="B58" s="24">
        <v>2.23014011E8</v>
      </c>
      <c r="C58" s="24" t="s">
        <v>89</v>
      </c>
      <c r="D58" s="13">
        <f>CSE4098B_Spring2026_Report!AB58</f>
        <v>32.38</v>
      </c>
      <c r="E58" s="14">
        <f>MIN(45, IF(CSE4098B_Spring2026_Presentatio!Z58&gt;1,
CSE4098B_Spring2026_Presentatio!Z58,
CSE4098B_Spring2026_Presentatio!Z58*45))
</f>
        <v>40.44</v>
      </c>
      <c r="F58" s="15">
        <v>4.0</v>
      </c>
      <c r="G58" s="15">
        <v>8.0</v>
      </c>
      <c r="H58" s="16">
        <f t="shared" si="1"/>
        <v>84.82</v>
      </c>
      <c r="I58" s="17" t="str">
        <f t="shared" si="2"/>
        <v>A-</v>
      </c>
      <c r="J58" s="21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ht="15.75" customHeight="1">
      <c r="A59" s="11">
        <v>55.0</v>
      </c>
      <c r="B59" s="24">
        <v>2.31014007E8</v>
      </c>
      <c r="C59" s="24" t="s">
        <v>90</v>
      </c>
      <c r="D59" s="13">
        <f>CSE4098B_Spring2026_Report!AB59</f>
        <v>32.38</v>
      </c>
      <c r="E59" s="14">
        <f>MIN(45, IF(CSE4098B_Spring2026_Presentatio!Z59&gt;1,
CSE4098B_Spring2026_Presentatio!Z59,
CSE4098B_Spring2026_Presentatio!Z59*45))
</f>
        <v>39.78</v>
      </c>
      <c r="F59" s="34">
        <v>4.0</v>
      </c>
      <c r="G59" s="34">
        <v>8.0</v>
      </c>
      <c r="H59" s="16">
        <f t="shared" si="1"/>
        <v>84.16</v>
      </c>
      <c r="I59" s="17" t="str">
        <f t="shared" si="2"/>
        <v>A-</v>
      </c>
      <c r="J59" s="21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t="15.75" customHeight="1">
      <c r="A60" s="11">
        <v>56.0</v>
      </c>
      <c r="B60" s="24">
        <v>2.22014072E8</v>
      </c>
      <c r="C60" s="24" t="s">
        <v>91</v>
      </c>
      <c r="D60" s="13">
        <f>CSE4098B_Spring2026_Report!AB60</f>
        <v>28.57</v>
      </c>
      <c r="E60" s="14">
        <f>MIN(45, IF(CSE4098B_Spring2026_Presentatio!Z60&gt;1,
CSE4098B_Spring2026_Presentatio!Z60,
CSE4098B_Spring2026_Presentatio!Z60*45))
</f>
        <v>28.44</v>
      </c>
      <c r="F60" s="15">
        <v>4.0</v>
      </c>
      <c r="G60" s="15">
        <v>7.0</v>
      </c>
      <c r="H60" s="16">
        <f t="shared" si="1"/>
        <v>68.01</v>
      </c>
      <c r="I60" s="17" t="str">
        <f t="shared" si="2"/>
        <v>B-</v>
      </c>
      <c r="J60" s="18" t="s">
        <v>92</v>
      </c>
      <c r="K60" s="19" t="s">
        <v>93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ht="15.75" customHeight="1">
      <c r="A61" s="11">
        <v>57.0</v>
      </c>
      <c r="B61" s="24">
        <v>2.22014097E8</v>
      </c>
      <c r="C61" s="24" t="s">
        <v>94</v>
      </c>
      <c r="D61" s="13">
        <f>CSE4098B_Spring2026_Report!AB61</f>
        <v>28.57</v>
      </c>
      <c r="E61" s="14">
        <f>MIN(45, IF(CSE4098B_Spring2026_Presentatio!Z61&gt;1,
CSE4098B_Spring2026_Presentatio!Z61,
CSE4098B_Spring2026_Presentatio!Z61*45))
</f>
        <v>26.74</v>
      </c>
      <c r="F61" s="15">
        <v>4.0</v>
      </c>
      <c r="G61" s="15">
        <v>7.0</v>
      </c>
      <c r="H61" s="16">
        <f t="shared" si="1"/>
        <v>66.31</v>
      </c>
      <c r="I61" s="17" t="str">
        <f t="shared" si="2"/>
        <v>B-</v>
      </c>
      <c r="J61" s="21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ht="15.75" customHeight="1">
      <c r="A62" s="11">
        <v>58.0</v>
      </c>
      <c r="B62" s="24">
        <v>2.2201404E8</v>
      </c>
      <c r="C62" s="24" t="s">
        <v>95</v>
      </c>
      <c r="D62" s="13">
        <f>CSE4098B_Spring2026_Report!AB62</f>
        <v>28.57</v>
      </c>
      <c r="E62" s="14">
        <f>MIN(45, IF(CSE4098B_Spring2026_Presentatio!Z62&gt;1,
CSE4098B_Spring2026_Presentatio!Z62,
CSE4098B_Spring2026_Presentatio!Z62*45))
</f>
        <v>26.15</v>
      </c>
      <c r="F62" s="15">
        <v>3.0</v>
      </c>
      <c r="G62" s="15">
        <v>6.0</v>
      </c>
      <c r="H62" s="16">
        <f t="shared" si="1"/>
        <v>63.72</v>
      </c>
      <c r="I62" s="17" t="str">
        <f t="shared" si="2"/>
        <v>C+</v>
      </c>
      <c r="J62" s="21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11">
        <v>59.0</v>
      </c>
      <c r="B63" s="24">
        <v>2.22014071E8</v>
      </c>
      <c r="C63" s="24" t="s">
        <v>96</v>
      </c>
      <c r="D63" s="13">
        <f>CSE4098B_Spring2026_Report!AB63</f>
        <v>28.57</v>
      </c>
      <c r="E63" s="14">
        <f>MIN(45, IF(CSE4098B_Spring2026_Presentatio!Z63&gt;1,
CSE4098B_Spring2026_Presentatio!Z63,
CSE4098B_Spring2026_Presentatio!Z63*45))
</f>
        <v>25.85</v>
      </c>
      <c r="F63" s="15">
        <v>3.0</v>
      </c>
      <c r="G63" s="15">
        <v>6.0</v>
      </c>
      <c r="H63" s="16">
        <f t="shared" si="1"/>
        <v>63.42</v>
      </c>
      <c r="I63" s="17" t="str">
        <f t="shared" si="2"/>
        <v>C+</v>
      </c>
      <c r="J63" s="21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11">
        <v>60.0</v>
      </c>
      <c r="B64" s="24">
        <v>2.23014195E8</v>
      </c>
      <c r="C64" s="24" t="s">
        <v>97</v>
      </c>
      <c r="D64" s="13">
        <f>CSE4098B_Spring2026_Report!AB64</f>
        <v>28.57</v>
      </c>
      <c r="E64" s="14">
        <f>MIN(45, IF(CSE4098B_Spring2026_Presentatio!Z64&gt;1,
CSE4098B_Spring2026_Presentatio!Z64,
CSE4098B_Spring2026_Presentatio!Z64*45))
</f>
        <v>25.85</v>
      </c>
      <c r="F64" s="15">
        <v>3.0</v>
      </c>
      <c r="G64" s="15">
        <v>6.0</v>
      </c>
      <c r="H64" s="16">
        <f t="shared" si="1"/>
        <v>63.42</v>
      </c>
      <c r="I64" s="17" t="str">
        <f t="shared" si="2"/>
        <v>C+</v>
      </c>
      <c r="J64" s="21"/>
      <c r="L64" s="35"/>
    </row>
    <row r="65" ht="15.75" customHeight="1">
      <c r="A65" s="11">
        <v>61.0</v>
      </c>
      <c r="B65" s="24">
        <v>2.2301411E8</v>
      </c>
      <c r="C65" s="24" t="s">
        <v>98</v>
      </c>
      <c r="D65" s="13">
        <f>CSE4098B_Spring2026_Report!AB65</f>
        <v>31.81</v>
      </c>
      <c r="E65" s="14">
        <f>MIN(45, IF(CSE4098B_Spring2026_Presentatio!Z65&gt;1,
CSE4098B_Spring2026_Presentatio!Z65,
CSE4098B_Spring2026_Presentatio!Z65*45))
</f>
        <v>40.74</v>
      </c>
      <c r="F65" s="36">
        <v>5.0</v>
      </c>
      <c r="G65" s="36">
        <v>9.0</v>
      </c>
      <c r="H65" s="16">
        <f t="shared" si="1"/>
        <v>86.55</v>
      </c>
      <c r="I65" s="17" t="str">
        <f t="shared" si="2"/>
        <v>A</v>
      </c>
      <c r="J65" s="18" t="s">
        <v>92</v>
      </c>
      <c r="K65" s="19" t="s">
        <v>99</v>
      </c>
      <c r="L65" s="35"/>
    </row>
    <row r="66" ht="15.75" customHeight="1">
      <c r="A66" s="11">
        <v>62.0</v>
      </c>
      <c r="B66" s="24">
        <v>2.23014135E8</v>
      </c>
      <c r="C66" s="24" t="s">
        <v>100</v>
      </c>
      <c r="D66" s="13">
        <f>CSE4098B_Spring2026_Report!AB66</f>
        <v>31.81</v>
      </c>
      <c r="E66" s="14">
        <f>MIN(45, IF(CSE4098B_Spring2026_Presentatio!Z66&gt;1,
CSE4098B_Spring2026_Presentatio!Z66,
CSE4098B_Spring2026_Presentatio!Z66*45))
</f>
        <v>40.44</v>
      </c>
      <c r="F66" s="36">
        <v>5.0</v>
      </c>
      <c r="G66" s="36">
        <v>10.0</v>
      </c>
      <c r="H66" s="16">
        <f t="shared" si="1"/>
        <v>87.25</v>
      </c>
      <c r="I66" s="17" t="str">
        <f t="shared" si="2"/>
        <v>A</v>
      </c>
      <c r="J66" s="21"/>
      <c r="L66" s="35"/>
    </row>
    <row r="67" ht="15.75" customHeight="1">
      <c r="A67" s="11">
        <v>63.0</v>
      </c>
      <c r="B67" s="24">
        <v>2.23014122E8</v>
      </c>
      <c r="C67" s="24" t="s">
        <v>101</v>
      </c>
      <c r="D67" s="13">
        <f>CSE4098B_Spring2026_Report!AB67</f>
        <v>31.81</v>
      </c>
      <c r="E67" s="14">
        <f>MIN(45, IF(CSE4098B_Spring2026_Presentatio!Z67&gt;1,
CSE4098B_Spring2026_Presentatio!Z67,
CSE4098B_Spring2026_Presentatio!Z67*45))
</f>
        <v>41.04</v>
      </c>
      <c r="F67" s="36">
        <v>5.0</v>
      </c>
      <c r="G67" s="36">
        <v>10.0</v>
      </c>
      <c r="H67" s="16">
        <f t="shared" si="1"/>
        <v>87.85</v>
      </c>
      <c r="I67" s="17" t="str">
        <f t="shared" si="2"/>
        <v>A</v>
      </c>
      <c r="J67" s="21"/>
      <c r="L67" s="35"/>
    </row>
    <row r="68" ht="15.75" customHeight="1">
      <c r="A68" s="11">
        <v>64.0</v>
      </c>
      <c r="B68" s="24">
        <v>2.1201403E8</v>
      </c>
      <c r="C68" s="24" t="s">
        <v>102</v>
      </c>
      <c r="D68" s="13">
        <f>CSE4098B_Spring2026_Report!AB68</f>
        <v>31.81</v>
      </c>
      <c r="E68" s="14">
        <f>MIN(45, IF(CSE4098B_Spring2026_Presentatio!Z68&gt;1,
CSE4098B_Spring2026_Presentatio!Z68,
CSE4098B_Spring2026_Presentatio!Z68*45))
</f>
        <v>40.74</v>
      </c>
      <c r="F68" s="36">
        <v>5.0</v>
      </c>
      <c r="G68" s="36">
        <v>10.0</v>
      </c>
      <c r="H68" s="16">
        <f t="shared" si="1"/>
        <v>87.55</v>
      </c>
      <c r="I68" s="17" t="str">
        <f t="shared" si="2"/>
        <v>A</v>
      </c>
      <c r="J68" s="21"/>
      <c r="L68" s="35"/>
    </row>
    <row r="69" ht="15.75" customHeight="1">
      <c r="A69" s="37">
        <v>65.0</v>
      </c>
      <c r="B69" s="38">
        <v>2.21014083E8</v>
      </c>
      <c r="C69" s="38" t="s">
        <v>103</v>
      </c>
      <c r="D69" s="13">
        <f>CSE4098B_Spring2026_Report!AB69</f>
        <v>5.33</v>
      </c>
      <c r="E69" s="14">
        <f>MIN(45, IF(CSE4098B_Spring2026_Presentatio!Z69&gt;1,
CSE4098B_Spring2026_Presentatio!Z69,
CSE4098B_Spring2026_Presentatio!Z69*45))
</f>
        <v>0</v>
      </c>
      <c r="F69" s="39">
        <v>0.0</v>
      </c>
      <c r="G69" s="39">
        <v>5.0</v>
      </c>
      <c r="H69" s="16">
        <f t="shared" si="1"/>
        <v>10.33</v>
      </c>
      <c r="I69" s="17" t="str">
        <f t="shared" si="2"/>
        <v>F</v>
      </c>
      <c r="J69" s="40" t="s">
        <v>44</v>
      </c>
      <c r="K69" s="28" t="s">
        <v>104</v>
      </c>
      <c r="L69" s="35"/>
    </row>
    <row r="70" ht="15.75" customHeight="1">
      <c r="A70" s="11">
        <v>66.0</v>
      </c>
      <c r="B70" s="41">
        <v>2.21014104E8</v>
      </c>
      <c r="C70" s="41" t="s">
        <v>105</v>
      </c>
      <c r="D70" s="13">
        <f>CSE4098B_Spring2026_Report!AB70</f>
        <v>5.33</v>
      </c>
      <c r="E70" s="14">
        <f>MIN(45, IF(CSE4098B_Spring2026_Presentatio!Z70&gt;1,
CSE4098B_Spring2026_Presentatio!Z70,
CSE4098B_Spring2026_Presentatio!Z70*45))
</f>
        <v>12</v>
      </c>
      <c r="F70" s="26">
        <v>2.0</v>
      </c>
      <c r="G70" s="26">
        <v>5.0</v>
      </c>
      <c r="H70" s="16">
        <f t="shared" si="1"/>
        <v>24.33</v>
      </c>
      <c r="I70" s="17" t="str">
        <f t="shared" si="2"/>
        <v>F</v>
      </c>
      <c r="J70" s="21"/>
      <c r="L70" s="35"/>
    </row>
    <row r="71" ht="15.75" customHeight="1">
      <c r="A71" s="11">
        <v>67.0</v>
      </c>
      <c r="B71" s="41">
        <v>2.21014077E8</v>
      </c>
      <c r="C71" s="41" t="s">
        <v>106</v>
      </c>
      <c r="D71" s="13">
        <f>CSE4098B_Spring2026_Report!AB71</f>
        <v>5.33</v>
      </c>
      <c r="E71" s="14">
        <f>MIN(45, IF(CSE4098B_Spring2026_Presentatio!Z71&gt;1,
CSE4098B_Spring2026_Presentatio!Z71,
CSE4098B_Spring2026_Presentatio!Z71*45))
</f>
        <v>12</v>
      </c>
      <c r="F71" s="26">
        <v>1.0</v>
      </c>
      <c r="G71" s="26">
        <v>5.0</v>
      </c>
      <c r="H71" s="16">
        <f t="shared" si="1"/>
        <v>23.33</v>
      </c>
      <c r="I71" s="17" t="str">
        <f t="shared" si="2"/>
        <v>F</v>
      </c>
      <c r="J71" s="21"/>
      <c r="L71" s="35"/>
    </row>
    <row r="72" ht="15.75" customHeight="1">
      <c r="A72" s="11">
        <v>68.0</v>
      </c>
      <c r="B72" s="41">
        <v>2.21014085E8</v>
      </c>
      <c r="C72" s="41" t="s">
        <v>107</v>
      </c>
      <c r="D72" s="13">
        <f>CSE4098B_Spring2026_Report!AB72</f>
        <v>5.33</v>
      </c>
      <c r="E72" s="14">
        <f>MIN(45, IF(CSE4098B_Spring2026_Presentatio!Z72&gt;1,
CSE4098B_Spring2026_Presentatio!Z72,
CSE4098B_Spring2026_Presentatio!Z72*45))
</f>
        <v>12</v>
      </c>
      <c r="F72" s="26">
        <v>2.0</v>
      </c>
      <c r="G72" s="26">
        <v>5.0</v>
      </c>
      <c r="H72" s="16">
        <f t="shared" si="1"/>
        <v>24.33</v>
      </c>
      <c r="I72" s="17" t="str">
        <f t="shared" si="2"/>
        <v>F</v>
      </c>
      <c r="J72" s="21"/>
      <c r="L72" s="35"/>
    </row>
    <row r="73" ht="12.75" customHeight="1">
      <c r="A73" s="42"/>
      <c r="B73" s="43"/>
      <c r="C73" s="44"/>
      <c r="D73" s="44"/>
      <c r="E73" s="44"/>
      <c r="F73" s="44"/>
      <c r="G73" s="44"/>
      <c r="H73" s="44"/>
      <c r="I73" s="44"/>
    </row>
    <row r="74" ht="12.75" customHeight="1">
      <c r="A74" s="42"/>
      <c r="B74" s="43"/>
      <c r="C74" s="44"/>
      <c r="D74" s="44"/>
      <c r="E74" s="44"/>
      <c r="F74" s="44"/>
      <c r="G74" s="44"/>
      <c r="H74" s="44"/>
      <c r="I74" s="44"/>
    </row>
    <row r="75" ht="12.75" customHeight="1">
      <c r="A75" s="42"/>
      <c r="B75" s="43"/>
      <c r="C75" s="44"/>
      <c r="D75" s="44"/>
      <c r="E75" s="44"/>
      <c r="F75" s="44"/>
      <c r="I75" s="44"/>
    </row>
    <row r="76" ht="12.75" customHeight="1">
      <c r="A76" s="42"/>
      <c r="B76" s="43"/>
      <c r="C76" s="44"/>
      <c r="D76" s="44"/>
      <c r="E76" s="44"/>
      <c r="F76" s="44"/>
      <c r="G76" s="44"/>
      <c r="H76" s="44"/>
      <c r="I76" s="44"/>
    </row>
    <row r="77" ht="12.75" customHeight="1">
      <c r="A77" s="42"/>
      <c r="B77" s="43"/>
      <c r="C77" s="44"/>
      <c r="D77" s="44"/>
      <c r="E77" s="44"/>
      <c r="F77" s="44"/>
      <c r="G77" s="44"/>
      <c r="H77" s="44"/>
      <c r="I77" s="44"/>
    </row>
    <row r="78" ht="12.75" customHeight="1">
      <c r="A78" s="42"/>
      <c r="B78" s="43"/>
      <c r="C78" s="44"/>
      <c r="D78" s="44"/>
      <c r="E78" s="44"/>
      <c r="F78" s="44"/>
      <c r="G78" s="45" t="s">
        <v>108</v>
      </c>
      <c r="H78" s="46"/>
      <c r="I78" s="44"/>
    </row>
    <row r="79" ht="12.75" customHeight="1">
      <c r="A79" s="42"/>
      <c r="B79" s="43"/>
      <c r="C79" s="44"/>
      <c r="D79" s="44"/>
      <c r="E79" s="44"/>
      <c r="F79" s="44"/>
      <c r="G79" s="47" t="s">
        <v>109</v>
      </c>
      <c r="H79" s="48">
        <f>COUNTIF(I5:I72, "A+")</f>
        <v>5</v>
      </c>
      <c r="I79" s="44"/>
    </row>
    <row r="80" ht="12.75" customHeight="1">
      <c r="A80" s="42"/>
      <c r="B80" s="43"/>
      <c r="C80" s="44"/>
      <c r="D80" s="44"/>
      <c r="E80" s="44"/>
      <c r="F80" s="44"/>
      <c r="G80" s="47" t="s">
        <v>110</v>
      </c>
      <c r="H80" s="48">
        <f>COUNTIF(I5:I72, "A")</f>
        <v>20</v>
      </c>
      <c r="I80" s="44"/>
    </row>
    <row r="81" ht="12.75" customHeight="1">
      <c r="A81" s="42"/>
      <c r="B81" s="43"/>
      <c r="C81" s="44"/>
      <c r="D81" s="44"/>
      <c r="E81" s="44"/>
      <c r="F81" s="44"/>
      <c r="G81" s="47" t="s">
        <v>111</v>
      </c>
      <c r="H81" s="48">
        <f>COUNTIF(I5:I72, "A-")</f>
        <v>17</v>
      </c>
      <c r="I81" s="44"/>
    </row>
    <row r="82" ht="12.75" customHeight="1">
      <c r="A82" s="42"/>
      <c r="B82" s="43"/>
      <c r="C82" s="44"/>
      <c r="D82" s="44"/>
      <c r="E82" s="44"/>
      <c r="F82" s="44"/>
      <c r="G82" s="47" t="s">
        <v>112</v>
      </c>
      <c r="H82" s="48">
        <f>COUNTIF(I5:I72, "B+")</f>
        <v>4</v>
      </c>
      <c r="I82" s="44"/>
    </row>
    <row r="83" ht="12.75" customHeight="1">
      <c r="A83" s="42"/>
      <c r="B83" s="43"/>
      <c r="C83" s="44"/>
      <c r="D83" s="44"/>
      <c r="E83" s="44"/>
      <c r="F83" s="44"/>
      <c r="G83" s="47" t="s">
        <v>113</v>
      </c>
      <c r="H83" s="48">
        <f>COUNTIF(I5:I72, "B")</f>
        <v>8</v>
      </c>
      <c r="I83" s="44"/>
    </row>
    <row r="84" ht="12.75" customHeight="1">
      <c r="A84" s="42"/>
      <c r="B84" s="43"/>
      <c r="C84" s="44"/>
      <c r="D84" s="44"/>
      <c r="E84" s="44"/>
      <c r="F84" s="44"/>
      <c r="G84" s="47" t="s">
        <v>114</v>
      </c>
      <c r="H84" s="48">
        <f>COUNTIF(I5:I72, "B-")</f>
        <v>3</v>
      </c>
      <c r="I84" s="44"/>
    </row>
    <row r="85" ht="12.75" customHeight="1">
      <c r="A85" s="42"/>
      <c r="B85" s="43"/>
      <c r="C85" s="44"/>
      <c r="D85" s="44"/>
      <c r="E85" s="44"/>
      <c r="F85" s="44"/>
      <c r="G85" s="47" t="s">
        <v>115</v>
      </c>
      <c r="H85" s="48">
        <f>COUNTIF(I5:I72, "C+")</f>
        <v>3</v>
      </c>
      <c r="I85" s="44"/>
    </row>
    <row r="86" ht="12.75" customHeight="1">
      <c r="A86" s="42"/>
      <c r="B86" s="43"/>
      <c r="C86" s="44"/>
      <c r="D86" s="44"/>
      <c r="E86" s="44"/>
      <c r="F86" s="44"/>
      <c r="G86" s="47" t="s">
        <v>116</v>
      </c>
      <c r="H86" s="48">
        <f>COUNTIF(I5:I72, "C")</f>
        <v>0</v>
      </c>
      <c r="I86" s="44"/>
    </row>
    <row r="87" ht="12.75" customHeight="1">
      <c r="A87" s="42"/>
      <c r="B87" s="43"/>
      <c r="C87" s="44"/>
      <c r="D87" s="44"/>
      <c r="E87" s="44"/>
      <c r="F87" s="44"/>
      <c r="G87" s="47" t="s">
        <v>117</v>
      </c>
      <c r="H87" s="48">
        <f>COUNTIF(I5:I72, "D")</f>
        <v>0</v>
      </c>
      <c r="I87" s="44"/>
    </row>
    <row r="88" ht="12.75" customHeight="1">
      <c r="A88" s="42"/>
      <c r="B88" s="43"/>
      <c r="C88" s="44"/>
      <c r="D88" s="44"/>
      <c r="E88" s="44"/>
      <c r="F88" s="44"/>
      <c r="G88" s="47" t="s">
        <v>118</v>
      </c>
      <c r="H88" s="48">
        <f>COUNTIF(I5:I72, "F")</f>
        <v>8</v>
      </c>
      <c r="I88" s="44"/>
    </row>
    <row r="89" ht="12.75" customHeight="1">
      <c r="A89" s="42"/>
      <c r="B89" s="43"/>
      <c r="C89" s="44"/>
      <c r="D89" s="44"/>
      <c r="E89" s="44"/>
      <c r="F89" s="44"/>
      <c r="G89" s="49" t="s">
        <v>119</v>
      </c>
      <c r="H89" s="49">
        <f>SUM(H79:H88)</f>
        <v>68</v>
      </c>
      <c r="I89" s="44"/>
    </row>
    <row r="90" ht="12.75" customHeight="1">
      <c r="A90" s="42"/>
      <c r="B90" s="43"/>
      <c r="C90" s="44"/>
      <c r="D90" s="44"/>
      <c r="E90" s="44"/>
      <c r="F90" s="44"/>
      <c r="G90" s="44"/>
      <c r="H90" s="44"/>
      <c r="I90" s="44"/>
    </row>
    <row r="91" ht="12.75" customHeight="1">
      <c r="A91" s="42"/>
      <c r="B91" s="43"/>
      <c r="C91" s="44"/>
      <c r="D91" s="44"/>
      <c r="E91" s="44"/>
      <c r="F91" s="44"/>
      <c r="G91" s="44"/>
      <c r="H91" s="44"/>
      <c r="I91" s="44"/>
    </row>
    <row r="92" ht="12.75" customHeight="1">
      <c r="A92" s="42"/>
      <c r="B92" s="43"/>
      <c r="C92" s="44"/>
      <c r="D92" s="44"/>
      <c r="E92" s="44"/>
      <c r="F92" s="44"/>
      <c r="G92" s="44"/>
      <c r="H92" s="44"/>
      <c r="I92" s="44"/>
    </row>
    <row r="93" ht="12.75" customHeight="1">
      <c r="A93" s="42"/>
      <c r="B93" s="43"/>
      <c r="C93" s="44"/>
      <c r="D93" s="44"/>
      <c r="E93" s="44"/>
      <c r="F93" s="44"/>
      <c r="G93" s="44"/>
      <c r="H93" s="44"/>
      <c r="I93" s="44"/>
    </row>
    <row r="94" ht="12.75" customHeight="1">
      <c r="A94" s="42"/>
      <c r="B94" s="43"/>
      <c r="C94" s="44"/>
      <c r="D94" s="44"/>
      <c r="E94" s="44"/>
      <c r="F94" s="44"/>
      <c r="G94" s="44"/>
      <c r="H94" s="44"/>
      <c r="I94" s="44"/>
    </row>
    <row r="95" ht="12.75" customHeight="1">
      <c r="A95" s="42"/>
      <c r="B95" s="43"/>
      <c r="C95" s="44"/>
      <c r="D95" s="44"/>
      <c r="E95" s="44"/>
      <c r="F95" s="44"/>
      <c r="G95" s="44"/>
      <c r="H95" s="44"/>
      <c r="I95" s="44"/>
    </row>
    <row r="96" ht="12.75" customHeight="1">
      <c r="A96" s="42"/>
      <c r="B96" s="43"/>
      <c r="C96" s="44"/>
      <c r="D96" s="44"/>
      <c r="E96" s="44"/>
      <c r="F96" s="44"/>
      <c r="G96" s="44"/>
      <c r="H96" s="44"/>
      <c r="I96" s="44"/>
    </row>
    <row r="97" ht="12.75" customHeight="1">
      <c r="A97" s="42"/>
      <c r="B97" s="43"/>
      <c r="C97" s="44" t="s">
        <v>120</v>
      </c>
      <c r="D97" s="44"/>
      <c r="E97" s="44"/>
      <c r="F97" s="44"/>
      <c r="G97" s="44"/>
      <c r="H97" s="44"/>
      <c r="I97" s="44"/>
    </row>
    <row r="98" ht="12.75" customHeight="1">
      <c r="A98" s="42"/>
      <c r="B98" s="43"/>
      <c r="C98" s="44" t="s">
        <v>121</v>
      </c>
      <c r="D98" s="44"/>
      <c r="E98" s="44"/>
      <c r="F98" s="44"/>
      <c r="G98" s="44"/>
      <c r="H98" s="44"/>
      <c r="I98" s="44"/>
    </row>
    <row r="99" ht="12.75" customHeight="1">
      <c r="A99" s="42"/>
      <c r="B99" s="43"/>
      <c r="C99" s="44"/>
      <c r="D99" s="44"/>
      <c r="E99" s="44"/>
      <c r="F99" s="44"/>
      <c r="G99" s="44"/>
      <c r="H99" s="44"/>
      <c r="I99" s="44"/>
    </row>
    <row r="100" ht="12.75" customHeight="1">
      <c r="A100" s="42"/>
      <c r="B100" s="43"/>
      <c r="C100" s="44"/>
      <c r="D100" s="44"/>
      <c r="E100" s="44"/>
      <c r="F100" s="44"/>
      <c r="G100" s="44"/>
      <c r="H100" s="44"/>
      <c r="I100" s="44"/>
    </row>
    <row r="101" ht="12.75" customHeight="1">
      <c r="A101" s="42"/>
      <c r="B101" s="43"/>
      <c r="C101" s="44"/>
      <c r="D101" s="44"/>
      <c r="E101" s="44"/>
      <c r="F101" s="44"/>
      <c r="G101" s="44"/>
      <c r="H101" s="44"/>
      <c r="I101" s="44"/>
    </row>
    <row r="102" ht="12.75" customHeight="1">
      <c r="A102" s="42"/>
      <c r="B102" s="43"/>
      <c r="C102" s="44"/>
      <c r="D102" s="44"/>
      <c r="E102" s="44"/>
      <c r="F102" s="44"/>
      <c r="G102" s="44"/>
      <c r="H102" s="44"/>
      <c r="I102" s="44"/>
    </row>
    <row r="103" ht="12.75" customHeight="1">
      <c r="A103" s="42"/>
      <c r="B103" s="43"/>
      <c r="C103" s="44"/>
      <c r="D103" s="44"/>
      <c r="E103" s="44"/>
      <c r="F103" s="44"/>
      <c r="G103" s="44"/>
      <c r="H103" s="44"/>
      <c r="I103" s="44"/>
    </row>
    <row r="104" ht="12.75" customHeight="1">
      <c r="A104" s="42"/>
      <c r="B104" s="43"/>
      <c r="C104" s="44"/>
      <c r="D104" s="44"/>
      <c r="E104" s="44"/>
      <c r="F104" s="44"/>
      <c r="G104" s="44"/>
      <c r="H104" s="44"/>
      <c r="I104" s="44"/>
    </row>
    <row r="105" ht="12.75" customHeight="1">
      <c r="A105" s="42"/>
      <c r="B105" s="42"/>
      <c r="C105" s="44"/>
      <c r="D105" s="44"/>
      <c r="E105" s="42"/>
      <c r="F105" s="42"/>
      <c r="G105" s="42"/>
      <c r="H105" s="42"/>
      <c r="I105" s="42"/>
    </row>
    <row r="106" ht="12.75" customHeight="1">
      <c r="A106" s="42"/>
      <c r="B106" s="42"/>
      <c r="C106" s="44"/>
      <c r="D106" s="44"/>
      <c r="E106" s="42"/>
      <c r="F106" s="42"/>
      <c r="G106" s="42"/>
      <c r="H106" s="42"/>
      <c r="I106" s="42"/>
    </row>
    <row r="107" ht="12.75" customHeight="1">
      <c r="A107" s="42"/>
      <c r="B107" s="42"/>
      <c r="C107" s="44"/>
      <c r="D107" s="44"/>
      <c r="E107" s="42"/>
      <c r="F107" s="42"/>
      <c r="G107" s="42"/>
      <c r="H107" s="42"/>
      <c r="I107" s="42"/>
    </row>
    <row r="108" ht="12.75" customHeight="1">
      <c r="A108" s="42"/>
      <c r="B108" s="42"/>
      <c r="C108" s="44"/>
      <c r="D108" s="44"/>
      <c r="E108" s="42"/>
      <c r="F108" s="42"/>
      <c r="G108" s="42"/>
      <c r="H108" s="42"/>
      <c r="I108" s="42"/>
    </row>
    <row r="109" ht="12.75" customHeight="1">
      <c r="A109" s="42"/>
      <c r="B109" s="42"/>
      <c r="C109" s="44"/>
      <c r="D109" s="44"/>
      <c r="E109" s="42"/>
      <c r="F109" s="42"/>
      <c r="G109" s="42"/>
      <c r="H109" s="42"/>
      <c r="I109" s="42"/>
    </row>
    <row r="110" ht="15.75" customHeight="1">
      <c r="A110" s="42"/>
      <c r="B110" s="42"/>
      <c r="C110" s="44"/>
      <c r="D110" s="44"/>
      <c r="E110" s="42"/>
      <c r="F110" s="42"/>
      <c r="G110" s="42"/>
      <c r="H110" s="42"/>
      <c r="I110" s="42"/>
    </row>
    <row r="111" ht="15.75" customHeight="1">
      <c r="A111" s="42"/>
      <c r="B111" s="42"/>
      <c r="C111" s="44"/>
      <c r="D111" s="44"/>
      <c r="E111" s="42"/>
      <c r="F111" s="42"/>
      <c r="G111" s="42"/>
      <c r="H111" s="42"/>
      <c r="I111" s="42"/>
    </row>
    <row r="112" ht="15.75" customHeight="1">
      <c r="A112" s="42"/>
      <c r="B112" s="42"/>
      <c r="C112" s="44"/>
      <c r="D112" s="44"/>
      <c r="E112" s="42"/>
      <c r="F112" s="42"/>
      <c r="G112" s="42"/>
      <c r="H112" s="42"/>
      <c r="I112" s="42"/>
    </row>
    <row r="113" ht="15.75" customHeight="1">
      <c r="A113" s="42"/>
      <c r="B113" s="42"/>
      <c r="C113" s="44"/>
      <c r="D113" s="44"/>
      <c r="E113" s="42"/>
      <c r="F113" s="42"/>
      <c r="G113" s="42"/>
      <c r="H113" s="42"/>
      <c r="I113" s="42"/>
    </row>
    <row r="114" ht="15.75" customHeight="1">
      <c r="A114" s="42"/>
      <c r="B114" s="42"/>
      <c r="C114" s="44"/>
      <c r="D114" s="44"/>
      <c r="E114" s="42"/>
      <c r="F114" s="42"/>
      <c r="G114" s="42"/>
      <c r="H114" s="42"/>
      <c r="I114" s="42"/>
    </row>
    <row r="115" ht="15.75" customHeight="1">
      <c r="A115" s="42"/>
      <c r="B115" s="42"/>
      <c r="C115" s="44"/>
      <c r="D115" s="44"/>
      <c r="E115" s="42"/>
      <c r="F115" s="42"/>
      <c r="G115" s="42"/>
      <c r="H115" s="42"/>
      <c r="I115" s="42"/>
    </row>
    <row r="116" ht="15.75" customHeight="1">
      <c r="A116" s="42"/>
      <c r="B116" s="42"/>
      <c r="C116" s="44"/>
      <c r="D116" s="44"/>
      <c r="E116" s="42"/>
      <c r="F116" s="42"/>
      <c r="G116" s="42"/>
      <c r="H116" s="42"/>
      <c r="I116" s="42"/>
    </row>
    <row r="117" ht="15.75" customHeight="1">
      <c r="A117" s="42"/>
      <c r="B117" s="42"/>
      <c r="C117" s="44"/>
      <c r="D117" s="44"/>
      <c r="E117" s="42"/>
      <c r="F117" s="42"/>
      <c r="G117" s="42"/>
      <c r="H117" s="42"/>
      <c r="I117" s="42"/>
    </row>
    <row r="118" ht="15.75" customHeight="1">
      <c r="A118" s="42"/>
      <c r="B118" s="42"/>
      <c r="C118" s="44"/>
      <c r="D118" s="44"/>
      <c r="E118" s="42"/>
      <c r="F118" s="42"/>
      <c r="G118" s="42"/>
      <c r="H118" s="42"/>
      <c r="I118" s="42"/>
    </row>
    <row r="119" ht="15.75" customHeight="1">
      <c r="A119" s="42"/>
      <c r="B119" s="42"/>
      <c r="C119" s="44"/>
      <c r="D119" s="44"/>
      <c r="E119" s="42"/>
      <c r="F119" s="42"/>
      <c r="G119" s="42"/>
      <c r="H119" s="42"/>
      <c r="I119" s="42"/>
    </row>
    <row r="120" ht="15.75" customHeight="1">
      <c r="A120" s="42"/>
      <c r="B120" s="42"/>
      <c r="C120" s="44"/>
      <c r="D120" s="44"/>
      <c r="E120" s="42"/>
      <c r="F120" s="42"/>
      <c r="G120" s="42"/>
      <c r="H120" s="42"/>
      <c r="I120" s="42"/>
    </row>
    <row r="121" ht="15.75" customHeight="1">
      <c r="A121" s="42"/>
      <c r="B121" s="42"/>
      <c r="C121" s="44"/>
      <c r="D121" s="44"/>
      <c r="E121" s="42"/>
      <c r="F121" s="42"/>
      <c r="G121" s="42"/>
      <c r="H121" s="42"/>
      <c r="I121" s="42"/>
    </row>
    <row r="122" ht="15.75" customHeight="1">
      <c r="A122" s="42"/>
      <c r="B122" s="42"/>
      <c r="C122" s="44"/>
      <c r="D122" s="44"/>
      <c r="E122" s="42"/>
      <c r="F122" s="42"/>
      <c r="G122" s="42"/>
      <c r="H122" s="42"/>
      <c r="I122" s="42"/>
    </row>
    <row r="123" ht="15.75" customHeight="1">
      <c r="A123" s="42"/>
      <c r="B123" s="42"/>
      <c r="C123" s="44"/>
      <c r="D123" s="44"/>
      <c r="E123" s="42"/>
      <c r="F123" s="42"/>
      <c r="G123" s="42"/>
      <c r="H123" s="42"/>
      <c r="I123" s="42"/>
    </row>
    <row r="124" ht="15.75" customHeight="1">
      <c r="A124" s="42"/>
      <c r="B124" s="42"/>
      <c r="C124" s="44"/>
      <c r="D124" s="44"/>
      <c r="E124" s="42"/>
      <c r="F124" s="42"/>
      <c r="G124" s="42"/>
      <c r="H124" s="42"/>
      <c r="I124" s="42"/>
    </row>
    <row r="125" ht="15.75" customHeight="1">
      <c r="A125" s="42"/>
      <c r="B125" s="42"/>
      <c r="C125" s="44"/>
      <c r="D125" s="44"/>
      <c r="E125" s="42"/>
      <c r="F125" s="42"/>
      <c r="G125" s="42"/>
      <c r="H125" s="42"/>
      <c r="I125" s="42"/>
    </row>
    <row r="126" ht="15.75" customHeight="1">
      <c r="A126" s="42"/>
      <c r="B126" s="42"/>
      <c r="C126" s="44"/>
      <c r="D126" s="44"/>
      <c r="E126" s="42"/>
      <c r="F126" s="42"/>
      <c r="G126" s="42"/>
      <c r="H126" s="42"/>
      <c r="I126" s="42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36">
    <mergeCell ref="A1:I1"/>
    <mergeCell ref="A2:I2"/>
    <mergeCell ref="A3:I3"/>
    <mergeCell ref="J5:J9"/>
    <mergeCell ref="K5:K9"/>
    <mergeCell ref="J10:J13"/>
    <mergeCell ref="K10:K13"/>
    <mergeCell ref="J14:J17"/>
    <mergeCell ref="K14:K17"/>
    <mergeCell ref="J18:J22"/>
    <mergeCell ref="K18:K22"/>
    <mergeCell ref="J23:J25"/>
    <mergeCell ref="K23:K25"/>
    <mergeCell ref="K26:K30"/>
    <mergeCell ref="J55:J59"/>
    <mergeCell ref="J60:J64"/>
    <mergeCell ref="J65:J68"/>
    <mergeCell ref="J69:J72"/>
    <mergeCell ref="G78:H78"/>
    <mergeCell ref="J26:J30"/>
    <mergeCell ref="J31:J35"/>
    <mergeCell ref="J36:J38"/>
    <mergeCell ref="J39:J41"/>
    <mergeCell ref="J42:J46"/>
    <mergeCell ref="J47:J50"/>
    <mergeCell ref="J51:J54"/>
    <mergeCell ref="K60:K64"/>
    <mergeCell ref="K65:K68"/>
    <mergeCell ref="K69:K72"/>
    <mergeCell ref="K31:K35"/>
    <mergeCell ref="K36:K38"/>
    <mergeCell ref="K39:K41"/>
    <mergeCell ref="K42:K46"/>
    <mergeCell ref="K47:K50"/>
    <mergeCell ref="K51:K54"/>
    <mergeCell ref="K55:K5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88"/>
    <col customWidth="1" min="3" max="3" width="20.5"/>
    <col customWidth="1" min="5" max="5" width="25.5"/>
  </cols>
  <sheetData>
    <row r="1">
      <c r="A1" s="50"/>
      <c r="B1" s="50"/>
      <c r="C1" s="50"/>
      <c r="D1" s="51"/>
      <c r="E1" s="52"/>
      <c r="F1" s="53" t="s">
        <v>122</v>
      </c>
      <c r="O1" s="54"/>
      <c r="P1" s="53" t="s">
        <v>123</v>
      </c>
      <c r="Y1" s="50"/>
      <c r="Z1" s="53" t="s">
        <v>12</v>
      </c>
      <c r="AI1" s="53" t="s">
        <v>124</v>
      </c>
    </row>
    <row r="2">
      <c r="A2" s="55" t="s">
        <v>125</v>
      </c>
      <c r="B2" s="55" t="s">
        <v>4</v>
      </c>
      <c r="C2" s="55" t="s">
        <v>5</v>
      </c>
      <c r="D2" s="56"/>
      <c r="E2" s="57"/>
      <c r="F2" s="50" t="s">
        <v>126</v>
      </c>
      <c r="G2" s="50" t="s">
        <v>127</v>
      </c>
      <c r="H2" s="50" t="s">
        <v>128</v>
      </c>
      <c r="I2" s="50" t="s">
        <v>129</v>
      </c>
      <c r="J2" s="50" t="s">
        <v>130</v>
      </c>
      <c r="K2" s="50" t="s">
        <v>131</v>
      </c>
      <c r="L2" s="50" t="s">
        <v>132</v>
      </c>
      <c r="M2" s="50" t="s">
        <v>133</v>
      </c>
      <c r="N2" s="50" t="s">
        <v>134</v>
      </c>
      <c r="O2" s="54"/>
      <c r="P2" s="50" t="s">
        <v>126</v>
      </c>
      <c r="Q2" s="50" t="s">
        <v>127</v>
      </c>
      <c r="R2" s="50" t="s">
        <v>128</v>
      </c>
      <c r="S2" s="50" t="s">
        <v>129</v>
      </c>
      <c r="T2" s="50" t="s">
        <v>130</v>
      </c>
      <c r="U2" s="50" t="s">
        <v>131</v>
      </c>
      <c r="V2" s="50" t="s">
        <v>132</v>
      </c>
      <c r="W2" s="50" t="s">
        <v>133</v>
      </c>
      <c r="X2" s="50" t="s">
        <v>134</v>
      </c>
      <c r="Y2" s="50"/>
      <c r="Z2" s="50" t="s">
        <v>126</v>
      </c>
      <c r="AA2" s="50" t="s">
        <v>127</v>
      </c>
      <c r="AB2" s="50" t="s">
        <v>128</v>
      </c>
      <c r="AC2" s="50" t="s">
        <v>129</v>
      </c>
      <c r="AD2" s="50" t="s">
        <v>130</v>
      </c>
      <c r="AE2" s="50" t="s">
        <v>131</v>
      </c>
      <c r="AF2" s="50" t="s">
        <v>132</v>
      </c>
      <c r="AG2" s="50" t="s">
        <v>133</v>
      </c>
      <c r="AH2" s="50" t="s">
        <v>134</v>
      </c>
      <c r="AI2" s="58" t="s">
        <v>126</v>
      </c>
      <c r="AJ2" s="58" t="s">
        <v>127</v>
      </c>
      <c r="AK2" s="58" t="s">
        <v>128</v>
      </c>
      <c r="AL2" s="58" t="s">
        <v>129</v>
      </c>
      <c r="AM2" s="58" t="s">
        <v>130</v>
      </c>
      <c r="AN2" s="58" t="s">
        <v>131</v>
      </c>
      <c r="AO2" s="58" t="s">
        <v>132</v>
      </c>
      <c r="AP2" s="58" t="s">
        <v>133</v>
      </c>
      <c r="AQ2" s="58" t="s">
        <v>134</v>
      </c>
    </row>
    <row r="3">
      <c r="A3" s="58">
        <v>1.0</v>
      </c>
      <c r="B3" s="59">
        <f>CSE4098B_Spring2026_Grade!B5</f>
        <v>223014152</v>
      </c>
      <c r="C3" s="60" t="str">
        <f>CSE4098B_Spring2026_Grade!C5</f>
        <v>Ahadul Islam Rahul</v>
      </c>
      <c r="D3" s="60"/>
      <c r="E3" s="61"/>
      <c r="F3" s="62">
        <v>4.0</v>
      </c>
      <c r="G3" s="62">
        <v>2.0</v>
      </c>
      <c r="H3" s="62">
        <v>3.0</v>
      </c>
      <c r="I3" s="62">
        <v>3.0</v>
      </c>
      <c r="J3" s="62">
        <v>3.0</v>
      </c>
      <c r="K3" s="62">
        <v>4.0</v>
      </c>
      <c r="L3" s="62">
        <v>3.0</v>
      </c>
      <c r="M3" s="62">
        <v>3.0</v>
      </c>
      <c r="N3" s="62">
        <v>3.0</v>
      </c>
      <c r="O3" s="54"/>
      <c r="P3" s="63">
        <v>4.0</v>
      </c>
      <c r="Q3" s="63">
        <v>2.0</v>
      </c>
      <c r="R3" s="63">
        <v>3.0</v>
      </c>
      <c r="S3" s="63">
        <v>3.0</v>
      </c>
      <c r="T3" s="63">
        <v>2.0</v>
      </c>
      <c r="U3" s="63">
        <v>4.0</v>
      </c>
      <c r="V3" s="63">
        <v>2.0</v>
      </c>
      <c r="W3" s="63">
        <v>3.0</v>
      </c>
      <c r="X3" s="63">
        <v>2.0</v>
      </c>
      <c r="Y3" s="54"/>
      <c r="Z3" s="63">
        <v>6.0</v>
      </c>
      <c r="AA3" s="63">
        <v>3.0</v>
      </c>
      <c r="AB3" s="63">
        <v>3.0</v>
      </c>
      <c r="AC3" s="63">
        <v>3.0</v>
      </c>
      <c r="AD3" s="63">
        <v>2.0</v>
      </c>
      <c r="AE3" s="63">
        <v>5.0</v>
      </c>
      <c r="AF3" s="63">
        <v>3.0</v>
      </c>
      <c r="AG3" s="63">
        <v>3.0</v>
      </c>
      <c r="AH3" s="63">
        <v>3.0</v>
      </c>
      <c r="AI3" s="64">
        <f t="shared" ref="AI3:AI72" si="2">(F3+P3+Z3)/3</f>
        <v>4.666666667</v>
      </c>
      <c r="AJ3" s="64">
        <f t="shared" ref="AJ3:AJ72" si="3">(AA3+Q3+G3)/3</f>
        <v>2.333333333</v>
      </c>
      <c r="AK3" s="64">
        <f t="shared" ref="AK3:AQ3" si="1">(H3+R3+AB3)/3</f>
        <v>3</v>
      </c>
      <c r="AL3" s="64">
        <f t="shared" si="1"/>
        <v>3</v>
      </c>
      <c r="AM3" s="64">
        <f t="shared" si="1"/>
        <v>2.333333333</v>
      </c>
      <c r="AN3" s="64">
        <f t="shared" si="1"/>
        <v>4.333333333</v>
      </c>
      <c r="AO3" s="64">
        <f t="shared" si="1"/>
        <v>2.666666667</v>
      </c>
      <c r="AP3" s="64">
        <f t="shared" si="1"/>
        <v>3</v>
      </c>
      <c r="AQ3" s="64">
        <f t="shared" si="1"/>
        <v>2.666666667</v>
      </c>
    </row>
    <row r="4">
      <c r="A4" s="58">
        <v>2.0</v>
      </c>
      <c r="B4" s="59">
        <f>CSE4098B_Spring2026_Grade!B6</f>
        <v>223014049</v>
      </c>
      <c r="C4" s="60" t="str">
        <f>CSE4098B_Spring2026_Grade!C6</f>
        <v>Md. Sojib Al Hasan</v>
      </c>
      <c r="D4" s="65"/>
      <c r="E4" s="66"/>
      <c r="F4" s="62">
        <v>4.0</v>
      </c>
      <c r="G4" s="62">
        <v>2.0</v>
      </c>
      <c r="H4" s="62">
        <v>3.0</v>
      </c>
      <c r="I4" s="62">
        <v>3.0</v>
      </c>
      <c r="J4" s="62">
        <v>3.0</v>
      </c>
      <c r="K4" s="62">
        <v>4.0</v>
      </c>
      <c r="L4" s="62">
        <v>3.0</v>
      </c>
      <c r="M4" s="62">
        <v>3.0</v>
      </c>
      <c r="N4" s="62">
        <v>3.0</v>
      </c>
      <c r="O4" s="54"/>
      <c r="P4" s="63">
        <v>4.0</v>
      </c>
      <c r="Q4" s="63">
        <v>2.0</v>
      </c>
      <c r="R4" s="63">
        <v>3.0</v>
      </c>
      <c r="S4" s="63">
        <v>3.0</v>
      </c>
      <c r="T4" s="63">
        <v>2.0</v>
      </c>
      <c r="U4" s="63">
        <v>4.0</v>
      </c>
      <c r="V4" s="63">
        <v>2.0</v>
      </c>
      <c r="W4" s="63">
        <v>3.0</v>
      </c>
      <c r="X4" s="63">
        <v>2.0</v>
      </c>
      <c r="Y4" s="54"/>
      <c r="Z4" s="63">
        <v>6.0</v>
      </c>
      <c r="AA4" s="63">
        <v>3.0</v>
      </c>
      <c r="AB4" s="63">
        <v>3.0</v>
      </c>
      <c r="AC4" s="63">
        <v>3.0</v>
      </c>
      <c r="AD4" s="63">
        <v>2.0</v>
      </c>
      <c r="AE4" s="63">
        <v>5.0</v>
      </c>
      <c r="AF4" s="63">
        <v>3.0</v>
      </c>
      <c r="AG4" s="63">
        <v>3.0</v>
      </c>
      <c r="AH4" s="63">
        <v>3.0</v>
      </c>
      <c r="AI4" s="64">
        <f t="shared" si="2"/>
        <v>4.666666667</v>
      </c>
      <c r="AJ4" s="64">
        <f t="shared" si="3"/>
        <v>2.333333333</v>
      </c>
      <c r="AK4" s="64">
        <f t="shared" ref="AK4:AQ4" si="4">(H4+R4+AB4)/3</f>
        <v>3</v>
      </c>
      <c r="AL4" s="64">
        <f t="shared" si="4"/>
        <v>3</v>
      </c>
      <c r="AM4" s="64">
        <f t="shared" si="4"/>
        <v>2.333333333</v>
      </c>
      <c r="AN4" s="64">
        <f t="shared" si="4"/>
        <v>4.333333333</v>
      </c>
      <c r="AO4" s="64">
        <f t="shared" si="4"/>
        <v>2.666666667</v>
      </c>
      <c r="AP4" s="64">
        <f t="shared" si="4"/>
        <v>3</v>
      </c>
      <c r="AQ4" s="64">
        <f t="shared" si="4"/>
        <v>2.666666667</v>
      </c>
    </row>
    <row r="5">
      <c r="A5" s="58">
        <v>3.0</v>
      </c>
      <c r="B5" s="59">
        <f>CSE4098B_Spring2026_Grade!B7</f>
        <v>222014039</v>
      </c>
      <c r="C5" s="60" t="str">
        <f>CSE4098B_Spring2026_Grade!C7</f>
        <v>Nadia Akter Jui</v>
      </c>
      <c r="D5" s="65"/>
      <c r="E5" s="66"/>
      <c r="F5" s="62">
        <v>4.0</v>
      </c>
      <c r="G5" s="62">
        <v>2.0</v>
      </c>
      <c r="H5" s="62">
        <v>3.0</v>
      </c>
      <c r="I5" s="62">
        <v>3.0</v>
      </c>
      <c r="J5" s="62">
        <v>3.0</v>
      </c>
      <c r="K5" s="62">
        <v>4.0</v>
      </c>
      <c r="L5" s="62">
        <v>3.0</v>
      </c>
      <c r="M5" s="62">
        <v>3.0</v>
      </c>
      <c r="N5" s="62">
        <v>3.0</v>
      </c>
      <c r="O5" s="54"/>
      <c r="P5" s="63">
        <v>4.0</v>
      </c>
      <c r="Q5" s="63">
        <v>2.0</v>
      </c>
      <c r="R5" s="63">
        <v>3.0</v>
      </c>
      <c r="S5" s="63">
        <v>3.0</v>
      </c>
      <c r="T5" s="63">
        <v>2.0</v>
      </c>
      <c r="U5" s="63">
        <v>4.0</v>
      </c>
      <c r="V5" s="63">
        <v>2.0</v>
      </c>
      <c r="W5" s="63">
        <v>3.0</v>
      </c>
      <c r="X5" s="63">
        <v>2.0</v>
      </c>
      <c r="Y5" s="54"/>
      <c r="Z5" s="63">
        <v>6.0</v>
      </c>
      <c r="AA5" s="63">
        <v>3.0</v>
      </c>
      <c r="AB5" s="63">
        <v>3.0</v>
      </c>
      <c r="AC5" s="63">
        <v>3.0</v>
      </c>
      <c r="AD5" s="63">
        <v>2.0</v>
      </c>
      <c r="AE5" s="63">
        <v>5.0</v>
      </c>
      <c r="AF5" s="63">
        <v>3.0</v>
      </c>
      <c r="AG5" s="63">
        <v>3.0</v>
      </c>
      <c r="AH5" s="63">
        <v>3.0</v>
      </c>
      <c r="AI5" s="64">
        <f t="shared" si="2"/>
        <v>4.666666667</v>
      </c>
      <c r="AJ5" s="64">
        <f t="shared" si="3"/>
        <v>2.333333333</v>
      </c>
      <c r="AK5" s="64">
        <f t="shared" ref="AK5:AQ5" si="5">(H5+R5+AB5)/3</f>
        <v>3</v>
      </c>
      <c r="AL5" s="64">
        <f t="shared" si="5"/>
        <v>3</v>
      </c>
      <c r="AM5" s="64">
        <f t="shared" si="5"/>
        <v>2.333333333</v>
      </c>
      <c r="AN5" s="64">
        <f t="shared" si="5"/>
        <v>4.333333333</v>
      </c>
      <c r="AO5" s="64">
        <f t="shared" si="5"/>
        <v>2.666666667</v>
      </c>
      <c r="AP5" s="64">
        <f t="shared" si="5"/>
        <v>3</v>
      </c>
      <c r="AQ5" s="64">
        <f t="shared" si="5"/>
        <v>2.666666667</v>
      </c>
    </row>
    <row r="6">
      <c r="A6" s="58">
        <v>4.0</v>
      </c>
      <c r="B6" s="59">
        <f>CSE4098B_Spring2026_Grade!B8</f>
        <v>222014012</v>
      </c>
      <c r="C6" s="60" t="str">
        <f>CSE4098B_Spring2026_Grade!C8</f>
        <v>Md. Minhazul Islam</v>
      </c>
      <c r="D6" s="65"/>
      <c r="E6" s="66"/>
      <c r="F6" s="62">
        <v>4.0</v>
      </c>
      <c r="G6" s="62">
        <v>2.0</v>
      </c>
      <c r="H6" s="62">
        <v>3.0</v>
      </c>
      <c r="I6" s="62">
        <v>3.0</v>
      </c>
      <c r="J6" s="62">
        <v>3.0</v>
      </c>
      <c r="K6" s="62">
        <v>4.0</v>
      </c>
      <c r="L6" s="62">
        <v>3.0</v>
      </c>
      <c r="M6" s="62">
        <v>3.0</v>
      </c>
      <c r="N6" s="62">
        <v>3.0</v>
      </c>
      <c r="O6" s="54"/>
      <c r="P6" s="63">
        <v>4.0</v>
      </c>
      <c r="Q6" s="63">
        <v>2.0</v>
      </c>
      <c r="R6" s="63">
        <v>3.0</v>
      </c>
      <c r="S6" s="63">
        <v>3.0</v>
      </c>
      <c r="T6" s="63">
        <v>2.0</v>
      </c>
      <c r="U6" s="63">
        <v>4.0</v>
      </c>
      <c r="V6" s="63">
        <v>2.0</v>
      </c>
      <c r="W6" s="63">
        <v>3.0</v>
      </c>
      <c r="X6" s="63">
        <v>2.0</v>
      </c>
      <c r="Y6" s="54"/>
      <c r="Z6" s="63">
        <v>6.0</v>
      </c>
      <c r="AA6" s="63">
        <v>3.0</v>
      </c>
      <c r="AB6" s="63">
        <v>3.0</v>
      </c>
      <c r="AC6" s="63">
        <v>3.0</v>
      </c>
      <c r="AD6" s="63">
        <v>2.0</v>
      </c>
      <c r="AE6" s="63">
        <v>5.0</v>
      </c>
      <c r="AF6" s="63">
        <v>3.0</v>
      </c>
      <c r="AG6" s="63">
        <v>3.0</v>
      </c>
      <c r="AH6" s="63">
        <v>3.0</v>
      </c>
      <c r="AI6" s="64">
        <f t="shared" si="2"/>
        <v>4.666666667</v>
      </c>
      <c r="AJ6" s="64">
        <f t="shared" si="3"/>
        <v>2.333333333</v>
      </c>
      <c r="AK6" s="64">
        <f t="shared" ref="AK6:AQ6" si="6">(H6+R6+AB6)/3</f>
        <v>3</v>
      </c>
      <c r="AL6" s="64">
        <f t="shared" si="6"/>
        <v>3</v>
      </c>
      <c r="AM6" s="64">
        <f t="shared" si="6"/>
        <v>2.333333333</v>
      </c>
      <c r="AN6" s="64">
        <f t="shared" si="6"/>
        <v>4.333333333</v>
      </c>
      <c r="AO6" s="64">
        <f t="shared" si="6"/>
        <v>2.666666667</v>
      </c>
      <c r="AP6" s="64">
        <f t="shared" si="6"/>
        <v>3</v>
      </c>
      <c r="AQ6" s="64">
        <f t="shared" si="6"/>
        <v>2.666666667</v>
      </c>
    </row>
    <row r="7">
      <c r="A7" s="58">
        <v>5.0</v>
      </c>
      <c r="B7" s="59">
        <f>CSE4098B_Spring2026_Grade!B9</f>
        <v>222014096</v>
      </c>
      <c r="C7" s="60" t="str">
        <f>CSE4098B_Spring2026_Grade!C9</f>
        <v>Md. Shams Arefin</v>
      </c>
      <c r="D7" s="65"/>
      <c r="E7" s="66"/>
      <c r="F7" s="62">
        <v>4.0</v>
      </c>
      <c r="G7" s="62">
        <v>2.0</v>
      </c>
      <c r="H7" s="62">
        <v>3.0</v>
      </c>
      <c r="I7" s="62">
        <v>3.0</v>
      </c>
      <c r="J7" s="62">
        <v>3.0</v>
      </c>
      <c r="K7" s="62">
        <v>4.0</v>
      </c>
      <c r="L7" s="62">
        <v>3.0</v>
      </c>
      <c r="M7" s="62">
        <v>3.0</v>
      </c>
      <c r="N7" s="62">
        <v>3.0</v>
      </c>
      <c r="O7" s="54"/>
      <c r="P7" s="63">
        <v>4.0</v>
      </c>
      <c r="Q7" s="63">
        <v>2.0</v>
      </c>
      <c r="R7" s="63">
        <v>3.0</v>
      </c>
      <c r="S7" s="63">
        <v>3.0</v>
      </c>
      <c r="T7" s="63">
        <v>2.0</v>
      </c>
      <c r="U7" s="63">
        <v>4.0</v>
      </c>
      <c r="V7" s="63">
        <v>2.0</v>
      </c>
      <c r="W7" s="63">
        <v>3.0</v>
      </c>
      <c r="X7" s="63">
        <v>2.0</v>
      </c>
      <c r="Y7" s="54"/>
      <c r="Z7" s="63">
        <v>6.0</v>
      </c>
      <c r="AA7" s="63">
        <v>3.0</v>
      </c>
      <c r="AB7" s="63">
        <v>3.0</v>
      </c>
      <c r="AC7" s="63">
        <v>3.0</v>
      </c>
      <c r="AD7" s="63">
        <v>2.0</v>
      </c>
      <c r="AE7" s="63">
        <v>5.0</v>
      </c>
      <c r="AF7" s="63">
        <v>3.0</v>
      </c>
      <c r="AG7" s="63">
        <v>3.0</v>
      </c>
      <c r="AH7" s="63">
        <v>3.0</v>
      </c>
      <c r="AI7" s="64">
        <f t="shared" si="2"/>
        <v>4.666666667</v>
      </c>
      <c r="AJ7" s="64">
        <f t="shared" si="3"/>
        <v>2.333333333</v>
      </c>
      <c r="AK7" s="64">
        <f t="shared" ref="AK7:AQ7" si="7">(H7+R7+AB7)/3</f>
        <v>3</v>
      </c>
      <c r="AL7" s="64">
        <f t="shared" si="7"/>
        <v>3</v>
      </c>
      <c r="AM7" s="64">
        <f t="shared" si="7"/>
        <v>2.333333333</v>
      </c>
      <c r="AN7" s="64">
        <f t="shared" si="7"/>
        <v>4.333333333</v>
      </c>
      <c r="AO7" s="64">
        <f t="shared" si="7"/>
        <v>2.666666667</v>
      </c>
      <c r="AP7" s="64">
        <f t="shared" si="7"/>
        <v>3</v>
      </c>
      <c r="AQ7" s="64">
        <f t="shared" si="7"/>
        <v>2.666666667</v>
      </c>
    </row>
    <row r="8">
      <c r="A8" s="58">
        <v>6.0</v>
      </c>
      <c r="B8" s="59">
        <f>CSE4098B_Spring2026_Grade!B10</f>
        <v>222014052</v>
      </c>
      <c r="C8" s="60" t="str">
        <f>CSE4098B_Spring2026_Grade!C10</f>
        <v>Redwan Ahamad Samir</v>
      </c>
      <c r="D8" s="65"/>
      <c r="E8" s="66"/>
      <c r="F8" s="62">
        <v>5.0</v>
      </c>
      <c r="G8" s="62">
        <v>3.0</v>
      </c>
      <c r="H8" s="62">
        <v>2.0</v>
      </c>
      <c r="I8" s="62">
        <v>3.0</v>
      </c>
      <c r="J8" s="62">
        <v>3.0</v>
      </c>
      <c r="K8" s="62">
        <v>6.0</v>
      </c>
      <c r="L8" s="62">
        <v>2.0</v>
      </c>
      <c r="M8" s="62">
        <v>2.0</v>
      </c>
      <c r="N8" s="62">
        <v>2.0</v>
      </c>
      <c r="O8" s="54"/>
      <c r="P8" s="63">
        <v>5.0</v>
      </c>
      <c r="Q8" s="63">
        <v>3.0</v>
      </c>
      <c r="R8" s="63">
        <v>2.0</v>
      </c>
      <c r="S8" s="63">
        <v>2.0</v>
      </c>
      <c r="T8" s="63">
        <v>2.0</v>
      </c>
      <c r="U8" s="63">
        <v>5.0</v>
      </c>
      <c r="V8" s="63">
        <v>1.0</v>
      </c>
      <c r="W8" s="63">
        <v>1.0</v>
      </c>
      <c r="X8" s="63">
        <v>2.0</v>
      </c>
      <c r="Y8" s="54"/>
      <c r="Z8" s="63">
        <v>5.0</v>
      </c>
      <c r="AA8" s="63">
        <v>2.0</v>
      </c>
      <c r="AB8" s="63">
        <v>3.0</v>
      </c>
      <c r="AC8" s="63">
        <v>3.0</v>
      </c>
      <c r="AD8" s="63">
        <v>3.0</v>
      </c>
      <c r="AE8" s="63">
        <v>4.0</v>
      </c>
      <c r="AF8" s="63">
        <v>3.0</v>
      </c>
      <c r="AG8" s="63">
        <v>3.0</v>
      </c>
      <c r="AH8" s="63">
        <v>3.0</v>
      </c>
      <c r="AI8" s="64">
        <f t="shared" si="2"/>
        <v>5</v>
      </c>
      <c r="AJ8" s="64">
        <f t="shared" si="3"/>
        <v>2.666666667</v>
      </c>
      <c r="AK8" s="64">
        <f t="shared" ref="AK8:AQ8" si="8">(H8+R8+AB8)/3</f>
        <v>2.333333333</v>
      </c>
      <c r="AL8" s="64">
        <f t="shared" si="8"/>
        <v>2.666666667</v>
      </c>
      <c r="AM8" s="64">
        <f t="shared" si="8"/>
        <v>2.666666667</v>
      </c>
      <c r="AN8" s="64">
        <f t="shared" si="8"/>
        <v>5</v>
      </c>
      <c r="AO8" s="64">
        <f t="shared" si="8"/>
        <v>2</v>
      </c>
      <c r="AP8" s="64">
        <f t="shared" si="8"/>
        <v>2</v>
      </c>
      <c r="AQ8" s="64">
        <f t="shared" si="8"/>
        <v>2.333333333</v>
      </c>
    </row>
    <row r="9">
      <c r="A9" s="58">
        <v>7.0</v>
      </c>
      <c r="B9" s="59">
        <f>CSE4098B_Spring2026_Grade!B11</f>
        <v>222014009</v>
      </c>
      <c r="C9" s="60" t="str">
        <f>CSE4098B_Spring2026_Grade!C11</f>
        <v>Samia Rahman</v>
      </c>
      <c r="D9" s="65"/>
      <c r="E9" s="66"/>
      <c r="F9" s="62">
        <v>5.0</v>
      </c>
      <c r="G9" s="62">
        <v>3.0</v>
      </c>
      <c r="H9" s="62">
        <v>2.0</v>
      </c>
      <c r="I9" s="62">
        <v>3.0</v>
      </c>
      <c r="J9" s="62">
        <v>3.0</v>
      </c>
      <c r="K9" s="62">
        <v>6.0</v>
      </c>
      <c r="L9" s="62">
        <v>2.0</v>
      </c>
      <c r="M9" s="62">
        <v>2.0</v>
      </c>
      <c r="N9" s="62">
        <v>2.0</v>
      </c>
      <c r="O9" s="54"/>
      <c r="P9" s="63">
        <v>5.0</v>
      </c>
      <c r="Q9" s="63">
        <v>3.0</v>
      </c>
      <c r="R9" s="63">
        <v>2.0</v>
      </c>
      <c r="S9" s="63">
        <v>2.0</v>
      </c>
      <c r="T9" s="63">
        <v>2.0</v>
      </c>
      <c r="U9" s="63">
        <v>5.0</v>
      </c>
      <c r="V9" s="63">
        <v>1.0</v>
      </c>
      <c r="W9" s="63">
        <v>1.0</v>
      </c>
      <c r="X9" s="63">
        <v>2.0</v>
      </c>
      <c r="Y9" s="54"/>
      <c r="Z9" s="63">
        <v>5.0</v>
      </c>
      <c r="AA9" s="63">
        <v>2.0</v>
      </c>
      <c r="AB9" s="63">
        <v>3.0</v>
      </c>
      <c r="AC9" s="63">
        <v>3.0</v>
      </c>
      <c r="AD9" s="63">
        <v>3.0</v>
      </c>
      <c r="AE9" s="63">
        <v>4.0</v>
      </c>
      <c r="AF9" s="63">
        <v>3.0</v>
      </c>
      <c r="AG9" s="63">
        <v>3.0</v>
      </c>
      <c r="AH9" s="63">
        <v>3.0</v>
      </c>
      <c r="AI9" s="64">
        <f t="shared" si="2"/>
        <v>5</v>
      </c>
      <c r="AJ9" s="64">
        <f t="shared" si="3"/>
        <v>2.666666667</v>
      </c>
      <c r="AK9" s="64">
        <f t="shared" ref="AK9:AQ9" si="9">(H9+R9+AB9)/3</f>
        <v>2.333333333</v>
      </c>
      <c r="AL9" s="64">
        <f t="shared" si="9"/>
        <v>2.666666667</v>
      </c>
      <c r="AM9" s="64">
        <f t="shared" si="9"/>
        <v>2.666666667</v>
      </c>
      <c r="AN9" s="64">
        <f t="shared" si="9"/>
        <v>5</v>
      </c>
      <c r="AO9" s="64">
        <f t="shared" si="9"/>
        <v>2</v>
      </c>
      <c r="AP9" s="64">
        <f t="shared" si="9"/>
        <v>2</v>
      </c>
      <c r="AQ9" s="64">
        <f t="shared" si="9"/>
        <v>2.333333333</v>
      </c>
    </row>
    <row r="10">
      <c r="A10" s="58">
        <v>8.0</v>
      </c>
      <c r="B10" s="59">
        <f>CSE4098B_Spring2026_Grade!B12</f>
        <v>222014088</v>
      </c>
      <c r="C10" s="60" t="str">
        <f>CSE4098B_Spring2026_Grade!C12</f>
        <v>Md. Omur Faruk</v>
      </c>
      <c r="D10" s="65"/>
      <c r="E10" s="66"/>
      <c r="F10" s="62">
        <v>5.0</v>
      </c>
      <c r="G10" s="62">
        <v>3.0</v>
      </c>
      <c r="H10" s="62">
        <v>2.0</v>
      </c>
      <c r="I10" s="62">
        <v>3.0</v>
      </c>
      <c r="J10" s="62">
        <v>3.0</v>
      </c>
      <c r="K10" s="62">
        <v>6.0</v>
      </c>
      <c r="L10" s="62">
        <v>2.0</v>
      </c>
      <c r="M10" s="62">
        <v>2.0</v>
      </c>
      <c r="N10" s="62">
        <v>2.0</v>
      </c>
      <c r="O10" s="54"/>
      <c r="P10" s="63">
        <v>5.0</v>
      </c>
      <c r="Q10" s="63">
        <v>3.0</v>
      </c>
      <c r="R10" s="63">
        <v>2.0</v>
      </c>
      <c r="S10" s="63">
        <v>2.0</v>
      </c>
      <c r="T10" s="63">
        <v>2.0</v>
      </c>
      <c r="U10" s="63">
        <v>5.0</v>
      </c>
      <c r="V10" s="63">
        <v>1.0</v>
      </c>
      <c r="W10" s="63">
        <v>1.0</v>
      </c>
      <c r="X10" s="63">
        <v>2.0</v>
      </c>
      <c r="Y10" s="54"/>
      <c r="Z10" s="63">
        <v>5.0</v>
      </c>
      <c r="AA10" s="63">
        <v>2.0</v>
      </c>
      <c r="AB10" s="63">
        <v>3.0</v>
      </c>
      <c r="AC10" s="63">
        <v>3.0</v>
      </c>
      <c r="AD10" s="63">
        <v>3.0</v>
      </c>
      <c r="AE10" s="63">
        <v>4.0</v>
      </c>
      <c r="AF10" s="63">
        <v>3.0</v>
      </c>
      <c r="AG10" s="63">
        <v>3.0</v>
      </c>
      <c r="AH10" s="63">
        <v>3.0</v>
      </c>
      <c r="AI10" s="64">
        <f t="shared" si="2"/>
        <v>5</v>
      </c>
      <c r="AJ10" s="64">
        <f t="shared" si="3"/>
        <v>2.666666667</v>
      </c>
      <c r="AK10" s="64">
        <f t="shared" ref="AK10:AQ10" si="10">(H10+R10+AB10)/3</f>
        <v>2.333333333</v>
      </c>
      <c r="AL10" s="64">
        <f t="shared" si="10"/>
        <v>2.666666667</v>
      </c>
      <c r="AM10" s="64">
        <f t="shared" si="10"/>
        <v>2.666666667</v>
      </c>
      <c r="AN10" s="64">
        <f t="shared" si="10"/>
        <v>5</v>
      </c>
      <c r="AO10" s="64">
        <f t="shared" si="10"/>
        <v>2</v>
      </c>
      <c r="AP10" s="64">
        <f t="shared" si="10"/>
        <v>2</v>
      </c>
      <c r="AQ10" s="64">
        <f t="shared" si="10"/>
        <v>2.333333333</v>
      </c>
    </row>
    <row r="11">
      <c r="A11" s="58">
        <v>9.0</v>
      </c>
      <c r="B11" s="59">
        <f>CSE4098B_Spring2026_Grade!B13</f>
        <v>231014021</v>
      </c>
      <c r="C11" s="60" t="str">
        <f>CSE4098B_Spring2026_Grade!C13</f>
        <v>Raiyan Islam</v>
      </c>
      <c r="D11" s="65"/>
      <c r="E11" s="66"/>
      <c r="F11" s="62">
        <v>5.0</v>
      </c>
      <c r="G11" s="62">
        <v>3.0</v>
      </c>
      <c r="H11" s="62">
        <v>2.0</v>
      </c>
      <c r="I11" s="62">
        <v>3.0</v>
      </c>
      <c r="J11" s="62">
        <v>3.0</v>
      </c>
      <c r="K11" s="62">
        <v>6.0</v>
      </c>
      <c r="L11" s="62">
        <v>2.0</v>
      </c>
      <c r="M11" s="62">
        <v>2.0</v>
      </c>
      <c r="N11" s="62">
        <v>2.0</v>
      </c>
      <c r="O11" s="54"/>
      <c r="P11" s="63">
        <v>5.0</v>
      </c>
      <c r="Q11" s="63">
        <v>3.0</v>
      </c>
      <c r="R11" s="63">
        <v>2.0</v>
      </c>
      <c r="S11" s="63">
        <v>2.0</v>
      </c>
      <c r="T11" s="63">
        <v>2.0</v>
      </c>
      <c r="U11" s="63">
        <v>5.0</v>
      </c>
      <c r="V11" s="63">
        <v>1.0</v>
      </c>
      <c r="W11" s="63">
        <v>1.0</v>
      </c>
      <c r="X11" s="63">
        <v>2.0</v>
      </c>
      <c r="Y11" s="54"/>
      <c r="Z11" s="63">
        <v>5.0</v>
      </c>
      <c r="AA11" s="63">
        <v>2.0</v>
      </c>
      <c r="AB11" s="63">
        <v>3.0</v>
      </c>
      <c r="AC11" s="63">
        <v>3.0</v>
      </c>
      <c r="AD11" s="63">
        <v>3.0</v>
      </c>
      <c r="AE11" s="63">
        <v>4.0</v>
      </c>
      <c r="AF11" s="63">
        <v>3.0</v>
      </c>
      <c r="AG11" s="63">
        <v>3.0</v>
      </c>
      <c r="AH11" s="63">
        <v>3.0</v>
      </c>
      <c r="AI11" s="64">
        <f t="shared" si="2"/>
        <v>5</v>
      </c>
      <c r="AJ11" s="64">
        <f t="shared" si="3"/>
        <v>2.666666667</v>
      </c>
      <c r="AK11" s="64">
        <f t="shared" ref="AK11:AQ11" si="11">(H11+R11+AB11)/3</f>
        <v>2.333333333</v>
      </c>
      <c r="AL11" s="64">
        <f t="shared" si="11"/>
        <v>2.666666667</v>
      </c>
      <c r="AM11" s="64">
        <f t="shared" si="11"/>
        <v>2.666666667</v>
      </c>
      <c r="AN11" s="64">
        <f t="shared" si="11"/>
        <v>5</v>
      </c>
      <c r="AO11" s="64">
        <f t="shared" si="11"/>
        <v>2</v>
      </c>
      <c r="AP11" s="64">
        <f t="shared" si="11"/>
        <v>2</v>
      </c>
      <c r="AQ11" s="64">
        <f t="shared" si="11"/>
        <v>2.333333333</v>
      </c>
    </row>
    <row r="12">
      <c r="A12" s="58">
        <v>10.0</v>
      </c>
      <c r="B12" s="59">
        <f>CSE4098B_Spring2026_Grade!B14</f>
        <v>223014142</v>
      </c>
      <c r="C12" s="60" t="str">
        <f>CSE4098B_Spring2026_Grade!C14</f>
        <v>Tamanna Akter</v>
      </c>
      <c r="D12" s="65"/>
      <c r="E12" s="66"/>
      <c r="F12" s="67">
        <v>5.0</v>
      </c>
      <c r="G12" s="67">
        <v>3.0</v>
      </c>
      <c r="H12" s="67">
        <v>3.0</v>
      </c>
      <c r="I12" s="67">
        <v>3.0</v>
      </c>
      <c r="J12" s="67">
        <v>5.0</v>
      </c>
      <c r="K12" s="67">
        <v>2.0</v>
      </c>
      <c r="L12" s="67">
        <v>3.0</v>
      </c>
      <c r="M12" s="67">
        <v>2.0</v>
      </c>
      <c r="N12" s="67">
        <v>2.0</v>
      </c>
      <c r="O12" s="54"/>
      <c r="P12" s="67">
        <v>5.0</v>
      </c>
      <c r="Q12" s="67">
        <v>3.0</v>
      </c>
      <c r="R12" s="67">
        <v>3.0</v>
      </c>
      <c r="S12" s="67">
        <v>3.0</v>
      </c>
      <c r="T12" s="67">
        <v>5.0</v>
      </c>
      <c r="U12" s="67">
        <v>2.0</v>
      </c>
      <c r="V12" s="67">
        <v>3.0</v>
      </c>
      <c r="W12" s="67">
        <v>2.0</v>
      </c>
      <c r="X12" s="67">
        <v>2.0</v>
      </c>
      <c r="Y12" s="54"/>
      <c r="Z12" s="63">
        <v>5.0</v>
      </c>
      <c r="AA12" s="63">
        <v>2.0</v>
      </c>
      <c r="AB12" s="63">
        <v>2.0</v>
      </c>
      <c r="AC12" s="63">
        <v>3.0</v>
      </c>
      <c r="AD12" s="63">
        <v>3.0</v>
      </c>
      <c r="AE12" s="63">
        <v>4.0</v>
      </c>
      <c r="AF12" s="63">
        <v>2.0</v>
      </c>
      <c r="AG12" s="63">
        <v>2.0</v>
      </c>
      <c r="AH12" s="63">
        <v>2.0</v>
      </c>
      <c r="AI12" s="64">
        <f t="shared" si="2"/>
        <v>5</v>
      </c>
      <c r="AJ12" s="64">
        <f t="shared" si="3"/>
        <v>2.666666667</v>
      </c>
      <c r="AK12" s="64">
        <f t="shared" ref="AK12:AQ12" si="12">(H12+R12+AB12)/3</f>
        <v>2.666666667</v>
      </c>
      <c r="AL12" s="64">
        <f t="shared" si="12"/>
        <v>3</v>
      </c>
      <c r="AM12" s="64">
        <f t="shared" si="12"/>
        <v>4.333333333</v>
      </c>
      <c r="AN12" s="64">
        <f t="shared" si="12"/>
        <v>2.666666667</v>
      </c>
      <c r="AO12" s="64">
        <f t="shared" si="12"/>
        <v>2.666666667</v>
      </c>
      <c r="AP12" s="64">
        <f t="shared" si="12"/>
        <v>2</v>
      </c>
      <c r="AQ12" s="64">
        <f t="shared" si="12"/>
        <v>2</v>
      </c>
    </row>
    <row r="13">
      <c r="A13" s="58">
        <v>11.0</v>
      </c>
      <c r="B13" s="59">
        <f>CSE4098B_Spring2026_Grade!B15</f>
        <v>223014204</v>
      </c>
      <c r="C13" s="60" t="str">
        <f>CSE4098B_Spring2026_Grade!C15</f>
        <v>Ashrafun Nahar Rahi</v>
      </c>
      <c r="D13" s="65"/>
      <c r="E13" s="66"/>
      <c r="F13" s="67">
        <v>5.0</v>
      </c>
      <c r="G13" s="67">
        <v>3.0</v>
      </c>
      <c r="H13" s="67">
        <v>3.0</v>
      </c>
      <c r="I13" s="67">
        <v>3.0</v>
      </c>
      <c r="J13" s="67">
        <v>5.0</v>
      </c>
      <c r="K13" s="67">
        <v>2.0</v>
      </c>
      <c r="L13" s="67">
        <v>3.0</v>
      </c>
      <c r="M13" s="67">
        <v>2.0</v>
      </c>
      <c r="N13" s="67">
        <v>2.0</v>
      </c>
      <c r="O13" s="54"/>
      <c r="P13" s="67">
        <v>5.0</v>
      </c>
      <c r="Q13" s="67">
        <v>3.0</v>
      </c>
      <c r="R13" s="67">
        <v>3.0</v>
      </c>
      <c r="S13" s="67">
        <v>3.0</v>
      </c>
      <c r="T13" s="67">
        <v>5.0</v>
      </c>
      <c r="U13" s="67">
        <v>2.0</v>
      </c>
      <c r="V13" s="67">
        <v>3.0</v>
      </c>
      <c r="W13" s="67">
        <v>2.0</v>
      </c>
      <c r="X13" s="67">
        <v>2.0</v>
      </c>
      <c r="Y13" s="54"/>
      <c r="Z13" s="63">
        <v>5.0</v>
      </c>
      <c r="AA13" s="63">
        <v>2.0</v>
      </c>
      <c r="AB13" s="63">
        <v>2.0</v>
      </c>
      <c r="AC13" s="63">
        <v>3.0</v>
      </c>
      <c r="AD13" s="63">
        <v>3.0</v>
      </c>
      <c r="AE13" s="63">
        <v>4.0</v>
      </c>
      <c r="AF13" s="63">
        <v>2.0</v>
      </c>
      <c r="AG13" s="63">
        <v>2.0</v>
      </c>
      <c r="AH13" s="63">
        <v>2.0</v>
      </c>
      <c r="AI13" s="64">
        <f t="shared" si="2"/>
        <v>5</v>
      </c>
      <c r="AJ13" s="64">
        <f t="shared" si="3"/>
        <v>2.666666667</v>
      </c>
      <c r="AK13" s="64">
        <f t="shared" ref="AK13:AQ13" si="13">(H13+R13+AB13)/3</f>
        <v>2.666666667</v>
      </c>
      <c r="AL13" s="64">
        <f t="shared" si="13"/>
        <v>3</v>
      </c>
      <c r="AM13" s="64">
        <f t="shared" si="13"/>
        <v>4.333333333</v>
      </c>
      <c r="AN13" s="64">
        <f t="shared" si="13"/>
        <v>2.666666667</v>
      </c>
      <c r="AO13" s="64">
        <f t="shared" si="13"/>
        <v>2.666666667</v>
      </c>
      <c r="AP13" s="64">
        <f t="shared" si="13"/>
        <v>2</v>
      </c>
      <c r="AQ13" s="64">
        <f t="shared" si="13"/>
        <v>2</v>
      </c>
    </row>
    <row r="14">
      <c r="A14" s="58">
        <v>12.0</v>
      </c>
      <c r="B14" s="59">
        <f>CSE4098B_Spring2026_Grade!B16</f>
        <v>213014052</v>
      </c>
      <c r="C14" s="60" t="str">
        <f>CSE4098B_Spring2026_Grade!C16</f>
        <v>Khuslima Fardush Mony</v>
      </c>
      <c r="D14" s="65"/>
      <c r="E14" s="66"/>
      <c r="F14" s="67">
        <v>5.0</v>
      </c>
      <c r="G14" s="67">
        <v>3.0</v>
      </c>
      <c r="H14" s="67">
        <v>3.0</v>
      </c>
      <c r="I14" s="67">
        <v>3.0</v>
      </c>
      <c r="J14" s="67">
        <v>5.0</v>
      </c>
      <c r="K14" s="67">
        <v>2.0</v>
      </c>
      <c r="L14" s="67">
        <v>3.0</v>
      </c>
      <c r="M14" s="67">
        <v>2.0</v>
      </c>
      <c r="N14" s="67">
        <v>2.0</v>
      </c>
      <c r="O14" s="54"/>
      <c r="P14" s="67">
        <v>5.0</v>
      </c>
      <c r="Q14" s="67">
        <v>3.0</v>
      </c>
      <c r="R14" s="67">
        <v>3.0</v>
      </c>
      <c r="S14" s="67">
        <v>3.0</v>
      </c>
      <c r="T14" s="67">
        <v>5.0</v>
      </c>
      <c r="U14" s="67">
        <v>2.0</v>
      </c>
      <c r="V14" s="67">
        <v>3.0</v>
      </c>
      <c r="W14" s="67">
        <v>2.0</v>
      </c>
      <c r="X14" s="67">
        <v>2.0</v>
      </c>
      <c r="Y14" s="54"/>
      <c r="Z14" s="63">
        <v>5.0</v>
      </c>
      <c r="AA14" s="63">
        <v>2.0</v>
      </c>
      <c r="AB14" s="63">
        <v>2.0</v>
      </c>
      <c r="AC14" s="63">
        <v>3.0</v>
      </c>
      <c r="AD14" s="63">
        <v>3.0</v>
      </c>
      <c r="AE14" s="63">
        <v>4.0</v>
      </c>
      <c r="AF14" s="63">
        <v>2.0</v>
      </c>
      <c r="AG14" s="63">
        <v>2.0</v>
      </c>
      <c r="AH14" s="63">
        <v>2.0</v>
      </c>
      <c r="AI14" s="64">
        <f t="shared" si="2"/>
        <v>5</v>
      </c>
      <c r="AJ14" s="64">
        <f t="shared" si="3"/>
        <v>2.666666667</v>
      </c>
      <c r="AK14" s="64">
        <f t="shared" ref="AK14:AQ14" si="14">(H14+R14+AB14)/3</f>
        <v>2.666666667</v>
      </c>
      <c r="AL14" s="64">
        <f t="shared" si="14"/>
        <v>3</v>
      </c>
      <c r="AM14" s="64">
        <f t="shared" si="14"/>
        <v>4.333333333</v>
      </c>
      <c r="AN14" s="64">
        <f t="shared" si="14"/>
        <v>2.666666667</v>
      </c>
      <c r="AO14" s="64">
        <f t="shared" si="14"/>
        <v>2.666666667</v>
      </c>
      <c r="AP14" s="64">
        <f t="shared" si="14"/>
        <v>2</v>
      </c>
      <c r="AQ14" s="64">
        <f t="shared" si="14"/>
        <v>2</v>
      </c>
    </row>
    <row r="15">
      <c r="A15" s="58">
        <v>13.0</v>
      </c>
      <c r="B15" s="59">
        <f>CSE4098B_Spring2026_Grade!B17</f>
        <v>221014035</v>
      </c>
      <c r="C15" s="60" t="str">
        <f>CSE4098B_Spring2026_Grade!C17</f>
        <v>Md. Alif Hossain</v>
      </c>
      <c r="D15" s="65"/>
      <c r="E15" s="66"/>
      <c r="F15" s="67">
        <v>5.0</v>
      </c>
      <c r="G15" s="67">
        <v>3.0</v>
      </c>
      <c r="H15" s="67">
        <v>3.0</v>
      </c>
      <c r="I15" s="67">
        <v>3.0</v>
      </c>
      <c r="J15" s="67">
        <v>5.0</v>
      </c>
      <c r="K15" s="67">
        <v>2.0</v>
      </c>
      <c r="L15" s="67">
        <v>3.0</v>
      </c>
      <c r="M15" s="67">
        <v>2.0</v>
      </c>
      <c r="N15" s="67">
        <v>2.0</v>
      </c>
      <c r="O15" s="54"/>
      <c r="P15" s="67">
        <v>5.0</v>
      </c>
      <c r="Q15" s="67">
        <v>3.0</v>
      </c>
      <c r="R15" s="67">
        <v>3.0</v>
      </c>
      <c r="S15" s="67">
        <v>3.0</v>
      </c>
      <c r="T15" s="67">
        <v>5.0</v>
      </c>
      <c r="U15" s="67">
        <v>2.0</v>
      </c>
      <c r="V15" s="67">
        <v>3.0</v>
      </c>
      <c r="W15" s="67">
        <v>2.0</v>
      </c>
      <c r="X15" s="67">
        <v>2.0</v>
      </c>
      <c r="Y15" s="54"/>
      <c r="Z15" s="63">
        <v>5.0</v>
      </c>
      <c r="AA15" s="63">
        <v>2.0</v>
      </c>
      <c r="AB15" s="63">
        <v>2.0</v>
      </c>
      <c r="AC15" s="63">
        <v>3.0</v>
      </c>
      <c r="AD15" s="63">
        <v>3.0</v>
      </c>
      <c r="AE15" s="63">
        <v>4.0</v>
      </c>
      <c r="AF15" s="63">
        <v>2.0</v>
      </c>
      <c r="AG15" s="63">
        <v>2.0</v>
      </c>
      <c r="AH15" s="63">
        <v>2.0</v>
      </c>
      <c r="AI15" s="64">
        <f t="shared" si="2"/>
        <v>5</v>
      </c>
      <c r="AJ15" s="64">
        <f t="shared" si="3"/>
        <v>2.666666667</v>
      </c>
      <c r="AK15" s="64">
        <f t="shared" ref="AK15:AQ15" si="15">(H15+R15+AB15)/3</f>
        <v>2.666666667</v>
      </c>
      <c r="AL15" s="64">
        <f t="shared" si="15"/>
        <v>3</v>
      </c>
      <c r="AM15" s="64">
        <f t="shared" si="15"/>
        <v>4.333333333</v>
      </c>
      <c r="AN15" s="64">
        <f t="shared" si="15"/>
        <v>2.666666667</v>
      </c>
      <c r="AO15" s="64">
        <f t="shared" si="15"/>
        <v>2.666666667</v>
      </c>
      <c r="AP15" s="64">
        <f t="shared" si="15"/>
        <v>2</v>
      </c>
      <c r="AQ15" s="64">
        <f t="shared" si="15"/>
        <v>2</v>
      </c>
    </row>
    <row r="16">
      <c r="A16" s="58">
        <v>14.0</v>
      </c>
      <c r="B16" s="59">
        <f>CSE4098B_Spring2026_Grade!B18</f>
        <v>223014074</v>
      </c>
      <c r="C16" s="60" t="str">
        <f>CSE4098B_Spring2026_Grade!C18</f>
        <v>Salvir Rahman Ratul</v>
      </c>
      <c r="D16" s="65"/>
      <c r="E16" s="66"/>
      <c r="F16" s="62">
        <v>5.0</v>
      </c>
      <c r="G16" s="62">
        <v>3.0</v>
      </c>
      <c r="H16" s="62">
        <v>2.0</v>
      </c>
      <c r="I16" s="62">
        <v>3.0</v>
      </c>
      <c r="J16" s="62">
        <v>2.0</v>
      </c>
      <c r="K16" s="62">
        <v>5.0</v>
      </c>
      <c r="L16" s="62">
        <v>2.0</v>
      </c>
      <c r="M16" s="62">
        <v>3.0</v>
      </c>
      <c r="N16" s="62">
        <v>2.0</v>
      </c>
      <c r="O16" s="54"/>
      <c r="P16" s="64"/>
      <c r="Q16" s="64"/>
      <c r="R16" s="64"/>
      <c r="S16" s="64"/>
      <c r="T16" s="64"/>
      <c r="U16" s="64"/>
      <c r="V16" s="64"/>
      <c r="W16" s="64"/>
      <c r="X16" s="64"/>
      <c r="Y16" s="54"/>
      <c r="Z16" s="63">
        <v>6.0</v>
      </c>
      <c r="AA16" s="63">
        <v>3.0</v>
      </c>
      <c r="AB16" s="63">
        <v>3.0</v>
      </c>
      <c r="AC16" s="63">
        <v>3.0</v>
      </c>
      <c r="AD16" s="63">
        <v>3.0</v>
      </c>
      <c r="AE16" s="63">
        <v>5.0</v>
      </c>
      <c r="AF16" s="63">
        <v>2.0</v>
      </c>
      <c r="AG16" s="63">
        <v>3.0</v>
      </c>
      <c r="AH16" s="63">
        <v>2.0</v>
      </c>
      <c r="AI16" s="64">
        <f t="shared" si="2"/>
        <v>3.666666667</v>
      </c>
      <c r="AJ16" s="64">
        <f t="shared" si="3"/>
        <v>2</v>
      </c>
      <c r="AK16" s="64">
        <f t="shared" ref="AK16:AQ16" si="16">(H16+R16+AB16)/3</f>
        <v>1.666666667</v>
      </c>
      <c r="AL16" s="64">
        <f t="shared" si="16"/>
        <v>2</v>
      </c>
      <c r="AM16" s="64">
        <f t="shared" si="16"/>
        <v>1.666666667</v>
      </c>
      <c r="AN16" s="64">
        <f t="shared" si="16"/>
        <v>3.333333333</v>
      </c>
      <c r="AO16" s="64">
        <f t="shared" si="16"/>
        <v>1.333333333</v>
      </c>
      <c r="AP16" s="64">
        <f t="shared" si="16"/>
        <v>2</v>
      </c>
      <c r="AQ16" s="64">
        <f t="shared" si="16"/>
        <v>1.333333333</v>
      </c>
    </row>
    <row r="17">
      <c r="A17" s="58">
        <v>15.0</v>
      </c>
      <c r="B17" s="59">
        <f>CSE4098B_Spring2026_Grade!B19</f>
        <v>223014133</v>
      </c>
      <c r="C17" s="60" t="str">
        <f>CSE4098B_Spring2026_Grade!C19</f>
        <v>Nancy Drong</v>
      </c>
      <c r="D17" s="65"/>
      <c r="E17" s="66"/>
      <c r="F17" s="62">
        <v>5.0</v>
      </c>
      <c r="G17" s="62">
        <v>3.0</v>
      </c>
      <c r="H17" s="62">
        <v>2.0</v>
      </c>
      <c r="I17" s="62">
        <v>3.0</v>
      </c>
      <c r="J17" s="62">
        <v>2.0</v>
      </c>
      <c r="K17" s="62">
        <v>5.0</v>
      </c>
      <c r="L17" s="62">
        <v>2.0</v>
      </c>
      <c r="M17" s="62">
        <v>3.0</v>
      </c>
      <c r="N17" s="62">
        <v>2.0</v>
      </c>
      <c r="O17" s="54"/>
      <c r="P17" s="64"/>
      <c r="Q17" s="64"/>
      <c r="R17" s="64"/>
      <c r="S17" s="64"/>
      <c r="T17" s="64"/>
      <c r="U17" s="64"/>
      <c r="V17" s="64"/>
      <c r="W17" s="64"/>
      <c r="X17" s="64"/>
      <c r="Y17" s="54"/>
      <c r="Z17" s="63">
        <v>6.0</v>
      </c>
      <c r="AA17" s="63">
        <v>3.0</v>
      </c>
      <c r="AB17" s="63">
        <v>3.0</v>
      </c>
      <c r="AC17" s="63">
        <v>3.0</v>
      </c>
      <c r="AD17" s="63">
        <v>3.0</v>
      </c>
      <c r="AE17" s="63">
        <v>5.0</v>
      </c>
      <c r="AF17" s="63">
        <v>2.0</v>
      </c>
      <c r="AG17" s="63">
        <v>3.0</v>
      </c>
      <c r="AH17" s="63">
        <v>2.0</v>
      </c>
      <c r="AI17" s="64">
        <f t="shared" si="2"/>
        <v>3.666666667</v>
      </c>
      <c r="AJ17" s="64">
        <f t="shared" si="3"/>
        <v>2</v>
      </c>
      <c r="AK17" s="64">
        <f t="shared" ref="AK17:AQ17" si="17">(H17+R17+AB17)/3</f>
        <v>1.666666667</v>
      </c>
      <c r="AL17" s="64">
        <f t="shared" si="17"/>
        <v>2</v>
      </c>
      <c r="AM17" s="64">
        <f t="shared" si="17"/>
        <v>1.666666667</v>
      </c>
      <c r="AN17" s="64">
        <f t="shared" si="17"/>
        <v>3.333333333</v>
      </c>
      <c r="AO17" s="64">
        <f t="shared" si="17"/>
        <v>1.333333333</v>
      </c>
      <c r="AP17" s="64">
        <f t="shared" si="17"/>
        <v>2</v>
      </c>
      <c r="AQ17" s="64">
        <f t="shared" si="17"/>
        <v>1.333333333</v>
      </c>
    </row>
    <row r="18">
      <c r="A18" s="58">
        <v>16.0</v>
      </c>
      <c r="B18" s="59">
        <f>CSE4098B_Spring2026_Grade!B20</f>
        <v>223014052</v>
      </c>
      <c r="C18" s="60" t="str">
        <f>CSE4098B_Spring2026_Grade!C20</f>
        <v>Argho Das </v>
      </c>
      <c r="D18" s="65"/>
      <c r="E18" s="66"/>
      <c r="F18" s="62">
        <v>5.0</v>
      </c>
      <c r="G18" s="62">
        <v>3.0</v>
      </c>
      <c r="H18" s="62">
        <v>2.0</v>
      </c>
      <c r="I18" s="62">
        <v>3.0</v>
      </c>
      <c r="J18" s="62">
        <v>2.0</v>
      </c>
      <c r="K18" s="62">
        <v>5.0</v>
      </c>
      <c r="L18" s="62">
        <v>2.0</v>
      </c>
      <c r="M18" s="62">
        <v>3.0</v>
      </c>
      <c r="N18" s="62">
        <v>2.0</v>
      </c>
      <c r="O18" s="54"/>
      <c r="P18" s="64"/>
      <c r="Q18" s="64"/>
      <c r="R18" s="64"/>
      <c r="S18" s="64"/>
      <c r="T18" s="64"/>
      <c r="U18" s="64"/>
      <c r="V18" s="64"/>
      <c r="W18" s="64"/>
      <c r="X18" s="64"/>
      <c r="Y18" s="54"/>
      <c r="Z18" s="63">
        <v>6.0</v>
      </c>
      <c r="AA18" s="63">
        <v>3.0</v>
      </c>
      <c r="AB18" s="63">
        <v>3.0</v>
      </c>
      <c r="AC18" s="63">
        <v>3.0</v>
      </c>
      <c r="AD18" s="63">
        <v>3.0</v>
      </c>
      <c r="AE18" s="63">
        <v>5.0</v>
      </c>
      <c r="AF18" s="63">
        <v>2.0</v>
      </c>
      <c r="AG18" s="63">
        <v>3.0</v>
      </c>
      <c r="AH18" s="63">
        <v>2.0</v>
      </c>
      <c r="AI18" s="64">
        <f t="shared" si="2"/>
        <v>3.666666667</v>
      </c>
      <c r="AJ18" s="64">
        <f t="shared" si="3"/>
        <v>2</v>
      </c>
      <c r="AK18" s="64">
        <f t="shared" ref="AK18:AQ18" si="18">(H18+R18+AB18)/3</f>
        <v>1.666666667</v>
      </c>
      <c r="AL18" s="64">
        <f t="shared" si="18"/>
        <v>2</v>
      </c>
      <c r="AM18" s="64">
        <f t="shared" si="18"/>
        <v>1.666666667</v>
      </c>
      <c r="AN18" s="64">
        <f t="shared" si="18"/>
        <v>3.333333333</v>
      </c>
      <c r="AO18" s="64">
        <f t="shared" si="18"/>
        <v>1.333333333</v>
      </c>
      <c r="AP18" s="64">
        <f t="shared" si="18"/>
        <v>2</v>
      </c>
      <c r="AQ18" s="64">
        <f t="shared" si="18"/>
        <v>1.333333333</v>
      </c>
    </row>
    <row r="19">
      <c r="A19" s="58">
        <v>17.0</v>
      </c>
      <c r="B19" s="59">
        <f>CSE4098B_Spring2026_Grade!B21</f>
        <v>223014105</v>
      </c>
      <c r="C19" s="60" t="str">
        <f>CSE4098B_Spring2026_Grade!C21</f>
        <v>Navid Rahman</v>
      </c>
      <c r="D19" s="65"/>
      <c r="E19" s="66"/>
      <c r="F19" s="62">
        <v>5.0</v>
      </c>
      <c r="G19" s="62">
        <v>3.0</v>
      </c>
      <c r="H19" s="62">
        <v>2.0</v>
      </c>
      <c r="I19" s="62">
        <v>3.0</v>
      </c>
      <c r="J19" s="62">
        <v>2.0</v>
      </c>
      <c r="K19" s="62">
        <v>5.0</v>
      </c>
      <c r="L19" s="62">
        <v>2.0</v>
      </c>
      <c r="M19" s="62">
        <v>3.0</v>
      </c>
      <c r="N19" s="62">
        <v>2.0</v>
      </c>
      <c r="O19" s="54"/>
      <c r="P19" s="64"/>
      <c r="Q19" s="64"/>
      <c r="R19" s="64"/>
      <c r="S19" s="64"/>
      <c r="T19" s="64"/>
      <c r="U19" s="64"/>
      <c r="V19" s="64"/>
      <c r="W19" s="64"/>
      <c r="X19" s="64"/>
      <c r="Y19" s="54"/>
      <c r="Z19" s="63">
        <v>6.0</v>
      </c>
      <c r="AA19" s="63">
        <v>3.0</v>
      </c>
      <c r="AB19" s="63">
        <v>3.0</v>
      </c>
      <c r="AC19" s="63">
        <v>3.0</v>
      </c>
      <c r="AD19" s="63">
        <v>3.0</v>
      </c>
      <c r="AE19" s="63">
        <v>5.0</v>
      </c>
      <c r="AF19" s="63">
        <v>2.0</v>
      </c>
      <c r="AG19" s="63">
        <v>3.0</v>
      </c>
      <c r="AH19" s="63">
        <v>2.0</v>
      </c>
      <c r="AI19" s="64">
        <f t="shared" si="2"/>
        <v>3.666666667</v>
      </c>
      <c r="AJ19" s="64">
        <f t="shared" si="3"/>
        <v>2</v>
      </c>
      <c r="AK19" s="64">
        <f t="shared" ref="AK19:AQ19" si="19">(H19+R19+AB19)/3</f>
        <v>1.666666667</v>
      </c>
      <c r="AL19" s="64">
        <f t="shared" si="19"/>
        <v>2</v>
      </c>
      <c r="AM19" s="64">
        <f t="shared" si="19"/>
        <v>1.666666667</v>
      </c>
      <c r="AN19" s="64">
        <f t="shared" si="19"/>
        <v>3.333333333</v>
      </c>
      <c r="AO19" s="64">
        <f t="shared" si="19"/>
        <v>1.333333333</v>
      </c>
      <c r="AP19" s="64">
        <f t="shared" si="19"/>
        <v>2</v>
      </c>
      <c r="AQ19" s="64">
        <f t="shared" si="19"/>
        <v>1.333333333</v>
      </c>
    </row>
    <row r="20">
      <c r="A20" s="58">
        <v>18.0</v>
      </c>
      <c r="B20" s="59">
        <f>CSE4098B_Spring2026_Grade!B22</f>
        <v>223014196</v>
      </c>
      <c r="C20" s="60" t="str">
        <f>CSE4098B_Spring2026_Grade!C22</f>
        <v>Shafwan Shadid Khan</v>
      </c>
      <c r="D20" s="65"/>
      <c r="E20" s="66"/>
      <c r="F20" s="62">
        <v>5.0</v>
      </c>
      <c r="G20" s="62">
        <v>3.0</v>
      </c>
      <c r="H20" s="62">
        <v>2.0</v>
      </c>
      <c r="I20" s="62">
        <v>3.0</v>
      </c>
      <c r="J20" s="62">
        <v>2.0</v>
      </c>
      <c r="K20" s="62">
        <v>5.0</v>
      </c>
      <c r="L20" s="62">
        <v>2.0</v>
      </c>
      <c r="M20" s="62">
        <v>3.0</v>
      </c>
      <c r="N20" s="62">
        <v>2.0</v>
      </c>
      <c r="O20" s="54"/>
      <c r="P20" s="64"/>
      <c r="Q20" s="64"/>
      <c r="R20" s="64"/>
      <c r="S20" s="64"/>
      <c r="T20" s="64"/>
      <c r="U20" s="64"/>
      <c r="V20" s="64"/>
      <c r="W20" s="64"/>
      <c r="X20" s="64"/>
      <c r="Y20" s="54"/>
      <c r="Z20" s="63">
        <v>6.0</v>
      </c>
      <c r="AA20" s="63">
        <v>3.0</v>
      </c>
      <c r="AB20" s="63">
        <v>3.0</v>
      </c>
      <c r="AC20" s="63">
        <v>3.0</v>
      </c>
      <c r="AD20" s="63">
        <v>3.0</v>
      </c>
      <c r="AE20" s="63">
        <v>5.0</v>
      </c>
      <c r="AF20" s="63">
        <v>2.0</v>
      </c>
      <c r="AG20" s="63">
        <v>3.0</v>
      </c>
      <c r="AH20" s="63">
        <v>2.0</v>
      </c>
      <c r="AI20" s="64">
        <f t="shared" si="2"/>
        <v>3.666666667</v>
      </c>
      <c r="AJ20" s="64">
        <f t="shared" si="3"/>
        <v>2</v>
      </c>
      <c r="AK20" s="64">
        <f t="shared" ref="AK20:AQ20" si="20">(H20+R20+AB20)/3</f>
        <v>1.666666667</v>
      </c>
      <c r="AL20" s="64">
        <f t="shared" si="20"/>
        <v>2</v>
      </c>
      <c r="AM20" s="64">
        <f t="shared" si="20"/>
        <v>1.666666667</v>
      </c>
      <c r="AN20" s="64">
        <f t="shared" si="20"/>
        <v>3.333333333</v>
      </c>
      <c r="AO20" s="64">
        <f t="shared" si="20"/>
        <v>1.333333333</v>
      </c>
      <c r="AP20" s="64">
        <f t="shared" si="20"/>
        <v>2</v>
      </c>
      <c r="AQ20" s="64">
        <f t="shared" si="20"/>
        <v>1.333333333</v>
      </c>
    </row>
    <row r="21" ht="15.75" customHeight="1">
      <c r="A21" s="58">
        <v>19.0</v>
      </c>
      <c r="B21" s="59">
        <f>CSE4098B_Spring2026_Grade!B23</f>
        <v>223014213</v>
      </c>
      <c r="C21" s="60" t="str">
        <f>CSE4098B_Spring2026_Grade!C23</f>
        <v>Md. Minhazul Islam</v>
      </c>
      <c r="D21" s="65"/>
      <c r="E21" s="66"/>
      <c r="F21" s="62">
        <v>5.0</v>
      </c>
      <c r="G21" s="62">
        <v>2.0</v>
      </c>
      <c r="H21" s="62">
        <v>2.0</v>
      </c>
      <c r="I21" s="62">
        <v>3.0</v>
      </c>
      <c r="J21" s="62">
        <v>3.0</v>
      </c>
      <c r="K21" s="62">
        <v>4.0</v>
      </c>
      <c r="L21" s="62">
        <v>2.0</v>
      </c>
      <c r="M21" s="62">
        <v>2.0</v>
      </c>
      <c r="N21" s="62">
        <v>2.0</v>
      </c>
      <c r="O21" s="54"/>
      <c r="P21" s="63">
        <v>5.0</v>
      </c>
      <c r="Q21" s="63">
        <v>2.0</v>
      </c>
      <c r="R21" s="63">
        <v>3.0</v>
      </c>
      <c r="S21" s="63">
        <v>3.0</v>
      </c>
      <c r="T21" s="63">
        <v>3.0</v>
      </c>
      <c r="U21" s="63">
        <v>5.0</v>
      </c>
      <c r="V21" s="63">
        <v>2.0</v>
      </c>
      <c r="W21" s="63">
        <v>3.0</v>
      </c>
      <c r="X21" s="63">
        <v>2.0</v>
      </c>
      <c r="Y21" s="54"/>
      <c r="Z21" s="63">
        <v>6.0</v>
      </c>
      <c r="AA21" s="63">
        <v>3.0</v>
      </c>
      <c r="AB21" s="63">
        <v>3.0</v>
      </c>
      <c r="AC21" s="63">
        <v>3.0</v>
      </c>
      <c r="AD21" s="63">
        <v>3.0</v>
      </c>
      <c r="AE21" s="63">
        <v>5.0</v>
      </c>
      <c r="AF21" s="63">
        <v>2.0</v>
      </c>
      <c r="AG21" s="63">
        <v>3.0</v>
      </c>
      <c r="AH21" s="63">
        <v>2.0</v>
      </c>
      <c r="AI21" s="64">
        <f t="shared" si="2"/>
        <v>5.333333333</v>
      </c>
      <c r="AJ21" s="64">
        <f t="shared" si="3"/>
        <v>2.333333333</v>
      </c>
      <c r="AK21" s="64">
        <f t="shared" ref="AK21:AQ21" si="21">(H21+R21+AB21)/3</f>
        <v>2.666666667</v>
      </c>
      <c r="AL21" s="64">
        <f t="shared" si="21"/>
        <v>3</v>
      </c>
      <c r="AM21" s="64">
        <f t="shared" si="21"/>
        <v>3</v>
      </c>
      <c r="AN21" s="64">
        <f t="shared" si="21"/>
        <v>4.666666667</v>
      </c>
      <c r="AO21" s="64">
        <f t="shared" si="21"/>
        <v>2</v>
      </c>
      <c r="AP21" s="64">
        <f t="shared" si="21"/>
        <v>2.666666667</v>
      </c>
      <c r="AQ21" s="64">
        <f t="shared" si="21"/>
        <v>2</v>
      </c>
    </row>
    <row r="22" ht="15.75" customHeight="1">
      <c r="A22" s="58">
        <v>20.0</v>
      </c>
      <c r="B22" s="59">
        <f>CSE4098B_Spring2026_Grade!B24</f>
        <v>223014078</v>
      </c>
      <c r="C22" s="60" t="str">
        <f>CSE4098B_Spring2026_Grade!C24</f>
        <v>Shakhar Das Rony</v>
      </c>
      <c r="D22" s="65"/>
      <c r="E22" s="66"/>
      <c r="F22" s="62">
        <v>5.0</v>
      </c>
      <c r="G22" s="62">
        <v>2.0</v>
      </c>
      <c r="H22" s="62">
        <v>2.0</v>
      </c>
      <c r="I22" s="62">
        <v>3.0</v>
      </c>
      <c r="J22" s="62">
        <v>3.0</v>
      </c>
      <c r="K22" s="62">
        <v>4.0</v>
      </c>
      <c r="L22" s="62">
        <v>2.0</v>
      </c>
      <c r="M22" s="62">
        <v>2.0</v>
      </c>
      <c r="N22" s="62">
        <v>2.0</v>
      </c>
      <c r="O22" s="54"/>
      <c r="P22" s="63">
        <v>5.0</v>
      </c>
      <c r="Q22" s="63">
        <v>2.0</v>
      </c>
      <c r="R22" s="63">
        <v>3.0</v>
      </c>
      <c r="S22" s="63">
        <v>3.0</v>
      </c>
      <c r="T22" s="63">
        <v>3.0</v>
      </c>
      <c r="U22" s="63">
        <v>5.0</v>
      </c>
      <c r="V22" s="63">
        <v>2.0</v>
      </c>
      <c r="W22" s="63">
        <v>3.0</v>
      </c>
      <c r="X22" s="63">
        <v>2.0</v>
      </c>
      <c r="Y22" s="54"/>
      <c r="Z22" s="63">
        <v>6.0</v>
      </c>
      <c r="AA22" s="63">
        <v>3.0</v>
      </c>
      <c r="AB22" s="63">
        <v>3.0</v>
      </c>
      <c r="AC22" s="63">
        <v>3.0</v>
      </c>
      <c r="AD22" s="63">
        <v>3.0</v>
      </c>
      <c r="AE22" s="63">
        <v>5.0</v>
      </c>
      <c r="AF22" s="63">
        <v>2.0</v>
      </c>
      <c r="AG22" s="63">
        <v>3.0</v>
      </c>
      <c r="AH22" s="63">
        <v>2.0</v>
      </c>
      <c r="AI22" s="64">
        <f t="shared" si="2"/>
        <v>5.333333333</v>
      </c>
      <c r="AJ22" s="64">
        <f t="shared" si="3"/>
        <v>2.333333333</v>
      </c>
      <c r="AK22" s="64">
        <f t="shared" ref="AK22:AQ22" si="22">(H22+R22+AB22)/3</f>
        <v>2.666666667</v>
      </c>
      <c r="AL22" s="64">
        <f t="shared" si="22"/>
        <v>3</v>
      </c>
      <c r="AM22" s="64">
        <f t="shared" si="22"/>
        <v>3</v>
      </c>
      <c r="AN22" s="64">
        <f t="shared" si="22"/>
        <v>4.666666667</v>
      </c>
      <c r="AO22" s="64">
        <f t="shared" si="22"/>
        <v>2</v>
      </c>
      <c r="AP22" s="64">
        <f t="shared" si="22"/>
        <v>2.666666667</v>
      </c>
      <c r="AQ22" s="64">
        <f t="shared" si="22"/>
        <v>2</v>
      </c>
    </row>
    <row r="23" ht="15.75" customHeight="1">
      <c r="A23" s="58">
        <v>21.0</v>
      </c>
      <c r="B23" s="59">
        <f>CSE4098B_Spring2026_Grade!B25</f>
        <v>223014212</v>
      </c>
      <c r="C23" s="60" t="str">
        <f>CSE4098B_Spring2026_Grade!C25</f>
        <v>Md. Tamim Hasan</v>
      </c>
      <c r="D23" s="65"/>
      <c r="E23" s="66"/>
      <c r="F23" s="62">
        <v>5.0</v>
      </c>
      <c r="G23" s="62">
        <v>2.0</v>
      </c>
      <c r="H23" s="62">
        <v>2.0</v>
      </c>
      <c r="I23" s="62">
        <v>3.0</v>
      </c>
      <c r="J23" s="62">
        <v>3.0</v>
      </c>
      <c r="K23" s="62">
        <v>4.0</v>
      </c>
      <c r="L23" s="62">
        <v>2.0</v>
      </c>
      <c r="M23" s="62">
        <v>2.0</v>
      </c>
      <c r="N23" s="62">
        <v>2.0</v>
      </c>
      <c r="O23" s="54"/>
      <c r="P23" s="63">
        <v>5.0</v>
      </c>
      <c r="Q23" s="63">
        <v>2.0</v>
      </c>
      <c r="R23" s="63">
        <v>3.0</v>
      </c>
      <c r="S23" s="63">
        <v>3.0</v>
      </c>
      <c r="T23" s="63">
        <v>3.0</v>
      </c>
      <c r="U23" s="63">
        <v>5.0</v>
      </c>
      <c r="V23" s="63">
        <v>2.0</v>
      </c>
      <c r="W23" s="63">
        <v>3.0</v>
      </c>
      <c r="X23" s="63">
        <v>2.0</v>
      </c>
      <c r="Y23" s="54"/>
      <c r="Z23" s="63">
        <v>6.0</v>
      </c>
      <c r="AA23" s="63">
        <v>3.0</v>
      </c>
      <c r="AB23" s="63">
        <v>3.0</v>
      </c>
      <c r="AC23" s="63">
        <v>3.0</v>
      </c>
      <c r="AD23" s="63">
        <v>3.0</v>
      </c>
      <c r="AE23" s="63">
        <v>5.0</v>
      </c>
      <c r="AF23" s="63">
        <v>2.0</v>
      </c>
      <c r="AG23" s="63">
        <v>3.0</v>
      </c>
      <c r="AH23" s="63">
        <v>2.0</v>
      </c>
      <c r="AI23" s="64">
        <f t="shared" si="2"/>
        <v>5.333333333</v>
      </c>
      <c r="AJ23" s="64">
        <f t="shared" si="3"/>
        <v>2.333333333</v>
      </c>
      <c r="AK23" s="64">
        <f t="shared" ref="AK23:AQ23" si="23">(H23+R23+AB23)/3</f>
        <v>2.666666667</v>
      </c>
      <c r="AL23" s="64">
        <f t="shared" si="23"/>
        <v>3</v>
      </c>
      <c r="AM23" s="64">
        <f t="shared" si="23"/>
        <v>3</v>
      </c>
      <c r="AN23" s="64">
        <f t="shared" si="23"/>
        <v>4.666666667</v>
      </c>
      <c r="AO23" s="64">
        <f t="shared" si="23"/>
        <v>2</v>
      </c>
      <c r="AP23" s="64">
        <f t="shared" si="23"/>
        <v>2.666666667</v>
      </c>
      <c r="AQ23" s="64">
        <f t="shared" si="23"/>
        <v>2</v>
      </c>
    </row>
    <row r="24" ht="15.75" customHeight="1">
      <c r="A24" s="58">
        <v>22.0</v>
      </c>
      <c r="B24" s="59">
        <f>CSE4098B_Spring2026_Grade!B26</f>
        <v>231014049</v>
      </c>
      <c r="C24" s="60" t="str">
        <f>CSE4098B_Spring2026_Grade!C26</f>
        <v>Kazi Noor E Saba </v>
      </c>
      <c r="D24" s="65"/>
      <c r="E24" s="66"/>
      <c r="F24" s="62">
        <v>5.0</v>
      </c>
      <c r="G24" s="62">
        <v>3.0</v>
      </c>
      <c r="H24" s="62">
        <v>3.0</v>
      </c>
      <c r="I24" s="62">
        <v>2.0</v>
      </c>
      <c r="J24" s="62">
        <v>3.0</v>
      </c>
      <c r="K24" s="62">
        <v>5.0</v>
      </c>
      <c r="L24" s="62">
        <v>3.0</v>
      </c>
      <c r="M24" s="62">
        <v>2.0</v>
      </c>
      <c r="N24" s="62">
        <v>3.0</v>
      </c>
      <c r="O24" s="54"/>
      <c r="P24" s="63">
        <v>6.0</v>
      </c>
      <c r="Q24" s="63">
        <v>3.0</v>
      </c>
      <c r="R24" s="63">
        <v>3.0</v>
      </c>
      <c r="S24" s="63">
        <v>2.0</v>
      </c>
      <c r="T24" s="63">
        <v>2.0</v>
      </c>
      <c r="U24" s="63">
        <v>5.0</v>
      </c>
      <c r="V24" s="63">
        <v>3.0</v>
      </c>
      <c r="W24" s="63">
        <v>3.0</v>
      </c>
      <c r="X24" s="63">
        <v>3.0</v>
      </c>
      <c r="Y24" s="54"/>
      <c r="Z24" s="68"/>
      <c r="AA24" s="68"/>
      <c r="AB24" s="68"/>
      <c r="AC24" s="68"/>
      <c r="AD24" s="68"/>
      <c r="AE24" s="68"/>
      <c r="AF24" s="68"/>
      <c r="AG24" s="68"/>
      <c r="AH24" s="68"/>
      <c r="AI24" s="64">
        <f t="shared" si="2"/>
        <v>3.666666667</v>
      </c>
      <c r="AJ24" s="64">
        <f t="shared" si="3"/>
        <v>2</v>
      </c>
      <c r="AK24" s="64">
        <f t="shared" ref="AK24:AQ24" si="24">(H24+R24+AB24)/3</f>
        <v>2</v>
      </c>
      <c r="AL24" s="64">
        <f t="shared" si="24"/>
        <v>1.333333333</v>
      </c>
      <c r="AM24" s="64">
        <f t="shared" si="24"/>
        <v>1.666666667</v>
      </c>
      <c r="AN24" s="64">
        <f t="shared" si="24"/>
        <v>3.333333333</v>
      </c>
      <c r="AO24" s="64">
        <f t="shared" si="24"/>
        <v>2</v>
      </c>
      <c r="AP24" s="64">
        <f t="shared" si="24"/>
        <v>1.666666667</v>
      </c>
      <c r="AQ24" s="64">
        <f t="shared" si="24"/>
        <v>2</v>
      </c>
    </row>
    <row r="25" ht="15.75" customHeight="1">
      <c r="A25" s="58">
        <v>23.0</v>
      </c>
      <c r="B25" s="59">
        <f>CSE4098B_Spring2026_Grade!B27</f>
        <v>231014016</v>
      </c>
      <c r="C25" s="60" t="str">
        <f>CSE4098B_Spring2026_Grade!C27</f>
        <v>Md. Akib Al Mahmud Dihan</v>
      </c>
      <c r="D25" s="65"/>
      <c r="E25" s="66"/>
      <c r="F25" s="62">
        <v>5.0</v>
      </c>
      <c r="G25" s="62">
        <v>3.0</v>
      </c>
      <c r="H25" s="62">
        <v>3.0</v>
      </c>
      <c r="I25" s="62">
        <v>2.0</v>
      </c>
      <c r="J25" s="62">
        <v>3.0</v>
      </c>
      <c r="K25" s="62">
        <v>5.0</v>
      </c>
      <c r="L25" s="62">
        <v>3.0</v>
      </c>
      <c r="M25" s="62">
        <v>2.0</v>
      </c>
      <c r="N25" s="62">
        <v>3.0</v>
      </c>
      <c r="O25" s="54"/>
      <c r="P25" s="63">
        <v>6.0</v>
      </c>
      <c r="Q25" s="63">
        <v>3.0</v>
      </c>
      <c r="R25" s="63">
        <v>3.0</v>
      </c>
      <c r="S25" s="63">
        <v>2.0</v>
      </c>
      <c r="T25" s="63">
        <v>2.0</v>
      </c>
      <c r="U25" s="63">
        <v>5.0</v>
      </c>
      <c r="V25" s="63">
        <v>3.0</v>
      </c>
      <c r="W25" s="63">
        <v>3.0</v>
      </c>
      <c r="X25" s="63">
        <v>3.0</v>
      </c>
      <c r="Y25" s="54"/>
      <c r="Z25" s="68"/>
      <c r="AA25" s="68"/>
      <c r="AB25" s="68"/>
      <c r="AC25" s="68"/>
      <c r="AD25" s="68"/>
      <c r="AE25" s="68"/>
      <c r="AF25" s="68"/>
      <c r="AG25" s="68"/>
      <c r="AH25" s="68"/>
      <c r="AI25" s="64">
        <f t="shared" si="2"/>
        <v>3.666666667</v>
      </c>
      <c r="AJ25" s="64">
        <f t="shared" si="3"/>
        <v>2</v>
      </c>
      <c r="AK25" s="64">
        <f t="shared" ref="AK25:AQ25" si="25">(H25+R25+AB25)/3</f>
        <v>2</v>
      </c>
      <c r="AL25" s="64">
        <f t="shared" si="25"/>
        <v>1.333333333</v>
      </c>
      <c r="AM25" s="64">
        <f t="shared" si="25"/>
        <v>1.666666667</v>
      </c>
      <c r="AN25" s="64">
        <f t="shared" si="25"/>
        <v>3.333333333</v>
      </c>
      <c r="AO25" s="64">
        <f t="shared" si="25"/>
        <v>2</v>
      </c>
      <c r="AP25" s="64">
        <f t="shared" si="25"/>
        <v>1.666666667</v>
      </c>
      <c r="AQ25" s="64">
        <f t="shared" si="25"/>
        <v>2</v>
      </c>
    </row>
    <row r="26" ht="15.75" customHeight="1">
      <c r="A26" s="58">
        <v>24.0</v>
      </c>
      <c r="B26" s="59">
        <f>CSE4098B_Spring2026_Grade!B28</f>
        <v>231014125</v>
      </c>
      <c r="C26" s="60" t="str">
        <f>CSE4098B_Spring2026_Grade!C28</f>
        <v>Jumana Muntaha</v>
      </c>
      <c r="D26" s="65"/>
      <c r="E26" s="66"/>
      <c r="F26" s="62">
        <v>5.0</v>
      </c>
      <c r="G26" s="62">
        <v>3.0</v>
      </c>
      <c r="H26" s="62">
        <v>3.0</v>
      </c>
      <c r="I26" s="62">
        <v>2.0</v>
      </c>
      <c r="J26" s="62">
        <v>3.0</v>
      </c>
      <c r="K26" s="62">
        <v>5.0</v>
      </c>
      <c r="L26" s="62">
        <v>3.0</v>
      </c>
      <c r="M26" s="62">
        <v>2.0</v>
      </c>
      <c r="N26" s="62">
        <v>3.0</v>
      </c>
      <c r="O26" s="54"/>
      <c r="P26" s="63">
        <v>6.0</v>
      </c>
      <c r="Q26" s="63">
        <v>3.0</v>
      </c>
      <c r="R26" s="63">
        <v>3.0</v>
      </c>
      <c r="S26" s="63">
        <v>2.0</v>
      </c>
      <c r="T26" s="63">
        <v>2.0</v>
      </c>
      <c r="U26" s="63">
        <v>5.0</v>
      </c>
      <c r="V26" s="63">
        <v>3.0</v>
      </c>
      <c r="W26" s="63">
        <v>3.0</v>
      </c>
      <c r="X26" s="63">
        <v>3.0</v>
      </c>
      <c r="Y26" s="54"/>
      <c r="Z26" s="68"/>
      <c r="AA26" s="68"/>
      <c r="AB26" s="68"/>
      <c r="AC26" s="68"/>
      <c r="AD26" s="68"/>
      <c r="AE26" s="68"/>
      <c r="AF26" s="68"/>
      <c r="AG26" s="68"/>
      <c r="AH26" s="68"/>
      <c r="AI26" s="64">
        <f t="shared" si="2"/>
        <v>3.666666667</v>
      </c>
      <c r="AJ26" s="64">
        <f t="shared" si="3"/>
        <v>2</v>
      </c>
      <c r="AK26" s="64">
        <f t="shared" ref="AK26:AQ26" si="26">(H26+R26+AB26)/3</f>
        <v>2</v>
      </c>
      <c r="AL26" s="64">
        <f t="shared" si="26"/>
        <v>1.333333333</v>
      </c>
      <c r="AM26" s="64">
        <f t="shared" si="26"/>
        <v>1.666666667</v>
      </c>
      <c r="AN26" s="64">
        <f t="shared" si="26"/>
        <v>3.333333333</v>
      </c>
      <c r="AO26" s="64">
        <f t="shared" si="26"/>
        <v>2</v>
      </c>
      <c r="AP26" s="64">
        <f t="shared" si="26"/>
        <v>1.666666667</v>
      </c>
      <c r="AQ26" s="64">
        <f t="shared" si="26"/>
        <v>2</v>
      </c>
    </row>
    <row r="27" ht="15.75" customHeight="1">
      <c r="A27" s="58">
        <v>25.0</v>
      </c>
      <c r="B27" s="59">
        <f>CSE4098B_Spring2026_Grade!B29</f>
        <v>231014142</v>
      </c>
      <c r="C27" s="60" t="str">
        <f>CSE4098B_Spring2026_Grade!C29</f>
        <v>Abida Binte Asif</v>
      </c>
      <c r="D27" s="65"/>
      <c r="E27" s="66"/>
      <c r="F27" s="62">
        <v>5.0</v>
      </c>
      <c r="G27" s="62">
        <v>3.0</v>
      </c>
      <c r="H27" s="62">
        <v>3.0</v>
      </c>
      <c r="I27" s="62">
        <v>2.0</v>
      </c>
      <c r="J27" s="62">
        <v>3.0</v>
      </c>
      <c r="K27" s="62">
        <v>5.0</v>
      </c>
      <c r="L27" s="62">
        <v>3.0</v>
      </c>
      <c r="M27" s="62">
        <v>2.0</v>
      </c>
      <c r="N27" s="62">
        <v>3.0</v>
      </c>
      <c r="O27" s="54"/>
      <c r="P27" s="63">
        <v>6.0</v>
      </c>
      <c r="Q27" s="63">
        <v>3.0</v>
      </c>
      <c r="R27" s="63">
        <v>3.0</v>
      </c>
      <c r="S27" s="63">
        <v>2.0</v>
      </c>
      <c r="T27" s="63">
        <v>2.0</v>
      </c>
      <c r="U27" s="63">
        <v>5.0</v>
      </c>
      <c r="V27" s="63">
        <v>3.0</v>
      </c>
      <c r="W27" s="63">
        <v>3.0</v>
      </c>
      <c r="X27" s="63">
        <v>3.0</v>
      </c>
      <c r="Y27" s="54"/>
      <c r="Z27" s="68"/>
      <c r="AA27" s="68"/>
      <c r="AB27" s="68"/>
      <c r="AC27" s="68"/>
      <c r="AD27" s="68"/>
      <c r="AE27" s="68"/>
      <c r="AF27" s="68"/>
      <c r="AG27" s="68"/>
      <c r="AH27" s="68"/>
      <c r="AI27" s="64">
        <f t="shared" si="2"/>
        <v>3.666666667</v>
      </c>
      <c r="AJ27" s="64">
        <f t="shared" si="3"/>
        <v>2</v>
      </c>
      <c r="AK27" s="64">
        <f t="shared" ref="AK27:AQ27" si="27">(H27+R27+AB27)/3</f>
        <v>2</v>
      </c>
      <c r="AL27" s="64">
        <f t="shared" si="27"/>
        <v>1.333333333</v>
      </c>
      <c r="AM27" s="64">
        <f t="shared" si="27"/>
        <v>1.666666667</v>
      </c>
      <c r="AN27" s="64">
        <f t="shared" si="27"/>
        <v>3.333333333</v>
      </c>
      <c r="AO27" s="64">
        <f t="shared" si="27"/>
        <v>2</v>
      </c>
      <c r="AP27" s="64">
        <f t="shared" si="27"/>
        <v>1.666666667</v>
      </c>
      <c r="AQ27" s="64">
        <f t="shared" si="27"/>
        <v>2</v>
      </c>
    </row>
    <row r="28" ht="15.75" customHeight="1">
      <c r="A28" s="58">
        <v>26.0</v>
      </c>
      <c r="B28" s="59">
        <f>CSE4098B_Spring2026_Grade!B30</f>
        <v>223014146</v>
      </c>
      <c r="C28" s="60" t="str">
        <f>CSE4098B_Spring2026_Grade!C30</f>
        <v>Sami Hossain</v>
      </c>
      <c r="D28" s="65"/>
      <c r="E28" s="66"/>
      <c r="F28" s="62">
        <v>5.0</v>
      </c>
      <c r="G28" s="62">
        <v>3.0</v>
      </c>
      <c r="H28" s="62">
        <v>3.0</v>
      </c>
      <c r="I28" s="62">
        <v>2.0</v>
      </c>
      <c r="J28" s="62">
        <v>3.0</v>
      </c>
      <c r="K28" s="62">
        <v>5.0</v>
      </c>
      <c r="L28" s="62">
        <v>3.0</v>
      </c>
      <c r="M28" s="62">
        <v>2.0</v>
      </c>
      <c r="N28" s="62">
        <v>3.0</v>
      </c>
      <c r="O28" s="54"/>
      <c r="P28" s="63">
        <v>6.0</v>
      </c>
      <c r="Q28" s="63">
        <v>3.0</v>
      </c>
      <c r="R28" s="63">
        <v>3.0</v>
      </c>
      <c r="S28" s="63">
        <v>2.0</v>
      </c>
      <c r="T28" s="63">
        <v>2.0</v>
      </c>
      <c r="U28" s="63">
        <v>5.0</v>
      </c>
      <c r="V28" s="63">
        <v>3.0</v>
      </c>
      <c r="W28" s="63">
        <v>3.0</v>
      </c>
      <c r="X28" s="63">
        <v>3.0</v>
      </c>
      <c r="Y28" s="54"/>
      <c r="Z28" s="68"/>
      <c r="AA28" s="68"/>
      <c r="AB28" s="68"/>
      <c r="AC28" s="68"/>
      <c r="AD28" s="68"/>
      <c r="AE28" s="68"/>
      <c r="AF28" s="68"/>
      <c r="AG28" s="68"/>
      <c r="AH28" s="68"/>
      <c r="AI28" s="64">
        <f t="shared" si="2"/>
        <v>3.666666667</v>
      </c>
      <c r="AJ28" s="64">
        <f t="shared" si="3"/>
        <v>2</v>
      </c>
      <c r="AK28" s="64">
        <f t="shared" ref="AK28:AQ28" si="28">(H28+R28+AB28)/3</f>
        <v>2</v>
      </c>
      <c r="AL28" s="64">
        <f t="shared" si="28"/>
        <v>1.333333333</v>
      </c>
      <c r="AM28" s="64">
        <f t="shared" si="28"/>
        <v>1.666666667</v>
      </c>
      <c r="AN28" s="64">
        <f t="shared" si="28"/>
        <v>3.333333333</v>
      </c>
      <c r="AO28" s="64">
        <f t="shared" si="28"/>
        <v>2</v>
      </c>
      <c r="AP28" s="64">
        <f t="shared" si="28"/>
        <v>1.666666667</v>
      </c>
      <c r="AQ28" s="64">
        <f t="shared" si="28"/>
        <v>2</v>
      </c>
    </row>
    <row r="29" ht="15.75" customHeight="1">
      <c r="A29" s="58">
        <v>27.0</v>
      </c>
      <c r="B29" s="59">
        <f>CSE4098B_Spring2026_Grade!B31</f>
        <v>231014024</v>
      </c>
      <c r="C29" s="60" t="str">
        <f>CSE4098B_Spring2026_Grade!C31</f>
        <v>Md. Shohanoor Rahman</v>
      </c>
      <c r="D29" s="65"/>
      <c r="E29" s="66"/>
      <c r="F29" s="63">
        <v>5.0</v>
      </c>
      <c r="G29" s="63">
        <v>3.0</v>
      </c>
      <c r="H29" s="63">
        <v>3.0</v>
      </c>
      <c r="I29" s="63">
        <v>3.0</v>
      </c>
      <c r="J29" s="63">
        <v>3.0</v>
      </c>
      <c r="K29" s="63">
        <v>2.0</v>
      </c>
      <c r="L29" s="63">
        <v>2.0</v>
      </c>
      <c r="M29" s="63">
        <v>1.0</v>
      </c>
      <c r="N29" s="63">
        <v>3.0</v>
      </c>
      <c r="O29" s="54"/>
      <c r="P29" s="63">
        <v>5.0</v>
      </c>
      <c r="Q29" s="63">
        <v>3.0</v>
      </c>
      <c r="R29" s="63">
        <v>3.0</v>
      </c>
      <c r="S29" s="63">
        <v>2.0</v>
      </c>
      <c r="T29" s="63">
        <v>3.0</v>
      </c>
      <c r="U29" s="63">
        <v>5.0</v>
      </c>
      <c r="V29" s="63">
        <v>3.0</v>
      </c>
      <c r="W29" s="63">
        <v>2.0</v>
      </c>
      <c r="X29" s="63">
        <v>3.0</v>
      </c>
      <c r="Y29" s="54"/>
      <c r="Z29" s="64"/>
      <c r="AA29" s="64"/>
      <c r="AB29" s="64"/>
      <c r="AC29" s="64"/>
      <c r="AD29" s="64"/>
      <c r="AE29" s="64"/>
      <c r="AF29" s="64"/>
      <c r="AG29" s="64"/>
      <c r="AH29" s="64"/>
      <c r="AI29" s="64">
        <f t="shared" si="2"/>
        <v>3.333333333</v>
      </c>
      <c r="AJ29" s="64">
        <f t="shared" si="3"/>
        <v>2</v>
      </c>
      <c r="AK29" s="64">
        <f t="shared" ref="AK29:AQ29" si="29">(H29+R29+AB29)/3</f>
        <v>2</v>
      </c>
      <c r="AL29" s="64">
        <f t="shared" si="29"/>
        <v>1.666666667</v>
      </c>
      <c r="AM29" s="64">
        <f t="shared" si="29"/>
        <v>2</v>
      </c>
      <c r="AN29" s="64">
        <f t="shared" si="29"/>
        <v>2.333333333</v>
      </c>
      <c r="AO29" s="64">
        <f t="shared" si="29"/>
        <v>1.666666667</v>
      </c>
      <c r="AP29" s="64">
        <f t="shared" si="29"/>
        <v>1</v>
      </c>
      <c r="AQ29" s="64">
        <f t="shared" si="29"/>
        <v>2</v>
      </c>
    </row>
    <row r="30" ht="15.75" customHeight="1">
      <c r="A30" s="58">
        <v>28.0</v>
      </c>
      <c r="B30" s="59">
        <f>CSE4098B_Spring2026_Grade!B32</f>
        <v>231014064</v>
      </c>
      <c r="C30" s="60" t="str">
        <f>CSE4098B_Spring2026_Grade!C32</f>
        <v>Pranto Sikder</v>
      </c>
      <c r="D30" s="65"/>
      <c r="E30" s="66"/>
      <c r="F30" s="63">
        <v>5.0</v>
      </c>
      <c r="G30" s="63">
        <v>3.0</v>
      </c>
      <c r="H30" s="63">
        <v>3.0</v>
      </c>
      <c r="I30" s="63">
        <v>3.0</v>
      </c>
      <c r="J30" s="63">
        <v>3.0</v>
      </c>
      <c r="K30" s="63">
        <v>2.0</v>
      </c>
      <c r="L30" s="63">
        <v>2.0</v>
      </c>
      <c r="M30" s="63">
        <v>1.0</v>
      </c>
      <c r="N30" s="63">
        <v>3.0</v>
      </c>
      <c r="O30" s="54"/>
      <c r="P30" s="63">
        <v>5.0</v>
      </c>
      <c r="Q30" s="63">
        <v>3.0</v>
      </c>
      <c r="R30" s="63">
        <v>3.0</v>
      </c>
      <c r="S30" s="63">
        <v>2.0</v>
      </c>
      <c r="T30" s="63">
        <v>3.0</v>
      </c>
      <c r="U30" s="63">
        <v>5.0</v>
      </c>
      <c r="V30" s="63">
        <v>3.0</v>
      </c>
      <c r="W30" s="63">
        <v>2.0</v>
      </c>
      <c r="X30" s="63">
        <v>3.0</v>
      </c>
      <c r="Y30" s="54"/>
      <c r="Z30" s="64"/>
      <c r="AA30" s="64"/>
      <c r="AB30" s="64"/>
      <c r="AC30" s="64"/>
      <c r="AD30" s="64"/>
      <c r="AE30" s="64"/>
      <c r="AF30" s="64"/>
      <c r="AG30" s="64"/>
      <c r="AH30" s="64"/>
      <c r="AI30" s="64">
        <f t="shared" si="2"/>
        <v>3.333333333</v>
      </c>
      <c r="AJ30" s="64">
        <f t="shared" si="3"/>
        <v>2</v>
      </c>
      <c r="AK30" s="64">
        <f t="shared" ref="AK30:AQ30" si="30">(H30+R30+AB30)/3</f>
        <v>2</v>
      </c>
      <c r="AL30" s="64">
        <f t="shared" si="30"/>
        <v>1.666666667</v>
      </c>
      <c r="AM30" s="64">
        <f t="shared" si="30"/>
        <v>2</v>
      </c>
      <c r="AN30" s="64">
        <f t="shared" si="30"/>
        <v>2.333333333</v>
      </c>
      <c r="AO30" s="64">
        <f t="shared" si="30"/>
        <v>1.666666667</v>
      </c>
      <c r="AP30" s="64">
        <f t="shared" si="30"/>
        <v>1</v>
      </c>
      <c r="AQ30" s="64">
        <f t="shared" si="30"/>
        <v>2</v>
      </c>
    </row>
    <row r="31" ht="15.75" customHeight="1">
      <c r="A31" s="58">
        <v>29.0</v>
      </c>
      <c r="B31" s="59">
        <f>CSE4098B_Spring2026_Grade!B33</f>
        <v>231014050</v>
      </c>
      <c r="C31" s="60" t="str">
        <f>CSE4098B_Spring2026_Grade!C33</f>
        <v>Mahmudul Hasan Zeshan </v>
      </c>
      <c r="D31" s="65"/>
      <c r="E31" s="66"/>
      <c r="F31" s="63">
        <v>5.0</v>
      </c>
      <c r="G31" s="63">
        <v>3.0</v>
      </c>
      <c r="H31" s="63">
        <v>3.0</v>
      </c>
      <c r="I31" s="63">
        <v>3.0</v>
      </c>
      <c r="J31" s="63">
        <v>3.0</v>
      </c>
      <c r="K31" s="63">
        <v>2.0</v>
      </c>
      <c r="L31" s="63">
        <v>2.0</v>
      </c>
      <c r="M31" s="63">
        <v>1.0</v>
      </c>
      <c r="N31" s="63">
        <v>3.0</v>
      </c>
      <c r="O31" s="54"/>
      <c r="P31" s="63">
        <v>5.0</v>
      </c>
      <c r="Q31" s="63">
        <v>3.0</v>
      </c>
      <c r="R31" s="63">
        <v>3.0</v>
      </c>
      <c r="S31" s="63">
        <v>2.0</v>
      </c>
      <c r="T31" s="63">
        <v>3.0</v>
      </c>
      <c r="U31" s="63">
        <v>5.0</v>
      </c>
      <c r="V31" s="63">
        <v>3.0</v>
      </c>
      <c r="W31" s="63">
        <v>2.0</v>
      </c>
      <c r="X31" s="63">
        <v>3.0</v>
      </c>
      <c r="Y31" s="54"/>
      <c r="Z31" s="64"/>
      <c r="AA31" s="64"/>
      <c r="AB31" s="64"/>
      <c r="AC31" s="64"/>
      <c r="AD31" s="64"/>
      <c r="AE31" s="64"/>
      <c r="AF31" s="64"/>
      <c r="AG31" s="64"/>
      <c r="AH31" s="64"/>
      <c r="AI31" s="64">
        <f t="shared" si="2"/>
        <v>3.333333333</v>
      </c>
      <c r="AJ31" s="64">
        <f t="shared" si="3"/>
        <v>2</v>
      </c>
      <c r="AK31" s="64">
        <f t="shared" ref="AK31:AQ31" si="31">(H31+R31+AB31)/3</f>
        <v>2</v>
      </c>
      <c r="AL31" s="64">
        <f t="shared" si="31"/>
        <v>1.666666667</v>
      </c>
      <c r="AM31" s="64">
        <f t="shared" si="31"/>
        <v>2</v>
      </c>
      <c r="AN31" s="64">
        <f t="shared" si="31"/>
        <v>2.333333333</v>
      </c>
      <c r="AO31" s="64">
        <f t="shared" si="31"/>
        <v>1.666666667</v>
      </c>
      <c r="AP31" s="64">
        <f t="shared" si="31"/>
        <v>1</v>
      </c>
      <c r="AQ31" s="64">
        <f t="shared" si="31"/>
        <v>2</v>
      </c>
    </row>
    <row r="32" ht="15.75" customHeight="1">
      <c r="A32" s="58">
        <v>30.0</v>
      </c>
      <c r="B32" s="59">
        <f>CSE4098B_Spring2026_Grade!B34</f>
        <v>231014160</v>
      </c>
      <c r="C32" s="60" t="str">
        <f>CSE4098B_Spring2026_Grade!C34</f>
        <v>Aysha Siddika Methila</v>
      </c>
      <c r="D32" s="65"/>
      <c r="E32" s="66"/>
      <c r="F32" s="63">
        <v>5.0</v>
      </c>
      <c r="G32" s="63">
        <v>3.0</v>
      </c>
      <c r="H32" s="63">
        <v>3.0</v>
      </c>
      <c r="I32" s="63">
        <v>3.0</v>
      </c>
      <c r="J32" s="63">
        <v>3.0</v>
      </c>
      <c r="K32" s="63">
        <v>2.0</v>
      </c>
      <c r="L32" s="63">
        <v>2.0</v>
      </c>
      <c r="M32" s="63">
        <v>1.0</v>
      </c>
      <c r="N32" s="63">
        <v>3.0</v>
      </c>
      <c r="O32" s="54"/>
      <c r="P32" s="63">
        <v>5.0</v>
      </c>
      <c r="Q32" s="63">
        <v>3.0</v>
      </c>
      <c r="R32" s="63">
        <v>3.0</v>
      </c>
      <c r="S32" s="63">
        <v>2.0</v>
      </c>
      <c r="T32" s="63">
        <v>3.0</v>
      </c>
      <c r="U32" s="63">
        <v>5.0</v>
      </c>
      <c r="V32" s="63">
        <v>3.0</v>
      </c>
      <c r="W32" s="63">
        <v>2.0</v>
      </c>
      <c r="X32" s="63">
        <v>3.0</v>
      </c>
      <c r="Y32" s="54"/>
      <c r="Z32" s="64"/>
      <c r="AA32" s="64"/>
      <c r="AB32" s="64"/>
      <c r="AC32" s="64"/>
      <c r="AD32" s="64"/>
      <c r="AE32" s="64"/>
      <c r="AF32" s="64"/>
      <c r="AG32" s="64"/>
      <c r="AH32" s="64"/>
      <c r="AI32" s="64">
        <f t="shared" si="2"/>
        <v>3.333333333</v>
      </c>
      <c r="AJ32" s="64">
        <f t="shared" si="3"/>
        <v>2</v>
      </c>
      <c r="AK32" s="64">
        <f t="shared" ref="AK32:AQ32" si="32">(H32+R32+AB32)/3</f>
        <v>2</v>
      </c>
      <c r="AL32" s="64">
        <f t="shared" si="32"/>
        <v>1.666666667</v>
      </c>
      <c r="AM32" s="64">
        <f t="shared" si="32"/>
        <v>2</v>
      </c>
      <c r="AN32" s="64">
        <f t="shared" si="32"/>
        <v>2.333333333</v>
      </c>
      <c r="AO32" s="64">
        <f t="shared" si="32"/>
        <v>1.666666667</v>
      </c>
      <c r="AP32" s="64">
        <f t="shared" si="32"/>
        <v>1</v>
      </c>
      <c r="AQ32" s="64">
        <f t="shared" si="32"/>
        <v>2</v>
      </c>
    </row>
    <row r="33" ht="15.75" customHeight="1">
      <c r="A33" s="58">
        <v>31.0</v>
      </c>
      <c r="B33" s="59">
        <f>CSE4098B_Spring2026_Grade!B35</f>
        <v>231014116</v>
      </c>
      <c r="C33" s="60" t="str">
        <f>CSE4098B_Spring2026_Grade!C35</f>
        <v>Sukanta Majumder</v>
      </c>
      <c r="D33" s="65"/>
      <c r="E33" s="66"/>
      <c r="F33" s="63">
        <v>5.0</v>
      </c>
      <c r="G33" s="63">
        <v>3.0</v>
      </c>
      <c r="H33" s="63">
        <v>3.0</v>
      </c>
      <c r="I33" s="63">
        <v>3.0</v>
      </c>
      <c r="J33" s="63">
        <v>3.0</v>
      </c>
      <c r="K33" s="63">
        <v>2.0</v>
      </c>
      <c r="L33" s="63">
        <v>2.0</v>
      </c>
      <c r="M33" s="63">
        <v>1.0</v>
      </c>
      <c r="N33" s="63">
        <v>3.0</v>
      </c>
      <c r="O33" s="54"/>
      <c r="P33" s="63">
        <v>5.0</v>
      </c>
      <c r="Q33" s="63">
        <v>3.0</v>
      </c>
      <c r="R33" s="63">
        <v>3.0</v>
      </c>
      <c r="S33" s="63">
        <v>2.0</v>
      </c>
      <c r="T33" s="63">
        <v>3.0</v>
      </c>
      <c r="U33" s="63">
        <v>5.0</v>
      </c>
      <c r="V33" s="63">
        <v>3.0</v>
      </c>
      <c r="W33" s="63">
        <v>2.0</v>
      </c>
      <c r="X33" s="63">
        <v>3.0</v>
      </c>
      <c r="Y33" s="54"/>
      <c r="Z33" s="64"/>
      <c r="AA33" s="64"/>
      <c r="AB33" s="64"/>
      <c r="AC33" s="64"/>
      <c r="AD33" s="64"/>
      <c r="AE33" s="64"/>
      <c r="AF33" s="64"/>
      <c r="AG33" s="64"/>
      <c r="AH33" s="64"/>
      <c r="AI33" s="64">
        <f t="shared" si="2"/>
        <v>3.333333333</v>
      </c>
      <c r="AJ33" s="64">
        <f t="shared" si="3"/>
        <v>2</v>
      </c>
      <c r="AK33" s="64">
        <f t="shared" ref="AK33:AQ33" si="33">(H33+R33+AB33)/3</f>
        <v>2</v>
      </c>
      <c r="AL33" s="64">
        <f t="shared" si="33"/>
        <v>1.666666667</v>
      </c>
      <c r="AM33" s="64">
        <f t="shared" si="33"/>
        <v>2</v>
      </c>
      <c r="AN33" s="64">
        <f t="shared" si="33"/>
        <v>2.333333333</v>
      </c>
      <c r="AO33" s="64">
        <f t="shared" si="33"/>
        <v>1.666666667</v>
      </c>
      <c r="AP33" s="64">
        <f t="shared" si="33"/>
        <v>1</v>
      </c>
      <c r="AQ33" s="64">
        <f t="shared" si="33"/>
        <v>2</v>
      </c>
    </row>
    <row r="34" ht="15.75" customHeight="1">
      <c r="A34" s="58">
        <v>32.0</v>
      </c>
      <c r="B34" s="59">
        <f>CSE4098B_Spring2026_Grade!B36</f>
        <v>212014015</v>
      </c>
      <c r="C34" s="60" t="str">
        <f>CSE4098B_Spring2026_Grade!C36</f>
        <v>Md. Arif Hossain Mir</v>
      </c>
      <c r="D34" s="65"/>
      <c r="E34" s="66"/>
      <c r="F34" s="50"/>
      <c r="G34" s="50"/>
      <c r="H34" s="50"/>
      <c r="I34" s="50"/>
      <c r="J34" s="50"/>
      <c r="K34" s="50"/>
      <c r="L34" s="50"/>
      <c r="M34" s="50"/>
      <c r="N34" s="50"/>
      <c r="O34" s="54"/>
      <c r="P34" s="63">
        <v>6.0</v>
      </c>
      <c r="Q34" s="63">
        <v>2.0</v>
      </c>
      <c r="R34" s="63">
        <v>2.0</v>
      </c>
      <c r="S34" s="63">
        <v>2.0</v>
      </c>
      <c r="T34" s="63">
        <v>3.0</v>
      </c>
      <c r="U34" s="63">
        <v>4.0</v>
      </c>
      <c r="V34" s="63">
        <v>2.0</v>
      </c>
      <c r="W34" s="63">
        <v>3.0</v>
      </c>
      <c r="X34" s="63">
        <v>3.0</v>
      </c>
      <c r="Y34" s="54"/>
      <c r="Z34" s="63">
        <v>6.0</v>
      </c>
      <c r="AA34" s="63">
        <v>2.0</v>
      </c>
      <c r="AB34" s="63">
        <v>2.0</v>
      </c>
      <c r="AC34" s="63">
        <v>3.0</v>
      </c>
      <c r="AD34" s="63">
        <v>2.0</v>
      </c>
      <c r="AE34" s="63">
        <v>6.0</v>
      </c>
      <c r="AF34" s="63">
        <v>2.0</v>
      </c>
      <c r="AG34" s="63">
        <v>2.0</v>
      </c>
      <c r="AH34" s="63">
        <v>3.0</v>
      </c>
      <c r="AI34" s="64">
        <f t="shared" si="2"/>
        <v>4</v>
      </c>
      <c r="AJ34" s="64">
        <f t="shared" si="3"/>
        <v>1.333333333</v>
      </c>
      <c r="AK34" s="64">
        <f t="shared" ref="AK34:AQ34" si="34">(H34+R34+AB34)/3</f>
        <v>1.333333333</v>
      </c>
      <c r="AL34" s="64">
        <f t="shared" si="34"/>
        <v>1.666666667</v>
      </c>
      <c r="AM34" s="64">
        <f t="shared" si="34"/>
        <v>1.666666667</v>
      </c>
      <c r="AN34" s="64">
        <f t="shared" si="34"/>
        <v>3.333333333</v>
      </c>
      <c r="AO34" s="64">
        <f t="shared" si="34"/>
        <v>1.333333333</v>
      </c>
      <c r="AP34" s="64">
        <f t="shared" si="34"/>
        <v>1.666666667</v>
      </c>
      <c r="AQ34" s="64">
        <f t="shared" si="34"/>
        <v>2</v>
      </c>
    </row>
    <row r="35" ht="15.75" customHeight="1">
      <c r="A35" s="58">
        <v>33.0</v>
      </c>
      <c r="B35" s="59">
        <f>CSE4098B_Spring2026_Grade!B37</f>
        <v>223014050</v>
      </c>
      <c r="C35" s="60" t="str">
        <f>CSE4098B_Spring2026_Grade!C37</f>
        <v>Isnat Jahan Ome</v>
      </c>
      <c r="D35" s="65"/>
      <c r="E35" s="66"/>
      <c r="F35" s="50"/>
      <c r="G35" s="50"/>
      <c r="H35" s="50"/>
      <c r="I35" s="50"/>
      <c r="J35" s="50"/>
      <c r="K35" s="50"/>
      <c r="L35" s="50"/>
      <c r="M35" s="50"/>
      <c r="N35" s="50"/>
      <c r="O35" s="54"/>
      <c r="P35" s="63">
        <v>6.0</v>
      </c>
      <c r="Q35" s="63">
        <v>2.0</v>
      </c>
      <c r="R35" s="63">
        <v>2.0</v>
      </c>
      <c r="S35" s="63">
        <v>2.0</v>
      </c>
      <c r="T35" s="63">
        <v>3.0</v>
      </c>
      <c r="U35" s="63">
        <v>4.0</v>
      </c>
      <c r="V35" s="63">
        <v>2.0</v>
      </c>
      <c r="W35" s="63">
        <v>3.0</v>
      </c>
      <c r="X35" s="63">
        <v>3.0</v>
      </c>
      <c r="Y35" s="54"/>
      <c r="Z35" s="63">
        <v>6.0</v>
      </c>
      <c r="AA35" s="63">
        <v>2.0</v>
      </c>
      <c r="AB35" s="63">
        <v>2.0</v>
      </c>
      <c r="AC35" s="63">
        <v>3.0</v>
      </c>
      <c r="AD35" s="63">
        <v>2.0</v>
      </c>
      <c r="AE35" s="63">
        <v>6.0</v>
      </c>
      <c r="AF35" s="63">
        <v>2.0</v>
      </c>
      <c r="AG35" s="63">
        <v>2.0</v>
      </c>
      <c r="AH35" s="63">
        <v>3.0</v>
      </c>
      <c r="AI35" s="64">
        <f t="shared" si="2"/>
        <v>4</v>
      </c>
      <c r="AJ35" s="64">
        <f t="shared" si="3"/>
        <v>1.333333333</v>
      </c>
      <c r="AK35" s="64">
        <f t="shared" ref="AK35:AQ35" si="35">(H35+R35+AB35)/3</f>
        <v>1.333333333</v>
      </c>
      <c r="AL35" s="64">
        <f t="shared" si="35"/>
        <v>1.666666667</v>
      </c>
      <c r="AM35" s="64">
        <f t="shared" si="35"/>
        <v>1.666666667</v>
      </c>
      <c r="AN35" s="64">
        <f t="shared" si="35"/>
        <v>3.333333333</v>
      </c>
      <c r="AO35" s="64">
        <f t="shared" si="35"/>
        <v>1.333333333</v>
      </c>
      <c r="AP35" s="64">
        <f t="shared" si="35"/>
        <v>1.666666667</v>
      </c>
      <c r="AQ35" s="64">
        <f t="shared" si="35"/>
        <v>2</v>
      </c>
    </row>
    <row r="36" ht="15.75" customHeight="1">
      <c r="A36" s="58">
        <v>34.0</v>
      </c>
      <c r="B36" s="59">
        <f>CSE4098B_Spring2026_Grade!B38</f>
        <v>231014075</v>
      </c>
      <c r="C36" s="60" t="str">
        <f>CSE4098B_Spring2026_Grade!C38</f>
        <v>Hasib Mahmud</v>
      </c>
      <c r="D36" s="65"/>
      <c r="E36" s="66"/>
      <c r="F36" s="50"/>
      <c r="G36" s="50"/>
      <c r="H36" s="50"/>
      <c r="I36" s="50"/>
      <c r="J36" s="50"/>
      <c r="K36" s="50"/>
      <c r="L36" s="50"/>
      <c r="M36" s="50"/>
      <c r="N36" s="50"/>
      <c r="O36" s="54"/>
      <c r="P36" s="63">
        <v>6.0</v>
      </c>
      <c r="Q36" s="63">
        <v>2.0</v>
      </c>
      <c r="R36" s="63">
        <v>2.0</v>
      </c>
      <c r="S36" s="63">
        <v>2.0</v>
      </c>
      <c r="T36" s="63">
        <v>3.0</v>
      </c>
      <c r="U36" s="63">
        <v>4.0</v>
      </c>
      <c r="V36" s="63">
        <v>2.0</v>
      </c>
      <c r="W36" s="63">
        <v>3.0</v>
      </c>
      <c r="X36" s="63">
        <v>3.0</v>
      </c>
      <c r="Y36" s="54"/>
      <c r="Z36" s="63">
        <v>6.0</v>
      </c>
      <c r="AA36" s="63">
        <v>2.0</v>
      </c>
      <c r="AB36" s="63">
        <v>2.0</v>
      </c>
      <c r="AC36" s="63">
        <v>3.0</v>
      </c>
      <c r="AD36" s="63">
        <v>2.0</v>
      </c>
      <c r="AE36" s="63">
        <v>6.0</v>
      </c>
      <c r="AF36" s="63">
        <v>2.0</v>
      </c>
      <c r="AG36" s="63">
        <v>2.0</v>
      </c>
      <c r="AH36" s="63">
        <v>3.0</v>
      </c>
      <c r="AI36" s="64">
        <f t="shared" si="2"/>
        <v>4</v>
      </c>
      <c r="AJ36" s="64">
        <f t="shared" si="3"/>
        <v>1.333333333</v>
      </c>
      <c r="AK36" s="64">
        <f t="shared" ref="AK36:AQ36" si="36">(H36+R36+AB36)/3</f>
        <v>1.333333333</v>
      </c>
      <c r="AL36" s="64">
        <f t="shared" si="36"/>
        <v>1.666666667</v>
      </c>
      <c r="AM36" s="64">
        <f t="shared" si="36"/>
        <v>1.666666667</v>
      </c>
      <c r="AN36" s="64">
        <f t="shared" si="36"/>
        <v>3.333333333</v>
      </c>
      <c r="AO36" s="64">
        <f t="shared" si="36"/>
        <v>1.333333333</v>
      </c>
      <c r="AP36" s="64">
        <f t="shared" si="36"/>
        <v>1.666666667</v>
      </c>
      <c r="AQ36" s="64">
        <f t="shared" si="36"/>
        <v>2</v>
      </c>
    </row>
    <row r="37" ht="15.75" customHeight="1">
      <c r="A37" s="58">
        <v>35.0</v>
      </c>
      <c r="B37" s="59">
        <f>CSE4098B_Spring2026_Grade!B39</f>
        <v>221014135</v>
      </c>
      <c r="C37" s="60" t="str">
        <f>CSE4098B_Spring2026_Grade!C39</f>
        <v>Aminul Islam</v>
      </c>
      <c r="D37" s="65"/>
      <c r="E37" s="66"/>
      <c r="F37" s="62">
        <v>4.0</v>
      </c>
      <c r="G37" s="62">
        <v>2.0</v>
      </c>
      <c r="H37" s="62">
        <v>2.0</v>
      </c>
      <c r="I37" s="62">
        <v>2.0</v>
      </c>
      <c r="J37" s="62">
        <v>2.0</v>
      </c>
      <c r="K37" s="62">
        <v>4.0</v>
      </c>
      <c r="L37" s="62">
        <v>2.0</v>
      </c>
      <c r="M37" s="62">
        <v>2.0</v>
      </c>
      <c r="N37" s="62">
        <v>2.0</v>
      </c>
      <c r="O37" s="54"/>
      <c r="P37" s="63">
        <v>4.0</v>
      </c>
      <c r="Q37" s="63">
        <v>2.0</v>
      </c>
      <c r="R37" s="63">
        <v>2.0</v>
      </c>
      <c r="S37" s="63">
        <v>3.0</v>
      </c>
      <c r="T37" s="63">
        <v>3.0</v>
      </c>
      <c r="U37" s="63">
        <v>4.0</v>
      </c>
      <c r="V37" s="63">
        <v>2.0</v>
      </c>
      <c r="W37" s="63">
        <v>3.0</v>
      </c>
      <c r="X37" s="63">
        <v>3.0</v>
      </c>
      <c r="Y37" s="54"/>
      <c r="Z37" s="63">
        <v>6.0</v>
      </c>
      <c r="AA37" s="63">
        <v>2.0</v>
      </c>
      <c r="AB37" s="63">
        <v>2.0</v>
      </c>
      <c r="AC37" s="63">
        <v>2.0</v>
      </c>
      <c r="AD37" s="63">
        <v>3.0</v>
      </c>
      <c r="AE37" s="63">
        <v>5.0</v>
      </c>
      <c r="AF37" s="63">
        <v>3.0</v>
      </c>
      <c r="AG37" s="63">
        <v>3.0</v>
      </c>
      <c r="AH37" s="63">
        <v>3.0</v>
      </c>
      <c r="AI37" s="64">
        <f t="shared" si="2"/>
        <v>4.666666667</v>
      </c>
      <c r="AJ37" s="64">
        <f t="shared" si="3"/>
        <v>2</v>
      </c>
      <c r="AK37" s="64">
        <f t="shared" ref="AK37:AQ37" si="37">(H37+R37+AB37)/3</f>
        <v>2</v>
      </c>
      <c r="AL37" s="64">
        <f t="shared" si="37"/>
        <v>2.333333333</v>
      </c>
      <c r="AM37" s="64">
        <f t="shared" si="37"/>
        <v>2.666666667</v>
      </c>
      <c r="AN37" s="64">
        <f t="shared" si="37"/>
        <v>4.333333333</v>
      </c>
      <c r="AO37" s="64">
        <f t="shared" si="37"/>
        <v>2.333333333</v>
      </c>
      <c r="AP37" s="64">
        <f t="shared" si="37"/>
        <v>2.666666667</v>
      </c>
      <c r="AQ37" s="64">
        <f t="shared" si="37"/>
        <v>2.666666667</v>
      </c>
    </row>
    <row r="38" ht="15.75" customHeight="1">
      <c r="A38" s="58">
        <v>36.0</v>
      </c>
      <c r="B38" s="59">
        <f>CSE4098B_Spring2026_Grade!B40</f>
        <v>221014018</v>
      </c>
      <c r="C38" s="60" t="str">
        <f>CSE4098B_Spring2026_Grade!C40</f>
        <v>Israfill Hossain Mehedi</v>
      </c>
      <c r="D38" s="65"/>
      <c r="E38" s="66"/>
      <c r="F38" s="62">
        <v>4.0</v>
      </c>
      <c r="G38" s="62">
        <v>2.0</v>
      </c>
      <c r="H38" s="62">
        <v>2.0</v>
      </c>
      <c r="I38" s="62">
        <v>2.0</v>
      </c>
      <c r="J38" s="62">
        <v>2.0</v>
      </c>
      <c r="K38" s="62">
        <v>4.0</v>
      </c>
      <c r="L38" s="62">
        <v>2.0</v>
      </c>
      <c r="M38" s="62">
        <v>2.0</v>
      </c>
      <c r="N38" s="62">
        <v>2.0</v>
      </c>
      <c r="O38" s="54"/>
      <c r="P38" s="63">
        <v>4.0</v>
      </c>
      <c r="Q38" s="63">
        <v>2.0</v>
      </c>
      <c r="R38" s="63">
        <v>2.0</v>
      </c>
      <c r="S38" s="63">
        <v>3.0</v>
      </c>
      <c r="T38" s="63">
        <v>3.0</v>
      </c>
      <c r="U38" s="63">
        <v>4.0</v>
      </c>
      <c r="V38" s="63">
        <v>2.0</v>
      </c>
      <c r="W38" s="63">
        <v>3.0</v>
      </c>
      <c r="X38" s="63">
        <v>3.0</v>
      </c>
      <c r="Y38" s="54"/>
      <c r="Z38" s="63">
        <v>6.0</v>
      </c>
      <c r="AA38" s="63">
        <v>2.0</v>
      </c>
      <c r="AB38" s="63">
        <v>2.0</v>
      </c>
      <c r="AC38" s="63">
        <v>2.0</v>
      </c>
      <c r="AD38" s="63">
        <v>3.0</v>
      </c>
      <c r="AE38" s="63">
        <v>5.0</v>
      </c>
      <c r="AF38" s="63">
        <v>3.0</v>
      </c>
      <c r="AG38" s="63">
        <v>3.0</v>
      </c>
      <c r="AH38" s="63">
        <v>3.0</v>
      </c>
      <c r="AI38" s="64">
        <f t="shared" si="2"/>
        <v>4.666666667</v>
      </c>
      <c r="AJ38" s="64">
        <f t="shared" si="3"/>
        <v>2</v>
      </c>
      <c r="AK38" s="64">
        <f t="shared" ref="AK38:AQ38" si="38">(H38+R38+AB38)/3</f>
        <v>2</v>
      </c>
      <c r="AL38" s="64">
        <f t="shared" si="38"/>
        <v>2.333333333</v>
      </c>
      <c r="AM38" s="64">
        <f t="shared" si="38"/>
        <v>2.666666667</v>
      </c>
      <c r="AN38" s="64">
        <f t="shared" si="38"/>
        <v>4.333333333</v>
      </c>
      <c r="AO38" s="64">
        <f t="shared" si="38"/>
        <v>2.333333333</v>
      </c>
      <c r="AP38" s="64">
        <f t="shared" si="38"/>
        <v>2.666666667</v>
      </c>
      <c r="AQ38" s="64">
        <f t="shared" si="38"/>
        <v>2.666666667</v>
      </c>
    </row>
    <row r="39" ht="15.75" customHeight="1">
      <c r="A39" s="58">
        <v>37.0</v>
      </c>
      <c r="B39" s="59">
        <f>CSE4098B_Spring2026_Grade!B41</f>
        <v>221014008</v>
      </c>
      <c r="C39" s="60" t="str">
        <f>CSE4098B_Spring2026_Grade!C41</f>
        <v>Mahmudul Hasan Dipto</v>
      </c>
      <c r="D39" s="65"/>
      <c r="E39" s="66"/>
      <c r="F39" s="62">
        <v>4.0</v>
      </c>
      <c r="G39" s="62">
        <v>2.0</v>
      </c>
      <c r="H39" s="62">
        <v>2.0</v>
      </c>
      <c r="I39" s="62">
        <v>2.0</v>
      </c>
      <c r="J39" s="62">
        <v>2.0</v>
      </c>
      <c r="K39" s="62">
        <v>4.0</v>
      </c>
      <c r="L39" s="62">
        <v>2.0</v>
      </c>
      <c r="M39" s="62">
        <v>2.0</v>
      </c>
      <c r="N39" s="62">
        <v>2.0</v>
      </c>
      <c r="O39" s="54"/>
      <c r="P39" s="63">
        <v>4.0</v>
      </c>
      <c r="Q39" s="63">
        <v>2.0</v>
      </c>
      <c r="R39" s="63">
        <v>2.0</v>
      </c>
      <c r="S39" s="63">
        <v>3.0</v>
      </c>
      <c r="T39" s="63">
        <v>3.0</v>
      </c>
      <c r="U39" s="63">
        <v>4.0</v>
      </c>
      <c r="V39" s="63">
        <v>2.0</v>
      </c>
      <c r="W39" s="63">
        <v>3.0</v>
      </c>
      <c r="X39" s="63">
        <v>3.0</v>
      </c>
      <c r="Y39" s="54"/>
      <c r="Z39" s="63">
        <v>6.0</v>
      </c>
      <c r="AA39" s="63">
        <v>2.0</v>
      </c>
      <c r="AB39" s="63">
        <v>2.0</v>
      </c>
      <c r="AC39" s="63">
        <v>2.0</v>
      </c>
      <c r="AD39" s="63">
        <v>3.0</v>
      </c>
      <c r="AE39" s="63">
        <v>5.0</v>
      </c>
      <c r="AF39" s="63">
        <v>3.0</v>
      </c>
      <c r="AG39" s="63">
        <v>3.0</v>
      </c>
      <c r="AH39" s="63">
        <v>3.0</v>
      </c>
      <c r="AI39" s="64">
        <f t="shared" si="2"/>
        <v>4.666666667</v>
      </c>
      <c r="AJ39" s="64">
        <f t="shared" si="3"/>
        <v>2</v>
      </c>
      <c r="AK39" s="64">
        <f t="shared" ref="AK39:AQ39" si="39">(H39+R39+AB39)/3</f>
        <v>2</v>
      </c>
      <c r="AL39" s="64">
        <f t="shared" si="39"/>
        <v>2.333333333</v>
      </c>
      <c r="AM39" s="64">
        <f t="shared" si="39"/>
        <v>2.666666667</v>
      </c>
      <c r="AN39" s="64">
        <f t="shared" si="39"/>
        <v>4.333333333</v>
      </c>
      <c r="AO39" s="64">
        <f t="shared" si="39"/>
        <v>2.333333333</v>
      </c>
      <c r="AP39" s="64">
        <f t="shared" si="39"/>
        <v>2.666666667</v>
      </c>
      <c r="AQ39" s="64">
        <f t="shared" si="39"/>
        <v>2.666666667</v>
      </c>
    </row>
    <row r="40" ht="15.75" customHeight="1">
      <c r="A40" s="58">
        <v>38.0</v>
      </c>
      <c r="B40" s="59">
        <f>CSE4098B_Spring2026_Grade!B42</f>
        <v>223014086</v>
      </c>
      <c r="C40" s="60" t="str">
        <f>CSE4098B_Spring2026_Grade!C42</f>
        <v>Talat Mahmud Lam</v>
      </c>
      <c r="D40" s="65"/>
      <c r="E40" s="66"/>
      <c r="F40" s="62">
        <v>5.0</v>
      </c>
      <c r="G40" s="62">
        <v>3.0</v>
      </c>
      <c r="H40" s="62">
        <v>2.0</v>
      </c>
      <c r="I40" s="62">
        <v>3.0</v>
      </c>
      <c r="J40" s="62">
        <v>2.0</v>
      </c>
      <c r="K40" s="62">
        <v>2.0</v>
      </c>
      <c r="L40" s="62">
        <v>2.0</v>
      </c>
      <c r="M40" s="62">
        <v>2.0</v>
      </c>
      <c r="N40" s="62">
        <v>2.0</v>
      </c>
      <c r="O40" s="54"/>
      <c r="P40" s="63">
        <v>5.0</v>
      </c>
      <c r="Q40" s="63">
        <v>2.0</v>
      </c>
      <c r="R40" s="63">
        <v>2.0</v>
      </c>
      <c r="S40" s="63">
        <v>2.0</v>
      </c>
      <c r="T40" s="63">
        <v>3.0</v>
      </c>
      <c r="U40" s="63">
        <v>4.0</v>
      </c>
      <c r="V40" s="63">
        <v>3.0</v>
      </c>
      <c r="W40" s="63">
        <v>3.0</v>
      </c>
      <c r="X40" s="63">
        <v>3.0</v>
      </c>
      <c r="Y40" s="54"/>
      <c r="Z40" s="63">
        <v>6.0</v>
      </c>
      <c r="AA40" s="63">
        <v>3.0</v>
      </c>
      <c r="AB40" s="63">
        <v>3.0</v>
      </c>
      <c r="AC40" s="63">
        <v>3.0</v>
      </c>
      <c r="AD40" s="63">
        <v>2.0</v>
      </c>
      <c r="AE40" s="63">
        <v>5.0</v>
      </c>
      <c r="AF40" s="63">
        <v>3.0</v>
      </c>
      <c r="AG40" s="63">
        <v>3.0</v>
      </c>
      <c r="AH40" s="63">
        <v>3.0</v>
      </c>
      <c r="AI40" s="64">
        <f t="shared" si="2"/>
        <v>5.333333333</v>
      </c>
      <c r="AJ40" s="64">
        <f t="shared" si="3"/>
        <v>2.666666667</v>
      </c>
      <c r="AK40" s="64">
        <f t="shared" ref="AK40:AQ40" si="40">(H40+R40+AB40)/3</f>
        <v>2.333333333</v>
      </c>
      <c r="AL40" s="64">
        <f t="shared" si="40"/>
        <v>2.666666667</v>
      </c>
      <c r="AM40" s="64">
        <f t="shared" si="40"/>
        <v>2.333333333</v>
      </c>
      <c r="AN40" s="64">
        <f t="shared" si="40"/>
        <v>3.666666667</v>
      </c>
      <c r="AO40" s="64">
        <f t="shared" si="40"/>
        <v>2.666666667</v>
      </c>
      <c r="AP40" s="64">
        <f t="shared" si="40"/>
        <v>2.666666667</v>
      </c>
      <c r="AQ40" s="64">
        <f t="shared" si="40"/>
        <v>2.666666667</v>
      </c>
    </row>
    <row r="41" ht="15.75" customHeight="1">
      <c r="A41" s="58">
        <v>39.0</v>
      </c>
      <c r="B41" s="59">
        <f>CSE4098B_Spring2026_Grade!B43</f>
        <v>223014033</v>
      </c>
      <c r="C41" s="60" t="str">
        <f>CSE4098B_Spring2026_Grade!C43</f>
        <v>Sadia Nuzat Prova</v>
      </c>
      <c r="D41" s="65"/>
      <c r="E41" s="66"/>
      <c r="F41" s="62">
        <v>5.0</v>
      </c>
      <c r="G41" s="62">
        <v>3.0</v>
      </c>
      <c r="H41" s="62">
        <v>2.0</v>
      </c>
      <c r="I41" s="62">
        <v>3.0</v>
      </c>
      <c r="J41" s="62">
        <v>2.0</v>
      </c>
      <c r="K41" s="62">
        <v>2.0</v>
      </c>
      <c r="L41" s="62">
        <v>2.0</v>
      </c>
      <c r="M41" s="62">
        <v>2.0</v>
      </c>
      <c r="N41" s="62">
        <v>2.0</v>
      </c>
      <c r="O41" s="54"/>
      <c r="P41" s="63">
        <v>5.0</v>
      </c>
      <c r="Q41" s="63">
        <v>2.0</v>
      </c>
      <c r="R41" s="63">
        <v>2.0</v>
      </c>
      <c r="S41" s="63">
        <v>2.0</v>
      </c>
      <c r="T41" s="63">
        <v>3.0</v>
      </c>
      <c r="U41" s="63">
        <v>4.0</v>
      </c>
      <c r="V41" s="63">
        <v>3.0</v>
      </c>
      <c r="W41" s="63">
        <v>3.0</v>
      </c>
      <c r="X41" s="63">
        <v>3.0</v>
      </c>
      <c r="Y41" s="54"/>
      <c r="Z41" s="63">
        <v>6.0</v>
      </c>
      <c r="AA41" s="63">
        <v>3.0</v>
      </c>
      <c r="AB41" s="63">
        <v>3.0</v>
      </c>
      <c r="AC41" s="63">
        <v>3.0</v>
      </c>
      <c r="AD41" s="63">
        <v>2.0</v>
      </c>
      <c r="AE41" s="63">
        <v>5.0</v>
      </c>
      <c r="AF41" s="63">
        <v>3.0</v>
      </c>
      <c r="AG41" s="63">
        <v>3.0</v>
      </c>
      <c r="AH41" s="63">
        <v>3.0</v>
      </c>
      <c r="AI41" s="64">
        <f t="shared" si="2"/>
        <v>5.333333333</v>
      </c>
      <c r="AJ41" s="64">
        <f t="shared" si="3"/>
        <v>2.666666667</v>
      </c>
      <c r="AK41" s="64">
        <f t="shared" ref="AK41:AQ41" si="41">(H41+R41+AB41)/3</f>
        <v>2.333333333</v>
      </c>
      <c r="AL41" s="64">
        <f t="shared" si="41"/>
        <v>2.666666667</v>
      </c>
      <c r="AM41" s="64">
        <f t="shared" si="41"/>
        <v>2.333333333</v>
      </c>
      <c r="AN41" s="64">
        <f t="shared" si="41"/>
        <v>3.666666667</v>
      </c>
      <c r="AO41" s="64">
        <f t="shared" si="41"/>
        <v>2.666666667</v>
      </c>
      <c r="AP41" s="64">
        <f t="shared" si="41"/>
        <v>2.666666667</v>
      </c>
      <c r="AQ41" s="64">
        <f t="shared" si="41"/>
        <v>2.666666667</v>
      </c>
    </row>
    <row r="42" ht="15.75" customHeight="1">
      <c r="A42" s="58">
        <v>40.0</v>
      </c>
      <c r="B42" s="59">
        <f>CSE4098B_Spring2026_Grade!B44</f>
        <v>223014042</v>
      </c>
      <c r="C42" s="60" t="str">
        <f>CSE4098B_Spring2026_Grade!C44</f>
        <v>Shahin Alam</v>
      </c>
      <c r="D42" s="65"/>
      <c r="E42" s="66"/>
      <c r="F42" s="62">
        <v>5.0</v>
      </c>
      <c r="G42" s="62">
        <v>3.0</v>
      </c>
      <c r="H42" s="62">
        <v>2.0</v>
      </c>
      <c r="I42" s="62">
        <v>3.0</v>
      </c>
      <c r="J42" s="62">
        <v>2.0</v>
      </c>
      <c r="K42" s="62">
        <v>2.0</v>
      </c>
      <c r="L42" s="62">
        <v>2.0</v>
      </c>
      <c r="M42" s="62">
        <v>2.0</v>
      </c>
      <c r="N42" s="62">
        <v>2.0</v>
      </c>
      <c r="O42" s="54"/>
      <c r="P42" s="63">
        <v>5.0</v>
      </c>
      <c r="Q42" s="63">
        <v>2.0</v>
      </c>
      <c r="R42" s="63">
        <v>2.0</v>
      </c>
      <c r="S42" s="63">
        <v>2.0</v>
      </c>
      <c r="T42" s="63">
        <v>3.0</v>
      </c>
      <c r="U42" s="63">
        <v>4.0</v>
      </c>
      <c r="V42" s="63">
        <v>3.0</v>
      </c>
      <c r="W42" s="63">
        <v>3.0</v>
      </c>
      <c r="X42" s="63">
        <v>3.0</v>
      </c>
      <c r="Y42" s="54"/>
      <c r="Z42" s="63">
        <v>6.0</v>
      </c>
      <c r="AA42" s="63">
        <v>3.0</v>
      </c>
      <c r="AB42" s="63">
        <v>3.0</v>
      </c>
      <c r="AC42" s="63">
        <v>3.0</v>
      </c>
      <c r="AD42" s="63">
        <v>2.0</v>
      </c>
      <c r="AE42" s="63">
        <v>5.0</v>
      </c>
      <c r="AF42" s="63">
        <v>3.0</v>
      </c>
      <c r="AG42" s="63">
        <v>3.0</v>
      </c>
      <c r="AH42" s="63">
        <v>3.0</v>
      </c>
      <c r="AI42" s="64">
        <f t="shared" si="2"/>
        <v>5.333333333</v>
      </c>
      <c r="AJ42" s="64">
        <f t="shared" si="3"/>
        <v>2.666666667</v>
      </c>
      <c r="AK42" s="64">
        <f t="shared" ref="AK42:AQ42" si="42">(H42+R42+AB42)/3</f>
        <v>2.333333333</v>
      </c>
      <c r="AL42" s="64">
        <f t="shared" si="42"/>
        <v>2.666666667</v>
      </c>
      <c r="AM42" s="64">
        <f t="shared" si="42"/>
        <v>2.333333333</v>
      </c>
      <c r="AN42" s="64">
        <f t="shared" si="42"/>
        <v>3.666666667</v>
      </c>
      <c r="AO42" s="64">
        <f t="shared" si="42"/>
        <v>2.666666667</v>
      </c>
      <c r="AP42" s="64">
        <f t="shared" si="42"/>
        <v>2.666666667</v>
      </c>
      <c r="AQ42" s="64">
        <f t="shared" si="42"/>
        <v>2.666666667</v>
      </c>
    </row>
    <row r="43" ht="15.75" customHeight="1">
      <c r="A43" s="58">
        <v>41.0</v>
      </c>
      <c r="B43" s="59">
        <f>CSE4098B_Spring2026_Grade!B45</f>
        <v>223014040</v>
      </c>
      <c r="C43" s="60" t="str">
        <f>CSE4098B_Spring2026_Grade!C45</f>
        <v>Umme Asma Busra</v>
      </c>
      <c r="D43" s="65"/>
      <c r="E43" s="66"/>
      <c r="F43" s="62">
        <v>5.0</v>
      </c>
      <c r="G43" s="62">
        <v>3.0</v>
      </c>
      <c r="H43" s="62">
        <v>2.0</v>
      </c>
      <c r="I43" s="62">
        <v>3.0</v>
      </c>
      <c r="J43" s="62">
        <v>2.0</v>
      </c>
      <c r="K43" s="62">
        <v>2.0</v>
      </c>
      <c r="L43" s="62">
        <v>2.0</v>
      </c>
      <c r="M43" s="62">
        <v>2.0</v>
      </c>
      <c r="N43" s="62">
        <v>2.0</v>
      </c>
      <c r="O43" s="54"/>
      <c r="P43" s="63">
        <v>5.0</v>
      </c>
      <c r="Q43" s="63">
        <v>2.0</v>
      </c>
      <c r="R43" s="63">
        <v>2.0</v>
      </c>
      <c r="S43" s="63">
        <v>2.0</v>
      </c>
      <c r="T43" s="63">
        <v>3.0</v>
      </c>
      <c r="U43" s="63">
        <v>4.0</v>
      </c>
      <c r="V43" s="63">
        <v>3.0</v>
      </c>
      <c r="W43" s="63">
        <v>3.0</v>
      </c>
      <c r="X43" s="63">
        <v>3.0</v>
      </c>
      <c r="Y43" s="54"/>
      <c r="Z43" s="63">
        <v>6.0</v>
      </c>
      <c r="AA43" s="63">
        <v>3.0</v>
      </c>
      <c r="AB43" s="63">
        <v>3.0</v>
      </c>
      <c r="AC43" s="63">
        <v>3.0</v>
      </c>
      <c r="AD43" s="63">
        <v>2.0</v>
      </c>
      <c r="AE43" s="63">
        <v>5.0</v>
      </c>
      <c r="AF43" s="63">
        <v>3.0</v>
      </c>
      <c r="AG43" s="63">
        <v>3.0</v>
      </c>
      <c r="AH43" s="63">
        <v>3.0</v>
      </c>
      <c r="AI43" s="64">
        <f t="shared" si="2"/>
        <v>5.333333333</v>
      </c>
      <c r="AJ43" s="64">
        <f t="shared" si="3"/>
        <v>2.666666667</v>
      </c>
      <c r="AK43" s="64">
        <f t="shared" ref="AK43:AQ43" si="43">(H43+R43+AB43)/3</f>
        <v>2.333333333</v>
      </c>
      <c r="AL43" s="64">
        <f t="shared" si="43"/>
        <v>2.666666667</v>
      </c>
      <c r="AM43" s="64">
        <f t="shared" si="43"/>
        <v>2.333333333</v>
      </c>
      <c r="AN43" s="64">
        <f t="shared" si="43"/>
        <v>3.666666667</v>
      </c>
      <c r="AO43" s="64">
        <f t="shared" si="43"/>
        <v>2.666666667</v>
      </c>
      <c r="AP43" s="64">
        <f t="shared" si="43"/>
        <v>2.666666667</v>
      </c>
      <c r="AQ43" s="64">
        <f t="shared" si="43"/>
        <v>2.666666667</v>
      </c>
    </row>
    <row r="44" ht="15.75" customHeight="1">
      <c r="A44" s="58">
        <v>42.0</v>
      </c>
      <c r="B44" s="59">
        <f>CSE4098B_Spring2026_Grade!B46</f>
        <v>223014054</v>
      </c>
      <c r="C44" s="60" t="str">
        <f>CSE4098B_Spring2026_Grade!C46</f>
        <v>Golam Munem Zarif</v>
      </c>
      <c r="D44" s="65"/>
      <c r="E44" s="66"/>
      <c r="F44" s="62">
        <v>5.0</v>
      </c>
      <c r="G44" s="62">
        <v>3.0</v>
      </c>
      <c r="H44" s="62">
        <v>2.0</v>
      </c>
      <c r="I44" s="62">
        <v>3.0</v>
      </c>
      <c r="J44" s="62">
        <v>2.0</v>
      </c>
      <c r="K44" s="62">
        <v>2.0</v>
      </c>
      <c r="L44" s="62">
        <v>2.0</v>
      </c>
      <c r="M44" s="62">
        <v>2.0</v>
      </c>
      <c r="N44" s="62">
        <v>2.0</v>
      </c>
      <c r="O44" s="54"/>
      <c r="P44" s="63">
        <v>5.0</v>
      </c>
      <c r="Q44" s="63">
        <v>2.0</v>
      </c>
      <c r="R44" s="63">
        <v>2.0</v>
      </c>
      <c r="S44" s="63">
        <v>2.0</v>
      </c>
      <c r="T44" s="63">
        <v>3.0</v>
      </c>
      <c r="U44" s="63">
        <v>4.0</v>
      </c>
      <c r="V44" s="63">
        <v>3.0</v>
      </c>
      <c r="W44" s="63">
        <v>3.0</v>
      </c>
      <c r="X44" s="63">
        <v>3.0</v>
      </c>
      <c r="Y44" s="54"/>
      <c r="Z44" s="63">
        <v>6.0</v>
      </c>
      <c r="AA44" s="63">
        <v>3.0</v>
      </c>
      <c r="AB44" s="63">
        <v>3.0</v>
      </c>
      <c r="AC44" s="63">
        <v>3.0</v>
      </c>
      <c r="AD44" s="63">
        <v>2.0</v>
      </c>
      <c r="AE44" s="63">
        <v>5.0</v>
      </c>
      <c r="AF44" s="63">
        <v>3.0</v>
      </c>
      <c r="AG44" s="63">
        <v>3.0</v>
      </c>
      <c r="AH44" s="63">
        <v>3.0</v>
      </c>
      <c r="AI44" s="64">
        <f t="shared" si="2"/>
        <v>5.333333333</v>
      </c>
      <c r="AJ44" s="64">
        <f t="shared" si="3"/>
        <v>2.666666667</v>
      </c>
      <c r="AK44" s="64">
        <f t="shared" ref="AK44:AQ44" si="44">(H44+R44+AB44)/3</f>
        <v>2.333333333</v>
      </c>
      <c r="AL44" s="64">
        <f t="shared" si="44"/>
        <v>2.666666667</v>
      </c>
      <c r="AM44" s="64">
        <f t="shared" si="44"/>
        <v>2.333333333</v>
      </c>
      <c r="AN44" s="64">
        <f t="shared" si="44"/>
        <v>3.666666667</v>
      </c>
      <c r="AO44" s="64">
        <f t="shared" si="44"/>
        <v>2.666666667</v>
      </c>
      <c r="AP44" s="64">
        <f t="shared" si="44"/>
        <v>2.666666667</v>
      </c>
      <c r="AQ44" s="64">
        <f t="shared" si="44"/>
        <v>2.666666667</v>
      </c>
    </row>
    <row r="45" ht="15.75" customHeight="1">
      <c r="A45" s="58">
        <v>43.0</v>
      </c>
      <c r="B45" s="59">
        <f>CSE4098B_Spring2026_Grade!B47</f>
        <v>223014176</v>
      </c>
      <c r="C45" s="60" t="str">
        <f>CSE4098B_Spring2026_Grade!C47</f>
        <v>MD.Samiul Alam</v>
      </c>
      <c r="D45" s="65"/>
      <c r="E45" s="66"/>
      <c r="F45" s="62">
        <v>2.0</v>
      </c>
      <c r="G45" s="62">
        <v>1.0</v>
      </c>
      <c r="H45" s="62">
        <v>1.0</v>
      </c>
      <c r="I45" s="62">
        <v>1.0</v>
      </c>
      <c r="J45" s="62">
        <v>1.0</v>
      </c>
      <c r="K45" s="62">
        <v>2.0</v>
      </c>
      <c r="L45" s="62">
        <v>1.0</v>
      </c>
      <c r="M45" s="62">
        <v>1.0</v>
      </c>
      <c r="N45" s="62">
        <v>1.0</v>
      </c>
      <c r="O45" s="54"/>
      <c r="P45" s="63">
        <v>3.0</v>
      </c>
      <c r="Q45" s="63">
        <v>2.0</v>
      </c>
      <c r="R45" s="63">
        <v>2.0</v>
      </c>
      <c r="S45" s="63">
        <v>2.0</v>
      </c>
      <c r="T45" s="63">
        <v>2.0</v>
      </c>
      <c r="U45" s="63">
        <v>4.0</v>
      </c>
      <c r="V45" s="63">
        <v>3.0</v>
      </c>
      <c r="W45" s="63">
        <v>3.0</v>
      </c>
      <c r="X45" s="63">
        <v>2.0</v>
      </c>
      <c r="Y45" s="54"/>
      <c r="Z45" s="63">
        <v>2.0</v>
      </c>
      <c r="AA45" s="63">
        <v>1.0</v>
      </c>
      <c r="AB45" s="63">
        <v>1.0</v>
      </c>
      <c r="AC45" s="63">
        <v>1.0</v>
      </c>
      <c r="AD45" s="63">
        <v>1.0</v>
      </c>
      <c r="AE45" s="63">
        <v>2.0</v>
      </c>
      <c r="AF45" s="63">
        <v>2.0</v>
      </c>
      <c r="AG45" s="63">
        <v>1.0</v>
      </c>
      <c r="AH45" s="63">
        <v>1.0</v>
      </c>
      <c r="AI45" s="64">
        <f t="shared" si="2"/>
        <v>2.333333333</v>
      </c>
      <c r="AJ45" s="64">
        <f t="shared" si="3"/>
        <v>1.333333333</v>
      </c>
      <c r="AK45" s="64">
        <f t="shared" ref="AK45:AQ45" si="45">(H45+R45+AB45)/3</f>
        <v>1.333333333</v>
      </c>
      <c r="AL45" s="64">
        <f t="shared" si="45"/>
        <v>1.333333333</v>
      </c>
      <c r="AM45" s="64">
        <f t="shared" si="45"/>
        <v>1.333333333</v>
      </c>
      <c r="AN45" s="64">
        <f t="shared" si="45"/>
        <v>2.666666667</v>
      </c>
      <c r="AO45" s="64">
        <f t="shared" si="45"/>
        <v>2</v>
      </c>
      <c r="AP45" s="64">
        <f t="shared" si="45"/>
        <v>1.666666667</v>
      </c>
      <c r="AQ45" s="64">
        <f t="shared" si="45"/>
        <v>1.333333333</v>
      </c>
    </row>
    <row r="46" ht="15.75" customHeight="1">
      <c r="A46" s="58">
        <v>44.0</v>
      </c>
      <c r="B46" s="59">
        <f>CSE4098B_Spring2026_Grade!B48</f>
        <v>223014199</v>
      </c>
      <c r="C46" s="60" t="str">
        <f>CSE4098B_Spring2026_Grade!C48</f>
        <v>MD.Hafiz Ullah</v>
      </c>
      <c r="D46" s="65"/>
      <c r="E46" s="66"/>
      <c r="F46" s="62">
        <v>2.0</v>
      </c>
      <c r="G46" s="62">
        <v>1.0</v>
      </c>
      <c r="H46" s="62">
        <v>1.0</v>
      </c>
      <c r="I46" s="62">
        <v>1.0</v>
      </c>
      <c r="J46" s="62">
        <v>1.0</v>
      </c>
      <c r="K46" s="62">
        <v>2.0</v>
      </c>
      <c r="L46" s="62">
        <v>1.0</v>
      </c>
      <c r="M46" s="62">
        <v>1.0</v>
      </c>
      <c r="N46" s="62">
        <v>1.0</v>
      </c>
      <c r="O46" s="54"/>
      <c r="P46" s="63">
        <v>3.0</v>
      </c>
      <c r="Q46" s="63">
        <v>2.0</v>
      </c>
      <c r="R46" s="63">
        <v>2.0</v>
      </c>
      <c r="S46" s="63">
        <v>2.0</v>
      </c>
      <c r="T46" s="63">
        <v>2.0</v>
      </c>
      <c r="U46" s="63">
        <v>4.0</v>
      </c>
      <c r="V46" s="63">
        <v>3.0</v>
      </c>
      <c r="W46" s="63">
        <v>3.0</v>
      </c>
      <c r="X46" s="63">
        <v>2.0</v>
      </c>
      <c r="Y46" s="54"/>
      <c r="Z46" s="64"/>
      <c r="AA46" s="64"/>
      <c r="AB46" s="64"/>
      <c r="AC46" s="64"/>
      <c r="AD46" s="64"/>
      <c r="AE46" s="64"/>
      <c r="AF46" s="64"/>
      <c r="AG46" s="64"/>
      <c r="AH46" s="64"/>
      <c r="AI46" s="64">
        <f t="shared" si="2"/>
        <v>1.666666667</v>
      </c>
      <c r="AJ46" s="64">
        <f t="shared" si="3"/>
        <v>1</v>
      </c>
      <c r="AK46" s="64">
        <f t="shared" ref="AK46:AQ46" si="46">(H46+R46+AB46)/3</f>
        <v>1</v>
      </c>
      <c r="AL46" s="64">
        <f t="shared" si="46"/>
        <v>1</v>
      </c>
      <c r="AM46" s="64">
        <f t="shared" si="46"/>
        <v>1</v>
      </c>
      <c r="AN46" s="64">
        <f t="shared" si="46"/>
        <v>2</v>
      </c>
      <c r="AO46" s="64">
        <f t="shared" si="46"/>
        <v>1.333333333</v>
      </c>
      <c r="AP46" s="64">
        <f t="shared" si="46"/>
        <v>1.333333333</v>
      </c>
      <c r="AQ46" s="64">
        <f t="shared" si="46"/>
        <v>1</v>
      </c>
    </row>
    <row r="47" ht="15.75" customHeight="1">
      <c r="A47" s="58">
        <v>45.0</v>
      </c>
      <c r="B47" s="59">
        <f>CSE4098B_Spring2026_Grade!B49</f>
        <v>223014012</v>
      </c>
      <c r="C47" s="60" t="str">
        <f>CSE4098B_Spring2026_Grade!C49</f>
        <v>MD.Yusuf</v>
      </c>
      <c r="D47" s="65"/>
      <c r="E47" s="66"/>
      <c r="F47" s="62">
        <v>2.0</v>
      </c>
      <c r="G47" s="62">
        <v>1.0</v>
      </c>
      <c r="H47" s="62">
        <v>1.0</v>
      </c>
      <c r="I47" s="62">
        <v>1.0</v>
      </c>
      <c r="J47" s="62">
        <v>1.0</v>
      </c>
      <c r="K47" s="62">
        <v>2.0</v>
      </c>
      <c r="L47" s="62">
        <v>1.0</v>
      </c>
      <c r="M47" s="62">
        <v>1.0</v>
      </c>
      <c r="N47" s="62">
        <v>1.0</v>
      </c>
      <c r="O47" s="54"/>
      <c r="P47" s="63">
        <v>3.0</v>
      </c>
      <c r="Q47" s="63">
        <v>2.0</v>
      </c>
      <c r="R47" s="63">
        <v>2.0</v>
      </c>
      <c r="S47" s="63">
        <v>2.0</v>
      </c>
      <c r="T47" s="63">
        <v>2.0</v>
      </c>
      <c r="U47" s="63">
        <v>4.0</v>
      </c>
      <c r="V47" s="63">
        <v>3.0</v>
      </c>
      <c r="W47" s="63">
        <v>3.0</v>
      </c>
      <c r="X47" s="63">
        <v>2.0</v>
      </c>
      <c r="Y47" s="54"/>
      <c r="Z47" s="64"/>
      <c r="AA47" s="64"/>
      <c r="AB47" s="64"/>
      <c r="AC47" s="64"/>
      <c r="AD47" s="64"/>
      <c r="AE47" s="64"/>
      <c r="AF47" s="64"/>
      <c r="AG47" s="64"/>
      <c r="AH47" s="64"/>
      <c r="AI47" s="64">
        <f t="shared" si="2"/>
        <v>1.666666667</v>
      </c>
      <c r="AJ47" s="64">
        <f t="shared" si="3"/>
        <v>1</v>
      </c>
      <c r="AK47" s="64">
        <f t="shared" ref="AK47:AQ47" si="47">(H47+R47+AB47)/3</f>
        <v>1</v>
      </c>
      <c r="AL47" s="64">
        <f t="shared" si="47"/>
        <v>1</v>
      </c>
      <c r="AM47" s="64">
        <f t="shared" si="47"/>
        <v>1</v>
      </c>
      <c r="AN47" s="64">
        <f t="shared" si="47"/>
        <v>2</v>
      </c>
      <c r="AO47" s="64">
        <f t="shared" si="47"/>
        <v>1.333333333</v>
      </c>
      <c r="AP47" s="64">
        <f t="shared" si="47"/>
        <v>1.333333333</v>
      </c>
      <c r="AQ47" s="64">
        <f t="shared" si="47"/>
        <v>1</v>
      </c>
    </row>
    <row r="48" ht="15.75" customHeight="1">
      <c r="A48" s="58">
        <v>46.0</v>
      </c>
      <c r="B48" s="59">
        <f>CSE4098B_Spring2026_Grade!B50</f>
        <v>211014030</v>
      </c>
      <c r="C48" s="60" t="str">
        <f>CSE4098B_Spring2026_Grade!C50</f>
        <v>Mahfuzur Rahman</v>
      </c>
      <c r="D48" s="65"/>
      <c r="E48" s="66"/>
      <c r="F48" s="62">
        <v>2.0</v>
      </c>
      <c r="G48" s="62">
        <v>1.0</v>
      </c>
      <c r="H48" s="62">
        <v>1.0</v>
      </c>
      <c r="I48" s="62">
        <v>1.0</v>
      </c>
      <c r="J48" s="62">
        <v>1.0</v>
      </c>
      <c r="K48" s="62">
        <v>2.0</v>
      </c>
      <c r="L48" s="62">
        <v>1.0</v>
      </c>
      <c r="M48" s="62">
        <v>1.0</v>
      </c>
      <c r="N48" s="62">
        <v>1.0</v>
      </c>
      <c r="O48" s="54"/>
      <c r="P48" s="63">
        <v>3.0</v>
      </c>
      <c r="Q48" s="63">
        <v>2.0</v>
      </c>
      <c r="R48" s="63">
        <v>2.0</v>
      </c>
      <c r="S48" s="63">
        <v>2.0</v>
      </c>
      <c r="T48" s="63">
        <v>2.0</v>
      </c>
      <c r="U48" s="63">
        <v>4.0</v>
      </c>
      <c r="V48" s="63">
        <v>3.0</v>
      </c>
      <c r="W48" s="63">
        <v>3.0</v>
      </c>
      <c r="X48" s="63">
        <v>2.0</v>
      </c>
      <c r="Y48" s="54"/>
      <c r="Z48" s="64"/>
      <c r="AA48" s="64"/>
      <c r="AB48" s="64"/>
      <c r="AC48" s="64"/>
      <c r="AD48" s="64"/>
      <c r="AE48" s="64"/>
      <c r="AF48" s="64"/>
      <c r="AG48" s="64"/>
      <c r="AH48" s="64"/>
      <c r="AI48" s="64">
        <f t="shared" si="2"/>
        <v>1.666666667</v>
      </c>
      <c r="AJ48" s="64">
        <f t="shared" si="3"/>
        <v>1</v>
      </c>
      <c r="AK48" s="64">
        <f t="shared" ref="AK48:AQ48" si="48">(H48+R48+AB48)/3</f>
        <v>1</v>
      </c>
      <c r="AL48" s="64">
        <f t="shared" si="48"/>
        <v>1</v>
      </c>
      <c r="AM48" s="64">
        <f t="shared" si="48"/>
        <v>1</v>
      </c>
      <c r="AN48" s="64">
        <f t="shared" si="48"/>
        <v>2</v>
      </c>
      <c r="AO48" s="64">
        <f t="shared" si="48"/>
        <v>1.333333333</v>
      </c>
      <c r="AP48" s="64">
        <f t="shared" si="48"/>
        <v>1.333333333</v>
      </c>
      <c r="AQ48" s="64">
        <f t="shared" si="48"/>
        <v>1</v>
      </c>
    </row>
    <row r="49" ht="15.75" customHeight="1">
      <c r="A49" s="58">
        <v>47.0</v>
      </c>
      <c r="B49" s="59">
        <f>CSE4098B_Spring2026_Grade!B51</f>
        <v>223014143</v>
      </c>
      <c r="C49" s="60" t="str">
        <f>CSE4098B_Spring2026_Grade!C51</f>
        <v>Upoma Paul</v>
      </c>
      <c r="D49" s="65"/>
      <c r="E49" s="66"/>
      <c r="F49" s="69">
        <v>4.0</v>
      </c>
      <c r="G49" s="69">
        <v>2.0</v>
      </c>
      <c r="H49" s="69">
        <v>2.0</v>
      </c>
      <c r="I49" s="69">
        <v>3.0</v>
      </c>
      <c r="J49" s="69">
        <v>3.0</v>
      </c>
      <c r="K49" s="69">
        <v>5.0</v>
      </c>
      <c r="L49" s="69">
        <v>3.0</v>
      </c>
      <c r="M49" s="69">
        <v>3.0</v>
      </c>
      <c r="N49" s="69">
        <v>3.0</v>
      </c>
      <c r="O49" s="54"/>
      <c r="P49" s="63">
        <v>4.0</v>
      </c>
      <c r="Q49" s="63">
        <v>1.0</v>
      </c>
      <c r="R49" s="63">
        <v>1.0</v>
      </c>
      <c r="S49" s="63">
        <v>2.0</v>
      </c>
      <c r="T49" s="63">
        <v>1.0</v>
      </c>
      <c r="U49" s="63">
        <v>3.0</v>
      </c>
      <c r="V49" s="63">
        <v>1.0</v>
      </c>
      <c r="W49" s="63">
        <v>1.0</v>
      </c>
      <c r="X49" s="63">
        <v>1.0</v>
      </c>
      <c r="Y49" s="54"/>
      <c r="Z49" s="69">
        <v>4.0</v>
      </c>
      <c r="AA49" s="69">
        <v>2.0</v>
      </c>
      <c r="AB49" s="69">
        <v>2.0</v>
      </c>
      <c r="AC49" s="69">
        <v>3.0</v>
      </c>
      <c r="AD49" s="69">
        <v>3.0</v>
      </c>
      <c r="AE49" s="69">
        <v>5.0</v>
      </c>
      <c r="AF49" s="69">
        <v>3.0</v>
      </c>
      <c r="AG49" s="69">
        <v>3.0</v>
      </c>
      <c r="AH49" s="69">
        <v>3.0</v>
      </c>
      <c r="AI49" s="64">
        <f t="shared" si="2"/>
        <v>4</v>
      </c>
      <c r="AJ49" s="64">
        <f t="shared" si="3"/>
        <v>1.666666667</v>
      </c>
      <c r="AK49" s="64">
        <f t="shared" ref="AK49:AQ49" si="49">(H49+R49+AB49)/3</f>
        <v>1.666666667</v>
      </c>
      <c r="AL49" s="64">
        <f t="shared" si="49"/>
        <v>2.666666667</v>
      </c>
      <c r="AM49" s="64">
        <f t="shared" si="49"/>
        <v>2.333333333</v>
      </c>
      <c r="AN49" s="64">
        <f t="shared" si="49"/>
        <v>4.333333333</v>
      </c>
      <c r="AO49" s="64">
        <f t="shared" si="49"/>
        <v>2.333333333</v>
      </c>
      <c r="AP49" s="64">
        <f t="shared" si="49"/>
        <v>2.333333333</v>
      </c>
      <c r="AQ49" s="64">
        <f t="shared" si="49"/>
        <v>2.333333333</v>
      </c>
    </row>
    <row r="50" ht="15.75" customHeight="1">
      <c r="A50" s="58">
        <v>48.0</v>
      </c>
      <c r="B50" s="59">
        <f>CSE4098B_Spring2026_Grade!B52</f>
        <v>231014167</v>
      </c>
      <c r="C50" s="60" t="str">
        <f>CSE4098B_Spring2026_Grade!C52</f>
        <v>Fariha Ahmed</v>
      </c>
      <c r="D50" s="65"/>
      <c r="E50" s="66"/>
      <c r="F50" s="69">
        <v>4.0</v>
      </c>
      <c r="G50" s="69">
        <v>2.0</v>
      </c>
      <c r="H50" s="69">
        <v>2.0</v>
      </c>
      <c r="I50" s="69">
        <v>3.0</v>
      </c>
      <c r="J50" s="69">
        <v>3.0</v>
      </c>
      <c r="K50" s="69">
        <v>5.0</v>
      </c>
      <c r="L50" s="69">
        <v>3.0</v>
      </c>
      <c r="M50" s="69">
        <v>3.0</v>
      </c>
      <c r="N50" s="69">
        <v>3.0</v>
      </c>
      <c r="O50" s="54"/>
      <c r="P50" s="63">
        <v>4.0</v>
      </c>
      <c r="Q50" s="63">
        <v>1.0</v>
      </c>
      <c r="R50" s="63">
        <v>1.0</v>
      </c>
      <c r="S50" s="63">
        <v>2.0</v>
      </c>
      <c r="T50" s="63">
        <v>1.0</v>
      </c>
      <c r="U50" s="63">
        <v>3.0</v>
      </c>
      <c r="V50" s="63">
        <v>1.0</v>
      </c>
      <c r="W50" s="63">
        <v>1.0</v>
      </c>
      <c r="X50" s="63">
        <v>1.0</v>
      </c>
      <c r="Y50" s="54"/>
      <c r="Z50" s="69">
        <v>4.0</v>
      </c>
      <c r="AA50" s="69">
        <v>2.0</v>
      </c>
      <c r="AB50" s="69">
        <v>2.0</v>
      </c>
      <c r="AC50" s="69">
        <v>3.0</v>
      </c>
      <c r="AD50" s="69">
        <v>3.0</v>
      </c>
      <c r="AE50" s="69">
        <v>5.0</v>
      </c>
      <c r="AF50" s="69">
        <v>3.0</v>
      </c>
      <c r="AG50" s="69">
        <v>3.0</v>
      </c>
      <c r="AH50" s="69">
        <v>3.0</v>
      </c>
      <c r="AI50" s="64">
        <f t="shared" si="2"/>
        <v>4</v>
      </c>
      <c r="AJ50" s="64">
        <f t="shared" si="3"/>
        <v>1.666666667</v>
      </c>
      <c r="AK50" s="64">
        <f t="shared" ref="AK50:AQ50" si="50">(H50+R50+AB50)/3</f>
        <v>1.666666667</v>
      </c>
      <c r="AL50" s="64">
        <f t="shared" si="50"/>
        <v>2.666666667</v>
      </c>
      <c r="AM50" s="64">
        <f t="shared" si="50"/>
        <v>2.333333333</v>
      </c>
      <c r="AN50" s="64">
        <f t="shared" si="50"/>
        <v>4.333333333</v>
      </c>
      <c r="AO50" s="64">
        <f t="shared" si="50"/>
        <v>2.333333333</v>
      </c>
      <c r="AP50" s="64">
        <f t="shared" si="50"/>
        <v>2.333333333</v>
      </c>
      <c r="AQ50" s="64">
        <f t="shared" si="50"/>
        <v>2.333333333</v>
      </c>
    </row>
    <row r="51" ht="15.75" customHeight="1">
      <c r="A51" s="58">
        <v>49.0</v>
      </c>
      <c r="B51" s="59">
        <f>CSE4098B_Spring2026_Grade!B53</f>
        <v>231014073</v>
      </c>
      <c r="C51" s="60" t="str">
        <f>CSE4098B_Spring2026_Grade!C53</f>
        <v>Amifat Juhad Pranto</v>
      </c>
      <c r="D51" s="65"/>
      <c r="E51" s="66"/>
      <c r="F51" s="69">
        <v>4.0</v>
      </c>
      <c r="G51" s="69">
        <v>2.0</v>
      </c>
      <c r="H51" s="69">
        <v>2.0</v>
      </c>
      <c r="I51" s="69">
        <v>3.0</v>
      </c>
      <c r="J51" s="69">
        <v>3.0</v>
      </c>
      <c r="K51" s="69">
        <v>5.0</v>
      </c>
      <c r="L51" s="69">
        <v>3.0</v>
      </c>
      <c r="M51" s="69">
        <v>3.0</v>
      </c>
      <c r="N51" s="69">
        <v>3.0</v>
      </c>
      <c r="O51" s="54"/>
      <c r="P51" s="63">
        <v>4.0</v>
      </c>
      <c r="Q51" s="63">
        <v>1.0</v>
      </c>
      <c r="R51" s="63">
        <v>1.0</v>
      </c>
      <c r="S51" s="63">
        <v>2.0</v>
      </c>
      <c r="T51" s="63">
        <v>1.0</v>
      </c>
      <c r="U51" s="63">
        <v>3.0</v>
      </c>
      <c r="V51" s="63">
        <v>1.0</v>
      </c>
      <c r="W51" s="63">
        <v>1.0</v>
      </c>
      <c r="X51" s="63">
        <v>1.0</v>
      </c>
      <c r="Y51" s="54"/>
      <c r="Z51" s="69">
        <v>4.0</v>
      </c>
      <c r="AA51" s="69">
        <v>2.0</v>
      </c>
      <c r="AB51" s="69">
        <v>2.0</v>
      </c>
      <c r="AC51" s="69">
        <v>3.0</v>
      </c>
      <c r="AD51" s="69">
        <v>3.0</v>
      </c>
      <c r="AE51" s="69">
        <v>5.0</v>
      </c>
      <c r="AF51" s="69">
        <v>3.0</v>
      </c>
      <c r="AG51" s="69">
        <v>3.0</v>
      </c>
      <c r="AH51" s="69">
        <v>3.0</v>
      </c>
      <c r="AI51" s="64">
        <f t="shared" si="2"/>
        <v>4</v>
      </c>
      <c r="AJ51" s="64">
        <f t="shared" si="3"/>
        <v>1.666666667</v>
      </c>
      <c r="AK51" s="64">
        <f t="shared" ref="AK51:AQ51" si="51">(H51+R51+AB51)/3</f>
        <v>1.666666667</v>
      </c>
      <c r="AL51" s="64">
        <f t="shared" si="51"/>
        <v>2.666666667</v>
      </c>
      <c r="AM51" s="64">
        <f t="shared" si="51"/>
        <v>2.333333333</v>
      </c>
      <c r="AN51" s="64">
        <f t="shared" si="51"/>
        <v>4.333333333</v>
      </c>
      <c r="AO51" s="64">
        <f t="shared" si="51"/>
        <v>2.333333333</v>
      </c>
      <c r="AP51" s="64">
        <f t="shared" si="51"/>
        <v>2.333333333</v>
      </c>
      <c r="AQ51" s="64">
        <f t="shared" si="51"/>
        <v>2.333333333</v>
      </c>
    </row>
    <row r="52" ht="15.75" customHeight="1">
      <c r="A52" s="58">
        <v>50.0</v>
      </c>
      <c r="B52" s="59">
        <f>CSE4098B_Spring2026_Grade!B54</f>
        <v>232014058</v>
      </c>
      <c r="C52" s="60" t="str">
        <f>CSE4098B_Spring2026_Grade!C54</f>
        <v>Tasnia Kabir Mahia</v>
      </c>
      <c r="D52" s="65"/>
      <c r="E52" s="66"/>
      <c r="F52" s="69">
        <v>4.0</v>
      </c>
      <c r="G52" s="69">
        <v>2.0</v>
      </c>
      <c r="H52" s="69">
        <v>2.0</v>
      </c>
      <c r="I52" s="69">
        <v>3.0</v>
      </c>
      <c r="J52" s="69">
        <v>3.0</v>
      </c>
      <c r="K52" s="69">
        <v>5.0</v>
      </c>
      <c r="L52" s="69">
        <v>3.0</v>
      </c>
      <c r="M52" s="69">
        <v>3.0</v>
      </c>
      <c r="N52" s="69">
        <v>3.0</v>
      </c>
      <c r="O52" s="54"/>
      <c r="P52" s="63">
        <v>4.0</v>
      </c>
      <c r="Q52" s="63">
        <v>1.0</v>
      </c>
      <c r="R52" s="63">
        <v>1.0</v>
      </c>
      <c r="S52" s="63">
        <v>2.0</v>
      </c>
      <c r="T52" s="63">
        <v>1.0</v>
      </c>
      <c r="U52" s="63">
        <v>3.0</v>
      </c>
      <c r="V52" s="63">
        <v>1.0</v>
      </c>
      <c r="W52" s="63">
        <v>1.0</v>
      </c>
      <c r="X52" s="63">
        <v>1.0</v>
      </c>
      <c r="Y52" s="54"/>
      <c r="Z52" s="69">
        <v>4.0</v>
      </c>
      <c r="AA52" s="69">
        <v>2.0</v>
      </c>
      <c r="AB52" s="69">
        <v>2.0</v>
      </c>
      <c r="AC52" s="69">
        <v>3.0</v>
      </c>
      <c r="AD52" s="69">
        <v>3.0</v>
      </c>
      <c r="AE52" s="69">
        <v>5.0</v>
      </c>
      <c r="AF52" s="69">
        <v>3.0</v>
      </c>
      <c r="AG52" s="69">
        <v>3.0</v>
      </c>
      <c r="AH52" s="69">
        <v>3.0</v>
      </c>
      <c r="AI52" s="64">
        <f t="shared" si="2"/>
        <v>4</v>
      </c>
      <c r="AJ52" s="64">
        <f t="shared" si="3"/>
        <v>1.666666667</v>
      </c>
      <c r="AK52" s="64">
        <f t="shared" ref="AK52:AQ52" si="52">(H52+R52+AB52)/3</f>
        <v>1.666666667</v>
      </c>
      <c r="AL52" s="64">
        <f t="shared" si="52"/>
        <v>2.666666667</v>
      </c>
      <c r="AM52" s="64">
        <f t="shared" si="52"/>
        <v>2.333333333</v>
      </c>
      <c r="AN52" s="64">
        <f t="shared" si="52"/>
        <v>4.333333333</v>
      </c>
      <c r="AO52" s="64">
        <f t="shared" si="52"/>
        <v>2.333333333</v>
      </c>
      <c r="AP52" s="64">
        <f t="shared" si="52"/>
        <v>2.333333333</v>
      </c>
      <c r="AQ52" s="64">
        <f t="shared" si="52"/>
        <v>2.333333333</v>
      </c>
    </row>
    <row r="53" ht="15.75" customHeight="1">
      <c r="A53" s="58">
        <v>51.0</v>
      </c>
      <c r="B53" s="59">
        <f>CSE4098B_Spring2026_Grade!B55</f>
        <v>223014183</v>
      </c>
      <c r="C53" s="60" t="str">
        <f>CSE4098B_Spring2026_Grade!C55</f>
        <v>Mahbuba Akter Chowdhury</v>
      </c>
      <c r="D53" s="65"/>
      <c r="E53" s="66"/>
      <c r="F53" s="62">
        <v>4.0</v>
      </c>
      <c r="G53" s="62">
        <v>3.0</v>
      </c>
      <c r="H53" s="62">
        <v>2.0</v>
      </c>
      <c r="I53" s="62">
        <v>2.0</v>
      </c>
      <c r="J53" s="62">
        <v>2.0</v>
      </c>
      <c r="K53" s="62">
        <v>5.0</v>
      </c>
      <c r="L53" s="62">
        <v>2.0</v>
      </c>
      <c r="M53" s="62">
        <v>2.0</v>
      </c>
      <c r="N53" s="62">
        <v>2.0</v>
      </c>
      <c r="O53" s="54"/>
      <c r="P53" s="69">
        <v>4.0</v>
      </c>
      <c r="Q53" s="69">
        <v>2.0</v>
      </c>
      <c r="R53" s="69">
        <v>2.0</v>
      </c>
      <c r="S53" s="69">
        <v>2.0</v>
      </c>
      <c r="T53" s="69">
        <v>1.0</v>
      </c>
      <c r="U53" s="69">
        <v>2.0</v>
      </c>
      <c r="V53" s="69">
        <v>2.0</v>
      </c>
      <c r="W53" s="69">
        <v>2.0</v>
      </c>
      <c r="X53" s="69">
        <v>2.0</v>
      </c>
      <c r="Y53" s="54"/>
      <c r="Z53" s="69">
        <v>6.0</v>
      </c>
      <c r="AA53" s="69">
        <v>3.0</v>
      </c>
      <c r="AB53" s="69">
        <v>2.0</v>
      </c>
      <c r="AC53" s="69">
        <v>3.0</v>
      </c>
      <c r="AD53" s="69">
        <v>3.0</v>
      </c>
      <c r="AE53" s="69">
        <v>5.0</v>
      </c>
      <c r="AF53" s="69">
        <v>3.0</v>
      </c>
      <c r="AG53" s="69">
        <v>3.0</v>
      </c>
      <c r="AH53" s="69">
        <v>3.0</v>
      </c>
      <c r="AI53" s="64">
        <f t="shared" si="2"/>
        <v>4.666666667</v>
      </c>
      <c r="AJ53" s="64">
        <f t="shared" si="3"/>
        <v>2.666666667</v>
      </c>
      <c r="AK53" s="64">
        <f t="shared" ref="AK53:AQ53" si="53">(H53+R53+AB53)/3</f>
        <v>2</v>
      </c>
      <c r="AL53" s="64">
        <f t="shared" si="53"/>
        <v>2.333333333</v>
      </c>
      <c r="AM53" s="64">
        <f t="shared" si="53"/>
        <v>2</v>
      </c>
      <c r="AN53" s="64">
        <f t="shared" si="53"/>
        <v>4</v>
      </c>
      <c r="AO53" s="64">
        <f t="shared" si="53"/>
        <v>2.333333333</v>
      </c>
      <c r="AP53" s="64">
        <f t="shared" si="53"/>
        <v>2.333333333</v>
      </c>
      <c r="AQ53" s="64">
        <f t="shared" si="53"/>
        <v>2.333333333</v>
      </c>
    </row>
    <row r="54" ht="15.75" customHeight="1">
      <c r="A54" s="58">
        <v>52.0</v>
      </c>
      <c r="B54" s="59">
        <f>CSE4098B_Spring2026_Grade!B56</f>
        <v>223014182</v>
      </c>
      <c r="C54" s="60" t="str">
        <f>CSE4098B_Spring2026_Grade!C56</f>
        <v>Divya Jyoti Bagchi</v>
      </c>
      <c r="D54" s="65"/>
      <c r="E54" s="66"/>
      <c r="F54" s="62">
        <v>4.0</v>
      </c>
      <c r="G54" s="62">
        <v>3.0</v>
      </c>
      <c r="H54" s="62">
        <v>2.0</v>
      </c>
      <c r="I54" s="62">
        <v>2.0</v>
      </c>
      <c r="J54" s="62">
        <v>2.0</v>
      </c>
      <c r="K54" s="62">
        <v>5.0</v>
      </c>
      <c r="L54" s="62">
        <v>2.0</v>
      </c>
      <c r="M54" s="62">
        <v>2.0</v>
      </c>
      <c r="N54" s="62">
        <v>2.0</v>
      </c>
      <c r="O54" s="54"/>
      <c r="P54" s="69">
        <v>4.0</v>
      </c>
      <c r="Q54" s="69">
        <v>2.0</v>
      </c>
      <c r="R54" s="69">
        <v>2.0</v>
      </c>
      <c r="S54" s="69">
        <v>2.0</v>
      </c>
      <c r="T54" s="69">
        <v>1.0</v>
      </c>
      <c r="U54" s="69">
        <v>2.0</v>
      </c>
      <c r="V54" s="69">
        <v>2.0</v>
      </c>
      <c r="W54" s="69">
        <v>2.0</v>
      </c>
      <c r="X54" s="69">
        <v>2.0</v>
      </c>
      <c r="Y54" s="54"/>
      <c r="Z54" s="69">
        <v>6.0</v>
      </c>
      <c r="AA54" s="69">
        <v>3.0</v>
      </c>
      <c r="AB54" s="69">
        <v>2.0</v>
      </c>
      <c r="AC54" s="69">
        <v>3.0</v>
      </c>
      <c r="AD54" s="69">
        <v>3.0</v>
      </c>
      <c r="AE54" s="69">
        <v>5.0</v>
      </c>
      <c r="AF54" s="69">
        <v>3.0</v>
      </c>
      <c r="AG54" s="69">
        <v>3.0</v>
      </c>
      <c r="AH54" s="69">
        <v>3.0</v>
      </c>
      <c r="AI54" s="64">
        <f t="shared" si="2"/>
        <v>4.666666667</v>
      </c>
      <c r="AJ54" s="64">
        <f t="shared" si="3"/>
        <v>2.666666667</v>
      </c>
      <c r="AK54" s="64">
        <f t="shared" ref="AK54:AQ54" si="54">(H54+R54+AB54)/3</f>
        <v>2</v>
      </c>
      <c r="AL54" s="64">
        <f t="shared" si="54"/>
        <v>2.333333333</v>
      </c>
      <c r="AM54" s="64">
        <f t="shared" si="54"/>
        <v>2</v>
      </c>
      <c r="AN54" s="64">
        <f t="shared" si="54"/>
        <v>4</v>
      </c>
      <c r="AO54" s="64">
        <f t="shared" si="54"/>
        <v>2.333333333</v>
      </c>
      <c r="AP54" s="64">
        <f t="shared" si="54"/>
        <v>2.333333333</v>
      </c>
      <c r="AQ54" s="64">
        <f t="shared" si="54"/>
        <v>2.333333333</v>
      </c>
    </row>
    <row r="55" ht="15.75" customHeight="1">
      <c r="A55" s="58">
        <v>53.0</v>
      </c>
      <c r="B55" s="59">
        <f>CSE4098B_Spring2026_Grade!B57</f>
        <v>223014127</v>
      </c>
      <c r="C55" s="60" t="str">
        <f>CSE4098B_Spring2026_Grade!C57</f>
        <v>Naznine Sultana Nitu</v>
      </c>
      <c r="D55" s="65"/>
      <c r="E55" s="66"/>
      <c r="F55" s="62">
        <v>4.0</v>
      </c>
      <c r="G55" s="62">
        <v>3.0</v>
      </c>
      <c r="H55" s="62">
        <v>2.0</v>
      </c>
      <c r="I55" s="62">
        <v>2.0</v>
      </c>
      <c r="J55" s="62">
        <v>2.0</v>
      </c>
      <c r="K55" s="62">
        <v>5.0</v>
      </c>
      <c r="L55" s="62">
        <v>2.0</v>
      </c>
      <c r="M55" s="62">
        <v>2.0</v>
      </c>
      <c r="N55" s="62">
        <v>2.0</v>
      </c>
      <c r="O55" s="54"/>
      <c r="P55" s="69">
        <v>4.0</v>
      </c>
      <c r="Q55" s="69">
        <v>2.0</v>
      </c>
      <c r="R55" s="69">
        <v>2.0</v>
      </c>
      <c r="S55" s="69">
        <v>2.0</v>
      </c>
      <c r="T55" s="69">
        <v>1.0</v>
      </c>
      <c r="U55" s="69">
        <v>2.0</v>
      </c>
      <c r="V55" s="69">
        <v>2.0</v>
      </c>
      <c r="W55" s="69">
        <v>2.0</v>
      </c>
      <c r="X55" s="69">
        <v>2.0</v>
      </c>
      <c r="Y55" s="54"/>
      <c r="Z55" s="69">
        <v>6.0</v>
      </c>
      <c r="AA55" s="69">
        <v>3.0</v>
      </c>
      <c r="AB55" s="69">
        <v>2.0</v>
      </c>
      <c r="AC55" s="69">
        <v>3.0</v>
      </c>
      <c r="AD55" s="69">
        <v>3.0</v>
      </c>
      <c r="AE55" s="69">
        <v>5.0</v>
      </c>
      <c r="AF55" s="69">
        <v>3.0</v>
      </c>
      <c r="AG55" s="69">
        <v>3.0</v>
      </c>
      <c r="AH55" s="69">
        <v>3.0</v>
      </c>
      <c r="AI55" s="64">
        <f t="shared" si="2"/>
        <v>4.666666667</v>
      </c>
      <c r="AJ55" s="64">
        <f t="shared" si="3"/>
        <v>2.666666667</v>
      </c>
      <c r="AK55" s="64">
        <f t="shared" ref="AK55:AQ55" si="55">(H55+R55+AB55)/3</f>
        <v>2</v>
      </c>
      <c r="AL55" s="64">
        <f t="shared" si="55"/>
        <v>2.333333333</v>
      </c>
      <c r="AM55" s="64">
        <f t="shared" si="55"/>
        <v>2</v>
      </c>
      <c r="AN55" s="64">
        <f t="shared" si="55"/>
        <v>4</v>
      </c>
      <c r="AO55" s="64">
        <f t="shared" si="55"/>
        <v>2.333333333</v>
      </c>
      <c r="AP55" s="64">
        <f t="shared" si="55"/>
        <v>2.333333333</v>
      </c>
      <c r="AQ55" s="64">
        <f t="shared" si="55"/>
        <v>2.333333333</v>
      </c>
    </row>
    <row r="56" ht="15.75" customHeight="1">
      <c r="A56" s="58">
        <v>54.0</v>
      </c>
      <c r="B56" s="59">
        <f>CSE4098B_Spring2026_Grade!B58</f>
        <v>223014011</v>
      </c>
      <c r="C56" s="60" t="str">
        <f>CSE4098B_Spring2026_Grade!C58</f>
        <v>Fabiha Fayruj</v>
      </c>
      <c r="D56" s="65"/>
      <c r="E56" s="66"/>
      <c r="F56" s="62">
        <v>4.0</v>
      </c>
      <c r="G56" s="62">
        <v>3.0</v>
      </c>
      <c r="H56" s="62">
        <v>2.0</v>
      </c>
      <c r="I56" s="62">
        <v>2.0</v>
      </c>
      <c r="J56" s="62">
        <v>2.0</v>
      </c>
      <c r="K56" s="62">
        <v>5.0</v>
      </c>
      <c r="L56" s="62">
        <v>2.0</v>
      </c>
      <c r="M56" s="62">
        <v>2.0</v>
      </c>
      <c r="N56" s="62">
        <v>2.0</v>
      </c>
      <c r="O56" s="54"/>
      <c r="P56" s="69">
        <v>4.0</v>
      </c>
      <c r="Q56" s="69">
        <v>2.0</v>
      </c>
      <c r="R56" s="69">
        <v>2.0</v>
      </c>
      <c r="S56" s="69">
        <v>2.0</v>
      </c>
      <c r="T56" s="69">
        <v>1.0</v>
      </c>
      <c r="U56" s="69">
        <v>2.0</v>
      </c>
      <c r="V56" s="69">
        <v>2.0</v>
      </c>
      <c r="W56" s="69">
        <v>2.0</v>
      </c>
      <c r="X56" s="69">
        <v>2.0</v>
      </c>
      <c r="Y56" s="54"/>
      <c r="Z56" s="69">
        <v>6.0</v>
      </c>
      <c r="AA56" s="69">
        <v>3.0</v>
      </c>
      <c r="AB56" s="69">
        <v>2.0</v>
      </c>
      <c r="AC56" s="69">
        <v>3.0</v>
      </c>
      <c r="AD56" s="69">
        <v>3.0</v>
      </c>
      <c r="AE56" s="69">
        <v>5.0</v>
      </c>
      <c r="AF56" s="69">
        <v>3.0</v>
      </c>
      <c r="AG56" s="69">
        <v>3.0</v>
      </c>
      <c r="AH56" s="69">
        <v>3.0</v>
      </c>
      <c r="AI56" s="64">
        <f t="shared" si="2"/>
        <v>4.666666667</v>
      </c>
      <c r="AJ56" s="64">
        <f t="shared" si="3"/>
        <v>2.666666667</v>
      </c>
      <c r="AK56" s="64">
        <f t="shared" ref="AK56:AQ56" si="56">(H56+R56+AB56)/3</f>
        <v>2</v>
      </c>
      <c r="AL56" s="64">
        <f t="shared" si="56"/>
        <v>2.333333333</v>
      </c>
      <c r="AM56" s="64">
        <f t="shared" si="56"/>
        <v>2</v>
      </c>
      <c r="AN56" s="64">
        <f t="shared" si="56"/>
        <v>4</v>
      </c>
      <c r="AO56" s="64">
        <f t="shared" si="56"/>
        <v>2.333333333</v>
      </c>
      <c r="AP56" s="64">
        <f t="shared" si="56"/>
        <v>2.333333333</v>
      </c>
      <c r="AQ56" s="64">
        <f t="shared" si="56"/>
        <v>2.333333333</v>
      </c>
    </row>
    <row r="57" ht="15.75" customHeight="1">
      <c r="A57" s="58">
        <v>55.0</v>
      </c>
      <c r="B57" s="59">
        <f>CSE4098B_Spring2026_Grade!B59</f>
        <v>231014007</v>
      </c>
      <c r="C57" s="60" t="str">
        <f>CSE4098B_Spring2026_Grade!C59</f>
        <v>Abdullah Al Baki</v>
      </c>
      <c r="D57" s="65"/>
      <c r="E57" s="66"/>
      <c r="F57" s="62">
        <v>4.0</v>
      </c>
      <c r="G57" s="62">
        <v>3.0</v>
      </c>
      <c r="H57" s="62">
        <v>2.0</v>
      </c>
      <c r="I57" s="62">
        <v>2.0</v>
      </c>
      <c r="J57" s="62">
        <v>2.0</v>
      </c>
      <c r="K57" s="62">
        <v>5.0</v>
      </c>
      <c r="L57" s="62">
        <v>2.0</v>
      </c>
      <c r="M57" s="62">
        <v>2.0</v>
      </c>
      <c r="N57" s="62">
        <v>2.0</v>
      </c>
      <c r="O57" s="54"/>
      <c r="P57" s="69">
        <v>4.0</v>
      </c>
      <c r="Q57" s="69">
        <v>2.0</v>
      </c>
      <c r="R57" s="69">
        <v>2.0</v>
      </c>
      <c r="S57" s="69">
        <v>2.0</v>
      </c>
      <c r="T57" s="69">
        <v>1.0</v>
      </c>
      <c r="U57" s="69">
        <v>2.0</v>
      </c>
      <c r="V57" s="69">
        <v>2.0</v>
      </c>
      <c r="W57" s="69">
        <v>2.0</v>
      </c>
      <c r="X57" s="69">
        <v>2.0</v>
      </c>
      <c r="Y57" s="54"/>
      <c r="Z57" s="69">
        <v>6.0</v>
      </c>
      <c r="AA57" s="69">
        <v>3.0</v>
      </c>
      <c r="AB57" s="69">
        <v>2.0</v>
      </c>
      <c r="AC57" s="69">
        <v>3.0</v>
      </c>
      <c r="AD57" s="69">
        <v>3.0</v>
      </c>
      <c r="AE57" s="69">
        <v>5.0</v>
      </c>
      <c r="AF57" s="69">
        <v>3.0</v>
      </c>
      <c r="AG57" s="69">
        <v>3.0</v>
      </c>
      <c r="AH57" s="69">
        <v>3.0</v>
      </c>
      <c r="AI57" s="64">
        <f t="shared" si="2"/>
        <v>4.666666667</v>
      </c>
      <c r="AJ57" s="64">
        <f t="shared" si="3"/>
        <v>2.666666667</v>
      </c>
      <c r="AK57" s="64">
        <f t="shared" ref="AK57:AQ57" si="57">(H57+R57+AB57)/3</f>
        <v>2</v>
      </c>
      <c r="AL57" s="64">
        <f t="shared" si="57"/>
        <v>2.333333333</v>
      </c>
      <c r="AM57" s="64">
        <f t="shared" si="57"/>
        <v>2</v>
      </c>
      <c r="AN57" s="64">
        <f t="shared" si="57"/>
        <v>4</v>
      </c>
      <c r="AO57" s="64">
        <f t="shared" si="57"/>
        <v>2.333333333</v>
      </c>
      <c r="AP57" s="64">
        <f t="shared" si="57"/>
        <v>2.333333333</v>
      </c>
      <c r="AQ57" s="64">
        <f t="shared" si="57"/>
        <v>2.333333333</v>
      </c>
    </row>
    <row r="58" ht="15.75" customHeight="1">
      <c r="A58" s="58">
        <v>56.0</v>
      </c>
      <c r="B58" s="59">
        <f>CSE4098B_Spring2026_Grade!B60</f>
        <v>222014072</v>
      </c>
      <c r="C58" s="60" t="str">
        <f>CSE4098B_Spring2026_Grade!C60</f>
        <v>Md. Rahat Pervez</v>
      </c>
      <c r="D58" s="65"/>
      <c r="E58" s="66"/>
      <c r="F58" s="62">
        <v>4.0</v>
      </c>
      <c r="G58" s="62">
        <v>2.0</v>
      </c>
      <c r="H58" s="62">
        <v>2.0</v>
      </c>
      <c r="I58" s="62">
        <v>3.0</v>
      </c>
      <c r="J58" s="62">
        <v>2.0</v>
      </c>
      <c r="K58" s="62">
        <v>4.0</v>
      </c>
      <c r="L58" s="62">
        <v>2.0</v>
      </c>
      <c r="M58" s="62">
        <v>2.0</v>
      </c>
      <c r="N58" s="62">
        <v>3.0</v>
      </c>
      <c r="O58" s="54"/>
      <c r="P58" s="62">
        <v>4.0</v>
      </c>
      <c r="Q58" s="62">
        <v>2.0</v>
      </c>
      <c r="R58" s="62">
        <v>2.0</v>
      </c>
      <c r="S58" s="62">
        <v>3.0</v>
      </c>
      <c r="T58" s="62">
        <v>2.0</v>
      </c>
      <c r="U58" s="62">
        <v>4.0</v>
      </c>
      <c r="V58" s="62">
        <v>2.0</v>
      </c>
      <c r="W58" s="62">
        <v>2.0</v>
      </c>
      <c r="X58" s="62">
        <v>3.0</v>
      </c>
      <c r="Y58" s="54"/>
      <c r="Z58" s="62">
        <v>4.0</v>
      </c>
      <c r="AA58" s="62">
        <v>2.0</v>
      </c>
      <c r="AB58" s="62">
        <v>2.0</v>
      </c>
      <c r="AC58" s="62">
        <v>3.0</v>
      </c>
      <c r="AD58" s="62">
        <v>2.0</v>
      </c>
      <c r="AE58" s="62">
        <v>4.0</v>
      </c>
      <c r="AF58" s="62">
        <v>2.0</v>
      </c>
      <c r="AG58" s="62">
        <v>2.0</v>
      </c>
      <c r="AH58" s="62">
        <v>3.0</v>
      </c>
      <c r="AI58" s="64">
        <f t="shared" si="2"/>
        <v>4</v>
      </c>
      <c r="AJ58" s="64">
        <f t="shared" si="3"/>
        <v>2</v>
      </c>
      <c r="AK58" s="64">
        <f t="shared" ref="AK58:AQ58" si="58">(H58+R58+AB58)/3</f>
        <v>2</v>
      </c>
      <c r="AL58" s="64">
        <f t="shared" si="58"/>
        <v>3</v>
      </c>
      <c r="AM58" s="64">
        <f t="shared" si="58"/>
        <v>2</v>
      </c>
      <c r="AN58" s="64">
        <f t="shared" si="58"/>
        <v>4</v>
      </c>
      <c r="AO58" s="64">
        <f t="shared" si="58"/>
        <v>2</v>
      </c>
      <c r="AP58" s="64">
        <f t="shared" si="58"/>
        <v>2</v>
      </c>
      <c r="AQ58" s="64">
        <f t="shared" si="58"/>
        <v>3</v>
      </c>
    </row>
    <row r="59" ht="15.75" customHeight="1">
      <c r="A59" s="58">
        <v>57.0</v>
      </c>
      <c r="B59" s="59">
        <f>CSE4098B_Spring2026_Grade!B61</f>
        <v>222014097</v>
      </c>
      <c r="C59" s="60" t="str">
        <f>CSE4098B_Spring2026_Grade!C61</f>
        <v>Md. Abul Hashem</v>
      </c>
      <c r="D59" s="65"/>
      <c r="E59" s="66"/>
      <c r="F59" s="62">
        <v>4.0</v>
      </c>
      <c r="G59" s="62">
        <v>2.0</v>
      </c>
      <c r="H59" s="62">
        <v>2.0</v>
      </c>
      <c r="I59" s="62">
        <v>3.0</v>
      </c>
      <c r="J59" s="62">
        <v>2.0</v>
      </c>
      <c r="K59" s="62">
        <v>4.0</v>
      </c>
      <c r="L59" s="62">
        <v>2.0</v>
      </c>
      <c r="M59" s="62">
        <v>2.0</v>
      </c>
      <c r="N59" s="62">
        <v>3.0</v>
      </c>
      <c r="O59" s="54"/>
      <c r="P59" s="62">
        <v>4.0</v>
      </c>
      <c r="Q59" s="62">
        <v>2.0</v>
      </c>
      <c r="R59" s="62">
        <v>2.0</v>
      </c>
      <c r="S59" s="62">
        <v>3.0</v>
      </c>
      <c r="T59" s="62">
        <v>2.0</v>
      </c>
      <c r="U59" s="62">
        <v>4.0</v>
      </c>
      <c r="V59" s="62">
        <v>2.0</v>
      </c>
      <c r="W59" s="62">
        <v>2.0</v>
      </c>
      <c r="X59" s="62">
        <v>3.0</v>
      </c>
      <c r="Y59" s="54"/>
      <c r="Z59" s="62">
        <v>4.0</v>
      </c>
      <c r="AA59" s="62">
        <v>2.0</v>
      </c>
      <c r="AB59" s="62">
        <v>2.0</v>
      </c>
      <c r="AC59" s="62">
        <v>3.0</v>
      </c>
      <c r="AD59" s="62">
        <v>2.0</v>
      </c>
      <c r="AE59" s="62">
        <v>4.0</v>
      </c>
      <c r="AF59" s="62">
        <v>2.0</v>
      </c>
      <c r="AG59" s="62">
        <v>2.0</v>
      </c>
      <c r="AH59" s="62">
        <v>3.0</v>
      </c>
      <c r="AI59" s="64">
        <f t="shared" si="2"/>
        <v>4</v>
      </c>
      <c r="AJ59" s="64">
        <f t="shared" si="3"/>
        <v>2</v>
      </c>
      <c r="AK59" s="64">
        <f t="shared" ref="AK59:AQ59" si="59">(H59+R59+AB59)/3</f>
        <v>2</v>
      </c>
      <c r="AL59" s="64">
        <f t="shared" si="59"/>
        <v>3</v>
      </c>
      <c r="AM59" s="64">
        <f t="shared" si="59"/>
        <v>2</v>
      </c>
      <c r="AN59" s="64">
        <f t="shared" si="59"/>
        <v>4</v>
      </c>
      <c r="AO59" s="64">
        <f t="shared" si="59"/>
        <v>2</v>
      </c>
      <c r="AP59" s="64">
        <f t="shared" si="59"/>
        <v>2</v>
      </c>
      <c r="AQ59" s="64">
        <f t="shared" si="59"/>
        <v>3</v>
      </c>
    </row>
    <row r="60" ht="15.75" customHeight="1">
      <c r="A60" s="58">
        <v>58.0</v>
      </c>
      <c r="B60" s="59">
        <f>CSE4098B_Spring2026_Grade!B62</f>
        <v>222014040</v>
      </c>
      <c r="C60" s="60" t="str">
        <f>CSE4098B_Spring2026_Grade!C62</f>
        <v>Md. Fiaz Anam Tasfi</v>
      </c>
      <c r="D60" s="65"/>
      <c r="E60" s="66"/>
      <c r="F60" s="62">
        <v>4.0</v>
      </c>
      <c r="G60" s="62">
        <v>2.0</v>
      </c>
      <c r="H60" s="62">
        <v>2.0</v>
      </c>
      <c r="I60" s="62">
        <v>3.0</v>
      </c>
      <c r="J60" s="62">
        <v>2.0</v>
      </c>
      <c r="K60" s="62">
        <v>4.0</v>
      </c>
      <c r="L60" s="62">
        <v>2.0</v>
      </c>
      <c r="M60" s="62">
        <v>2.0</v>
      </c>
      <c r="N60" s="62">
        <v>3.0</v>
      </c>
      <c r="O60" s="54"/>
      <c r="P60" s="62">
        <v>4.0</v>
      </c>
      <c r="Q60" s="62">
        <v>2.0</v>
      </c>
      <c r="R60" s="62">
        <v>2.0</v>
      </c>
      <c r="S60" s="62">
        <v>3.0</v>
      </c>
      <c r="T60" s="62">
        <v>2.0</v>
      </c>
      <c r="U60" s="62">
        <v>4.0</v>
      </c>
      <c r="V60" s="62">
        <v>2.0</v>
      </c>
      <c r="W60" s="62">
        <v>2.0</v>
      </c>
      <c r="X60" s="62">
        <v>3.0</v>
      </c>
      <c r="Y60" s="54"/>
      <c r="Z60" s="62">
        <v>4.0</v>
      </c>
      <c r="AA60" s="62">
        <v>2.0</v>
      </c>
      <c r="AB60" s="62">
        <v>2.0</v>
      </c>
      <c r="AC60" s="62">
        <v>3.0</v>
      </c>
      <c r="AD60" s="62">
        <v>2.0</v>
      </c>
      <c r="AE60" s="62">
        <v>4.0</v>
      </c>
      <c r="AF60" s="62">
        <v>2.0</v>
      </c>
      <c r="AG60" s="62">
        <v>2.0</v>
      </c>
      <c r="AH60" s="62">
        <v>3.0</v>
      </c>
      <c r="AI60" s="64">
        <f t="shared" si="2"/>
        <v>4</v>
      </c>
      <c r="AJ60" s="64">
        <f t="shared" si="3"/>
        <v>2</v>
      </c>
      <c r="AK60" s="64">
        <f t="shared" ref="AK60:AQ60" si="60">(H60+R60+AB60)/3</f>
        <v>2</v>
      </c>
      <c r="AL60" s="64">
        <f t="shared" si="60"/>
        <v>3</v>
      </c>
      <c r="AM60" s="64">
        <f t="shared" si="60"/>
        <v>2</v>
      </c>
      <c r="AN60" s="64">
        <f t="shared" si="60"/>
        <v>4</v>
      </c>
      <c r="AO60" s="64">
        <f t="shared" si="60"/>
        <v>2</v>
      </c>
      <c r="AP60" s="64">
        <f t="shared" si="60"/>
        <v>2</v>
      </c>
      <c r="AQ60" s="64">
        <f t="shared" si="60"/>
        <v>3</v>
      </c>
    </row>
    <row r="61" ht="15.75" customHeight="1">
      <c r="A61" s="58">
        <v>59.0</v>
      </c>
      <c r="B61" s="59">
        <f>CSE4098B_Spring2026_Grade!B63</f>
        <v>222014071</v>
      </c>
      <c r="C61" s="60" t="str">
        <f>CSE4098B_Spring2026_Grade!C63</f>
        <v>Kasfia Hossain</v>
      </c>
      <c r="D61" s="65"/>
      <c r="E61" s="66"/>
      <c r="F61" s="62">
        <v>4.0</v>
      </c>
      <c r="G61" s="62">
        <v>2.0</v>
      </c>
      <c r="H61" s="62">
        <v>2.0</v>
      </c>
      <c r="I61" s="62">
        <v>3.0</v>
      </c>
      <c r="J61" s="62">
        <v>2.0</v>
      </c>
      <c r="K61" s="62">
        <v>4.0</v>
      </c>
      <c r="L61" s="62">
        <v>2.0</v>
      </c>
      <c r="M61" s="62">
        <v>2.0</v>
      </c>
      <c r="N61" s="62">
        <v>3.0</v>
      </c>
      <c r="O61" s="54"/>
      <c r="P61" s="62">
        <v>4.0</v>
      </c>
      <c r="Q61" s="62">
        <v>2.0</v>
      </c>
      <c r="R61" s="62">
        <v>2.0</v>
      </c>
      <c r="S61" s="62">
        <v>3.0</v>
      </c>
      <c r="T61" s="62">
        <v>2.0</v>
      </c>
      <c r="U61" s="62">
        <v>4.0</v>
      </c>
      <c r="V61" s="62">
        <v>2.0</v>
      </c>
      <c r="W61" s="62">
        <v>2.0</v>
      </c>
      <c r="X61" s="62">
        <v>3.0</v>
      </c>
      <c r="Y61" s="54"/>
      <c r="Z61" s="62">
        <v>4.0</v>
      </c>
      <c r="AA61" s="62">
        <v>2.0</v>
      </c>
      <c r="AB61" s="62">
        <v>2.0</v>
      </c>
      <c r="AC61" s="62">
        <v>3.0</v>
      </c>
      <c r="AD61" s="62">
        <v>2.0</v>
      </c>
      <c r="AE61" s="62">
        <v>4.0</v>
      </c>
      <c r="AF61" s="62">
        <v>2.0</v>
      </c>
      <c r="AG61" s="62">
        <v>2.0</v>
      </c>
      <c r="AH61" s="62">
        <v>3.0</v>
      </c>
      <c r="AI61" s="64">
        <f t="shared" si="2"/>
        <v>4</v>
      </c>
      <c r="AJ61" s="64">
        <f t="shared" si="3"/>
        <v>2</v>
      </c>
      <c r="AK61" s="64">
        <f t="shared" ref="AK61:AQ61" si="61">(H61+R61+AB61)/3</f>
        <v>2</v>
      </c>
      <c r="AL61" s="64">
        <f t="shared" si="61"/>
        <v>3</v>
      </c>
      <c r="AM61" s="64">
        <f t="shared" si="61"/>
        <v>2</v>
      </c>
      <c r="AN61" s="64">
        <f t="shared" si="61"/>
        <v>4</v>
      </c>
      <c r="AO61" s="64">
        <f t="shared" si="61"/>
        <v>2</v>
      </c>
      <c r="AP61" s="64">
        <f t="shared" si="61"/>
        <v>2</v>
      </c>
      <c r="AQ61" s="64">
        <f t="shared" si="61"/>
        <v>3</v>
      </c>
    </row>
    <row r="62" ht="15.75" customHeight="1">
      <c r="A62" s="58">
        <v>60.0</v>
      </c>
      <c r="B62" s="59">
        <f>CSE4098B_Spring2026_Grade!B64</f>
        <v>223014195</v>
      </c>
      <c r="C62" s="60" t="str">
        <f>CSE4098B_Spring2026_Grade!C64</f>
        <v>Md. Rashedul Islam</v>
      </c>
      <c r="D62" s="65"/>
      <c r="E62" s="66"/>
      <c r="F62" s="62">
        <v>4.0</v>
      </c>
      <c r="G62" s="62">
        <v>2.0</v>
      </c>
      <c r="H62" s="62">
        <v>2.0</v>
      </c>
      <c r="I62" s="62">
        <v>3.0</v>
      </c>
      <c r="J62" s="62">
        <v>2.0</v>
      </c>
      <c r="K62" s="62">
        <v>4.0</v>
      </c>
      <c r="L62" s="62">
        <v>2.0</v>
      </c>
      <c r="M62" s="62">
        <v>2.0</v>
      </c>
      <c r="N62" s="62">
        <v>3.0</v>
      </c>
      <c r="O62" s="54"/>
      <c r="P62" s="62">
        <v>4.0</v>
      </c>
      <c r="Q62" s="62">
        <v>2.0</v>
      </c>
      <c r="R62" s="62">
        <v>2.0</v>
      </c>
      <c r="S62" s="62">
        <v>3.0</v>
      </c>
      <c r="T62" s="62">
        <v>2.0</v>
      </c>
      <c r="U62" s="62">
        <v>4.0</v>
      </c>
      <c r="V62" s="62">
        <v>2.0</v>
      </c>
      <c r="W62" s="62">
        <v>2.0</v>
      </c>
      <c r="X62" s="62">
        <v>3.0</v>
      </c>
      <c r="Y62" s="54"/>
      <c r="Z62" s="62">
        <v>4.0</v>
      </c>
      <c r="AA62" s="62">
        <v>2.0</v>
      </c>
      <c r="AB62" s="62">
        <v>2.0</v>
      </c>
      <c r="AC62" s="62">
        <v>3.0</v>
      </c>
      <c r="AD62" s="62">
        <v>2.0</v>
      </c>
      <c r="AE62" s="62">
        <v>4.0</v>
      </c>
      <c r="AF62" s="62">
        <v>2.0</v>
      </c>
      <c r="AG62" s="62">
        <v>2.0</v>
      </c>
      <c r="AH62" s="62">
        <v>3.0</v>
      </c>
      <c r="AI62" s="64">
        <f t="shared" si="2"/>
        <v>4</v>
      </c>
      <c r="AJ62" s="64">
        <f t="shared" si="3"/>
        <v>2</v>
      </c>
      <c r="AK62" s="64">
        <f t="shared" ref="AK62:AQ62" si="62">(H62+R62+AB62)/3</f>
        <v>2</v>
      </c>
      <c r="AL62" s="64">
        <f t="shared" si="62"/>
        <v>3</v>
      </c>
      <c r="AM62" s="64">
        <f t="shared" si="62"/>
        <v>2</v>
      </c>
      <c r="AN62" s="64">
        <f t="shared" si="62"/>
        <v>4</v>
      </c>
      <c r="AO62" s="64">
        <f t="shared" si="62"/>
        <v>2</v>
      </c>
      <c r="AP62" s="64">
        <f t="shared" si="62"/>
        <v>2</v>
      </c>
      <c r="AQ62" s="64">
        <f t="shared" si="62"/>
        <v>3</v>
      </c>
    </row>
    <row r="63" ht="15.75" customHeight="1">
      <c r="A63" s="58">
        <v>61.0</v>
      </c>
      <c r="B63" s="59">
        <f>CSE4098B_Spring2026_Grade!B65</f>
        <v>223014110</v>
      </c>
      <c r="C63" s="60" t="str">
        <f>CSE4098B_Spring2026_Grade!C65</f>
        <v>Md. Maruf Hossain</v>
      </c>
      <c r="D63" s="65"/>
      <c r="E63" s="66"/>
      <c r="F63" s="70">
        <v>4.0</v>
      </c>
      <c r="G63" s="70">
        <v>2.0</v>
      </c>
      <c r="H63" s="70">
        <v>2.0</v>
      </c>
      <c r="I63" s="70">
        <v>2.0</v>
      </c>
      <c r="J63" s="70">
        <v>2.0</v>
      </c>
      <c r="K63" s="70">
        <v>5.0</v>
      </c>
      <c r="L63" s="70">
        <v>2.0</v>
      </c>
      <c r="M63" s="70">
        <v>3.0</v>
      </c>
      <c r="N63" s="70">
        <v>2.0</v>
      </c>
      <c r="O63" s="54"/>
      <c r="P63" s="69">
        <v>2.0</v>
      </c>
      <c r="Q63" s="69">
        <v>1.0</v>
      </c>
      <c r="R63" s="69">
        <v>2.0</v>
      </c>
      <c r="S63" s="69">
        <v>2.0</v>
      </c>
      <c r="T63" s="69">
        <v>1.0</v>
      </c>
      <c r="U63" s="69">
        <v>2.0</v>
      </c>
      <c r="V63" s="69">
        <v>2.0</v>
      </c>
      <c r="W63" s="69">
        <v>2.0</v>
      </c>
      <c r="X63" s="69">
        <v>1.0</v>
      </c>
      <c r="Y63" s="54"/>
      <c r="Z63" s="69">
        <v>6.0</v>
      </c>
      <c r="AA63" s="69">
        <v>3.0</v>
      </c>
      <c r="AB63" s="69">
        <v>3.0</v>
      </c>
      <c r="AC63" s="69">
        <v>3.0</v>
      </c>
      <c r="AD63" s="69">
        <v>3.0</v>
      </c>
      <c r="AE63" s="69">
        <v>3.0</v>
      </c>
      <c r="AF63" s="69">
        <v>6.0</v>
      </c>
      <c r="AG63" s="69">
        <v>3.0</v>
      </c>
      <c r="AH63" s="69">
        <v>3.0</v>
      </c>
      <c r="AI63" s="64">
        <f t="shared" si="2"/>
        <v>4</v>
      </c>
      <c r="AJ63" s="64">
        <f t="shared" si="3"/>
        <v>2</v>
      </c>
      <c r="AK63" s="64">
        <f t="shared" ref="AK63:AQ63" si="63">(H63+R63+AB63)/3</f>
        <v>2.333333333</v>
      </c>
      <c r="AL63" s="64">
        <f t="shared" si="63"/>
        <v>2.333333333</v>
      </c>
      <c r="AM63" s="64">
        <f t="shared" si="63"/>
        <v>2</v>
      </c>
      <c r="AN63" s="64">
        <f t="shared" si="63"/>
        <v>3.333333333</v>
      </c>
      <c r="AO63" s="64">
        <f t="shared" si="63"/>
        <v>3.333333333</v>
      </c>
      <c r="AP63" s="64">
        <f t="shared" si="63"/>
        <v>2.666666667</v>
      </c>
      <c r="AQ63" s="64">
        <f t="shared" si="63"/>
        <v>2</v>
      </c>
    </row>
    <row r="64" ht="15.75" customHeight="1">
      <c r="A64" s="58">
        <v>62.0</v>
      </c>
      <c r="B64" s="59">
        <f>CSE4098B_Spring2026_Grade!B66</f>
        <v>223014135</v>
      </c>
      <c r="C64" s="60" t="str">
        <f>CSE4098B_Spring2026_Grade!C66</f>
        <v>Rakibul Hasan</v>
      </c>
      <c r="D64" s="65"/>
      <c r="E64" s="66"/>
      <c r="F64" s="70">
        <v>4.0</v>
      </c>
      <c r="G64" s="70">
        <v>2.0</v>
      </c>
      <c r="H64" s="70">
        <v>2.0</v>
      </c>
      <c r="I64" s="70">
        <v>2.0</v>
      </c>
      <c r="J64" s="70">
        <v>2.0</v>
      </c>
      <c r="K64" s="70">
        <v>5.0</v>
      </c>
      <c r="L64" s="70">
        <v>2.0</v>
      </c>
      <c r="M64" s="70">
        <v>3.0</v>
      </c>
      <c r="N64" s="70">
        <v>2.0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69">
        <v>6.0</v>
      </c>
      <c r="AA64" s="69">
        <v>3.0</v>
      </c>
      <c r="AB64" s="69">
        <v>3.0</v>
      </c>
      <c r="AC64" s="69">
        <v>3.0</v>
      </c>
      <c r="AD64" s="69">
        <v>3.0</v>
      </c>
      <c r="AE64" s="69">
        <v>3.0</v>
      </c>
      <c r="AF64" s="69">
        <v>6.0</v>
      </c>
      <c r="AG64" s="69">
        <v>3.0</v>
      </c>
      <c r="AH64" s="69">
        <v>3.0</v>
      </c>
      <c r="AI64" s="64">
        <f t="shared" si="2"/>
        <v>3.333333333</v>
      </c>
      <c r="AJ64" s="64">
        <f t="shared" si="3"/>
        <v>1.666666667</v>
      </c>
      <c r="AK64" s="64">
        <f t="shared" ref="AK64:AQ64" si="64">(H64+R64+AB64)/3</f>
        <v>1.666666667</v>
      </c>
      <c r="AL64" s="64">
        <f t="shared" si="64"/>
        <v>1.666666667</v>
      </c>
      <c r="AM64" s="64">
        <f t="shared" si="64"/>
        <v>1.666666667</v>
      </c>
      <c r="AN64" s="64">
        <f t="shared" si="64"/>
        <v>2.666666667</v>
      </c>
      <c r="AO64" s="64">
        <f t="shared" si="64"/>
        <v>2.666666667</v>
      </c>
      <c r="AP64" s="64">
        <f t="shared" si="64"/>
        <v>2</v>
      </c>
      <c r="AQ64" s="64">
        <f t="shared" si="64"/>
        <v>1.666666667</v>
      </c>
    </row>
    <row r="65" ht="15.75" customHeight="1">
      <c r="A65" s="58">
        <v>63.0</v>
      </c>
      <c r="B65" s="59">
        <f>CSE4098B_Spring2026_Grade!B67</f>
        <v>223014122</v>
      </c>
      <c r="C65" s="60" t="str">
        <f>CSE4098B_Spring2026_Grade!C67</f>
        <v>Rabbi Sadnan Khan</v>
      </c>
      <c r="D65" s="65"/>
      <c r="E65" s="66"/>
      <c r="F65" s="70">
        <v>4.0</v>
      </c>
      <c r="G65" s="70">
        <v>2.0</v>
      </c>
      <c r="H65" s="70">
        <v>2.0</v>
      </c>
      <c r="I65" s="70">
        <v>2.0</v>
      </c>
      <c r="J65" s="70">
        <v>2.0</v>
      </c>
      <c r="K65" s="70">
        <v>5.0</v>
      </c>
      <c r="L65" s="70">
        <v>2.0</v>
      </c>
      <c r="M65" s="70">
        <v>3.0</v>
      </c>
      <c r="N65" s="70">
        <v>2.0</v>
      </c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69">
        <v>6.0</v>
      </c>
      <c r="AA65" s="69">
        <v>3.0</v>
      </c>
      <c r="AB65" s="69">
        <v>3.0</v>
      </c>
      <c r="AC65" s="69">
        <v>3.0</v>
      </c>
      <c r="AD65" s="69">
        <v>3.0</v>
      </c>
      <c r="AE65" s="69">
        <v>3.0</v>
      </c>
      <c r="AF65" s="69">
        <v>6.0</v>
      </c>
      <c r="AG65" s="69">
        <v>3.0</v>
      </c>
      <c r="AH65" s="69">
        <v>3.0</v>
      </c>
      <c r="AI65" s="64">
        <f t="shared" si="2"/>
        <v>3.333333333</v>
      </c>
      <c r="AJ65" s="64">
        <f t="shared" si="3"/>
        <v>1.666666667</v>
      </c>
      <c r="AK65" s="64">
        <f t="shared" ref="AK65:AQ65" si="65">(H65+R65+AB65)/3</f>
        <v>1.666666667</v>
      </c>
      <c r="AL65" s="64">
        <f t="shared" si="65"/>
        <v>1.666666667</v>
      </c>
      <c r="AM65" s="64">
        <f t="shared" si="65"/>
        <v>1.666666667</v>
      </c>
      <c r="AN65" s="64">
        <f t="shared" si="65"/>
        <v>2.666666667</v>
      </c>
      <c r="AO65" s="64">
        <f t="shared" si="65"/>
        <v>2.666666667</v>
      </c>
      <c r="AP65" s="64">
        <f t="shared" si="65"/>
        <v>2</v>
      </c>
      <c r="AQ65" s="64">
        <f t="shared" si="65"/>
        <v>1.666666667</v>
      </c>
    </row>
    <row r="66" ht="15.75" customHeight="1">
      <c r="A66" s="58">
        <v>64.0</v>
      </c>
      <c r="B66" s="59">
        <f>CSE4098B_Spring2026_Grade!B68</f>
        <v>212014030</v>
      </c>
      <c r="C66" s="60" t="str">
        <f>CSE4098B_Spring2026_Grade!C68</f>
        <v>Faria Islam Sara</v>
      </c>
      <c r="D66" s="65"/>
      <c r="E66" s="66"/>
      <c r="F66" s="70">
        <v>4.0</v>
      </c>
      <c r="G66" s="70">
        <v>2.0</v>
      </c>
      <c r="H66" s="70">
        <v>2.0</v>
      </c>
      <c r="I66" s="70">
        <v>2.0</v>
      </c>
      <c r="J66" s="70">
        <v>2.0</v>
      </c>
      <c r="K66" s="70">
        <v>5.0</v>
      </c>
      <c r="L66" s="70">
        <v>2.0</v>
      </c>
      <c r="M66" s="70">
        <v>3.0</v>
      </c>
      <c r="N66" s="70">
        <v>2.0</v>
      </c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69">
        <v>6.0</v>
      </c>
      <c r="AA66" s="69">
        <v>3.0</v>
      </c>
      <c r="AB66" s="69">
        <v>3.0</v>
      </c>
      <c r="AC66" s="69">
        <v>3.0</v>
      </c>
      <c r="AD66" s="69">
        <v>3.0</v>
      </c>
      <c r="AE66" s="69">
        <v>3.0</v>
      </c>
      <c r="AF66" s="69">
        <v>6.0</v>
      </c>
      <c r="AG66" s="69">
        <v>3.0</v>
      </c>
      <c r="AH66" s="69">
        <v>3.0</v>
      </c>
      <c r="AI66" s="64">
        <f t="shared" si="2"/>
        <v>3.333333333</v>
      </c>
      <c r="AJ66" s="64">
        <f t="shared" si="3"/>
        <v>1.666666667</v>
      </c>
      <c r="AK66" s="64">
        <f t="shared" ref="AK66:AQ66" si="66">(H66+R66+AB66)/3</f>
        <v>1.666666667</v>
      </c>
      <c r="AL66" s="64">
        <f t="shared" si="66"/>
        <v>1.666666667</v>
      </c>
      <c r="AM66" s="64">
        <f t="shared" si="66"/>
        <v>1.666666667</v>
      </c>
      <c r="AN66" s="64">
        <f t="shared" si="66"/>
        <v>2.666666667</v>
      </c>
      <c r="AO66" s="64">
        <f t="shared" si="66"/>
        <v>2.666666667</v>
      </c>
      <c r="AP66" s="64">
        <f t="shared" si="66"/>
        <v>2</v>
      </c>
      <c r="AQ66" s="64">
        <f t="shared" si="66"/>
        <v>1.666666667</v>
      </c>
    </row>
    <row r="67" ht="15.75" customHeight="1">
      <c r="A67" s="58">
        <v>65.0</v>
      </c>
      <c r="B67" s="59">
        <f>CSE4098B_Spring2026_Grade!B69</f>
        <v>221014083</v>
      </c>
      <c r="C67" s="60" t="str">
        <f>CSE4098B_Spring2026_Grade!C69</f>
        <v>Salina Akhter</v>
      </c>
      <c r="D67" s="65"/>
      <c r="E67" s="66"/>
      <c r="F67" s="68"/>
      <c r="G67" s="68"/>
      <c r="H67" s="68"/>
      <c r="I67" s="68"/>
      <c r="J67" s="68"/>
      <c r="K67" s="68"/>
      <c r="L67" s="68"/>
      <c r="M67" s="68"/>
      <c r="N67" s="68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64">
        <f t="shared" si="2"/>
        <v>0</v>
      </c>
      <c r="AJ67" s="64">
        <f t="shared" si="3"/>
        <v>0</v>
      </c>
      <c r="AK67" s="64">
        <f t="shared" ref="AK67:AQ67" si="67">(H67+R67+AB67)/3</f>
        <v>0</v>
      </c>
      <c r="AL67" s="64">
        <f t="shared" si="67"/>
        <v>0</v>
      </c>
      <c r="AM67" s="64">
        <f t="shared" si="67"/>
        <v>0</v>
      </c>
      <c r="AN67" s="64">
        <f t="shared" si="67"/>
        <v>0</v>
      </c>
      <c r="AO67" s="64">
        <f t="shared" si="67"/>
        <v>0</v>
      </c>
      <c r="AP67" s="64">
        <f t="shared" si="67"/>
        <v>0</v>
      </c>
      <c r="AQ67" s="64">
        <f t="shared" si="67"/>
        <v>0</v>
      </c>
    </row>
    <row r="68" ht="15.75" customHeight="1">
      <c r="A68" s="58">
        <v>66.0</v>
      </c>
      <c r="B68" s="59">
        <f>CSE4098B_Spring2026_Grade!B70</f>
        <v>221014104</v>
      </c>
      <c r="C68" s="60" t="str">
        <f>CSE4098B_Spring2026_Grade!C70</f>
        <v>Rownak Salsabil</v>
      </c>
      <c r="D68" s="65"/>
      <c r="E68" s="66"/>
      <c r="F68" s="68"/>
      <c r="G68" s="68"/>
      <c r="H68" s="68"/>
      <c r="I68" s="68"/>
      <c r="J68" s="68"/>
      <c r="K68" s="68"/>
      <c r="L68" s="68"/>
      <c r="M68" s="68"/>
      <c r="N68" s="68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64">
        <f t="shared" si="2"/>
        <v>0</v>
      </c>
      <c r="AJ68" s="64">
        <f t="shared" si="3"/>
        <v>0</v>
      </c>
      <c r="AK68" s="64">
        <f t="shared" ref="AK68:AQ68" si="68">(H68+R68+AB68)/3</f>
        <v>0</v>
      </c>
      <c r="AL68" s="64">
        <f t="shared" si="68"/>
        <v>0</v>
      </c>
      <c r="AM68" s="64">
        <f t="shared" si="68"/>
        <v>0</v>
      </c>
      <c r="AN68" s="64">
        <f t="shared" si="68"/>
        <v>0</v>
      </c>
      <c r="AO68" s="64">
        <f t="shared" si="68"/>
        <v>0</v>
      </c>
      <c r="AP68" s="64">
        <f t="shared" si="68"/>
        <v>0</v>
      </c>
      <c r="AQ68" s="64">
        <f t="shared" si="68"/>
        <v>0</v>
      </c>
    </row>
    <row r="69" ht="15.75" customHeight="1">
      <c r="A69" s="58">
        <v>67.0</v>
      </c>
      <c r="B69" s="59">
        <f>CSE4098B_Spring2026_Grade!B71</f>
        <v>221014077</v>
      </c>
      <c r="C69" s="60" t="str">
        <f>CSE4098B_Spring2026_Grade!C71</f>
        <v>Adnan Chowdhury</v>
      </c>
      <c r="D69" s="65"/>
      <c r="E69" s="66"/>
      <c r="F69" s="68"/>
      <c r="G69" s="68"/>
      <c r="H69" s="68"/>
      <c r="I69" s="68"/>
      <c r="J69" s="68"/>
      <c r="K69" s="68"/>
      <c r="L69" s="68"/>
      <c r="M69" s="68"/>
      <c r="N69" s="68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64">
        <f t="shared" si="2"/>
        <v>0</v>
      </c>
      <c r="AJ69" s="64">
        <f t="shared" si="3"/>
        <v>0</v>
      </c>
      <c r="AK69" s="64">
        <f t="shared" ref="AK69:AQ69" si="69">(H69+R69+AB69)/3</f>
        <v>0</v>
      </c>
      <c r="AL69" s="64">
        <f t="shared" si="69"/>
        <v>0</v>
      </c>
      <c r="AM69" s="64">
        <f t="shared" si="69"/>
        <v>0</v>
      </c>
      <c r="AN69" s="64">
        <f t="shared" si="69"/>
        <v>0</v>
      </c>
      <c r="AO69" s="64">
        <f t="shared" si="69"/>
        <v>0</v>
      </c>
      <c r="AP69" s="64">
        <f t="shared" si="69"/>
        <v>0</v>
      </c>
      <c r="AQ69" s="64">
        <f t="shared" si="69"/>
        <v>0</v>
      </c>
    </row>
    <row r="70" ht="15.75" customHeight="1">
      <c r="A70" s="58">
        <v>68.0</v>
      </c>
      <c r="B70" s="59">
        <f>CSE4098B_Spring2026_Grade!B72</f>
        <v>221014085</v>
      </c>
      <c r="C70" s="60" t="str">
        <f>CSE4098B_Spring2026_Grade!C72</f>
        <v>Sheikh Nusaibah Noor</v>
      </c>
      <c r="D70" s="65"/>
      <c r="E70" s="66"/>
      <c r="F70" s="50"/>
      <c r="G70" s="50"/>
      <c r="H70" s="50"/>
      <c r="I70" s="50"/>
      <c r="J70" s="50"/>
      <c r="K70" s="50"/>
      <c r="L70" s="50"/>
      <c r="M70" s="50"/>
      <c r="N70" s="50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64">
        <f t="shared" si="2"/>
        <v>0</v>
      </c>
      <c r="AJ70" s="64">
        <f t="shared" si="3"/>
        <v>0</v>
      </c>
      <c r="AK70" s="64">
        <f t="shared" ref="AK70:AQ70" si="70">(H70+R70+AB70)/3</f>
        <v>0</v>
      </c>
      <c r="AL70" s="64">
        <f t="shared" si="70"/>
        <v>0</v>
      </c>
      <c r="AM70" s="64">
        <f t="shared" si="70"/>
        <v>0</v>
      </c>
      <c r="AN70" s="64">
        <f t="shared" si="70"/>
        <v>0</v>
      </c>
      <c r="AO70" s="64">
        <f t="shared" si="70"/>
        <v>0</v>
      </c>
      <c r="AP70" s="64">
        <f t="shared" si="70"/>
        <v>0</v>
      </c>
      <c r="AQ70" s="64">
        <f t="shared" si="70"/>
        <v>0</v>
      </c>
    </row>
    <row r="71" ht="15.75" customHeight="1">
      <c r="A71" s="54"/>
      <c r="B71" s="54"/>
      <c r="C71" s="54"/>
      <c r="D71" s="54"/>
      <c r="E71" s="71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64">
        <f t="shared" si="2"/>
        <v>0</v>
      </c>
      <c r="AJ71" s="64">
        <f t="shared" si="3"/>
        <v>0</v>
      </c>
      <c r="AK71" s="64">
        <f t="shared" ref="AK71:AQ71" si="71">(H71+R71+AB71)/3</f>
        <v>0</v>
      </c>
      <c r="AL71" s="64">
        <f t="shared" si="71"/>
        <v>0</v>
      </c>
      <c r="AM71" s="64">
        <f t="shared" si="71"/>
        <v>0</v>
      </c>
      <c r="AN71" s="64">
        <f t="shared" si="71"/>
        <v>0</v>
      </c>
      <c r="AO71" s="64">
        <f t="shared" si="71"/>
        <v>0</v>
      </c>
      <c r="AP71" s="64">
        <f t="shared" si="71"/>
        <v>0</v>
      </c>
      <c r="AQ71" s="64">
        <f t="shared" si="71"/>
        <v>0</v>
      </c>
    </row>
    <row r="72" ht="15.75" customHeight="1">
      <c r="A72" s="54"/>
      <c r="B72" s="54"/>
      <c r="C72" s="54"/>
      <c r="D72" s="54"/>
      <c r="E72" s="71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64">
        <f t="shared" si="2"/>
        <v>0</v>
      </c>
      <c r="AJ72" s="64">
        <f t="shared" si="3"/>
        <v>0</v>
      </c>
      <c r="AK72" s="64">
        <f t="shared" ref="AK72:AQ72" si="72">(H72+R72+AB72)/3</f>
        <v>0</v>
      </c>
      <c r="AL72" s="64">
        <f t="shared" si="72"/>
        <v>0</v>
      </c>
      <c r="AM72" s="64">
        <f t="shared" si="72"/>
        <v>0</v>
      </c>
      <c r="AN72" s="64">
        <f t="shared" si="72"/>
        <v>0</v>
      </c>
      <c r="AO72" s="64">
        <f t="shared" si="72"/>
        <v>0</v>
      </c>
      <c r="AP72" s="64">
        <f t="shared" si="72"/>
        <v>0</v>
      </c>
      <c r="AQ72" s="64">
        <f t="shared" si="72"/>
        <v>0</v>
      </c>
    </row>
    <row r="73" ht="15.75" customHeight="1">
      <c r="A73" s="54"/>
      <c r="B73" s="54"/>
      <c r="C73" s="54"/>
      <c r="D73" s="54"/>
      <c r="E73" s="71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</row>
    <row r="74" ht="15.75" customHeight="1">
      <c r="A74" s="54"/>
      <c r="B74" s="54"/>
      <c r="C74" s="54"/>
      <c r="D74" s="54"/>
      <c r="E74" s="71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</row>
    <row r="75" ht="15.75" customHeight="1">
      <c r="A75" s="54"/>
      <c r="B75" s="54"/>
      <c r="C75" s="54"/>
      <c r="D75" s="54"/>
      <c r="E75" s="71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</row>
    <row r="76" ht="15.75" customHeight="1">
      <c r="A76" s="54"/>
      <c r="B76" s="54"/>
      <c r="C76" s="54"/>
      <c r="D76" s="54"/>
      <c r="E76" s="71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</row>
    <row r="77" ht="15.75" customHeight="1">
      <c r="A77" s="54"/>
      <c r="B77" s="54"/>
      <c r="C77" s="54"/>
      <c r="D77" s="54"/>
      <c r="E77" s="71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</row>
    <row r="78" ht="15.75" customHeight="1">
      <c r="A78" s="54"/>
      <c r="B78" s="54"/>
      <c r="C78" s="54"/>
      <c r="D78" s="54"/>
      <c r="E78" s="71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</row>
    <row r="79" ht="15.75" customHeight="1">
      <c r="A79" s="54"/>
      <c r="B79" s="54"/>
      <c r="C79" s="54"/>
      <c r="D79" s="54"/>
      <c r="E79" s="71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</row>
    <row r="80" ht="15.75" customHeight="1">
      <c r="A80" s="54"/>
      <c r="B80" s="54"/>
      <c r="C80" s="54"/>
      <c r="D80" s="54"/>
      <c r="E80" s="71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</row>
    <row r="81" ht="15.75" customHeight="1">
      <c r="A81" s="54"/>
      <c r="B81" s="54"/>
      <c r="C81" s="54"/>
      <c r="D81" s="54"/>
      <c r="E81" s="71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</row>
    <row r="82" ht="15.75" customHeight="1">
      <c r="A82" s="54"/>
      <c r="B82" s="54"/>
      <c r="C82" s="54"/>
      <c r="D82" s="54"/>
      <c r="E82" s="71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</row>
    <row r="83" ht="15.75" customHeight="1">
      <c r="A83" s="54"/>
      <c r="B83" s="54"/>
      <c r="C83" s="54"/>
      <c r="D83" s="54"/>
      <c r="E83" s="71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</row>
    <row r="84" ht="15.75" customHeight="1">
      <c r="A84" s="54"/>
      <c r="B84" s="54"/>
      <c r="C84" s="54"/>
      <c r="D84" s="54"/>
      <c r="E84" s="71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</row>
    <row r="85" ht="15.75" customHeight="1">
      <c r="A85" s="54"/>
      <c r="B85" s="54"/>
      <c r="C85" s="54"/>
      <c r="D85" s="54"/>
      <c r="E85" s="71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</row>
    <row r="86" ht="15.75" customHeight="1">
      <c r="A86" s="54"/>
      <c r="B86" s="54"/>
      <c r="C86" s="54"/>
      <c r="D86" s="54"/>
      <c r="E86" s="71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</row>
    <row r="87" ht="15.75" customHeight="1">
      <c r="A87" s="54"/>
      <c r="B87" s="54"/>
      <c r="C87" s="54"/>
      <c r="D87" s="54"/>
      <c r="E87" s="71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</row>
    <row r="88" ht="15.75" customHeight="1">
      <c r="A88" s="54"/>
      <c r="B88" s="54"/>
      <c r="C88" s="54"/>
      <c r="D88" s="54"/>
      <c r="E88" s="71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</row>
    <row r="89" ht="15.75" customHeight="1">
      <c r="A89" s="54"/>
      <c r="B89" s="54"/>
      <c r="C89" s="54"/>
      <c r="D89" s="54"/>
      <c r="E89" s="71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</row>
    <row r="90" ht="15.75" customHeight="1">
      <c r="A90" s="54"/>
      <c r="B90" s="54"/>
      <c r="C90" s="54"/>
      <c r="D90" s="54"/>
      <c r="E90" s="71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</row>
    <row r="91" ht="15.75" customHeight="1">
      <c r="A91" s="54"/>
      <c r="B91" s="54"/>
      <c r="C91" s="54"/>
      <c r="D91" s="54"/>
      <c r="E91" s="71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</row>
    <row r="92" ht="15.75" customHeight="1">
      <c r="A92" s="54"/>
      <c r="B92" s="54"/>
      <c r="C92" s="54"/>
      <c r="D92" s="54"/>
      <c r="E92" s="71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</row>
    <row r="93" ht="15.75" customHeight="1">
      <c r="A93" s="54"/>
      <c r="B93" s="54"/>
      <c r="C93" s="54"/>
      <c r="D93" s="54"/>
      <c r="E93" s="71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</row>
    <row r="94" ht="15.75" customHeight="1">
      <c r="A94" s="54"/>
      <c r="B94" s="54"/>
      <c r="C94" s="54"/>
      <c r="D94" s="54"/>
      <c r="E94" s="71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</row>
    <row r="95" ht="15.75" customHeight="1">
      <c r="A95" s="54"/>
      <c r="B95" s="54"/>
      <c r="C95" s="54"/>
      <c r="D95" s="54"/>
      <c r="E95" s="71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</row>
    <row r="96" ht="15.75" customHeight="1">
      <c r="A96" s="54"/>
      <c r="B96" s="54"/>
      <c r="C96" s="54"/>
      <c r="D96" s="54"/>
      <c r="E96" s="71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</row>
    <row r="97" ht="15.75" customHeight="1">
      <c r="A97" s="54"/>
      <c r="B97" s="54"/>
      <c r="C97" s="54"/>
      <c r="D97" s="54"/>
      <c r="E97" s="71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</row>
    <row r="98" ht="15.75" customHeight="1">
      <c r="A98" s="54"/>
      <c r="B98" s="54"/>
      <c r="C98" s="54"/>
      <c r="D98" s="54"/>
      <c r="E98" s="71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</row>
    <row r="99" ht="15.75" customHeight="1">
      <c r="A99" s="54"/>
      <c r="B99" s="54"/>
      <c r="C99" s="54"/>
      <c r="D99" s="54"/>
      <c r="E99" s="71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</row>
    <row r="100" ht="15.75" customHeight="1">
      <c r="A100" s="54"/>
      <c r="B100" s="54"/>
      <c r="C100" s="54"/>
      <c r="D100" s="54"/>
      <c r="E100" s="71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</row>
    <row r="101" ht="15.75" customHeight="1">
      <c r="A101" s="54"/>
      <c r="B101" s="54"/>
      <c r="C101" s="54"/>
      <c r="D101" s="54"/>
      <c r="E101" s="71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</row>
    <row r="102" ht="15.75" customHeight="1">
      <c r="A102" s="54"/>
      <c r="B102" s="54"/>
      <c r="C102" s="54"/>
      <c r="D102" s="54"/>
      <c r="E102" s="71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</row>
    <row r="103" ht="15.75" customHeight="1">
      <c r="A103" s="54"/>
      <c r="B103" s="54"/>
      <c r="C103" s="54"/>
      <c r="D103" s="54"/>
      <c r="E103" s="71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</row>
    <row r="104" ht="15.75" customHeight="1">
      <c r="A104" s="54"/>
      <c r="B104" s="54"/>
      <c r="C104" s="54"/>
      <c r="D104" s="54"/>
      <c r="E104" s="71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</row>
    <row r="105" ht="15.75" customHeight="1">
      <c r="A105" s="54"/>
      <c r="B105" s="54"/>
      <c r="C105" s="54"/>
      <c r="D105" s="54"/>
      <c r="E105" s="71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</row>
    <row r="106" ht="15.75" customHeight="1">
      <c r="A106" s="54"/>
      <c r="B106" s="54"/>
      <c r="C106" s="54"/>
      <c r="D106" s="54"/>
      <c r="E106" s="71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</row>
    <row r="107" ht="15.75" customHeight="1">
      <c r="A107" s="54"/>
      <c r="B107" s="54"/>
      <c r="C107" s="54"/>
      <c r="D107" s="54"/>
      <c r="E107" s="71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</row>
    <row r="108" ht="15.75" customHeight="1">
      <c r="A108" s="54"/>
      <c r="B108" s="54"/>
      <c r="C108" s="54"/>
      <c r="D108" s="54"/>
      <c r="E108" s="71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</row>
    <row r="109" ht="15.75" customHeight="1">
      <c r="A109" s="54"/>
      <c r="B109" s="54"/>
      <c r="C109" s="54"/>
      <c r="D109" s="54"/>
      <c r="E109" s="71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</row>
    <row r="110" ht="15.75" customHeight="1">
      <c r="A110" s="54"/>
      <c r="B110" s="54"/>
      <c r="C110" s="54"/>
      <c r="D110" s="54"/>
      <c r="E110" s="71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</row>
    <row r="111" ht="15.75" customHeight="1">
      <c r="A111" s="54"/>
      <c r="B111" s="54"/>
      <c r="C111" s="54"/>
      <c r="D111" s="54"/>
      <c r="E111" s="71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</row>
    <row r="112" ht="15.75" customHeight="1">
      <c r="A112" s="54"/>
      <c r="B112" s="54"/>
      <c r="C112" s="54"/>
      <c r="D112" s="54"/>
      <c r="E112" s="71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</row>
    <row r="113" ht="15.75" customHeight="1">
      <c r="A113" s="54"/>
      <c r="B113" s="54"/>
      <c r="C113" s="54"/>
      <c r="D113" s="54"/>
      <c r="E113" s="71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</row>
    <row r="114" ht="15.75" customHeight="1">
      <c r="A114" s="54"/>
      <c r="B114" s="54"/>
      <c r="C114" s="54"/>
      <c r="D114" s="54"/>
      <c r="E114" s="71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</row>
    <row r="115" ht="15.75" customHeight="1">
      <c r="A115" s="54"/>
      <c r="B115" s="54"/>
      <c r="C115" s="54"/>
      <c r="D115" s="54"/>
      <c r="E115" s="71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</row>
    <row r="116" ht="15.75" customHeight="1">
      <c r="A116" s="54"/>
      <c r="B116" s="54"/>
      <c r="C116" s="54"/>
      <c r="D116" s="54"/>
      <c r="E116" s="71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</row>
    <row r="117" ht="15.75" customHeight="1">
      <c r="A117" s="54"/>
      <c r="B117" s="54"/>
      <c r="C117" s="54"/>
      <c r="D117" s="54"/>
      <c r="E117" s="71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</row>
    <row r="118" ht="15.75" customHeight="1">
      <c r="A118" s="54"/>
      <c r="B118" s="54"/>
      <c r="C118" s="54"/>
      <c r="D118" s="54"/>
      <c r="E118" s="71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</row>
    <row r="119" ht="15.75" customHeight="1">
      <c r="A119" s="54"/>
      <c r="B119" s="54"/>
      <c r="C119" s="54"/>
      <c r="D119" s="54"/>
      <c r="E119" s="71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</row>
    <row r="120" ht="15.75" customHeight="1">
      <c r="A120" s="54"/>
      <c r="B120" s="54"/>
      <c r="C120" s="54"/>
      <c r="D120" s="54"/>
      <c r="E120" s="71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</row>
    <row r="121" ht="15.75" customHeight="1">
      <c r="A121" s="54"/>
      <c r="B121" s="54"/>
      <c r="C121" s="54"/>
      <c r="D121" s="54"/>
      <c r="E121" s="71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</row>
    <row r="122" ht="15.75" customHeight="1">
      <c r="A122" s="54"/>
      <c r="B122" s="54"/>
      <c r="C122" s="54"/>
      <c r="D122" s="54"/>
      <c r="E122" s="71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</row>
    <row r="123" ht="15.75" customHeight="1">
      <c r="A123" s="54"/>
      <c r="B123" s="54"/>
      <c r="C123" s="54"/>
      <c r="D123" s="54"/>
      <c r="E123" s="71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</row>
    <row r="124" ht="15.75" customHeight="1">
      <c r="A124" s="54"/>
      <c r="B124" s="54"/>
      <c r="C124" s="54"/>
      <c r="D124" s="54"/>
      <c r="E124" s="71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</row>
    <row r="125" ht="15.75" customHeight="1">
      <c r="A125" s="54"/>
      <c r="B125" s="54"/>
      <c r="C125" s="54"/>
      <c r="D125" s="54"/>
      <c r="E125" s="71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</row>
    <row r="126" ht="15.75" customHeight="1">
      <c r="A126" s="54"/>
      <c r="B126" s="54"/>
      <c r="C126" s="54"/>
      <c r="D126" s="54"/>
      <c r="E126" s="71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</row>
    <row r="127" ht="15.75" customHeight="1">
      <c r="A127" s="54"/>
      <c r="B127" s="54"/>
      <c r="C127" s="54"/>
      <c r="D127" s="54"/>
      <c r="E127" s="71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</row>
    <row r="128" ht="15.75" customHeight="1">
      <c r="A128" s="54"/>
      <c r="B128" s="54"/>
      <c r="C128" s="54"/>
      <c r="D128" s="54"/>
      <c r="E128" s="71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</row>
    <row r="129" ht="15.75" customHeight="1">
      <c r="A129" s="54"/>
      <c r="B129" s="54"/>
      <c r="C129" s="54"/>
      <c r="D129" s="54"/>
      <c r="E129" s="71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</row>
    <row r="130" ht="15.75" customHeight="1">
      <c r="A130" s="54"/>
      <c r="B130" s="54"/>
      <c r="C130" s="54"/>
      <c r="D130" s="54"/>
      <c r="E130" s="71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</row>
    <row r="131" ht="15.75" customHeight="1">
      <c r="A131" s="54"/>
      <c r="B131" s="54"/>
      <c r="C131" s="54"/>
      <c r="D131" s="54"/>
      <c r="E131" s="71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</row>
    <row r="132" ht="15.75" customHeight="1">
      <c r="A132" s="54"/>
      <c r="B132" s="54"/>
      <c r="C132" s="54"/>
      <c r="D132" s="54"/>
      <c r="E132" s="71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</row>
    <row r="133" ht="15.75" customHeight="1">
      <c r="A133" s="54"/>
      <c r="B133" s="54"/>
      <c r="C133" s="54"/>
      <c r="D133" s="54"/>
      <c r="E133" s="71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</row>
    <row r="134" ht="15.75" customHeight="1">
      <c r="A134" s="54"/>
      <c r="B134" s="54"/>
      <c r="C134" s="54"/>
      <c r="D134" s="54"/>
      <c r="E134" s="71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</row>
    <row r="135" ht="15.75" customHeight="1">
      <c r="A135" s="54"/>
      <c r="B135" s="54"/>
      <c r="C135" s="54"/>
      <c r="D135" s="54"/>
      <c r="E135" s="71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</row>
    <row r="136" ht="15.75" customHeight="1">
      <c r="A136" s="54"/>
      <c r="B136" s="54"/>
      <c r="C136" s="54"/>
      <c r="D136" s="54"/>
      <c r="E136" s="71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</row>
    <row r="137" ht="15.75" customHeight="1">
      <c r="A137" s="54"/>
      <c r="B137" s="54"/>
      <c r="C137" s="54"/>
      <c r="D137" s="54"/>
      <c r="E137" s="71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</row>
    <row r="138" ht="15.75" customHeight="1">
      <c r="A138" s="54"/>
      <c r="B138" s="54"/>
      <c r="C138" s="54"/>
      <c r="D138" s="54"/>
      <c r="E138" s="71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</row>
    <row r="139" ht="15.75" customHeight="1">
      <c r="A139" s="54"/>
      <c r="B139" s="54"/>
      <c r="C139" s="54"/>
      <c r="D139" s="54"/>
      <c r="E139" s="71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</row>
    <row r="140" ht="15.75" customHeight="1">
      <c r="A140" s="54"/>
      <c r="B140" s="54"/>
      <c r="C140" s="54"/>
      <c r="D140" s="54"/>
      <c r="E140" s="71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</row>
    <row r="141" ht="15.75" customHeight="1">
      <c r="A141" s="54"/>
      <c r="B141" s="54"/>
      <c r="C141" s="54"/>
      <c r="D141" s="54"/>
      <c r="E141" s="71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</row>
    <row r="142" ht="15.75" customHeight="1">
      <c r="A142" s="54"/>
      <c r="B142" s="54"/>
      <c r="C142" s="54"/>
      <c r="D142" s="54"/>
      <c r="E142" s="71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</row>
    <row r="143" ht="15.75" customHeight="1">
      <c r="A143" s="54"/>
      <c r="B143" s="54"/>
      <c r="C143" s="54"/>
      <c r="D143" s="54"/>
      <c r="E143" s="71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</row>
    <row r="144" ht="15.75" customHeight="1">
      <c r="A144" s="54"/>
      <c r="B144" s="54"/>
      <c r="C144" s="54"/>
      <c r="D144" s="54"/>
      <c r="E144" s="71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</row>
    <row r="145" ht="15.75" customHeight="1">
      <c r="A145" s="54"/>
      <c r="B145" s="54"/>
      <c r="C145" s="54"/>
      <c r="D145" s="54"/>
      <c r="E145" s="71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</row>
    <row r="146" ht="15.75" customHeight="1">
      <c r="A146" s="54"/>
      <c r="B146" s="54"/>
      <c r="C146" s="54"/>
      <c r="D146" s="54"/>
      <c r="E146" s="71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</row>
    <row r="147" ht="15.75" customHeight="1">
      <c r="A147" s="54"/>
      <c r="B147" s="54"/>
      <c r="C147" s="54"/>
      <c r="D147" s="54"/>
      <c r="E147" s="71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</row>
    <row r="148" ht="15.75" customHeight="1">
      <c r="A148" s="54"/>
      <c r="B148" s="54"/>
      <c r="C148" s="54"/>
      <c r="D148" s="54"/>
      <c r="E148" s="71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</row>
    <row r="149" ht="15.75" customHeight="1">
      <c r="A149" s="54"/>
      <c r="B149" s="54"/>
      <c r="C149" s="54"/>
      <c r="D149" s="54"/>
      <c r="E149" s="71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</row>
    <row r="150" ht="15.75" customHeight="1">
      <c r="A150" s="54"/>
      <c r="B150" s="54"/>
      <c r="C150" s="54"/>
      <c r="D150" s="54"/>
      <c r="E150" s="71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</row>
    <row r="151" ht="15.75" customHeight="1">
      <c r="A151" s="54"/>
      <c r="B151" s="54"/>
      <c r="C151" s="54"/>
      <c r="D151" s="54"/>
      <c r="E151" s="71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</row>
    <row r="152" ht="15.75" customHeight="1">
      <c r="A152" s="54"/>
      <c r="B152" s="54"/>
      <c r="C152" s="54"/>
      <c r="D152" s="54"/>
      <c r="E152" s="71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</row>
    <row r="153" ht="15.75" customHeight="1">
      <c r="A153" s="54"/>
      <c r="B153" s="54"/>
      <c r="C153" s="54"/>
      <c r="D153" s="54"/>
      <c r="E153" s="71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</row>
    <row r="154" ht="15.75" customHeight="1">
      <c r="A154" s="54"/>
      <c r="B154" s="54"/>
      <c r="C154" s="54"/>
      <c r="D154" s="54"/>
      <c r="E154" s="71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</row>
    <row r="155" ht="15.75" customHeight="1">
      <c r="A155" s="54"/>
      <c r="B155" s="54"/>
      <c r="C155" s="54"/>
      <c r="D155" s="54"/>
      <c r="E155" s="71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</row>
    <row r="156" ht="15.75" customHeight="1">
      <c r="A156" s="54"/>
      <c r="B156" s="54"/>
      <c r="C156" s="54"/>
      <c r="D156" s="54"/>
      <c r="E156" s="71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</row>
    <row r="157" ht="15.75" customHeight="1">
      <c r="A157" s="54"/>
      <c r="B157" s="54"/>
      <c r="C157" s="54"/>
      <c r="D157" s="54"/>
      <c r="E157" s="71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</row>
    <row r="158" ht="15.75" customHeight="1">
      <c r="A158" s="54"/>
      <c r="B158" s="54"/>
      <c r="C158" s="54"/>
      <c r="D158" s="54"/>
      <c r="E158" s="71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</row>
    <row r="159" ht="15.75" customHeight="1">
      <c r="A159" s="54"/>
      <c r="B159" s="54"/>
      <c r="C159" s="54"/>
      <c r="D159" s="54"/>
      <c r="E159" s="71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</row>
    <row r="160" ht="15.75" customHeight="1">
      <c r="A160" s="54"/>
      <c r="B160" s="54"/>
      <c r="C160" s="54"/>
      <c r="D160" s="54"/>
      <c r="E160" s="71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</row>
    <row r="161" ht="15.75" customHeight="1">
      <c r="A161" s="54"/>
      <c r="B161" s="54"/>
      <c r="C161" s="54"/>
      <c r="D161" s="54"/>
      <c r="E161" s="71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</row>
    <row r="162" ht="15.75" customHeight="1">
      <c r="A162" s="54"/>
      <c r="B162" s="54"/>
      <c r="C162" s="54"/>
      <c r="D162" s="54"/>
      <c r="E162" s="71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</row>
    <row r="163" ht="15.75" customHeight="1">
      <c r="A163" s="54"/>
      <c r="B163" s="54"/>
      <c r="C163" s="54"/>
      <c r="D163" s="54"/>
      <c r="E163" s="71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</row>
    <row r="164" ht="15.75" customHeight="1">
      <c r="A164" s="54"/>
      <c r="B164" s="54"/>
      <c r="C164" s="54"/>
      <c r="D164" s="54"/>
      <c r="E164" s="71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</row>
    <row r="165" ht="15.75" customHeight="1">
      <c r="A165" s="54"/>
      <c r="B165" s="54"/>
      <c r="C165" s="54"/>
      <c r="D165" s="54"/>
      <c r="E165" s="71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</row>
    <row r="166" ht="15.75" customHeight="1">
      <c r="A166" s="54"/>
      <c r="B166" s="54"/>
      <c r="C166" s="54"/>
      <c r="D166" s="54"/>
      <c r="E166" s="71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</row>
    <row r="167" ht="15.75" customHeight="1">
      <c r="A167" s="54"/>
      <c r="B167" s="54"/>
      <c r="C167" s="54"/>
      <c r="D167" s="54"/>
      <c r="E167" s="71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</row>
    <row r="168" ht="15.75" customHeight="1">
      <c r="A168" s="54"/>
      <c r="B168" s="54"/>
      <c r="C168" s="54"/>
      <c r="D168" s="54"/>
      <c r="E168" s="71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</row>
    <row r="169" ht="15.75" customHeight="1">
      <c r="A169" s="54"/>
      <c r="B169" s="54"/>
      <c r="C169" s="54"/>
      <c r="D169" s="54"/>
      <c r="E169" s="71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</row>
    <row r="170" ht="15.75" customHeight="1">
      <c r="A170" s="54"/>
      <c r="B170" s="54"/>
      <c r="C170" s="54"/>
      <c r="D170" s="54"/>
      <c r="E170" s="71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</row>
    <row r="171" ht="15.75" customHeight="1">
      <c r="A171" s="54"/>
      <c r="B171" s="54"/>
      <c r="C171" s="54"/>
      <c r="D171" s="54"/>
      <c r="E171" s="71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</row>
    <row r="172" ht="15.75" customHeight="1">
      <c r="A172" s="54"/>
      <c r="B172" s="54"/>
      <c r="C172" s="54"/>
      <c r="D172" s="54"/>
      <c r="E172" s="71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</row>
    <row r="173" ht="15.75" customHeight="1">
      <c r="A173" s="54"/>
      <c r="B173" s="54"/>
      <c r="C173" s="54"/>
      <c r="D173" s="54"/>
      <c r="E173" s="71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</row>
    <row r="174" ht="15.75" customHeight="1">
      <c r="A174" s="54"/>
      <c r="B174" s="54"/>
      <c r="C174" s="54"/>
      <c r="D174" s="54"/>
      <c r="E174" s="71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</row>
    <row r="175" ht="15.75" customHeight="1">
      <c r="A175" s="54"/>
      <c r="B175" s="54"/>
      <c r="C175" s="54"/>
      <c r="D175" s="54"/>
      <c r="E175" s="71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</row>
    <row r="176" ht="15.75" customHeight="1">
      <c r="A176" s="54"/>
      <c r="B176" s="54"/>
      <c r="C176" s="54"/>
      <c r="D176" s="54"/>
      <c r="E176" s="71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</row>
    <row r="177" ht="15.75" customHeight="1">
      <c r="A177" s="54"/>
      <c r="B177" s="54"/>
      <c r="C177" s="54"/>
      <c r="D177" s="54"/>
      <c r="E177" s="71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</row>
    <row r="178" ht="15.75" customHeight="1">
      <c r="A178" s="54"/>
      <c r="B178" s="54"/>
      <c r="C178" s="54"/>
      <c r="D178" s="54"/>
      <c r="E178" s="71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</row>
    <row r="179" ht="15.75" customHeight="1">
      <c r="A179" s="54"/>
      <c r="B179" s="54"/>
      <c r="C179" s="54"/>
      <c r="D179" s="54"/>
      <c r="E179" s="71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</row>
    <row r="180" ht="15.75" customHeight="1">
      <c r="A180" s="54"/>
      <c r="B180" s="54"/>
      <c r="C180" s="54"/>
      <c r="D180" s="54"/>
      <c r="E180" s="71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</row>
    <row r="181" ht="15.75" customHeight="1">
      <c r="A181" s="54"/>
      <c r="B181" s="54"/>
      <c r="C181" s="54"/>
      <c r="D181" s="54"/>
      <c r="E181" s="71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</row>
    <row r="182" ht="15.75" customHeight="1">
      <c r="A182" s="54"/>
      <c r="B182" s="54"/>
      <c r="C182" s="54"/>
      <c r="D182" s="54"/>
      <c r="E182" s="71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</row>
    <row r="183" ht="15.75" customHeight="1">
      <c r="A183" s="54"/>
      <c r="B183" s="54"/>
      <c r="C183" s="54"/>
      <c r="D183" s="54"/>
      <c r="E183" s="71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</row>
    <row r="184" ht="15.75" customHeight="1">
      <c r="A184" s="54"/>
      <c r="B184" s="54"/>
      <c r="C184" s="54"/>
      <c r="D184" s="54"/>
      <c r="E184" s="71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</row>
    <row r="185" ht="15.75" customHeight="1">
      <c r="A185" s="54"/>
      <c r="B185" s="54"/>
      <c r="C185" s="54"/>
      <c r="D185" s="54"/>
      <c r="E185" s="71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</row>
    <row r="186" ht="15.75" customHeight="1">
      <c r="A186" s="54"/>
      <c r="B186" s="54"/>
      <c r="C186" s="54"/>
      <c r="D186" s="54"/>
      <c r="E186" s="71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</row>
    <row r="187" ht="15.75" customHeight="1">
      <c r="A187" s="54"/>
      <c r="B187" s="54"/>
      <c r="C187" s="54"/>
      <c r="D187" s="54"/>
      <c r="E187" s="71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</row>
    <row r="188" ht="15.75" customHeight="1">
      <c r="A188" s="54"/>
      <c r="B188" s="54"/>
      <c r="C188" s="54"/>
      <c r="D188" s="54"/>
      <c r="E188" s="71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</row>
    <row r="189" ht="15.75" customHeight="1">
      <c r="A189" s="54"/>
      <c r="B189" s="54"/>
      <c r="C189" s="54"/>
      <c r="D189" s="54"/>
      <c r="E189" s="71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</row>
    <row r="190" ht="15.75" customHeight="1">
      <c r="A190" s="54"/>
      <c r="B190" s="54"/>
      <c r="C190" s="54"/>
      <c r="D190" s="54"/>
      <c r="E190" s="71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</row>
    <row r="191" ht="15.75" customHeight="1">
      <c r="A191" s="54"/>
      <c r="B191" s="54"/>
      <c r="C191" s="54"/>
      <c r="D191" s="54"/>
      <c r="E191" s="71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</row>
    <row r="192" ht="15.75" customHeight="1">
      <c r="A192" s="54"/>
      <c r="B192" s="54"/>
      <c r="C192" s="54"/>
      <c r="D192" s="54"/>
      <c r="E192" s="71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</row>
    <row r="193" ht="15.75" customHeight="1">
      <c r="A193" s="54"/>
      <c r="B193" s="54"/>
      <c r="C193" s="54"/>
      <c r="D193" s="54"/>
      <c r="E193" s="71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</row>
    <row r="194" ht="15.75" customHeight="1">
      <c r="A194" s="54"/>
      <c r="B194" s="54"/>
      <c r="C194" s="54"/>
      <c r="D194" s="54"/>
      <c r="E194" s="71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</row>
    <row r="195" ht="15.75" customHeight="1">
      <c r="A195" s="54"/>
      <c r="B195" s="54"/>
      <c r="C195" s="54"/>
      <c r="D195" s="54"/>
      <c r="E195" s="71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</row>
    <row r="196" ht="15.75" customHeight="1">
      <c r="A196" s="54"/>
      <c r="B196" s="54"/>
      <c r="C196" s="54"/>
      <c r="D196" s="54"/>
      <c r="E196" s="71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</row>
    <row r="197" ht="15.75" customHeight="1">
      <c r="A197" s="54"/>
      <c r="B197" s="54"/>
      <c r="C197" s="54"/>
      <c r="D197" s="54"/>
      <c r="E197" s="71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</row>
    <row r="198" ht="15.75" customHeight="1">
      <c r="A198" s="54"/>
      <c r="B198" s="54"/>
      <c r="C198" s="54"/>
      <c r="D198" s="54"/>
      <c r="E198" s="71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</row>
    <row r="199" ht="15.75" customHeight="1">
      <c r="A199" s="54"/>
      <c r="B199" s="54"/>
      <c r="C199" s="54"/>
      <c r="D199" s="54"/>
      <c r="E199" s="71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</row>
    <row r="200" ht="15.75" customHeight="1">
      <c r="A200" s="54"/>
      <c r="B200" s="54"/>
      <c r="C200" s="54"/>
      <c r="D200" s="72"/>
      <c r="E200" s="73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</row>
    <row r="201" ht="15.75" customHeight="1">
      <c r="A201" s="54"/>
      <c r="B201" s="54"/>
      <c r="C201" s="54"/>
      <c r="D201" s="74"/>
      <c r="E201" s="75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</row>
    <row r="202" ht="15.75" customHeight="1">
      <c r="A202" s="54"/>
      <c r="B202" s="54"/>
      <c r="C202" s="54"/>
      <c r="D202" s="74"/>
      <c r="E202" s="75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</row>
    <row r="203" ht="15.75" customHeight="1">
      <c r="A203" s="54"/>
      <c r="B203" s="54"/>
      <c r="C203" s="54"/>
      <c r="D203" s="74"/>
      <c r="E203" s="75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</row>
    <row r="204" ht="15.75" customHeight="1">
      <c r="A204" s="54"/>
      <c r="B204" s="54"/>
      <c r="C204" s="54"/>
      <c r="D204" s="74"/>
      <c r="E204" s="75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</row>
    <row r="205" ht="15.75" customHeight="1">
      <c r="A205" s="54"/>
      <c r="B205" s="54"/>
      <c r="C205" s="54"/>
      <c r="D205" s="74"/>
      <c r="E205" s="75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</row>
    <row r="206" ht="15.75" customHeight="1">
      <c r="A206" s="54"/>
      <c r="B206" s="54"/>
      <c r="C206" s="54"/>
      <c r="D206" s="74"/>
      <c r="E206" s="75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</row>
    <row r="207" ht="15.75" customHeight="1">
      <c r="A207" s="54"/>
      <c r="B207" s="54"/>
      <c r="C207" s="54"/>
      <c r="D207" s="74"/>
      <c r="E207" s="75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</row>
    <row r="208" ht="15.75" customHeight="1">
      <c r="A208" s="54"/>
      <c r="B208" s="54"/>
      <c r="C208" s="54"/>
      <c r="D208" s="74"/>
      <c r="E208" s="75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</row>
    <row r="209" ht="15.75" customHeight="1">
      <c r="A209" s="54"/>
      <c r="B209" s="54"/>
      <c r="C209" s="54"/>
      <c r="D209" s="74"/>
      <c r="E209" s="75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</row>
    <row r="210" ht="15.75" customHeight="1">
      <c r="A210" s="54"/>
      <c r="B210" s="54"/>
      <c r="C210" s="54"/>
      <c r="D210" s="74"/>
      <c r="E210" s="75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</row>
    <row r="211" ht="15.75" customHeight="1">
      <c r="A211" s="54"/>
      <c r="B211" s="54"/>
      <c r="C211" s="54"/>
      <c r="D211" s="74"/>
      <c r="E211" s="75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</row>
    <row r="212" ht="15.75" customHeight="1">
      <c r="A212" s="54"/>
      <c r="B212" s="54"/>
      <c r="C212" s="54"/>
      <c r="D212" s="74"/>
      <c r="E212" s="75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</row>
    <row r="213" ht="15.75" customHeight="1">
      <c r="A213" s="54"/>
      <c r="B213" s="54"/>
      <c r="C213" s="54"/>
      <c r="D213" s="74"/>
      <c r="E213" s="75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</row>
    <row r="214" ht="15.75" customHeight="1">
      <c r="A214" s="54"/>
      <c r="B214" s="54"/>
      <c r="C214" s="54"/>
      <c r="D214" s="74"/>
      <c r="E214" s="75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</row>
    <row r="215" ht="15.75" customHeight="1">
      <c r="A215" s="54"/>
      <c r="B215" s="54"/>
      <c r="C215" s="54"/>
      <c r="D215" s="74"/>
      <c r="E215" s="75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</row>
    <row r="216" ht="15.75" customHeight="1">
      <c r="A216" s="54"/>
      <c r="B216" s="54"/>
      <c r="C216" s="54"/>
      <c r="D216" s="74"/>
      <c r="E216" s="75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</row>
    <row r="217" ht="15.75" customHeight="1">
      <c r="A217" s="54"/>
      <c r="B217" s="54"/>
      <c r="C217" s="54"/>
      <c r="D217" s="74"/>
      <c r="E217" s="75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</row>
    <row r="218" ht="15.75" customHeight="1">
      <c r="A218" s="54"/>
      <c r="B218" s="54"/>
      <c r="C218" s="54"/>
      <c r="D218" s="74"/>
      <c r="E218" s="75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</row>
    <row r="219" ht="15.75" customHeight="1">
      <c r="A219" s="54"/>
      <c r="B219" s="54"/>
      <c r="C219" s="54"/>
      <c r="D219" s="74"/>
      <c r="E219" s="75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</row>
    <row r="220" ht="15.75" customHeight="1">
      <c r="A220" s="54"/>
      <c r="B220" s="54"/>
      <c r="C220" s="54"/>
      <c r="D220" s="74"/>
      <c r="E220" s="75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</row>
    <row r="221" ht="15.75" customHeight="1">
      <c r="A221" s="54"/>
      <c r="B221" s="54"/>
      <c r="C221" s="54"/>
      <c r="D221" s="74"/>
      <c r="E221" s="75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</row>
    <row r="222" ht="15.75" customHeight="1">
      <c r="A222" s="54"/>
      <c r="B222" s="54"/>
      <c r="C222" s="54"/>
      <c r="D222" s="74"/>
      <c r="E222" s="75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</row>
    <row r="223" ht="15.75" customHeight="1">
      <c r="A223" s="54"/>
      <c r="B223" s="54"/>
      <c r="C223" s="54"/>
      <c r="D223" s="74"/>
      <c r="E223" s="75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</row>
    <row r="224" ht="15.75" customHeight="1">
      <c r="A224" s="54"/>
      <c r="B224" s="54"/>
      <c r="C224" s="54"/>
      <c r="D224" s="74"/>
      <c r="E224" s="75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</row>
    <row r="225" ht="15.75" customHeight="1">
      <c r="A225" s="54"/>
      <c r="B225" s="54"/>
      <c r="C225" s="54"/>
      <c r="D225" s="74"/>
      <c r="E225" s="75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</row>
    <row r="226" ht="15.75" customHeight="1">
      <c r="A226" s="54"/>
      <c r="B226" s="54"/>
      <c r="C226" s="54"/>
      <c r="D226" s="74"/>
      <c r="E226" s="75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</row>
    <row r="227" ht="15.75" customHeight="1">
      <c r="A227" s="54"/>
      <c r="B227" s="54"/>
      <c r="C227" s="54"/>
      <c r="D227" s="74"/>
      <c r="E227" s="75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</row>
    <row r="228" ht="15.75" customHeight="1">
      <c r="A228" s="54"/>
      <c r="B228" s="54"/>
      <c r="C228" s="54"/>
      <c r="D228" s="74"/>
      <c r="E228" s="75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</row>
    <row r="229" ht="15.75" customHeight="1">
      <c r="A229" s="54"/>
      <c r="B229" s="54"/>
      <c r="C229" s="54"/>
      <c r="D229" s="74"/>
      <c r="E229" s="75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</row>
    <row r="230" ht="15.75" customHeight="1">
      <c r="A230" s="54"/>
      <c r="B230" s="54"/>
      <c r="C230" s="54"/>
      <c r="D230" s="74"/>
      <c r="E230" s="75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</row>
    <row r="231" ht="15.75" customHeight="1">
      <c r="A231" s="54"/>
      <c r="B231" s="54"/>
      <c r="C231" s="54"/>
      <c r="D231" s="74"/>
      <c r="E231" s="75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</row>
    <row r="232" ht="15.75" customHeight="1">
      <c r="A232" s="54"/>
      <c r="B232" s="54"/>
      <c r="C232" s="54"/>
      <c r="D232" s="74"/>
      <c r="E232" s="75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</row>
    <row r="233" ht="15.75" customHeight="1">
      <c r="A233" s="54"/>
      <c r="B233" s="54"/>
      <c r="C233" s="54"/>
      <c r="D233" s="74"/>
      <c r="E233" s="75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</row>
    <row r="234" ht="15.75" customHeight="1">
      <c r="A234" s="54"/>
      <c r="B234" s="54"/>
      <c r="C234" s="54"/>
      <c r="D234" s="74"/>
      <c r="E234" s="75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</row>
    <row r="235" ht="15.75" customHeight="1">
      <c r="A235" s="54"/>
      <c r="B235" s="54"/>
      <c r="C235" s="54"/>
      <c r="D235" s="74"/>
      <c r="E235" s="75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</row>
    <row r="236" ht="15.75" customHeight="1">
      <c r="A236" s="54"/>
      <c r="B236" s="54"/>
      <c r="C236" s="54"/>
      <c r="D236" s="74"/>
      <c r="E236" s="75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</row>
    <row r="237" ht="15.75" customHeight="1">
      <c r="A237" s="54"/>
      <c r="B237" s="54"/>
      <c r="C237" s="54"/>
      <c r="D237" s="74"/>
      <c r="E237" s="75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</row>
    <row r="238" ht="15.75" customHeight="1">
      <c r="A238" s="54"/>
      <c r="B238" s="54"/>
      <c r="C238" s="54"/>
      <c r="D238" s="74"/>
      <c r="E238" s="75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</row>
    <row r="239" ht="15.75" customHeight="1">
      <c r="A239" s="54"/>
      <c r="B239" s="54"/>
      <c r="C239" s="54"/>
      <c r="D239" s="74"/>
      <c r="E239" s="75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</row>
    <row r="240" ht="15.75" customHeight="1">
      <c r="A240" s="54"/>
      <c r="B240" s="54"/>
      <c r="C240" s="54"/>
      <c r="D240" s="74"/>
      <c r="E240" s="75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</row>
    <row r="241" ht="15.75" customHeight="1">
      <c r="A241" s="54"/>
      <c r="B241" s="54"/>
      <c r="C241" s="54"/>
      <c r="D241" s="74"/>
      <c r="E241" s="75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</row>
    <row r="242" ht="15.75" customHeight="1">
      <c r="A242" s="54"/>
      <c r="B242" s="54"/>
      <c r="C242" s="54"/>
      <c r="D242" s="74"/>
      <c r="E242" s="75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</row>
    <row r="243" ht="15.75" customHeight="1">
      <c r="A243" s="54"/>
      <c r="B243" s="54"/>
      <c r="C243" s="54"/>
      <c r="D243" s="74"/>
      <c r="E243" s="75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</row>
    <row r="244" ht="15.75" customHeight="1">
      <c r="A244" s="54"/>
      <c r="B244" s="54"/>
      <c r="C244" s="54"/>
      <c r="D244" s="74"/>
      <c r="E244" s="75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</row>
    <row r="245" ht="15.75" customHeight="1">
      <c r="A245" s="54"/>
      <c r="B245" s="54"/>
      <c r="C245" s="54"/>
      <c r="D245" s="74"/>
      <c r="E245" s="75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</row>
    <row r="246" ht="15.75" customHeight="1">
      <c r="A246" s="54"/>
      <c r="B246" s="54"/>
      <c r="C246" s="54"/>
      <c r="D246" s="74"/>
      <c r="E246" s="75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</row>
    <row r="247" ht="15.75" customHeight="1">
      <c r="A247" s="54"/>
      <c r="B247" s="54"/>
      <c r="C247" s="54"/>
      <c r="D247" s="74"/>
      <c r="E247" s="75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</row>
    <row r="248" ht="15.75" customHeight="1">
      <c r="A248" s="54"/>
      <c r="B248" s="54"/>
      <c r="C248" s="54"/>
      <c r="D248" s="74"/>
      <c r="E248" s="75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</row>
    <row r="249" ht="15.75" customHeight="1">
      <c r="A249" s="54"/>
      <c r="B249" s="54"/>
      <c r="C249" s="54"/>
      <c r="D249" s="74"/>
      <c r="E249" s="75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</row>
    <row r="250" ht="15.75" customHeight="1">
      <c r="A250" s="54"/>
      <c r="B250" s="54"/>
      <c r="C250" s="54"/>
      <c r="D250" s="74"/>
      <c r="E250" s="75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</row>
    <row r="251" ht="15.75" customHeight="1">
      <c r="A251" s="54"/>
      <c r="B251" s="54"/>
      <c r="C251" s="54"/>
      <c r="D251" s="74"/>
      <c r="E251" s="75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</row>
    <row r="252" ht="15.75" customHeight="1">
      <c r="A252" s="54"/>
      <c r="B252" s="54"/>
      <c r="C252" s="54"/>
      <c r="D252" s="74"/>
      <c r="E252" s="75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</row>
    <row r="253" ht="15.75" customHeight="1">
      <c r="A253" s="54"/>
      <c r="B253" s="54"/>
      <c r="C253" s="54"/>
      <c r="D253" s="74"/>
      <c r="E253" s="75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</row>
    <row r="254" ht="15.75" customHeight="1">
      <c r="A254" s="54"/>
      <c r="B254" s="54"/>
      <c r="C254" s="54"/>
      <c r="D254" s="74"/>
      <c r="E254" s="75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</row>
    <row r="255" ht="15.75" customHeight="1">
      <c r="A255" s="54"/>
      <c r="B255" s="54"/>
      <c r="C255" s="54"/>
      <c r="D255" s="74"/>
      <c r="E255" s="75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</row>
    <row r="256" ht="15.75" customHeight="1">
      <c r="A256" s="54"/>
      <c r="B256" s="54"/>
      <c r="C256" s="54"/>
      <c r="D256" s="74"/>
      <c r="E256" s="75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</row>
    <row r="257" ht="15.75" customHeight="1">
      <c r="A257" s="54"/>
      <c r="B257" s="54"/>
      <c r="C257" s="54"/>
      <c r="D257" s="74"/>
      <c r="E257" s="75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</row>
    <row r="258" ht="15.75" customHeight="1">
      <c r="A258" s="54"/>
      <c r="B258" s="54"/>
      <c r="C258" s="54"/>
      <c r="D258" s="74"/>
      <c r="E258" s="75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</row>
    <row r="259" ht="15.75" customHeight="1">
      <c r="A259" s="54"/>
      <c r="B259" s="54"/>
      <c r="C259" s="54"/>
      <c r="D259" s="74"/>
      <c r="E259" s="75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</row>
    <row r="260" ht="15.75" customHeight="1">
      <c r="A260" s="54"/>
      <c r="B260" s="54"/>
      <c r="C260" s="54"/>
      <c r="D260" s="74"/>
      <c r="E260" s="75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</row>
    <row r="261" ht="15.75" customHeight="1">
      <c r="A261" s="54"/>
      <c r="B261" s="54"/>
      <c r="C261" s="54"/>
      <c r="D261" s="74"/>
      <c r="E261" s="75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</row>
    <row r="262" ht="15.75" customHeight="1">
      <c r="A262" s="54"/>
      <c r="B262" s="54"/>
      <c r="C262" s="54"/>
      <c r="D262" s="74"/>
      <c r="E262" s="75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</row>
    <row r="263" ht="15.75" customHeight="1">
      <c r="A263" s="54"/>
      <c r="B263" s="54"/>
      <c r="C263" s="54"/>
      <c r="D263" s="74"/>
      <c r="E263" s="75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</row>
    <row r="264" ht="15.75" customHeight="1">
      <c r="A264" s="54"/>
      <c r="B264" s="54"/>
      <c r="C264" s="54"/>
      <c r="D264" s="74"/>
      <c r="E264" s="75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</row>
    <row r="265" ht="15.75" customHeight="1">
      <c r="A265" s="54"/>
      <c r="B265" s="54"/>
      <c r="C265" s="54"/>
      <c r="D265" s="74"/>
      <c r="E265" s="75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</row>
    <row r="266" ht="15.75" customHeight="1">
      <c r="A266" s="54"/>
      <c r="B266" s="54"/>
      <c r="C266" s="54"/>
      <c r="D266" s="74"/>
      <c r="E266" s="75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</row>
    <row r="267" ht="15.75" customHeight="1">
      <c r="A267" s="54"/>
      <c r="B267" s="54"/>
      <c r="C267" s="54"/>
      <c r="D267" s="74"/>
      <c r="E267" s="75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</row>
    <row r="268" ht="15.75" customHeight="1">
      <c r="A268" s="54"/>
      <c r="B268" s="54"/>
      <c r="C268" s="54"/>
      <c r="D268" s="74"/>
      <c r="E268" s="75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</row>
    <row r="269" ht="15.75" customHeight="1">
      <c r="A269" s="54"/>
      <c r="B269" s="54"/>
      <c r="C269" s="54"/>
      <c r="D269" s="74"/>
      <c r="E269" s="75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</row>
    <row r="270" ht="15.75" customHeight="1">
      <c r="A270" s="54"/>
      <c r="B270" s="54"/>
      <c r="C270" s="54"/>
      <c r="D270" s="74"/>
      <c r="E270" s="75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</row>
  </sheetData>
  <mergeCells count="4">
    <mergeCell ref="F1:N1"/>
    <mergeCell ref="P1:X1"/>
    <mergeCell ref="Z1:AH1"/>
    <mergeCell ref="AI1:AQ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2.13"/>
    <col customWidth="1" min="3" max="3" width="23.75"/>
    <col customWidth="1" min="19" max="19" width="20.13"/>
  </cols>
  <sheetData>
    <row r="1">
      <c r="A1" s="76"/>
      <c r="B1" s="76"/>
      <c r="C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7" t="s">
        <v>135</v>
      </c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9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</row>
    <row r="2">
      <c r="A2" s="76"/>
      <c r="B2" s="76"/>
      <c r="C2" s="80" t="s">
        <v>136</v>
      </c>
      <c r="D2" s="81" t="s">
        <v>126</v>
      </c>
      <c r="E2" s="81" t="s">
        <v>127</v>
      </c>
      <c r="F2" s="81" t="s">
        <v>128</v>
      </c>
      <c r="G2" s="81" t="s">
        <v>129</v>
      </c>
      <c r="H2" s="81" t="s">
        <v>130</v>
      </c>
      <c r="I2" s="81" t="s">
        <v>131</v>
      </c>
      <c r="J2" s="81" t="s">
        <v>132</v>
      </c>
      <c r="K2" s="81" t="s">
        <v>133</v>
      </c>
      <c r="L2" s="81" t="s">
        <v>134</v>
      </c>
      <c r="M2" s="81" t="s">
        <v>137</v>
      </c>
      <c r="N2" s="81" t="s">
        <v>138</v>
      </c>
      <c r="O2" s="82"/>
      <c r="P2" s="82"/>
      <c r="Q2" s="82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83"/>
      <c r="BA2" s="84" t="s">
        <v>139</v>
      </c>
      <c r="BB2" s="85" t="s">
        <v>140</v>
      </c>
      <c r="BC2" s="85" t="s">
        <v>141</v>
      </c>
      <c r="BD2" s="85" t="s">
        <v>142</v>
      </c>
      <c r="BE2" s="85" t="s">
        <v>143</v>
      </c>
      <c r="BF2" s="85" t="s">
        <v>144</v>
      </c>
      <c r="BG2" s="85" t="s">
        <v>145</v>
      </c>
      <c r="BH2" s="85" t="s">
        <v>146</v>
      </c>
      <c r="BI2" s="85" t="s">
        <v>147</v>
      </c>
      <c r="BJ2" s="85" t="s">
        <v>148</v>
      </c>
      <c r="BK2" s="85" t="s">
        <v>149</v>
      </c>
      <c r="BL2" s="86" t="s">
        <v>150</v>
      </c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</row>
    <row r="3">
      <c r="A3" s="76"/>
      <c r="B3" s="76"/>
      <c r="C3" s="81" t="s">
        <v>151</v>
      </c>
      <c r="D3" s="87">
        <v>6.0</v>
      </c>
      <c r="E3" s="87">
        <v>3.0</v>
      </c>
      <c r="F3" s="87">
        <v>3.0</v>
      </c>
      <c r="G3" s="88">
        <v>3.0</v>
      </c>
      <c r="H3" s="88">
        <v>3.0</v>
      </c>
      <c r="I3" s="88">
        <v>6.0</v>
      </c>
      <c r="J3" s="88">
        <v>3.0</v>
      </c>
      <c r="K3" s="88">
        <v>3.0</v>
      </c>
      <c r="L3" s="88">
        <v>3.0</v>
      </c>
      <c r="M3" s="89"/>
      <c r="N3" s="89"/>
      <c r="O3" s="90"/>
      <c r="P3" s="90"/>
      <c r="Q3" s="90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91" t="s">
        <v>126</v>
      </c>
      <c r="BA3" s="92">
        <v>0.0</v>
      </c>
      <c r="BB3" s="93">
        <v>0.0</v>
      </c>
      <c r="BC3" s="93">
        <v>0.0</v>
      </c>
      <c r="BD3" s="93">
        <v>0.0</v>
      </c>
      <c r="BE3" s="93">
        <v>0.0</v>
      </c>
      <c r="BF3" s="93">
        <v>0.0</v>
      </c>
      <c r="BG3" s="93">
        <v>0.0</v>
      </c>
      <c r="BH3" s="93">
        <v>0.0</v>
      </c>
      <c r="BI3" s="93">
        <v>0.0</v>
      </c>
      <c r="BJ3" s="93">
        <v>0.0</v>
      </c>
      <c r="BK3" s="93">
        <v>0.0</v>
      </c>
      <c r="BL3" s="94">
        <v>1.0</v>
      </c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</row>
    <row r="4">
      <c r="A4" s="76"/>
      <c r="B4" s="76"/>
      <c r="C4" s="81" t="s">
        <v>152</v>
      </c>
      <c r="D4" s="89"/>
      <c r="E4" s="89"/>
      <c r="F4" s="89"/>
      <c r="G4" s="89"/>
      <c r="H4" s="89"/>
      <c r="I4" s="89"/>
      <c r="J4" s="89"/>
      <c r="K4" s="89"/>
      <c r="L4" s="89"/>
      <c r="M4" s="88">
        <v>5.0</v>
      </c>
      <c r="N4" s="89"/>
      <c r="O4" s="90"/>
      <c r="P4" s="90"/>
      <c r="Q4" s="90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95" t="s">
        <v>127</v>
      </c>
      <c r="BA4" s="92">
        <v>0.0</v>
      </c>
      <c r="BB4" s="93">
        <v>1.0</v>
      </c>
      <c r="BC4" s="93">
        <v>0.0</v>
      </c>
      <c r="BD4" s="93">
        <v>0.0</v>
      </c>
      <c r="BE4" s="93">
        <v>0.0</v>
      </c>
      <c r="BF4" s="93">
        <v>0.0</v>
      </c>
      <c r="BG4" s="93">
        <v>0.0</v>
      </c>
      <c r="BH4" s="93">
        <v>0.0</v>
      </c>
      <c r="BI4" s="93">
        <v>0.0</v>
      </c>
      <c r="BJ4" s="93">
        <v>0.0</v>
      </c>
      <c r="BK4" s="93">
        <v>0.0</v>
      </c>
      <c r="BL4" s="94">
        <v>0.0</v>
      </c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</row>
    <row r="5">
      <c r="A5" s="76"/>
      <c r="B5" s="76"/>
      <c r="C5" s="81" t="s">
        <v>153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8">
        <v>10.0</v>
      </c>
      <c r="O5" s="90"/>
      <c r="P5" s="90"/>
      <c r="Q5" s="90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95" t="s">
        <v>128</v>
      </c>
      <c r="BA5" s="92">
        <v>0.0</v>
      </c>
      <c r="BB5" s="93">
        <v>0.0</v>
      </c>
      <c r="BC5" s="93">
        <v>0.0</v>
      </c>
      <c r="BD5" s="93">
        <v>0.0</v>
      </c>
      <c r="BE5" s="93">
        <v>0.0</v>
      </c>
      <c r="BF5" s="93">
        <v>0.0</v>
      </c>
      <c r="BG5" s="93">
        <v>0.0</v>
      </c>
      <c r="BH5" s="93">
        <v>0.0</v>
      </c>
      <c r="BI5" s="93">
        <v>0.0</v>
      </c>
      <c r="BJ5" s="93">
        <v>0.0</v>
      </c>
      <c r="BK5" s="93">
        <v>1.0</v>
      </c>
      <c r="BL5" s="94">
        <v>0.0</v>
      </c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</row>
    <row r="6">
      <c r="A6" s="76"/>
      <c r="B6" s="76"/>
      <c r="C6" s="96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90"/>
      <c r="P6" s="90"/>
      <c r="Q6" s="90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95" t="s">
        <v>129</v>
      </c>
      <c r="BA6" s="92">
        <v>0.0</v>
      </c>
      <c r="BB6" s="93">
        <v>0.0</v>
      </c>
      <c r="BC6" s="93">
        <v>0.0</v>
      </c>
      <c r="BD6" s="93">
        <v>0.0</v>
      </c>
      <c r="BE6" s="93">
        <v>1.0</v>
      </c>
      <c r="BF6" s="93">
        <v>0.0</v>
      </c>
      <c r="BG6" s="93">
        <v>0.0</v>
      </c>
      <c r="BH6" s="93">
        <v>0.0</v>
      </c>
      <c r="BI6" s="93">
        <v>0.0</v>
      </c>
      <c r="BJ6" s="93">
        <v>0.0</v>
      </c>
      <c r="BK6" s="93">
        <v>0.0</v>
      </c>
      <c r="BL6" s="94">
        <v>0.0</v>
      </c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</row>
    <row r="7">
      <c r="A7" s="76"/>
      <c r="B7" s="76"/>
      <c r="C7" s="80" t="s">
        <v>119</v>
      </c>
      <c r="D7" s="97">
        <f t="shared" ref="D7:N7" si="1">SUM(D3:D6)</f>
        <v>6</v>
      </c>
      <c r="E7" s="97">
        <f t="shared" si="1"/>
        <v>3</v>
      </c>
      <c r="F7" s="97">
        <f t="shared" si="1"/>
        <v>3</v>
      </c>
      <c r="G7" s="97">
        <f t="shared" si="1"/>
        <v>3</v>
      </c>
      <c r="H7" s="97">
        <f t="shared" si="1"/>
        <v>3</v>
      </c>
      <c r="I7" s="97">
        <f t="shared" si="1"/>
        <v>6</v>
      </c>
      <c r="J7" s="97">
        <f t="shared" si="1"/>
        <v>3</v>
      </c>
      <c r="K7" s="97">
        <f t="shared" si="1"/>
        <v>3</v>
      </c>
      <c r="L7" s="97">
        <f t="shared" si="1"/>
        <v>3</v>
      </c>
      <c r="M7" s="97">
        <f t="shared" si="1"/>
        <v>5</v>
      </c>
      <c r="N7" s="97">
        <f t="shared" si="1"/>
        <v>10</v>
      </c>
      <c r="O7" s="90"/>
      <c r="P7" s="90"/>
      <c r="Q7" s="90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98" t="s">
        <v>130</v>
      </c>
      <c r="BA7" s="92">
        <v>0.0</v>
      </c>
      <c r="BB7" s="93">
        <v>0.0</v>
      </c>
      <c r="BC7" s="93">
        <v>1.0</v>
      </c>
      <c r="BD7" s="93">
        <v>0.0</v>
      </c>
      <c r="BE7" s="93">
        <v>0.0</v>
      </c>
      <c r="BF7" s="93">
        <v>0.0</v>
      </c>
      <c r="BG7" s="93">
        <v>0.0</v>
      </c>
      <c r="BH7" s="93">
        <v>0.0</v>
      </c>
      <c r="BI7" s="93">
        <v>0.0</v>
      </c>
      <c r="BJ7" s="93">
        <v>0.0</v>
      </c>
      <c r="BK7" s="93">
        <v>0.0</v>
      </c>
      <c r="BL7" s="94">
        <v>0.0</v>
      </c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</row>
    <row r="8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98" t="s">
        <v>131</v>
      </c>
      <c r="BA8" s="92">
        <v>0.0</v>
      </c>
      <c r="BB8" s="93">
        <v>0.0</v>
      </c>
      <c r="BC8" s="93">
        <v>0.0</v>
      </c>
      <c r="BD8" s="93">
        <v>1.0</v>
      </c>
      <c r="BE8" s="93">
        <v>0.0</v>
      </c>
      <c r="BF8" s="93">
        <v>0.0</v>
      </c>
      <c r="BG8" s="93">
        <v>0.0</v>
      </c>
      <c r="BH8" s="93">
        <v>0.0</v>
      </c>
      <c r="BI8" s="93">
        <v>0.0</v>
      </c>
      <c r="BJ8" s="93">
        <v>0.0</v>
      </c>
      <c r="BK8" s="93">
        <v>0.0</v>
      </c>
      <c r="BL8" s="94">
        <v>0.0</v>
      </c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</row>
    <row r="9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98" t="s">
        <v>132</v>
      </c>
      <c r="BA9" s="92">
        <v>0.0</v>
      </c>
      <c r="BB9" s="93">
        <v>0.0</v>
      </c>
      <c r="BC9" s="93">
        <v>0.0</v>
      </c>
      <c r="BD9" s="93">
        <v>0.0</v>
      </c>
      <c r="BE9" s="93">
        <v>0.0</v>
      </c>
      <c r="BF9" s="93">
        <v>1.0</v>
      </c>
      <c r="BG9" s="93">
        <v>0.0</v>
      </c>
      <c r="BH9" s="93">
        <v>0.0</v>
      </c>
      <c r="BI9" s="93">
        <v>0.0</v>
      </c>
      <c r="BJ9" s="93">
        <v>0.0</v>
      </c>
      <c r="BK9" s="93">
        <v>0.0</v>
      </c>
      <c r="BL9" s="94">
        <v>0.0</v>
      </c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</row>
    <row r="10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98" t="s">
        <v>133</v>
      </c>
      <c r="BA10" s="92">
        <v>0.0</v>
      </c>
      <c r="BB10" s="93">
        <v>0.0</v>
      </c>
      <c r="BC10" s="93">
        <v>0.0</v>
      </c>
      <c r="BD10" s="93">
        <v>0.0</v>
      </c>
      <c r="BE10" s="93">
        <v>0.0</v>
      </c>
      <c r="BF10" s="93">
        <v>0.0</v>
      </c>
      <c r="BG10" s="93">
        <v>1.0</v>
      </c>
      <c r="BH10" s="93">
        <v>0.0</v>
      </c>
      <c r="BI10" s="93">
        <v>0.0</v>
      </c>
      <c r="BJ10" s="93">
        <v>0.0</v>
      </c>
      <c r="BK10" s="93">
        <v>0.0</v>
      </c>
      <c r="BL10" s="94">
        <v>0.0</v>
      </c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</row>
    <row r="1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98" t="s">
        <v>134</v>
      </c>
      <c r="BA11" s="92">
        <v>0.0</v>
      </c>
      <c r="BB11" s="93">
        <v>0.0</v>
      </c>
      <c r="BC11" s="93">
        <v>0.0</v>
      </c>
      <c r="BD11" s="93">
        <v>0.0</v>
      </c>
      <c r="BE11" s="93">
        <v>0.0</v>
      </c>
      <c r="BF11" s="93">
        <v>0.0</v>
      </c>
      <c r="BG11" s="93">
        <v>0.0</v>
      </c>
      <c r="BH11" s="93">
        <v>1.0</v>
      </c>
      <c r="BI11" s="93">
        <v>0.0</v>
      </c>
      <c r="BJ11" s="93">
        <v>0.0</v>
      </c>
      <c r="BK11" s="93">
        <v>0.0</v>
      </c>
      <c r="BL11" s="94">
        <v>0.0</v>
      </c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</row>
    <row r="12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98" t="s">
        <v>137</v>
      </c>
      <c r="BA12" s="92">
        <v>0.0</v>
      </c>
      <c r="BB12" s="93">
        <v>0.0</v>
      </c>
      <c r="BC12" s="93">
        <v>0.0</v>
      </c>
      <c r="BD12" s="93">
        <v>0.0</v>
      </c>
      <c r="BE12" s="93">
        <v>0.0</v>
      </c>
      <c r="BF12" s="93">
        <v>0.0</v>
      </c>
      <c r="BG12" s="93">
        <v>0.0</v>
      </c>
      <c r="BH12" s="93">
        <v>0.0</v>
      </c>
      <c r="BI12" s="93">
        <v>1.0</v>
      </c>
      <c r="BJ12" s="93">
        <v>0.0</v>
      </c>
      <c r="BK12" s="93">
        <v>0.0</v>
      </c>
      <c r="BL12" s="94">
        <v>0.0</v>
      </c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</row>
    <row r="1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99" t="s">
        <v>138</v>
      </c>
      <c r="BA13" s="92">
        <v>0.0</v>
      </c>
      <c r="BB13" s="93">
        <v>0.0</v>
      </c>
      <c r="BC13" s="93">
        <v>0.0</v>
      </c>
      <c r="BD13" s="93">
        <v>0.0</v>
      </c>
      <c r="BE13" s="93">
        <v>0.0</v>
      </c>
      <c r="BF13" s="93">
        <v>0.0</v>
      </c>
      <c r="BG13" s="93">
        <v>0.0</v>
      </c>
      <c r="BH13" s="93">
        <v>0.0</v>
      </c>
      <c r="BI13" s="93">
        <v>0.0</v>
      </c>
      <c r="BJ13" s="93">
        <v>1.0</v>
      </c>
      <c r="BK13" s="93">
        <v>0.0</v>
      </c>
      <c r="BL13" s="94">
        <v>0.0</v>
      </c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</row>
    <row r="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100" t="s">
        <v>119</v>
      </c>
      <c r="BA14" s="101">
        <f t="shared" ref="BA14:BL14" si="2">SUM(BA3:BA13)</f>
        <v>0</v>
      </c>
      <c r="BB14" s="102">
        <f t="shared" si="2"/>
        <v>1</v>
      </c>
      <c r="BC14" s="102">
        <f t="shared" si="2"/>
        <v>1</v>
      </c>
      <c r="BD14" s="102">
        <f t="shared" si="2"/>
        <v>1</v>
      </c>
      <c r="BE14" s="102">
        <f t="shared" si="2"/>
        <v>1</v>
      </c>
      <c r="BF14" s="102">
        <f t="shared" si="2"/>
        <v>1</v>
      </c>
      <c r="BG14" s="102">
        <f t="shared" si="2"/>
        <v>1</v>
      </c>
      <c r="BH14" s="102">
        <f t="shared" si="2"/>
        <v>1</v>
      </c>
      <c r="BI14" s="102">
        <f t="shared" si="2"/>
        <v>1</v>
      </c>
      <c r="BJ14" s="102">
        <f t="shared" si="2"/>
        <v>1</v>
      </c>
      <c r="BK14" s="102">
        <f t="shared" si="2"/>
        <v>1</v>
      </c>
      <c r="BL14" s="103">
        <f t="shared" si="2"/>
        <v>1</v>
      </c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</row>
    <row r="15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</row>
    <row r="16">
      <c r="A16" s="104" t="s">
        <v>154</v>
      </c>
      <c r="B16" s="78"/>
      <c r="C16" s="79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6" t="s">
        <v>155</v>
      </c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8"/>
      <c r="BA16" s="76"/>
      <c r="BB16" s="109" t="s">
        <v>156</v>
      </c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8"/>
    </row>
    <row r="17">
      <c r="A17" s="110"/>
      <c r="C17" s="111"/>
      <c r="D17" s="112" t="str">
        <f>C3</f>
        <v>Report</v>
      </c>
      <c r="E17" s="113"/>
      <c r="F17" s="113"/>
      <c r="G17" s="113"/>
      <c r="H17" s="113"/>
      <c r="I17" s="113"/>
      <c r="J17" s="113"/>
      <c r="K17" s="113"/>
      <c r="L17" s="114"/>
      <c r="M17" s="115" t="str">
        <f>C4</f>
        <v>Peer</v>
      </c>
      <c r="N17" s="113"/>
      <c r="O17" s="113"/>
      <c r="P17" s="113"/>
      <c r="Q17" s="113"/>
      <c r="R17" s="114"/>
      <c r="S17" s="116" t="str">
        <f>C5</f>
        <v>Term Final Presentation</v>
      </c>
      <c r="T17" s="117" t="s">
        <v>157</v>
      </c>
      <c r="U17" s="78"/>
      <c r="V17" s="78"/>
      <c r="W17" s="78"/>
      <c r="X17" s="78"/>
      <c r="Y17" s="78"/>
      <c r="Z17" s="78"/>
      <c r="AA17" s="78"/>
      <c r="AB17" s="78"/>
      <c r="AC17" s="78"/>
      <c r="AD17" s="79"/>
      <c r="AE17" s="118" t="s">
        <v>158</v>
      </c>
      <c r="AF17" s="107"/>
      <c r="AG17" s="107"/>
      <c r="AH17" s="107"/>
      <c r="AI17" s="107"/>
      <c r="AJ17" s="107"/>
      <c r="AK17" s="107"/>
      <c r="AL17" s="107"/>
      <c r="AM17" s="107"/>
      <c r="AN17" s="107"/>
      <c r="AO17" s="108"/>
      <c r="AP17" s="118" t="s">
        <v>159</v>
      </c>
      <c r="AQ17" s="107"/>
      <c r="AR17" s="107"/>
      <c r="AS17" s="107"/>
      <c r="AT17" s="107"/>
      <c r="AU17" s="107"/>
      <c r="AV17" s="107"/>
      <c r="AW17" s="107"/>
      <c r="AX17" s="107"/>
      <c r="AY17" s="107"/>
      <c r="AZ17" s="108"/>
      <c r="BA17" s="76"/>
      <c r="BB17" s="77" t="s">
        <v>158</v>
      </c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9"/>
      <c r="BN17" s="77" t="s">
        <v>160</v>
      </c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9"/>
    </row>
    <row r="18">
      <c r="A18" s="110"/>
      <c r="C18" s="111"/>
      <c r="D18" s="119" t="s">
        <v>126</v>
      </c>
      <c r="E18" s="120" t="s">
        <v>127</v>
      </c>
      <c r="F18" s="120" t="s">
        <v>128</v>
      </c>
      <c r="G18" s="121" t="s">
        <v>129</v>
      </c>
      <c r="H18" s="121" t="s">
        <v>130</v>
      </c>
      <c r="I18" s="121" t="s">
        <v>131</v>
      </c>
      <c r="J18" s="121" t="s">
        <v>132</v>
      </c>
      <c r="K18" s="121" t="s">
        <v>133</v>
      </c>
      <c r="L18" s="122" t="s">
        <v>134</v>
      </c>
      <c r="M18" s="123" t="s">
        <v>126</v>
      </c>
      <c r="N18" s="124" t="s">
        <v>127</v>
      </c>
      <c r="O18" s="124" t="s">
        <v>128</v>
      </c>
      <c r="P18" s="125" t="s">
        <v>129</v>
      </c>
      <c r="Q18" s="125" t="s">
        <v>130</v>
      </c>
      <c r="R18" s="126" t="s">
        <v>137</v>
      </c>
      <c r="S18" s="127" t="s">
        <v>138</v>
      </c>
      <c r="T18" s="128" t="s">
        <v>126</v>
      </c>
      <c r="U18" s="128" t="s">
        <v>127</v>
      </c>
      <c r="V18" s="128" t="s">
        <v>128</v>
      </c>
      <c r="W18" s="128" t="s">
        <v>129</v>
      </c>
      <c r="X18" s="128" t="s">
        <v>130</v>
      </c>
      <c r="Y18" s="128" t="s">
        <v>131</v>
      </c>
      <c r="Z18" s="128" t="s">
        <v>132</v>
      </c>
      <c r="AA18" s="128" t="s">
        <v>133</v>
      </c>
      <c r="AB18" s="128" t="s">
        <v>134</v>
      </c>
      <c r="AC18" s="128" t="s">
        <v>137</v>
      </c>
      <c r="AD18" s="128" t="s">
        <v>138</v>
      </c>
      <c r="AE18" s="84" t="s">
        <v>126</v>
      </c>
      <c r="AF18" s="85" t="s">
        <v>127</v>
      </c>
      <c r="AG18" s="85" t="s">
        <v>128</v>
      </c>
      <c r="AH18" s="86" t="s">
        <v>129</v>
      </c>
      <c r="AI18" s="129" t="s">
        <v>130</v>
      </c>
      <c r="AJ18" s="129" t="s">
        <v>131</v>
      </c>
      <c r="AK18" s="129" t="s">
        <v>132</v>
      </c>
      <c r="AL18" s="129" t="s">
        <v>133</v>
      </c>
      <c r="AM18" s="129" t="s">
        <v>134</v>
      </c>
      <c r="AN18" s="129" t="s">
        <v>137</v>
      </c>
      <c r="AO18" s="86" t="s">
        <v>138</v>
      </c>
      <c r="AP18" s="84" t="s">
        <v>126</v>
      </c>
      <c r="AQ18" s="85" t="s">
        <v>127</v>
      </c>
      <c r="AR18" s="85" t="s">
        <v>128</v>
      </c>
      <c r="AS18" s="129" t="s">
        <v>129</v>
      </c>
      <c r="AT18" s="129" t="s">
        <v>130</v>
      </c>
      <c r="AU18" s="129" t="s">
        <v>131</v>
      </c>
      <c r="AV18" s="129" t="s">
        <v>132</v>
      </c>
      <c r="AW18" s="129" t="s">
        <v>133</v>
      </c>
      <c r="AX18" s="129" t="s">
        <v>134</v>
      </c>
      <c r="AY18" s="129" t="s">
        <v>137</v>
      </c>
      <c r="AZ18" s="86" t="s">
        <v>138</v>
      </c>
      <c r="BA18" s="76"/>
      <c r="BB18" s="84" t="s">
        <v>139</v>
      </c>
      <c r="BC18" s="85" t="s">
        <v>140</v>
      </c>
      <c r="BD18" s="85" t="s">
        <v>141</v>
      </c>
      <c r="BE18" s="85" t="s">
        <v>142</v>
      </c>
      <c r="BF18" s="85" t="s">
        <v>143</v>
      </c>
      <c r="BG18" s="85" t="s">
        <v>144</v>
      </c>
      <c r="BH18" s="85" t="s">
        <v>145</v>
      </c>
      <c r="BI18" s="85" t="s">
        <v>146</v>
      </c>
      <c r="BJ18" s="85" t="s">
        <v>147</v>
      </c>
      <c r="BK18" s="85" t="s">
        <v>148</v>
      </c>
      <c r="BL18" s="85" t="s">
        <v>149</v>
      </c>
      <c r="BM18" s="86" t="s">
        <v>150</v>
      </c>
      <c r="BN18" s="128" t="s">
        <v>139</v>
      </c>
      <c r="BO18" s="130" t="s">
        <v>140</v>
      </c>
      <c r="BP18" s="130" t="s">
        <v>141</v>
      </c>
      <c r="BQ18" s="130" t="s">
        <v>142</v>
      </c>
      <c r="BR18" s="130" t="s">
        <v>143</v>
      </c>
      <c r="BS18" s="130" t="s">
        <v>144</v>
      </c>
      <c r="BT18" s="130" t="s">
        <v>145</v>
      </c>
      <c r="BU18" s="130" t="s">
        <v>146</v>
      </c>
      <c r="BV18" s="130" t="s">
        <v>147</v>
      </c>
      <c r="BW18" s="130" t="s">
        <v>148</v>
      </c>
      <c r="BX18" s="130" t="s">
        <v>149</v>
      </c>
      <c r="BY18" s="131" t="s">
        <v>150</v>
      </c>
    </row>
    <row r="19">
      <c r="A19" s="132" t="s">
        <v>125</v>
      </c>
      <c r="B19" s="133" t="s">
        <v>4</v>
      </c>
      <c r="C19" s="134" t="s">
        <v>161</v>
      </c>
      <c r="D19" s="135">
        <f t="shared" ref="D19:L19" si="3">D3</f>
        <v>6</v>
      </c>
      <c r="E19" s="135">
        <f t="shared" si="3"/>
        <v>3</v>
      </c>
      <c r="F19" s="135">
        <f t="shared" si="3"/>
        <v>3</v>
      </c>
      <c r="G19" s="135">
        <f t="shared" si="3"/>
        <v>3</v>
      </c>
      <c r="H19" s="135">
        <f t="shared" si="3"/>
        <v>3</v>
      </c>
      <c r="I19" s="135">
        <f t="shared" si="3"/>
        <v>6</v>
      </c>
      <c r="J19" s="135">
        <f t="shared" si="3"/>
        <v>3</v>
      </c>
      <c r="K19" s="135">
        <f t="shared" si="3"/>
        <v>3</v>
      </c>
      <c r="L19" s="135">
        <f t="shared" si="3"/>
        <v>3</v>
      </c>
      <c r="M19" s="136" t="str">
        <f t="shared" ref="M19:Q19" si="4">D4</f>
        <v/>
      </c>
      <c r="N19" s="136" t="str">
        <f t="shared" si="4"/>
        <v/>
      </c>
      <c r="O19" s="137" t="str">
        <f t="shared" si="4"/>
        <v/>
      </c>
      <c r="P19" s="137" t="str">
        <f t="shared" si="4"/>
        <v/>
      </c>
      <c r="Q19" s="137" t="str">
        <f t="shared" si="4"/>
        <v/>
      </c>
      <c r="R19" s="138">
        <f>M4</f>
        <v>5</v>
      </c>
      <c r="S19" s="139">
        <f>N5</f>
        <v>10</v>
      </c>
      <c r="T19" s="140">
        <f t="shared" ref="T19:AB19" si="5">D19</f>
        <v>6</v>
      </c>
      <c r="U19" s="141">
        <f t="shared" si="5"/>
        <v>3</v>
      </c>
      <c r="V19" s="141">
        <f t="shared" si="5"/>
        <v>3</v>
      </c>
      <c r="W19" s="141">
        <f t="shared" si="5"/>
        <v>3</v>
      </c>
      <c r="X19" s="141">
        <f t="shared" si="5"/>
        <v>3</v>
      </c>
      <c r="Y19" s="141">
        <f t="shared" si="5"/>
        <v>6</v>
      </c>
      <c r="Z19" s="141">
        <f t="shared" si="5"/>
        <v>3</v>
      </c>
      <c r="AA19" s="141">
        <f t="shared" si="5"/>
        <v>3</v>
      </c>
      <c r="AB19" s="141">
        <f t="shared" si="5"/>
        <v>3</v>
      </c>
      <c r="AC19" s="141">
        <f t="shared" ref="AC19:AD19" si="6">R19</f>
        <v>5</v>
      </c>
      <c r="AD19" s="141">
        <f t="shared" si="6"/>
        <v>10</v>
      </c>
      <c r="AE19" s="142">
        <v>1.0</v>
      </c>
      <c r="AF19" s="143">
        <v>1.0</v>
      </c>
      <c r="AG19" s="143">
        <v>1.0</v>
      </c>
      <c r="AH19" s="144">
        <v>1.0</v>
      </c>
      <c r="AI19" s="145">
        <v>1.0</v>
      </c>
      <c r="AJ19" s="145">
        <v>1.0</v>
      </c>
      <c r="AK19" s="145">
        <v>1.0</v>
      </c>
      <c r="AL19" s="145">
        <v>1.0</v>
      </c>
      <c r="AM19" s="145">
        <v>1.0</v>
      </c>
      <c r="AN19" s="145">
        <v>1.0</v>
      </c>
      <c r="AO19" s="144">
        <v>1.0</v>
      </c>
      <c r="AP19" s="146" t="s">
        <v>162</v>
      </c>
      <c r="AQ19" s="107"/>
      <c r="AR19" s="107"/>
      <c r="AS19" s="107"/>
      <c r="AT19" s="107"/>
      <c r="AU19" s="107"/>
      <c r="AV19" s="107"/>
      <c r="AW19" s="107"/>
      <c r="AX19" s="107"/>
      <c r="AY19" s="107"/>
      <c r="AZ19" s="108"/>
      <c r="BA19" s="76"/>
      <c r="BB19" s="147">
        <v>1.0</v>
      </c>
      <c r="BC19" s="148">
        <v>1.0</v>
      </c>
      <c r="BD19" s="148">
        <v>1.0</v>
      </c>
      <c r="BE19" s="148">
        <v>1.0</v>
      </c>
      <c r="BF19" s="148">
        <v>1.0</v>
      </c>
      <c r="BG19" s="148">
        <v>1.0</v>
      </c>
      <c r="BH19" s="148">
        <v>1.0</v>
      </c>
      <c r="BI19" s="148">
        <v>1.0</v>
      </c>
      <c r="BJ19" s="148">
        <v>1.0</v>
      </c>
      <c r="BK19" s="148">
        <v>1.0</v>
      </c>
      <c r="BL19" s="148">
        <v>1.0</v>
      </c>
      <c r="BM19" s="149">
        <v>1.0</v>
      </c>
      <c r="BN19" s="150" t="s">
        <v>163</v>
      </c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2"/>
    </row>
    <row r="20">
      <c r="A20" s="153">
        <v>1.0</v>
      </c>
      <c r="B20" s="154">
        <f>CSE4098B_Spring2026_Grade!B5</f>
        <v>223014152</v>
      </c>
      <c r="C20" s="96" t="str">
        <f>CSE4098B_Spring2026_Grade!C5</f>
        <v>Ahadul Islam Rahul</v>
      </c>
      <c r="D20" s="155">
        <f>'CO Report Evaluation'!AI3</f>
        <v>4.666666667</v>
      </c>
      <c r="E20" s="155">
        <f>'CO Report Evaluation'!AJ3</f>
        <v>2.333333333</v>
      </c>
      <c r="F20" s="155">
        <f>'CO Report Evaluation'!AK3</f>
        <v>3</v>
      </c>
      <c r="G20" s="156">
        <f>'CO Report Evaluation'!AL3</f>
        <v>3</v>
      </c>
      <c r="H20" s="156">
        <f>'CO Report Evaluation'!AM3</f>
        <v>2.333333333</v>
      </c>
      <c r="I20" s="157">
        <f>'CO Report Evaluation'!AN3</f>
        <v>4.333333333</v>
      </c>
      <c r="J20" s="157">
        <f>'CO Report Evaluation'!AO3</f>
        <v>2.666666667</v>
      </c>
      <c r="K20" s="157">
        <f>'CO Report Evaluation'!AP3</f>
        <v>3</v>
      </c>
      <c r="L20" s="158">
        <f>'CO Report Evaluation'!AQ3</f>
        <v>2.666666667</v>
      </c>
      <c r="M20" s="159"/>
      <c r="N20" s="160"/>
      <c r="O20" s="160"/>
      <c r="P20" s="160"/>
      <c r="Q20" s="160"/>
      <c r="R20" s="156">
        <f>CSE4098B_Spring2026_Grade!F5</f>
        <v>2</v>
      </c>
      <c r="S20" s="161">
        <f>((CSE4098B_Spring2026_Grade!E5)*10)/45</f>
        <v>8.197777778</v>
      </c>
      <c r="T20" s="162">
        <f t="shared" ref="T20:AB20" si="7">D20</f>
        <v>4.666666667</v>
      </c>
      <c r="U20" s="163">
        <f t="shared" si="7"/>
        <v>2.333333333</v>
      </c>
      <c r="V20" s="163">
        <f t="shared" si="7"/>
        <v>3</v>
      </c>
      <c r="W20" s="163">
        <f t="shared" si="7"/>
        <v>3</v>
      </c>
      <c r="X20" s="163">
        <f t="shared" si="7"/>
        <v>2.333333333</v>
      </c>
      <c r="Y20" s="163">
        <f t="shared" si="7"/>
        <v>4.333333333</v>
      </c>
      <c r="Z20" s="163">
        <f t="shared" si="7"/>
        <v>2.666666667</v>
      </c>
      <c r="AA20" s="163">
        <f t="shared" si="7"/>
        <v>3</v>
      </c>
      <c r="AB20" s="163">
        <f t="shared" si="7"/>
        <v>2.666666667</v>
      </c>
      <c r="AC20" s="163">
        <f t="shared" ref="AC20:AD20" si="8">R20</f>
        <v>2</v>
      </c>
      <c r="AD20" s="163">
        <f t="shared" si="8"/>
        <v>8.197777778</v>
      </c>
      <c r="AE20" s="164">
        <f t="shared" ref="AE20:AO20" si="9">IF(T20 = 0, 0, T20/T$19)</f>
        <v>0.7777777778</v>
      </c>
      <c r="AF20" s="164">
        <f t="shared" si="9"/>
        <v>0.7777777778</v>
      </c>
      <c r="AG20" s="164">
        <f t="shared" si="9"/>
        <v>1</v>
      </c>
      <c r="AH20" s="164">
        <f t="shared" si="9"/>
        <v>1</v>
      </c>
      <c r="AI20" s="164">
        <f t="shared" si="9"/>
        <v>0.7777777778</v>
      </c>
      <c r="AJ20" s="164">
        <f t="shared" si="9"/>
        <v>0.7222222222</v>
      </c>
      <c r="AK20" s="164">
        <f t="shared" si="9"/>
        <v>0.8888888889</v>
      </c>
      <c r="AL20" s="164">
        <f t="shared" si="9"/>
        <v>1</v>
      </c>
      <c r="AM20" s="164">
        <f t="shared" si="9"/>
        <v>0.8888888889</v>
      </c>
      <c r="AN20" s="164">
        <f t="shared" si="9"/>
        <v>0.4</v>
      </c>
      <c r="AO20" s="164">
        <f t="shared" si="9"/>
        <v>0.8197777778</v>
      </c>
      <c r="AP20" s="165">
        <f>IF(OR(CSE4098B_Spring2026_Grade!$I5="W (Withdrawn)", CSE4098B_Spring2026_Grade!$I5="I (Incomplete)"), 0, IF(AE20&gt;=55%, 1, 0))</f>
        <v>1</v>
      </c>
      <c r="AQ20" s="165">
        <f>IF(OR(CSE4098B_Spring2026_Grade!$I5="W (Withdrawn)", CSE4098B_Spring2026_Grade!$I5="I (Incomplete)"), 0, IF(AF20&gt;=55%, 1, 0))</f>
        <v>1</v>
      </c>
      <c r="AR20" s="165">
        <f>IF(OR(CSE4098B_Spring2026_Grade!$I5="W (Withdrawn)", CSE4098B_Spring2026_Grade!$I5="I (Incomplete)"), 0, IF(AG20&gt;=55%, 1, 0))</f>
        <v>1</v>
      </c>
      <c r="AS20" s="165">
        <f>IF(OR(CSE4098B_Spring2026_Grade!$I5="W (Withdrawn)", CSE4098B_Spring2026_Grade!$I5="I (Incomplete)"), 0, IF(AH20&gt;=55%, 1, 0))</f>
        <v>1</v>
      </c>
      <c r="AT20" s="165">
        <f>IF(OR(CSE4098B_Spring2026_Grade!$I5="W (Withdrawn)", CSE4098B_Spring2026_Grade!$I5="I (Incomplete)"), 0, IF(AI20&gt;=55%, 1, 0))</f>
        <v>1</v>
      </c>
      <c r="AU20" s="165">
        <f>IF(OR(CSE4098B_Spring2026_Grade!$I5="W (Withdrawn)", CSE4098B_Spring2026_Grade!$I5="I (Incomplete)"), 0, IF(AJ20&gt;=55%, 1, 0))</f>
        <v>1</v>
      </c>
      <c r="AV20" s="165">
        <f>IF(OR(CSE4098B_Spring2026_Grade!$I5="W (Withdrawn)", CSE4098B_Spring2026_Grade!$I5="I (Incomplete)"), 0, IF(AK20&gt;=55%, 1, 0))</f>
        <v>1</v>
      </c>
      <c r="AW20" s="165">
        <f>IF(OR(CSE4098B_Spring2026_Grade!$I5="W (Withdrawn)", CSE4098B_Spring2026_Grade!$I5="I (Incomplete)"), 0, IF(AL20&gt;=55%, 1, 0))</f>
        <v>1</v>
      </c>
      <c r="AX20" s="165">
        <f>IF(OR(CSE4098B_Spring2026_Grade!$I5="W (Withdrawn)", CSE4098B_Spring2026_Grade!$I5="I (Incomplete)"), 0, IF(AM20&gt;=55%, 1, 0))</f>
        <v>1</v>
      </c>
      <c r="AY20" s="165">
        <f>IF(OR(CSE4098B_Spring2026_Grade!$I5="W (Withdrawn)", CSE4098B_Spring2026_Grade!$I5="I (Incomplete)"), 0, IF(AN20&gt;=55%, 1, 0))</f>
        <v>0</v>
      </c>
      <c r="AZ20" s="165">
        <f>IF(OR(CSE4098B_Spring2026_Grade!$I5="W (Withdrawn)", CSE4098B_Spring2026_Grade!$I5="I (Incomplete)"), 0, IF(AO20&gt;=55%, 1, 0))</f>
        <v>1</v>
      </c>
      <c r="BA20" s="76"/>
      <c r="BB20" s="166">
        <f t="shared" ref="BB20:BB87" si="13">IF($BA$14=0,0,MMULT($AE20:$AO20, BA$3:BA$13)/$BA$14)</f>
        <v>0</v>
      </c>
      <c r="BC20" s="166">
        <f t="shared" ref="BC20:BC87" si="14">IF($BB$14=0,0,MMULT($AE20:$AO20, BB$3:BB$13)/$BB$14)</f>
        <v>0.7777777778</v>
      </c>
      <c r="BD20" s="166">
        <f t="array" ref="BD20">IF($BC$14=0,0,MMULT($AE20:$AO20, BC$3:BC$13)/$BC$14)</f>
        <v>0.7777777778</v>
      </c>
      <c r="BE20" s="166">
        <f t="array" ref="BE20">IF($BD$14=0,0,MMULT($AE20:$AO20, BD$3:BD$13)/$BD$14)</f>
        <v>0.7222222222</v>
      </c>
      <c r="BF20" s="166">
        <f t="shared" ref="BF20:BF87" si="15">IF($BE$14=0,0,MMULT($AE20:$AO20, BE$3:BE$13)/$BE$14)</f>
        <v>1</v>
      </c>
      <c r="BG20" s="166">
        <f t="array" ref="BG20">IF($BF$14=0,0,MMULT($AE20:$AO20, BF$3:BF$13)/$BF$14)</f>
        <v>0.8888888889</v>
      </c>
      <c r="BH20" s="166">
        <f t="array" ref="BH20">IF($BG$14=0,0,MMULT($AE20:$AO20, BG$3:BG$13)/$BG$14)</f>
        <v>1</v>
      </c>
      <c r="BI20" s="166">
        <f t="array" ref="BI20">IF($BH$14=0,0,MMULT($AE20:$AO20, BH$3:BH$13)/$BH$14)</f>
        <v>0.8888888889</v>
      </c>
      <c r="BJ20" s="166">
        <f t="array" ref="BJ20">IF($BI$14=0,0,MMULT($AE20:$AO20, BI$3:BI$13)/$BI$14)</f>
        <v>0.4</v>
      </c>
      <c r="BK20" s="166">
        <f t="array" ref="BK20">IF($BJ$14=0,0,MMULT($AE20:$AO20, BJ$3:BJ$13)/$BJ$14)</f>
        <v>0.8197777778</v>
      </c>
      <c r="BL20" s="166">
        <f t="shared" ref="BL20:BL87" si="16">IF($BK$14=0,0,MMULT($AE20:$AO20, BK$3:BK$13)/$BK$14)</f>
        <v>1</v>
      </c>
      <c r="BM20" s="166">
        <f t="shared" ref="BM20:BM87" si="17">IF($BL$14=0,0,MMULT($AE20:$AO20, BL$3:BL$13)/$BL$14)</f>
        <v>0.7777777778</v>
      </c>
      <c r="BN20" s="165">
        <f>IF(OR(CSE4098B_Spring2026_Grade!$I5="W (Withdrawn)", CSE4098B_Spring2026_Grade!$I5="I (Incomplete)"), 0, IF(BB20&gt;=55%, 1, 0))</f>
        <v>0</v>
      </c>
      <c r="BO20" s="165">
        <f>IF(OR(CSE4098B_Spring2026_Grade!$I5="W (Withdrawn)", CSE4098B_Spring2026_Grade!$I5="I (Incomplete)"), 0, IF(BC20&gt;=55%, 1, 0))</f>
        <v>1</v>
      </c>
      <c r="BP20" s="165">
        <f>IF(OR(CSE4098B_Spring2026_Grade!$I5="W (Withdrawn)", CSE4098B_Spring2026_Grade!$I5="I (Incomplete)"), 0, IF(BD20&gt;=55%, 1, 0))</f>
        <v>1</v>
      </c>
      <c r="BQ20" s="165">
        <f>IF(OR(CSE4098B_Spring2026_Grade!$I5="W (Withdrawn)", CSE4098B_Spring2026_Grade!$I5="I (Incomplete)"), 0, IF(BE20&gt;=55%, 1, 0))</f>
        <v>1</v>
      </c>
      <c r="BR20" s="165">
        <f>IF(OR(CSE4098B_Spring2026_Grade!$I5="W (Withdrawn)", CSE4098B_Spring2026_Grade!$I5="I (Incomplete)"), 0, IF(BF20&gt;=55%, 1, 0))</f>
        <v>1</v>
      </c>
      <c r="BS20" s="165">
        <f>IF(OR(CSE4098B_Spring2026_Grade!$I5="W (Withdrawn)", CSE4098B_Spring2026_Grade!$I5="I (Incomplete)"), 0, IF(BG20&gt;=55%, 1, 0))</f>
        <v>1</v>
      </c>
      <c r="BT20" s="165">
        <f>IF(OR(CSE4098B_Spring2026_Grade!$I5="W (Withdrawn)", CSE4098B_Spring2026_Grade!$I5="I (Incomplete)"), 0, IF(BH20&gt;=55%, 1, 0))</f>
        <v>1</v>
      </c>
      <c r="BU20" s="165">
        <f>IF(OR(CSE4098B_Spring2026_Grade!$I5="W (Withdrawn)", CSE4098B_Spring2026_Grade!$I5="I (Incomplete)"), 0, IF(BI20&gt;=55%, 1, 0))</f>
        <v>1</v>
      </c>
      <c r="BV20" s="165">
        <f>IF(OR(CSE4098B_Spring2026_Grade!$I5="W (Withdrawn)", CSE4098B_Spring2026_Grade!$I5="I (Incomplete)"), 0, IF(BJ20&gt;=55%, 1, 0))</f>
        <v>0</v>
      </c>
      <c r="BW20" s="165">
        <f>IF(OR(CSE4098B_Spring2026_Grade!$I5="W (Withdrawn)", CSE4098B_Spring2026_Grade!$I5="I (Incomplete)"), 0, IF(BK20&gt;=55%, 1, 0))</f>
        <v>1</v>
      </c>
      <c r="BX20" s="165">
        <f>IF(OR(CSE4098B_Spring2026_Grade!$I5="W (Withdrawn)", CSE4098B_Spring2026_Grade!$I5="I (Incomplete)"), 0, IF(BL20&gt;=55%, 1, 0))</f>
        <v>1</v>
      </c>
      <c r="BY20" s="165">
        <f>IF(OR(CSE4098B_Spring2026_Grade!$I5="W (Withdrawn)", CSE4098B_Spring2026_Grade!$I5="I (Incomplete)"), 0, IF(BM20&gt;=55%, 1, 0))</f>
        <v>1</v>
      </c>
    </row>
    <row r="21">
      <c r="A21" s="153">
        <v>2.0</v>
      </c>
      <c r="B21" s="154">
        <f>CSE4098B_Spring2026_Grade!B6</f>
        <v>223014049</v>
      </c>
      <c r="C21" s="96" t="str">
        <f>CSE4098B_Spring2026_Grade!C6</f>
        <v>Md. Sojib Al Hasan</v>
      </c>
      <c r="D21" s="155">
        <f>'CO Report Evaluation'!AI4</f>
        <v>4.666666667</v>
      </c>
      <c r="E21" s="155">
        <f>'CO Report Evaluation'!AJ4</f>
        <v>2.333333333</v>
      </c>
      <c r="F21" s="155">
        <f>'CO Report Evaluation'!AK4</f>
        <v>3</v>
      </c>
      <c r="G21" s="156">
        <f>'CO Report Evaluation'!AL4</f>
        <v>3</v>
      </c>
      <c r="H21" s="156">
        <f>'CO Report Evaluation'!AM4</f>
        <v>2.333333333</v>
      </c>
      <c r="I21" s="157">
        <f>'CO Report Evaluation'!AN4</f>
        <v>4.333333333</v>
      </c>
      <c r="J21" s="157">
        <f>'CO Report Evaluation'!AO4</f>
        <v>2.666666667</v>
      </c>
      <c r="K21" s="157">
        <f>'CO Report Evaluation'!AP4</f>
        <v>3</v>
      </c>
      <c r="L21" s="158">
        <f>'CO Report Evaluation'!AQ4</f>
        <v>2.666666667</v>
      </c>
      <c r="M21" s="159"/>
      <c r="N21" s="160"/>
      <c r="O21" s="160"/>
      <c r="P21" s="160"/>
      <c r="Q21" s="160"/>
      <c r="R21" s="156">
        <f>CSE4098B_Spring2026_Grade!F6</f>
        <v>3</v>
      </c>
      <c r="S21" s="161">
        <f>((CSE4098B_Spring2026_Grade!E6)*10)/45</f>
        <v>8.815555556</v>
      </c>
      <c r="T21" s="162">
        <f t="shared" ref="T21:AB21" si="10">D21</f>
        <v>4.666666667</v>
      </c>
      <c r="U21" s="163">
        <f t="shared" si="10"/>
        <v>2.333333333</v>
      </c>
      <c r="V21" s="163">
        <f t="shared" si="10"/>
        <v>3</v>
      </c>
      <c r="W21" s="163">
        <f t="shared" si="10"/>
        <v>3</v>
      </c>
      <c r="X21" s="163">
        <f t="shared" si="10"/>
        <v>2.333333333</v>
      </c>
      <c r="Y21" s="163">
        <f t="shared" si="10"/>
        <v>4.333333333</v>
      </c>
      <c r="Z21" s="163">
        <f t="shared" si="10"/>
        <v>2.666666667</v>
      </c>
      <c r="AA21" s="163">
        <f t="shared" si="10"/>
        <v>3</v>
      </c>
      <c r="AB21" s="163">
        <f t="shared" si="10"/>
        <v>2.666666667</v>
      </c>
      <c r="AC21" s="163">
        <f t="shared" ref="AC21:AD21" si="11">R21</f>
        <v>3</v>
      </c>
      <c r="AD21" s="163">
        <f t="shared" si="11"/>
        <v>8.815555556</v>
      </c>
      <c r="AE21" s="164">
        <f t="shared" ref="AE21:AO21" si="12">IF(T21 = 0, 0, T21/T$19)</f>
        <v>0.7777777778</v>
      </c>
      <c r="AF21" s="164">
        <f t="shared" si="12"/>
        <v>0.7777777778</v>
      </c>
      <c r="AG21" s="164">
        <f t="shared" si="12"/>
        <v>1</v>
      </c>
      <c r="AH21" s="164">
        <f t="shared" si="12"/>
        <v>1</v>
      </c>
      <c r="AI21" s="164">
        <f t="shared" si="12"/>
        <v>0.7777777778</v>
      </c>
      <c r="AJ21" s="164">
        <f t="shared" si="12"/>
        <v>0.7222222222</v>
      </c>
      <c r="AK21" s="164">
        <f t="shared" si="12"/>
        <v>0.8888888889</v>
      </c>
      <c r="AL21" s="164">
        <f t="shared" si="12"/>
        <v>1</v>
      </c>
      <c r="AM21" s="164">
        <f t="shared" si="12"/>
        <v>0.8888888889</v>
      </c>
      <c r="AN21" s="164">
        <f t="shared" si="12"/>
        <v>0.6</v>
      </c>
      <c r="AO21" s="164">
        <f t="shared" si="12"/>
        <v>0.8815555556</v>
      </c>
      <c r="AP21" s="165">
        <f>IF(OR(CSE4098B_Spring2026_Grade!$I6="W (Withdrawn)", CSE4098B_Spring2026_Grade!$I6="I (Incomplete)"), 0, IF(AE21&gt;=55%, 1, 0))</f>
        <v>1</v>
      </c>
      <c r="AQ21" s="165">
        <f>IF(OR(CSE4098B_Spring2026_Grade!$I6="W (Withdrawn)", CSE4098B_Spring2026_Grade!$I6="I (Incomplete)"), 0, IF(AF21&gt;=55%, 1, 0))</f>
        <v>1</v>
      </c>
      <c r="AR21" s="165">
        <f>IF(OR(CSE4098B_Spring2026_Grade!$I6="W (Withdrawn)", CSE4098B_Spring2026_Grade!$I6="I (Incomplete)"), 0, IF(AG21&gt;=55%, 1, 0))</f>
        <v>1</v>
      </c>
      <c r="AS21" s="165">
        <f>IF(OR(CSE4098B_Spring2026_Grade!$I6="W (Withdrawn)", CSE4098B_Spring2026_Grade!$I6="I (Incomplete)"), 0, IF(AH21&gt;=55%, 1, 0))</f>
        <v>1</v>
      </c>
      <c r="AT21" s="165">
        <f>IF(OR(CSE4098B_Spring2026_Grade!$I6="W (Withdrawn)", CSE4098B_Spring2026_Grade!$I6="I (Incomplete)"), 0, IF(AI21&gt;=55%, 1, 0))</f>
        <v>1</v>
      </c>
      <c r="AU21" s="165">
        <f>IF(OR(CSE4098B_Spring2026_Grade!$I6="W (Withdrawn)", CSE4098B_Spring2026_Grade!$I6="I (Incomplete)"), 0, IF(AJ21&gt;=55%, 1, 0))</f>
        <v>1</v>
      </c>
      <c r="AV21" s="165">
        <f>IF(OR(CSE4098B_Spring2026_Grade!$I6="W (Withdrawn)", CSE4098B_Spring2026_Grade!$I6="I (Incomplete)"), 0, IF(AK21&gt;=55%, 1, 0))</f>
        <v>1</v>
      </c>
      <c r="AW21" s="165">
        <f>IF(OR(CSE4098B_Spring2026_Grade!$I6="W (Withdrawn)", CSE4098B_Spring2026_Grade!$I6="I (Incomplete)"), 0, IF(AL21&gt;=55%, 1, 0))</f>
        <v>1</v>
      </c>
      <c r="AX21" s="165">
        <f>IF(OR(CSE4098B_Spring2026_Grade!$I6="W (Withdrawn)", CSE4098B_Spring2026_Grade!$I6="I (Incomplete)"), 0, IF(AM21&gt;=55%, 1, 0))</f>
        <v>1</v>
      </c>
      <c r="AY21" s="165">
        <f>IF(OR(CSE4098B_Spring2026_Grade!$I6="W (Withdrawn)", CSE4098B_Spring2026_Grade!$I6="I (Incomplete)"), 0, IF(AN21&gt;=55%, 1, 0))</f>
        <v>1</v>
      </c>
      <c r="AZ21" s="165">
        <f>IF(OR(CSE4098B_Spring2026_Grade!$I6="W (Withdrawn)", CSE4098B_Spring2026_Grade!$I6="I (Incomplete)"), 0, IF(AO21&gt;=55%, 1, 0))</f>
        <v>1</v>
      </c>
      <c r="BA21" s="76"/>
      <c r="BB21" s="166">
        <f t="shared" si="13"/>
        <v>0</v>
      </c>
      <c r="BC21" s="166">
        <f t="shared" si="14"/>
        <v>0.7777777778</v>
      </c>
      <c r="BD21" s="166">
        <f t="array" ref="BD21">IF($BC$14=0,0,MMULT($AE21:$AO21, BC$3:BC$13)/$BC$14)</f>
        <v>0.7777777778</v>
      </c>
      <c r="BE21" s="166">
        <f t="array" ref="BE21">IF($BD$14=0,0,MMULT($AE21:$AO21, BD$3:BD$13)/$BD$14)</f>
        <v>0.7222222222</v>
      </c>
      <c r="BF21" s="166">
        <f t="shared" si="15"/>
        <v>1</v>
      </c>
      <c r="BG21" s="166">
        <f t="array" ref="BG21">IF($BF$14=0,0,MMULT($AE21:$AO21, BF$3:BF$13)/$BF$14)</f>
        <v>0.8888888889</v>
      </c>
      <c r="BH21" s="166">
        <f t="array" ref="BH21">IF($BG$14=0,0,MMULT($AE21:$AO21, BG$3:BG$13)/$BG$14)</f>
        <v>1</v>
      </c>
      <c r="BI21" s="166">
        <f t="array" ref="BI21">IF($BH$14=0,0,MMULT($AE21:$AO21, BH$3:BH$13)/$BH$14)</f>
        <v>0.8888888889</v>
      </c>
      <c r="BJ21" s="166">
        <f t="array" ref="BJ21">IF($BI$14=0,0,MMULT($AE21:$AO21, BI$3:BI$13)/$BI$14)</f>
        <v>0.6</v>
      </c>
      <c r="BK21" s="166">
        <f t="array" ref="BK21">IF($BJ$14=0,0,MMULT($AE21:$AO21, BJ$3:BJ$13)/$BJ$14)</f>
        <v>0.8815555556</v>
      </c>
      <c r="BL21" s="166">
        <f t="shared" si="16"/>
        <v>1</v>
      </c>
      <c r="BM21" s="166">
        <f t="shared" si="17"/>
        <v>0.7777777778</v>
      </c>
      <c r="BN21" s="165">
        <f>IF(OR(CSE4098B_Spring2026_Grade!$I6="W (Withdrawn)", CSE4098B_Spring2026_Grade!$I6="I (Incomplete)"), 0, IF(BB21&gt;=55%, 1, 0))</f>
        <v>0</v>
      </c>
      <c r="BO21" s="165">
        <f>IF(OR(CSE4098B_Spring2026_Grade!$I6="W (Withdrawn)", CSE4098B_Spring2026_Grade!$I6="I (Incomplete)"), 0, IF(BC21&gt;=55%, 1, 0))</f>
        <v>1</v>
      </c>
      <c r="BP21" s="165">
        <f>IF(OR(CSE4098B_Spring2026_Grade!$I6="W (Withdrawn)", CSE4098B_Spring2026_Grade!$I6="I (Incomplete)"), 0, IF(BD21&gt;=55%, 1, 0))</f>
        <v>1</v>
      </c>
      <c r="BQ21" s="165">
        <f>IF(OR(CSE4098B_Spring2026_Grade!$I6="W (Withdrawn)", CSE4098B_Spring2026_Grade!$I6="I (Incomplete)"), 0, IF(BE21&gt;=55%, 1, 0))</f>
        <v>1</v>
      </c>
      <c r="BR21" s="165">
        <f>IF(OR(CSE4098B_Spring2026_Grade!$I6="W (Withdrawn)", CSE4098B_Spring2026_Grade!$I6="I (Incomplete)"), 0, IF(BF21&gt;=55%, 1, 0))</f>
        <v>1</v>
      </c>
      <c r="BS21" s="165">
        <f>IF(OR(CSE4098B_Spring2026_Grade!$I6="W (Withdrawn)", CSE4098B_Spring2026_Grade!$I6="I (Incomplete)"), 0, IF(BG21&gt;=55%, 1, 0))</f>
        <v>1</v>
      </c>
      <c r="BT21" s="165">
        <f>IF(OR(CSE4098B_Spring2026_Grade!$I6="W (Withdrawn)", CSE4098B_Spring2026_Grade!$I6="I (Incomplete)"), 0, IF(BH21&gt;=55%, 1, 0))</f>
        <v>1</v>
      </c>
      <c r="BU21" s="165">
        <f>IF(OR(CSE4098B_Spring2026_Grade!$I6="W (Withdrawn)", CSE4098B_Spring2026_Grade!$I6="I (Incomplete)"), 0, IF(BI21&gt;=55%, 1, 0))</f>
        <v>1</v>
      </c>
      <c r="BV21" s="165">
        <f>IF(OR(CSE4098B_Spring2026_Grade!$I6="W (Withdrawn)", CSE4098B_Spring2026_Grade!$I6="I (Incomplete)"), 0, IF(BJ21&gt;=55%, 1, 0))</f>
        <v>1</v>
      </c>
      <c r="BW21" s="165">
        <f>IF(OR(CSE4098B_Spring2026_Grade!$I6="W (Withdrawn)", CSE4098B_Spring2026_Grade!$I6="I (Incomplete)"), 0, IF(BK21&gt;=55%, 1, 0))</f>
        <v>1</v>
      </c>
      <c r="BX21" s="165">
        <f>IF(OR(CSE4098B_Spring2026_Grade!$I6="W (Withdrawn)", CSE4098B_Spring2026_Grade!$I6="I (Incomplete)"), 0, IF(BL21&gt;=55%, 1, 0))</f>
        <v>1</v>
      </c>
      <c r="BY21" s="165">
        <f>IF(OR(CSE4098B_Spring2026_Grade!$I6="W (Withdrawn)", CSE4098B_Spring2026_Grade!$I6="I (Incomplete)"), 0, IF(BM21&gt;=55%, 1, 0))</f>
        <v>1</v>
      </c>
    </row>
    <row r="22">
      <c r="A22" s="153">
        <v>3.0</v>
      </c>
      <c r="B22" s="154">
        <f>CSE4098B_Spring2026_Grade!B7</f>
        <v>222014039</v>
      </c>
      <c r="C22" s="96" t="str">
        <f>CSE4098B_Spring2026_Grade!C7</f>
        <v>Nadia Akter Jui</v>
      </c>
      <c r="D22" s="155">
        <f>'CO Report Evaluation'!AI5</f>
        <v>4.666666667</v>
      </c>
      <c r="E22" s="155">
        <f>'CO Report Evaluation'!AJ5</f>
        <v>2.333333333</v>
      </c>
      <c r="F22" s="155">
        <f>'CO Report Evaluation'!AK5</f>
        <v>3</v>
      </c>
      <c r="G22" s="156">
        <f>'CO Report Evaluation'!AL5</f>
        <v>3</v>
      </c>
      <c r="H22" s="156">
        <f>'CO Report Evaluation'!AM5</f>
        <v>2.333333333</v>
      </c>
      <c r="I22" s="157">
        <f>'CO Report Evaluation'!AN5</f>
        <v>4.333333333</v>
      </c>
      <c r="J22" s="157">
        <f>'CO Report Evaluation'!AO5</f>
        <v>2.666666667</v>
      </c>
      <c r="K22" s="157">
        <f>'CO Report Evaluation'!AP5</f>
        <v>3</v>
      </c>
      <c r="L22" s="158">
        <f>'CO Report Evaluation'!AQ5</f>
        <v>2.666666667</v>
      </c>
      <c r="M22" s="159"/>
      <c r="N22" s="160"/>
      <c r="O22" s="160"/>
      <c r="P22" s="160"/>
      <c r="Q22" s="160"/>
      <c r="R22" s="156">
        <f>CSE4098B_Spring2026_Grade!F7</f>
        <v>2</v>
      </c>
      <c r="S22" s="161">
        <f>((CSE4098B_Spring2026_Grade!E7)*10)/45</f>
        <v>7.208888889</v>
      </c>
      <c r="T22" s="162">
        <f t="shared" ref="T22:AB22" si="18">D22</f>
        <v>4.666666667</v>
      </c>
      <c r="U22" s="163">
        <f t="shared" si="18"/>
        <v>2.333333333</v>
      </c>
      <c r="V22" s="163">
        <f t="shared" si="18"/>
        <v>3</v>
      </c>
      <c r="W22" s="163">
        <f t="shared" si="18"/>
        <v>3</v>
      </c>
      <c r="X22" s="163">
        <f t="shared" si="18"/>
        <v>2.333333333</v>
      </c>
      <c r="Y22" s="163">
        <f t="shared" si="18"/>
        <v>4.333333333</v>
      </c>
      <c r="Z22" s="163">
        <f t="shared" si="18"/>
        <v>2.666666667</v>
      </c>
      <c r="AA22" s="163">
        <f t="shared" si="18"/>
        <v>3</v>
      </c>
      <c r="AB22" s="163">
        <f t="shared" si="18"/>
        <v>2.666666667</v>
      </c>
      <c r="AC22" s="163">
        <f t="shared" ref="AC22:AD22" si="19">R22</f>
        <v>2</v>
      </c>
      <c r="AD22" s="163">
        <f t="shared" si="19"/>
        <v>7.208888889</v>
      </c>
      <c r="AE22" s="164">
        <f t="shared" ref="AE22:AO22" si="20">IF(T22 = 0, 0, T22/T$19)</f>
        <v>0.7777777778</v>
      </c>
      <c r="AF22" s="164">
        <f t="shared" si="20"/>
        <v>0.7777777778</v>
      </c>
      <c r="AG22" s="164">
        <f t="shared" si="20"/>
        <v>1</v>
      </c>
      <c r="AH22" s="164">
        <f t="shared" si="20"/>
        <v>1</v>
      </c>
      <c r="AI22" s="164">
        <f t="shared" si="20"/>
        <v>0.7777777778</v>
      </c>
      <c r="AJ22" s="164">
        <f t="shared" si="20"/>
        <v>0.7222222222</v>
      </c>
      <c r="AK22" s="164">
        <f t="shared" si="20"/>
        <v>0.8888888889</v>
      </c>
      <c r="AL22" s="164">
        <f t="shared" si="20"/>
        <v>1</v>
      </c>
      <c r="AM22" s="164">
        <f t="shared" si="20"/>
        <v>0.8888888889</v>
      </c>
      <c r="AN22" s="164">
        <f t="shared" si="20"/>
        <v>0.4</v>
      </c>
      <c r="AO22" s="164">
        <f t="shared" si="20"/>
        <v>0.7208888889</v>
      </c>
      <c r="AP22" s="165">
        <f>IF(OR(CSE4098B_Spring2026_Grade!$I7="W (Withdrawn)", CSE4098B_Spring2026_Grade!$I7="I (Incomplete)"), 0, IF(AE22&gt;=55%, 1, 0))</f>
        <v>1</v>
      </c>
      <c r="AQ22" s="165">
        <f>IF(OR(CSE4098B_Spring2026_Grade!$I7="W (Withdrawn)", CSE4098B_Spring2026_Grade!$I7="I (Incomplete)"), 0, IF(AF22&gt;=55%, 1, 0))</f>
        <v>1</v>
      </c>
      <c r="AR22" s="165">
        <f>IF(OR(CSE4098B_Spring2026_Grade!$I7="W (Withdrawn)", CSE4098B_Spring2026_Grade!$I7="I (Incomplete)"), 0, IF(AG22&gt;=55%, 1, 0))</f>
        <v>1</v>
      </c>
      <c r="AS22" s="165">
        <f>IF(OR(CSE4098B_Spring2026_Grade!$I7="W (Withdrawn)", CSE4098B_Spring2026_Grade!$I7="I (Incomplete)"), 0, IF(AH22&gt;=55%, 1, 0))</f>
        <v>1</v>
      </c>
      <c r="AT22" s="165">
        <f>IF(OR(CSE4098B_Spring2026_Grade!$I7="W (Withdrawn)", CSE4098B_Spring2026_Grade!$I7="I (Incomplete)"), 0, IF(AI22&gt;=55%, 1, 0))</f>
        <v>1</v>
      </c>
      <c r="AU22" s="165">
        <f>IF(OR(CSE4098B_Spring2026_Grade!$I7="W (Withdrawn)", CSE4098B_Spring2026_Grade!$I7="I (Incomplete)"), 0, IF(AJ22&gt;=55%, 1, 0))</f>
        <v>1</v>
      </c>
      <c r="AV22" s="165">
        <f>IF(OR(CSE4098B_Spring2026_Grade!$I7="W (Withdrawn)", CSE4098B_Spring2026_Grade!$I7="I (Incomplete)"), 0, IF(AK22&gt;=55%, 1, 0))</f>
        <v>1</v>
      </c>
      <c r="AW22" s="165">
        <f>IF(OR(CSE4098B_Spring2026_Grade!$I7="W (Withdrawn)", CSE4098B_Spring2026_Grade!$I7="I (Incomplete)"), 0, IF(AL22&gt;=55%, 1, 0))</f>
        <v>1</v>
      </c>
      <c r="AX22" s="165">
        <f>IF(OR(CSE4098B_Spring2026_Grade!$I7="W (Withdrawn)", CSE4098B_Spring2026_Grade!$I7="I (Incomplete)"), 0, IF(AM22&gt;=55%, 1, 0))</f>
        <v>1</v>
      </c>
      <c r="AY22" s="165">
        <f>IF(OR(CSE4098B_Spring2026_Grade!$I7="W (Withdrawn)", CSE4098B_Spring2026_Grade!$I7="I (Incomplete)"), 0, IF(AN22&gt;=55%, 1, 0))</f>
        <v>0</v>
      </c>
      <c r="AZ22" s="165">
        <f>IF(OR(CSE4098B_Spring2026_Grade!$I7="W (Withdrawn)", CSE4098B_Spring2026_Grade!$I7="I (Incomplete)"), 0, IF(AO22&gt;=55%, 1, 0))</f>
        <v>1</v>
      </c>
      <c r="BA22" s="76"/>
      <c r="BB22" s="166">
        <f t="shared" si="13"/>
        <v>0</v>
      </c>
      <c r="BC22" s="166">
        <f t="shared" si="14"/>
        <v>0.7777777778</v>
      </c>
      <c r="BD22" s="166">
        <f t="array" ref="BD22">IF($BC$14=0,0,MMULT($AE22:$AO22, BC$3:BC$13)/$BC$14)</f>
        <v>0.7777777778</v>
      </c>
      <c r="BE22" s="166">
        <f t="array" ref="BE22">IF($BD$14=0,0,MMULT($AE22:$AO22, BD$3:BD$13)/$BD$14)</f>
        <v>0.7222222222</v>
      </c>
      <c r="BF22" s="166">
        <f t="shared" si="15"/>
        <v>1</v>
      </c>
      <c r="BG22" s="166">
        <f t="array" ref="BG22">IF($BF$14=0,0,MMULT($AE22:$AO22, BF$3:BF$13)/$BF$14)</f>
        <v>0.8888888889</v>
      </c>
      <c r="BH22" s="166">
        <f t="array" ref="BH22">IF($BG$14=0,0,MMULT($AE22:$AO22, BG$3:BG$13)/$BG$14)</f>
        <v>1</v>
      </c>
      <c r="BI22" s="166">
        <f t="array" ref="BI22">IF($BH$14=0,0,MMULT($AE22:$AO22, BH$3:BH$13)/$BH$14)</f>
        <v>0.8888888889</v>
      </c>
      <c r="BJ22" s="166">
        <f t="array" ref="BJ22">IF($BI$14=0,0,MMULT($AE22:$AO22, BI$3:BI$13)/$BI$14)</f>
        <v>0.4</v>
      </c>
      <c r="BK22" s="166">
        <f t="array" ref="BK22">IF($BJ$14=0,0,MMULT($AE22:$AO22, BJ$3:BJ$13)/$BJ$14)</f>
        <v>0.7208888889</v>
      </c>
      <c r="BL22" s="166">
        <f t="shared" si="16"/>
        <v>1</v>
      </c>
      <c r="BM22" s="166">
        <f t="shared" si="17"/>
        <v>0.7777777778</v>
      </c>
      <c r="BN22" s="165">
        <f>IF(OR(CSE4098B_Spring2026_Grade!$I7="W (Withdrawn)", CSE4098B_Spring2026_Grade!$I7="I (Incomplete)"), 0, IF(BB22&gt;=55%, 1, 0))</f>
        <v>0</v>
      </c>
      <c r="BO22" s="165">
        <f>IF(OR(CSE4098B_Spring2026_Grade!$I7="W (Withdrawn)", CSE4098B_Spring2026_Grade!$I7="I (Incomplete)"), 0, IF(BC22&gt;=55%, 1, 0))</f>
        <v>1</v>
      </c>
      <c r="BP22" s="165">
        <f>IF(OR(CSE4098B_Spring2026_Grade!$I7="W (Withdrawn)", CSE4098B_Spring2026_Grade!$I7="I (Incomplete)"), 0, IF(BD22&gt;=55%, 1, 0))</f>
        <v>1</v>
      </c>
      <c r="BQ22" s="165">
        <f>IF(OR(CSE4098B_Spring2026_Grade!$I7="W (Withdrawn)", CSE4098B_Spring2026_Grade!$I7="I (Incomplete)"), 0, IF(BE22&gt;=55%, 1, 0))</f>
        <v>1</v>
      </c>
      <c r="BR22" s="165">
        <f>IF(OR(CSE4098B_Spring2026_Grade!$I7="W (Withdrawn)", CSE4098B_Spring2026_Grade!$I7="I (Incomplete)"), 0, IF(BF22&gt;=55%, 1, 0))</f>
        <v>1</v>
      </c>
      <c r="BS22" s="165">
        <f>IF(OR(CSE4098B_Spring2026_Grade!$I7="W (Withdrawn)", CSE4098B_Spring2026_Grade!$I7="I (Incomplete)"), 0, IF(BG22&gt;=55%, 1, 0))</f>
        <v>1</v>
      </c>
      <c r="BT22" s="165">
        <f>IF(OR(CSE4098B_Spring2026_Grade!$I7="W (Withdrawn)", CSE4098B_Spring2026_Grade!$I7="I (Incomplete)"), 0, IF(BH22&gt;=55%, 1, 0))</f>
        <v>1</v>
      </c>
      <c r="BU22" s="165">
        <f>IF(OR(CSE4098B_Spring2026_Grade!$I7="W (Withdrawn)", CSE4098B_Spring2026_Grade!$I7="I (Incomplete)"), 0, IF(BI22&gt;=55%, 1, 0))</f>
        <v>1</v>
      </c>
      <c r="BV22" s="165">
        <f>IF(OR(CSE4098B_Spring2026_Grade!$I7="W (Withdrawn)", CSE4098B_Spring2026_Grade!$I7="I (Incomplete)"), 0, IF(BJ22&gt;=55%, 1, 0))</f>
        <v>0</v>
      </c>
      <c r="BW22" s="165">
        <f>IF(OR(CSE4098B_Spring2026_Grade!$I7="W (Withdrawn)", CSE4098B_Spring2026_Grade!$I7="I (Incomplete)"), 0, IF(BK22&gt;=55%, 1, 0))</f>
        <v>1</v>
      </c>
      <c r="BX22" s="165">
        <f>IF(OR(CSE4098B_Spring2026_Grade!$I7="W (Withdrawn)", CSE4098B_Spring2026_Grade!$I7="I (Incomplete)"), 0, IF(BL22&gt;=55%, 1, 0))</f>
        <v>1</v>
      </c>
      <c r="BY22" s="165">
        <f>IF(OR(CSE4098B_Spring2026_Grade!$I7="W (Withdrawn)", CSE4098B_Spring2026_Grade!$I7="I (Incomplete)"), 0, IF(BM22&gt;=55%, 1, 0))</f>
        <v>1</v>
      </c>
    </row>
    <row r="23">
      <c r="A23" s="153">
        <v>4.0</v>
      </c>
      <c r="B23" s="154">
        <f>CSE4098B_Spring2026_Grade!B8</f>
        <v>222014012</v>
      </c>
      <c r="C23" s="96" t="str">
        <f>CSE4098B_Spring2026_Grade!C8</f>
        <v>Md. Minhazul Islam</v>
      </c>
      <c r="D23" s="155">
        <f>'CO Report Evaluation'!AI6</f>
        <v>4.666666667</v>
      </c>
      <c r="E23" s="155">
        <f>'CO Report Evaluation'!AJ6</f>
        <v>2.333333333</v>
      </c>
      <c r="F23" s="155">
        <f>'CO Report Evaluation'!AK6</f>
        <v>3</v>
      </c>
      <c r="G23" s="156">
        <f>'CO Report Evaluation'!AL6</f>
        <v>3</v>
      </c>
      <c r="H23" s="156">
        <f>'CO Report Evaluation'!AM6</f>
        <v>2.333333333</v>
      </c>
      <c r="I23" s="157">
        <f>'CO Report Evaluation'!AN6</f>
        <v>4.333333333</v>
      </c>
      <c r="J23" s="157">
        <f>'CO Report Evaluation'!AO6</f>
        <v>2.666666667</v>
      </c>
      <c r="K23" s="157">
        <f>'CO Report Evaluation'!AP6</f>
        <v>3</v>
      </c>
      <c r="L23" s="158">
        <f>'CO Report Evaluation'!AQ6</f>
        <v>2.666666667</v>
      </c>
      <c r="M23" s="159"/>
      <c r="N23" s="160"/>
      <c r="O23" s="160"/>
      <c r="P23" s="160"/>
      <c r="Q23" s="160"/>
      <c r="R23" s="156">
        <f>CSE4098B_Spring2026_Grade!F8</f>
        <v>2</v>
      </c>
      <c r="S23" s="161">
        <f>((CSE4098B_Spring2026_Grade!E8)*10)/45</f>
        <v>7.308888889</v>
      </c>
      <c r="T23" s="162">
        <f t="shared" ref="T23:AB23" si="21">D23</f>
        <v>4.666666667</v>
      </c>
      <c r="U23" s="163">
        <f t="shared" si="21"/>
        <v>2.333333333</v>
      </c>
      <c r="V23" s="163">
        <f t="shared" si="21"/>
        <v>3</v>
      </c>
      <c r="W23" s="163">
        <f t="shared" si="21"/>
        <v>3</v>
      </c>
      <c r="X23" s="163">
        <f t="shared" si="21"/>
        <v>2.333333333</v>
      </c>
      <c r="Y23" s="163">
        <f t="shared" si="21"/>
        <v>4.333333333</v>
      </c>
      <c r="Z23" s="163">
        <f t="shared" si="21"/>
        <v>2.666666667</v>
      </c>
      <c r="AA23" s="163">
        <f t="shared" si="21"/>
        <v>3</v>
      </c>
      <c r="AB23" s="163">
        <f t="shared" si="21"/>
        <v>2.666666667</v>
      </c>
      <c r="AC23" s="163">
        <f t="shared" ref="AC23:AD23" si="22">R23</f>
        <v>2</v>
      </c>
      <c r="AD23" s="163">
        <f t="shared" si="22"/>
        <v>7.308888889</v>
      </c>
      <c r="AE23" s="164">
        <f t="shared" ref="AE23:AO23" si="23">IF(T23 = 0, 0, T23/T$19)</f>
        <v>0.7777777778</v>
      </c>
      <c r="AF23" s="164">
        <f t="shared" si="23"/>
        <v>0.7777777778</v>
      </c>
      <c r="AG23" s="164">
        <f t="shared" si="23"/>
        <v>1</v>
      </c>
      <c r="AH23" s="164">
        <f t="shared" si="23"/>
        <v>1</v>
      </c>
      <c r="AI23" s="164">
        <f t="shared" si="23"/>
        <v>0.7777777778</v>
      </c>
      <c r="AJ23" s="164">
        <f t="shared" si="23"/>
        <v>0.7222222222</v>
      </c>
      <c r="AK23" s="164">
        <f t="shared" si="23"/>
        <v>0.8888888889</v>
      </c>
      <c r="AL23" s="164">
        <f t="shared" si="23"/>
        <v>1</v>
      </c>
      <c r="AM23" s="164">
        <f t="shared" si="23"/>
        <v>0.8888888889</v>
      </c>
      <c r="AN23" s="164">
        <f t="shared" si="23"/>
        <v>0.4</v>
      </c>
      <c r="AO23" s="164">
        <f t="shared" si="23"/>
        <v>0.7308888889</v>
      </c>
      <c r="AP23" s="165">
        <f>IF(OR(CSE4098B_Spring2026_Grade!$I8="W (Withdrawn)", CSE4098B_Spring2026_Grade!$I8="I (Incomplete)"), 0, IF(AE23&gt;=55%, 1, 0))</f>
        <v>1</v>
      </c>
      <c r="AQ23" s="165">
        <f>IF(OR(CSE4098B_Spring2026_Grade!$I8="W (Withdrawn)", CSE4098B_Spring2026_Grade!$I8="I (Incomplete)"), 0, IF(AF23&gt;=55%, 1, 0))</f>
        <v>1</v>
      </c>
      <c r="AR23" s="165">
        <f>IF(OR(CSE4098B_Spring2026_Grade!$I8="W (Withdrawn)", CSE4098B_Spring2026_Grade!$I8="I (Incomplete)"), 0, IF(AG23&gt;=55%, 1, 0))</f>
        <v>1</v>
      </c>
      <c r="AS23" s="165">
        <f>IF(OR(CSE4098B_Spring2026_Grade!$I8="W (Withdrawn)", CSE4098B_Spring2026_Grade!$I8="I (Incomplete)"), 0, IF(AH23&gt;=55%, 1, 0))</f>
        <v>1</v>
      </c>
      <c r="AT23" s="165">
        <f>IF(OR(CSE4098B_Spring2026_Grade!$I8="W (Withdrawn)", CSE4098B_Spring2026_Grade!$I8="I (Incomplete)"), 0, IF(AI23&gt;=55%, 1, 0))</f>
        <v>1</v>
      </c>
      <c r="AU23" s="165">
        <f>IF(OR(CSE4098B_Spring2026_Grade!$I8="W (Withdrawn)", CSE4098B_Spring2026_Grade!$I8="I (Incomplete)"), 0, IF(AJ23&gt;=55%, 1, 0))</f>
        <v>1</v>
      </c>
      <c r="AV23" s="165">
        <f>IF(OR(CSE4098B_Spring2026_Grade!$I8="W (Withdrawn)", CSE4098B_Spring2026_Grade!$I8="I (Incomplete)"), 0, IF(AK23&gt;=55%, 1, 0))</f>
        <v>1</v>
      </c>
      <c r="AW23" s="165">
        <f>IF(OR(CSE4098B_Spring2026_Grade!$I8="W (Withdrawn)", CSE4098B_Spring2026_Grade!$I8="I (Incomplete)"), 0, IF(AL23&gt;=55%, 1, 0))</f>
        <v>1</v>
      </c>
      <c r="AX23" s="165">
        <f>IF(OR(CSE4098B_Spring2026_Grade!$I8="W (Withdrawn)", CSE4098B_Spring2026_Grade!$I8="I (Incomplete)"), 0, IF(AM23&gt;=55%, 1, 0))</f>
        <v>1</v>
      </c>
      <c r="AY23" s="165">
        <f>IF(OR(CSE4098B_Spring2026_Grade!$I8="W (Withdrawn)", CSE4098B_Spring2026_Grade!$I8="I (Incomplete)"), 0, IF(AN23&gt;=55%, 1, 0))</f>
        <v>0</v>
      </c>
      <c r="AZ23" s="165">
        <f>IF(OR(CSE4098B_Spring2026_Grade!$I8="W (Withdrawn)", CSE4098B_Spring2026_Grade!$I8="I (Incomplete)"), 0, IF(AO23&gt;=55%, 1, 0))</f>
        <v>1</v>
      </c>
      <c r="BA23" s="76"/>
      <c r="BB23" s="166">
        <f t="shared" si="13"/>
        <v>0</v>
      </c>
      <c r="BC23" s="166">
        <f t="shared" si="14"/>
        <v>0.7777777778</v>
      </c>
      <c r="BD23" s="166">
        <f t="array" ref="BD23">IF($BC$14=0,0,MMULT($AE23:$AO23, BC$3:BC$13)/$BC$14)</f>
        <v>0.7777777778</v>
      </c>
      <c r="BE23" s="166">
        <f t="array" ref="BE23">IF($BD$14=0,0,MMULT($AE23:$AO23, BD$3:BD$13)/$BD$14)</f>
        <v>0.7222222222</v>
      </c>
      <c r="BF23" s="166">
        <f t="shared" si="15"/>
        <v>1</v>
      </c>
      <c r="BG23" s="166">
        <f t="array" ref="BG23">IF($BF$14=0,0,MMULT($AE23:$AO23, BF$3:BF$13)/$BF$14)</f>
        <v>0.8888888889</v>
      </c>
      <c r="BH23" s="166">
        <f t="array" ref="BH23">IF($BG$14=0,0,MMULT($AE23:$AO23, BG$3:BG$13)/$BG$14)</f>
        <v>1</v>
      </c>
      <c r="BI23" s="166">
        <f t="array" ref="BI23">IF($BH$14=0,0,MMULT($AE23:$AO23, BH$3:BH$13)/$BH$14)</f>
        <v>0.8888888889</v>
      </c>
      <c r="BJ23" s="166">
        <f t="array" ref="BJ23">IF($BI$14=0,0,MMULT($AE23:$AO23, BI$3:BI$13)/$BI$14)</f>
        <v>0.4</v>
      </c>
      <c r="BK23" s="166">
        <f t="array" ref="BK23">IF($BJ$14=0,0,MMULT($AE23:$AO23, BJ$3:BJ$13)/$BJ$14)</f>
        <v>0.7308888889</v>
      </c>
      <c r="BL23" s="166">
        <f t="shared" si="16"/>
        <v>1</v>
      </c>
      <c r="BM23" s="166">
        <f t="shared" si="17"/>
        <v>0.7777777778</v>
      </c>
      <c r="BN23" s="165">
        <f>IF(OR(CSE4098B_Spring2026_Grade!$I8="W (Withdrawn)", CSE4098B_Spring2026_Grade!$I8="I (Incomplete)"), 0, IF(BB23&gt;=55%, 1, 0))</f>
        <v>0</v>
      </c>
      <c r="BO23" s="165">
        <f>IF(OR(CSE4098B_Spring2026_Grade!$I8="W (Withdrawn)", CSE4098B_Spring2026_Grade!$I8="I (Incomplete)"), 0, IF(BC23&gt;=55%, 1, 0))</f>
        <v>1</v>
      </c>
      <c r="BP23" s="165">
        <f>IF(OR(CSE4098B_Spring2026_Grade!$I8="W (Withdrawn)", CSE4098B_Spring2026_Grade!$I8="I (Incomplete)"), 0, IF(BD23&gt;=55%, 1, 0))</f>
        <v>1</v>
      </c>
      <c r="BQ23" s="165">
        <f>IF(OR(CSE4098B_Spring2026_Grade!$I8="W (Withdrawn)", CSE4098B_Spring2026_Grade!$I8="I (Incomplete)"), 0, IF(BE23&gt;=55%, 1, 0))</f>
        <v>1</v>
      </c>
      <c r="BR23" s="165">
        <f>IF(OR(CSE4098B_Spring2026_Grade!$I8="W (Withdrawn)", CSE4098B_Spring2026_Grade!$I8="I (Incomplete)"), 0, IF(BF23&gt;=55%, 1, 0))</f>
        <v>1</v>
      </c>
      <c r="BS23" s="165">
        <f>IF(OR(CSE4098B_Spring2026_Grade!$I8="W (Withdrawn)", CSE4098B_Spring2026_Grade!$I8="I (Incomplete)"), 0, IF(BG23&gt;=55%, 1, 0))</f>
        <v>1</v>
      </c>
      <c r="BT23" s="165">
        <f>IF(OR(CSE4098B_Spring2026_Grade!$I8="W (Withdrawn)", CSE4098B_Spring2026_Grade!$I8="I (Incomplete)"), 0, IF(BH23&gt;=55%, 1, 0))</f>
        <v>1</v>
      </c>
      <c r="BU23" s="165">
        <f>IF(OR(CSE4098B_Spring2026_Grade!$I8="W (Withdrawn)", CSE4098B_Spring2026_Grade!$I8="I (Incomplete)"), 0, IF(BI23&gt;=55%, 1, 0))</f>
        <v>1</v>
      </c>
      <c r="BV23" s="165">
        <f>IF(OR(CSE4098B_Spring2026_Grade!$I8="W (Withdrawn)", CSE4098B_Spring2026_Grade!$I8="I (Incomplete)"), 0, IF(BJ23&gt;=55%, 1, 0))</f>
        <v>0</v>
      </c>
      <c r="BW23" s="165">
        <f>IF(OR(CSE4098B_Spring2026_Grade!$I8="W (Withdrawn)", CSE4098B_Spring2026_Grade!$I8="I (Incomplete)"), 0, IF(BK23&gt;=55%, 1, 0))</f>
        <v>1</v>
      </c>
      <c r="BX23" s="165">
        <f>IF(OR(CSE4098B_Spring2026_Grade!$I8="W (Withdrawn)", CSE4098B_Spring2026_Grade!$I8="I (Incomplete)"), 0, IF(BL23&gt;=55%, 1, 0))</f>
        <v>1</v>
      </c>
      <c r="BY23" s="165">
        <f>IF(OR(CSE4098B_Spring2026_Grade!$I8="W (Withdrawn)", CSE4098B_Spring2026_Grade!$I8="I (Incomplete)"), 0, IF(BM23&gt;=55%, 1, 0))</f>
        <v>1</v>
      </c>
    </row>
    <row r="24">
      <c r="A24" s="153">
        <v>5.0</v>
      </c>
      <c r="B24" s="154">
        <f>CSE4098B_Spring2026_Grade!B9</f>
        <v>222014096</v>
      </c>
      <c r="C24" s="96" t="str">
        <f>CSE4098B_Spring2026_Grade!C9</f>
        <v>Md. Shams Arefin</v>
      </c>
      <c r="D24" s="155">
        <f>'CO Report Evaluation'!AI7</f>
        <v>4.666666667</v>
      </c>
      <c r="E24" s="155">
        <f>'CO Report Evaluation'!AJ7</f>
        <v>2.333333333</v>
      </c>
      <c r="F24" s="155">
        <f>'CO Report Evaluation'!AK7</f>
        <v>3</v>
      </c>
      <c r="G24" s="156">
        <f>'CO Report Evaluation'!AL7</f>
        <v>3</v>
      </c>
      <c r="H24" s="156">
        <f>'CO Report Evaluation'!AM7</f>
        <v>2.333333333</v>
      </c>
      <c r="I24" s="157">
        <f>'CO Report Evaluation'!AN7</f>
        <v>4.333333333</v>
      </c>
      <c r="J24" s="157">
        <f>'CO Report Evaluation'!AO7</f>
        <v>2.666666667</v>
      </c>
      <c r="K24" s="157">
        <f>'CO Report Evaluation'!AP7</f>
        <v>3</v>
      </c>
      <c r="L24" s="158">
        <f>'CO Report Evaluation'!AQ7</f>
        <v>2.666666667</v>
      </c>
      <c r="M24" s="159"/>
      <c r="N24" s="160"/>
      <c r="O24" s="160"/>
      <c r="P24" s="160"/>
      <c r="Q24" s="160"/>
      <c r="R24" s="156">
        <f>CSE4098B_Spring2026_Grade!F9</f>
        <v>4</v>
      </c>
      <c r="S24" s="161">
        <f>((CSE4098B_Spring2026_Grade!E9)*10)/45</f>
        <v>9.208888889</v>
      </c>
      <c r="T24" s="162">
        <f t="shared" ref="T24:AB24" si="24">D24</f>
        <v>4.666666667</v>
      </c>
      <c r="U24" s="163">
        <f t="shared" si="24"/>
        <v>2.333333333</v>
      </c>
      <c r="V24" s="163">
        <f t="shared" si="24"/>
        <v>3</v>
      </c>
      <c r="W24" s="163">
        <f t="shared" si="24"/>
        <v>3</v>
      </c>
      <c r="X24" s="163">
        <f t="shared" si="24"/>
        <v>2.333333333</v>
      </c>
      <c r="Y24" s="163">
        <f t="shared" si="24"/>
        <v>4.333333333</v>
      </c>
      <c r="Z24" s="163">
        <f t="shared" si="24"/>
        <v>2.666666667</v>
      </c>
      <c r="AA24" s="163">
        <f t="shared" si="24"/>
        <v>3</v>
      </c>
      <c r="AB24" s="163">
        <f t="shared" si="24"/>
        <v>2.666666667</v>
      </c>
      <c r="AC24" s="163">
        <f t="shared" ref="AC24:AD24" si="25">R24</f>
        <v>4</v>
      </c>
      <c r="AD24" s="163">
        <f t="shared" si="25"/>
        <v>9.208888889</v>
      </c>
      <c r="AE24" s="164">
        <f t="shared" ref="AE24:AO24" si="26">IF(T24 = 0, 0, T24/T$19)</f>
        <v>0.7777777778</v>
      </c>
      <c r="AF24" s="164">
        <f t="shared" si="26"/>
        <v>0.7777777778</v>
      </c>
      <c r="AG24" s="164">
        <f t="shared" si="26"/>
        <v>1</v>
      </c>
      <c r="AH24" s="164">
        <f t="shared" si="26"/>
        <v>1</v>
      </c>
      <c r="AI24" s="164">
        <f t="shared" si="26"/>
        <v>0.7777777778</v>
      </c>
      <c r="AJ24" s="164">
        <f t="shared" si="26"/>
        <v>0.7222222222</v>
      </c>
      <c r="AK24" s="164">
        <f t="shared" si="26"/>
        <v>0.8888888889</v>
      </c>
      <c r="AL24" s="164">
        <f t="shared" si="26"/>
        <v>1</v>
      </c>
      <c r="AM24" s="164">
        <f t="shared" si="26"/>
        <v>0.8888888889</v>
      </c>
      <c r="AN24" s="164">
        <f t="shared" si="26"/>
        <v>0.8</v>
      </c>
      <c r="AO24" s="164">
        <f t="shared" si="26"/>
        <v>0.9208888889</v>
      </c>
      <c r="AP24" s="165">
        <f>IF(OR(CSE4098B_Spring2026_Grade!$I9="W (Withdrawn)", CSE4098B_Spring2026_Grade!$I9="I (Incomplete)"), 0, IF(AE24&gt;=55%, 1, 0))</f>
        <v>1</v>
      </c>
      <c r="AQ24" s="165">
        <f>IF(OR(CSE4098B_Spring2026_Grade!$I9="W (Withdrawn)", CSE4098B_Spring2026_Grade!$I9="I (Incomplete)"), 0, IF(AF24&gt;=55%, 1, 0))</f>
        <v>1</v>
      </c>
      <c r="AR24" s="165">
        <f>IF(OR(CSE4098B_Spring2026_Grade!$I9="W (Withdrawn)", CSE4098B_Spring2026_Grade!$I9="I (Incomplete)"), 0, IF(AG24&gt;=55%, 1, 0))</f>
        <v>1</v>
      </c>
      <c r="AS24" s="165">
        <f>IF(OR(CSE4098B_Spring2026_Grade!$I9="W (Withdrawn)", CSE4098B_Spring2026_Grade!$I9="I (Incomplete)"), 0, IF(AH24&gt;=55%, 1, 0))</f>
        <v>1</v>
      </c>
      <c r="AT24" s="165">
        <f>IF(OR(CSE4098B_Spring2026_Grade!$I9="W (Withdrawn)", CSE4098B_Spring2026_Grade!$I9="I (Incomplete)"), 0, IF(AI24&gt;=55%, 1, 0))</f>
        <v>1</v>
      </c>
      <c r="AU24" s="165">
        <f>IF(OR(CSE4098B_Spring2026_Grade!$I9="W (Withdrawn)", CSE4098B_Spring2026_Grade!$I9="I (Incomplete)"), 0, IF(AJ24&gt;=55%, 1, 0))</f>
        <v>1</v>
      </c>
      <c r="AV24" s="165">
        <f>IF(OR(CSE4098B_Spring2026_Grade!$I9="W (Withdrawn)", CSE4098B_Spring2026_Grade!$I9="I (Incomplete)"), 0, IF(AK24&gt;=55%, 1, 0))</f>
        <v>1</v>
      </c>
      <c r="AW24" s="165">
        <f>IF(OR(CSE4098B_Spring2026_Grade!$I9="W (Withdrawn)", CSE4098B_Spring2026_Grade!$I9="I (Incomplete)"), 0, IF(AL24&gt;=55%, 1, 0))</f>
        <v>1</v>
      </c>
      <c r="AX24" s="165">
        <f>IF(OR(CSE4098B_Spring2026_Grade!$I9="W (Withdrawn)", CSE4098B_Spring2026_Grade!$I9="I (Incomplete)"), 0, IF(AM24&gt;=55%, 1, 0))</f>
        <v>1</v>
      </c>
      <c r="AY24" s="165">
        <f>IF(OR(CSE4098B_Spring2026_Grade!$I9="W (Withdrawn)", CSE4098B_Spring2026_Grade!$I9="I (Incomplete)"), 0, IF(AN24&gt;=55%, 1, 0))</f>
        <v>1</v>
      </c>
      <c r="AZ24" s="165">
        <f>IF(OR(CSE4098B_Spring2026_Grade!$I9="W (Withdrawn)", CSE4098B_Spring2026_Grade!$I9="I (Incomplete)"), 0, IF(AO24&gt;=55%, 1, 0))</f>
        <v>1</v>
      </c>
      <c r="BA24" s="76"/>
      <c r="BB24" s="166">
        <f t="shared" si="13"/>
        <v>0</v>
      </c>
      <c r="BC24" s="166">
        <f t="shared" si="14"/>
        <v>0.7777777778</v>
      </c>
      <c r="BD24" s="166">
        <f t="array" ref="BD24">IF($BC$14=0,0,MMULT($AE24:$AO24, BC$3:BC$13)/$BC$14)</f>
        <v>0.7777777778</v>
      </c>
      <c r="BE24" s="166">
        <f t="array" ref="BE24">IF($BD$14=0,0,MMULT($AE24:$AO24, BD$3:BD$13)/$BD$14)</f>
        <v>0.7222222222</v>
      </c>
      <c r="BF24" s="166">
        <f t="shared" si="15"/>
        <v>1</v>
      </c>
      <c r="BG24" s="166">
        <f t="array" ref="BG24">IF($BF$14=0,0,MMULT($AE24:$AO24, BF$3:BF$13)/$BF$14)</f>
        <v>0.8888888889</v>
      </c>
      <c r="BH24" s="166">
        <f t="array" ref="BH24">IF($BG$14=0,0,MMULT($AE24:$AO24, BG$3:BG$13)/$BG$14)</f>
        <v>1</v>
      </c>
      <c r="BI24" s="166">
        <f t="array" ref="BI24">IF($BH$14=0,0,MMULT($AE24:$AO24, BH$3:BH$13)/$BH$14)</f>
        <v>0.8888888889</v>
      </c>
      <c r="BJ24" s="166">
        <f t="array" ref="BJ24">IF($BI$14=0,0,MMULT($AE24:$AO24, BI$3:BI$13)/$BI$14)</f>
        <v>0.8</v>
      </c>
      <c r="BK24" s="166">
        <f t="array" ref="BK24">IF($BJ$14=0,0,MMULT($AE24:$AO24, BJ$3:BJ$13)/$BJ$14)</f>
        <v>0.9208888889</v>
      </c>
      <c r="BL24" s="166">
        <f t="shared" si="16"/>
        <v>1</v>
      </c>
      <c r="BM24" s="166">
        <f t="shared" si="17"/>
        <v>0.7777777778</v>
      </c>
      <c r="BN24" s="165">
        <f>IF(OR(CSE4098B_Spring2026_Grade!$I9="W (Withdrawn)", CSE4098B_Spring2026_Grade!$I9="I (Incomplete)"), 0, IF(BB24&gt;=55%, 1, 0))</f>
        <v>0</v>
      </c>
      <c r="BO24" s="165">
        <f>IF(OR(CSE4098B_Spring2026_Grade!$I9="W (Withdrawn)", CSE4098B_Spring2026_Grade!$I9="I (Incomplete)"), 0, IF(BC24&gt;=55%, 1, 0))</f>
        <v>1</v>
      </c>
      <c r="BP24" s="165">
        <f>IF(OR(CSE4098B_Spring2026_Grade!$I9="W (Withdrawn)", CSE4098B_Spring2026_Grade!$I9="I (Incomplete)"), 0, IF(BD24&gt;=55%, 1, 0))</f>
        <v>1</v>
      </c>
      <c r="BQ24" s="165">
        <f>IF(OR(CSE4098B_Spring2026_Grade!$I9="W (Withdrawn)", CSE4098B_Spring2026_Grade!$I9="I (Incomplete)"), 0, IF(BE24&gt;=55%, 1, 0))</f>
        <v>1</v>
      </c>
      <c r="BR24" s="165">
        <f>IF(OR(CSE4098B_Spring2026_Grade!$I9="W (Withdrawn)", CSE4098B_Spring2026_Grade!$I9="I (Incomplete)"), 0, IF(BF24&gt;=55%, 1, 0))</f>
        <v>1</v>
      </c>
      <c r="BS24" s="165">
        <f>IF(OR(CSE4098B_Spring2026_Grade!$I9="W (Withdrawn)", CSE4098B_Spring2026_Grade!$I9="I (Incomplete)"), 0, IF(BG24&gt;=55%, 1, 0))</f>
        <v>1</v>
      </c>
      <c r="BT24" s="165">
        <f>IF(OR(CSE4098B_Spring2026_Grade!$I9="W (Withdrawn)", CSE4098B_Spring2026_Grade!$I9="I (Incomplete)"), 0, IF(BH24&gt;=55%, 1, 0))</f>
        <v>1</v>
      </c>
      <c r="BU24" s="165">
        <f>IF(OR(CSE4098B_Spring2026_Grade!$I9="W (Withdrawn)", CSE4098B_Spring2026_Grade!$I9="I (Incomplete)"), 0, IF(BI24&gt;=55%, 1, 0))</f>
        <v>1</v>
      </c>
      <c r="BV24" s="165">
        <f>IF(OR(CSE4098B_Spring2026_Grade!$I9="W (Withdrawn)", CSE4098B_Spring2026_Grade!$I9="I (Incomplete)"), 0, IF(BJ24&gt;=55%, 1, 0))</f>
        <v>1</v>
      </c>
      <c r="BW24" s="165">
        <f>IF(OR(CSE4098B_Spring2026_Grade!$I9="W (Withdrawn)", CSE4098B_Spring2026_Grade!$I9="I (Incomplete)"), 0, IF(BK24&gt;=55%, 1, 0))</f>
        <v>1</v>
      </c>
      <c r="BX24" s="165">
        <f>IF(OR(CSE4098B_Spring2026_Grade!$I9="W (Withdrawn)", CSE4098B_Spring2026_Grade!$I9="I (Incomplete)"), 0, IF(BL24&gt;=55%, 1, 0))</f>
        <v>1</v>
      </c>
      <c r="BY24" s="165">
        <f>IF(OR(CSE4098B_Spring2026_Grade!$I9="W (Withdrawn)", CSE4098B_Spring2026_Grade!$I9="I (Incomplete)"), 0, IF(BM24&gt;=55%, 1, 0))</f>
        <v>1</v>
      </c>
    </row>
    <row r="25">
      <c r="A25" s="153">
        <v>6.0</v>
      </c>
      <c r="B25" s="154">
        <f>CSE4098B_Spring2026_Grade!B10</f>
        <v>222014052</v>
      </c>
      <c r="C25" s="96" t="str">
        <f>CSE4098B_Spring2026_Grade!C10</f>
        <v>Redwan Ahamad Samir</v>
      </c>
      <c r="D25" s="155">
        <f>'CO Report Evaluation'!AI8</f>
        <v>5</v>
      </c>
      <c r="E25" s="155">
        <f>'CO Report Evaluation'!AJ8</f>
        <v>2.666666667</v>
      </c>
      <c r="F25" s="155">
        <f>'CO Report Evaluation'!AK8</f>
        <v>2.333333333</v>
      </c>
      <c r="G25" s="156">
        <f>'CO Report Evaluation'!AL8</f>
        <v>2.666666667</v>
      </c>
      <c r="H25" s="156">
        <f>'CO Report Evaluation'!AM8</f>
        <v>2.666666667</v>
      </c>
      <c r="I25" s="157">
        <f>'CO Report Evaluation'!AN8</f>
        <v>5</v>
      </c>
      <c r="J25" s="157">
        <f>'CO Report Evaluation'!AO8</f>
        <v>2</v>
      </c>
      <c r="K25" s="157">
        <f>'CO Report Evaluation'!AP8</f>
        <v>2</v>
      </c>
      <c r="L25" s="158">
        <f>'CO Report Evaluation'!AQ8</f>
        <v>2.333333333</v>
      </c>
      <c r="M25" s="159"/>
      <c r="N25" s="160"/>
      <c r="O25" s="160"/>
      <c r="P25" s="160"/>
      <c r="Q25" s="160"/>
      <c r="R25" s="156">
        <f>CSE4098B_Spring2026_Grade!F10</f>
        <v>4</v>
      </c>
      <c r="S25" s="161">
        <f>((CSE4098B_Spring2026_Grade!E10)*10)/45</f>
        <v>9.482222222</v>
      </c>
      <c r="T25" s="162">
        <f t="shared" ref="T25:AB25" si="27">D25</f>
        <v>5</v>
      </c>
      <c r="U25" s="163">
        <f t="shared" si="27"/>
        <v>2.666666667</v>
      </c>
      <c r="V25" s="163">
        <f t="shared" si="27"/>
        <v>2.333333333</v>
      </c>
      <c r="W25" s="163">
        <f t="shared" si="27"/>
        <v>2.666666667</v>
      </c>
      <c r="X25" s="163">
        <f t="shared" si="27"/>
        <v>2.666666667</v>
      </c>
      <c r="Y25" s="163">
        <f t="shared" si="27"/>
        <v>5</v>
      </c>
      <c r="Z25" s="163">
        <f t="shared" si="27"/>
        <v>2</v>
      </c>
      <c r="AA25" s="163">
        <f t="shared" si="27"/>
        <v>2</v>
      </c>
      <c r="AB25" s="163">
        <f t="shared" si="27"/>
        <v>2.333333333</v>
      </c>
      <c r="AC25" s="163">
        <f t="shared" ref="AC25:AD25" si="28">R25</f>
        <v>4</v>
      </c>
      <c r="AD25" s="163">
        <f t="shared" si="28"/>
        <v>9.482222222</v>
      </c>
      <c r="AE25" s="164">
        <f t="shared" ref="AE25:AO25" si="29">IF(T25 = 0, 0, T25/T$19)</f>
        <v>0.8333333333</v>
      </c>
      <c r="AF25" s="164">
        <f t="shared" si="29"/>
        <v>0.8888888889</v>
      </c>
      <c r="AG25" s="164">
        <f t="shared" si="29"/>
        <v>0.7777777778</v>
      </c>
      <c r="AH25" s="164">
        <f t="shared" si="29"/>
        <v>0.8888888889</v>
      </c>
      <c r="AI25" s="164">
        <f t="shared" si="29"/>
        <v>0.8888888889</v>
      </c>
      <c r="AJ25" s="164">
        <f t="shared" si="29"/>
        <v>0.8333333333</v>
      </c>
      <c r="AK25" s="164">
        <f t="shared" si="29"/>
        <v>0.6666666667</v>
      </c>
      <c r="AL25" s="164">
        <f t="shared" si="29"/>
        <v>0.6666666667</v>
      </c>
      <c r="AM25" s="164">
        <f t="shared" si="29"/>
        <v>0.7777777778</v>
      </c>
      <c r="AN25" s="164">
        <f t="shared" si="29"/>
        <v>0.8</v>
      </c>
      <c r="AO25" s="164">
        <f t="shared" si="29"/>
        <v>0.9482222222</v>
      </c>
      <c r="AP25" s="165">
        <f>IF(OR(CSE4098B_Spring2026_Grade!$I10="W (Withdrawn)", CSE4098B_Spring2026_Grade!$I10="I (Incomplete)"), 0, IF(AE25&gt;=55%, 1, 0))</f>
        <v>1</v>
      </c>
      <c r="AQ25" s="165">
        <f>IF(OR(CSE4098B_Spring2026_Grade!$I10="W (Withdrawn)", CSE4098B_Spring2026_Grade!$I10="I (Incomplete)"), 0, IF(AF25&gt;=55%, 1, 0))</f>
        <v>1</v>
      </c>
      <c r="AR25" s="165">
        <f>IF(OR(CSE4098B_Spring2026_Grade!$I10="W (Withdrawn)", CSE4098B_Spring2026_Grade!$I10="I (Incomplete)"), 0, IF(AG25&gt;=55%, 1, 0))</f>
        <v>1</v>
      </c>
      <c r="AS25" s="165">
        <f>IF(OR(CSE4098B_Spring2026_Grade!$I10="W (Withdrawn)", CSE4098B_Spring2026_Grade!$I10="I (Incomplete)"), 0, IF(AH25&gt;=55%, 1, 0))</f>
        <v>1</v>
      </c>
      <c r="AT25" s="165">
        <f>IF(OR(CSE4098B_Spring2026_Grade!$I10="W (Withdrawn)", CSE4098B_Spring2026_Grade!$I10="I (Incomplete)"), 0, IF(AI25&gt;=55%, 1, 0))</f>
        <v>1</v>
      </c>
      <c r="AU25" s="165">
        <f>IF(OR(CSE4098B_Spring2026_Grade!$I10="W (Withdrawn)", CSE4098B_Spring2026_Grade!$I10="I (Incomplete)"), 0, IF(AJ25&gt;=55%, 1, 0))</f>
        <v>1</v>
      </c>
      <c r="AV25" s="165">
        <f>IF(OR(CSE4098B_Spring2026_Grade!$I10="W (Withdrawn)", CSE4098B_Spring2026_Grade!$I10="I (Incomplete)"), 0, IF(AK25&gt;=55%, 1, 0))</f>
        <v>1</v>
      </c>
      <c r="AW25" s="165">
        <f>IF(OR(CSE4098B_Spring2026_Grade!$I10="W (Withdrawn)", CSE4098B_Spring2026_Grade!$I10="I (Incomplete)"), 0, IF(AL25&gt;=55%, 1, 0))</f>
        <v>1</v>
      </c>
      <c r="AX25" s="165">
        <f>IF(OR(CSE4098B_Spring2026_Grade!$I10="W (Withdrawn)", CSE4098B_Spring2026_Grade!$I10="I (Incomplete)"), 0, IF(AM25&gt;=55%, 1, 0))</f>
        <v>1</v>
      </c>
      <c r="AY25" s="165">
        <f>IF(OR(CSE4098B_Spring2026_Grade!$I10="W (Withdrawn)", CSE4098B_Spring2026_Grade!$I10="I (Incomplete)"), 0, IF(AN25&gt;=55%, 1, 0))</f>
        <v>1</v>
      </c>
      <c r="AZ25" s="165">
        <f>IF(OR(CSE4098B_Spring2026_Grade!$I10="W (Withdrawn)", CSE4098B_Spring2026_Grade!$I10="I (Incomplete)"), 0, IF(AO25&gt;=55%, 1, 0))</f>
        <v>1</v>
      </c>
      <c r="BA25" s="76"/>
      <c r="BB25" s="166">
        <f t="shared" si="13"/>
        <v>0</v>
      </c>
      <c r="BC25" s="166">
        <f t="shared" si="14"/>
        <v>0.8888888889</v>
      </c>
      <c r="BD25" s="166">
        <f t="array" ref="BD25">IF($BC$14=0,0,MMULT($AE25:$AO25, BC$3:BC$13)/$BC$14)</f>
        <v>0.8888888889</v>
      </c>
      <c r="BE25" s="166">
        <f t="array" ref="BE25">IF($BD$14=0,0,MMULT($AE25:$AO25, BD$3:BD$13)/$BD$14)</f>
        <v>0.8333333333</v>
      </c>
      <c r="BF25" s="166">
        <f t="shared" si="15"/>
        <v>0.8888888889</v>
      </c>
      <c r="BG25" s="166">
        <f t="array" ref="BG25">IF($BF$14=0,0,MMULT($AE25:$AO25, BF$3:BF$13)/$BF$14)</f>
        <v>0.6666666667</v>
      </c>
      <c r="BH25" s="166">
        <f t="array" ref="BH25">IF($BG$14=0,0,MMULT($AE25:$AO25, BG$3:BG$13)/$BG$14)</f>
        <v>0.6666666667</v>
      </c>
      <c r="BI25" s="166">
        <f t="array" ref="BI25">IF($BH$14=0,0,MMULT($AE25:$AO25, BH$3:BH$13)/$BH$14)</f>
        <v>0.7777777778</v>
      </c>
      <c r="BJ25" s="166">
        <f t="array" ref="BJ25">IF($BI$14=0,0,MMULT($AE25:$AO25, BI$3:BI$13)/$BI$14)</f>
        <v>0.8</v>
      </c>
      <c r="BK25" s="166">
        <f t="array" ref="BK25">IF($BJ$14=0,0,MMULT($AE25:$AO25, BJ$3:BJ$13)/$BJ$14)</f>
        <v>0.9482222222</v>
      </c>
      <c r="BL25" s="166">
        <f t="shared" si="16"/>
        <v>0.7777777778</v>
      </c>
      <c r="BM25" s="166">
        <f t="shared" si="17"/>
        <v>0.8333333333</v>
      </c>
      <c r="BN25" s="165">
        <f>IF(OR(CSE4098B_Spring2026_Grade!$I10="W (Withdrawn)", CSE4098B_Spring2026_Grade!$I10="I (Incomplete)"), 0, IF(BB25&gt;=55%, 1, 0))</f>
        <v>0</v>
      </c>
      <c r="BO25" s="165">
        <f>IF(OR(CSE4098B_Spring2026_Grade!$I10="W (Withdrawn)", CSE4098B_Spring2026_Grade!$I10="I (Incomplete)"), 0, IF(BC25&gt;=55%, 1, 0))</f>
        <v>1</v>
      </c>
      <c r="BP25" s="165">
        <f>IF(OR(CSE4098B_Spring2026_Grade!$I10="W (Withdrawn)", CSE4098B_Spring2026_Grade!$I10="I (Incomplete)"), 0, IF(BD25&gt;=55%, 1, 0))</f>
        <v>1</v>
      </c>
      <c r="BQ25" s="165">
        <f>IF(OR(CSE4098B_Spring2026_Grade!$I10="W (Withdrawn)", CSE4098B_Spring2026_Grade!$I10="I (Incomplete)"), 0, IF(BE25&gt;=55%, 1, 0))</f>
        <v>1</v>
      </c>
      <c r="BR25" s="165">
        <f>IF(OR(CSE4098B_Spring2026_Grade!$I10="W (Withdrawn)", CSE4098B_Spring2026_Grade!$I10="I (Incomplete)"), 0, IF(BF25&gt;=55%, 1, 0))</f>
        <v>1</v>
      </c>
      <c r="BS25" s="165">
        <f>IF(OR(CSE4098B_Spring2026_Grade!$I10="W (Withdrawn)", CSE4098B_Spring2026_Grade!$I10="I (Incomplete)"), 0, IF(BG25&gt;=55%, 1, 0))</f>
        <v>1</v>
      </c>
      <c r="BT25" s="165">
        <f>IF(OR(CSE4098B_Spring2026_Grade!$I10="W (Withdrawn)", CSE4098B_Spring2026_Grade!$I10="I (Incomplete)"), 0, IF(BH25&gt;=55%, 1, 0))</f>
        <v>1</v>
      </c>
      <c r="BU25" s="165">
        <f>IF(OR(CSE4098B_Spring2026_Grade!$I10="W (Withdrawn)", CSE4098B_Spring2026_Grade!$I10="I (Incomplete)"), 0, IF(BI25&gt;=55%, 1, 0))</f>
        <v>1</v>
      </c>
      <c r="BV25" s="165">
        <f>IF(OR(CSE4098B_Spring2026_Grade!$I10="W (Withdrawn)", CSE4098B_Spring2026_Grade!$I10="I (Incomplete)"), 0, IF(BJ25&gt;=55%, 1, 0))</f>
        <v>1</v>
      </c>
      <c r="BW25" s="165">
        <f>IF(OR(CSE4098B_Spring2026_Grade!$I10="W (Withdrawn)", CSE4098B_Spring2026_Grade!$I10="I (Incomplete)"), 0, IF(BK25&gt;=55%, 1, 0))</f>
        <v>1</v>
      </c>
      <c r="BX25" s="165">
        <f>IF(OR(CSE4098B_Spring2026_Grade!$I10="W (Withdrawn)", CSE4098B_Spring2026_Grade!$I10="I (Incomplete)"), 0, IF(BL25&gt;=55%, 1, 0))</f>
        <v>1</v>
      </c>
      <c r="BY25" s="165">
        <f>IF(OR(CSE4098B_Spring2026_Grade!$I10="W (Withdrawn)", CSE4098B_Spring2026_Grade!$I10="I (Incomplete)"), 0, IF(BM25&gt;=55%, 1, 0))</f>
        <v>1</v>
      </c>
    </row>
    <row r="26">
      <c r="A26" s="153">
        <v>7.0</v>
      </c>
      <c r="B26" s="154">
        <f>CSE4098B_Spring2026_Grade!B11</f>
        <v>222014009</v>
      </c>
      <c r="C26" s="96" t="str">
        <f>CSE4098B_Spring2026_Grade!C11</f>
        <v>Samia Rahman</v>
      </c>
      <c r="D26" s="155">
        <f>'CO Report Evaluation'!AI9</f>
        <v>5</v>
      </c>
      <c r="E26" s="155">
        <f>'CO Report Evaluation'!AJ9</f>
        <v>2.666666667</v>
      </c>
      <c r="F26" s="155">
        <f>'CO Report Evaluation'!AK9</f>
        <v>2.333333333</v>
      </c>
      <c r="G26" s="156">
        <f>'CO Report Evaluation'!AL9</f>
        <v>2.666666667</v>
      </c>
      <c r="H26" s="156">
        <f>'CO Report Evaluation'!AM9</f>
        <v>2.666666667</v>
      </c>
      <c r="I26" s="157">
        <f>'CO Report Evaluation'!AN9</f>
        <v>5</v>
      </c>
      <c r="J26" s="157">
        <f>'CO Report Evaluation'!AO9</f>
        <v>2</v>
      </c>
      <c r="K26" s="157">
        <f>'CO Report Evaluation'!AP9</f>
        <v>2</v>
      </c>
      <c r="L26" s="158">
        <f>'CO Report Evaluation'!AQ9</f>
        <v>2.333333333</v>
      </c>
      <c r="M26" s="159"/>
      <c r="N26" s="160"/>
      <c r="O26" s="160"/>
      <c r="P26" s="160"/>
      <c r="Q26" s="160"/>
      <c r="R26" s="156">
        <f>CSE4098B_Spring2026_Grade!F11</f>
        <v>3</v>
      </c>
      <c r="S26" s="161">
        <f>((CSE4098B_Spring2026_Grade!E11)*10)/45</f>
        <v>9.037777778</v>
      </c>
      <c r="T26" s="162">
        <f t="shared" ref="T26:AB26" si="30">D26</f>
        <v>5</v>
      </c>
      <c r="U26" s="163">
        <f t="shared" si="30"/>
        <v>2.666666667</v>
      </c>
      <c r="V26" s="163">
        <f t="shared" si="30"/>
        <v>2.333333333</v>
      </c>
      <c r="W26" s="163">
        <f t="shared" si="30"/>
        <v>2.666666667</v>
      </c>
      <c r="X26" s="163">
        <f t="shared" si="30"/>
        <v>2.666666667</v>
      </c>
      <c r="Y26" s="163">
        <f t="shared" si="30"/>
        <v>5</v>
      </c>
      <c r="Z26" s="163">
        <f t="shared" si="30"/>
        <v>2</v>
      </c>
      <c r="AA26" s="163">
        <f t="shared" si="30"/>
        <v>2</v>
      </c>
      <c r="AB26" s="163">
        <f t="shared" si="30"/>
        <v>2.333333333</v>
      </c>
      <c r="AC26" s="163">
        <f t="shared" ref="AC26:AD26" si="31">R26</f>
        <v>3</v>
      </c>
      <c r="AD26" s="163">
        <f t="shared" si="31"/>
        <v>9.037777778</v>
      </c>
      <c r="AE26" s="164">
        <f t="shared" ref="AE26:AO26" si="32">IF(T26 = 0, 0, T26/T$19)</f>
        <v>0.8333333333</v>
      </c>
      <c r="AF26" s="164">
        <f t="shared" si="32"/>
        <v>0.8888888889</v>
      </c>
      <c r="AG26" s="164">
        <f t="shared" si="32"/>
        <v>0.7777777778</v>
      </c>
      <c r="AH26" s="164">
        <f t="shared" si="32"/>
        <v>0.8888888889</v>
      </c>
      <c r="AI26" s="164">
        <f t="shared" si="32"/>
        <v>0.8888888889</v>
      </c>
      <c r="AJ26" s="164">
        <f t="shared" si="32"/>
        <v>0.8333333333</v>
      </c>
      <c r="AK26" s="164">
        <f t="shared" si="32"/>
        <v>0.6666666667</v>
      </c>
      <c r="AL26" s="164">
        <f t="shared" si="32"/>
        <v>0.6666666667</v>
      </c>
      <c r="AM26" s="164">
        <f t="shared" si="32"/>
        <v>0.7777777778</v>
      </c>
      <c r="AN26" s="164">
        <f t="shared" si="32"/>
        <v>0.6</v>
      </c>
      <c r="AO26" s="164">
        <f t="shared" si="32"/>
        <v>0.9037777778</v>
      </c>
      <c r="AP26" s="165">
        <f>IF(OR(CSE4098B_Spring2026_Grade!$I11="W (Withdrawn)", CSE4098B_Spring2026_Grade!$I11="I (Incomplete)"), 0, IF(AE26&gt;=55%, 1, 0))</f>
        <v>1</v>
      </c>
      <c r="AQ26" s="165">
        <f>IF(OR(CSE4098B_Spring2026_Grade!$I11="W (Withdrawn)", CSE4098B_Spring2026_Grade!$I11="I (Incomplete)"), 0, IF(AF26&gt;=55%, 1, 0))</f>
        <v>1</v>
      </c>
      <c r="AR26" s="165">
        <f>IF(OR(CSE4098B_Spring2026_Grade!$I11="W (Withdrawn)", CSE4098B_Spring2026_Grade!$I11="I (Incomplete)"), 0, IF(AG26&gt;=55%, 1, 0))</f>
        <v>1</v>
      </c>
      <c r="AS26" s="165">
        <f>IF(OR(CSE4098B_Spring2026_Grade!$I11="W (Withdrawn)", CSE4098B_Spring2026_Grade!$I11="I (Incomplete)"), 0, IF(AH26&gt;=55%, 1, 0))</f>
        <v>1</v>
      </c>
      <c r="AT26" s="165">
        <f>IF(OR(CSE4098B_Spring2026_Grade!$I11="W (Withdrawn)", CSE4098B_Spring2026_Grade!$I11="I (Incomplete)"), 0, IF(AI26&gt;=55%, 1, 0))</f>
        <v>1</v>
      </c>
      <c r="AU26" s="165">
        <f>IF(OR(CSE4098B_Spring2026_Grade!$I11="W (Withdrawn)", CSE4098B_Spring2026_Grade!$I11="I (Incomplete)"), 0, IF(AJ26&gt;=55%, 1, 0))</f>
        <v>1</v>
      </c>
      <c r="AV26" s="165">
        <f>IF(OR(CSE4098B_Spring2026_Grade!$I11="W (Withdrawn)", CSE4098B_Spring2026_Grade!$I11="I (Incomplete)"), 0, IF(AK26&gt;=55%, 1, 0))</f>
        <v>1</v>
      </c>
      <c r="AW26" s="165">
        <f>IF(OR(CSE4098B_Spring2026_Grade!$I11="W (Withdrawn)", CSE4098B_Spring2026_Grade!$I11="I (Incomplete)"), 0, IF(AL26&gt;=55%, 1, 0))</f>
        <v>1</v>
      </c>
      <c r="AX26" s="165">
        <f>IF(OR(CSE4098B_Spring2026_Grade!$I11="W (Withdrawn)", CSE4098B_Spring2026_Grade!$I11="I (Incomplete)"), 0, IF(AM26&gt;=55%, 1, 0))</f>
        <v>1</v>
      </c>
      <c r="AY26" s="165">
        <f>IF(OR(CSE4098B_Spring2026_Grade!$I11="W (Withdrawn)", CSE4098B_Spring2026_Grade!$I11="I (Incomplete)"), 0, IF(AN26&gt;=55%, 1, 0))</f>
        <v>1</v>
      </c>
      <c r="AZ26" s="165">
        <f>IF(OR(CSE4098B_Spring2026_Grade!$I11="W (Withdrawn)", CSE4098B_Spring2026_Grade!$I11="I (Incomplete)"), 0, IF(AO26&gt;=55%, 1, 0))</f>
        <v>1</v>
      </c>
      <c r="BA26" s="76"/>
      <c r="BB26" s="166">
        <f t="shared" si="13"/>
        <v>0</v>
      </c>
      <c r="BC26" s="166">
        <f t="shared" si="14"/>
        <v>0.8888888889</v>
      </c>
      <c r="BD26" s="166">
        <f t="array" ref="BD26">IF($BC$14=0,0,MMULT($AE26:$AO26, BC$3:BC$13)/$BC$14)</f>
        <v>0.8888888889</v>
      </c>
      <c r="BE26" s="166">
        <f t="array" ref="BE26">IF($BD$14=0,0,MMULT($AE26:$AO26, BD$3:BD$13)/$BD$14)</f>
        <v>0.8333333333</v>
      </c>
      <c r="BF26" s="166">
        <f t="shared" si="15"/>
        <v>0.8888888889</v>
      </c>
      <c r="BG26" s="166">
        <f t="array" ref="BG26">IF($BF$14=0,0,MMULT($AE26:$AO26, BF$3:BF$13)/$BF$14)</f>
        <v>0.6666666667</v>
      </c>
      <c r="BH26" s="166">
        <f t="array" ref="BH26">IF($BG$14=0,0,MMULT($AE26:$AO26, BG$3:BG$13)/$BG$14)</f>
        <v>0.6666666667</v>
      </c>
      <c r="BI26" s="166">
        <f t="array" ref="BI26">IF($BH$14=0,0,MMULT($AE26:$AO26, BH$3:BH$13)/$BH$14)</f>
        <v>0.7777777778</v>
      </c>
      <c r="BJ26" s="166">
        <f t="array" ref="BJ26">IF($BI$14=0,0,MMULT($AE26:$AO26, BI$3:BI$13)/$BI$14)</f>
        <v>0.6</v>
      </c>
      <c r="BK26" s="166">
        <f t="array" ref="BK26">IF($BJ$14=0,0,MMULT($AE26:$AO26, BJ$3:BJ$13)/$BJ$14)</f>
        <v>0.9037777778</v>
      </c>
      <c r="BL26" s="166">
        <f t="shared" si="16"/>
        <v>0.7777777778</v>
      </c>
      <c r="BM26" s="166">
        <f t="shared" si="17"/>
        <v>0.8333333333</v>
      </c>
      <c r="BN26" s="165">
        <f>IF(OR(CSE4098B_Spring2026_Grade!$I11="W (Withdrawn)", CSE4098B_Spring2026_Grade!$I11="I (Incomplete)"), 0, IF(BB26&gt;=55%, 1, 0))</f>
        <v>0</v>
      </c>
      <c r="BO26" s="165">
        <f>IF(OR(CSE4098B_Spring2026_Grade!$I11="W (Withdrawn)", CSE4098B_Spring2026_Grade!$I11="I (Incomplete)"), 0, IF(BC26&gt;=55%, 1, 0))</f>
        <v>1</v>
      </c>
      <c r="BP26" s="165">
        <f>IF(OR(CSE4098B_Spring2026_Grade!$I11="W (Withdrawn)", CSE4098B_Spring2026_Grade!$I11="I (Incomplete)"), 0, IF(BD26&gt;=55%, 1, 0))</f>
        <v>1</v>
      </c>
      <c r="BQ26" s="165">
        <f>IF(OR(CSE4098B_Spring2026_Grade!$I11="W (Withdrawn)", CSE4098B_Spring2026_Grade!$I11="I (Incomplete)"), 0, IF(BE26&gt;=55%, 1, 0))</f>
        <v>1</v>
      </c>
      <c r="BR26" s="165">
        <f>IF(OR(CSE4098B_Spring2026_Grade!$I11="W (Withdrawn)", CSE4098B_Spring2026_Grade!$I11="I (Incomplete)"), 0, IF(BF26&gt;=55%, 1, 0))</f>
        <v>1</v>
      </c>
      <c r="BS26" s="165">
        <f>IF(OR(CSE4098B_Spring2026_Grade!$I11="W (Withdrawn)", CSE4098B_Spring2026_Grade!$I11="I (Incomplete)"), 0, IF(BG26&gt;=55%, 1, 0))</f>
        <v>1</v>
      </c>
      <c r="BT26" s="165">
        <f>IF(OR(CSE4098B_Spring2026_Grade!$I11="W (Withdrawn)", CSE4098B_Spring2026_Grade!$I11="I (Incomplete)"), 0, IF(BH26&gt;=55%, 1, 0))</f>
        <v>1</v>
      </c>
      <c r="BU26" s="165">
        <f>IF(OR(CSE4098B_Spring2026_Grade!$I11="W (Withdrawn)", CSE4098B_Spring2026_Grade!$I11="I (Incomplete)"), 0, IF(BI26&gt;=55%, 1, 0))</f>
        <v>1</v>
      </c>
      <c r="BV26" s="165">
        <f>IF(OR(CSE4098B_Spring2026_Grade!$I11="W (Withdrawn)", CSE4098B_Spring2026_Grade!$I11="I (Incomplete)"), 0, IF(BJ26&gt;=55%, 1, 0))</f>
        <v>1</v>
      </c>
      <c r="BW26" s="165">
        <f>IF(OR(CSE4098B_Spring2026_Grade!$I11="W (Withdrawn)", CSE4098B_Spring2026_Grade!$I11="I (Incomplete)"), 0, IF(BK26&gt;=55%, 1, 0))</f>
        <v>1</v>
      </c>
      <c r="BX26" s="165">
        <f>IF(OR(CSE4098B_Spring2026_Grade!$I11="W (Withdrawn)", CSE4098B_Spring2026_Grade!$I11="I (Incomplete)"), 0, IF(BL26&gt;=55%, 1, 0))</f>
        <v>1</v>
      </c>
      <c r="BY26" s="165">
        <f>IF(OR(CSE4098B_Spring2026_Grade!$I11="W (Withdrawn)", CSE4098B_Spring2026_Grade!$I11="I (Incomplete)"), 0, IF(BM26&gt;=55%, 1, 0))</f>
        <v>1</v>
      </c>
    </row>
    <row r="27">
      <c r="A27" s="153">
        <v>8.0</v>
      </c>
      <c r="B27" s="154">
        <f>CSE4098B_Spring2026_Grade!B12</f>
        <v>222014088</v>
      </c>
      <c r="C27" s="96" t="str">
        <f>CSE4098B_Spring2026_Grade!C12</f>
        <v>Md. Omur Faruk</v>
      </c>
      <c r="D27" s="155">
        <f>'CO Report Evaluation'!AI10</f>
        <v>5</v>
      </c>
      <c r="E27" s="155">
        <f>'CO Report Evaluation'!AJ10</f>
        <v>2.666666667</v>
      </c>
      <c r="F27" s="155">
        <f>'CO Report Evaluation'!AK10</f>
        <v>2.333333333</v>
      </c>
      <c r="G27" s="156">
        <f>'CO Report Evaluation'!AL10</f>
        <v>2.666666667</v>
      </c>
      <c r="H27" s="156">
        <f>'CO Report Evaluation'!AM10</f>
        <v>2.666666667</v>
      </c>
      <c r="I27" s="157">
        <f>'CO Report Evaluation'!AN10</f>
        <v>5</v>
      </c>
      <c r="J27" s="157">
        <f>'CO Report Evaluation'!AO10</f>
        <v>2</v>
      </c>
      <c r="K27" s="157">
        <f>'CO Report Evaluation'!AP10</f>
        <v>2</v>
      </c>
      <c r="L27" s="158">
        <f>'CO Report Evaluation'!AQ10</f>
        <v>2.333333333</v>
      </c>
      <c r="M27" s="159"/>
      <c r="N27" s="160"/>
      <c r="O27" s="160"/>
      <c r="P27" s="160"/>
      <c r="Q27" s="160"/>
      <c r="R27" s="156">
        <f>CSE4098B_Spring2026_Grade!F12</f>
        <v>3</v>
      </c>
      <c r="S27" s="161">
        <f>((CSE4098B_Spring2026_Grade!E12)*10)/45</f>
        <v>8.74</v>
      </c>
      <c r="T27" s="162">
        <f t="shared" ref="T27:AB27" si="33">D27</f>
        <v>5</v>
      </c>
      <c r="U27" s="163">
        <f t="shared" si="33"/>
        <v>2.666666667</v>
      </c>
      <c r="V27" s="163">
        <f t="shared" si="33"/>
        <v>2.333333333</v>
      </c>
      <c r="W27" s="163">
        <f t="shared" si="33"/>
        <v>2.666666667</v>
      </c>
      <c r="X27" s="163">
        <f t="shared" si="33"/>
        <v>2.666666667</v>
      </c>
      <c r="Y27" s="163">
        <f t="shared" si="33"/>
        <v>5</v>
      </c>
      <c r="Z27" s="163">
        <f t="shared" si="33"/>
        <v>2</v>
      </c>
      <c r="AA27" s="163">
        <f t="shared" si="33"/>
        <v>2</v>
      </c>
      <c r="AB27" s="163">
        <f t="shared" si="33"/>
        <v>2.333333333</v>
      </c>
      <c r="AC27" s="163">
        <f t="shared" ref="AC27:AD27" si="34">R27</f>
        <v>3</v>
      </c>
      <c r="AD27" s="163">
        <f t="shared" si="34"/>
        <v>8.74</v>
      </c>
      <c r="AE27" s="164">
        <f t="shared" ref="AE27:AO27" si="35">IF(T27 = 0, 0, T27/T$19)</f>
        <v>0.8333333333</v>
      </c>
      <c r="AF27" s="164">
        <f t="shared" si="35"/>
        <v>0.8888888889</v>
      </c>
      <c r="AG27" s="164">
        <f t="shared" si="35"/>
        <v>0.7777777778</v>
      </c>
      <c r="AH27" s="164">
        <f t="shared" si="35"/>
        <v>0.8888888889</v>
      </c>
      <c r="AI27" s="164">
        <f t="shared" si="35"/>
        <v>0.8888888889</v>
      </c>
      <c r="AJ27" s="164">
        <f t="shared" si="35"/>
        <v>0.8333333333</v>
      </c>
      <c r="AK27" s="164">
        <f t="shared" si="35"/>
        <v>0.6666666667</v>
      </c>
      <c r="AL27" s="164">
        <f t="shared" si="35"/>
        <v>0.6666666667</v>
      </c>
      <c r="AM27" s="164">
        <f t="shared" si="35"/>
        <v>0.7777777778</v>
      </c>
      <c r="AN27" s="164">
        <f t="shared" si="35"/>
        <v>0.6</v>
      </c>
      <c r="AO27" s="164">
        <f t="shared" si="35"/>
        <v>0.874</v>
      </c>
      <c r="AP27" s="165">
        <f>IF(OR(CSE4098B_Spring2026_Grade!$I12="W (Withdrawn)", CSE4098B_Spring2026_Grade!$I12="I (Incomplete)"), 0, IF(AE27&gt;=55%, 1, 0))</f>
        <v>1</v>
      </c>
      <c r="AQ27" s="165">
        <f>IF(OR(CSE4098B_Spring2026_Grade!$I12="W (Withdrawn)", CSE4098B_Spring2026_Grade!$I12="I (Incomplete)"), 0, IF(AF27&gt;=55%, 1, 0))</f>
        <v>1</v>
      </c>
      <c r="AR27" s="165">
        <f>IF(OR(CSE4098B_Spring2026_Grade!$I12="W (Withdrawn)", CSE4098B_Spring2026_Grade!$I12="I (Incomplete)"), 0, IF(AG27&gt;=55%, 1, 0))</f>
        <v>1</v>
      </c>
      <c r="AS27" s="165">
        <f>IF(OR(CSE4098B_Spring2026_Grade!$I12="W (Withdrawn)", CSE4098B_Spring2026_Grade!$I12="I (Incomplete)"), 0, IF(AH27&gt;=55%, 1, 0))</f>
        <v>1</v>
      </c>
      <c r="AT27" s="165">
        <f>IF(OR(CSE4098B_Spring2026_Grade!$I12="W (Withdrawn)", CSE4098B_Spring2026_Grade!$I12="I (Incomplete)"), 0, IF(AI27&gt;=55%, 1, 0))</f>
        <v>1</v>
      </c>
      <c r="AU27" s="165">
        <f>IF(OR(CSE4098B_Spring2026_Grade!$I12="W (Withdrawn)", CSE4098B_Spring2026_Grade!$I12="I (Incomplete)"), 0, IF(AJ27&gt;=55%, 1, 0))</f>
        <v>1</v>
      </c>
      <c r="AV27" s="165">
        <f>IF(OR(CSE4098B_Spring2026_Grade!$I12="W (Withdrawn)", CSE4098B_Spring2026_Grade!$I12="I (Incomplete)"), 0, IF(AK27&gt;=55%, 1, 0))</f>
        <v>1</v>
      </c>
      <c r="AW27" s="165">
        <f>IF(OR(CSE4098B_Spring2026_Grade!$I12="W (Withdrawn)", CSE4098B_Spring2026_Grade!$I12="I (Incomplete)"), 0, IF(AL27&gt;=55%, 1, 0))</f>
        <v>1</v>
      </c>
      <c r="AX27" s="165">
        <f>IF(OR(CSE4098B_Spring2026_Grade!$I12="W (Withdrawn)", CSE4098B_Spring2026_Grade!$I12="I (Incomplete)"), 0, IF(AM27&gt;=55%, 1, 0))</f>
        <v>1</v>
      </c>
      <c r="AY27" s="165">
        <f>IF(OR(CSE4098B_Spring2026_Grade!$I12="W (Withdrawn)", CSE4098B_Spring2026_Grade!$I12="I (Incomplete)"), 0, IF(AN27&gt;=55%, 1, 0))</f>
        <v>1</v>
      </c>
      <c r="AZ27" s="165">
        <f>IF(OR(CSE4098B_Spring2026_Grade!$I12="W (Withdrawn)", CSE4098B_Spring2026_Grade!$I12="I (Incomplete)"), 0, IF(AO27&gt;=55%, 1, 0))</f>
        <v>1</v>
      </c>
      <c r="BA27" s="76"/>
      <c r="BB27" s="166">
        <f t="shared" si="13"/>
        <v>0</v>
      </c>
      <c r="BC27" s="166">
        <f t="shared" si="14"/>
        <v>0.8888888889</v>
      </c>
      <c r="BD27" s="166">
        <f t="array" ref="BD27">IF($BC$14=0,0,MMULT($AE27:$AO27, BC$3:BC$13)/$BC$14)</f>
        <v>0.8888888889</v>
      </c>
      <c r="BE27" s="166">
        <f t="array" ref="BE27">IF($BD$14=0,0,MMULT($AE27:$AO27, BD$3:BD$13)/$BD$14)</f>
        <v>0.8333333333</v>
      </c>
      <c r="BF27" s="166">
        <f t="shared" si="15"/>
        <v>0.8888888889</v>
      </c>
      <c r="BG27" s="166">
        <f t="array" ref="BG27">IF($BF$14=0,0,MMULT($AE27:$AO27, BF$3:BF$13)/$BF$14)</f>
        <v>0.6666666667</v>
      </c>
      <c r="BH27" s="166">
        <f t="array" ref="BH27">IF($BG$14=0,0,MMULT($AE27:$AO27, BG$3:BG$13)/$BG$14)</f>
        <v>0.6666666667</v>
      </c>
      <c r="BI27" s="166">
        <f t="array" ref="BI27">IF($BH$14=0,0,MMULT($AE27:$AO27, BH$3:BH$13)/$BH$14)</f>
        <v>0.7777777778</v>
      </c>
      <c r="BJ27" s="166">
        <f t="array" ref="BJ27">IF($BI$14=0,0,MMULT($AE27:$AO27, BI$3:BI$13)/$BI$14)</f>
        <v>0.6</v>
      </c>
      <c r="BK27" s="166">
        <f t="array" ref="BK27">IF($BJ$14=0,0,MMULT($AE27:$AO27, BJ$3:BJ$13)/$BJ$14)</f>
        <v>0.874</v>
      </c>
      <c r="BL27" s="166">
        <f t="shared" si="16"/>
        <v>0.7777777778</v>
      </c>
      <c r="BM27" s="166">
        <f t="shared" si="17"/>
        <v>0.8333333333</v>
      </c>
      <c r="BN27" s="165">
        <f>IF(OR(CSE4098B_Spring2026_Grade!$I12="W (Withdrawn)", CSE4098B_Spring2026_Grade!$I12="I (Incomplete)"), 0, IF(BB27&gt;=55%, 1, 0))</f>
        <v>0</v>
      </c>
      <c r="BO27" s="165">
        <f>IF(OR(CSE4098B_Spring2026_Grade!$I12="W (Withdrawn)", CSE4098B_Spring2026_Grade!$I12="I (Incomplete)"), 0, IF(BC27&gt;=55%, 1, 0))</f>
        <v>1</v>
      </c>
      <c r="BP27" s="165">
        <f>IF(OR(CSE4098B_Spring2026_Grade!$I12="W (Withdrawn)", CSE4098B_Spring2026_Grade!$I12="I (Incomplete)"), 0, IF(BD27&gt;=55%, 1, 0))</f>
        <v>1</v>
      </c>
      <c r="BQ27" s="165">
        <f>IF(OR(CSE4098B_Spring2026_Grade!$I12="W (Withdrawn)", CSE4098B_Spring2026_Grade!$I12="I (Incomplete)"), 0, IF(BE27&gt;=55%, 1, 0))</f>
        <v>1</v>
      </c>
      <c r="BR27" s="165">
        <f>IF(OR(CSE4098B_Spring2026_Grade!$I12="W (Withdrawn)", CSE4098B_Spring2026_Grade!$I12="I (Incomplete)"), 0, IF(BF27&gt;=55%, 1, 0))</f>
        <v>1</v>
      </c>
      <c r="BS27" s="165">
        <f>IF(OR(CSE4098B_Spring2026_Grade!$I12="W (Withdrawn)", CSE4098B_Spring2026_Grade!$I12="I (Incomplete)"), 0, IF(BG27&gt;=55%, 1, 0))</f>
        <v>1</v>
      </c>
      <c r="BT27" s="165">
        <f>IF(OR(CSE4098B_Spring2026_Grade!$I12="W (Withdrawn)", CSE4098B_Spring2026_Grade!$I12="I (Incomplete)"), 0, IF(BH27&gt;=55%, 1, 0))</f>
        <v>1</v>
      </c>
      <c r="BU27" s="165">
        <f>IF(OR(CSE4098B_Spring2026_Grade!$I12="W (Withdrawn)", CSE4098B_Spring2026_Grade!$I12="I (Incomplete)"), 0, IF(BI27&gt;=55%, 1, 0))</f>
        <v>1</v>
      </c>
      <c r="BV27" s="165">
        <f>IF(OR(CSE4098B_Spring2026_Grade!$I12="W (Withdrawn)", CSE4098B_Spring2026_Grade!$I12="I (Incomplete)"), 0, IF(BJ27&gt;=55%, 1, 0))</f>
        <v>1</v>
      </c>
      <c r="BW27" s="165">
        <f>IF(OR(CSE4098B_Spring2026_Grade!$I12="W (Withdrawn)", CSE4098B_Spring2026_Grade!$I12="I (Incomplete)"), 0, IF(BK27&gt;=55%, 1, 0))</f>
        <v>1</v>
      </c>
      <c r="BX27" s="165">
        <f>IF(OR(CSE4098B_Spring2026_Grade!$I12="W (Withdrawn)", CSE4098B_Spring2026_Grade!$I12="I (Incomplete)"), 0, IF(BL27&gt;=55%, 1, 0))</f>
        <v>1</v>
      </c>
      <c r="BY27" s="165">
        <f>IF(OR(CSE4098B_Spring2026_Grade!$I12="W (Withdrawn)", CSE4098B_Spring2026_Grade!$I12="I (Incomplete)"), 0, IF(BM27&gt;=55%, 1, 0))</f>
        <v>1</v>
      </c>
    </row>
    <row r="28">
      <c r="A28" s="153">
        <v>9.0</v>
      </c>
      <c r="B28" s="154">
        <f>CSE4098B_Spring2026_Grade!B13</f>
        <v>231014021</v>
      </c>
      <c r="C28" s="96" t="str">
        <f>CSE4098B_Spring2026_Grade!C13</f>
        <v>Raiyan Islam</v>
      </c>
      <c r="D28" s="155">
        <f>'CO Report Evaluation'!AI11</f>
        <v>5</v>
      </c>
      <c r="E28" s="155">
        <f>'CO Report Evaluation'!AJ11</f>
        <v>2.666666667</v>
      </c>
      <c r="F28" s="155">
        <f>'CO Report Evaluation'!AK11</f>
        <v>2.333333333</v>
      </c>
      <c r="G28" s="156">
        <f>'CO Report Evaluation'!AL11</f>
        <v>2.666666667</v>
      </c>
      <c r="H28" s="156">
        <f>'CO Report Evaluation'!AM11</f>
        <v>2.666666667</v>
      </c>
      <c r="I28" s="157">
        <f>'CO Report Evaluation'!AN11</f>
        <v>5</v>
      </c>
      <c r="J28" s="157">
        <f>'CO Report Evaluation'!AO11</f>
        <v>2</v>
      </c>
      <c r="K28" s="157">
        <f>'CO Report Evaluation'!AP11</f>
        <v>2</v>
      </c>
      <c r="L28" s="158">
        <f>'CO Report Evaluation'!AQ11</f>
        <v>2.333333333</v>
      </c>
      <c r="M28" s="159"/>
      <c r="N28" s="160"/>
      <c r="O28" s="160"/>
      <c r="P28" s="160"/>
      <c r="Q28" s="160"/>
      <c r="R28" s="156">
        <f>CSE4098B_Spring2026_Grade!F13</f>
        <v>3</v>
      </c>
      <c r="S28" s="161">
        <f>((CSE4098B_Spring2026_Grade!E13)*10)/45</f>
        <v>8.666666667</v>
      </c>
      <c r="T28" s="162">
        <f t="shared" ref="T28:AB28" si="36">D28</f>
        <v>5</v>
      </c>
      <c r="U28" s="163">
        <f t="shared" si="36"/>
        <v>2.666666667</v>
      </c>
      <c r="V28" s="163">
        <f t="shared" si="36"/>
        <v>2.333333333</v>
      </c>
      <c r="W28" s="163">
        <f t="shared" si="36"/>
        <v>2.666666667</v>
      </c>
      <c r="X28" s="163">
        <f t="shared" si="36"/>
        <v>2.666666667</v>
      </c>
      <c r="Y28" s="163">
        <f t="shared" si="36"/>
        <v>5</v>
      </c>
      <c r="Z28" s="163">
        <f t="shared" si="36"/>
        <v>2</v>
      </c>
      <c r="AA28" s="163">
        <f t="shared" si="36"/>
        <v>2</v>
      </c>
      <c r="AB28" s="163">
        <f t="shared" si="36"/>
        <v>2.333333333</v>
      </c>
      <c r="AC28" s="163">
        <f t="shared" ref="AC28:AD28" si="37">R28</f>
        <v>3</v>
      </c>
      <c r="AD28" s="163">
        <f t="shared" si="37"/>
        <v>8.666666667</v>
      </c>
      <c r="AE28" s="164">
        <f t="shared" ref="AE28:AO28" si="38">IF(T28 = 0, 0, T28/T$19)</f>
        <v>0.8333333333</v>
      </c>
      <c r="AF28" s="164">
        <f t="shared" si="38"/>
        <v>0.8888888889</v>
      </c>
      <c r="AG28" s="164">
        <f t="shared" si="38"/>
        <v>0.7777777778</v>
      </c>
      <c r="AH28" s="164">
        <f t="shared" si="38"/>
        <v>0.8888888889</v>
      </c>
      <c r="AI28" s="164">
        <f t="shared" si="38"/>
        <v>0.8888888889</v>
      </c>
      <c r="AJ28" s="164">
        <f t="shared" si="38"/>
        <v>0.8333333333</v>
      </c>
      <c r="AK28" s="164">
        <f t="shared" si="38"/>
        <v>0.6666666667</v>
      </c>
      <c r="AL28" s="164">
        <f t="shared" si="38"/>
        <v>0.6666666667</v>
      </c>
      <c r="AM28" s="164">
        <f t="shared" si="38"/>
        <v>0.7777777778</v>
      </c>
      <c r="AN28" s="164">
        <f t="shared" si="38"/>
        <v>0.6</v>
      </c>
      <c r="AO28" s="164">
        <f t="shared" si="38"/>
        <v>0.8666666667</v>
      </c>
      <c r="AP28" s="165">
        <f>IF(OR(CSE4098B_Spring2026_Grade!$I13="W (Withdrawn)", CSE4098B_Spring2026_Grade!$I13="I (Incomplete)"), 0, IF(AE28&gt;=55%, 1, 0))</f>
        <v>1</v>
      </c>
      <c r="AQ28" s="165">
        <f>IF(OR(CSE4098B_Spring2026_Grade!$I13="W (Withdrawn)", CSE4098B_Spring2026_Grade!$I13="I (Incomplete)"), 0, IF(AF28&gt;=55%, 1, 0))</f>
        <v>1</v>
      </c>
      <c r="AR28" s="165">
        <f>IF(OR(CSE4098B_Spring2026_Grade!$I13="W (Withdrawn)", CSE4098B_Spring2026_Grade!$I13="I (Incomplete)"), 0, IF(AG28&gt;=55%, 1, 0))</f>
        <v>1</v>
      </c>
      <c r="AS28" s="165">
        <f>IF(OR(CSE4098B_Spring2026_Grade!$I13="W (Withdrawn)", CSE4098B_Spring2026_Grade!$I13="I (Incomplete)"), 0, IF(AH28&gt;=55%, 1, 0))</f>
        <v>1</v>
      </c>
      <c r="AT28" s="165">
        <f>IF(OR(CSE4098B_Spring2026_Grade!$I13="W (Withdrawn)", CSE4098B_Spring2026_Grade!$I13="I (Incomplete)"), 0, IF(AI28&gt;=55%, 1, 0))</f>
        <v>1</v>
      </c>
      <c r="AU28" s="165">
        <f>IF(OR(CSE4098B_Spring2026_Grade!$I13="W (Withdrawn)", CSE4098B_Spring2026_Grade!$I13="I (Incomplete)"), 0, IF(AJ28&gt;=55%, 1, 0))</f>
        <v>1</v>
      </c>
      <c r="AV28" s="165">
        <f>IF(OR(CSE4098B_Spring2026_Grade!$I13="W (Withdrawn)", CSE4098B_Spring2026_Grade!$I13="I (Incomplete)"), 0, IF(AK28&gt;=55%, 1, 0))</f>
        <v>1</v>
      </c>
      <c r="AW28" s="165">
        <f>IF(OR(CSE4098B_Spring2026_Grade!$I13="W (Withdrawn)", CSE4098B_Spring2026_Grade!$I13="I (Incomplete)"), 0, IF(AL28&gt;=55%, 1, 0))</f>
        <v>1</v>
      </c>
      <c r="AX28" s="165">
        <f>IF(OR(CSE4098B_Spring2026_Grade!$I13="W (Withdrawn)", CSE4098B_Spring2026_Grade!$I13="I (Incomplete)"), 0, IF(AM28&gt;=55%, 1, 0))</f>
        <v>1</v>
      </c>
      <c r="AY28" s="165">
        <f>IF(OR(CSE4098B_Spring2026_Grade!$I13="W (Withdrawn)", CSE4098B_Spring2026_Grade!$I13="I (Incomplete)"), 0, IF(AN28&gt;=55%, 1, 0))</f>
        <v>1</v>
      </c>
      <c r="AZ28" s="165">
        <f>IF(OR(CSE4098B_Spring2026_Grade!$I13="W (Withdrawn)", CSE4098B_Spring2026_Grade!$I13="I (Incomplete)"), 0, IF(AO28&gt;=55%, 1, 0))</f>
        <v>1</v>
      </c>
      <c r="BA28" s="76"/>
      <c r="BB28" s="166">
        <f t="shared" si="13"/>
        <v>0</v>
      </c>
      <c r="BC28" s="166">
        <f t="shared" si="14"/>
        <v>0.8888888889</v>
      </c>
      <c r="BD28" s="166">
        <f t="array" ref="BD28">IF($BC$14=0,0,MMULT($AE28:$AO28, BC$3:BC$13)/$BC$14)</f>
        <v>0.8888888889</v>
      </c>
      <c r="BE28" s="166">
        <f t="array" ref="BE28">IF($BD$14=0,0,MMULT($AE28:$AO28, BD$3:BD$13)/$BD$14)</f>
        <v>0.8333333333</v>
      </c>
      <c r="BF28" s="166">
        <f t="shared" si="15"/>
        <v>0.8888888889</v>
      </c>
      <c r="BG28" s="166">
        <f t="array" ref="BG28">IF($BF$14=0,0,MMULT($AE28:$AO28, BF$3:BF$13)/$BF$14)</f>
        <v>0.6666666667</v>
      </c>
      <c r="BH28" s="166">
        <f t="array" ref="BH28">IF($BG$14=0,0,MMULT($AE28:$AO28, BG$3:BG$13)/$BG$14)</f>
        <v>0.6666666667</v>
      </c>
      <c r="BI28" s="166">
        <f t="array" ref="BI28">IF($BH$14=0,0,MMULT($AE28:$AO28, BH$3:BH$13)/$BH$14)</f>
        <v>0.7777777778</v>
      </c>
      <c r="BJ28" s="166">
        <f t="array" ref="BJ28">IF($BI$14=0,0,MMULT($AE28:$AO28, BI$3:BI$13)/$BI$14)</f>
        <v>0.6</v>
      </c>
      <c r="BK28" s="166">
        <f t="array" ref="BK28">IF($BJ$14=0,0,MMULT($AE28:$AO28, BJ$3:BJ$13)/$BJ$14)</f>
        <v>0.8666666667</v>
      </c>
      <c r="BL28" s="166">
        <f t="shared" si="16"/>
        <v>0.7777777778</v>
      </c>
      <c r="BM28" s="166">
        <f t="shared" si="17"/>
        <v>0.8333333333</v>
      </c>
      <c r="BN28" s="165">
        <f>IF(OR(CSE4098B_Spring2026_Grade!$I13="W (Withdrawn)", CSE4098B_Spring2026_Grade!$I13="I (Incomplete)"), 0, IF(BB28&gt;=55%, 1, 0))</f>
        <v>0</v>
      </c>
      <c r="BO28" s="165">
        <f>IF(OR(CSE4098B_Spring2026_Grade!$I13="W (Withdrawn)", CSE4098B_Spring2026_Grade!$I13="I (Incomplete)"), 0, IF(BC28&gt;=55%, 1, 0))</f>
        <v>1</v>
      </c>
      <c r="BP28" s="165">
        <f>IF(OR(CSE4098B_Spring2026_Grade!$I13="W (Withdrawn)", CSE4098B_Spring2026_Grade!$I13="I (Incomplete)"), 0, IF(BD28&gt;=55%, 1, 0))</f>
        <v>1</v>
      </c>
      <c r="BQ28" s="165">
        <f>IF(OR(CSE4098B_Spring2026_Grade!$I13="W (Withdrawn)", CSE4098B_Spring2026_Grade!$I13="I (Incomplete)"), 0, IF(BE28&gt;=55%, 1, 0))</f>
        <v>1</v>
      </c>
      <c r="BR28" s="165">
        <f>IF(OR(CSE4098B_Spring2026_Grade!$I13="W (Withdrawn)", CSE4098B_Spring2026_Grade!$I13="I (Incomplete)"), 0, IF(BF28&gt;=55%, 1, 0))</f>
        <v>1</v>
      </c>
      <c r="BS28" s="165">
        <f>IF(OR(CSE4098B_Spring2026_Grade!$I13="W (Withdrawn)", CSE4098B_Spring2026_Grade!$I13="I (Incomplete)"), 0, IF(BG28&gt;=55%, 1, 0))</f>
        <v>1</v>
      </c>
      <c r="BT28" s="165">
        <f>IF(OR(CSE4098B_Spring2026_Grade!$I13="W (Withdrawn)", CSE4098B_Spring2026_Grade!$I13="I (Incomplete)"), 0, IF(BH28&gt;=55%, 1, 0))</f>
        <v>1</v>
      </c>
      <c r="BU28" s="165">
        <f>IF(OR(CSE4098B_Spring2026_Grade!$I13="W (Withdrawn)", CSE4098B_Spring2026_Grade!$I13="I (Incomplete)"), 0, IF(BI28&gt;=55%, 1, 0))</f>
        <v>1</v>
      </c>
      <c r="BV28" s="165">
        <f>IF(OR(CSE4098B_Spring2026_Grade!$I13="W (Withdrawn)", CSE4098B_Spring2026_Grade!$I13="I (Incomplete)"), 0, IF(BJ28&gt;=55%, 1, 0))</f>
        <v>1</v>
      </c>
      <c r="BW28" s="165">
        <f>IF(OR(CSE4098B_Spring2026_Grade!$I13="W (Withdrawn)", CSE4098B_Spring2026_Grade!$I13="I (Incomplete)"), 0, IF(BK28&gt;=55%, 1, 0))</f>
        <v>1</v>
      </c>
      <c r="BX28" s="165">
        <f>IF(OR(CSE4098B_Spring2026_Grade!$I13="W (Withdrawn)", CSE4098B_Spring2026_Grade!$I13="I (Incomplete)"), 0, IF(BL28&gt;=55%, 1, 0))</f>
        <v>1</v>
      </c>
      <c r="BY28" s="165">
        <f>IF(OR(CSE4098B_Spring2026_Grade!$I13="W (Withdrawn)", CSE4098B_Spring2026_Grade!$I13="I (Incomplete)"), 0, IF(BM28&gt;=55%, 1, 0))</f>
        <v>1</v>
      </c>
    </row>
    <row r="29">
      <c r="A29" s="153">
        <v>10.0</v>
      </c>
      <c r="B29" s="154">
        <f>CSE4098B_Spring2026_Grade!B14</f>
        <v>223014142</v>
      </c>
      <c r="C29" s="96" t="str">
        <f>CSE4098B_Spring2026_Grade!C14</f>
        <v>Tamanna Akter</v>
      </c>
      <c r="D29" s="155">
        <f>'CO Report Evaluation'!AI12</f>
        <v>5</v>
      </c>
      <c r="E29" s="155">
        <f>'CO Report Evaluation'!AJ12</f>
        <v>2.666666667</v>
      </c>
      <c r="F29" s="155">
        <f>'CO Report Evaluation'!AK12</f>
        <v>2.666666667</v>
      </c>
      <c r="G29" s="156">
        <f>'CO Report Evaluation'!AL12</f>
        <v>3</v>
      </c>
      <c r="H29" s="156">
        <f>'CO Report Evaluation'!AM12</f>
        <v>4.333333333</v>
      </c>
      <c r="I29" s="157">
        <f>'CO Report Evaluation'!AN12</f>
        <v>2.666666667</v>
      </c>
      <c r="J29" s="157">
        <f>'CO Report Evaluation'!AO12</f>
        <v>2.666666667</v>
      </c>
      <c r="K29" s="157">
        <f>'CO Report Evaluation'!AP12</f>
        <v>2</v>
      </c>
      <c r="L29" s="158">
        <f>'CO Report Evaluation'!AQ12</f>
        <v>2</v>
      </c>
      <c r="M29" s="159"/>
      <c r="N29" s="160"/>
      <c r="O29" s="160"/>
      <c r="P29" s="160"/>
      <c r="Q29" s="160"/>
      <c r="R29" s="156">
        <f>CSE4098B_Spring2026_Grade!F14</f>
        <v>5</v>
      </c>
      <c r="S29" s="161">
        <f>((CSE4098B_Spring2026_Grade!E14)*10)/45</f>
        <v>9.646666667</v>
      </c>
      <c r="T29" s="162">
        <f t="shared" ref="T29:AB29" si="39">D29</f>
        <v>5</v>
      </c>
      <c r="U29" s="163">
        <f t="shared" si="39"/>
        <v>2.666666667</v>
      </c>
      <c r="V29" s="163">
        <f t="shared" si="39"/>
        <v>2.666666667</v>
      </c>
      <c r="W29" s="163">
        <f t="shared" si="39"/>
        <v>3</v>
      </c>
      <c r="X29" s="163">
        <f t="shared" si="39"/>
        <v>4.333333333</v>
      </c>
      <c r="Y29" s="163">
        <f t="shared" si="39"/>
        <v>2.666666667</v>
      </c>
      <c r="Z29" s="163">
        <f t="shared" si="39"/>
        <v>2.666666667</v>
      </c>
      <c r="AA29" s="163">
        <f t="shared" si="39"/>
        <v>2</v>
      </c>
      <c r="AB29" s="163">
        <f t="shared" si="39"/>
        <v>2</v>
      </c>
      <c r="AC29" s="163">
        <f t="shared" ref="AC29:AD29" si="40">R29</f>
        <v>5</v>
      </c>
      <c r="AD29" s="163">
        <f t="shared" si="40"/>
        <v>9.646666667</v>
      </c>
      <c r="AE29" s="164">
        <f t="shared" ref="AE29:AO29" si="41">IF(T29 = 0, 0, T29/T$19)</f>
        <v>0.8333333333</v>
      </c>
      <c r="AF29" s="164">
        <f t="shared" si="41"/>
        <v>0.8888888889</v>
      </c>
      <c r="AG29" s="164">
        <f t="shared" si="41"/>
        <v>0.8888888889</v>
      </c>
      <c r="AH29" s="164">
        <f t="shared" si="41"/>
        <v>1</v>
      </c>
      <c r="AI29" s="164">
        <f t="shared" si="41"/>
        <v>1.444444444</v>
      </c>
      <c r="AJ29" s="164">
        <f t="shared" si="41"/>
        <v>0.4444444444</v>
      </c>
      <c r="AK29" s="164">
        <f t="shared" si="41"/>
        <v>0.8888888889</v>
      </c>
      <c r="AL29" s="164">
        <f t="shared" si="41"/>
        <v>0.6666666667</v>
      </c>
      <c r="AM29" s="164">
        <f t="shared" si="41"/>
        <v>0.6666666667</v>
      </c>
      <c r="AN29" s="164">
        <f t="shared" si="41"/>
        <v>1</v>
      </c>
      <c r="AO29" s="164">
        <f t="shared" si="41"/>
        <v>0.9646666667</v>
      </c>
      <c r="AP29" s="165">
        <f>IF(OR(CSE4098B_Spring2026_Grade!$I14="W (Withdrawn)", CSE4098B_Spring2026_Grade!$I14="I (Incomplete)"), 0, IF(AE29&gt;=55%, 1, 0))</f>
        <v>1</v>
      </c>
      <c r="AQ29" s="165">
        <f>IF(OR(CSE4098B_Spring2026_Grade!$I14="W (Withdrawn)", CSE4098B_Spring2026_Grade!$I14="I (Incomplete)"), 0, IF(AF29&gt;=55%, 1, 0))</f>
        <v>1</v>
      </c>
      <c r="AR29" s="165">
        <f>IF(OR(CSE4098B_Spring2026_Grade!$I14="W (Withdrawn)", CSE4098B_Spring2026_Grade!$I14="I (Incomplete)"), 0, IF(AG29&gt;=55%, 1, 0))</f>
        <v>1</v>
      </c>
      <c r="AS29" s="165">
        <f>IF(OR(CSE4098B_Spring2026_Grade!$I14="W (Withdrawn)", CSE4098B_Spring2026_Grade!$I14="I (Incomplete)"), 0, IF(AH29&gt;=55%, 1, 0))</f>
        <v>1</v>
      </c>
      <c r="AT29" s="165">
        <f>IF(OR(CSE4098B_Spring2026_Grade!$I14="W (Withdrawn)", CSE4098B_Spring2026_Grade!$I14="I (Incomplete)"), 0, IF(AI29&gt;=55%, 1, 0))</f>
        <v>1</v>
      </c>
      <c r="AU29" s="165">
        <f>IF(OR(CSE4098B_Spring2026_Grade!$I14="W (Withdrawn)", CSE4098B_Spring2026_Grade!$I14="I (Incomplete)"), 0, IF(AJ29&gt;=55%, 1, 0))</f>
        <v>0</v>
      </c>
      <c r="AV29" s="165">
        <f>IF(OR(CSE4098B_Spring2026_Grade!$I14="W (Withdrawn)", CSE4098B_Spring2026_Grade!$I14="I (Incomplete)"), 0, IF(AK29&gt;=55%, 1, 0))</f>
        <v>1</v>
      </c>
      <c r="AW29" s="165">
        <f>IF(OR(CSE4098B_Spring2026_Grade!$I14="W (Withdrawn)", CSE4098B_Spring2026_Grade!$I14="I (Incomplete)"), 0, IF(AL29&gt;=55%, 1, 0))</f>
        <v>1</v>
      </c>
      <c r="AX29" s="165">
        <f>IF(OR(CSE4098B_Spring2026_Grade!$I14="W (Withdrawn)", CSE4098B_Spring2026_Grade!$I14="I (Incomplete)"), 0, IF(AM29&gt;=55%, 1, 0))</f>
        <v>1</v>
      </c>
      <c r="AY29" s="165">
        <f>IF(OR(CSE4098B_Spring2026_Grade!$I14="W (Withdrawn)", CSE4098B_Spring2026_Grade!$I14="I (Incomplete)"), 0, IF(AN29&gt;=55%, 1, 0))</f>
        <v>1</v>
      </c>
      <c r="AZ29" s="165">
        <f>IF(OR(CSE4098B_Spring2026_Grade!$I14="W (Withdrawn)", CSE4098B_Spring2026_Grade!$I14="I (Incomplete)"), 0, IF(AO29&gt;=55%, 1, 0))</f>
        <v>1</v>
      </c>
      <c r="BA29" s="76"/>
      <c r="BB29" s="166">
        <f t="shared" si="13"/>
        <v>0</v>
      </c>
      <c r="BC29" s="166">
        <f t="shared" si="14"/>
        <v>0.8888888889</v>
      </c>
      <c r="BD29" s="166">
        <f t="array" ref="BD29">IF($BC$14=0,0,MMULT($AE29:$AO29, BC$3:BC$13)/$BC$14)</f>
        <v>1.444444444</v>
      </c>
      <c r="BE29" s="166">
        <f t="array" ref="BE29">IF($BD$14=0,0,MMULT($AE29:$AO29, BD$3:BD$13)/$BD$14)</f>
        <v>0.4444444444</v>
      </c>
      <c r="BF29" s="166">
        <f t="shared" si="15"/>
        <v>1</v>
      </c>
      <c r="BG29" s="166">
        <f t="array" ref="BG29">IF($BF$14=0,0,MMULT($AE29:$AO29, BF$3:BF$13)/$BF$14)</f>
        <v>0.8888888889</v>
      </c>
      <c r="BH29" s="166">
        <f t="array" ref="BH29">IF($BG$14=0,0,MMULT($AE29:$AO29, BG$3:BG$13)/$BG$14)</f>
        <v>0.6666666667</v>
      </c>
      <c r="BI29" s="166">
        <f t="array" ref="BI29">IF($BH$14=0,0,MMULT($AE29:$AO29, BH$3:BH$13)/$BH$14)</f>
        <v>0.6666666667</v>
      </c>
      <c r="BJ29" s="166">
        <f t="array" ref="BJ29">IF($BI$14=0,0,MMULT($AE29:$AO29, BI$3:BI$13)/$BI$14)</f>
        <v>1</v>
      </c>
      <c r="BK29" s="166">
        <f t="array" ref="BK29">IF($BJ$14=0,0,MMULT($AE29:$AO29, BJ$3:BJ$13)/$BJ$14)</f>
        <v>0.9646666667</v>
      </c>
      <c r="BL29" s="166">
        <f t="shared" si="16"/>
        <v>0.8888888889</v>
      </c>
      <c r="BM29" s="166">
        <f t="shared" si="17"/>
        <v>0.8333333333</v>
      </c>
      <c r="BN29" s="165">
        <f>IF(OR(CSE4098B_Spring2026_Grade!$I14="W (Withdrawn)", CSE4098B_Spring2026_Grade!$I14="I (Incomplete)"), 0, IF(BB29&gt;=55%, 1, 0))</f>
        <v>0</v>
      </c>
      <c r="BO29" s="165">
        <f>IF(OR(CSE4098B_Spring2026_Grade!$I14="W (Withdrawn)", CSE4098B_Spring2026_Grade!$I14="I (Incomplete)"), 0, IF(BC29&gt;=55%, 1, 0))</f>
        <v>1</v>
      </c>
      <c r="BP29" s="165">
        <f>IF(OR(CSE4098B_Spring2026_Grade!$I14="W (Withdrawn)", CSE4098B_Spring2026_Grade!$I14="I (Incomplete)"), 0, IF(BD29&gt;=55%, 1, 0))</f>
        <v>1</v>
      </c>
      <c r="BQ29" s="165">
        <f>IF(OR(CSE4098B_Spring2026_Grade!$I14="W (Withdrawn)", CSE4098B_Spring2026_Grade!$I14="I (Incomplete)"), 0, IF(BE29&gt;=55%, 1, 0))</f>
        <v>0</v>
      </c>
      <c r="BR29" s="165">
        <f>IF(OR(CSE4098B_Spring2026_Grade!$I14="W (Withdrawn)", CSE4098B_Spring2026_Grade!$I14="I (Incomplete)"), 0, IF(BF29&gt;=55%, 1, 0))</f>
        <v>1</v>
      </c>
      <c r="BS29" s="165">
        <f>IF(OR(CSE4098B_Spring2026_Grade!$I14="W (Withdrawn)", CSE4098B_Spring2026_Grade!$I14="I (Incomplete)"), 0, IF(BG29&gt;=55%, 1, 0))</f>
        <v>1</v>
      </c>
      <c r="BT29" s="165">
        <f>IF(OR(CSE4098B_Spring2026_Grade!$I14="W (Withdrawn)", CSE4098B_Spring2026_Grade!$I14="I (Incomplete)"), 0, IF(BH29&gt;=55%, 1, 0))</f>
        <v>1</v>
      </c>
      <c r="BU29" s="165">
        <f>IF(OR(CSE4098B_Spring2026_Grade!$I14="W (Withdrawn)", CSE4098B_Spring2026_Grade!$I14="I (Incomplete)"), 0, IF(BI29&gt;=55%, 1, 0))</f>
        <v>1</v>
      </c>
      <c r="BV29" s="165">
        <f>IF(OR(CSE4098B_Spring2026_Grade!$I14="W (Withdrawn)", CSE4098B_Spring2026_Grade!$I14="I (Incomplete)"), 0, IF(BJ29&gt;=55%, 1, 0))</f>
        <v>1</v>
      </c>
      <c r="BW29" s="165">
        <f>IF(OR(CSE4098B_Spring2026_Grade!$I14="W (Withdrawn)", CSE4098B_Spring2026_Grade!$I14="I (Incomplete)"), 0, IF(BK29&gt;=55%, 1, 0))</f>
        <v>1</v>
      </c>
      <c r="BX29" s="165">
        <f>IF(OR(CSE4098B_Spring2026_Grade!$I14="W (Withdrawn)", CSE4098B_Spring2026_Grade!$I14="I (Incomplete)"), 0, IF(BL29&gt;=55%, 1, 0))</f>
        <v>1</v>
      </c>
      <c r="BY29" s="165">
        <f>IF(OR(CSE4098B_Spring2026_Grade!$I14="W (Withdrawn)", CSE4098B_Spring2026_Grade!$I14="I (Incomplete)"), 0, IF(BM29&gt;=55%, 1, 0))</f>
        <v>1</v>
      </c>
    </row>
    <row r="30">
      <c r="A30" s="153">
        <v>11.0</v>
      </c>
      <c r="B30" s="154">
        <f>CSE4098B_Spring2026_Grade!B15</f>
        <v>223014204</v>
      </c>
      <c r="C30" s="96" t="str">
        <f>CSE4098B_Spring2026_Grade!C15</f>
        <v>Ashrafun Nahar Rahi</v>
      </c>
      <c r="D30" s="155">
        <f>'CO Report Evaluation'!AI13</f>
        <v>5</v>
      </c>
      <c r="E30" s="155">
        <f>'CO Report Evaluation'!AJ13</f>
        <v>2.666666667</v>
      </c>
      <c r="F30" s="155">
        <f>'CO Report Evaluation'!AK13</f>
        <v>2.666666667</v>
      </c>
      <c r="G30" s="156">
        <f>'CO Report Evaluation'!AL13</f>
        <v>3</v>
      </c>
      <c r="H30" s="156">
        <f>'CO Report Evaluation'!AM13</f>
        <v>4.333333333</v>
      </c>
      <c r="I30" s="157">
        <f>'CO Report Evaluation'!AN13</f>
        <v>2.666666667</v>
      </c>
      <c r="J30" s="157">
        <f>'CO Report Evaluation'!AO13</f>
        <v>2.666666667</v>
      </c>
      <c r="K30" s="157">
        <f>'CO Report Evaluation'!AP13</f>
        <v>2</v>
      </c>
      <c r="L30" s="158">
        <f>'CO Report Evaluation'!AQ13</f>
        <v>2</v>
      </c>
      <c r="M30" s="159"/>
      <c r="N30" s="160"/>
      <c r="O30" s="160"/>
      <c r="P30" s="160"/>
      <c r="Q30" s="160"/>
      <c r="R30" s="156">
        <f>CSE4098B_Spring2026_Grade!F15</f>
        <v>5</v>
      </c>
      <c r="S30" s="161">
        <f>((CSE4098B_Spring2026_Grade!E15)*10)/45</f>
        <v>9.646666667</v>
      </c>
      <c r="T30" s="162">
        <f t="shared" ref="T30:AB30" si="42">D30</f>
        <v>5</v>
      </c>
      <c r="U30" s="163">
        <f t="shared" si="42"/>
        <v>2.666666667</v>
      </c>
      <c r="V30" s="163">
        <f t="shared" si="42"/>
        <v>2.666666667</v>
      </c>
      <c r="W30" s="163">
        <f t="shared" si="42"/>
        <v>3</v>
      </c>
      <c r="X30" s="163">
        <f t="shared" si="42"/>
        <v>4.333333333</v>
      </c>
      <c r="Y30" s="163">
        <f t="shared" si="42"/>
        <v>2.666666667</v>
      </c>
      <c r="Z30" s="163">
        <f t="shared" si="42"/>
        <v>2.666666667</v>
      </c>
      <c r="AA30" s="163">
        <f t="shared" si="42"/>
        <v>2</v>
      </c>
      <c r="AB30" s="163">
        <f t="shared" si="42"/>
        <v>2</v>
      </c>
      <c r="AC30" s="163">
        <f t="shared" ref="AC30:AD30" si="43">R30</f>
        <v>5</v>
      </c>
      <c r="AD30" s="163">
        <f t="shared" si="43"/>
        <v>9.646666667</v>
      </c>
      <c r="AE30" s="164">
        <f t="shared" ref="AE30:AO30" si="44">IF(T30 = 0, 0, T30/T$19)</f>
        <v>0.8333333333</v>
      </c>
      <c r="AF30" s="164">
        <f t="shared" si="44"/>
        <v>0.8888888889</v>
      </c>
      <c r="AG30" s="164">
        <f t="shared" si="44"/>
        <v>0.8888888889</v>
      </c>
      <c r="AH30" s="164">
        <f t="shared" si="44"/>
        <v>1</v>
      </c>
      <c r="AI30" s="164">
        <f t="shared" si="44"/>
        <v>1.444444444</v>
      </c>
      <c r="AJ30" s="164">
        <f t="shared" si="44"/>
        <v>0.4444444444</v>
      </c>
      <c r="AK30" s="164">
        <f t="shared" si="44"/>
        <v>0.8888888889</v>
      </c>
      <c r="AL30" s="164">
        <f t="shared" si="44"/>
        <v>0.6666666667</v>
      </c>
      <c r="AM30" s="164">
        <f t="shared" si="44"/>
        <v>0.6666666667</v>
      </c>
      <c r="AN30" s="164">
        <f t="shared" si="44"/>
        <v>1</v>
      </c>
      <c r="AO30" s="164">
        <f t="shared" si="44"/>
        <v>0.9646666667</v>
      </c>
      <c r="AP30" s="165">
        <f>IF(OR(CSE4098B_Spring2026_Grade!$I15="W (Withdrawn)", CSE4098B_Spring2026_Grade!$I15="I (Incomplete)"), 0, IF(AE30&gt;=55%, 1, 0))</f>
        <v>1</v>
      </c>
      <c r="AQ30" s="165">
        <f>IF(OR(CSE4098B_Spring2026_Grade!$I15="W (Withdrawn)", CSE4098B_Spring2026_Grade!$I15="I (Incomplete)"), 0, IF(AF30&gt;=55%, 1, 0))</f>
        <v>1</v>
      </c>
      <c r="AR30" s="165">
        <f>IF(OR(CSE4098B_Spring2026_Grade!$I15="W (Withdrawn)", CSE4098B_Spring2026_Grade!$I15="I (Incomplete)"), 0, IF(AG30&gt;=55%, 1, 0))</f>
        <v>1</v>
      </c>
      <c r="AS30" s="165">
        <f>IF(OR(CSE4098B_Spring2026_Grade!$I15="W (Withdrawn)", CSE4098B_Spring2026_Grade!$I15="I (Incomplete)"), 0, IF(AH30&gt;=55%, 1, 0))</f>
        <v>1</v>
      </c>
      <c r="AT30" s="165">
        <f>IF(OR(CSE4098B_Spring2026_Grade!$I15="W (Withdrawn)", CSE4098B_Spring2026_Grade!$I15="I (Incomplete)"), 0, IF(AI30&gt;=55%, 1, 0))</f>
        <v>1</v>
      </c>
      <c r="AU30" s="165">
        <f>IF(OR(CSE4098B_Spring2026_Grade!$I15="W (Withdrawn)", CSE4098B_Spring2026_Grade!$I15="I (Incomplete)"), 0, IF(AJ30&gt;=55%, 1, 0))</f>
        <v>0</v>
      </c>
      <c r="AV30" s="165">
        <f>IF(OR(CSE4098B_Spring2026_Grade!$I15="W (Withdrawn)", CSE4098B_Spring2026_Grade!$I15="I (Incomplete)"), 0, IF(AK30&gt;=55%, 1, 0))</f>
        <v>1</v>
      </c>
      <c r="AW30" s="165">
        <f>IF(OR(CSE4098B_Spring2026_Grade!$I15="W (Withdrawn)", CSE4098B_Spring2026_Grade!$I15="I (Incomplete)"), 0, IF(AL30&gt;=55%, 1, 0))</f>
        <v>1</v>
      </c>
      <c r="AX30" s="165">
        <f>IF(OR(CSE4098B_Spring2026_Grade!$I15="W (Withdrawn)", CSE4098B_Spring2026_Grade!$I15="I (Incomplete)"), 0, IF(AM30&gt;=55%, 1, 0))</f>
        <v>1</v>
      </c>
      <c r="AY30" s="165">
        <f>IF(OR(CSE4098B_Spring2026_Grade!$I15="W (Withdrawn)", CSE4098B_Spring2026_Grade!$I15="I (Incomplete)"), 0, IF(AN30&gt;=55%, 1, 0))</f>
        <v>1</v>
      </c>
      <c r="AZ30" s="165">
        <f>IF(OR(CSE4098B_Spring2026_Grade!$I15="W (Withdrawn)", CSE4098B_Spring2026_Grade!$I15="I (Incomplete)"), 0, IF(AO30&gt;=55%, 1, 0))</f>
        <v>1</v>
      </c>
      <c r="BA30" s="76"/>
      <c r="BB30" s="166">
        <f t="shared" si="13"/>
        <v>0</v>
      </c>
      <c r="BC30" s="166">
        <f t="shared" si="14"/>
        <v>0.8888888889</v>
      </c>
      <c r="BD30" s="166">
        <f t="array" ref="BD30">IF($BC$14=0,0,MMULT($AE30:$AO30, BC$3:BC$13)/$BC$14)</f>
        <v>1.444444444</v>
      </c>
      <c r="BE30" s="166">
        <f t="array" ref="BE30">IF($BD$14=0,0,MMULT($AE30:$AO30, BD$3:BD$13)/$BD$14)</f>
        <v>0.4444444444</v>
      </c>
      <c r="BF30" s="166">
        <f t="shared" si="15"/>
        <v>1</v>
      </c>
      <c r="BG30" s="166">
        <f t="array" ref="BG30">IF($BF$14=0,0,MMULT($AE30:$AO30, BF$3:BF$13)/$BF$14)</f>
        <v>0.8888888889</v>
      </c>
      <c r="BH30" s="166">
        <f t="array" ref="BH30">IF($BG$14=0,0,MMULT($AE30:$AO30, BG$3:BG$13)/$BG$14)</f>
        <v>0.6666666667</v>
      </c>
      <c r="BI30" s="166">
        <f t="array" ref="BI30">IF($BH$14=0,0,MMULT($AE30:$AO30, BH$3:BH$13)/$BH$14)</f>
        <v>0.6666666667</v>
      </c>
      <c r="BJ30" s="166">
        <f t="array" ref="BJ30">IF($BI$14=0,0,MMULT($AE30:$AO30, BI$3:BI$13)/$BI$14)</f>
        <v>1</v>
      </c>
      <c r="BK30" s="166">
        <f t="array" ref="BK30">IF($BJ$14=0,0,MMULT($AE30:$AO30, BJ$3:BJ$13)/$BJ$14)</f>
        <v>0.9646666667</v>
      </c>
      <c r="BL30" s="166">
        <f t="shared" si="16"/>
        <v>0.8888888889</v>
      </c>
      <c r="BM30" s="166">
        <f t="shared" si="17"/>
        <v>0.8333333333</v>
      </c>
      <c r="BN30" s="165">
        <f>IF(OR(CSE4098B_Spring2026_Grade!$I15="W (Withdrawn)", CSE4098B_Spring2026_Grade!$I15="I (Incomplete)"), 0, IF(BB30&gt;=55%, 1, 0))</f>
        <v>0</v>
      </c>
      <c r="BO30" s="165">
        <f>IF(OR(CSE4098B_Spring2026_Grade!$I15="W (Withdrawn)", CSE4098B_Spring2026_Grade!$I15="I (Incomplete)"), 0, IF(BC30&gt;=55%, 1, 0))</f>
        <v>1</v>
      </c>
      <c r="BP30" s="165">
        <f>IF(OR(CSE4098B_Spring2026_Grade!$I15="W (Withdrawn)", CSE4098B_Spring2026_Grade!$I15="I (Incomplete)"), 0, IF(BD30&gt;=55%, 1, 0))</f>
        <v>1</v>
      </c>
      <c r="BQ30" s="165">
        <f>IF(OR(CSE4098B_Spring2026_Grade!$I15="W (Withdrawn)", CSE4098B_Spring2026_Grade!$I15="I (Incomplete)"), 0, IF(BE30&gt;=55%, 1, 0))</f>
        <v>0</v>
      </c>
      <c r="BR30" s="165">
        <f>IF(OR(CSE4098B_Spring2026_Grade!$I15="W (Withdrawn)", CSE4098B_Spring2026_Grade!$I15="I (Incomplete)"), 0, IF(BF30&gt;=55%, 1, 0))</f>
        <v>1</v>
      </c>
      <c r="BS30" s="165">
        <f>IF(OR(CSE4098B_Spring2026_Grade!$I15="W (Withdrawn)", CSE4098B_Spring2026_Grade!$I15="I (Incomplete)"), 0, IF(BG30&gt;=55%, 1, 0))</f>
        <v>1</v>
      </c>
      <c r="BT30" s="165">
        <f>IF(OR(CSE4098B_Spring2026_Grade!$I15="W (Withdrawn)", CSE4098B_Spring2026_Grade!$I15="I (Incomplete)"), 0, IF(BH30&gt;=55%, 1, 0))</f>
        <v>1</v>
      </c>
      <c r="BU30" s="165">
        <f>IF(OR(CSE4098B_Spring2026_Grade!$I15="W (Withdrawn)", CSE4098B_Spring2026_Grade!$I15="I (Incomplete)"), 0, IF(BI30&gt;=55%, 1, 0))</f>
        <v>1</v>
      </c>
      <c r="BV30" s="165">
        <f>IF(OR(CSE4098B_Spring2026_Grade!$I15="W (Withdrawn)", CSE4098B_Spring2026_Grade!$I15="I (Incomplete)"), 0, IF(BJ30&gt;=55%, 1, 0))</f>
        <v>1</v>
      </c>
      <c r="BW30" s="165">
        <f>IF(OR(CSE4098B_Spring2026_Grade!$I15="W (Withdrawn)", CSE4098B_Spring2026_Grade!$I15="I (Incomplete)"), 0, IF(BK30&gt;=55%, 1, 0))</f>
        <v>1</v>
      </c>
      <c r="BX30" s="165">
        <f>IF(OR(CSE4098B_Spring2026_Grade!$I15="W (Withdrawn)", CSE4098B_Spring2026_Grade!$I15="I (Incomplete)"), 0, IF(BL30&gt;=55%, 1, 0))</f>
        <v>1</v>
      </c>
      <c r="BY30" s="165">
        <f>IF(OR(CSE4098B_Spring2026_Grade!$I15="W (Withdrawn)", CSE4098B_Spring2026_Grade!$I15="I (Incomplete)"), 0, IF(BM30&gt;=55%, 1, 0))</f>
        <v>1</v>
      </c>
    </row>
    <row r="31">
      <c r="A31" s="153">
        <v>12.0</v>
      </c>
      <c r="B31" s="154">
        <f>CSE4098B_Spring2026_Grade!B16</f>
        <v>213014052</v>
      </c>
      <c r="C31" s="96" t="str">
        <f>CSE4098B_Spring2026_Grade!C16</f>
        <v>Khuslima Fardush Mony</v>
      </c>
      <c r="D31" s="155">
        <f>'CO Report Evaluation'!AI14</f>
        <v>5</v>
      </c>
      <c r="E31" s="155">
        <f>'CO Report Evaluation'!AJ14</f>
        <v>2.666666667</v>
      </c>
      <c r="F31" s="155">
        <f>'CO Report Evaluation'!AK14</f>
        <v>2.666666667</v>
      </c>
      <c r="G31" s="156">
        <f>'CO Report Evaluation'!AL14</f>
        <v>3</v>
      </c>
      <c r="H31" s="156">
        <f>'CO Report Evaluation'!AM14</f>
        <v>4.333333333</v>
      </c>
      <c r="I31" s="157">
        <f>'CO Report Evaluation'!AN14</f>
        <v>2.666666667</v>
      </c>
      <c r="J31" s="157">
        <f>'CO Report Evaluation'!AO14</f>
        <v>2.666666667</v>
      </c>
      <c r="K31" s="157">
        <f>'CO Report Evaluation'!AP14</f>
        <v>2</v>
      </c>
      <c r="L31" s="158">
        <f>'CO Report Evaluation'!AQ14</f>
        <v>2</v>
      </c>
      <c r="M31" s="159"/>
      <c r="N31" s="160"/>
      <c r="O31" s="160"/>
      <c r="P31" s="160"/>
      <c r="Q31" s="160"/>
      <c r="R31" s="156">
        <f>CSE4098B_Spring2026_Grade!F16</f>
        <v>4</v>
      </c>
      <c r="S31" s="161">
        <f>((CSE4098B_Spring2026_Grade!E16)*10)/45</f>
        <v>9.053333333</v>
      </c>
      <c r="T31" s="162">
        <f t="shared" ref="T31:AB31" si="45">D31</f>
        <v>5</v>
      </c>
      <c r="U31" s="163">
        <f t="shared" si="45"/>
        <v>2.666666667</v>
      </c>
      <c r="V31" s="163">
        <f t="shared" si="45"/>
        <v>2.666666667</v>
      </c>
      <c r="W31" s="163">
        <f t="shared" si="45"/>
        <v>3</v>
      </c>
      <c r="X31" s="163">
        <f t="shared" si="45"/>
        <v>4.333333333</v>
      </c>
      <c r="Y31" s="163">
        <f t="shared" si="45"/>
        <v>2.666666667</v>
      </c>
      <c r="Z31" s="163">
        <f t="shared" si="45"/>
        <v>2.666666667</v>
      </c>
      <c r="AA31" s="163">
        <f t="shared" si="45"/>
        <v>2</v>
      </c>
      <c r="AB31" s="163">
        <f t="shared" si="45"/>
        <v>2</v>
      </c>
      <c r="AC31" s="163">
        <f t="shared" ref="AC31:AD31" si="46">R31</f>
        <v>4</v>
      </c>
      <c r="AD31" s="163">
        <f t="shared" si="46"/>
        <v>9.053333333</v>
      </c>
      <c r="AE31" s="164">
        <f t="shared" ref="AE31:AO31" si="47">IF(T31 = 0, 0, T31/T$19)</f>
        <v>0.8333333333</v>
      </c>
      <c r="AF31" s="164">
        <f t="shared" si="47"/>
        <v>0.8888888889</v>
      </c>
      <c r="AG31" s="164">
        <f t="shared" si="47"/>
        <v>0.8888888889</v>
      </c>
      <c r="AH31" s="164">
        <f t="shared" si="47"/>
        <v>1</v>
      </c>
      <c r="AI31" s="164">
        <f t="shared" si="47"/>
        <v>1.444444444</v>
      </c>
      <c r="AJ31" s="164">
        <f t="shared" si="47"/>
        <v>0.4444444444</v>
      </c>
      <c r="AK31" s="164">
        <f t="shared" si="47"/>
        <v>0.8888888889</v>
      </c>
      <c r="AL31" s="164">
        <f t="shared" si="47"/>
        <v>0.6666666667</v>
      </c>
      <c r="AM31" s="164">
        <f t="shared" si="47"/>
        <v>0.6666666667</v>
      </c>
      <c r="AN31" s="164">
        <f t="shared" si="47"/>
        <v>0.8</v>
      </c>
      <c r="AO31" s="164">
        <f t="shared" si="47"/>
        <v>0.9053333333</v>
      </c>
      <c r="AP31" s="165">
        <f>IF(OR(CSE4098B_Spring2026_Grade!$I16="W (Withdrawn)", CSE4098B_Spring2026_Grade!$I16="I (Incomplete)"), 0, IF(AE31&gt;=55%, 1, 0))</f>
        <v>1</v>
      </c>
      <c r="AQ31" s="165">
        <f>IF(OR(CSE4098B_Spring2026_Grade!$I16="W (Withdrawn)", CSE4098B_Spring2026_Grade!$I16="I (Incomplete)"), 0, IF(AF31&gt;=55%, 1, 0))</f>
        <v>1</v>
      </c>
      <c r="AR31" s="165">
        <f>IF(OR(CSE4098B_Spring2026_Grade!$I16="W (Withdrawn)", CSE4098B_Spring2026_Grade!$I16="I (Incomplete)"), 0, IF(AG31&gt;=55%, 1, 0))</f>
        <v>1</v>
      </c>
      <c r="AS31" s="165">
        <f>IF(OR(CSE4098B_Spring2026_Grade!$I16="W (Withdrawn)", CSE4098B_Spring2026_Grade!$I16="I (Incomplete)"), 0, IF(AH31&gt;=55%, 1, 0))</f>
        <v>1</v>
      </c>
      <c r="AT31" s="165">
        <f>IF(OR(CSE4098B_Spring2026_Grade!$I16="W (Withdrawn)", CSE4098B_Spring2026_Grade!$I16="I (Incomplete)"), 0, IF(AI31&gt;=55%, 1, 0))</f>
        <v>1</v>
      </c>
      <c r="AU31" s="165">
        <f>IF(OR(CSE4098B_Spring2026_Grade!$I16="W (Withdrawn)", CSE4098B_Spring2026_Grade!$I16="I (Incomplete)"), 0, IF(AJ31&gt;=55%, 1, 0))</f>
        <v>0</v>
      </c>
      <c r="AV31" s="165">
        <f>IF(OR(CSE4098B_Spring2026_Grade!$I16="W (Withdrawn)", CSE4098B_Spring2026_Grade!$I16="I (Incomplete)"), 0, IF(AK31&gt;=55%, 1, 0))</f>
        <v>1</v>
      </c>
      <c r="AW31" s="165">
        <f>IF(OR(CSE4098B_Spring2026_Grade!$I16="W (Withdrawn)", CSE4098B_Spring2026_Grade!$I16="I (Incomplete)"), 0, IF(AL31&gt;=55%, 1, 0))</f>
        <v>1</v>
      </c>
      <c r="AX31" s="165">
        <f>IF(OR(CSE4098B_Spring2026_Grade!$I16="W (Withdrawn)", CSE4098B_Spring2026_Grade!$I16="I (Incomplete)"), 0, IF(AM31&gt;=55%, 1, 0))</f>
        <v>1</v>
      </c>
      <c r="AY31" s="165">
        <f>IF(OR(CSE4098B_Spring2026_Grade!$I16="W (Withdrawn)", CSE4098B_Spring2026_Grade!$I16="I (Incomplete)"), 0, IF(AN31&gt;=55%, 1, 0))</f>
        <v>1</v>
      </c>
      <c r="AZ31" s="165">
        <f>IF(OR(CSE4098B_Spring2026_Grade!$I16="W (Withdrawn)", CSE4098B_Spring2026_Grade!$I16="I (Incomplete)"), 0, IF(AO31&gt;=55%, 1, 0))</f>
        <v>1</v>
      </c>
      <c r="BA31" s="76"/>
      <c r="BB31" s="166">
        <f t="shared" si="13"/>
        <v>0</v>
      </c>
      <c r="BC31" s="166">
        <f t="shared" si="14"/>
        <v>0.8888888889</v>
      </c>
      <c r="BD31" s="166">
        <f t="array" ref="BD31">IF($BC$14=0,0,MMULT($AE31:$AO31, BC$3:BC$13)/$BC$14)</f>
        <v>1.444444444</v>
      </c>
      <c r="BE31" s="166">
        <f t="array" ref="BE31">IF($BD$14=0,0,MMULT($AE31:$AO31, BD$3:BD$13)/$BD$14)</f>
        <v>0.4444444444</v>
      </c>
      <c r="BF31" s="166">
        <f t="shared" si="15"/>
        <v>1</v>
      </c>
      <c r="BG31" s="166">
        <f t="array" ref="BG31">IF($BF$14=0,0,MMULT($AE31:$AO31, BF$3:BF$13)/$BF$14)</f>
        <v>0.8888888889</v>
      </c>
      <c r="BH31" s="166">
        <f t="array" ref="BH31">IF($BG$14=0,0,MMULT($AE31:$AO31, BG$3:BG$13)/$BG$14)</f>
        <v>0.6666666667</v>
      </c>
      <c r="BI31" s="166">
        <f t="array" ref="BI31">IF($BH$14=0,0,MMULT($AE31:$AO31, BH$3:BH$13)/$BH$14)</f>
        <v>0.6666666667</v>
      </c>
      <c r="BJ31" s="166">
        <f t="array" ref="BJ31">IF($BI$14=0,0,MMULT($AE31:$AO31, BI$3:BI$13)/$BI$14)</f>
        <v>0.8</v>
      </c>
      <c r="BK31" s="166">
        <f t="array" ref="BK31">IF($BJ$14=0,0,MMULT($AE31:$AO31, BJ$3:BJ$13)/$BJ$14)</f>
        <v>0.9053333333</v>
      </c>
      <c r="BL31" s="166">
        <f t="shared" si="16"/>
        <v>0.8888888889</v>
      </c>
      <c r="BM31" s="166">
        <f t="shared" si="17"/>
        <v>0.8333333333</v>
      </c>
      <c r="BN31" s="165">
        <f>IF(OR(CSE4098B_Spring2026_Grade!$I16="W (Withdrawn)", CSE4098B_Spring2026_Grade!$I16="I (Incomplete)"), 0, IF(BB31&gt;=55%, 1, 0))</f>
        <v>0</v>
      </c>
      <c r="BO31" s="165">
        <f>IF(OR(CSE4098B_Spring2026_Grade!$I16="W (Withdrawn)", CSE4098B_Spring2026_Grade!$I16="I (Incomplete)"), 0, IF(BC31&gt;=55%, 1, 0))</f>
        <v>1</v>
      </c>
      <c r="BP31" s="165">
        <f>IF(OR(CSE4098B_Spring2026_Grade!$I16="W (Withdrawn)", CSE4098B_Spring2026_Grade!$I16="I (Incomplete)"), 0, IF(BD31&gt;=55%, 1, 0))</f>
        <v>1</v>
      </c>
      <c r="BQ31" s="165">
        <f>IF(OR(CSE4098B_Spring2026_Grade!$I16="W (Withdrawn)", CSE4098B_Spring2026_Grade!$I16="I (Incomplete)"), 0, IF(BE31&gt;=55%, 1, 0))</f>
        <v>0</v>
      </c>
      <c r="BR31" s="165">
        <f>IF(OR(CSE4098B_Spring2026_Grade!$I16="W (Withdrawn)", CSE4098B_Spring2026_Grade!$I16="I (Incomplete)"), 0, IF(BF31&gt;=55%, 1, 0))</f>
        <v>1</v>
      </c>
      <c r="BS31" s="165">
        <f>IF(OR(CSE4098B_Spring2026_Grade!$I16="W (Withdrawn)", CSE4098B_Spring2026_Grade!$I16="I (Incomplete)"), 0, IF(BG31&gt;=55%, 1, 0))</f>
        <v>1</v>
      </c>
      <c r="BT31" s="165">
        <f>IF(OR(CSE4098B_Spring2026_Grade!$I16="W (Withdrawn)", CSE4098B_Spring2026_Grade!$I16="I (Incomplete)"), 0, IF(BH31&gt;=55%, 1, 0))</f>
        <v>1</v>
      </c>
      <c r="BU31" s="165">
        <f>IF(OR(CSE4098B_Spring2026_Grade!$I16="W (Withdrawn)", CSE4098B_Spring2026_Grade!$I16="I (Incomplete)"), 0, IF(BI31&gt;=55%, 1, 0))</f>
        <v>1</v>
      </c>
      <c r="BV31" s="165">
        <f>IF(OR(CSE4098B_Spring2026_Grade!$I16="W (Withdrawn)", CSE4098B_Spring2026_Grade!$I16="I (Incomplete)"), 0, IF(BJ31&gt;=55%, 1, 0))</f>
        <v>1</v>
      </c>
      <c r="BW31" s="165">
        <f>IF(OR(CSE4098B_Spring2026_Grade!$I16="W (Withdrawn)", CSE4098B_Spring2026_Grade!$I16="I (Incomplete)"), 0, IF(BK31&gt;=55%, 1, 0))</f>
        <v>1</v>
      </c>
      <c r="BX31" s="165">
        <f>IF(OR(CSE4098B_Spring2026_Grade!$I16="W (Withdrawn)", CSE4098B_Spring2026_Grade!$I16="I (Incomplete)"), 0, IF(BL31&gt;=55%, 1, 0))</f>
        <v>1</v>
      </c>
      <c r="BY31" s="165">
        <f>IF(OR(CSE4098B_Spring2026_Grade!$I16="W (Withdrawn)", CSE4098B_Spring2026_Grade!$I16="I (Incomplete)"), 0, IF(BM31&gt;=55%, 1, 0))</f>
        <v>1</v>
      </c>
    </row>
    <row r="32">
      <c r="A32" s="153">
        <v>13.0</v>
      </c>
      <c r="B32" s="154">
        <f>CSE4098B_Spring2026_Grade!B17</f>
        <v>221014035</v>
      </c>
      <c r="C32" s="96" t="str">
        <f>CSE4098B_Spring2026_Grade!C17</f>
        <v>Md. Alif Hossain</v>
      </c>
      <c r="D32" s="155">
        <f>'CO Report Evaluation'!AI15</f>
        <v>5</v>
      </c>
      <c r="E32" s="155">
        <f>'CO Report Evaluation'!AJ15</f>
        <v>2.666666667</v>
      </c>
      <c r="F32" s="155">
        <f>'CO Report Evaluation'!AK15</f>
        <v>2.666666667</v>
      </c>
      <c r="G32" s="156">
        <f>'CO Report Evaluation'!AL15</f>
        <v>3</v>
      </c>
      <c r="H32" s="156">
        <f>'CO Report Evaluation'!AM15</f>
        <v>4.333333333</v>
      </c>
      <c r="I32" s="157">
        <f>'CO Report Evaluation'!AN15</f>
        <v>2.666666667</v>
      </c>
      <c r="J32" s="157">
        <f>'CO Report Evaluation'!AO15</f>
        <v>2.666666667</v>
      </c>
      <c r="K32" s="157">
        <f>'CO Report Evaluation'!AP15</f>
        <v>2</v>
      </c>
      <c r="L32" s="158">
        <f>'CO Report Evaluation'!AQ15</f>
        <v>2</v>
      </c>
      <c r="M32" s="159"/>
      <c r="N32" s="160"/>
      <c r="O32" s="160"/>
      <c r="P32" s="160"/>
      <c r="Q32" s="160"/>
      <c r="R32" s="156">
        <f>CSE4098B_Spring2026_Grade!F17</f>
        <v>3</v>
      </c>
      <c r="S32" s="161">
        <f>((CSE4098B_Spring2026_Grade!E17)*10)/45</f>
        <v>8.806666667</v>
      </c>
      <c r="T32" s="162">
        <f t="shared" ref="T32:AB32" si="48">D32</f>
        <v>5</v>
      </c>
      <c r="U32" s="163">
        <f t="shared" si="48"/>
        <v>2.666666667</v>
      </c>
      <c r="V32" s="163">
        <f t="shared" si="48"/>
        <v>2.666666667</v>
      </c>
      <c r="W32" s="163">
        <f t="shared" si="48"/>
        <v>3</v>
      </c>
      <c r="X32" s="163">
        <f t="shared" si="48"/>
        <v>4.333333333</v>
      </c>
      <c r="Y32" s="163">
        <f t="shared" si="48"/>
        <v>2.666666667</v>
      </c>
      <c r="Z32" s="163">
        <f t="shared" si="48"/>
        <v>2.666666667</v>
      </c>
      <c r="AA32" s="163">
        <f t="shared" si="48"/>
        <v>2</v>
      </c>
      <c r="AB32" s="163">
        <f t="shared" si="48"/>
        <v>2</v>
      </c>
      <c r="AC32" s="163">
        <f t="shared" ref="AC32:AD32" si="49">R32</f>
        <v>3</v>
      </c>
      <c r="AD32" s="163">
        <f t="shared" si="49"/>
        <v>8.806666667</v>
      </c>
      <c r="AE32" s="164">
        <f t="shared" ref="AE32:AO32" si="50">IF(T32 = 0, 0, T32/T$19)</f>
        <v>0.8333333333</v>
      </c>
      <c r="AF32" s="164">
        <f t="shared" si="50"/>
        <v>0.8888888889</v>
      </c>
      <c r="AG32" s="164">
        <f t="shared" si="50"/>
        <v>0.8888888889</v>
      </c>
      <c r="AH32" s="164">
        <f t="shared" si="50"/>
        <v>1</v>
      </c>
      <c r="AI32" s="164">
        <f t="shared" si="50"/>
        <v>1.444444444</v>
      </c>
      <c r="AJ32" s="164">
        <f t="shared" si="50"/>
        <v>0.4444444444</v>
      </c>
      <c r="AK32" s="164">
        <f t="shared" si="50"/>
        <v>0.8888888889</v>
      </c>
      <c r="AL32" s="164">
        <f t="shared" si="50"/>
        <v>0.6666666667</v>
      </c>
      <c r="AM32" s="164">
        <f t="shared" si="50"/>
        <v>0.6666666667</v>
      </c>
      <c r="AN32" s="164">
        <f t="shared" si="50"/>
        <v>0.6</v>
      </c>
      <c r="AO32" s="164">
        <f t="shared" si="50"/>
        <v>0.8806666667</v>
      </c>
      <c r="AP32" s="165">
        <f>IF(OR(CSE4098B_Spring2026_Grade!$I17="W (Withdrawn)", CSE4098B_Spring2026_Grade!$I17="I (Incomplete)"), 0, IF(AE32&gt;=55%, 1, 0))</f>
        <v>1</v>
      </c>
      <c r="AQ32" s="165">
        <f>IF(OR(CSE4098B_Spring2026_Grade!$I17="W (Withdrawn)", CSE4098B_Spring2026_Grade!$I17="I (Incomplete)"), 0, IF(AF32&gt;=55%, 1, 0))</f>
        <v>1</v>
      </c>
      <c r="AR32" s="165">
        <f>IF(OR(CSE4098B_Spring2026_Grade!$I17="W (Withdrawn)", CSE4098B_Spring2026_Grade!$I17="I (Incomplete)"), 0, IF(AG32&gt;=55%, 1, 0))</f>
        <v>1</v>
      </c>
      <c r="AS32" s="165">
        <f>IF(OR(CSE4098B_Spring2026_Grade!$I17="W (Withdrawn)", CSE4098B_Spring2026_Grade!$I17="I (Incomplete)"), 0, IF(AH32&gt;=55%, 1, 0))</f>
        <v>1</v>
      </c>
      <c r="AT32" s="165">
        <f>IF(OR(CSE4098B_Spring2026_Grade!$I17="W (Withdrawn)", CSE4098B_Spring2026_Grade!$I17="I (Incomplete)"), 0, IF(AI32&gt;=55%, 1, 0))</f>
        <v>1</v>
      </c>
      <c r="AU32" s="165">
        <f>IF(OR(CSE4098B_Spring2026_Grade!$I17="W (Withdrawn)", CSE4098B_Spring2026_Grade!$I17="I (Incomplete)"), 0, IF(AJ32&gt;=55%, 1, 0))</f>
        <v>0</v>
      </c>
      <c r="AV32" s="165">
        <f>IF(OR(CSE4098B_Spring2026_Grade!$I17="W (Withdrawn)", CSE4098B_Spring2026_Grade!$I17="I (Incomplete)"), 0, IF(AK32&gt;=55%, 1, 0))</f>
        <v>1</v>
      </c>
      <c r="AW32" s="165">
        <f>IF(OR(CSE4098B_Spring2026_Grade!$I17="W (Withdrawn)", CSE4098B_Spring2026_Grade!$I17="I (Incomplete)"), 0, IF(AL32&gt;=55%, 1, 0))</f>
        <v>1</v>
      </c>
      <c r="AX32" s="165">
        <f>IF(OR(CSE4098B_Spring2026_Grade!$I17="W (Withdrawn)", CSE4098B_Spring2026_Grade!$I17="I (Incomplete)"), 0, IF(AM32&gt;=55%, 1, 0))</f>
        <v>1</v>
      </c>
      <c r="AY32" s="165">
        <f>IF(OR(CSE4098B_Spring2026_Grade!$I17="W (Withdrawn)", CSE4098B_Spring2026_Grade!$I17="I (Incomplete)"), 0, IF(AN32&gt;=55%, 1, 0))</f>
        <v>1</v>
      </c>
      <c r="AZ32" s="165">
        <f>IF(OR(CSE4098B_Spring2026_Grade!$I17="W (Withdrawn)", CSE4098B_Spring2026_Grade!$I17="I (Incomplete)"), 0, IF(AO32&gt;=55%, 1, 0))</f>
        <v>1</v>
      </c>
      <c r="BA32" s="76"/>
      <c r="BB32" s="166">
        <f t="shared" si="13"/>
        <v>0</v>
      </c>
      <c r="BC32" s="166">
        <f t="shared" si="14"/>
        <v>0.8888888889</v>
      </c>
      <c r="BD32" s="166">
        <f t="array" ref="BD32">IF($BC$14=0,0,MMULT($AE32:$AO32, BC$3:BC$13)/$BC$14)</f>
        <v>1.444444444</v>
      </c>
      <c r="BE32" s="166">
        <f t="array" ref="BE32">IF($BD$14=0,0,MMULT($AE32:$AO32, BD$3:BD$13)/$BD$14)</f>
        <v>0.4444444444</v>
      </c>
      <c r="BF32" s="166">
        <f t="shared" si="15"/>
        <v>1</v>
      </c>
      <c r="BG32" s="166">
        <f t="array" ref="BG32">IF($BF$14=0,0,MMULT($AE32:$AO32, BF$3:BF$13)/$BF$14)</f>
        <v>0.8888888889</v>
      </c>
      <c r="BH32" s="166">
        <f t="array" ref="BH32">IF($BG$14=0,0,MMULT($AE32:$AO32, BG$3:BG$13)/$BG$14)</f>
        <v>0.6666666667</v>
      </c>
      <c r="BI32" s="166">
        <f t="array" ref="BI32">IF($BH$14=0,0,MMULT($AE32:$AO32, BH$3:BH$13)/$BH$14)</f>
        <v>0.6666666667</v>
      </c>
      <c r="BJ32" s="166">
        <f t="array" ref="BJ32">IF($BI$14=0,0,MMULT($AE32:$AO32, BI$3:BI$13)/$BI$14)</f>
        <v>0.6</v>
      </c>
      <c r="BK32" s="166">
        <f t="array" ref="BK32">IF($BJ$14=0,0,MMULT($AE32:$AO32, BJ$3:BJ$13)/$BJ$14)</f>
        <v>0.8806666667</v>
      </c>
      <c r="BL32" s="166">
        <f t="shared" si="16"/>
        <v>0.8888888889</v>
      </c>
      <c r="BM32" s="166">
        <f t="shared" si="17"/>
        <v>0.8333333333</v>
      </c>
      <c r="BN32" s="165">
        <f>IF(OR(CSE4098B_Spring2026_Grade!$I17="W (Withdrawn)", CSE4098B_Spring2026_Grade!$I17="I (Incomplete)"), 0, IF(BB32&gt;=55%, 1, 0))</f>
        <v>0</v>
      </c>
      <c r="BO32" s="165">
        <f>IF(OR(CSE4098B_Spring2026_Grade!$I17="W (Withdrawn)", CSE4098B_Spring2026_Grade!$I17="I (Incomplete)"), 0, IF(BC32&gt;=55%, 1, 0))</f>
        <v>1</v>
      </c>
      <c r="BP32" s="165">
        <f>IF(OR(CSE4098B_Spring2026_Grade!$I17="W (Withdrawn)", CSE4098B_Spring2026_Grade!$I17="I (Incomplete)"), 0, IF(BD32&gt;=55%, 1, 0))</f>
        <v>1</v>
      </c>
      <c r="BQ32" s="165">
        <f>IF(OR(CSE4098B_Spring2026_Grade!$I17="W (Withdrawn)", CSE4098B_Spring2026_Grade!$I17="I (Incomplete)"), 0, IF(BE32&gt;=55%, 1, 0))</f>
        <v>0</v>
      </c>
      <c r="BR32" s="165">
        <f>IF(OR(CSE4098B_Spring2026_Grade!$I17="W (Withdrawn)", CSE4098B_Spring2026_Grade!$I17="I (Incomplete)"), 0, IF(BF32&gt;=55%, 1, 0))</f>
        <v>1</v>
      </c>
      <c r="BS32" s="165">
        <f>IF(OR(CSE4098B_Spring2026_Grade!$I17="W (Withdrawn)", CSE4098B_Spring2026_Grade!$I17="I (Incomplete)"), 0, IF(BG32&gt;=55%, 1, 0))</f>
        <v>1</v>
      </c>
      <c r="BT32" s="165">
        <f>IF(OR(CSE4098B_Spring2026_Grade!$I17="W (Withdrawn)", CSE4098B_Spring2026_Grade!$I17="I (Incomplete)"), 0, IF(BH32&gt;=55%, 1, 0))</f>
        <v>1</v>
      </c>
      <c r="BU32" s="165">
        <f>IF(OR(CSE4098B_Spring2026_Grade!$I17="W (Withdrawn)", CSE4098B_Spring2026_Grade!$I17="I (Incomplete)"), 0, IF(BI32&gt;=55%, 1, 0))</f>
        <v>1</v>
      </c>
      <c r="BV32" s="165">
        <f>IF(OR(CSE4098B_Spring2026_Grade!$I17="W (Withdrawn)", CSE4098B_Spring2026_Grade!$I17="I (Incomplete)"), 0, IF(BJ32&gt;=55%, 1, 0))</f>
        <v>1</v>
      </c>
      <c r="BW32" s="165">
        <f>IF(OR(CSE4098B_Spring2026_Grade!$I17="W (Withdrawn)", CSE4098B_Spring2026_Grade!$I17="I (Incomplete)"), 0, IF(BK32&gt;=55%, 1, 0))</f>
        <v>1</v>
      </c>
      <c r="BX32" s="165">
        <f>IF(OR(CSE4098B_Spring2026_Grade!$I17="W (Withdrawn)", CSE4098B_Spring2026_Grade!$I17="I (Incomplete)"), 0, IF(BL32&gt;=55%, 1, 0))</f>
        <v>1</v>
      </c>
      <c r="BY32" s="165">
        <f>IF(OR(CSE4098B_Spring2026_Grade!$I17="W (Withdrawn)", CSE4098B_Spring2026_Grade!$I17="I (Incomplete)"), 0, IF(BM32&gt;=55%, 1, 0))</f>
        <v>1</v>
      </c>
    </row>
    <row r="33">
      <c r="A33" s="153">
        <v>14.0</v>
      </c>
      <c r="B33" s="154">
        <f>CSE4098B_Spring2026_Grade!B18</f>
        <v>223014074</v>
      </c>
      <c r="C33" s="96" t="str">
        <f>CSE4098B_Spring2026_Grade!C18</f>
        <v>Salvir Rahman Ratul</v>
      </c>
      <c r="D33" s="155">
        <f>'CO Report Evaluation'!AI16</f>
        <v>3.666666667</v>
      </c>
      <c r="E33" s="155">
        <f>'CO Report Evaluation'!AJ16</f>
        <v>2</v>
      </c>
      <c r="F33" s="155">
        <f>'CO Report Evaluation'!AK16</f>
        <v>1.666666667</v>
      </c>
      <c r="G33" s="156">
        <f>'CO Report Evaluation'!AL16</f>
        <v>2</v>
      </c>
      <c r="H33" s="156">
        <f>'CO Report Evaluation'!AM16</f>
        <v>1.666666667</v>
      </c>
      <c r="I33" s="157">
        <f>'CO Report Evaluation'!AN16</f>
        <v>3.333333333</v>
      </c>
      <c r="J33" s="157">
        <f>'CO Report Evaluation'!AO16</f>
        <v>1.333333333</v>
      </c>
      <c r="K33" s="157">
        <f>'CO Report Evaluation'!AP16</f>
        <v>2</v>
      </c>
      <c r="L33" s="158">
        <f>'CO Report Evaluation'!AQ16</f>
        <v>1.333333333</v>
      </c>
      <c r="M33" s="159"/>
      <c r="N33" s="160"/>
      <c r="O33" s="160"/>
      <c r="P33" s="160"/>
      <c r="Q33" s="160"/>
      <c r="R33" s="156">
        <f>CSE4098B_Spring2026_Grade!F18</f>
        <v>4</v>
      </c>
      <c r="S33" s="161">
        <f>((CSE4098B_Spring2026_Grade!E18)*10)/45</f>
        <v>9.851111111</v>
      </c>
      <c r="T33" s="162">
        <f t="shared" ref="T33:AB33" si="51">D33</f>
        <v>3.666666667</v>
      </c>
      <c r="U33" s="163">
        <f t="shared" si="51"/>
        <v>2</v>
      </c>
      <c r="V33" s="163">
        <f t="shared" si="51"/>
        <v>1.666666667</v>
      </c>
      <c r="W33" s="163">
        <f t="shared" si="51"/>
        <v>2</v>
      </c>
      <c r="X33" s="163">
        <f t="shared" si="51"/>
        <v>1.666666667</v>
      </c>
      <c r="Y33" s="163">
        <f t="shared" si="51"/>
        <v>3.333333333</v>
      </c>
      <c r="Z33" s="163">
        <f t="shared" si="51"/>
        <v>1.333333333</v>
      </c>
      <c r="AA33" s="163">
        <f t="shared" si="51"/>
        <v>2</v>
      </c>
      <c r="AB33" s="163">
        <f t="shared" si="51"/>
        <v>1.333333333</v>
      </c>
      <c r="AC33" s="163">
        <f t="shared" ref="AC33:AD33" si="52">R33</f>
        <v>4</v>
      </c>
      <c r="AD33" s="163">
        <f t="shared" si="52"/>
        <v>9.851111111</v>
      </c>
      <c r="AE33" s="164">
        <f t="shared" ref="AE33:AO33" si="53">IF(T33 = 0, 0, T33/T$19)</f>
        <v>0.6111111111</v>
      </c>
      <c r="AF33" s="164">
        <f t="shared" si="53"/>
        <v>0.6666666667</v>
      </c>
      <c r="AG33" s="164">
        <f t="shared" si="53"/>
        <v>0.5555555556</v>
      </c>
      <c r="AH33" s="164">
        <f t="shared" si="53"/>
        <v>0.6666666667</v>
      </c>
      <c r="AI33" s="164">
        <f t="shared" si="53"/>
        <v>0.5555555556</v>
      </c>
      <c r="AJ33" s="164">
        <f t="shared" si="53"/>
        <v>0.5555555556</v>
      </c>
      <c r="AK33" s="164">
        <f t="shared" si="53"/>
        <v>0.4444444444</v>
      </c>
      <c r="AL33" s="164">
        <f t="shared" si="53"/>
        <v>0.6666666667</v>
      </c>
      <c r="AM33" s="164">
        <f t="shared" si="53"/>
        <v>0.4444444444</v>
      </c>
      <c r="AN33" s="164">
        <f t="shared" si="53"/>
        <v>0.8</v>
      </c>
      <c r="AO33" s="164">
        <f t="shared" si="53"/>
        <v>0.9851111111</v>
      </c>
      <c r="AP33" s="165">
        <f>IF(OR(CSE4098B_Spring2026_Grade!$I18="W (Withdrawn)", CSE4098B_Spring2026_Grade!$I18="I (Incomplete)"), 0, IF(AE33&gt;=55%, 1, 0))</f>
        <v>1</v>
      </c>
      <c r="AQ33" s="165">
        <f>IF(OR(CSE4098B_Spring2026_Grade!$I18="W (Withdrawn)", CSE4098B_Spring2026_Grade!$I18="I (Incomplete)"), 0, IF(AF33&gt;=55%, 1, 0))</f>
        <v>1</v>
      </c>
      <c r="AR33" s="165">
        <f>IF(OR(CSE4098B_Spring2026_Grade!$I18="W (Withdrawn)", CSE4098B_Spring2026_Grade!$I18="I (Incomplete)"), 0, IF(AG33&gt;=55%, 1, 0))</f>
        <v>1</v>
      </c>
      <c r="AS33" s="165">
        <f>IF(OR(CSE4098B_Spring2026_Grade!$I18="W (Withdrawn)", CSE4098B_Spring2026_Grade!$I18="I (Incomplete)"), 0, IF(AH33&gt;=55%, 1, 0))</f>
        <v>1</v>
      </c>
      <c r="AT33" s="165">
        <f>IF(OR(CSE4098B_Spring2026_Grade!$I18="W (Withdrawn)", CSE4098B_Spring2026_Grade!$I18="I (Incomplete)"), 0, IF(AI33&gt;=55%, 1, 0))</f>
        <v>1</v>
      </c>
      <c r="AU33" s="165">
        <f>IF(OR(CSE4098B_Spring2026_Grade!$I18="W (Withdrawn)", CSE4098B_Spring2026_Grade!$I18="I (Incomplete)"), 0, IF(AJ33&gt;=55%, 1, 0))</f>
        <v>1</v>
      </c>
      <c r="AV33" s="165">
        <f>IF(OR(CSE4098B_Spring2026_Grade!$I18="W (Withdrawn)", CSE4098B_Spring2026_Grade!$I18="I (Incomplete)"), 0, IF(AK33&gt;=55%, 1, 0))</f>
        <v>0</v>
      </c>
      <c r="AW33" s="165">
        <f>IF(OR(CSE4098B_Spring2026_Grade!$I18="W (Withdrawn)", CSE4098B_Spring2026_Grade!$I18="I (Incomplete)"), 0, IF(AL33&gt;=55%, 1, 0))</f>
        <v>1</v>
      </c>
      <c r="AX33" s="165">
        <f>IF(OR(CSE4098B_Spring2026_Grade!$I18="W (Withdrawn)", CSE4098B_Spring2026_Grade!$I18="I (Incomplete)"), 0, IF(AM33&gt;=55%, 1, 0))</f>
        <v>0</v>
      </c>
      <c r="AY33" s="165">
        <f>IF(OR(CSE4098B_Spring2026_Grade!$I18="W (Withdrawn)", CSE4098B_Spring2026_Grade!$I18="I (Incomplete)"), 0, IF(AN33&gt;=55%, 1, 0))</f>
        <v>1</v>
      </c>
      <c r="AZ33" s="165">
        <f>IF(OR(CSE4098B_Spring2026_Grade!$I18="W (Withdrawn)", CSE4098B_Spring2026_Grade!$I18="I (Incomplete)"), 0, IF(AO33&gt;=55%, 1, 0))</f>
        <v>1</v>
      </c>
      <c r="BA33" s="76"/>
      <c r="BB33" s="166">
        <f t="shared" si="13"/>
        <v>0</v>
      </c>
      <c r="BC33" s="166">
        <f t="shared" si="14"/>
        <v>0.6666666667</v>
      </c>
      <c r="BD33" s="166">
        <f t="array" ref="BD33">IF($BC$14=0,0,MMULT($AE33:$AO33, BC$3:BC$13)/$BC$14)</f>
        <v>0.5555555556</v>
      </c>
      <c r="BE33" s="166">
        <f t="array" ref="BE33">IF($BD$14=0,0,MMULT($AE33:$AO33, BD$3:BD$13)/$BD$14)</f>
        <v>0.5555555556</v>
      </c>
      <c r="BF33" s="166">
        <f t="shared" si="15"/>
        <v>0.6666666667</v>
      </c>
      <c r="BG33" s="166">
        <f t="array" ref="BG33">IF($BF$14=0,0,MMULT($AE33:$AO33, BF$3:BF$13)/$BF$14)</f>
        <v>0.4444444444</v>
      </c>
      <c r="BH33" s="166">
        <f t="array" ref="BH33">IF($BG$14=0,0,MMULT($AE33:$AO33, BG$3:BG$13)/$BG$14)</f>
        <v>0.6666666667</v>
      </c>
      <c r="BI33" s="166">
        <f t="array" ref="BI33">IF($BH$14=0,0,MMULT($AE33:$AO33, BH$3:BH$13)/$BH$14)</f>
        <v>0.4444444444</v>
      </c>
      <c r="BJ33" s="166">
        <f t="array" ref="BJ33">IF($BI$14=0,0,MMULT($AE33:$AO33, BI$3:BI$13)/$BI$14)</f>
        <v>0.8</v>
      </c>
      <c r="BK33" s="166">
        <f t="array" ref="BK33">IF($BJ$14=0,0,MMULT($AE33:$AO33, BJ$3:BJ$13)/$BJ$14)</f>
        <v>0.9851111111</v>
      </c>
      <c r="BL33" s="166">
        <f t="shared" si="16"/>
        <v>0.5555555556</v>
      </c>
      <c r="BM33" s="166">
        <f t="shared" si="17"/>
        <v>0.6111111111</v>
      </c>
      <c r="BN33" s="165">
        <f>IF(OR(CSE4098B_Spring2026_Grade!$I18="W (Withdrawn)", CSE4098B_Spring2026_Grade!$I18="I (Incomplete)"), 0, IF(BB33&gt;=55%, 1, 0))</f>
        <v>0</v>
      </c>
      <c r="BO33" s="165">
        <f>IF(OR(CSE4098B_Spring2026_Grade!$I18="W (Withdrawn)", CSE4098B_Spring2026_Grade!$I18="I (Incomplete)"), 0, IF(BC33&gt;=55%, 1, 0))</f>
        <v>1</v>
      </c>
      <c r="BP33" s="165">
        <f>IF(OR(CSE4098B_Spring2026_Grade!$I18="W (Withdrawn)", CSE4098B_Spring2026_Grade!$I18="I (Incomplete)"), 0, IF(BD33&gt;=55%, 1, 0))</f>
        <v>1</v>
      </c>
      <c r="BQ33" s="165">
        <f>IF(OR(CSE4098B_Spring2026_Grade!$I18="W (Withdrawn)", CSE4098B_Spring2026_Grade!$I18="I (Incomplete)"), 0, IF(BE33&gt;=55%, 1, 0))</f>
        <v>1</v>
      </c>
      <c r="BR33" s="165">
        <f>IF(OR(CSE4098B_Spring2026_Grade!$I18="W (Withdrawn)", CSE4098B_Spring2026_Grade!$I18="I (Incomplete)"), 0, IF(BF33&gt;=55%, 1, 0))</f>
        <v>1</v>
      </c>
      <c r="BS33" s="165">
        <f>IF(OR(CSE4098B_Spring2026_Grade!$I18="W (Withdrawn)", CSE4098B_Spring2026_Grade!$I18="I (Incomplete)"), 0, IF(BG33&gt;=55%, 1, 0))</f>
        <v>0</v>
      </c>
      <c r="BT33" s="165">
        <f>IF(OR(CSE4098B_Spring2026_Grade!$I18="W (Withdrawn)", CSE4098B_Spring2026_Grade!$I18="I (Incomplete)"), 0, IF(BH33&gt;=55%, 1, 0))</f>
        <v>1</v>
      </c>
      <c r="BU33" s="165">
        <f>IF(OR(CSE4098B_Spring2026_Grade!$I18="W (Withdrawn)", CSE4098B_Spring2026_Grade!$I18="I (Incomplete)"), 0, IF(BI33&gt;=55%, 1, 0))</f>
        <v>0</v>
      </c>
      <c r="BV33" s="165">
        <f>IF(OR(CSE4098B_Spring2026_Grade!$I18="W (Withdrawn)", CSE4098B_Spring2026_Grade!$I18="I (Incomplete)"), 0, IF(BJ33&gt;=55%, 1, 0))</f>
        <v>1</v>
      </c>
      <c r="BW33" s="165">
        <f>IF(OR(CSE4098B_Spring2026_Grade!$I18="W (Withdrawn)", CSE4098B_Spring2026_Grade!$I18="I (Incomplete)"), 0, IF(BK33&gt;=55%, 1, 0))</f>
        <v>1</v>
      </c>
      <c r="BX33" s="165">
        <f>IF(OR(CSE4098B_Spring2026_Grade!$I18="W (Withdrawn)", CSE4098B_Spring2026_Grade!$I18="I (Incomplete)"), 0, IF(BL33&gt;=55%, 1, 0))</f>
        <v>1</v>
      </c>
      <c r="BY33" s="165">
        <f>IF(OR(CSE4098B_Spring2026_Grade!$I18="W (Withdrawn)", CSE4098B_Spring2026_Grade!$I18="I (Incomplete)"), 0, IF(BM33&gt;=55%, 1, 0))</f>
        <v>1</v>
      </c>
    </row>
    <row r="34">
      <c r="A34" s="153">
        <v>15.0</v>
      </c>
      <c r="B34" s="154">
        <f>CSE4098B_Spring2026_Grade!B19</f>
        <v>223014133</v>
      </c>
      <c r="C34" s="96" t="str">
        <f>CSE4098B_Spring2026_Grade!C19</f>
        <v>Nancy Drong</v>
      </c>
      <c r="D34" s="155">
        <f>'CO Report Evaluation'!AI17</f>
        <v>3.666666667</v>
      </c>
      <c r="E34" s="155">
        <f>'CO Report Evaluation'!AJ17</f>
        <v>2</v>
      </c>
      <c r="F34" s="155">
        <f>'CO Report Evaluation'!AK17</f>
        <v>1.666666667</v>
      </c>
      <c r="G34" s="156">
        <f>'CO Report Evaluation'!AL17</f>
        <v>2</v>
      </c>
      <c r="H34" s="156">
        <f>'CO Report Evaluation'!AM17</f>
        <v>1.666666667</v>
      </c>
      <c r="I34" s="157">
        <f>'CO Report Evaluation'!AN17</f>
        <v>3.333333333</v>
      </c>
      <c r="J34" s="157">
        <f>'CO Report Evaluation'!AO17</f>
        <v>1.333333333</v>
      </c>
      <c r="K34" s="157">
        <f>'CO Report Evaluation'!AP17</f>
        <v>2</v>
      </c>
      <c r="L34" s="158">
        <f>'CO Report Evaluation'!AQ17</f>
        <v>1.333333333</v>
      </c>
      <c r="M34" s="159"/>
      <c r="N34" s="160"/>
      <c r="O34" s="160"/>
      <c r="P34" s="160"/>
      <c r="Q34" s="160"/>
      <c r="R34" s="156">
        <f>CSE4098B_Spring2026_Grade!F19</f>
        <v>4</v>
      </c>
      <c r="S34" s="161">
        <f>((CSE4098B_Spring2026_Grade!E19)*10)/45</f>
        <v>9.506666667</v>
      </c>
      <c r="T34" s="162">
        <f t="shared" ref="T34:AB34" si="54">D34</f>
        <v>3.666666667</v>
      </c>
      <c r="U34" s="163">
        <f t="shared" si="54"/>
        <v>2</v>
      </c>
      <c r="V34" s="163">
        <f t="shared" si="54"/>
        <v>1.666666667</v>
      </c>
      <c r="W34" s="163">
        <f t="shared" si="54"/>
        <v>2</v>
      </c>
      <c r="X34" s="163">
        <f t="shared" si="54"/>
        <v>1.666666667</v>
      </c>
      <c r="Y34" s="163">
        <f t="shared" si="54"/>
        <v>3.333333333</v>
      </c>
      <c r="Z34" s="163">
        <f t="shared" si="54"/>
        <v>1.333333333</v>
      </c>
      <c r="AA34" s="163">
        <f t="shared" si="54"/>
        <v>2</v>
      </c>
      <c r="AB34" s="163">
        <f t="shared" si="54"/>
        <v>1.333333333</v>
      </c>
      <c r="AC34" s="163">
        <f t="shared" ref="AC34:AD34" si="55">R34</f>
        <v>4</v>
      </c>
      <c r="AD34" s="163">
        <f t="shared" si="55"/>
        <v>9.506666667</v>
      </c>
      <c r="AE34" s="164">
        <f t="shared" ref="AE34:AO34" si="56">IF(T34 = 0, 0, T34/T$19)</f>
        <v>0.6111111111</v>
      </c>
      <c r="AF34" s="164">
        <f t="shared" si="56"/>
        <v>0.6666666667</v>
      </c>
      <c r="AG34" s="164">
        <f t="shared" si="56"/>
        <v>0.5555555556</v>
      </c>
      <c r="AH34" s="164">
        <f t="shared" si="56"/>
        <v>0.6666666667</v>
      </c>
      <c r="AI34" s="164">
        <f t="shared" si="56"/>
        <v>0.5555555556</v>
      </c>
      <c r="AJ34" s="164">
        <f t="shared" si="56"/>
        <v>0.5555555556</v>
      </c>
      <c r="AK34" s="164">
        <f t="shared" si="56"/>
        <v>0.4444444444</v>
      </c>
      <c r="AL34" s="164">
        <f t="shared" si="56"/>
        <v>0.6666666667</v>
      </c>
      <c r="AM34" s="164">
        <f t="shared" si="56"/>
        <v>0.4444444444</v>
      </c>
      <c r="AN34" s="164">
        <f t="shared" si="56"/>
        <v>0.8</v>
      </c>
      <c r="AO34" s="164">
        <f t="shared" si="56"/>
        <v>0.9506666667</v>
      </c>
      <c r="AP34" s="165">
        <f>IF(OR(CSE4098B_Spring2026_Grade!$I19="W (Withdrawn)", CSE4098B_Spring2026_Grade!$I19="I (Incomplete)"), 0, IF(AE34&gt;=55%, 1, 0))</f>
        <v>1</v>
      </c>
      <c r="AQ34" s="165">
        <f>IF(OR(CSE4098B_Spring2026_Grade!$I19="W (Withdrawn)", CSE4098B_Spring2026_Grade!$I19="I (Incomplete)"), 0, IF(AF34&gt;=55%, 1, 0))</f>
        <v>1</v>
      </c>
      <c r="AR34" s="165">
        <f>IF(OR(CSE4098B_Spring2026_Grade!$I19="W (Withdrawn)", CSE4098B_Spring2026_Grade!$I19="I (Incomplete)"), 0, IF(AG34&gt;=55%, 1, 0))</f>
        <v>1</v>
      </c>
      <c r="AS34" s="165">
        <f>IF(OR(CSE4098B_Spring2026_Grade!$I19="W (Withdrawn)", CSE4098B_Spring2026_Grade!$I19="I (Incomplete)"), 0, IF(AH34&gt;=55%, 1, 0))</f>
        <v>1</v>
      </c>
      <c r="AT34" s="165">
        <f>IF(OR(CSE4098B_Spring2026_Grade!$I19="W (Withdrawn)", CSE4098B_Spring2026_Grade!$I19="I (Incomplete)"), 0, IF(AI34&gt;=55%, 1, 0))</f>
        <v>1</v>
      </c>
      <c r="AU34" s="165">
        <f>IF(OR(CSE4098B_Spring2026_Grade!$I19="W (Withdrawn)", CSE4098B_Spring2026_Grade!$I19="I (Incomplete)"), 0, IF(AJ34&gt;=55%, 1, 0))</f>
        <v>1</v>
      </c>
      <c r="AV34" s="165">
        <f>IF(OR(CSE4098B_Spring2026_Grade!$I19="W (Withdrawn)", CSE4098B_Spring2026_Grade!$I19="I (Incomplete)"), 0, IF(AK34&gt;=55%, 1, 0))</f>
        <v>0</v>
      </c>
      <c r="AW34" s="165">
        <f>IF(OR(CSE4098B_Spring2026_Grade!$I19="W (Withdrawn)", CSE4098B_Spring2026_Grade!$I19="I (Incomplete)"), 0, IF(AL34&gt;=55%, 1, 0))</f>
        <v>1</v>
      </c>
      <c r="AX34" s="165">
        <f>IF(OR(CSE4098B_Spring2026_Grade!$I19="W (Withdrawn)", CSE4098B_Spring2026_Grade!$I19="I (Incomplete)"), 0, IF(AM34&gt;=55%, 1, 0))</f>
        <v>0</v>
      </c>
      <c r="AY34" s="165">
        <f>IF(OR(CSE4098B_Spring2026_Grade!$I19="W (Withdrawn)", CSE4098B_Spring2026_Grade!$I19="I (Incomplete)"), 0, IF(AN34&gt;=55%, 1, 0))</f>
        <v>1</v>
      </c>
      <c r="AZ34" s="165">
        <f>IF(OR(CSE4098B_Spring2026_Grade!$I19="W (Withdrawn)", CSE4098B_Spring2026_Grade!$I19="I (Incomplete)"), 0, IF(AO34&gt;=55%, 1, 0))</f>
        <v>1</v>
      </c>
      <c r="BA34" s="76"/>
      <c r="BB34" s="166">
        <f t="shared" si="13"/>
        <v>0</v>
      </c>
      <c r="BC34" s="166">
        <f t="shared" si="14"/>
        <v>0.6666666667</v>
      </c>
      <c r="BD34" s="166">
        <f t="array" ref="BD34">IF($BC$14=0,0,MMULT($AE34:$AO34, BC$3:BC$13)/$BC$14)</f>
        <v>0.5555555556</v>
      </c>
      <c r="BE34" s="166">
        <f t="array" ref="BE34">IF($BD$14=0,0,MMULT($AE34:$AO34, BD$3:BD$13)/$BD$14)</f>
        <v>0.5555555556</v>
      </c>
      <c r="BF34" s="166">
        <f t="shared" si="15"/>
        <v>0.6666666667</v>
      </c>
      <c r="BG34" s="166">
        <f t="array" ref="BG34">IF($BF$14=0,0,MMULT($AE34:$AO34, BF$3:BF$13)/$BF$14)</f>
        <v>0.4444444444</v>
      </c>
      <c r="BH34" s="166">
        <f t="array" ref="BH34">IF($BG$14=0,0,MMULT($AE34:$AO34, BG$3:BG$13)/$BG$14)</f>
        <v>0.6666666667</v>
      </c>
      <c r="BI34" s="166">
        <f t="array" ref="BI34">IF($BH$14=0,0,MMULT($AE34:$AO34, BH$3:BH$13)/$BH$14)</f>
        <v>0.4444444444</v>
      </c>
      <c r="BJ34" s="166">
        <f t="array" ref="BJ34">IF($BI$14=0,0,MMULT($AE34:$AO34, BI$3:BI$13)/$BI$14)</f>
        <v>0.8</v>
      </c>
      <c r="BK34" s="166">
        <f t="array" ref="BK34">IF($BJ$14=0,0,MMULT($AE34:$AO34, BJ$3:BJ$13)/$BJ$14)</f>
        <v>0.9506666667</v>
      </c>
      <c r="BL34" s="166">
        <f t="shared" si="16"/>
        <v>0.5555555556</v>
      </c>
      <c r="BM34" s="166">
        <f t="shared" si="17"/>
        <v>0.6111111111</v>
      </c>
      <c r="BN34" s="165">
        <f>IF(OR(CSE4098B_Spring2026_Grade!$I19="W (Withdrawn)", CSE4098B_Spring2026_Grade!$I19="I (Incomplete)"), 0, IF(BB34&gt;=55%, 1, 0))</f>
        <v>0</v>
      </c>
      <c r="BO34" s="165">
        <f>IF(OR(CSE4098B_Spring2026_Grade!$I19="W (Withdrawn)", CSE4098B_Spring2026_Grade!$I19="I (Incomplete)"), 0, IF(BC34&gt;=55%, 1, 0))</f>
        <v>1</v>
      </c>
      <c r="BP34" s="165">
        <f>IF(OR(CSE4098B_Spring2026_Grade!$I19="W (Withdrawn)", CSE4098B_Spring2026_Grade!$I19="I (Incomplete)"), 0, IF(BD34&gt;=55%, 1, 0))</f>
        <v>1</v>
      </c>
      <c r="BQ34" s="165">
        <f>IF(OR(CSE4098B_Spring2026_Grade!$I19="W (Withdrawn)", CSE4098B_Spring2026_Grade!$I19="I (Incomplete)"), 0, IF(BE34&gt;=55%, 1, 0))</f>
        <v>1</v>
      </c>
      <c r="BR34" s="165">
        <f>IF(OR(CSE4098B_Spring2026_Grade!$I19="W (Withdrawn)", CSE4098B_Spring2026_Grade!$I19="I (Incomplete)"), 0, IF(BF34&gt;=55%, 1, 0))</f>
        <v>1</v>
      </c>
      <c r="BS34" s="165">
        <f>IF(OR(CSE4098B_Spring2026_Grade!$I19="W (Withdrawn)", CSE4098B_Spring2026_Grade!$I19="I (Incomplete)"), 0, IF(BG34&gt;=55%, 1, 0))</f>
        <v>0</v>
      </c>
      <c r="BT34" s="165">
        <f>IF(OR(CSE4098B_Spring2026_Grade!$I19="W (Withdrawn)", CSE4098B_Spring2026_Grade!$I19="I (Incomplete)"), 0, IF(BH34&gt;=55%, 1, 0))</f>
        <v>1</v>
      </c>
      <c r="BU34" s="165">
        <f>IF(OR(CSE4098B_Spring2026_Grade!$I19="W (Withdrawn)", CSE4098B_Spring2026_Grade!$I19="I (Incomplete)"), 0, IF(BI34&gt;=55%, 1, 0))</f>
        <v>0</v>
      </c>
      <c r="BV34" s="165">
        <f>IF(OR(CSE4098B_Spring2026_Grade!$I19="W (Withdrawn)", CSE4098B_Spring2026_Grade!$I19="I (Incomplete)"), 0, IF(BJ34&gt;=55%, 1, 0))</f>
        <v>1</v>
      </c>
      <c r="BW34" s="165">
        <f>IF(OR(CSE4098B_Spring2026_Grade!$I19="W (Withdrawn)", CSE4098B_Spring2026_Grade!$I19="I (Incomplete)"), 0, IF(BK34&gt;=55%, 1, 0))</f>
        <v>1</v>
      </c>
      <c r="BX34" s="165">
        <f>IF(OR(CSE4098B_Spring2026_Grade!$I19="W (Withdrawn)", CSE4098B_Spring2026_Grade!$I19="I (Incomplete)"), 0, IF(BL34&gt;=55%, 1, 0))</f>
        <v>1</v>
      </c>
      <c r="BY34" s="165">
        <f>IF(OR(CSE4098B_Spring2026_Grade!$I19="W (Withdrawn)", CSE4098B_Spring2026_Grade!$I19="I (Incomplete)"), 0, IF(BM34&gt;=55%, 1, 0))</f>
        <v>1</v>
      </c>
    </row>
    <row r="35">
      <c r="A35" s="153">
        <v>16.0</v>
      </c>
      <c r="B35" s="154">
        <f>CSE4098B_Spring2026_Grade!B20</f>
        <v>223014052</v>
      </c>
      <c r="C35" s="96" t="str">
        <f>CSE4098B_Spring2026_Grade!C20</f>
        <v>Argho Das </v>
      </c>
      <c r="D35" s="155">
        <f>'CO Report Evaluation'!AI18</f>
        <v>3.666666667</v>
      </c>
      <c r="E35" s="155">
        <f>'CO Report Evaluation'!AJ18</f>
        <v>2</v>
      </c>
      <c r="F35" s="155">
        <f>'CO Report Evaluation'!AK18</f>
        <v>1.666666667</v>
      </c>
      <c r="G35" s="156">
        <f>'CO Report Evaluation'!AL18</f>
        <v>2</v>
      </c>
      <c r="H35" s="156">
        <f>'CO Report Evaluation'!AM18</f>
        <v>1.666666667</v>
      </c>
      <c r="I35" s="157">
        <f>'CO Report Evaluation'!AN18</f>
        <v>3.333333333</v>
      </c>
      <c r="J35" s="157">
        <f>'CO Report Evaluation'!AO18</f>
        <v>1.333333333</v>
      </c>
      <c r="K35" s="157">
        <f>'CO Report Evaluation'!AP18</f>
        <v>2</v>
      </c>
      <c r="L35" s="158">
        <f>'CO Report Evaluation'!AQ18</f>
        <v>1.333333333</v>
      </c>
      <c r="M35" s="159"/>
      <c r="N35" s="160"/>
      <c r="O35" s="160"/>
      <c r="P35" s="160"/>
      <c r="Q35" s="160"/>
      <c r="R35" s="156">
        <f>CSE4098B_Spring2026_Grade!F20</f>
        <v>4</v>
      </c>
      <c r="S35" s="161">
        <f>((CSE4098B_Spring2026_Grade!E20)*10)/45</f>
        <v>9.506666667</v>
      </c>
      <c r="T35" s="162">
        <f t="shared" ref="T35:AB35" si="57">D35</f>
        <v>3.666666667</v>
      </c>
      <c r="U35" s="163">
        <f t="shared" si="57"/>
        <v>2</v>
      </c>
      <c r="V35" s="163">
        <f t="shared" si="57"/>
        <v>1.666666667</v>
      </c>
      <c r="W35" s="163">
        <f t="shared" si="57"/>
        <v>2</v>
      </c>
      <c r="X35" s="163">
        <f t="shared" si="57"/>
        <v>1.666666667</v>
      </c>
      <c r="Y35" s="163">
        <f t="shared" si="57"/>
        <v>3.333333333</v>
      </c>
      <c r="Z35" s="163">
        <f t="shared" si="57"/>
        <v>1.333333333</v>
      </c>
      <c r="AA35" s="163">
        <f t="shared" si="57"/>
        <v>2</v>
      </c>
      <c r="AB35" s="163">
        <f t="shared" si="57"/>
        <v>1.333333333</v>
      </c>
      <c r="AC35" s="163">
        <f t="shared" ref="AC35:AD35" si="58">R35</f>
        <v>4</v>
      </c>
      <c r="AD35" s="163">
        <f t="shared" si="58"/>
        <v>9.506666667</v>
      </c>
      <c r="AE35" s="164">
        <f t="shared" ref="AE35:AO35" si="59">IF(T35 = 0, 0, T35/T$19)</f>
        <v>0.6111111111</v>
      </c>
      <c r="AF35" s="164">
        <f t="shared" si="59"/>
        <v>0.6666666667</v>
      </c>
      <c r="AG35" s="164">
        <f t="shared" si="59"/>
        <v>0.5555555556</v>
      </c>
      <c r="AH35" s="164">
        <f t="shared" si="59"/>
        <v>0.6666666667</v>
      </c>
      <c r="AI35" s="164">
        <f t="shared" si="59"/>
        <v>0.5555555556</v>
      </c>
      <c r="AJ35" s="164">
        <f t="shared" si="59"/>
        <v>0.5555555556</v>
      </c>
      <c r="AK35" s="164">
        <f t="shared" si="59"/>
        <v>0.4444444444</v>
      </c>
      <c r="AL35" s="164">
        <f t="shared" si="59"/>
        <v>0.6666666667</v>
      </c>
      <c r="AM35" s="164">
        <f t="shared" si="59"/>
        <v>0.4444444444</v>
      </c>
      <c r="AN35" s="164">
        <f t="shared" si="59"/>
        <v>0.8</v>
      </c>
      <c r="AO35" s="164">
        <f t="shared" si="59"/>
        <v>0.9506666667</v>
      </c>
      <c r="AP35" s="165">
        <f>IF(OR(CSE4098B_Spring2026_Grade!$I20="W (Withdrawn)", CSE4098B_Spring2026_Grade!$I20="I (Incomplete)"), 0, IF(AE35&gt;=55%, 1, 0))</f>
        <v>1</v>
      </c>
      <c r="AQ35" s="165">
        <f>IF(OR(CSE4098B_Spring2026_Grade!$I20="W (Withdrawn)", CSE4098B_Spring2026_Grade!$I20="I (Incomplete)"), 0, IF(AF35&gt;=55%, 1, 0))</f>
        <v>1</v>
      </c>
      <c r="AR35" s="165">
        <f>IF(OR(CSE4098B_Spring2026_Grade!$I20="W (Withdrawn)", CSE4098B_Spring2026_Grade!$I20="I (Incomplete)"), 0, IF(AG35&gt;=55%, 1, 0))</f>
        <v>1</v>
      </c>
      <c r="AS35" s="165">
        <f>IF(OR(CSE4098B_Spring2026_Grade!$I20="W (Withdrawn)", CSE4098B_Spring2026_Grade!$I20="I (Incomplete)"), 0, IF(AH35&gt;=55%, 1, 0))</f>
        <v>1</v>
      </c>
      <c r="AT35" s="165">
        <f>IF(OR(CSE4098B_Spring2026_Grade!$I20="W (Withdrawn)", CSE4098B_Spring2026_Grade!$I20="I (Incomplete)"), 0, IF(AI35&gt;=55%, 1, 0))</f>
        <v>1</v>
      </c>
      <c r="AU35" s="165">
        <f>IF(OR(CSE4098B_Spring2026_Grade!$I20="W (Withdrawn)", CSE4098B_Spring2026_Grade!$I20="I (Incomplete)"), 0, IF(AJ35&gt;=55%, 1, 0))</f>
        <v>1</v>
      </c>
      <c r="AV35" s="165">
        <f>IF(OR(CSE4098B_Spring2026_Grade!$I20="W (Withdrawn)", CSE4098B_Spring2026_Grade!$I20="I (Incomplete)"), 0, IF(AK35&gt;=55%, 1, 0))</f>
        <v>0</v>
      </c>
      <c r="AW35" s="165">
        <f>IF(OR(CSE4098B_Spring2026_Grade!$I20="W (Withdrawn)", CSE4098B_Spring2026_Grade!$I20="I (Incomplete)"), 0, IF(AL35&gt;=55%, 1, 0))</f>
        <v>1</v>
      </c>
      <c r="AX35" s="165">
        <f>IF(OR(CSE4098B_Spring2026_Grade!$I20="W (Withdrawn)", CSE4098B_Spring2026_Grade!$I20="I (Incomplete)"), 0, IF(AM35&gt;=55%, 1, 0))</f>
        <v>0</v>
      </c>
      <c r="AY35" s="165">
        <f>IF(OR(CSE4098B_Spring2026_Grade!$I20="W (Withdrawn)", CSE4098B_Spring2026_Grade!$I20="I (Incomplete)"), 0, IF(AN35&gt;=55%, 1, 0))</f>
        <v>1</v>
      </c>
      <c r="AZ35" s="165">
        <f>IF(OR(CSE4098B_Spring2026_Grade!$I20="W (Withdrawn)", CSE4098B_Spring2026_Grade!$I20="I (Incomplete)"), 0, IF(AO35&gt;=55%, 1, 0))</f>
        <v>1</v>
      </c>
      <c r="BA35" s="76"/>
      <c r="BB35" s="166">
        <f t="shared" si="13"/>
        <v>0</v>
      </c>
      <c r="BC35" s="166">
        <f t="shared" si="14"/>
        <v>0.6666666667</v>
      </c>
      <c r="BD35" s="166">
        <f t="array" ref="BD35">IF($BC$14=0,0,MMULT($AE35:$AO35, BC$3:BC$13)/$BC$14)</f>
        <v>0.5555555556</v>
      </c>
      <c r="BE35" s="166">
        <f t="array" ref="BE35">IF($BD$14=0,0,MMULT($AE35:$AO35, BD$3:BD$13)/$BD$14)</f>
        <v>0.5555555556</v>
      </c>
      <c r="BF35" s="166">
        <f t="shared" si="15"/>
        <v>0.6666666667</v>
      </c>
      <c r="BG35" s="166">
        <f t="array" ref="BG35">IF($BF$14=0,0,MMULT($AE35:$AO35, BF$3:BF$13)/$BF$14)</f>
        <v>0.4444444444</v>
      </c>
      <c r="BH35" s="166">
        <f t="array" ref="BH35">IF($BG$14=0,0,MMULT($AE35:$AO35, BG$3:BG$13)/$BG$14)</f>
        <v>0.6666666667</v>
      </c>
      <c r="BI35" s="166">
        <f t="array" ref="BI35">IF($BH$14=0,0,MMULT($AE35:$AO35, BH$3:BH$13)/$BH$14)</f>
        <v>0.4444444444</v>
      </c>
      <c r="BJ35" s="166">
        <f t="array" ref="BJ35">IF($BI$14=0,0,MMULT($AE35:$AO35, BI$3:BI$13)/$BI$14)</f>
        <v>0.8</v>
      </c>
      <c r="BK35" s="166">
        <f t="array" ref="BK35">IF($BJ$14=0,0,MMULT($AE35:$AO35, BJ$3:BJ$13)/$BJ$14)</f>
        <v>0.9506666667</v>
      </c>
      <c r="BL35" s="166">
        <f t="shared" si="16"/>
        <v>0.5555555556</v>
      </c>
      <c r="BM35" s="166">
        <f t="shared" si="17"/>
        <v>0.6111111111</v>
      </c>
      <c r="BN35" s="165">
        <f>IF(OR(CSE4098B_Spring2026_Grade!$I20="W (Withdrawn)", CSE4098B_Spring2026_Grade!$I20="I (Incomplete)"), 0, IF(BB35&gt;=55%, 1, 0))</f>
        <v>0</v>
      </c>
      <c r="BO35" s="165">
        <f>IF(OR(CSE4098B_Spring2026_Grade!$I20="W (Withdrawn)", CSE4098B_Spring2026_Grade!$I20="I (Incomplete)"), 0, IF(BC35&gt;=55%, 1, 0))</f>
        <v>1</v>
      </c>
      <c r="BP35" s="165">
        <f>IF(OR(CSE4098B_Spring2026_Grade!$I20="W (Withdrawn)", CSE4098B_Spring2026_Grade!$I20="I (Incomplete)"), 0, IF(BD35&gt;=55%, 1, 0))</f>
        <v>1</v>
      </c>
      <c r="BQ35" s="165">
        <f>IF(OR(CSE4098B_Spring2026_Grade!$I20="W (Withdrawn)", CSE4098B_Spring2026_Grade!$I20="I (Incomplete)"), 0, IF(BE35&gt;=55%, 1, 0))</f>
        <v>1</v>
      </c>
      <c r="BR35" s="165">
        <f>IF(OR(CSE4098B_Spring2026_Grade!$I20="W (Withdrawn)", CSE4098B_Spring2026_Grade!$I20="I (Incomplete)"), 0, IF(BF35&gt;=55%, 1, 0))</f>
        <v>1</v>
      </c>
      <c r="BS35" s="165">
        <f>IF(OR(CSE4098B_Spring2026_Grade!$I20="W (Withdrawn)", CSE4098B_Spring2026_Grade!$I20="I (Incomplete)"), 0, IF(BG35&gt;=55%, 1, 0))</f>
        <v>0</v>
      </c>
      <c r="BT35" s="165">
        <f>IF(OR(CSE4098B_Spring2026_Grade!$I20="W (Withdrawn)", CSE4098B_Spring2026_Grade!$I20="I (Incomplete)"), 0, IF(BH35&gt;=55%, 1, 0))</f>
        <v>1</v>
      </c>
      <c r="BU35" s="165">
        <f>IF(OR(CSE4098B_Spring2026_Grade!$I20="W (Withdrawn)", CSE4098B_Spring2026_Grade!$I20="I (Incomplete)"), 0, IF(BI35&gt;=55%, 1, 0))</f>
        <v>0</v>
      </c>
      <c r="BV35" s="165">
        <f>IF(OR(CSE4098B_Spring2026_Grade!$I20="W (Withdrawn)", CSE4098B_Spring2026_Grade!$I20="I (Incomplete)"), 0, IF(BJ35&gt;=55%, 1, 0))</f>
        <v>1</v>
      </c>
      <c r="BW35" s="165">
        <f>IF(OR(CSE4098B_Spring2026_Grade!$I20="W (Withdrawn)", CSE4098B_Spring2026_Grade!$I20="I (Incomplete)"), 0, IF(BK35&gt;=55%, 1, 0))</f>
        <v>1</v>
      </c>
      <c r="BX35" s="165">
        <f>IF(OR(CSE4098B_Spring2026_Grade!$I20="W (Withdrawn)", CSE4098B_Spring2026_Grade!$I20="I (Incomplete)"), 0, IF(BL35&gt;=55%, 1, 0))</f>
        <v>1</v>
      </c>
      <c r="BY35" s="165">
        <f>IF(OR(CSE4098B_Spring2026_Grade!$I20="W (Withdrawn)", CSE4098B_Spring2026_Grade!$I20="I (Incomplete)"), 0, IF(BM35&gt;=55%, 1, 0))</f>
        <v>1</v>
      </c>
    </row>
    <row r="36">
      <c r="A36" s="153">
        <v>17.0</v>
      </c>
      <c r="B36" s="154">
        <f>CSE4098B_Spring2026_Grade!B21</f>
        <v>223014105</v>
      </c>
      <c r="C36" s="96" t="str">
        <f>CSE4098B_Spring2026_Grade!C21</f>
        <v>Navid Rahman</v>
      </c>
      <c r="D36" s="155">
        <f>'CO Report Evaluation'!AI19</f>
        <v>3.666666667</v>
      </c>
      <c r="E36" s="155">
        <f>'CO Report Evaluation'!AJ19</f>
        <v>2</v>
      </c>
      <c r="F36" s="155">
        <f>'CO Report Evaluation'!AK19</f>
        <v>1.666666667</v>
      </c>
      <c r="G36" s="156">
        <f>'CO Report Evaluation'!AL19</f>
        <v>2</v>
      </c>
      <c r="H36" s="156">
        <f>'CO Report Evaluation'!AM19</f>
        <v>1.666666667</v>
      </c>
      <c r="I36" s="157">
        <f>'CO Report Evaluation'!AN19</f>
        <v>3.333333333</v>
      </c>
      <c r="J36" s="157">
        <f>'CO Report Evaluation'!AO19</f>
        <v>1.333333333</v>
      </c>
      <c r="K36" s="157">
        <f>'CO Report Evaluation'!AP19</f>
        <v>2</v>
      </c>
      <c r="L36" s="158">
        <f>'CO Report Evaluation'!AQ19</f>
        <v>1.333333333</v>
      </c>
      <c r="M36" s="159"/>
      <c r="N36" s="160"/>
      <c r="O36" s="160"/>
      <c r="P36" s="160"/>
      <c r="Q36" s="160"/>
      <c r="R36" s="156">
        <f>CSE4098B_Spring2026_Grade!F21</f>
        <v>5</v>
      </c>
      <c r="S36" s="161">
        <f>((CSE4098B_Spring2026_Grade!E21)*10)/45</f>
        <v>10</v>
      </c>
      <c r="T36" s="162">
        <f t="shared" ref="T36:AB36" si="60">D36</f>
        <v>3.666666667</v>
      </c>
      <c r="U36" s="163">
        <f t="shared" si="60"/>
        <v>2</v>
      </c>
      <c r="V36" s="163">
        <f t="shared" si="60"/>
        <v>1.666666667</v>
      </c>
      <c r="W36" s="163">
        <f t="shared" si="60"/>
        <v>2</v>
      </c>
      <c r="X36" s="163">
        <f t="shared" si="60"/>
        <v>1.666666667</v>
      </c>
      <c r="Y36" s="163">
        <f t="shared" si="60"/>
        <v>3.333333333</v>
      </c>
      <c r="Z36" s="163">
        <f t="shared" si="60"/>
        <v>1.333333333</v>
      </c>
      <c r="AA36" s="163">
        <f t="shared" si="60"/>
        <v>2</v>
      </c>
      <c r="AB36" s="163">
        <f t="shared" si="60"/>
        <v>1.333333333</v>
      </c>
      <c r="AC36" s="163">
        <f t="shared" ref="AC36:AD36" si="61">R36</f>
        <v>5</v>
      </c>
      <c r="AD36" s="163">
        <f t="shared" si="61"/>
        <v>10</v>
      </c>
      <c r="AE36" s="164">
        <f t="shared" ref="AE36:AO36" si="62">IF(T36 = 0, 0, T36/T$19)</f>
        <v>0.6111111111</v>
      </c>
      <c r="AF36" s="164">
        <f t="shared" si="62"/>
        <v>0.6666666667</v>
      </c>
      <c r="AG36" s="164">
        <f t="shared" si="62"/>
        <v>0.5555555556</v>
      </c>
      <c r="AH36" s="164">
        <f t="shared" si="62"/>
        <v>0.6666666667</v>
      </c>
      <c r="AI36" s="164">
        <f t="shared" si="62"/>
        <v>0.5555555556</v>
      </c>
      <c r="AJ36" s="164">
        <f t="shared" si="62"/>
        <v>0.5555555556</v>
      </c>
      <c r="AK36" s="164">
        <f t="shared" si="62"/>
        <v>0.4444444444</v>
      </c>
      <c r="AL36" s="164">
        <f t="shared" si="62"/>
        <v>0.6666666667</v>
      </c>
      <c r="AM36" s="164">
        <f t="shared" si="62"/>
        <v>0.4444444444</v>
      </c>
      <c r="AN36" s="164">
        <f t="shared" si="62"/>
        <v>1</v>
      </c>
      <c r="AO36" s="164">
        <f t="shared" si="62"/>
        <v>1</v>
      </c>
      <c r="AP36" s="165">
        <f>IF(OR(CSE4098B_Spring2026_Grade!$I21="W (Withdrawn)", CSE4098B_Spring2026_Grade!$I21="I (Incomplete)"), 0, IF(AE36&gt;=55%, 1, 0))</f>
        <v>1</v>
      </c>
      <c r="AQ36" s="165">
        <f>IF(OR(CSE4098B_Spring2026_Grade!$I21="W (Withdrawn)", CSE4098B_Spring2026_Grade!$I21="I (Incomplete)"), 0, IF(AF36&gt;=55%, 1, 0))</f>
        <v>1</v>
      </c>
      <c r="AR36" s="165">
        <f>IF(OR(CSE4098B_Spring2026_Grade!$I21="W (Withdrawn)", CSE4098B_Spring2026_Grade!$I21="I (Incomplete)"), 0, IF(AG36&gt;=55%, 1, 0))</f>
        <v>1</v>
      </c>
      <c r="AS36" s="165">
        <f>IF(OR(CSE4098B_Spring2026_Grade!$I21="W (Withdrawn)", CSE4098B_Spring2026_Grade!$I21="I (Incomplete)"), 0, IF(AH36&gt;=55%, 1, 0))</f>
        <v>1</v>
      </c>
      <c r="AT36" s="165">
        <f>IF(OR(CSE4098B_Spring2026_Grade!$I21="W (Withdrawn)", CSE4098B_Spring2026_Grade!$I21="I (Incomplete)"), 0, IF(AI36&gt;=55%, 1, 0))</f>
        <v>1</v>
      </c>
      <c r="AU36" s="165">
        <f>IF(OR(CSE4098B_Spring2026_Grade!$I21="W (Withdrawn)", CSE4098B_Spring2026_Grade!$I21="I (Incomplete)"), 0, IF(AJ36&gt;=55%, 1, 0))</f>
        <v>1</v>
      </c>
      <c r="AV36" s="165">
        <f>IF(OR(CSE4098B_Spring2026_Grade!$I21="W (Withdrawn)", CSE4098B_Spring2026_Grade!$I21="I (Incomplete)"), 0, IF(AK36&gt;=55%, 1, 0))</f>
        <v>0</v>
      </c>
      <c r="AW36" s="165">
        <f>IF(OR(CSE4098B_Spring2026_Grade!$I21="W (Withdrawn)", CSE4098B_Spring2026_Grade!$I21="I (Incomplete)"), 0, IF(AL36&gt;=55%, 1, 0))</f>
        <v>1</v>
      </c>
      <c r="AX36" s="165">
        <f>IF(OR(CSE4098B_Spring2026_Grade!$I21="W (Withdrawn)", CSE4098B_Spring2026_Grade!$I21="I (Incomplete)"), 0, IF(AM36&gt;=55%, 1, 0))</f>
        <v>0</v>
      </c>
      <c r="AY36" s="165">
        <f>IF(OR(CSE4098B_Spring2026_Grade!$I21="W (Withdrawn)", CSE4098B_Spring2026_Grade!$I21="I (Incomplete)"), 0, IF(AN36&gt;=55%, 1, 0))</f>
        <v>1</v>
      </c>
      <c r="AZ36" s="165">
        <f>IF(OR(CSE4098B_Spring2026_Grade!$I21="W (Withdrawn)", CSE4098B_Spring2026_Grade!$I21="I (Incomplete)"), 0, IF(AO36&gt;=55%, 1, 0))</f>
        <v>1</v>
      </c>
      <c r="BA36" s="76"/>
      <c r="BB36" s="166">
        <f t="shared" si="13"/>
        <v>0</v>
      </c>
      <c r="BC36" s="166">
        <f t="shared" si="14"/>
        <v>0.6666666667</v>
      </c>
      <c r="BD36" s="166">
        <f t="array" ref="BD36">IF($BC$14=0,0,MMULT($AE36:$AO36, BC$3:BC$13)/$BC$14)</f>
        <v>0.5555555556</v>
      </c>
      <c r="BE36" s="166">
        <f t="array" ref="BE36">IF($BD$14=0,0,MMULT($AE36:$AO36, BD$3:BD$13)/$BD$14)</f>
        <v>0.5555555556</v>
      </c>
      <c r="BF36" s="166">
        <f t="shared" si="15"/>
        <v>0.6666666667</v>
      </c>
      <c r="BG36" s="166">
        <f t="array" ref="BG36">IF($BF$14=0,0,MMULT($AE36:$AO36, BF$3:BF$13)/$BF$14)</f>
        <v>0.4444444444</v>
      </c>
      <c r="BH36" s="166">
        <f t="array" ref="BH36">IF($BG$14=0,0,MMULT($AE36:$AO36, BG$3:BG$13)/$BG$14)</f>
        <v>0.6666666667</v>
      </c>
      <c r="BI36" s="166">
        <f t="array" ref="BI36">IF($BH$14=0,0,MMULT($AE36:$AO36, BH$3:BH$13)/$BH$14)</f>
        <v>0.4444444444</v>
      </c>
      <c r="BJ36" s="166">
        <f t="array" ref="BJ36">IF($BI$14=0,0,MMULT($AE36:$AO36, BI$3:BI$13)/$BI$14)</f>
        <v>1</v>
      </c>
      <c r="BK36" s="166">
        <f t="array" ref="BK36">IF($BJ$14=0,0,MMULT($AE36:$AO36, BJ$3:BJ$13)/$BJ$14)</f>
        <v>1</v>
      </c>
      <c r="BL36" s="166">
        <f t="shared" si="16"/>
        <v>0.5555555556</v>
      </c>
      <c r="BM36" s="166">
        <f t="shared" si="17"/>
        <v>0.6111111111</v>
      </c>
      <c r="BN36" s="165">
        <f>IF(OR(CSE4098B_Spring2026_Grade!$I21="W (Withdrawn)", CSE4098B_Spring2026_Grade!$I21="I (Incomplete)"), 0, IF(BB36&gt;=55%, 1, 0))</f>
        <v>0</v>
      </c>
      <c r="BO36" s="165">
        <f>IF(OR(CSE4098B_Spring2026_Grade!$I21="W (Withdrawn)", CSE4098B_Spring2026_Grade!$I21="I (Incomplete)"), 0, IF(BC36&gt;=55%, 1, 0))</f>
        <v>1</v>
      </c>
      <c r="BP36" s="165">
        <f>IF(OR(CSE4098B_Spring2026_Grade!$I21="W (Withdrawn)", CSE4098B_Spring2026_Grade!$I21="I (Incomplete)"), 0, IF(BD36&gt;=55%, 1, 0))</f>
        <v>1</v>
      </c>
      <c r="BQ36" s="165">
        <f>IF(OR(CSE4098B_Spring2026_Grade!$I21="W (Withdrawn)", CSE4098B_Spring2026_Grade!$I21="I (Incomplete)"), 0, IF(BE36&gt;=55%, 1, 0))</f>
        <v>1</v>
      </c>
      <c r="BR36" s="165">
        <f>IF(OR(CSE4098B_Spring2026_Grade!$I21="W (Withdrawn)", CSE4098B_Spring2026_Grade!$I21="I (Incomplete)"), 0, IF(BF36&gt;=55%, 1, 0))</f>
        <v>1</v>
      </c>
      <c r="BS36" s="165">
        <f>IF(OR(CSE4098B_Spring2026_Grade!$I21="W (Withdrawn)", CSE4098B_Spring2026_Grade!$I21="I (Incomplete)"), 0, IF(BG36&gt;=55%, 1, 0))</f>
        <v>0</v>
      </c>
      <c r="BT36" s="165">
        <f>IF(OR(CSE4098B_Spring2026_Grade!$I21="W (Withdrawn)", CSE4098B_Spring2026_Grade!$I21="I (Incomplete)"), 0, IF(BH36&gt;=55%, 1, 0))</f>
        <v>1</v>
      </c>
      <c r="BU36" s="165">
        <f>IF(OR(CSE4098B_Spring2026_Grade!$I21="W (Withdrawn)", CSE4098B_Spring2026_Grade!$I21="I (Incomplete)"), 0, IF(BI36&gt;=55%, 1, 0))</f>
        <v>0</v>
      </c>
      <c r="BV36" s="165">
        <f>IF(OR(CSE4098B_Spring2026_Grade!$I21="W (Withdrawn)", CSE4098B_Spring2026_Grade!$I21="I (Incomplete)"), 0, IF(BJ36&gt;=55%, 1, 0))</f>
        <v>1</v>
      </c>
      <c r="BW36" s="165">
        <f>IF(OR(CSE4098B_Spring2026_Grade!$I21="W (Withdrawn)", CSE4098B_Spring2026_Grade!$I21="I (Incomplete)"), 0, IF(BK36&gt;=55%, 1, 0))</f>
        <v>1</v>
      </c>
      <c r="BX36" s="165">
        <f>IF(OR(CSE4098B_Spring2026_Grade!$I21="W (Withdrawn)", CSE4098B_Spring2026_Grade!$I21="I (Incomplete)"), 0, IF(BL36&gt;=55%, 1, 0))</f>
        <v>1</v>
      </c>
      <c r="BY36" s="165">
        <f>IF(OR(CSE4098B_Spring2026_Grade!$I21="W (Withdrawn)", CSE4098B_Spring2026_Grade!$I21="I (Incomplete)"), 0, IF(BM36&gt;=55%, 1, 0))</f>
        <v>1</v>
      </c>
    </row>
    <row r="37">
      <c r="A37" s="153">
        <v>18.0</v>
      </c>
      <c r="B37" s="154">
        <f>CSE4098B_Spring2026_Grade!B22</f>
        <v>223014196</v>
      </c>
      <c r="C37" s="96" t="str">
        <f>CSE4098B_Spring2026_Grade!C22</f>
        <v>Shafwan Shadid Khan</v>
      </c>
      <c r="D37" s="155">
        <f>'CO Report Evaluation'!AI20</f>
        <v>3.666666667</v>
      </c>
      <c r="E37" s="155">
        <f>'CO Report Evaluation'!AJ20</f>
        <v>2</v>
      </c>
      <c r="F37" s="155">
        <f>'CO Report Evaluation'!AK20</f>
        <v>1.666666667</v>
      </c>
      <c r="G37" s="156">
        <f>'CO Report Evaluation'!AL20</f>
        <v>2</v>
      </c>
      <c r="H37" s="156">
        <f>'CO Report Evaluation'!AM20</f>
        <v>1.666666667</v>
      </c>
      <c r="I37" s="157">
        <f>'CO Report Evaluation'!AN20</f>
        <v>3.333333333</v>
      </c>
      <c r="J37" s="157">
        <f>'CO Report Evaluation'!AO20</f>
        <v>1.333333333</v>
      </c>
      <c r="K37" s="157">
        <f>'CO Report Evaluation'!AP20</f>
        <v>2</v>
      </c>
      <c r="L37" s="158">
        <f>'CO Report Evaluation'!AQ20</f>
        <v>1.333333333</v>
      </c>
      <c r="M37" s="159"/>
      <c r="N37" s="160"/>
      <c r="O37" s="160"/>
      <c r="P37" s="160"/>
      <c r="Q37" s="160"/>
      <c r="R37" s="156">
        <f>CSE4098B_Spring2026_Grade!F22</f>
        <v>5</v>
      </c>
      <c r="S37" s="161">
        <f>((CSE4098B_Spring2026_Grade!E22)*10)/45</f>
        <v>9.506666667</v>
      </c>
      <c r="T37" s="162">
        <f t="shared" ref="T37:AB37" si="63">D37</f>
        <v>3.666666667</v>
      </c>
      <c r="U37" s="163">
        <f t="shared" si="63"/>
        <v>2</v>
      </c>
      <c r="V37" s="163">
        <f t="shared" si="63"/>
        <v>1.666666667</v>
      </c>
      <c r="W37" s="163">
        <f t="shared" si="63"/>
        <v>2</v>
      </c>
      <c r="X37" s="163">
        <f t="shared" si="63"/>
        <v>1.666666667</v>
      </c>
      <c r="Y37" s="163">
        <f t="shared" si="63"/>
        <v>3.333333333</v>
      </c>
      <c r="Z37" s="163">
        <f t="shared" si="63"/>
        <v>1.333333333</v>
      </c>
      <c r="AA37" s="163">
        <f t="shared" si="63"/>
        <v>2</v>
      </c>
      <c r="AB37" s="163">
        <f t="shared" si="63"/>
        <v>1.333333333</v>
      </c>
      <c r="AC37" s="163">
        <f t="shared" ref="AC37:AD37" si="64">R37</f>
        <v>5</v>
      </c>
      <c r="AD37" s="163">
        <f t="shared" si="64"/>
        <v>9.506666667</v>
      </c>
      <c r="AE37" s="164">
        <f t="shared" ref="AE37:AO37" si="65">IF(T37 = 0, 0, T37/T$19)</f>
        <v>0.6111111111</v>
      </c>
      <c r="AF37" s="164">
        <f t="shared" si="65"/>
        <v>0.6666666667</v>
      </c>
      <c r="AG37" s="164">
        <f t="shared" si="65"/>
        <v>0.5555555556</v>
      </c>
      <c r="AH37" s="164">
        <f t="shared" si="65"/>
        <v>0.6666666667</v>
      </c>
      <c r="AI37" s="164">
        <f t="shared" si="65"/>
        <v>0.5555555556</v>
      </c>
      <c r="AJ37" s="164">
        <f t="shared" si="65"/>
        <v>0.5555555556</v>
      </c>
      <c r="AK37" s="164">
        <f t="shared" si="65"/>
        <v>0.4444444444</v>
      </c>
      <c r="AL37" s="164">
        <f t="shared" si="65"/>
        <v>0.6666666667</v>
      </c>
      <c r="AM37" s="164">
        <f t="shared" si="65"/>
        <v>0.4444444444</v>
      </c>
      <c r="AN37" s="164">
        <f t="shared" si="65"/>
        <v>1</v>
      </c>
      <c r="AO37" s="164">
        <f t="shared" si="65"/>
        <v>0.9506666667</v>
      </c>
      <c r="AP37" s="165">
        <f>IF(OR(CSE4098B_Spring2026_Grade!$I22="W (Withdrawn)", CSE4098B_Spring2026_Grade!$I22="I (Incomplete)"), 0, IF(AE37&gt;=55%, 1, 0))</f>
        <v>1</v>
      </c>
      <c r="AQ37" s="165">
        <f>IF(OR(CSE4098B_Spring2026_Grade!$I22="W (Withdrawn)", CSE4098B_Spring2026_Grade!$I22="I (Incomplete)"), 0, IF(AF37&gt;=55%, 1, 0))</f>
        <v>1</v>
      </c>
      <c r="AR37" s="165">
        <f>IF(OR(CSE4098B_Spring2026_Grade!$I22="W (Withdrawn)", CSE4098B_Spring2026_Grade!$I22="I (Incomplete)"), 0, IF(AG37&gt;=55%, 1, 0))</f>
        <v>1</v>
      </c>
      <c r="AS37" s="165">
        <f>IF(OR(CSE4098B_Spring2026_Grade!$I22="W (Withdrawn)", CSE4098B_Spring2026_Grade!$I22="I (Incomplete)"), 0, IF(AH37&gt;=55%, 1, 0))</f>
        <v>1</v>
      </c>
      <c r="AT37" s="165">
        <f>IF(OR(CSE4098B_Spring2026_Grade!$I22="W (Withdrawn)", CSE4098B_Spring2026_Grade!$I22="I (Incomplete)"), 0, IF(AI37&gt;=55%, 1, 0))</f>
        <v>1</v>
      </c>
      <c r="AU37" s="165">
        <f>IF(OR(CSE4098B_Spring2026_Grade!$I22="W (Withdrawn)", CSE4098B_Spring2026_Grade!$I22="I (Incomplete)"), 0, IF(AJ37&gt;=55%, 1, 0))</f>
        <v>1</v>
      </c>
      <c r="AV37" s="165">
        <f>IF(OR(CSE4098B_Spring2026_Grade!$I22="W (Withdrawn)", CSE4098B_Spring2026_Grade!$I22="I (Incomplete)"), 0, IF(AK37&gt;=55%, 1, 0))</f>
        <v>0</v>
      </c>
      <c r="AW37" s="165">
        <f>IF(OR(CSE4098B_Spring2026_Grade!$I22="W (Withdrawn)", CSE4098B_Spring2026_Grade!$I22="I (Incomplete)"), 0, IF(AL37&gt;=55%, 1, 0))</f>
        <v>1</v>
      </c>
      <c r="AX37" s="165">
        <f>IF(OR(CSE4098B_Spring2026_Grade!$I22="W (Withdrawn)", CSE4098B_Spring2026_Grade!$I22="I (Incomplete)"), 0, IF(AM37&gt;=55%, 1, 0))</f>
        <v>0</v>
      </c>
      <c r="AY37" s="165">
        <f>IF(OR(CSE4098B_Spring2026_Grade!$I22="W (Withdrawn)", CSE4098B_Spring2026_Grade!$I22="I (Incomplete)"), 0, IF(AN37&gt;=55%, 1, 0))</f>
        <v>1</v>
      </c>
      <c r="AZ37" s="165">
        <f>IF(OR(CSE4098B_Spring2026_Grade!$I22="W (Withdrawn)", CSE4098B_Spring2026_Grade!$I22="I (Incomplete)"), 0, IF(AO37&gt;=55%, 1, 0))</f>
        <v>1</v>
      </c>
      <c r="BA37" s="76"/>
      <c r="BB37" s="166">
        <f t="shared" si="13"/>
        <v>0</v>
      </c>
      <c r="BC37" s="166">
        <f t="shared" si="14"/>
        <v>0.6666666667</v>
      </c>
      <c r="BD37" s="166">
        <f t="array" ref="BD37">IF($BC$14=0,0,MMULT($AE37:$AO37, BC$3:BC$13)/$BC$14)</f>
        <v>0.5555555556</v>
      </c>
      <c r="BE37" s="166">
        <f t="array" ref="BE37">IF($BD$14=0,0,MMULT($AE37:$AO37, BD$3:BD$13)/$BD$14)</f>
        <v>0.5555555556</v>
      </c>
      <c r="BF37" s="166">
        <f t="shared" si="15"/>
        <v>0.6666666667</v>
      </c>
      <c r="BG37" s="166">
        <f t="array" ref="BG37">IF($BF$14=0,0,MMULT($AE37:$AO37, BF$3:BF$13)/$BF$14)</f>
        <v>0.4444444444</v>
      </c>
      <c r="BH37" s="166">
        <f t="array" ref="BH37">IF($BG$14=0,0,MMULT($AE37:$AO37, BG$3:BG$13)/$BG$14)</f>
        <v>0.6666666667</v>
      </c>
      <c r="BI37" s="166">
        <f t="array" ref="BI37">IF($BH$14=0,0,MMULT($AE37:$AO37, BH$3:BH$13)/$BH$14)</f>
        <v>0.4444444444</v>
      </c>
      <c r="BJ37" s="166">
        <f t="array" ref="BJ37">IF($BI$14=0,0,MMULT($AE37:$AO37, BI$3:BI$13)/$BI$14)</f>
        <v>1</v>
      </c>
      <c r="BK37" s="166">
        <f t="array" ref="BK37">IF($BJ$14=0,0,MMULT($AE37:$AO37, BJ$3:BJ$13)/$BJ$14)</f>
        <v>0.9506666667</v>
      </c>
      <c r="BL37" s="166">
        <f t="shared" si="16"/>
        <v>0.5555555556</v>
      </c>
      <c r="BM37" s="166">
        <f t="shared" si="17"/>
        <v>0.6111111111</v>
      </c>
      <c r="BN37" s="165">
        <f>IF(OR(CSE4098B_Spring2026_Grade!$I22="W (Withdrawn)", CSE4098B_Spring2026_Grade!$I22="I (Incomplete)"), 0, IF(BB37&gt;=55%, 1, 0))</f>
        <v>0</v>
      </c>
      <c r="BO37" s="165">
        <f>IF(OR(CSE4098B_Spring2026_Grade!$I22="W (Withdrawn)", CSE4098B_Spring2026_Grade!$I22="I (Incomplete)"), 0, IF(BC37&gt;=55%, 1, 0))</f>
        <v>1</v>
      </c>
      <c r="BP37" s="165">
        <f>IF(OR(CSE4098B_Spring2026_Grade!$I22="W (Withdrawn)", CSE4098B_Spring2026_Grade!$I22="I (Incomplete)"), 0, IF(BD37&gt;=55%, 1, 0))</f>
        <v>1</v>
      </c>
      <c r="BQ37" s="165">
        <f>IF(OR(CSE4098B_Spring2026_Grade!$I22="W (Withdrawn)", CSE4098B_Spring2026_Grade!$I22="I (Incomplete)"), 0, IF(BE37&gt;=55%, 1, 0))</f>
        <v>1</v>
      </c>
      <c r="BR37" s="165">
        <f>IF(OR(CSE4098B_Spring2026_Grade!$I22="W (Withdrawn)", CSE4098B_Spring2026_Grade!$I22="I (Incomplete)"), 0, IF(BF37&gt;=55%, 1, 0))</f>
        <v>1</v>
      </c>
      <c r="BS37" s="165">
        <f>IF(OR(CSE4098B_Spring2026_Grade!$I22="W (Withdrawn)", CSE4098B_Spring2026_Grade!$I22="I (Incomplete)"), 0, IF(BG37&gt;=55%, 1, 0))</f>
        <v>0</v>
      </c>
      <c r="BT37" s="165">
        <f>IF(OR(CSE4098B_Spring2026_Grade!$I22="W (Withdrawn)", CSE4098B_Spring2026_Grade!$I22="I (Incomplete)"), 0, IF(BH37&gt;=55%, 1, 0))</f>
        <v>1</v>
      </c>
      <c r="BU37" s="165">
        <f>IF(OR(CSE4098B_Spring2026_Grade!$I22="W (Withdrawn)", CSE4098B_Spring2026_Grade!$I22="I (Incomplete)"), 0, IF(BI37&gt;=55%, 1, 0))</f>
        <v>0</v>
      </c>
      <c r="BV37" s="165">
        <f>IF(OR(CSE4098B_Spring2026_Grade!$I22="W (Withdrawn)", CSE4098B_Spring2026_Grade!$I22="I (Incomplete)"), 0, IF(BJ37&gt;=55%, 1, 0))</f>
        <v>1</v>
      </c>
      <c r="BW37" s="165">
        <f>IF(OR(CSE4098B_Spring2026_Grade!$I22="W (Withdrawn)", CSE4098B_Spring2026_Grade!$I22="I (Incomplete)"), 0, IF(BK37&gt;=55%, 1, 0))</f>
        <v>1</v>
      </c>
      <c r="BX37" s="165">
        <f>IF(OR(CSE4098B_Spring2026_Grade!$I22="W (Withdrawn)", CSE4098B_Spring2026_Grade!$I22="I (Incomplete)"), 0, IF(BL37&gt;=55%, 1, 0))</f>
        <v>1</v>
      </c>
      <c r="BY37" s="165">
        <f>IF(OR(CSE4098B_Spring2026_Grade!$I22="W (Withdrawn)", CSE4098B_Spring2026_Grade!$I22="I (Incomplete)"), 0, IF(BM37&gt;=55%, 1, 0))</f>
        <v>1</v>
      </c>
    </row>
    <row r="38">
      <c r="A38" s="153">
        <v>19.0</v>
      </c>
      <c r="B38" s="154">
        <f>CSE4098B_Spring2026_Grade!B23</f>
        <v>223014213</v>
      </c>
      <c r="C38" s="96" t="str">
        <f>CSE4098B_Spring2026_Grade!C23</f>
        <v>Md. Minhazul Islam</v>
      </c>
      <c r="D38" s="155">
        <f>'CO Report Evaluation'!AI21</f>
        <v>5.333333333</v>
      </c>
      <c r="E38" s="155">
        <f>'CO Report Evaluation'!AJ21</f>
        <v>2.333333333</v>
      </c>
      <c r="F38" s="155">
        <f>'CO Report Evaluation'!AK21</f>
        <v>2.666666667</v>
      </c>
      <c r="G38" s="156">
        <f>'CO Report Evaluation'!AL21</f>
        <v>3</v>
      </c>
      <c r="H38" s="156">
        <f>'CO Report Evaluation'!AM21</f>
        <v>3</v>
      </c>
      <c r="I38" s="157">
        <f>'CO Report Evaluation'!AN21</f>
        <v>4.666666667</v>
      </c>
      <c r="J38" s="157">
        <f>'CO Report Evaluation'!AO21</f>
        <v>2</v>
      </c>
      <c r="K38" s="157">
        <f>'CO Report Evaluation'!AP21</f>
        <v>2.666666667</v>
      </c>
      <c r="L38" s="158">
        <f>'CO Report Evaluation'!AQ21</f>
        <v>2</v>
      </c>
      <c r="M38" s="159"/>
      <c r="N38" s="160"/>
      <c r="O38" s="160"/>
      <c r="P38" s="160"/>
      <c r="Q38" s="160"/>
      <c r="R38" s="156">
        <f>CSE4098B_Spring2026_Grade!F23</f>
        <v>5</v>
      </c>
      <c r="S38" s="161">
        <f>((CSE4098B_Spring2026_Grade!E23)*10)/45</f>
        <v>9.497777778</v>
      </c>
      <c r="T38" s="162">
        <f t="shared" ref="T38:AB38" si="66">D38</f>
        <v>5.333333333</v>
      </c>
      <c r="U38" s="163">
        <f t="shared" si="66"/>
        <v>2.333333333</v>
      </c>
      <c r="V38" s="163">
        <f t="shared" si="66"/>
        <v>2.666666667</v>
      </c>
      <c r="W38" s="163">
        <f t="shared" si="66"/>
        <v>3</v>
      </c>
      <c r="X38" s="163">
        <f t="shared" si="66"/>
        <v>3</v>
      </c>
      <c r="Y38" s="163">
        <f t="shared" si="66"/>
        <v>4.666666667</v>
      </c>
      <c r="Z38" s="163">
        <f t="shared" si="66"/>
        <v>2</v>
      </c>
      <c r="AA38" s="163">
        <f t="shared" si="66"/>
        <v>2.666666667</v>
      </c>
      <c r="AB38" s="163">
        <f t="shared" si="66"/>
        <v>2</v>
      </c>
      <c r="AC38" s="163">
        <f t="shared" ref="AC38:AD38" si="67">R38</f>
        <v>5</v>
      </c>
      <c r="AD38" s="163">
        <f t="shared" si="67"/>
        <v>9.497777778</v>
      </c>
      <c r="AE38" s="164">
        <f t="shared" ref="AE38:AO38" si="68">IF(T38 = 0, 0, T38/T$19)</f>
        <v>0.8888888889</v>
      </c>
      <c r="AF38" s="164">
        <f t="shared" si="68"/>
        <v>0.7777777778</v>
      </c>
      <c r="AG38" s="164">
        <f t="shared" si="68"/>
        <v>0.8888888889</v>
      </c>
      <c r="AH38" s="164">
        <f t="shared" si="68"/>
        <v>1</v>
      </c>
      <c r="AI38" s="164">
        <f t="shared" si="68"/>
        <v>1</v>
      </c>
      <c r="AJ38" s="164">
        <f t="shared" si="68"/>
        <v>0.7777777778</v>
      </c>
      <c r="AK38" s="164">
        <f t="shared" si="68"/>
        <v>0.6666666667</v>
      </c>
      <c r="AL38" s="164">
        <f t="shared" si="68"/>
        <v>0.8888888889</v>
      </c>
      <c r="AM38" s="164">
        <f t="shared" si="68"/>
        <v>0.6666666667</v>
      </c>
      <c r="AN38" s="164">
        <f t="shared" si="68"/>
        <v>1</v>
      </c>
      <c r="AO38" s="164">
        <f t="shared" si="68"/>
        <v>0.9497777778</v>
      </c>
      <c r="AP38" s="165">
        <f>IF(OR(CSE4098B_Spring2026_Grade!$I23="W (Withdrawn)", CSE4098B_Spring2026_Grade!$I23="I (Incomplete)"), 0, IF(AE38&gt;=55%, 1, 0))</f>
        <v>1</v>
      </c>
      <c r="AQ38" s="165">
        <f>IF(OR(CSE4098B_Spring2026_Grade!$I23="W (Withdrawn)", CSE4098B_Spring2026_Grade!$I23="I (Incomplete)"), 0, IF(AF38&gt;=55%, 1, 0))</f>
        <v>1</v>
      </c>
      <c r="AR38" s="165">
        <f>IF(OR(CSE4098B_Spring2026_Grade!$I23="W (Withdrawn)", CSE4098B_Spring2026_Grade!$I23="I (Incomplete)"), 0, IF(AG38&gt;=55%, 1, 0))</f>
        <v>1</v>
      </c>
      <c r="AS38" s="165">
        <f>IF(OR(CSE4098B_Spring2026_Grade!$I23="W (Withdrawn)", CSE4098B_Spring2026_Grade!$I23="I (Incomplete)"), 0, IF(AH38&gt;=55%, 1, 0))</f>
        <v>1</v>
      </c>
      <c r="AT38" s="165">
        <f>IF(OR(CSE4098B_Spring2026_Grade!$I23="W (Withdrawn)", CSE4098B_Spring2026_Grade!$I23="I (Incomplete)"), 0, IF(AI38&gt;=55%, 1, 0))</f>
        <v>1</v>
      </c>
      <c r="AU38" s="165">
        <f>IF(OR(CSE4098B_Spring2026_Grade!$I23="W (Withdrawn)", CSE4098B_Spring2026_Grade!$I23="I (Incomplete)"), 0, IF(AJ38&gt;=55%, 1, 0))</f>
        <v>1</v>
      </c>
      <c r="AV38" s="165">
        <f>IF(OR(CSE4098B_Spring2026_Grade!$I23="W (Withdrawn)", CSE4098B_Spring2026_Grade!$I23="I (Incomplete)"), 0, IF(AK38&gt;=55%, 1, 0))</f>
        <v>1</v>
      </c>
      <c r="AW38" s="165">
        <f>IF(OR(CSE4098B_Spring2026_Grade!$I23="W (Withdrawn)", CSE4098B_Spring2026_Grade!$I23="I (Incomplete)"), 0, IF(AL38&gt;=55%, 1, 0))</f>
        <v>1</v>
      </c>
      <c r="AX38" s="165">
        <f>IF(OR(CSE4098B_Spring2026_Grade!$I23="W (Withdrawn)", CSE4098B_Spring2026_Grade!$I23="I (Incomplete)"), 0, IF(AM38&gt;=55%, 1, 0))</f>
        <v>1</v>
      </c>
      <c r="AY38" s="165">
        <f>IF(OR(CSE4098B_Spring2026_Grade!$I23="W (Withdrawn)", CSE4098B_Spring2026_Grade!$I23="I (Incomplete)"), 0, IF(AN38&gt;=55%, 1, 0))</f>
        <v>1</v>
      </c>
      <c r="AZ38" s="165">
        <f>IF(OR(CSE4098B_Spring2026_Grade!$I23="W (Withdrawn)", CSE4098B_Spring2026_Grade!$I23="I (Incomplete)"), 0, IF(AO38&gt;=55%, 1, 0))</f>
        <v>1</v>
      </c>
      <c r="BA38" s="76"/>
      <c r="BB38" s="166">
        <f t="shared" si="13"/>
        <v>0</v>
      </c>
      <c r="BC38" s="166">
        <f t="shared" si="14"/>
        <v>0.7777777778</v>
      </c>
      <c r="BD38" s="166">
        <f t="array" ref="BD38">IF($BC$14=0,0,MMULT($AE38:$AO38, BC$3:BC$13)/$BC$14)</f>
        <v>1</v>
      </c>
      <c r="BE38" s="166">
        <f t="array" ref="BE38">IF($BD$14=0,0,MMULT($AE38:$AO38, BD$3:BD$13)/$BD$14)</f>
        <v>0.7777777778</v>
      </c>
      <c r="BF38" s="166">
        <f t="shared" si="15"/>
        <v>1</v>
      </c>
      <c r="BG38" s="166">
        <f t="array" ref="BG38">IF($BF$14=0,0,MMULT($AE38:$AO38, BF$3:BF$13)/$BF$14)</f>
        <v>0.6666666667</v>
      </c>
      <c r="BH38" s="166">
        <f t="array" ref="BH38">IF($BG$14=0,0,MMULT($AE38:$AO38, BG$3:BG$13)/$BG$14)</f>
        <v>0.8888888889</v>
      </c>
      <c r="BI38" s="166">
        <f t="array" ref="BI38">IF($BH$14=0,0,MMULT($AE38:$AO38, BH$3:BH$13)/$BH$14)</f>
        <v>0.6666666667</v>
      </c>
      <c r="BJ38" s="166">
        <f t="array" ref="BJ38">IF($BI$14=0,0,MMULT($AE38:$AO38, BI$3:BI$13)/$BI$14)</f>
        <v>1</v>
      </c>
      <c r="BK38" s="166">
        <f t="array" ref="BK38">IF($BJ$14=0,0,MMULT($AE38:$AO38, BJ$3:BJ$13)/$BJ$14)</f>
        <v>0.9497777778</v>
      </c>
      <c r="BL38" s="166">
        <f t="shared" si="16"/>
        <v>0.8888888889</v>
      </c>
      <c r="BM38" s="166">
        <f t="shared" si="17"/>
        <v>0.8888888889</v>
      </c>
      <c r="BN38" s="165">
        <f>IF(OR(CSE4098B_Spring2026_Grade!$I23="W (Withdrawn)", CSE4098B_Spring2026_Grade!$I23="I (Incomplete)"), 0, IF(BB38&gt;=55%, 1, 0))</f>
        <v>0</v>
      </c>
      <c r="BO38" s="165">
        <f>IF(OR(CSE4098B_Spring2026_Grade!$I23="W (Withdrawn)", CSE4098B_Spring2026_Grade!$I23="I (Incomplete)"), 0, IF(BC38&gt;=55%, 1, 0))</f>
        <v>1</v>
      </c>
      <c r="BP38" s="165">
        <f>IF(OR(CSE4098B_Spring2026_Grade!$I23="W (Withdrawn)", CSE4098B_Spring2026_Grade!$I23="I (Incomplete)"), 0, IF(BD38&gt;=55%, 1, 0))</f>
        <v>1</v>
      </c>
      <c r="BQ38" s="165">
        <f>IF(OR(CSE4098B_Spring2026_Grade!$I23="W (Withdrawn)", CSE4098B_Spring2026_Grade!$I23="I (Incomplete)"), 0, IF(BE38&gt;=55%, 1, 0))</f>
        <v>1</v>
      </c>
      <c r="BR38" s="165">
        <f>IF(OR(CSE4098B_Spring2026_Grade!$I23="W (Withdrawn)", CSE4098B_Spring2026_Grade!$I23="I (Incomplete)"), 0, IF(BF38&gt;=55%, 1, 0))</f>
        <v>1</v>
      </c>
      <c r="BS38" s="165">
        <f>IF(OR(CSE4098B_Spring2026_Grade!$I23="W (Withdrawn)", CSE4098B_Spring2026_Grade!$I23="I (Incomplete)"), 0, IF(BG38&gt;=55%, 1, 0))</f>
        <v>1</v>
      </c>
      <c r="BT38" s="165">
        <f>IF(OR(CSE4098B_Spring2026_Grade!$I23="W (Withdrawn)", CSE4098B_Spring2026_Grade!$I23="I (Incomplete)"), 0, IF(BH38&gt;=55%, 1, 0))</f>
        <v>1</v>
      </c>
      <c r="BU38" s="165">
        <f>IF(OR(CSE4098B_Spring2026_Grade!$I23="W (Withdrawn)", CSE4098B_Spring2026_Grade!$I23="I (Incomplete)"), 0, IF(BI38&gt;=55%, 1, 0))</f>
        <v>1</v>
      </c>
      <c r="BV38" s="165">
        <f>IF(OR(CSE4098B_Spring2026_Grade!$I23="W (Withdrawn)", CSE4098B_Spring2026_Grade!$I23="I (Incomplete)"), 0, IF(BJ38&gt;=55%, 1, 0))</f>
        <v>1</v>
      </c>
      <c r="BW38" s="165">
        <f>IF(OR(CSE4098B_Spring2026_Grade!$I23="W (Withdrawn)", CSE4098B_Spring2026_Grade!$I23="I (Incomplete)"), 0, IF(BK38&gt;=55%, 1, 0))</f>
        <v>1</v>
      </c>
      <c r="BX38" s="165">
        <f>IF(OR(CSE4098B_Spring2026_Grade!$I23="W (Withdrawn)", CSE4098B_Spring2026_Grade!$I23="I (Incomplete)"), 0, IF(BL38&gt;=55%, 1, 0))</f>
        <v>1</v>
      </c>
      <c r="BY38" s="165">
        <f>IF(OR(CSE4098B_Spring2026_Grade!$I23="W (Withdrawn)", CSE4098B_Spring2026_Grade!$I23="I (Incomplete)"), 0, IF(BM38&gt;=55%, 1, 0))</f>
        <v>1</v>
      </c>
    </row>
    <row r="39">
      <c r="A39" s="153">
        <v>20.0</v>
      </c>
      <c r="B39" s="154">
        <f>CSE4098B_Spring2026_Grade!B24</f>
        <v>223014078</v>
      </c>
      <c r="C39" s="96" t="str">
        <f>CSE4098B_Spring2026_Grade!C24</f>
        <v>Shakhar Das Rony</v>
      </c>
      <c r="D39" s="155">
        <f>'CO Report Evaluation'!AI22</f>
        <v>5.333333333</v>
      </c>
      <c r="E39" s="155">
        <f>'CO Report Evaluation'!AJ22</f>
        <v>2.333333333</v>
      </c>
      <c r="F39" s="155">
        <f>'CO Report Evaluation'!AK22</f>
        <v>2.666666667</v>
      </c>
      <c r="G39" s="156">
        <f>'CO Report Evaluation'!AL22</f>
        <v>3</v>
      </c>
      <c r="H39" s="156">
        <f>'CO Report Evaluation'!AM22</f>
        <v>3</v>
      </c>
      <c r="I39" s="157">
        <f>'CO Report Evaluation'!AN22</f>
        <v>4.666666667</v>
      </c>
      <c r="J39" s="157">
        <f>'CO Report Evaluation'!AO22</f>
        <v>2</v>
      </c>
      <c r="K39" s="157">
        <f>'CO Report Evaluation'!AP22</f>
        <v>2.666666667</v>
      </c>
      <c r="L39" s="158">
        <f>'CO Report Evaluation'!AQ22</f>
        <v>2</v>
      </c>
      <c r="M39" s="159"/>
      <c r="N39" s="160"/>
      <c r="O39" s="160"/>
      <c r="P39" s="160"/>
      <c r="Q39" s="160"/>
      <c r="R39" s="156">
        <f>CSE4098B_Spring2026_Grade!F24</f>
        <v>5</v>
      </c>
      <c r="S39" s="161">
        <f>((CSE4098B_Spring2026_Grade!E24)*10)/45</f>
        <v>9.662222222</v>
      </c>
      <c r="T39" s="162">
        <f t="shared" ref="T39:AB39" si="69">D39</f>
        <v>5.333333333</v>
      </c>
      <c r="U39" s="163">
        <f t="shared" si="69"/>
        <v>2.333333333</v>
      </c>
      <c r="V39" s="163">
        <f t="shared" si="69"/>
        <v>2.666666667</v>
      </c>
      <c r="W39" s="163">
        <f t="shared" si="69"/>
        <v>3</v>
      </c>
      <c r="X39" s="163">
        <f t="shared" si="69"/>
        <v>3</v>
      </c>
      <c r="Y39" s="163">
        <f t="shared" si="69"/>
        <v>4.666666667</v>
      </c>
      <c r="Z39" s="163">
        <f t="shared" si="69"/>
        <v>2</v>
      </c>
      <c r="AA39" s="163">
        <f t="shared" si="69"/>
        <v>2.666666667</v>
      </c>
      <c r="AB39" s="163">
        <f t="shared" si="69"/>
        <v>2</v>
      </c>
      <c r="AC39" s="163">
        <f t="shared" ref="AC39:AD39" si="70">R39</f>
        <v>5</v>
      </c>
      <c r="AD39" s="163">
        <f t="shared" si="70"/>
        <v>9.662222222</v>
      </c>
      <c r="AE39" s="164">
        <f t="shared" ref="AE39:AO39" si="71">IF(T39 = 0, 0, T39/T$19)</f>
        <v>0.8888888889</v>
      </c>
      <c r="AF39" s="164">
        <f t="shared" si="71"/>
        <v>0.7777777778</v>
      </c>
      <c r="AG39" s="164">
        <f t="shared" si="71"/>
        <v>0.8888888889</v>
      </c>
      <c r="AH39" s="164">
        <f t="shared" si="71"/>
        <v>1</v>
      </c>
      <c r="AI39" s="164">
        <f t="shared" si="71"/>
        <v>1</v>
      </c>
      <c r="AJ39" s="164">
        <f t="shared" si="71"/>
        <v>0.7777777778</v>
      </c>
      <c r="AK39" s="164">
        <f t="shared" si="71"/>
        <v>0.6666666667</v>
      </c>
      <c r="AL39" s="164">
        <f t="shared" si="71"/>
        <v>0.8888888889</v>
      </c>
      <c r="AM39" s="164">
        <f t="shared" si="71"/>
        <v>0.6666666667</v>
      </c>
      <c r="AN39" s="164">
        <f t="shared" si="71"/>
        <v>1</v>
      </c>
      <c r="AO39" s="164">
        <f t="shared" si="71"/>
        <v>0.9662222222</v>
      </c>
      <c r="AP39" s="165">
        <f>IF(OR(CSE4098B_Spring2026_Grade!$I24="W (Withdrawn)", CSE4098B_Spring2026_Grade!$I24="I (Incomplete)"), 0, IF(AE39&gt;=55%, 1, 0))</f>
        <v>1</v>
      </c>
      <c r="AQ39" s="165">
        <f>IF(OR(CSE4098B_Spring2026_Grade!$I24="W (Withdrawn)", CSE4098B_Spring2026_Grade!$I24="I (Incomplete)"), 0, IF(AF39&gt;=55%, 1, 0))</f>
        <v>1</v>
      </c>
      <c r="AR39" s="165">
        <f>IF(OR(CSE4098B_Spring2026_Grade!$I24="W (Withdrawn)", CSE4098B_Spring2026_Grade!$I24="I (Incomplete)"), 0, IF(AG39&gt;=55%, 1, 0))</f>
        <v>1</v>
      </c>
      <c r="AS39" s="165">
        <f>IF(OR(CSE4098B_Spring2026_Grade!$I24="W (Withdrawn)", CSE4098B_Spring2026_Grade!$I24="I (Incomplete)"), 0, IF(AH39&gt;=55%, 1, 0))</f>
        <v>1</v>
      </c>
      <c r="AT39" s="165">
        <f>IF(OR(CSE4098B_Spring2026_Grade!$I24="W (Withdrawn)", CSE4098B_Spring2026_Grade!$I24="I (Incomplete)"), 0, IF(AI39&gt;=55%, 1, 0))</f>
        <v>1</v>
      </c>
      <c r="AU39" s="165">
        <f>IF(OR(CSE4098B_Spring2026_Grade!$I24="W (Withdrawn)", CSE4098B_Spring2026_Grade!$I24="I (Incomplete)"), 0, IF(AJ39&gt;=55%, 1, 0))</f>
        <v>1</v>
      </c>
      <c r="AV39" s="165">
        <f>IF(OR(CSE4098B_Spring2026_Grade!$I24="W (Withdrawn)", CSE4098B_Spring2026_Grade!$I24="I (Incomplete)"), 0, IF(AK39&gt;=55%, 1, 0))</f>
        <v>1</v>
      </c>
      <c r="AW39" s="165">
        <f>IF(OR(CSE4098B_Spring2026_Grade!$I24="W (Withdrawn)", CSE4098B_Spring2026_Grade!$I24="I (Incomplete)"), 0, IF(AL39&gt;=55%, 1, 0))</f>
        <v>1</v>
      </c>
      <c r="AX39" s="165">
        <f>IF(OR(CSE4098B_Spring2026_Grade!$I24="W (Withdrawn)", CSE4098B_Spring2026_Grade!$I24="I (Incomplete)"), 0, IF(AM39&gt;=55%, 1, 0))</f>
        <v>1</v>
      </c>
      <c r="AY39" s="165">
        <f>IF(OR(CSE4098B_Spring2026_Grade!$I24="W (Withdrawn)", CSE4098B_Spring2026_Grade!$I24="I (Incomplete)"), 0, IF(AN39&gt;=55%, 1, 0))</f>
        <v>1</v>
      </c>
      <c r="AZ39" s="165">
        <f>IF(OR(CSE4098B_Spring2026_Grade!$I24="W (Withdrawn)", CSE4098B_Spring2026_Grade!$I24="I (Incomplete)"), 0, IF(AO39&gt;=55%, 1, 0))</f>
        <v>1</v>
      </c>
      <c r="BA39" s="76"/>
      <c r="BB39" s="166">
        <f t="shared" si="13"/>
        <v>0</v>
      </c>
      <c r="BC39" s="166">
        <f t="shared" si="14"/>
        <v>0.7777777778</v>
      </c>
      <c r="BD39" s="166">
        <f t="array" ref="BD39">IF($BC$14=0,0,MMULT($AE39:$AO39, BC$3:BC$13)/$BC$14)</f>
        <v>1</v>
      </c>
      <c r="BE39" s="166">
        <f t="array" ref="BE39">IF($BD$14=0,0,MMULT($AE39:$AO39, BD$3:BD$13)/$BD$14)</f>
        <v>0.7777777778</v>
      </c>
      <c r="BF39" s="166">
        <f t="shared" si="15"/>
        <v>1</v>
      </c>
      <c r="BG39" s="166">
        <f t="array" ref="BG39">IF($BF$14=0,0,MMULT($AE39:$AO39, BF$3:BF$13)/$BF$14)</f>
        <v>0.6666666667</v>
      </c>
      <c r="BH39" s="166">
        <f t="array" ref="BH39">IF($BG$14=0,0,MMULT($AE39:$AO39, BG$3:BG$13)/$BG$14)</f>
        <v>0.8888888889</v>
      </c>
      <c r="BI39" s="166">
        <f t="array" ref="BI39">IF($BH$14=0,0,MMULT($AE39:$AO39, BH$3:BH$13)/$BH$14)</f>
        <v>0.6666666667</v>
      </c>
      <c r="BJ39" s="166">
        <f t="array" ref="BJ39">IF($BI$14=0,0,MMULT($AE39:$AO39, BI$3:BI$13)/$BI$14)</f>
        <v>1</v>
      </c>
      <c r="BK39" s="166">
        <f t="array" ref="BK39">IF($BJ$14=0,0,MMULT($AE39:$AO39, BJ$3:BJ$13)/$BJ$14)</f>
        <v>0.9662222222</v>
      </c>
      <c r="BL39" s="166">
        <f t="shared" si="16"/>
        <v>0.8888888889</v>
      </c>
      <c r="BM39" s="166">
        <f t="shared" si="17"/>
        <v>0.8888888889</v>
      </c>
      <c r="BN39" s="165">
        <f>IF(OR(CSE4098B_Spring2026_Grade!$I24="W (Withdrawn)", CSE4098B_Spring2026_Grade!$I24="I (Incomplete)"), 0, IF(BB39&gt;=55%, 1, 0))</f>
        <v>0</v>
      </c>
      <c r="BO39" s="165">
        <f>IF(OR(CSE4098B_Spring2026_Grade!$I24="W (Withdrawn)", CSE4098B_Spring2026_Grade!$I24="I (Incomplete)"), 0, IF(BC39&gt;=55%, 1, 0))</f>
        <v>1</v>
      </c>
      <c r="BP39" s="165">
        <f>IF(OR(CSE4098B_Spring2026_Grade!$I24="W (Withdrawn)", CSE4098B_Spring2026_Grade!$I24="I (Incomplete)"), 0, IF(BD39&gt;=55%, 1, 0))</f>
        <v>1</v>
      </c>
      <c r="BQ39" s="165">
        <f>IF(OR(CSE4098B_Spring2026_Grade!$I24="W (Withdrawn)", CSE4098B_Spring2026_Grade!$I24="I (Incomplete)"), 0, IF(BE39&gt;=55%, 1, 0))</f>
        <v>1</v>
      </c>
      <c r="BR39" s="165">
        <f>IF(OR(CSE4098B_Spring2026_Grade!$I24="W (Withdrawn)", CSE4098B_Spring2026_Grade!$I24="I (Incomplete)"), 0, IF(BF39&gt;=55%, 1, 0))</f>
        <v>1</v>
      </c>
      <c r="BS39" s="165">
        <f>IF(OR(CSE4098B_Spring2026_Grade!$I24="W (Withdrawn)", CSE4098B_Spring2026_Grade!$I24="I (Incomplete)"), 0, IF(BG39&gt;=55%, 1, 0))</f>
        <v>1</v>
      </c>
      <c r="BT39" s="165">
        <f>IF(OR(CSE4098B_Spring2026_Grade!$I24="W (Withdrawn)", CSE4098B_Spring2026_Grade!$I24="I (Incomplete)"), 0, IF(BH39&gt;=55%, 1, 0))</f>
        <v>1</v>
      </c>
      <c r="BU39" s="165">
        <f>IF(OR(CSE4098B_Spring2026_Grade!$I24="W (Withdrawn)", CSE4098B_Spring2026_Grade!$I24="I (Incomplete)"), 0, IF(BI39&gt;=55%, 1, 0))</f>
        <v>1</v>
      </c>
      <c r="BV39" s="165">
        <f>IF(OR(CSE4098B_Spring2026_Grade!$I24="W (Withdrawn)", CSE4098B_Spring2026_Grade!$I24="I (Incomplete)"), 0, IF(BJ39&gt;=55%, 1, 0))</f>
        <v>1</v>
      </c>
      <c r="BW39" s="165">
        <f>IF(OR(CSE4098B_Spring2026_Grade!$I24="W (Withdrawn)", CSE4098B_Spring2026_Grade!$I24="I (Incomplete)"), 0, IF(BK39&gt;=55%, 1, 0))</f>
        <v>1</v>
      </c>
      <c r="BX39" s="165">
        <f>IF(OR(CSE4098B_Spring2026_Grade!$I24="W (Withdrawn)", CSE4098B_Spring2026_Grade!$I24="I (Incomplete)"), 0, IF(BL39&gt;=55%, 1, 0))</f>
        <v>1</v>
      </c>
      <c r="BY39" s="165">
        <f>IF(OR(CSE4098B_Spring2026_Grade!$I24="W (Withdrawn)", CSE4098B_Spring2026_Grade!$I24="I (Incomplete)"), 0, IF(BM39&gt;=55%, 1, 0))</f>
        <v>1</v>
      </c>
    </row>
    <row r="40">
      <c r="A40" s="153">
        <v>21.0</v>
      </c>
      <c r="B40" s="154">
        <f>CSE4098B_Spring2026_Grade!B25</f>
        <v>223014212</v>
      </c>
      <c r="C40" s="96" t="str">
        <f>CSE4098B_Spring2026_Grade!C25</f>
        <v>Md. Tamim Hasan</v>
      </c>
      <c r="D40" s="155">
        <f>'CO Report Evaluation'!AI23</f>
        <v>5.333333333</v>
      </c>
      <c r="E40" s="155">
        <f>'CO Report Evaluation'!AJ23</f>
        <v>2.333333333</v>
      </c>
      <c r="F40" s="155">
        <f>'CO Report Evaluation'!AK23</f>
        <v>2.666666667</v>
      </c>
      <c r="G40" s="156">
        <f>'CO Report Evaluation'!AL23</f>
        <v>3</v>
      </c>
      <c r="H40" s="156">
        <f>'CO Report Evaluation'!AM23</f>
        <v>3</v>
      </c>
      <c r="I40" s="157">
        <f>'CO Report Evaluation'!AN23</f>
        <v>4.666666667</v>
      </c>
      <c r="J40" s="157">
        <f>'CO Report Evaluation'!AO23</f>
        <v>2</v>
      </c>
      <c r="K40" s="157">
        <f>'CO Report Evaluation'!AP23</f>
        <v>2.666666667</v>
      </c>
      <c r="L40" s="158">
        <f>'CO Report Evaluation'!AQ23</f>
        <v>2</v>
      </c>
      <c r="M40" s="159"/>
      <c r="N40" s="160"/>
      <c r="O40" s="160"/>
      <c r="P40" s="160"/>
      <c r="Q40" s="160"/>
      <c r="R40" s="156">
        <f>CSE4098B_Spring2026_Grade!F25</f>
        <v>5</v>
      </c>
      <c r="S40" s="161">
        <f>((CSE4098B_Spring2026_Grade!E25)*10)/45</f>
        <v>9.497777778</v>
      </c>
      <c r="T40" s="162">
        <f t="shared" ref="T40:AB40" si="72">D40</f>
        <v>5.333333333</v>
      </c>
      <c r="U40" s="163">
        <f t="shared" si="72"/>
        <v>2.333333333</v>
      </c>
      <c r="V40" s="163">
        <f t="shared" si="72"/>
        <v>2.666666667</v>
      </c>
      <c r="W40" s="163">
        <f t="shared" si="72"/>
        <v>3</v>
      </c>
      <c r="X40" s="163">
        <f t="shared" si="72"/>
        <v>3</v>
      </c>
      <c r="Y40" s="163">
        <f t="shared" si="72"/>
        <v>4.666666667</v>
      </c>
      <c r="Z40" s="163">
        <f t="shared" si="72"/>
        <v>2</v>
      </c>
      <c r="AA40" s="163">
        <f t="shared" si="72"/>
        <v>2.666666667</v>
      </c>
      <c r="AB40" s="163">
        <f t="shared" si="72"/>
        <v>2</v>
      </c>
      <c r="AC40" s="163">
        <f t="shared" ref="AC40:AD40" si="73">R40</f>
        <v>5</v>
      </c>
      <c r="AD40" s="163">
        <f t="shared" si="73"/>
        <v>9.497777778</v>
      </c>
      <c r="AE40" s="164">
        <f t="shared" ref="AE40:AO40" si="74">IF(T40 = 0, 0, T40/T$19)</f>
        <v>0.8888888889</v>
      </c>
      <c r="AF40" s="164">
        <f t="shared" si="74"/>
        <v>0.7777777778</v>
      </c>
      <c r="AG40" s="164">
        <f t="shared" si="74"/>
        <v>0.8888888889</v>
      </c>
      <c r="AH40" s="164">
        <f t="shared" si="74"/>
        <v>1</v>
      </c>
      <c r="AI40" s="164">
        <f t="shared" si="74"/>
        <v>1</v>
      </c>
      <c r="AJ40" s="164">
        <f t="shared" si="74"/>
        <v>0.7777777778</v>
      </c>
      <c r="AK40" s="164">
        <f t="shared" si="74"/>
        <v>0.6666666667</v>
      </c>
      <c r="AL40" s="164">
        <f t="shared" si="74"/>
        <v>0.8888888889</v>
      </c>
      <c r="AM40" s="164">
        <f t="shared" si="74"/>
        <v>0.6666666667</v>
      </c>
      <c r="AN40" s="164">
        <f t="shared" si="74"/>
        <v>1</v>
      </c>
      <c r="AO40" s="164">
        <f t="shared" si="74"/>
        <v>0.9497777778</v>
      </c>
      <c r="AP40" s="165">
        <f>IF(OR(CSE4098B_Spring2026_Grade!$I25="W (Withdrawn)", CSE4098B_Spring2026_Grade!$I25="I (Incomplete)"), 0, IF(AE40&gt;=55%, 1, 0))</f>
        <v>1</v>
      </c>
      <c r="AQ40" s="165">
        <f>IF(OR(CSE4098B_Spring2026_Grade!$I25="W (Withdrawn)", CSE4098B_Spring2026_Grade!$I25="I (Incomplete)"), 0, IF(AF40&gt;=55%, 1, 0))</f>
        <v>1</v>
      </c>
      <c r="AR40" s="165">
        <f>IF(OR(CSE4098B_Spring2026_Grade!$I25="W (Withdrawn)", CSE4098B_Spring2026_Grade!$I25="I (Incomplete)"), 0, IF(AG40&gt;=55%, 1, 0))</f>
        <v>1</v>
      </c>
      <c r="AS40" s="165">
        <f>IF(OR(CSE4098B_Spring2026_Grade!$I25="W (Withdrawn)", CSE4098B_Spring2026_Grade!$I25="I (Incomplete)"), 0, IF(AH40&gt;=55%, 1, 0))</f>
        <v>1</v>
      </c>
      <c r="AT40" s="165">
        <f>IF(OR(CSE4098B_Spring2026_Grade!$I25="W (Withdrawn)", CSE4098B_Spring2026_Grade!$I25="I (Incomplete)"), 0, IF(AI40&gt;=55%, 1, 0))</f>
        <v>1</v>
      </c>
      <c r="AU40" s="165">
        <f>IF(OR(CSE4098B_Spring2026_Grade!$I25="W (Withdrawn)", CSE4098B_Spring2026_Grade!$I25="I (Incomplete)"), 0, IF(AJ40&gt;=55%, 1, 0))</f>
        <v>1</v>
      </c>
      <c r="AV40" s="165">
        <f>IF(OR(CSE4098B_Spring2026_Grade!$I25="W (Withdrawn)", CSE4098B_Spring2026_Grade!$I25="I (Incomplete)"), 0, IF(AK40&gt;=55%, 1, 0))</f>
        <v>1</v>
      </c>
      <c r="AW40" s="165">
        <f>IF(OR(CSE4098B_Spring2026_Grade!$I25="W (Withdrawn)", CSE4098B_Spring2026_Grade!$I25="I (Incomplete)"), 0, IF(AL40&gt;=55%, 1, 0))</f>
        <v>1</v>
      </c>
      <c r="AX40" s="165">
        <f>IF(OR(CSE4098B_Spring2026_Grade!$I25="W (Withdrawn)", CSE4098B_Spring2026_Grade!$I25="I (Incomplete)"), 0, IF(AM40&gt;=55%, 1, 0))</f>
        <v>1</v>
      </c>
      <c r="AY40" s="165">
        <f>IF(OR(CSE4098B_Spring2026_Grade!$I25="W (Withdrawn)", CSE4098B_Spring2026_Grade!$I25="I (Incomplete)"), 0, IF(AN40&gt;=55%, 1, 0))</f>
        <v>1</v>
      </c>
      <c r="AZ40" s="165">
        <f>IF(OR(CSE4098B_Spring2026_Grade!$I25="W (Withdrawn)", CSE4098B_Spring2026_Grade!$I25="I (Incomplete)"), 0, IF(AO40&gt;=55%, 1, 0))</f>
        <v>1</v>
      </c>
      <c r="BA40" s="76"/>
      <c r="BB40" s="166">
        <f t="shared" si="13"/>
        <v>0</v>
      </c>
      <c r="BC40" s="166">
        <f t="shared" si="14"/>
        <v>0.7777777778</v>
      </c>
      <c r="BD40" s="166">
        <f t="array" ref="BD40">IF($BC$14=0,0,MMULT($AE40:$AO40, BC$3:BC$13)/$BC$14)</f>
        <v>1</v>
      </c>
      <c r="BE40" s="166">
        <f t="array" ref="BE40">IF($BD$14=0,0,MMULT($AE40:$AO40, BD$3:BD$13)/$BD$14)</f>
        <v>0.7777777778</v>
      </c>
      <c r="BF40" s="166">
        <f t="shared" si="15"/>
        <v>1</v>
      </c>
      <c r="BG40" s="166">
        <f t="array" ref="BG40">IF($BF$14=0,0,MMULT($AE40:$AO40, BF$3:BF$13)/$BF$14)</f>
        <v>0.6666666667</v>
      </c>
      <c r="BH40" s="166">
        <f t="array" ref="BH40">IF($BG$14=0,0,MMULT($AE40:$AO40, BG$3:BG$13)/$BG$14)</f>
        <v>0.8888888889</v>
      </c>
      <c r="BI40" s="166">
        <f t="array" ref="BI40">IF($BH$14=0,0,MMULT($AE40:$AO40, BH$3:BH$13)/$BH$14)</f>
        <v>0.6666666667</v>
      </c>
      <c r="BJ40" s="166">
        <f t="array" ref="BJ40">IF($BI$14=0,0,MMULT($AE40:$AO40, BI$3:BI$13)/$BI$14)</f>
        <v>1</v>
      </c>
      <c r="BK40" s="166">
        <f t="array" ref="BK40">IF($BJ$14=0,0,MMULT($AE40:$AO40, BJ$3:BJ$13)/$BJ$14)</f>
        <v>0.9497777778</v>
      </c>
      <c r="BL40" s="166">
        <f t="shared" si="16"/>
        <v>0.8888888889</v>
      </c>
      <c r="BM40" s="166">
        <f t="shared" si="17"/>
        <v>0.8888888889</v>
      </c>
      <c r="BN40" s="165">
        <f>IF(OR(CSE4098B_Spring2026_Grade!$I25="W (Withdrawn)", CSE4098B_Spring2026_Grade!$I25="I (Incomplete)"), 0, IF(BB40&gt;=55%, 1, 0))</f>
        <v>0</v>
      </c>
      <c r="BO40" s="165">
        <f>IF(OR(CSE4098B_Spring2026_Grade!$I25="W (Withdrawn)", CSE4098B_Spring2026_Grade!$I25="I (Incomplete)"), 0, IF(BC40&gt;=55%, 1, 0))</f>
        <v>1</v>
      </c>
      <c r="BP40" s="165">
        <f>IF(OR(CSE4098B_Spring2026_Grade!$I25="W (Withdrawn)", CSE4098B_Spring2026_Grade!$I25="I (Incomplete)"), 0, IF(BD40&gt;=55%, 1, 0))</f>
        <v>1</v>
      </c>
      <c r="BQ40" s="165">
        <f>IF(OR(CSE4098B_Spring2026_Grade!$I25="W (Withdrawn)", CSE4098B_Spring2026_Grade!$I25="I (Incomplete)"), 0, IF(BE40&gt;=55%, 1, 0))</f>
        <v>1</v>
      </c>
      <c r="BR40" s="165">
        <f>IF(OR(CSE4098B_Spring2026_Grade!$I25="W (Withdrawn)", CSE4098B_Spring2026_Grade!$I25="I (Incomplete)"), 0, IF(BF40&gt;=55%, 1, 0))</f>
        <v>1</v>
      </c>
      <c r="BS40" s="165">
        <f>IF(OR(CSE4098B_Spring2026_Grade!$I25="W (Withdrawn)", CSE4098B_Spring2026_Grade!$I25="I (Incomplete)"), 0, IF(BG40&gt;=55%, 1, 0))</f>
        <v>1</v>
      </c>
      <c r="BT40" s="165">
        <f>IF(OR(CSE4098B_Spring2026_Grade!$I25="W (Withdrawn)", CSE4098B_Spring2026_Grade!$I25="I (Incomplete)"), 0, IF(BH40&gt;=55%, 1, 0))</f>
        <v>1</v>
      </c>
      <c r="BU40" s="165">
        <f>IF(OR(CSE4098B_Spring2026_Grade!$I25="W (Withdrawn)", CSE4098B_Spring2026_Grade!$I25="I (Incomplete)"), 0, IF(BI40&gt;=55%, 1, 0))</f>
        <v>1</v>
      </c>
      <c r="BV40" s="165">
        <f>IF(OR(CSE4098B_Spring2026_Grade!$I25="W (Withdrawn)", CSE4098B_Spring2026_Grade!$I25="I (Incomplete)"), 0, IF(BJ40&gt;=55%, 1, 0))</f>
        <v>1</v>
      </c>
      <c r="BW40" s="165">
        <f>IF(OR(CSE4098B_Spring2026_Grade!$I25="W (Withdrawn)", CSE4098B_Spring2026_Grade!$I25="I (Incomplete)"), 0, IF(BK40&gt;=55%, 1, 0))</f>
        <v>1</v>
      </c>
      <c r="BX40" s="165">
        <f>IF(OR(CSE4098B_Spring2026_Grade!$I25="W (Withdrawn)", CSE4098B_Spring2026_Grade!$I25="I (Incomplete)"), 0, IF(BL40&gt;=55%, 1, 0))</f>
        <v>1</v>
      </c>
      <c r="BY40" s="165">
        <f>IF(OR(CSE4098B_Spring2026_Grade!$I25="W (Withdrawn)", CSE4098B_Spring2026_Grade!$I25="I (Incomplete)"), 0, IF(BM40&gt;=55%, 1, 0))</f>
        <v>1</v>
      </c>
    </row>
    <row r="41">
      <c r="A41" s="153">
        <v>22.0</v>
      </c>
      <c r="B41" s="154">
        <f>CSE4098B_Spring2026_Grade!B26</f>
        <v>231014049</v>
      </c>
      <c r="C41" s="96" t="str">
        <f>CSE4098B_Spring2026_Grade!C26</f>
        <v>Kazi Noor E Saba </v>
      </c>
      <c r="D41" s="155">
        <f>'CO Report Evaluation'!AI24</f>
        <v>3.666666667</v>
      </c>
      <c r="E41" s="155">
        <f>'CO Report Evaluation'!AJ24</f>
        <v>2</v>
      </c>
      <c r="F41" s="155">
        <f>'CO Report Evaluation'!AK24</f>
        <v>2</v>
      </c>
      <c r="G41" s="156">
        <f>'CO Report Evaluation'!AL24</f>
        <v>1.333333333</v>
      </c>
      <c r="H41" s="156">
        <f>'CO Report Evaluation'!AM24</f>
        <v>1.666666667</v>
      </c>
      <c r="I41" s="157">
        <f>'CO Report Evaluation'!AN24</f>
        <v>3.333333333</v>
      </c>
      <c r="J41" s="157">
        <f>'CO Report Evaluation'!AO24</f>
        <v>2</v>
      </c>
      <c r="K41" s="157">
        <f>'CO Report Evaluation'!AP24</f>
        <v>1.666666667</v>
      </c>
      <c r="L41" s="158">
        <f>'CO Report Evaluation'!AQ24</f>
        <v>2</v>
      </c>
      <c r="M41" s="159"/>
      <c r="N41" s="160"/>
      <c r="O41" s="160"/>
      <c r="P41" s="160"/>
      <c r="Q41" s="160"/>
      <c r="R41" s="156">
        <f>CSE4098B_Spring2026_Grade!F26</f>
        <v>5</v>
      </c>
      <c r="S41" s="161">
        <f>((CSE4098B_Spring2026_Grade!E26)*10)/45</f>
        <v>10</v>
      </c>
      <c r="T41" s="162">
        <f t="shared" ref="T41:AB41" si="75">D41</f>
        <v>3.666666667</v>
      </c>
      <c r="U41" s="163">
        <f t="shared" si="75"/>
        <v>2</v>
      </c>
      <c r="V41" s="163">
        <f t="shared" si="75"/>
        <v>2</v>
      </c>
      <c r="W41" s="163">
        <f t="shared" si="75"/>
        <v>1.333333333</v>
      </c>
      <c r="X41" s="163">
        <f t="shared" si="75"/>
        <v>1.666666667</v>
      </c>
      <c r="Y41" s="163">
        <f t="shared" si="75"/>
        <v>3.333333333</v>
      </c>
      <c r="Z41" s="163">
        <f t="shared" si="75"/>
        <v>2</v>
      </c>
      <c r="AA41" s="163">
        <f t="shared" si="75"/>
        <v>1.666666667</v>
      </c>
      <c r="AB41" s="163">
        <f t="shared" si="75"/>
        <v>2</v>
      </c>
      <c r="AC41" s="163">
        <f t="shared" ref="AC41:AD41" si="76">R41</f>
        <v>5</v>
      </c>
      <c r="AD41" s="163">
        <f t="shared" si="76"/>
        <v>10</v>
      </c>
      <c r="AE41" s="164">
        <f t="shared" ref="AE41:AO41" si="77">IF(T41 = 0, 0, T41/T$19)</f>
        <v>0.6111111111</v>
      </c>
      <c r="AF41" s="164">
        <f t="shared" si="77"/>
        <v>0.6666666667</v>
      </c>
      <c r="AG41" s="164">
        <f t="shared" si="77"/>
        <v>0.6666666667</v>
      </c>
      <c r="AH41" s="164">
        <f t="shared" si="77"/>
        <v>0.4444444444</v>
      </c>
      <c r="AI41" s="164">
        <f t="shared" si="77"/>
        <v>0.5555555556</v>
      </c>
      <c r="AJ41" s="164">
        <f t="shared" si="77"/>
        <v>0.5555555556</v>
      </c>
      <c r="AK41" s="164">
        <f t="shared" si="77"/>
        <v>0.6666666667</v>
      </c>
      <c r="AL41" s="164">
        <f t="shared" si="77"/>
        <v>0.5555555556</v>
      </c>
      <c r="AM41" s="164">
        <f t="shared" si="77"/>
        <v>0.6666666667</v>
      </c>
      <c r="AN41" s="164">
        <f t="shared" si="77"/>
        <v>1</v>
      </c>
      <c r="AO41" s="164">
        <f t="shared" si="77"/>
        <v>1</v>
      </c>
      <c r="AP41" s="165">
        <f>IF(OR(CSE4098B_Spring2026_Grade!$I26="W (Withdrawn)", CSE4098B_Spring2026_Grade!$I26="I (Incomplete)"), 0, IF(AE41&gt;=55%, 1, 0))</f>
        <v>1</v>
      </c>
      <c r="AQ41" s="165">
        <f>IF(OR(CSE4098B_Spring2026_Grade!$I26="W (Withdrawn)", CSE4098B_Spring2026_Grade!$I26="I (Incomplete)"), 0, IF(AF41&gt;=55%, 1, 0))</f>
        <v>1</v>
      </c>
      <c r="AR41" s="165">
        <f>IF(OR(CSE4098B_Spring2026_Grade!$I26="W (Withdrawn)", CSE4098B_Spring2026_Grade!$I26="I (Incomplete)"), 0, IF(AG41&gt;=55%, 1, 0))</f>
        <v>1</v>
      </c>
      <c r="AS41" s="165">
        <f>IF(OR(CSE4098B_Spring2026_Grade!$I26="W (Withdrawn)", CSE4098B_Spring2026_Grade!$I26="I (Incomplete)"), 0, IF(AH41&gt;=55%, 1, 0))</f>
        <v>0</v>
      </c>
      <c r="AT41" s="165">
        <f>IF(OR(CSE4098B_Spring2026_Grade!$I26="W (Withdrawn)", CSE4098B_Spring2026_Grade!$I26="I (Incomplete)"), 0, IF(AI41&gt;=55%, 1, 0))</f>
        <v>1</v>
      </c>
      <c r="AU41" s="165">
        <f>IF(OR(CSE4098B_Spring2026_Grade!$I26="W (Withdrawn)", CSE4098B_Spring2026_Grade!$I26="I (Incomplete)"), 0, IF(AJ41&gt;=55%, 1, 0))</f>
        <v>1</v>
      </c>
      <c r="AV41" s="165">
        <f>IF(OR(CSE4098B_Spring2026_Grade!$I26="W (Withdrawn)", CSE4098B_Spring2026_Grade!$I26="I (Incomplete)"), 0, IF(AK41&gt;=55%, 1, 0))</f>
        <v>1</v>
      </c>
      <c r="AW41" s="165">
        <f>IF(OR(CSE4098B_Spring2026_Grade!$I26="W (Withdrawn)", CSE4098B_Spring2026_Grade!$I26="I (Incomplete)"), 0, IF(AL41&gt;=55%, 1, 0))</f>
        <v>1</v>
      </c>
      <c r="AX41" s="165">
        <f>IF(OR(CSE4098B_Spring2026_Grade!$I26="W (Withdrawn)", CSE4098B_Spring2026_Grade!$I26="I (Incomplete)"), 0, IF(AM41&gt;=55%, 1, 0))</f>
        <v>1</v>
      </c>
      <c r="AY41" s="165">
        <f>IF(OR(CSE4098B_Spring2026_Grade!$I26="W (Withdrawn)", CSE4098B_Spring2026_Grade!$I26="I (Incomplete)"), 0, IF(AN41&gt;=55%, 1, 0))</f>
        <v>1</v>
      </c>
      <c r="AZ41" s="165">
        <f>IF(OR(CSE4098B_Spring2026_Grade!$I26="W (Withdrawn)", CSE4098B_Spring2026_Grade!$I26="I (Incomplete)"), 0, IF(AO41&gt;=55%, 1, 0))</f>
        <v>1</v>
      </c>
      <c r="BA41" s="76"/>
      <c r="BB41" s="166">
        <f t="shared" si="13"/>
        <v>0</v>
      </c>
      <c r="BC41" s="166">
        <f t="shared" si="14"/>
        <v>0.6666666667</v>
      </c>
      <c r="BD41" s="166">
        <f t="array" ref="BD41">IF($BC$14=0,0,MMULT($AE41:$AO41, BC$3:BC$13)/$BC$14)</f>
        <v>0.5555555556</v>
      </c>
      <c r="BE41" s="166">
        <f t="array" ref="BE41">IF($BD$14=0,0,MMULT($AE41:$AO41, BD$3:BD$13)/$BD$14)</f>
        <v>0.5555555556</v>
      </c>
      <c r="BF41" s="166">
        <f t="shared" si="15"/>
        <v>0.4444444444</v>
      </c>
      <c r="BG41" s="166">
        <f t="array" ref="BG41">IF($BF$14=0,0,MMULT($AE41:$AO41, BF$3:BF$13)/$BF$14)</f>
        <v>0.6666666667</v>
      </c>
      <c r="BH41" s="166">
        <f t="array" ref="BH41">IF($BG$14=0,0,MMULT($AE41:$AO41, BG$3:BG$13)/$BG$14)</f>
        <v>0.5555555556</v>
      </c>
      <c r="BI41" s="166">
        <f t="array" ref="BI41">IF($BH$14=0,0,MMULT($AE41:$AO41, BH$3:BH$13)/$BH$14)</f>
        <v>0.6666666667</v>
      </c>
      <c r="BJ41" s="166">
        <f t="array" ref="BJ41">IF($BI$14=0,0,MMULT($AE41:$AO41, BI$3:BI$13)/$BI$14)</f>
        <v>1</v>
      </c>
      <c r="BK41" s="166">
        <f t="array" ref="BK41">IF($BJ$14=0,0,MMULT($AE41:$AO41, BJ$3:BJ$13)/$BJ$14)</f>
        <v>1</v>
      </c>
      <c r="BL41" s="166">
        <f t="shared" si="16"/>
        <v>0.6666666667</v>
      </c>
      <c r="BM41" s="166">
        <f t="shared" si="17"/>
        <v>0.6111111111</v>
      </c>
      <c r="BN41" s="165">
        <f>IF(OR(CSE4098B_Spring2026_Grade!$I26="W (Withdrawn)", CSE4098B_Spring2026_Grade!$I26="I (Incomplete)"), 0, IF(BB41&gt;=55%, 1, 0))</f>
        <v>0</v>
      </c>
      <c r="BO41" s="165">
        <f>IF(OR(CSE4098B_Spring2026_Grade!$I26="W (Withdrawn)", CSE4098B_Spring2026_Grade!$I26="I (Incomplete)"), 0, IF(BC41&gt;=55%, 1, 0))</f>
        <v>1</v>
      </c>
      <c r="BP41" s="165">
        <f>IF(OR(CSE4098B_Spring2026_Grade!$I26="W (Withdrawn)", CSE4098B_Spring2026_Grade!$I26="I (Incomplete)"), 0, IF(BD41&gt;=55%, 1, 0))</f>
        <v>1</v>
      </c>
      <c r="BQ41" s="165">
        <f>IF(OR(CSE4098B_Spring2026_Grade!$I26="W (Withdrawn)", CSE4098B_Spring2026_Grade!$I26="I (Incomplete)"), 0, IF(BE41&gt;=55%, 1, 0))</f>
        <v>1</v>
      </c>
      <c r="BR41" s="165">
        <f>IF(OR(CSE4098B_Spring2026_Grade!$I26="W (Withdrawn)", CSE4098B_Spring2026_Grade!$I26="I (Incomplete)"), 0, IF(BF41&gt;=55%, 1, 0))</f>
        <v>0</v>
      </c>
      <c r="BS41" s="165">
        <f>IF(OR(CSE4098B_Spring2026_Grade!$I26="W (Withdrawn)", CSE4098B_Spring2026_Grade!$I26="I (Incomplete)"), 0, IF(BG41&gt;=55%, 1, 0))</f>
        <v>1</v>
      </c>
      <c r="BT41" s="165">
        <f>IF(OR(CSE4098B_Spring2026_Grade!$I26="W (Withdrawn)", CSE4098B_Spring2026_Grade!$I26="I (Incomplete)"), 0, IF(BH41&gt;=55%, 1, 0))</f>
        <v>1</v>
      </c>
      <c r="BU41" s="165">
        <f>IF(OR(CSE4098B_Spring2026_Grade!$I26="W (Withdrawn)", CSE4098B_Spring2026_Grade!$I26="I (Incomplete)"), 0, IF(BI41&gt;=55%, 1, 0))</f>
        <v>1</v>
      </c>
      <c r="BV41" s="165">
        <f>IF(OR(CSE4098B_Spring2026_Grade!$I26="W (Withdrawn)", CSE4098B_Spring2026_Grade!$I26="I (Incomplete)"), 0, IF(BJ41&gt;=55%, 1, 0))</f>
        <v>1</v>
      </c>
      <c r="BW41" s="165">
        <f>IF(OR(CSE4098B_Spring2026_Grade!$I26="W (Withdrawn)", CSE4098B_Spring2026_Grade!$I26="I (Incomplete)"), 0, IF(BK41&gt;=55%, 1, 0))</f>
        <v>1</v>
      </c>
      <c r="BX41" s="165">
        <f>IF(OR(CSE4098B_Spring2026_Grade!$I26="W (Withdrawn)", CSE4098B_Spring2026_Grade!$I26="I (Incomplete)"), 0, IF(BL41&gt;=55%, 1, 0))</f>
        <v>1</v>
      </c>
      <c r="BY41" s="165">
        <f>IF(OR(CSE4098B_Spring2026_Grade!$I26="W (Withdrawn)", CSE4098B_Spring2026_Grade!$I26="I (Incomplete)"), 0, IF(BM41&gt;=55%, 1, 0))</f>
        <v>1</v>
      </c>
    </row>
    <row r="42">
      <c r="A42" s="153">
        <v>23.0</v>
      </c>
      <c r="B42" s="154">
        <f>CSE4098B_Spring2026_Grade!B27</f>
        <v>231014016</v>
      </c>
      <c r="C42" s="96" t="str">
        <f>CSE4098B_Spring2026_Grade!C27</f>
        <v>Md. Akib Al Mahmud Dihan</v>
      </c>
      <c r="D42" s="155">
        <f>'CO Report Evaluation'!AI25</f>
        <v>3.666666667</v>
      </c>
      <c r="E42" s="155">
        <f>'CO Report Evaluation'!AJ25</f>
        <v>2</v>
      </c>
      <c r="F42" s="155">
        <f>'CO Report Evaluation'!AK25</f>
        <v>2</v>
      </c>
      <c r="G42" s="156">
        <f>'CO Report Evaluation'!AL25</f>
        <v>1.333333333</v>
      </c>
      <c r="H42" s="156">
        <f>'CO Report Evaluation'!AM25</f>
        <v>1.666666667</v>
      </c>
      <c r="I42" s="157">
        <f>'CO Report Evaluation'!AN25</f>
        <v>3.333333333</v>
      </c>
      <c r="J42" s="157">
        <f>'CO Report Evaluation'!AO25</f>
        <v>2</v>
      </c>
      <c r="K42" s="157">
        <f>'CO Report Evaluation'!AP25</f>
        <v>1.666666667</v>
      </c>
      <c r="L42" s="158">
        <f>'CO Report Evaluation'!AQ25</f>
        <v>2</v>
      </c>
      <c r="M42" s="159"/>
      <c r="N42" s="160"/>
      <c r="O42" s="160"/>
      <c r="P42" s="160"/>
      <c r="Q42" s="160"/>
      <c r="R42" s="156">
        <f>CSE4098B_Spring2026_Grade!F27</f>
        <v>5</v>
      </c>
      <c r="S42" s="161">
        <f>((CSE4098B_Spring2026_Grade!E27)*10)/45</f>
        <v>10</v>
      </c>
      <c r="T42" s="162">
        <f t="shared" ref="T42:AB42" si="78">D42</f>
        <v>3.666666667</v>
      </c>
      <c r="U42" s="163">
        <f t="shared" si="78"/>
        <v>2</v>
      </c>
      <c r="V42" s="163">
        <f t="shared" si="78"/>
        <v>2</v>
      </c>
      <c r="W42" s="163">
        <f t="shared" si="78"/>
        <v>1.333333333</v>
      </c>
      <c r="X42" s="163">
        <f t="shared" si="78"/>
        <v>1.666666667</v>
      </c>
      <c r="Y42" s="163">
        <f t="shared" si="78"/>
        <v>3.333333333</v>
      </c>
      <c r="Z42" s="163">
        <f t="shared" si="78"/>
        <v>2</v>
      </c>
      <c r="AA42" s="163">
        <f t="shared" si="78"/>
        <v>1.666666667</v>
      </c>
      <c r="AB42" s="163">
        <f t="shared" si="78"/>
        <v>2</v>
      </c>
      <c r="AC42" s="163">
        <f t="shared" ref="AC42:AD42" si="79">R42</f>
        <v>5</v>
      </c>
      <c r="AD42" s="163">
        <f t="shared" si="79"/>
        <v>10</v>
      </c>
      <c r="AE42" s="164">
        <f t="shared" ref="AE42:AO42" si="80">IF(T42 = 0, 0, T42/T$19)</f>
        <v>0.6111111111</v>
      </c>
      <c r="AF42" s="164">
        <f t="shared" si="80"/>
        <v>0.6666666667</v>
      </c>
      <c r="AG42" s="164">
        <f t="shared" si="80"/>
        <v>0.6666666667</v>
      </c>
      <c r="AH42" s="164">
        <f t="shared" si="80"/>
        <v>0.4444444444</v>
      </c>
      <c r="AI42" s="164">
        <f t="shared" si="80"/>
        <v>0.5555555556</v>
      </c>
      <c r="AJ42" s="164">
        <f t="shared" si="80"/>
        <v>0.5555555556</v>
      </c>
      <c r="AK42" s="164">
        <f t="shared" si="80"/>
        <v>0.6666666667</v>
      </c>
      <c r="AL42" s="164">
        <f t="shared" si="80"/>
        <v>0.5555555556</v>
      </c>
      <c r="AM42" s="164">
        <f t="shared" si="80"/>
        <v>0.6666666667</v>
      </c>
      <c r="AN42" s="164">
        <f t="shared" si="80"/>
        <v>1</v>
      </c>
      <c r="AO42" s="164">
        <f t="shared" si="80"/>
        <v>1</v>
      </c>
      <c r="AP42" s="165">
        <f>IF(OR(CSE4098B_Spring2026_Grade!$I27="W (Withdrawn)", CSE4098B_Spring2026_Grade!$I27="I (Incomplete)"), 0, IF(AE42&gt;=55%, 1, 0))</f>
        <v>1</v>
      </c>
      <c r="AQ42" s="165">
        <f>IF(OR(CSE4098B_Spring2026_Grade!$I27="W (Withdrawn)", CSE4098B_Spring2026_Grade!$I27="I (Incomplete)"), 0, IF(AF42&gt;=55%, 1, 0))</f>
        <v>1</v>
      </c>
      <c r="AR42" s="165">
        <f>IF(OR(CSE4098B_Spring2026_Grade!$I27="W (Withdrawn)", CSE4098B_Spring2026_Grade!$I27="I (Incomplete)"), 0, IF(AG42&gt;=55%, 1, 0))</f>
        <v>1</v>
      </c>
      <c r="AS42" s="165">
        <f>IF(OR(CSE4098B_Spring2026_Grade!$I27="W (Withdrawn)", CSE4098B_Spring2026_Grade!$I27="I (Incomplete)"), 0, IF(AH42&gt;=55%, 1, 0))</f>
        <v>0</v>
      </c>
      <c r="AT42" s="165">
        <f>IF(OR(CSE4098B_Spring2026_Grade!$I27="W (Withdrawn)", CSE4098B_Spring2026_Grade!$I27="I (Incomplete)"), 0, IF(AI42&gt;=55%, 1, 0))</f>
        <v>1</v>
      </c>
      <c r="AU42" s="165">
        <f>IF(OR(CSE4098B_Spring2026_Grade!$I27="W (Withdrawn)", CSE4098B_Spring2026_Grade!$I27="I (Incomplete)"), 0, IF(AJ42&gt;=55%, 1, 0))</f>
        <v>1</v>
      </c>
      <c r="AV42" s="165">
        <f>IF(OR(CSE4098B_Spring2026_Grade!$I27="W (Withdrawn)", CSE4098B_Spring2026_Grade!$I27="I (Incomplete)"), 0, IF(AK42&gt;=55%, 1, 0))</f>
        <v>1</v>
      </c>
      <c r="AW42" s="165">
        <f>IF(OR(CSE4098B_Spring2026_Grade!$I27="W (Withdrawn)", CSE4098B_Spring2026_Grade!$I27="I (Incomplete)"), 0, IF(AL42&gt;=55%, 1, 0))</f>
        <v>1</v>
      </c>
      <c r="AX42" s="165">
        <f>IF(OR(CSE4098B_Spring2026_Grade!$I27="W (Withdrawn)", CSE4098B_Spring2026_Grade!$I27="I (Incomplete)"), 0, IF(AM42&gt;=55%, 1, 0))</f>
        <v>1</v>
      </c>
      <c r="AY42" s="165">
        <f>IF(OR(CSE4098B_Spring2026_Grade!$I27="W (Withdrawn)", CSE4098B_Spring2026_Grade!$I27="I (Incomplete)"), 0, IF(AN42&gt;=55%, 1, 0))</f>
        <v>1</v>
      </c>
      <c r="AZ42" s="165">
        <f>IF(OR(CSE4098B_Spring2026_Grade!$I27="W (Withdrawn)", CSE4098B_Spring2026_Grade!$I27="I (Incomplete)"), 0, IF(AO42&gt;=55%, 1, 0))</f>
        <v>1</v>
      </c>
      <c r="BA42" s="76"/>
      <c r="BB42" s="166">
        <f t="shared" si="13"/>
        <v>0</v>
      </c>
      <c r="BC42" s="166">
        <f t="shared" si="14"/>
        <v>0.6666666667</v>
      </c>
      <c r="BD42" s="166">
        <f t="array" ref="BD42">IF($BC$14=0,0,MMULT($AE42:$AO42, BC$3:BC$13)/$BC$14)</f>
        <v>0.5555555556</v>
      </c>
      <c r="BE42" s="166">
        <f t="array" ref="BE42">IF($BD$14=0,0,MMULT($AE42:$AO42, BD$3:BD$13)/$BD$14)</f>
        <v>0.5555555556</v>
      </c>
      <c r="BF42" s="166">
        <f t="shared" si="15"/>
        <v>0.4444444444</v>
      </c>
      <c r="BG42" s="166">
        <f t="array" ref="BG42">IF($BF$14=0,0,MMULT($AE42:$AO42, BF$3:BF$13)/$BF$14)</f>
        <v>0.6666666667</v>
      </c>
      <c r="BH42" s="166">
        <f t="array" ref="BH42">IF($BG$14=0,0,MMULT($AE42:$AO42, BG$3:BG$13)/$BG$14)</f>
        <v>0.5555555556</v>
      </c>
      <c r="BI42" s="166">
        <f t="array" ref="BI42">IF($BH$14=0,0,MMULT($AE42:$AO42, BH$3:BH$13)/$BH$14)</f>
        <v>0.6666666667</v>
      </c>
      <c r="BJ42" s="166">
        <f t="array" ref="BJ42">IF($BI$14=0,0,MMULT($AE42:$AO42, BI$3:BI$13)/$BI$14)</f>
        <v>1</v>
      </c>
      <c r="BK42" s="166">
        <f t="array" ref="BK42">IF($BJ$14=0,0,MMULT($AE42:$AO42, BJ$3:BJ$13)/$BJ$14)</f>
        <v>1</v>
      </c>
      <c r="BL42" s="166">
        <f t="shared" si="16"/>
        <v>0.6666666667</v>
      </c>
      <c r="BM42" s="166">
        <f t="shared" si="17"/>
        <v>0.6111111111</v>
      </c>
      <c r="BN42" s="165">
        <f>IF(OR(CSE4098B_Spring2026_Grade!$I27="W (Withdrawn)", CSE4098B_Spring2026_Grade!$I27="I (Incomplete)"), 0, IF(BB42&gt;=55%, 1, 0))</f>
        <v>0</v>
      </c>
      <c r="BO42" s="165">
        <f>IF(OR(CSE4098B_Spring2026_Grade!$I27="W (Withdrawn)", CSE4098B_Spring2026_Grade!$I27="I (Incomplete)"), 0, IF(BC42&gt;=55%, 1, 0))</f>
        <v>1</v>
      </c>
      <c r="BP42" s="165">
        <f>IF(OR(CSE4098B_Spring2026_Grade!$I27="W (Withdrawn)", CSE4098B_Spring2026_Grade!$I27="I (Incomplete)"), 0, IF(BD42&gt;=55%, 1, 0))</f>
        <v>1</v>
      </c>
      <c r="BQ42" s="165">
        <f>IF(OR(CSE4098B_Spring2026_Grade!$I27="W (Withdrawn)", CSE4098B_Spring2026_Grade!$I27="I (Incomplete)"), 0, IF(BE42&gt;=55%, 1, 0))</f>
        <v>1</v>
      </c>
      <c r="BR42" s="165">
        <f>IF(OR(CSE4098B_Spring2026_Grade!$I27="W (Withdrawn)", CSE4098B_Spring2026_Grade!$I27="I (Incomplete)"), 0, IF(BF42&gt;=55%, 1, 0))</f>
        <v>0</v>
      </c>
      <c r="BS42" s="165">
        <f>IF(OR(CSE4098B_Spring2026_Grade!$I27="W (Withdrawn)", CSE4098B_Spring2026_Grade!$I27="I (Incomplete)"), 0, IF(BG42&gt;=55%, 1, 0))</f>
        <v>1</v>
      </c>
      <c r="BT42" s="165">
        <f>IF(OR(CSE4098B_Spring2026_Grade!$I27="W (Withdrawn)", CSE4098B_Spring2026_Grade!$I27="I (Incomplete)"), 0, IF(BH42&gt;=55%, 1, 0))</f>
        <v>1</v>
      </c>
      <c r="BU42" s="165">
        <f>IF(OR(CSE4098B_Spring2026_Grade!$I27="W (Withdrawn)", CSE4098B_Spring2026_Grade!$I27="I (Incomplete)"), 0, IF(BI42&gt;=55%, 1, 0))</f>
        <v>1</v>
      </c>
      <c r="BV42" s="165">
        <f>IF(OR(CSE4098B_Spring2026_Grade!$I27="W (Withdrawn)", CSE4098B_Spring2026_Grade!$I27="I (Incomplete)"), 0, IF(BJ42&gt;=55%, 1, 0))</f>
        <v>1</v>
      </c>
      <c r="BW42" s="165">
        <f>IF(OR(CSE4098B_Spring2026_Grade!$I27="W (Withdrawn)", CSE4098B_Spring2026_Grade!$I27="I (Incomplete)"), 0, IF(BK42&gt;=55%, 1, 0))</f>
        <v>1</v>
      </c>
      <c r="BX42" s="165">
        <f>IF(OR(CSE4098B_Spring2026_Grade!$I27="W (Withdrawn)", CSE4098B_Spring2026_Grade!$I27="I (Incomplete)"), 0, IF(BL42&gt;=55%, 1, 0))</f>
        <v>1</v>
      </c>
      <c r="BY42" s="165">
        <f>IF(OR(CSE4098B_Spring2026_Grade!$I27="W (Withdrawn)", CSE4098B_Spring2026_Grade!$I27="I (Incomplete)"), 0, IF(BM42&gt;=55%, 1, 0))</f>
        <v>1</v>
      </c>
    </row>
    <row r="43">
      <c r="A43" s="153">
        <v>24.0</v>
      </c>
      <c r="B43" s="154">
        <f>CSE4098B_Spring2026_Grade!B28</f>
        <v>231014125</v>
      </c>
      <c r="C43" s="96" t="str">
        <f>CSE4098B_Spring2026_Grade!C28</f>
        <v>Jumana Muntaha</v>
      </c>
      <c r="D43" s="155">
        <f>'CO Report Evaluation'!AI26</f>
        <v>3.666666667</v>
      </c>
      <c r="E43" s="155">
        <f>'CO Report Evaluation'!AJ26</f>
        <v>2</v>
      </c>
      <c r="F43" s="155">
        <f>'CO Report Evaluation'!AK26</f>
        <v>2</v>
      </c>
      <c r="G43" s="156">
        <f>'CO Report Evaluation'!AL26</f>
        <v>1.333333333</v>
      </c>
      <c r="H43" s="156">
        <f>'CO Report Evaluation'!AM26</f>
        <v>1.666666667</v>
      </c>
      <c r="I43" s="157">
        <f>'CO Report Evaluation'!AN26</f>
        <v>3.333333333</v>
      </c>
      <c r="J43" s="157">
        <f>'CO Report Evaluation'!AO26</f>
        <v>2</v>
      </c>
      <c r="K43" s="157">
        <f>'CO Report Evaluation'!AP26</f>
        <v>1.666666667</v>
      </c>
      <c r="L43" s="158">
        <f>'CO Report Evaluation'!AQ26</f>
        <v>2</v>
      </c>
      <c r="M43" s="159"/>
      <c r="N43" s="160"/>
      <c r="O43" s="160"/>
      <c r="P43" s="160"/>
      <c r="Q43" s="160"/>
      <c r="R43" s="156">
        <f>CSE4098B_Spring2026_Grade!F28</f>
        <v>5</v>
      </c>
      <c r="S43" s="161">
        <f>((CSE4098B_Spring2026_Grade!E28)*10)/45</f>
        <v>10</v>
      </c>
      <c r="T43" s="162">
        <f t="shared" ref="T43:AB43" si="81">D43</f>
        <v>3.666666667</v>
      </c>
      <c r="U43" s="163">
        <f t="shared" si="81"/>
        <v>2</v>
      </c>
      <c r="V43" s="163">
        <f t="shared" si="81"/>
        <v>2</v>
      </c>
      <c r="W43" s="163">
        <f t="shared" si="81"/>
        <v>1.333333333</v>
      </c>
      <c r="X43" s="163">
        <f t="shared" si="81"/>
        <v>1.666666667</v>
      </c>
      <c r="Y43" s="163">
        <f t="shared" si="81"/>
        <v>3.333333333</v>
      </c>
      <c r="Z43" s="163">
        <f t="shared" si="81"/>
        <v>2</v>
      </c>
      <c r="AA43" s="163">
        <f t="shared" si="81"/>
        <v>1.666666667</v>
      </c>
      <c r="AB43" s="163">
        <f t="shared" si="81"/>
        <v>2</v>
      </c>
      <c r="AC43" s="163">
        <f t="shared" ref="AC43:AD43" si="82">R43</f>
        <v>5</v>
      </c>
      <c r="AD43" s="163">
        <f t="shared" si="82"/>
        <v>10</v>
      </c>
      <c r="AE43" s="164">
        <f t="shared" ref="AE43:AO43" si="83">IF(T43 = 0, 0, T43/T$19)</f>
        <v>0.6111111111</v>
      </c>
      <c r="AF43" s="164">
        <f t="shared" si="83"/>
        <v>0.6666666667</v>
      </c>
      <c r="AG43" s="164">
        <f t="shared" si="83"/>
        <v>0.6666666667</v>
      </c>
      <c r="AH43" s="164">
        <f t="shared" si="83"/>
        <v>0.4444444444</v>
      </c>
      <c r="AI43" s="164">
        <f t="shared" si="83"/>
        <v>0.5555555556</v>
      </c>
      <c r="AJ43" s="164">
        <f t="shared" si="83"/>
        <v>0.5555555556</v>
      </c>
      <c r="AK43" s="164">
        <f t="shared" si="83"/>
        <v>0.6666666667</v>
      </c>
      <c r="AL43" s="164">
        <f t="shared" si="83"/>
        <v>0.5555555556</v>
      </c>
      <c r="AM43" s="164">
        <f t="shared" si="83"/>
        <v>0.6666666667</v>
      </c>
      <c r="AN43" s="164">
        <f t="shared" si="83"/>
        <v>1</v>
      </c>
      <c r="AO43" s="164">
        <f t="shared" si="83"/>
        <v>1</v>
      </c>
      <c r="AP43" s="165">
        <f>IF(OR(CSE4098B_Spring2026_Grade!$I28="W (Withdrawn)", CSE4098B_Spring2026_Grade!$I28="I (Incomplete)"), 0, IF(AE43&gt;=55%, 1, 0))</f>
        <v>1</v>
      </c>
      <c r="AQ43" s="165">
        <f>IF(OR(CSE4098B_Spring2026_Grade!$I28="W (Withdrawn)", CSE4098B_Spring2026_Grade!$I28="I (Incomplete)"), 0, IF(AF43&gt;=55%, 1, 0))</f>
        <v>1</v>
      </c>
      <c r="AR43" s="165">
        <f>IF(OR(CSE4098B_Spring2026_Grade!$I28="W (Withdrawn)", CSE4098B_Spring2026_Grade!$I28="I (Incomplete)"), 0, IF(AG43&gt;=55%, 1, 0))</f>
        <v>1</v>
      </c>
      <c r="AS43" s="165">
        <f>IF(OR(CSE4098B_Spring2026_Grade!$I28="W (Withdrawn)", CSE4098B_Spring2026_Grade!$I28="I (Incomplete)"), 0, IF(AH43&gt;=55%, 1, 0))</f>
        <v>0</v>
      </c>
      <c r="AT43" s="165">
        <f>IF(OR(CSE4098B_Spring2026_Grade!$I28="W (Withdrawn)", CSE4098B_Spring2026_Grade!$I28="I (Incomplete)"), 0, IF(AI43&gt;=55%, 1, 0))</f>
        <v>1</v>
      </c>
      <c r="AU43" s="165">
        <f>IF(OR(CSE4098B_Spring2026_Grade!$I28="W (Withdrawn)", CSE4098B_Spring2026_Grade!$I28="I (Incomplete)"), 0, IF(AJ43&gt;=55%, 1, 0))</f>
        <v>1</v>
      </c>
      <c r="AV43" s="165">
        <f>IF(OR(CSE4098B_Spring2026_Grade!$I28="W (Withdrawn)", CSE4098B_Spring2026_Grade!$I28="I (Incomplete)"), 0, IF(AK43&gt;=55%, 1, 0))</f>
        <v>1</v>
      </c>
      <c r="AW43" s="165">
        <f>IF(OR(CSE4098B_Spring2026_Grade!$I28="W (Withdrawn)", CSE4098B_Spring2026_Grade!$I28="I (Incomplete)"), 0, IF(AL43&gt;=55%, 1, 0))</f>
        <v>1</v>
      </c>
      <c r="AX43" s="165">
        <f>IF(OR(CSE4098B_Spring2026_Grade!$I28="W (Withdrawn)", CSE4098B_Spring2026_Grade!$I28="I (Incomplete)"), 0, IF(AM43&gt;=55%, 1, 0))</f>
        <v>1</v>
      </c>
      <c r="AY43" s="165">
        <f>IF(OR(CSE4098B_Spring2026_Grade!$I28="W (Withdrawn)", CSE4098B_Spring2026_Grade!$I28="I (Incomplete)"), 0, IF(AN43&gt;=55%, 1, 0))</f>
        <v>1</v>
      </c>
      <c r="AZ43" s="165">
        <f>IF(OR(CSE4098B_Spring2026_Grade!$I28="W (Withdrawn)", CSE4098B_Spring2026_Grade!$I28="I (Incomplete)"), 0, IF(AO43&gt;=55%, 1, 0))</f>
        <v>1</v>
      </c>
      <c r="BA43" s="76"/>
      <c r="BB43" s="166">
        <f t="shared" si="13"/>
        <v>0</v>
      </c>
      <c r="BC43" s="166">
        <f t="shared" si="14"/>
        <v>0.6666666667</v>
      </c>
      <c r="BD43" s="166">
        <f t="array" ref="BD43">IF($BC$14=0,0,MMULT($AE43:$AO43, BC$3:BC$13)/$BC$14)</f>
        <v>0.5555555556</v>
      </c>
      <c r="BE43" s="166">
        <f t="array" ref="BE43">IF($BD$14=0,0,MMULT($AE43:$AO43, BD$3:BD$13)/$BD$14)</f>
        <v>0.5555555556</v>
      </c>
      <c r="BF43" s="166">
        <f t="shared" si="15"/>
        <v>0.4444444444</v>
      </c>
      <c r="BG43" s="166">
        <f t="array" ref="BG43">IF($BF$14=0,0,MMULT($AE43:$AO43, BF$3:BF$13)/$BF$14)</f>
        <v>0.6666666667</v>
      </c>
      <c r="BH43" s="166">
        <f t="array" ref="BH43">IF($BG$14=0,0,MMULT($AE43:$AO43, BG$3:BG$13)/$BG$14)</f>
        <v>0.5555555556</v>
      </c>
      <c r="BI43" s="166">
        <f t="array" ref="BI43">IF($BH$14=0,0,MMULT($AE43:$AO43, BH$3:BH$13)/$BH$14)</f>
        <v>0.6666666667</v>
      </c>
      <c r="BJ43" s="166">
        <f t="array" ref="BJ43">IF($BI$14=0,0,MMULT($AE43:$AO43, BI$3:BI$13)/$BI$14)</f>
        <v>1</v>
      </c>
      <c r="BK43" s="166">
        <f t="array" ref="BK43">IF($BJ$14=0,0,MMULT($AE43:$AO43, BJ$3:BJ$13)/$BJ$14)</f>
        <v>1</v>
      </c>
      <c r="BL43" s="166">
        <f t="shared" si="16"/>
        <v>0.6666666667</v>
      </c>
      <c r="BM43" s="166">
        <f t="shared" si="17"/>
        <v>0.6111111111</v>
      </c>
      <c r="BN43" s="165">
        <f>IF(OR(CSE4098B_Spring2026_Grade!$I28="W (Withdrawn)", CSE4098B_Spring2026_Grade!$I28="I (Incomplete)"), 0, IF(BB43&gt;=55%, 1, 0))</f>
        <v>0</v>
      </c>
      <c r="BO43" s="165">
        <f>IF(OR(CSE4098B_Spring2026_Grade!$I28="W (Withdrawn)", CSE4098B_Spring2026_Grade!$I28="I (Incomplete)"), 0, IF(BC43&gt;=55%, 1, 0))</f>
        <v>1</v>
      </c>
      <c r="BP43" s="165">
        <f>IF(OR(CSE4098B_Spring2026_Grade!$I28="W (Withdrawn)", CSE4098B_Spring2026_Grade!$I28="I (Incomplete)"), 0, IF(BD43&gt;=55%, 1, 0))</f>
        <v>1</v>
      </c>
      <c r="BQ43" s="165">
        <f>IF(OR(CSE4098B_Spring2026_Grade!$I28="W (Withdrawn)", CSE4098B_Spring2026_Grade!$I28="I (Incomplete)"), 0, IF(BE43&gt;=55%, 1, 0))</f>
        <v>1</v>
      </c>
      <c r="BR43" s="165">
        <f>IF(OR(CSE4098B_Spring2026_Grade!$I28="W (Withdrawn)", CSE4098B_Spring2026_Grade!$I28="I (Incomplete)"), 0, IF(BF43&gt;=55%, 1, 0))</f>
        <v>0</v>
      </c>
      <c r="BS43" s="165">
        <f>IF(OR(CSE4098B_Spring2026_Grade!$I28="W (Withdrawn)", CSE4098B_Spring2026_Grade!$I28="I (Incomplete)"), 0, IF(BG43&gt;=55%, 1, 0))</f>
        <v>1</v>
      </c>
      <c r="BT43" s="165">
        <f>IF(OR(CSE4098B_Spring2026_Grade!$I28="W (Withdrawn)", CSE4098B_Spring2026_Grade!$I28="I (Incomplete)"), 0, IF(BH43&gt;=55%, 1, 0))</f>
        <v>1</v>
      </c>
      <c r="BU43" s="165">
        <f>IF(OR(CSE4098B_Spring2026_Grade!$I28="W (Withdrawn)", CSE4098B_Spring2026_Grade!$I28="I (Incomplete)"), 0, IF(BI43&gt;=55%, 1, 0))</f>
        <v>1</v>
      </c>
      <c r="BV43" s="165">
        <f>IF(OR(CSE4098B_Spring2026_Grade!$I28="W (Withdrawn)", CSE4098B_Spring2026_Grade!$I28="I (Incomplete)"), 0, IF(BJ43&gt;=55%, 1, 0))</f>
        <v>1</v>
      </c>
      <c r="BW43" s="165">
        <f>IF(OR(CSE4098B_Spring2026_Grade!$I28="W (Withdrawn)", CSE4098B_Spring2026_Grade!$I28="I (Incomplete)"), 0, IF(BK43&gt;=55%, 1, 0))</f>
        <v>1</v>
      </c>
      <c r="BX43" s="165">
        <f>IF(OR(CSE4098B_Spring2026_Grade!$I28="W (Withdrawn)", CSE4098B_Spring2026_Grade!$I28="I (Incomplete)"), 0, IF(BL43&gt;=55%, 1, 0))</f>
        <v>1</v>
      </c>
      <c r="BY43" s="165">
        <f>IF(OR(CSE4098B_Spring2026_Grade!$I28="W (Withdrawn)", CSE4098B_Spring2026_Grade!$I28="I (Incomplete)"), 0, IF(BM43&gt;=55%, 1, 0))</f>
        <v>1</v>
      </c>
    </row>
    <row r="44">
      <c r="A44" s="153">
        <v>25.0</v>
      </c>
      <c r="B44" s="154">
        <f>CSE4098B_Spring2026_Grade!B29</f>
        <v>231014142</v>
      </c>
      <c r="C44" s="96" t="str">
        <f>CSE4098B_Spring2026_Grade!C29</f>
        <v>Abida Binte Asif</v>
      </c>
      <c r="D44" s="155">
        <f>'CO Report Evaluation'!AI27</f>
        <v>3.666666667</v>
      </c>
      <c r="E44" s="155">
        <f>'CO Report Evaluation'!AJ27</f>
        <v>2</v>
      </c>
      <c r="F44" s="155">
        <f>'CO Report Evaluation'!AK27</f>
        <v>2</v>
      </c>
      <c r="G44" s="156">
        <f>'CO Report Evaluation'!AL27</f>
        <v>1.333333333</v>
      </c>
      <c r="H44" s="156">
        <f>'CO Report Evaluation'!AM27</f>
        <v>1.666666667</v>
      </c>
      <c r="I44" s="157">
        <f>'CO Report Evaluation'!AN27</f>
        <v>3.333333333</v>
      </c>
      <c r="J44" s="157">
        <f>'CO Report Evaluation'!AO27</f>
        <v>2</v>
      </c>
      <c r="K44" s="157">
        <f>'CO Report Evaluation'!AP27</f>
        <v>1.666666667</v>
      </c>
      <c r="L44" s="158">
        <f>'CO Report Evaluation'!AQ27</f>
        <v>2</v>
      </c>
      <c r="M44" s="159"/>
      <c r="N44" s="160"/>
      <c r="O44" s="160"/>
      <c r="P44" s="160"/>
      <c r="Q44" s="160"/>
      <c r="R44" s="156">
        <f>CSE4098B_Spring2026_Grade!F29</f>
        <v>5</v>
      </c>
      <c r="S44" s="161">
        <f>((CSE4098B_Spring2026_Grade!E29)*10)/45</f>
        <v>9.851111111</v>
      </c>
      <c r="T44" s="162">
        <f t="shared" ref="T44:AB44" si="84">D44</f>
        <v>3.666666667</v>
      </c>
      <c r="U44" s="163">
        <f t="shared" si="84"/>
        <v>2</v>
      </c>
      <c r="V44" s="163">
        <f t="shared" si="84"/>
        <v>2</v>
      </c>
      <c r="W44" s="163">
        <f t="shared" si="84"/>
        <v>1.333333333</v>
      </c>
      <c r="X44" s="163">
        <f t="shared" si="84"/>
        <v>1.666666667</v>
      </c>
      <c r="Y44" s="163">
        <f t="shared" si="84"/>
        <v>3.333333333</v>
      </c>
      <c r="Z44" s="163">
        <f t="shared" si="84"/>
        <v>2</v>
      </c>
      <c r="AA44" s="163">
        <f t="shared" si="84"/>
        <v>1.666666667</v>
      </c>
      <c r="AB44" s="163">
        <f t="shared" si="84"/>
        <v>2</v>
      </c>
      <c r="AC44" s="163">
        <f t="shared" ref="AC44:AD44" si="85">R44</f>
        <v>5</v>
      </c>
      <c r="AD44" s="163">
        <f t="shared" si="85"/>
        <v>9.851111111</v>
      </c>
      <c r="AE44" s="164">
        <f t="shared" ref="AE44:AO44" si="86">IF(T44 = 0, 0, T44/T$19)</f>
        <v>0.6111111111</v>
      </c>
      <c r="AF44" s="164">
        <f t="shared" si="86"/>
        <v>0.6666666667</v>
      </c>
      <c r="AG44" s="164">
        <f t="shared" si="86"/>
        <v>0.6666666667</v>
      </c>
      <c r="AH44" s="164">
        <f t="shared" si="86"/>
        <v>0.4444444444</v>
      </c>
      <c r="AI44" s="164">
        <f t="shared" si="86"/>
        <v>0.5555555556</v>
      </c>
      <c r="AJ44" s="164">
        <f t="shared" si="86"/>
        <v>0.5555555556</v>
      </c>
      <c r="AK44" s="164">
        <f t="shared" si="86"/>
        <v>0.6666666667</v>
      </c>
      <c r="AL44" s="164">
        <f t="shared" si="86"/>
        <v>0.5555555556</v>
      </c>
      <c r="AM44" s="164">
        <f t="shared" si="86"/>
        <v>0.6666666667</v>
      </c>
      <c r="AN44" s="164">
        <f t="shared" si="86"/>
        <v>1</v>
      </c>
      <c r="AO44" s="164">
        <f t="shared" si="86"/>
        <v>0.9851111111</v>
      </c>
      <c r="AP44" s="165">
        <f>IF(OR(CSE4098B_Spring2026_Grade!$I29="W (Withdrawn)", CSE4098B_Spring2026_Grade!$I29="I (Incomplete)"), 0, IF(AE44&gt;=55%, 1, 0))</f>
        <v>1</v>
      </c>
      <c r="AQ44" s="165">
        <f>IF(OR(CSE4098B_Spring2026_Grade!$I29="W (Withdrawn)", CSE4098B_Spring2026_Grade!$I29="I (Incomplete)"), 0, IF(AF44&gt;=55%, 1, 0))</f>
        <v>1</v>
      </c>
      <c r="AR44" s="165">
        <f>IF(OR(CSE4098B_Spring2026_Grade!$I29="W (Withdrawn)", CSE4098B_Spring2026_Grade!$I29="I (Incomplete)"), 0, IF(AG44&gt;=55%, 1, 0))</f>
        <v>1</v>
      </c>
      <c r="AS44" s="165">
        <f>IF(OR(CSE4098B_Spring2026_Grade!$I29="W (Withdrawn)", CSE4098B_Spring2026_Grade!$I29="I (Incomplete)"), 0, IF(AH44&gt;=55%, 1, 0))</f>
        <v>0</v>
      </c>
      <c r="AT44" s="165">
        <f>IF(OR(CSE4098B_Spring2026_Grade!$I29="W (Withdrawn)", CSE4098B_Spring2026_Grade!$I29="I (Incomplete)"), 0, IF(AI44&gt;=55%, 1, 0))</f>
        <v>1</v>
      </c>
      <c r="AU44" s="165">
        <f>IF(OR(CSE4098B_Spring2026_Grade!$I29="W (Withdrawn)", CSE4098B_Spring2026_Grade!$I29="I (Incomplete)"), 0, IF(AJ44&gt;=55%, 1, 0))</f>
        <v>1</v>
      </c>
      <c r="AV44" s="165">
        <f>IF(OR(CSE4098B_Spring2026_Grade!$I29="W (Withdrawn)", CSE4098B_Spring2026_Grade!$I29="I (Incomplete)"), 0, IF(AK44&gt;=55%, 1, 0))</f>
        <v>1</v>
      </c>
      <c r="AW44" s="165">
        <f>IF(OR(CSE4098B_Spring2026_Grade!$I29="W (Withdrawn)", CSE4098B_Spring2026_Grade!$I29="I (Incomplete)"), 0, IF(AL44&gt;=55%, 1, 0))</f>
        <v>1</v>
      </c>
      <c r="AX44" s="165">
        <f>IF(OR(CSE4098B_Spring2026_Grade!$I29="W (Withdrawn)", CSE4098B_Spring2026_Grade!$I29="I (Incomplete)"), 0, IF(AM44&gt;=55%, 1, 0))</f>
        <v>1</v>
      </c>
      <c r="AY44" s="165">
        <f>IF(OR(CSE4098B_Spring2026_Grade!$I29="W (Withdrawn)", CSE4098B_Spring2026_Grade!$I29="I (Incomplete)"), 0, IF(AN44&gt;=55%, 1, 0))</f>
        <v>1</v>
      </c>
      <c r="AZ44" s="165">
        <f>IF(OR(CSE4098B_Spring2026_Grade!$I29="W (Withdrawn)", CSE4098B_Spring2026_Grade!$I29="I (Incomplete)"), 0, IF(AO44&gt;=55%, 1, 0))</f>
        <v>1</v>
      </c>
      <c r="BA44" s="76"/>
      <c r="BB44" s="166">
        <f t="shared" si="13"/>
        <v>0</v>
      </c>
      <c r="BC44" s="166">
        <f t="shared" si="14"/>
        <v>0.6666666667</v>
      </c>
      <c r="BD44" s="166">
        <f t="array" ref="BD44">IF($BC$14=0,0,MMULT($AE44:$AO44, BC$3:BC$13)/$BC$14)</f>
        <v>0.5555555556</v>
      </c>
      <c r="BE44" s="166">
        <f t="array" ref="BE44">IF($BD$14=0,0,MMULT($AE44:$AO44, BD$3:BD$13)/$BD$14)</f>
        <v>0.5555555556</v>
      </c>
      <c r="BF44" s="166">
        <f t="shared" si="15"/>
        <v>0.4444444444</v>
      </c>
      <c r="BG44" s="166">
        <f t="array" ref="BG44">IF($BF$14=0,0,MMULT($AE44:$AO44, BF$3:BF$13)/$BF$14)</f>
        <v>0.6666666667</v>
      </c>
      <c r="BH44" s="166">
        <f t="array" ref="BH44">IF($BG$14=0,0,MMULT($AE44:$AO44, BG$3:BG$13)/$BG$14)</f>
        <v>0.5555555556</v>
      </c>
      <c r="BI44" s="166">
        <f t="array" ref="BI44">IF($BH$14=0,0,MMULT($AE44:$AO44, BH$3:BH$13)/$BH$14)</f>
        <v>0.6666666667</v>
      </c>
      <c r="BJ44" s="166">
        <f t="array" ref="BJ44">IF($BI$14=0,0,MMULT($AE44:$AO44, BI$3:BI$13)/$BI$14)</f>
        <v>1</v>
      </c>
      <c r="BK44" s="166">
        <f t="array" ref="BK44">IF($BJ$14=0,0,MMULT($AE44:$AO44, BJ$3:BJ$13)/$BJ$14)</f>
        <v>0.9851111111</v>
      </c>
      <c r="BL44" s="166">
        <f t="shared" si="16"/>
        <v>0.6666666667</v>
      </c>
      <c r="BM44" s="166">
        <f t="shared" si="17"/>
        <v>0.6111111111</v>
      </c>
      <c r="BN44" s="165">
        <f>IF(OR(CSE4098B_Spring2026_Grade!$I29="W (Withdrawn)", CSE4098B_Spring2026_Grade!$I29="I (Incomplete)"), 0, IF(BB44&gt;=55%, 1, 0))</f>
        <v>0</v>
      </c>
      <c r="BO44" s="165">
        <f>IF(OR(CSE4098B_Spring2026_Grade!$I29="W (Withdrawn)", CSE4098B_Spring2026_Grade!$I29="I (Incomplete)"), 0, IF(BC44&gt;=55%, 1, 0))</f>
        <v>1</v>
      </c>
      <c r="BP44" s="165">
        <f>IF(OR(CSE4098B_Spring2026_Grade!$I29="W (Withdrawn)", CSE4098B_Spring2026_Grade!$I29="I (Incomplete)"), 0, IF(BD44&gt;=55%, 1, 0))</f>
        <v>1</v>
      </c>
      <c r="BQ44" s="165">
        <f>IF(OR(CSE4098B_Spring2026_Grade!$I29="W (Withdrawn)", CSE4098B_Spring2026_Grade!$I29="I (Incomplete)"), 0, IF(BE44&gt;=55%, 1, 0))</f>
        <v>1</v>
      </c>
      <c r="BR44" s="165">
        <f>IF(OR(CSE4098B_Spring2026_Grade!$I29="W (Withdrawn)", CSE4098B_Spring2026_Grade!$I29="I (Incomplete)"), 0, IF(BF44&gt;=55%, 1, 0))</f>
        <v>0</v>
      </c>
      <c r="BS44" s="165">
        <f>IF(OR(CSE4098B_Spring2026_Grade!$I29="W (Withdrawn)", CSE4098B_Spring2026_Grade!$I29="I (Incomplete)"), 0, IF(BG44&gt;=55%, 1, 0))</f>
        <v>1</v>
      </c>
      <c r="BT44" s="165">
        <f>IF(OR(CSE4098B_Spring2026_Grade!$I29="W (Withdrawn)", CSE4098B_Spring2026_Grade!$I29="I (Incomplete)"), 0, IF(BH44&gt;=55%, 1, 0))</f>
        <v>1</v>
      </c>
      <c r="BU44" s="165">
        <f>IF(OR(CSE4098B_Spring2026_Grade!$I29="W (Withdrawn)", CSE4098B_Spring2026_Grade!$I29="I (Incomplete)"), 0, IF(BI44&gt;=55%, 1, 0))</f>
        <v>1</v>
      </c>
      <c r="BV44" s="165">
        <f>IF(OR(CSE4098B_Spring2026_Grade!$I29="W (Withdrawn)", CSE4098B_Spring2026_Grade!$I29="I (Incomplete)"), 0, IF(BJ44&gt;=55%, 1, 0))</f>
        <v>1</v>
      </c>
      <c r="BW44" s="165">
        <f>IF(OR(CSE4098B_Spring2026_Grade!$I29="W (Withdrawn)", CSE4098B_Spring2026_Grade!$I29="I (Incomplete)"), 0, IF(BK44&gt;=55%, 1, 0))</f>
        <v>1</v>
      </c>
      <c r="BX44" s="165">
        <f>IF(OR(CSE4098B_Spring2026_Grade!$I29="W (Withdrawn)", CSE4098B_Spring2026_Grade!$I29="I (Incomplete)"), 0, IF(BL44&gt;=55%, 1, 0))</f>
        <v>1</v>
      </c>
      <c r="BY44" s="165">
        <f>IF(OR(CSE4098B_Spring2026_Grade!$I29="W (Withdrawn)", CSE4098B_Spring2026_Grade!$I29="I (Incomplete)"), 0, IF(BM44&gt;=55%, 1, 0))</f>
        <v>1</v>
      </c>
    </row>
    <row r="45">
      <c r="A45" s="153">
        <v>26.0</v>
      </c>
      <c r="B45" s="154">
        <f>CSE4098B_Spring2026_Grade!B30</f>
        <v>223014146</v>
      </c>
      <c r="C45" s="96" t="str">
        <f>CSE4098B_Spring2026_Grade!C30</f>
        <v>Sami Hossain</v>
      </c>
      <c r="D45" s="155">
        <f>'CO Report Evaluation'!AI28</f>
        <v>3.666666667</v>
      </c>
      <c r="E45" s="155">
        <f>'CO Report Evaluation'!AJ28</f>
        <v>2</v>
      </c>
      <c r="F45" s="155">
        <f>'CO Report Evaluation'!AK28</f>
        <v>2</v>
      </c>
      <c r="G45" s="156">
        <f>'CO Report Evaluation'!AL28</f>
        <v>1.333333333</v>
      </c>
      <c r="H45" s="156">
        <f>'CO Report Evaluation'!AM28</f>
        <v>1.666666667</v>
      </c>
      <c r="I45" s="157">
        <f>'CO Report Evaluation'!AN28</f>
        <v>3.333333333</v>
      </c>
      <c r="J45" s="157">
        <f>'CO Report Evaluation'!AO28</f>
        <v>2</v>
      </c>
      <c r="K45" s="157">
        <f>'CO Report Evaluation'!AP28</f>
        <v>1.666666667</v>
      </c>
      <c r="L45" s="158">
        <f>'CO Report Evaluation'!AQ28</f>
        <v>2</v>
      </c>
      <c r="M45" s="159"/>
      <c r="N45" s="160"/>
      <c r="O45" s="160"/>
      <c r="P45" s="160"/>
      <c r="Q45" s="160"/>
      <c r="R45" s="156">
        <f>CSE4098B_Spring2026_Grade!F30</f>
        <v>5</v>
      </c>
      <c r="S45" s="161">
        <f>((CSE4098B_Spring2026_Grade!E30)*10)/45</f>
        <v>9.777777778</v>
      </c>
      <c r="T45" s="162">
        <f t="shared" ref="T45:AB45" si="87">D45</f>
        <v>3.666666667</v>
      </c>
      <c r="U45" s="163">
        <f t="shared" si="87"/>
        <v>2</v>
      </c>
      <c r="V45" s="163">
        <f t="shared" si="87"/>
        <v>2</v>
      </c>
      <c r="W45" s="163">
        <f t="shared" si="87"/>
        <v>1.333333333</v>
      </c>
      <c r="X45" s="163">
        <f t="shared" si="87"/>
        <v>1.666666667</v>
      </c>
      <c r="Y45" s="163">
        <f t="shared" si="87"/>
        <v>3.333333333</v>
      </c>
      <c r="Z45" s="163">
        <f t="shared" si="87"/>
        <v>2</v>
      </c>
      <c r="AA45" s="163">
        <f t="shared" si="87"/>
        <v>1.666666667</v>
      </c>
      <c r="AB45" s="163">
        <f t="shared" si="87"/>
        <v>2</v>
      </c>
      <c r="AC45" s="163">
        <f t="shared" ref="AC45:AD45" si="88">R45</f>
        <v>5</v>
      </c>
      <c r="AD45" s="163">
        <f t="shared" si="88"/>
        <v>9.777777778</v>
      </c>
      <c r="AE45" s="164">
        <f t="shared" ref="AE45:AO45" si="89">IF(T45 = 0, 0, T45/T$19)</f>
        <v>0.6111111111</v>
      </c>
      <c r="AF45" s="164">
        <f t="shared" si="89"/>
        <v>0.6666666667</v>
      </c>
      <c r="AG45" s="164">
        <f t="shared" si="89"/>
        <v>0.6666666667</v>
      </c>
      <c r="AH45" s="164">
        <f t="shared" si="89"/>
        <v>0.4444444444</v>
      </c>
      <c r="AI45" s="164">
        <f t="shared" si="89"/>
        <v>0.5555555556</v>
      </c>
      <c r="AJ45" s="164">
        <f t="shared" si="89"/>
        <v>0.5555555556</v>
      </c>
      <c r="AK45" s="164">
        <f t="shared" si="89"/>
        <v>0.6666666667</v>
      </c>
      <c r="AL45" s="164">
        <f t="shared" si="89"/>
        <v>0.5555555556</v>
      </c>
      <c r="AM45" s="164">
        <f t="shared" si="89"/>
        <v>0.6666666667</v>
      </c>
      <c r="AN45" s="164">
        <f t="shared" si="89"/>
        <v>1</v>
      </c>
      <c r="AO45" s="164">
        <f t="shared" si="89"/>
        <v>0.9777777778</v>
      </c>
      <c r="AP45" s="165">
        <f>IF(OR(CSE4098B_Spring2026_Grade!$I30="W (Withdrawn)", CSE4098B_Spring2026_Grade!$I30="I (Incomplete)"), 0, IF(AE45&gt;=55%, 1, 0))</f>
        <v>1</v>
      </c>
      <c r="AQ45" s="165">
        <f>IF(OR(CSE4098B_Spring2026_Grade!$I30="W (Withdrawn)", CSE4098B_Spring2026_Grade!$I30="I (Incomplete)"), 0, IF(AF45&gt;=55%, 1, 0))</f>
        <v>1</v>
      </c>
      <c r="AR45" s="165">
        <f>IF(OR(CSE4098B_Spring2026_Grade!$I30="W (Withdrawn)", CSE4098B_Spring2026_Grade!$I30="I (Incomplete)"), 0, IF(AG45&gt;=55%, 1, 0))</f>
        <v>1</v>
      </c>
      <c r="AS45" s="165">
        <f>IF(OR(CSE4098B_Spring2026_Grade!$I30="W (Withdrawn)", CSE4098B_Spring2026_Grade!$I30="I (Incomplete)"), 0, IF(AH45&gt;=55%, 1, 0))</f>
        <v>0</v>
      </c>
      <c r="AT45" s="165">
        <f>IF(OR(CSE4098B_Spring2026_Grade!$I30="W (Withdrawn)", CSE4098B_Spring2026_Grade!$I30="I (Incomplete)"), 0, IF(AI45&gt;=55%, 1, 0))</f>
        <v>1</v>
      </c>
      <c r="AU45" s="165">
        <f>IF(OR(CSE4098B_Spring2026_Grade!$I30="W (Withdrawn)", CSE4098B_Spring2026_Grade!$I30="I (Incomplete)"), 0, IF(AJ45&gt;=55%, 1, 0))</f>
        <v>1</v>
      </c>
      <c r="AV45" s="165">
        <f>IF(OR(CSE4098B_Spring2026_Grade!$I30="W (Withdrawn)", CSE4098B_Spring2026_Grade!$I30="I (Incomplete)"), 0, IF(AK45&gt;=55%, 1, 0))</f>
        <v>1</v>
      </c>
      <c r="AW45" s="165">
        <f>IF(OR(CSE4098B_Spring2026_Grade!$I30="W (Withdrawn)", CSE4098B_Spring2026_Grade!$I30="I (Incomplete)"), 0, IF(AL45&gt;=55%, 1, 0))</f>
        <v>1</v>
      </c>
      <c r="AX45" s="165">
        <f>IF(OR(CSE4098B_Spring2026_Grade!$I30="W (Withdrawn)", CSE4098B_Spring2026_Grade!$I30="I (Incomplete)"), 0, IF(AM45&gt;=55%, 1, 0))</f>
        <v>1</v>
      </c>
      <c r="AY45" s="165">
        <f>IF(OR(CSE4098B_Spring2026_Grade!$I30="W (Withdrawn)", CSE4098B_Spring2026_Grade!$I30="I (Incomplete)"), 0, IF(AN45&gt;=55%, 1, 0))</f>
        <v>1</v>
      </c>
      <c r="AZ45" s="165">
        <f>IF(OR(CSE4098B_Spring2026_Grade!$I30="W (Withdrawn)", CSE4098B_Spring2026_Grade!$I30="I (Incomplete)"), 0, IF(AO45&gt;=55%, 1, 0))</f>
        <v>1</v>
      </c>
      <c r="BA45" s="76"/>
      <c r="BB45" s="166">
        <f t="shared" si="13"/>
        <v>0</v>
      </c>
      <c r="BC45" s="166">
        <f t="shared" si="14"/>
        <v>0.6666666667</v>
      </c>
      <c r="BD45" s="166">
        <f t="array" ref="BD45">IF($BC$14=0,0,MMULT($AE45:$AO45, BC$3:BC$13)/$BC$14)</f>
        <v>0.5555555556</v>
      </c>
      <c r="BE45" s="166">
        <f t="array" ref="BE45">IF($BD$14=0,0,MMULT($AE45:$AO45, BD$3:BD$13)/$BD$14)</f>
        <v>0.5555555556</v>
      </c>
      <c r="BF45" s="166">
        <f t="shared" si="15"/>
        <v>0.4444444444</v>
      </c>
      <c r="BG45" s="166">
        <f t="array" ref="BG45">IF($BF$14=0,0,MMULT($AE45:$AO45, BF$3:BF$13)/$BF$14)</f>
        <v>0.6666666667</v>
      </c>
      <c r="BH45" s="166">
        <f t="array" ref="BH45">IF($BG$14=0,0,MMULT($AE45:$AO45, BG$3:BG$13)/$BG$14)</f>
        <v>0.5555555556</v>
      </c>
      <c r="BI45" s="166">
        <f t="array" ref="BI45">IF($BH$14=0,0,MMULT($AE45:$AO45, BH$3:BH$13)/$BH$14)</f>
        <v>0.6666666667</v>
      </c>
      <c r="BJ45" s="166">
        <f t="array" ref="BJ45">IF($BI$14=0,0,MMULT($AE45:$AO45, BI$3:BI$13)/$BI$14)</f>
        <v>1</v>
      </c>
      <c r="BK45" s="166">
        <f t="array" ref="BK45">IF($BJ$14=0,0,MMULT($AE45:$AO45, BJ$3:BJ$13)/$BJ$14)</f>
        <v>0.9777777778</v>
      </c>
      <c r="BL45" s="166">
        <f t="shared" si="16"/>
        <v>0.6666666667</v>
      </c>
      <c r="BM45" s="166">
        <f t="shared" si="17"/>
        <v>0.6111111111</v>
      </c>
      <c r="BN45" s="165">
        <f>IF(OR(CSE4098B_Spring2026_Grade!$I30="W (Withdrawn)", CSE4098B_Spring2026_Grade!$I30="I (Incomplete)"), 0, IF(BB45&gt;=55%, 1, 0))</f>
        <v>0</v>
      </c>
      <c r="BO45" s="165">
        <f>IF(OR(CSE4098B_Spring2026_Grade!$I30="W (Withdrawn)", CSE4098B_Spring2026_Grade!$I30="I (Incomplete)"), 0, IF(BC45&gt;=55%, 1, 0))</f>
        <v>1</v>
      </c>
      <c r="BP45" s="165">
        <f>IF(OR(CSE4098B_Spring2026_Grade!$I30="W (Withdrawn)", CSE4098B_Spring2026_Grade!$I30="I (Incomplete)"), 0, IF(BD45&gt;=55%, 1, 0))</f>
        <v>1</v>
      </c>
      <c r="BQ45" s="165">
        <f>IF(OR(CSE4098B_Spring2026_Grade!$I30="W (Withdrawn)", CSE4098B_Spring2026_Grade!$I30="I (Incomplete)"), 0, IF(BE45&gt;=55%, 1, 0))</f>
        <v>1</v>
      </c>
      <c r="BR45" s="165">
        <f>IF(OR(CSE4098B_Spring2026_Grade!$I30="W (Withdrawn)", CSE4098B_Spring2026_Grade!$I30="I (Incomplete)"), 0, IF(BF45&gt;=55%, 1, 0))</f>
        <v>0</v>
      </c>
      <c r="BS45" s="165">
        <f>IF(OR(CSE4098B_Spring2026_Grade!$I30="W (Withdrawn)", CSE4098B_Spring2026_Grade!$I30="I (Incomplete)"), 0, IF(BG45&gt;=55%, 1, 0))</f>
        <v>1</v>
      </c>
      <c r="BT45" s="165">
        <f>IF(OR(CSE4098B_Spring2026_Grade!$I30="W (Withdrawn)", CSE4098B_Spring2026_Grade!$I30="I (Incomplete)"), 0, IF(BH45&gt;=55%, 1, 0))</f>
        <v>1</v>
      </c>
      <c r="BU45" s="165">
        <f>IF(OR(CSE4098B_Spring2026_Grade!$I30="W (Withdrawn)", CSE4098B_Spring2026_Grade!$I30="I (Incomplete)"), 0, IF(BI45&gt;=55%, 1, 0))</f>
        <v>1</v>
      </c>
      <c r="BV45" s="165">
        <f>IF(OR(CSE4098B_Spring2026_Grade!$I30="W (Withdrawn)", CSE4098B_Spring2026_Grade!$I30="I (Incomplete)"), 0, IF(BJ45&gt;=55%, 1, 0))</f>
        <v>1</v>
      </c>
      <c r="BW45" s="165">
        <f>IF(OR(CSE4098B_Spring2026_Grade!$I30="W (Withdrawn)", CSE4098B_Spring2026_Grade!$I30="I (Incomplete)"), 0, IF(BK45&gt;=55%, 1, 0))</f>
        <v>1</v>
      </c>
      <c r="BX45" s="165">
        <f>IF(OR(CSE4098B_Spring2026_Grade!$I30="W (Withdrawn)", CSE4098B_Spring2026_Grade!$I30="I (Incomplete)"), 0, IF(BL45&gt;=55%, 1, 0))</f>
        <v>1</v>
      </c>
      <c r="BY45" s="165">
        <f>IF(OR(CSE4098B_Spring2026_Grade!$I30="W (Withdrawn)", CSE4098B_Spring2026_Grade!$I30="I (Incomplete)"), 0, IF(BM45&gt;=55%, 1, 0))</f>
        <v>1</v>
      </c>
    </row>
    <row r="46">
      <c r="A46" s="153">
        <v>27.0</v>
      </c>
      <c r="B46" s="154">
        <f>CSE4098B_Spring2026_Grade!B31</f>
        <v>231014024</v>
      </c>
      <c r="C46" s="96" t="str">
        <f>CSE4098B_Spring2026_Grade!C31</f>
        <v>Md. Shohanoor Rahman</v>
      </c>
      <c r="D46" s="155">
        <f>'CO Report Evaluation'!AI29</f>
        <v>3.333333333</v>
      </c>
      <c r="E46" s="155">
        <f>'CO Report Evaluation'!AJ29</f>
        <v>2</v>
      </c>
      <c r="F46" s="155">
        <f>'CO Report Evaluation'!AK29</f>
        <v>2</v>
      </c>
      <c r="G46" s="156">
        <f>'CO Report Evaluation'!AL29</f>
        <v>1.666666667</v>
      </c>
      <c r="H46" s="156">
        <f>'CO Report Evaluation'!AM29</f>
        <v>2</v>
      </c>
      <c r="I46" s="157">
        <f>'CO Report Evaluation'!AN29</f>
        <v>2.333333333</v>
      </c>
      <c r="J46" s="157">
        <f>'CO Report Evaluation'!AO29</f>
        <v>1.666666667</v>
      </c>
      <c r="K46" s="157">
        <f>'CO Report Evaluation'!AP29</f>
        <v>1</v>
      </c>
      <c r="L46" s="158">
        <f>'CO Report Evaluation'!AQ29</f>
        <v>2</v>
      </c>
      <c r="M46" s="159"/>
      <c r="N46" s="160"/>
      <c r="O46" s="160"/>
      <c r="P46" s="160"/>
      <c r="Q46" s="160"/>
      <c r="R46" s="156">
        <f>CSE4098B_Spring2026_Grade!F31</f>
        <v>5</v>
      </c>
      <c r="S46" s="161">
        <f>((CSE4098B_Spring2026_Grade!E31)*10)/45</f>
        <v>7.628888889</v>
      </c>
      <c r="T46" s="162">
        <f t="shared" ref="T46:AB46" si="90">D46</f>
        <v>3.333333333</v>
      </c>
      <c r="U46" s="163">
        <f t="shared" si="90"/>
        <v>2</v>
      </c>
      <c r="V46" s="163">
        <f t="shared" si="90"/>
        <v>2</v>
      </c>
      <c r="W46" s="163">
        <f t="shared" si="90"/>
        <v>1.666666667</v>
      </c>
      <c r="X46" s="163">
        <f t="shared" si="90"/>
        <v>2</v>
      </c>
      <c r="Y46" s="163">
        <f t="shared" si="90"/>
        <v>2.333333333</v>
      </c>
      <c r="Z46" s="163">
        <f t="shared" si="90"/>
        <v>1.666666667</v>
      </c>
      <c r="AA46" s="163">
        <f t="shared" si="90"/>
        <v>1</v>
      </c>
      <c r="AB46" s="163">
        <f t="shared" si="90"/>
        <v>2</v>
      </c>
      <c r="AC46" s="163">
        <f t="shared" ref="AC46:AD46" si="91">R46</f>
        <v>5</v>
      </c>
      <c r="AD46" s="163">
        <f t="shared" si="91"/>
        <v>7.628888889</v>
      </c>
      <c r="AE46" s="164">
        <f t="shared" ref="AE46:AO46" si="92">IF(T46 = 0, 0, T46/T$19)</f>
        <v>0.5555555556</v>
      </c>
      <c r="AF46" s="164">
        <f t="shared" si="92"/>
        <v>0.6666666667</v>
      </c>
      <c r="AG46" s="164">
        <f t="shared" si="92"/>
        <v>0.6666666667</v>
      </c>
      <c r="AH46" s="164">
        <f t="shared" si="92"/>
        <v>0.5555555556</v>
      </c>
      <c r="AI46" s="164">
        <f t="shared" si="92"/>
        <v>0.6666666667</v>
      </c>
      <c r="AJ46" s="164">
        <f t="shared" si="92"/>
        <v>0.3888888889</v>
      </c>
      <c r="AK46" s="164">
        <f t="shared" si="92"/>
        <v>0.5555555556</v>
      </c>
      <c r="AL46" s="164">
        <f t="shared" si="92"/>
        <v>0.3333333333</v>
      </c>
      <c r="AM46" s="164">
        <f t="shared" si="92"/>
        <v>0.6666666667</v>
      </c>
      <c r="AN46" s="164">
        <f t="shared" si="92"/>
        <v>1</v>
      </c>
      <c r="AO46" s="164">
        <f t="shared" si="92"/>
        <v>0.7628888889</v>
      </c>
      <c r="AP46" s="165">
        <f>IF(OR(CSE4098B_Spring2026_Grade!$I31="W (Withdrawn)", CSE4098B_Spring2026_Grade!$I31="I (Incomplete)"), 0, IF(AE46&gt;=55%, 1, 0))</f>
        <v>1</v>
      </c>
      <c r="AQ46" s="165">
        <f>IF(OR(CSE4098B_Spring2026_Grade!$I31="W (Withdrawn)", CSE4098B_Spring2026_Grade!$I31="I (Incomplete)"), 0, IF(AF46&gt;=55%, 1, 0))</f>
        <v>1</v>
      </c>
      <c r="AR46" s="165">
        <f>IF(OR(CSE4098B_Spring2026_Grade!$I31="W (Withdrawn)", CSE4098B_Spring2026_Grade!$I31="I (Incomplete)"), 0, IF(AG46&gt;=55%, 1, 0))</f>
        <v>1</v>
      </c>
      <c r="AS46" s="165">
        <f>IF(OR(CSE4098B_Spring2026_Grade!$I31="W (Withdrawn)", CSE4098B_Spring2026_Grade!$I31="I (Incomplete)"), 0, IF(AH46&gt;=55%, 1, 0))</f>
        <v>1</v>
      </c>
      <c r="AT46" s="165">
        <f>IF(OR(CSE4098B_Spring2026_Grade!$I31="W (Withdrawn)", CSE4098B_Spring2026_Grade!$I31="I (Incomplete)"), 0, IF(AI46&gt;=55%, 1, 0))</f>
        <v>1</v>
      </c>
      <c r="AU46" s="165">
        <f>IF(OR(CSE4098B_Spring2026_Grade!$I31="W (Withdrawn)", CSE4098B_Spring2026_Grade!$I31="I (Incomplete)"), 0, IF(AJ46&gt;=55%, 1, 0))</f>
        <v>0</v>
      </c>
      <c r="AV46" s="165">
        <f>IF(OR(CSE4098B_Spring2026_Grade!$I31="W (Withdrawn)", CSE4098B_Spring2026_Grade!$I31="I (Incomplete)"), 0, IF(AK46&gt;=55%, 1, 0))</f>
        <v>1</v>
      </c>
      <c r="AW46" s="165">
        <f>IF(OR(CSE4098B_Spring2026_Grade!$I31="W (Withdrawn)", CSE4098B_Spring2026_Grade!$I31="I (Incomplete)"), 0, IF(AL46&gt;=55%, 1, 0))</f>
        <v>0</v>
      </c>
      <c r="AX46" s="165">
        <f>IF(OR(CSE4098B_Spring2026_Grade!$I31="W (Withdrawn)", CSE4098B_Spring2026_Grade!$I31="I (Incomplete)"), 0, IF(AM46&gt;=55%, 1, 0))</f>
        <v>1</v>
      </c>
      <c r="AY46" s="165">
        <f>IF(OR(CSE4098B_Spring2026_Grade!$I31="W (Withdrawn)", CSE4098B_Spring2026_Grade!$I31="I (Incomplete)"), 0, IF(AN46&gt;=55%, 1, 0))</f>
        <v>1</v>
      </c>
      <c r="AZ46" s="165">
        <f>IF(OR(CSE4098B_Spring2026_Grade!$I31="W (Withdrawn)", CSE4098B_Spring2026_Grade!$I31="I (Incomplete)"), 0, IF(AO46&gt;=55%, 1, 0))</f>
        <v>1</v>
      </c>
      <c r="BA46" s="76"/>
      <c r="BB46" s="166">
        <f t="shared" si="13"/>
        <v>0</v>
      </c>
      <c r="BC46" s="166">
        <f t="shared" si="14"/>
        <v>0.6666666667</v>
      </c>
      <c r="BD46" s="166">
        <f t="array" ref="BD46">IF($BC$14=0,0,MMULT($AE46:$AO46, BC$3:BC$13)/$BC$14)</f>
        <v>0.6666666667</v>
      </c>
      <c r="BE46" s="166">
        <f t="array" ref="BE46">IF($BD$14=0,0,MMULT($AE46:$AO46, BD$3:BD$13)/$BD$14)</f>
        <v>0.3888888889</v>
      </c>
      <c r="BF46" s="166">
        <f t="shared" si="15"/>
        <v>0.5555555556</v>
      </c>
      <c r="BG46" s="166">
        <f t="array" ref="BG46">IF($BF$14=0,0,MMULT($AE46:$AO46, BF$3:BF$13)/$BF$14)</f>
        <v>0.5555555556</v>
      </c>
      <c r="BH46" s="166">
        <f t="array" ref="BH46">IF($BG$14=0,0,MMULT($AE46:$AO46, BG$3:BG$13)/$BG$14)</f>
        <v>0.3333333333</v>
      </c>
      <c r="BI46" s="166">
        <f t="array" ref="BI46">IF($BH$14=0,0,MMULT($AE46:$AO46, BH$3:BH$13)/$BH$14)</f>
        <v>0.6666666667</v>
      </c>
      <c r="BJ46" s="166">
        <f t="array" ref="BJ46">IF($BI$14=0,0,MMULT($AE46:$AO46, BI$3:BI$13)/$BI$14)</f>
        <v>1</v>
      </c>
      <c r="BK46" s="166">
        <f t="array" ref="BK46">IF($BJ$14=0,0,MMULT($AE46:$AO46, BJ$3:BJ$13)/$BJ$14)</f>
        <v>0.7628888889</v>
      </c>
      <c r="BL46" s="166">
        <f t="shared" si="16"/>
        <v>0.6666666667</v>
      </c>
      <c r="BM46" s="166">
        <f t="shared" si="17"/>
        <v>0.5555555556</v>
      </c>
      <c r="BN46" s="165">
        <f>IF(OR(CSE4098B_Spring2026_Grade!$I31="W (Withdrawn)", CSE4098B_Spring2026_Grade!$I31="I (Incomplete)"), 0, IF(BB46&gt;=55%, 1, 0))</f>
        <v>0</v>
      </c>
      <c r="BO46" s="165">
        <f>IF(OR(CSE4098B_Spring2026_Grade!$I31="W (Withdrawn)", CSE4098B_Spring2026_Grade!$I31="I (Incomplete)"), 0, IF(BC46&gt;=55%, 1, 0))</f>
        <v>1</v>
      </c>
      <c r="BP46" s="165">
        <f>IF(OR(CSE4098B_Spring2026_Grade!$I31="W (Withdrawn)", CSE4098B_Spring2026_Grade!$I31="I (Incomplete)"), 0, IF(BD46&gt;=55%, 1, 0))</f>
        <v>1</v>
      </c>
      <c r="BQ46" s="165">
        <f>IF(OR(CSE4098B_Spring2026_Grade!$I31="W (Withdrawn)", CSE4098B_Spring2026_Grade!$I31="I (Incomplete)"), 0, IF(BE46&gt;=55%, 1, 0))</f>
        <v>0</v>
      </c>
      <c r="BR46" s="165">
        <f>IF(OR(CSE4098B_Spring2026_Grade!$I31="W (Withdrawn)", CSE4098B_Spring2026_Grade!$I31="I (Incomplete)"), 0, IF(BF46&gt;=55%, 1, 0))</f>
        <v>1</v>
      </c>
      <c r="BS46" s="165">
        <f>IF(OR(CSE4098B_Spring2026_Grade!$I31="W (Withdrawn)", CSE4098B_Spring2026_Grade!$I31="I (Incomplete)"), 0, IF(BG46&gt;=55%, 1, 0))</f>
        <v>1</v>
      </c>
      <c r="BT46" s="165">
        <f>IF(OR(CSE4098B_Spring2026_Grade!$I31="W (Withdrawn)", CSE4098B_Spring2026_Grade!$I31="I (Incomplete)"), 0, IF(BH46&gt;=55%, 1, 0))</f>
        <v>0</v>
      </c>
      <c r="BU46" s="165">
        <f>IF(OR(CSE4098B_Spring2026_Grade!$I31="W (Withdrawn)", CSE4098B_Spring2026_Grade!$I31="I (Incomplete)"), 0, IF(BI46&gt;=55%, 1, 0))</f>
        <v>1</v>
      </c>
      <c r="BV46" s="165">
        <f>IF(OR(CSE4098B_Spring2026_Grade!$I31="W (Withdrawn)", CSE4098B_Spring2026_Grade!$I31="I (Incomplete)"), 0, IF(BJ46&gt;=55%, 1, 0))</f>
        <v>1</v>
      </c>
      <c r="BW46" s="165">
        <f>IF(OR(CSE4098B_Spring2026_Grade!$I31="W (Withdrawn)", CSE4098B_Spring2026_Grade!$I31="I (Incomplete)"), 0, IF(BK46&gt;=55%, 1, 0))</f>
        <v>1</v>
      </c>
      <c r="BX46" s="165">
        <f>IF(OR(CSE4098B_Spring2026_Grade!$I31="W (Withdrawn)", CSE4098B_Spring2026_Grade!$I31="I (Incomplete)"), 0, IF(BL46&gt;=55%, 1, 0))</f>
        <v>1</v>
      </c>
      <c r="BY46" s="165">
        <f>IF(OR(CSE4098B_Spring2026_Grade!$I31="W (Withdrawn)", CSE4098B_Spring2026_Grade!$I31="I (Incomplete)"), 0, IF(BM46&gt;=55%, 1, 0))</f>
        <v>1</v>
      </c>
    </row>
    <row r="47">
      <c r="A47" s="153">
        <v>28.0</v>
      </c>
      <c r="B47" s="154">
        <f>CSE4098B_Spring2026_Grade!B32</f>
        <v>231014064</v>
      </c>
      <c r="C47" s="96" t="str">
        <f>CSE4098B_Spring2026_Grade!C32</f>
        <v>Pranto Sikder</v>
      </c>
      <c r="D47" s="155">
        <f>'CO Report Evaluation'!AI30</f>
        <v>3.333333333</v>
      </c>
      <c r="E47" s="155">
        <f>'CO Report Evaluation'!AJ30</f>
        <v>2</v>
      </c>
      <c r="F47" s="155">
        <f>'CO Report Evaluation'!AK30</f>
        <v>2</v>
      </c>
      <c r="G47" s="156">
        <f>'CO Report Evaluation'!AL30</f>
        <v>1.666666667</v>
      </c>
      <c r="H47" s="156">
        <f>'CO Report Evaluation'!AM30</f>
        <v>2</v>
      </c>
      <c r="I47" s="157">
        <f>'CO Report Evaluation'!AN30</f>
        <v>2.333333333</v>
      </c>
      <c r="J47" s="157">
        <f>'CO Report Evaluation'!AO30</f>
        <v>1.666666667</v>
      </c>
      <c r="K47" s="157">
        <f>'CO Report Evaluation'!AP30</f>
        <v>1</v>
      </c>
      <c r="L47" s="158">
        <f>'CO Report Evaluation'!AQ30</f>
        <v>2</v>
      </c>
      <c r="M47" s="159"/>
      <c r="N47" s="160"/>
      <c r="O47" s="160"/>
      <c r="P47" s="160"/>
      <c r="Q47" s="160"/>
      <c r="R47" s="156">
        <f>CSE4098B_Spring2026_Grade!F32</f>
        <v>5</v>
      </c>
      <c r="S47" s="161">
        <f>((CSE4098B_Spring2026_Grade!E32)*10)/45</f>
        <v>7.628888889</v>
      </c>
      <c r="T47" s="162">
        <f t="shared" ref="T47:AB47" si="93">D47</f>
        <v>3.333333333</v>
      </c>
      <c r="U47" s="163">
        <f t="shared" si="93"/>
        <v>2</v>
      </c>
      <c r="V47" s="163">
        <f t="shared" si="93"/>
        <v>2</v>
      </c>
      <c r="W47" s="163">
        <f t="shared" si="93"/>
        <v>1.666666667</v>
      </c>
      <c r="X47" s="163">
        <f t="shared" si="93"/>
        <v>2</v>
      </c>
      <c r="Y47" s="163">
        <f t="shared" si="93"/>
        <v>2.333333333</v>
      </c>
      <c r="Z47" s="163">
        <f t="shared" si="93"/>
        <v>1.666666667</v>
      </c>
      <c r="AA47" s="163">
        <f t="shared" si="93"/>
        <v>1</v>
      </c>
      <c r="AB47" s="163">
        <f t="shared" si="93"/>
        <v>2</v>
      </c>
      <c r="AC47" s="163">
        <f t="shared" ref="AC47:AD47" si="94">R47</f>
        <v>5</v>
      </c>
      <c r="AD47" s="163">
        <f t="shared" si="94"/>
        <v>7.628888889</v>
      </c>
      <c r="AE47" s="164">
        <f t="shared" ref="AE47:AO47" si="95">IF(T47 = 0, 0, T47/T$19)</f>
        <v>0.5555555556</v>
      </c>
      <c r="AF47" s="164">
        <f t="shared" si="95"/>
        <v>0.6666666667</v>
      </c>
      <c r="AG47" s="164">
        <f t="shared" si="95"/>
        <v>0.6666666667</v>
      </c>
      <c r="AH47" s="164">
        <f t="shared" si="95"/>
        <v>0.5555555556</v>
      </c>
      <c r="AI47" s="164">
        <f t="shared" si="95"/>
        <v>0.6666666667</v>
      </c>
      <c r="AJ47" s="164">
        <f t="shared" si="95"/>
        <v>0.3888888889</v>
      </c>
      <c r="AK47" s="164">
        <f t="shared" si="95"/>
        <v>0.5555555556</v>
      </c>
      <c r="AL47" s="164">
        <f t="shared" si="95"/>
        <v>0.3333333333</v>
      </c>
      <c r="AM47" s="164">
        <f t="shared" si="95"/>
        <v>0.6666666667</v>
      </c>
      <c r="AN47" s="164">
        <f t="shared" si="95"/>
        <v>1</v>
      </c>
      <c r="AO47" s="164">
        <f t="shared" si="95"/>
        <v>0.7628888889</v>
      </c>
      <c r="AP47" s="165">
        <f>IF(OR(CSE4098B_Spring2026_Grade!$I32="W (Withdrawn)", CSE4098B_Spring2026_Grade!$I32="I (Incomplete)"), 0, IF(AE47&gt;=55%, 1, 0))</f>
        <v>1</v>
      </c>
      <c r="AQ47" s="165">
        <f>IF(OR(CSE4098B_Spring2026_Grade!$I32="W (Withdrawn)", CSE4098B_Spring2026_Grade!$I32="I (Incomplete)"), 0, IF(AF47&gt;=55%, 1, 0))</f>
        <v>1</v>
      </c>
      <c r="AR47" s="165">
        <f>IF(OR(CSE4098B_Spring2026_Grade!$I32="W (Withdrawn)", CSE4098B_Spring2026_Grade!$I32="I (Incomplete)"), 0, IF(AG47&gt;=55%, 1, 0))</f>
        <v>1</v>
      </c>
      <c r="AS47" s="165">
        <f>IF(OR(CSE4098B_Spring2026_Grade!$I32="W (Withdrawn)", CSE4098B_Spring2026_Grade!$I32="I (Incomplete)"), 0, IF(AH47&gt;=55%, 1, 0))</f>
        <v>1</v>
      </c>
      <c r="AT47" s="165">
        <f>IF(OR(CSE4098B_Spring2026_Grade!$I32="W (Withdrawn)", CSE4098B_Spring2026_Grade!$I32="I (Incomplete)"), 0, IF(AI47&gt;=55%, 1, 0))</f>
        <v>1</v>
      </c>
      <c r="AU47" s="165">
        <f>IF(OR(CSE4098B_Spring2026_Grade!$I32="W (Withdrawn)", CSE4098B_Spring2026_Grade!$I32="I (Incomplete)"), 0, IF(AJ47&gt;=55%, 1, 0))</f>
        <v>0</v>
      </c>
      <c r="AV47" s="165">
        <f>IF(OR(CSE4098B_Spring2026_Grade!$I32="W (Withdrawn)", CSE4098B_Spring2026_Grade!$I32="I (Incomplete)"), 0, IF(AK47&gt;=55%, 1, 0))</f>
        <v>1</v>
      </c>
      <c r="AW47" s="165">
        <f>IF(OR(CSE4098B_Spring2026_Grade!$I32="W (Withdrawn)", CSE4098B_Spring2026_Grade!$I32="I (Incomplete)"), 0, IF(AL47&gt;=55%, 1, 0))</f>
        <v>0</v>
      </c>
      <c r="AX47" s="165">
        <f>IF(OR(CSE4098B_Spring2026_Grade!$I32="W (Withdrawn)", CSE4098B_Spring2026_Grade!$I32="I (Incomplete)"), 0, IF(AM47&gt;=55%, 1, 0))</f>
        <v>1</v>
      </c>
      <c r="AY47" s="165">
        <f>IF(OR(CSE4098B_Spring2026_Grade!$I32="W (Withdrawn)", CSE4098B_Spring2026_Grade!$I32="I (Incomplete)"), 0, IF(AN47&gt;=55%, 1, 0))</f>
        <v>1</v>
      </c>
      <c r="AZ47" s="165">
        <f>IF(OR(CSE4098B_Spring2026_Grade!$I32="W (Withdrawn)", CSE4098B_Spring2026_Grade!$I32="I (Incomplete)"), 0, IF(AO47&gt;=55%, 1, 0))</f>
        <v>1</v>
      </c>
      <c r="BA47" s="76"/>
      <c r="BB47" s="166">
        <f t="shared" si="13"/>
        <v>0</v>
      </c>
      <c r="BC47" s="166">
        <f t="shared" si="14"/>
        <v>0.6666666667</v>
      </c>
      <c r="BD47" s="166">
        <f t="array" ref="BD47">IF($BC$14=0,0,MMULT($AE47:$AO47, BC$3:BC$13)/$BC$14)</f>
        <v>0.6666666667</v>
      </c>
      <c r="BE47" s="166">
        <f t="array" ref="BE47">IF($BD$14=0,0,MMULT($AE47:$AO47, BD$3:BD$13)/$BD$14)</f>
        <v>0.3888888889</v>
      </c>
      <c r="BF47" s="166">
        <f t="shared" si="15"/>
        <v>0.5555555556</v>
      </c>
      <c r="BG47" s="166">
        <f t="array" ref="BG47">IF($BF$14=0,0,MMULT($AE47:$AO47, BF$3:BF$13)/$BF$14)</f>
        <v>0.5555555556</v>
      </c>
      <c r="BH47" s="166">
        <f t="array" ref="BH47">IF($BG$14=0,0,MMULT($AE47:$AO47, BG$3:BG$13)/$BG$14)</f>
        <v>0.3333333333</v>
      </c>
      <c r="BI47" s="166">
        <f t="array" ref="BI47">IF($BH$14=0,0,MMULT($AE47:$AO47, BH$3:BH$13)/$BH$14)</f>
        <v>0.6666666667</v>
      </c>
      <c r="BJ47" s="166">
        <f t="array" ref="BJ47">IF($BI$14=0,0,MMULT($AE47:$AO47, BI$3:BI$13)/$BI$14)</f>
        <v>1</v>
      </c>
      <c r="BK47" s="166">
        <f t="array" ref="BK47">IF($BJ$14=0,0,MMULT($AE47:$AO47, BJ$3:BJ$13)/$BJ$14)</f>
        <v>0.7628888889</v>
      </c>
      <c r="BL47" s="166">
        <f t="shared" si="16"/>
        <v>0.6666666667</v>
      </c>
      <c r="BM47" s="166">
        <f t="shared" si="17"/>
        <v>0.5555555556</v>
      </c>
      <c r="BN47" s="165">
        <f>IF(OR(CSE4098B_Spring2026_Grade!$I32="W (Withdrawn)", CSE4098B_Spring2026_Grade!$I32="I (Incomplete)"), 0, IF(BB47&gt;=55%, 1, 0))</f>
        <v>0</v>
      </c>
      <c r="BO47" s="165">
        <f>IF(OR(CSE4098B_Spring2026_Grade!$I32="W (Withdrawn)", CSE4098B_Spring2026_Grade!$I32="I (Incomplete)"), 0, IF(BC47&gt;=55%, 1, 0))</f>
        <v>1</v>
      </c>
      <c r="BP47" s="165">
        <f>IF(OR(CSE4098B_Spring2026_Grade!$I32="W (Withdrawn)", CSE4098B_Spring2026_Grade!$I32="I (Incomplete)"), 0, IF(BD47&gt;=55%, 1, 0))</f>
        <v>1</v>
      </c>
      <c r="BQ47" s="165">
        <f>IF(OR(CSE4098B_Spring2026_Grade!$I32="W (Withdrawn)", CSE4098B_Spring2026_Grade!$I32="I (Incomplete)"), 0, IF(BE47&gt;=55%, 1, 0))</f>
        <v>0</v>
      </c>
      <c r="BR47" s="165">
        <f>IF(OR(CSE4098B_Spring2026_Grade!$I32="W (Withdrawn)", CSE4098B_Spring2026_Grade!$I32="I (Incomplete)"), 0, IF(BF47&gt;=55%, 1, 0))</f>
        <v>1</v>
      </c>
      <c r="BS47" s="165">
        <f>IF(OR(CSE4098B_Spring2026_Grade!$I32="W (Withdrawn)", CSE4098B_Spring2026_Grade!$I32="I (Incomplete)"), 0, IF(BG47&gt;=55%, 1, 0))</f>
        <v>1</v>
      </c>
      <c r="BT47" s="165">
        <f>IF(OR(CSE4098B_Spring2026_Grade!$I32="W (Withdrawn)", CSE4098B_Spring2026_Grade!$I32="I (Incomplete)"), 0, IF(BH47&gt;=55%, 1, 0))</f>
        <v>0</v>
      </c>
      <c r="BU47" s="165">
        <f>IF(OR(CSE4098B_Spring2026_Grade!$I32="W (Withdrawn)", CSE4098B_Spring2026_Grade!$I32="I (Incomplete)"), 0, IF(BI47&gt;=55%, 1, 0))</f>
        <v>1</v>
      </c>
      <c r="BV47" s="165">
        <f>IF(OR(CSE4098B_Spring2026_Grade!$I32="W (Withdrawn)", CSE4098B_Spring2026_Grade!$I32="I (Incomplete)"), 0, IF(BJ47&gt;=55%, 1, 0))</f>
        <v>1</v>
      </c>
      <c r="BW47" s="165">
        <f>IF(OR(CSE4098B_Spring2026_Grade!$I32="W (Withdrawn)", CSE4098B_Spring2026_Grade!$I32="I (Incomplete)"), 0, IF(BK47&gt;=55%, 1, 0))</f>
        <v>1</v>
      </c>
      <c r="BX47" s="165">
        <f>IF(OR(CSE4098B_Spring2026_Grade!$I32="W (Withdrawn)", CSE4098B_Spring2026_Grade!$I32="I (Incomplete)"), 0, IF(BL47&gt;=55%, 1, 0))</f>
        <v>1</v>
      </c>
      <c r="BY47" s="165">
        <f>IF(OR(CSE4098B_Spring2026_Grade!$I32="W (Withdrawn)", CSE4098B_Spring2026_Grade!$I32="I (Incomplete)"), 0, IF(BM47&gt;=55%, 1, 0))</f>
        <v>1</v>
      </c>
    </row>
    <row r="48">
      <c r="A48" s="153">
        <v>29.0</v>
      </c>
      <c r="B48" s="154">
        <f>CSE4098B_Spring2026_Grade!B33</f>
        <v>231014050</v>
      </c>
      <c r="C48" s="96" t="str">
        <f>CSE4098B_Spring2026_Grade!C33</f>
        <v>Mahmudul Hasan Zeshan </v>
      </c>
      <c r="D48" s="155">
        <f>'CO Report Evaluation'!AI31</f>
        <v>3.333333333</v>
      </c>
      <c r="E48" s="155">
        <f>'CO Report Evaluation'!AJ31</f>
        <v>2</v>
      </c>
      <c r="F48" s="155">
        <f>'CO Report Evaluation'!AK31</f>
        <v>2</v>
      </c>
      <c r="G48" s="156">
        <f>'CO Report Evaluation'!AL31</f>
        <v>1.666666667</v>
      </c>
      <c r="H48" s="156">
        <f>'CO Report Evaluation'!AM31</f>
        <v>2</v>
      </c>
      <c r="I48" s="157">
        <f>'CO Report Evaluation'!AN31</f>
        <v>2.333333333</v>
      </c>
      <c r="J48" s="157">
        <f>'CO Report Evaluation'!AO31</f>
        <v>1.666666667</v>
      </c>
      <c r="K48" s="157">
        <f>'CO Report Evaluation'!AP31</f>
        <v>1</v>
      </c>
      <c r="L48" s="158">
        <f>'CO Report Evaluation'!AQ31</f>
        <v>2</v>
      </c>
      <c r="M48" s="159"/>
      <c r="N48" s="160"/>
      <c r="O48" s="160"/>
      <c r="P48" s="160"/>
      <c r="Q48" s="160"/>
      <c r="R48" s="156">
        <f>CSE4098B_Spring2026_Grade!F33</f>
        <v>5</v>
      </c>
      <c r="S48" s="161">
        <f>((CSE4098B_Spring2026_Grade!E33)*10)/45</f>
        <v>7.628888889</v>
      </c>
      <c r="T48" s="162">
        <f t="shared" ref="T48:AB48" si="96">D48</f>
        <v>3.333333333</v>
      </c>
      <c r="U48" s="163">
        <f t="shared" si="96"/>
        <v>2</v>
      </c>
      <c r="V48" s="163">
        <f t="shared" si="96"/>
        <v>2</v>
      </c>
      <c r="W48" s="163">
        <f t="shared" si="96"/>
        <v>1.666666667</v>
      </c>
      <c r="X48" s="163">
        <f t="shared" si="96"/>
        <v>2</v>
      </c>
      <c r="Y48" s="163">
        <f t="shared" si="96"/>
        <v>2.333333333</v>
      </c>
      <c r="Z48" s="163">
        <f t="shared" si="96"/>
        <v>1.666666667</v>
      </c>
      <c r="AA48" s="163">
        <f t="shared" si="96"/>
        <v>1</v>
      </c>
      <c r="AB48" s="163">
        <f t="shared" si="96"/>
        <v>2</v>
      </c>
      <c r="AC48" s="163">
        <f t="shared" ref="AC48:AD48" si="97">R48</f>
        <v>5</v>
      </c>
      <c r="AD48" s="163">
        <f t="shared" si="97"/>
        <v>7.628888889</v>
      </c>
      <c r="AE48" s="164">
        <f t="shared" ref="AE48:AO48" si="98">IF(T48 = 0, 0, T48/T$19)</f>
        <v>0.5555555556</v>
      </c>
      <c r="AF48" s="164">
        <f t="shared" si="98"/>
        <v>0.6666666667</v>
      </c>
      <c r="AG48" s="164">
        <f t="shared" si="98"/>
        <v>0.6666666667</v>
      </c>
      <c r="AH48" s="164">
        <f t="shared" si="98"/>
        <v>0.5555555556</v>
      </c>
      <c r="AI48" s="164">
        <f t="shared" si="98"/>
        <v>0.6666666667</v>
      </c>
      <c r="AJ48" s="164">
        <f t="shared" si="98"/>
        <v>0.3888888889</v>
      </c>
      <c r="AK48" s="164">
        <f t="shared" si="98"/>
        <v>0.5555555556</v>
      </c>
      <c r="AL48" s="164">
        <f t="shared" si="98"/>
        <v>0.3333333333</v>
      </c>
      <c r="AM48" s="164">
        <f t="shared" si="98"/>
        <v>0.6666666667</v>
      </c>
      <c r="AN48" s="164">
        <f t="shared" si="98"/>
        <v>1</v>
      </c>
      <c r="AO48" s="164">
        <f t="shared" si="98"/>
        <v>0.7628888889</v>
      </c>
      <c r="AP48" s="165">
        <f>IF(OR(CSE4098B_Spring2026_Grade!$I33="W (Withdrawn)", CSE4098B_Spring2026_Grade!$I33="I (Incomplete)"), 0, IF(AE48&gt;=55%, 1, 0))</f>
        <v>1</v>
      </c>
      <c r="AQ48" s="165">
        <f>IF(OR(CSE4098B_Spring2026_Grade!$I33="W (Withdrawn)", CSE4098B_Spring2026_Grade!$I33="I (Incomplete)"), 0, IF(AF48&gt;=55%, 1, 0))</f>
        <v>1</v>
      </c>
      <c r="AR48" s="165">
        <f>IF(OR(CSE4098B_Spring2026_Grade!$I33="W (Withdrawn)", CSE4098B_Spring2026_Grade!$I33="I (Incomplete)"), 0, IF(AG48&gt;=55%, 1, 0))</f>
        <v>1</v>
      </c>
      <c r="AS48" s="165">
        <f>IF(OR(CSE4098B_Spring2026_Grade!$I33="W (Withdrawn)", CSE4098B_Spring2026_Grade!$I33="I (Incomplete)"), 0, IF(AH48&gt;=55%, 1, 0))</f>
        <v>1</v>
      </c>
      <c r="AT48" s="165">
        <f>IF(OR(CSE4098B_Spring2026_Grade!$I33="W (Withdrawn)", CSE4098B_Spring2026_Grade!$I33="I (Incomplete)"), 0, IF(AI48&gt;=55%, 1, 0))</f>
        <v>1</v>
      </c>
      <c r="AU48" s="165">
        <f>IF(OR(CSE4098B_Spring2026_Grade!$I33="W (Withdrawn)", CSE4098B_Spring2026_Grade!$I33="I (Incomplete)"), 0, IF(AJ48&gt;=55%, 1, 0))</f>
        <v>0</v>
      </c>
      <c r="AV48" s="165">
        <f>IF(OR(CSE4098B_Spring2026_Grade!$I33="W (Withdrawn)", CSE4098B_Spring2026_Grade!$I33="I (Incomplete)"), 0, IF(AK48&gt;=55%, 1, 0))</f>
        <v>1</v>
      </c>
      <c r="AW48" s="165">
        <f>IF(OR(CSE4098B_Spring2026_Grade!$I33="W (Withdrawn)", CSE4098B_Spring2026_Grade!$I33="I (Incomplete)"), 0, IF(AL48&gt;=55%, 1, 0))</f>
        <v>0</v>
      </c>
      <c r="AX48" s="165">
        <f>IF(OR(CSE4098B_Spring2026_Grade!$I33="W (Withdrawn)", CSE4098B_Spring2026_Grade!$I33="I (Incomplete)"), 0, IF(AM48&gt;=55%, 1, 0))</f>
        <v>1</v>
      </c>
      <c r="AY48" s="165">
        <f>IF(OR(CSE4098B_Spring2026_Grade!$I33="W (Withdrawn)", CSE4098B_Spring2026_Grade!$I33="I (Incomplete)"), 0, IF(AN48&gt;=55%, 1, 0))</f>
        <v>1</v>
      </c>
      <c r="AZ48" s="165">
        <f>IF(OR(CSE4098B_Spring2026_Grade!$I33="W (Withdrawn)", CSE4098B_Spring2026_Grade!$I33="I (Incomplete)"), 0, IF(AO48&gt;=55%, 1, 0))</f>
        <v>1</v>
      </c>
      <c r="BA48" s="76"/>
      <c r="BB48" s="166">
        <f t="shared" si="13"/>
        <v>0</v>
      </c>
      <c r="BC48" s="166">
        <f t="shared" si="14"/>
        <v>0.6666666667</v>
      </c>
      <c r="BD48" s="166">
        <f t="array" ref="BD48">IF($BC$14=0,0,MMULT($AE48:$AO48, BC$3:BC$13)/$BC$14)</f>
        <v>0.6666666667</v>
      </c>
      <c r="BE48" s="166">
        <f t="array" ref="BE48">IF($BD$14=0,0,MMULT($AE48:$AO48, BD$3:BD$13)/$BD$14)</f>
        <v>0.3888888889</v>
      </c>
      <c r="BF48" s="166">
        <f t="shared" si="15"/>
        <v>0.5555555556</v>
      </c>
      <c r="BG48" s="166">
        <f t="array" ref="BG48">IF($BF$14=0,0,MMULT($AE48:$AO48, BF$3:BF$13)/$BF$14)</f>
        <v>0.5555555556</v>
      </c>
      <c r="BH48" s="166">
        <f t="array" ref="BH48">IF($BG$14=0,0,MMULT($AE48:$AO48, BG$3:BG$13)/$BG$14)</f>
        <v>0.3333333333</v>
      </c>
      <c r="BI48" s="166">
        <f t="array" ref="BI48">IF($BH$14=0,0,MMULT($AE48:$AO48, BH$3:BH$13)/$BH$14)</f>
        <v>0.6666666667</v>
      </c>
      <c r="BJ48" s="166">
        <f t="array" ref="BJ48">IF($BI$14=0,0,MMULT($AE48:$AO48, BI$3:BI$13)/$BI$14)</f>
        <v>1</v>
      </c>
      <c r="BK48" s="166">
        <f t="array" ref="BK48">IF($BJ$14=0,0,MMULT($AE48:$AO48, BJ$3:BJ$13)/$BJ$14)</f>
        <v>0.7628888889</v>
      </c>
      <c r="BL48" s="166">
        <f t="shared" si="16"/>
        <v>0.6666666667</v>
      </c>
      <c r="BM48" s="166">
        <f t="shared" si="17"/>
        <v>0.5555555556</v>
      </c>
      <c r="BN48" s="165">
        <f>IF(OR(CSE4098B_Spring2026_Grade!$I33="W (Withdrawn)", CSE4098B_Spring2026_Grade!$I33="I (Incomplete)"), 0, IF(BB48&gt;=55%, 1, 0))</f>
        <v>0</v>
      </c>
      <c r="BO48" s="165">
        <f>IF(OR(CSE4098B_Spring2026_Grade!$I33="W (Withdrawn)", CSE4098B_Spring2026_Grade!$I33="I (Incomplete)"), 0, IF(BC48&gt;=55%, 1, 0))</f>
        <v>1</v>
      </c>
      <c r="BP48" s="165">
        <f>IF(OR(CSE4098B_Spring2026_Grade!$I33="W (Withdrawn)", CSE4098B_Spring2026_Grade!$I33="I (Incomplete)"), 0, IF(BD48&gt;=55%, 1, 0))</f>
        <v>1</v>
      </c>
      <c r="BQ48" s="165">
        <f>IF(OR(CSE4098B_Spring2026_Grade!$I33="W (Withdrawn)", CSE4098B_Spring2026_Grade!$I33="I (Incomplete)"), 0, IF(BE48&gt;=55%, 1, 0))</f>
        <v>0</v>
      </c>
      <c r="BR48" s="165">
        <f>IF(OR(CSE4098B_Spring2026_Grade!$I33="W (Withdrawn)", CSE4098B_Spring2026_Grade!$I33="I (Incomplete)"), 0, IF(BF48&gt;=55%, 1, 0))</f>
        <v>1</v>
      </c>
      <c r="BS48" s="165">
        <f>IF(OR(CSE4098B_Spring2026_Grade!$I33="W (Withdrawn)", CSE4098B_Spring2026_Grade!$I33="I (Incomplete)"), 0, IF(BG48&gt;=55%, 1, 0))</f>
        <v>1</v>
      </c>
      <c r="BT48" s="165">
        <f>IF(OR(CSE4098B_Spring2026_Grade!$I33="W (Withdrawn)", CSE4098B_Spring2026_Grade!$I33="I (Incomplete)"), 0, IF(BH48&gt;=55%, 1, 0))</f>
        <v>0</v>
      </c>
      <c r="BU48" s="165">
        <f>IF(OR(CSE4098B_Spring2026_Grade!$I33="W (Withdrawn)", CSE4098B_Spring2026_Grade!$I33="I (Incomplete)"), 0, IF(BI48&gt;=55%, 1, 0))</f>
        <v>1</v>
      </c>
      <c r="BV48" s="165">
        <f>IF(OR(CSE4098B_Spring2026_Grade!$I33="W (Withdrawn)", CSE4098B_Spring2026_Grade!$I33="I (Incomplete)"), 0, IF(BJ48&gt;=55%, 1, 0))</f>
        <v>1</v>
      </c>
      <c r="BW48" s="165">
        <f>IF(OR(CSE4098B_Spring2026_Grade!$I33="W (Withdrawn)", CSE4098B_Spring2026_Grade!$I33="I (Incomplete)"), 0, IF(BK48&gt;=55%, 1, 0))</f>
        <v>1</v>
      </c>
      <c r="BX48" s="165">
        <f>IF(OR(CSE4098B_Spring2026_Grade!$I33="W (Withdrawn)", CSE4098B_Spring2026_Grade!$I33="I (Incomplete)"), 0, IF(BL48&gt;=55%, 1, 0))</f>
        <v>1</v>
      </c>
      <c r="BY48" s="165">
        <f>IF(OR(CSE4098B_Spring2026_Grade!$I33="W (Withdrawn)", CSE4098B_Spring2026_Grade!$I33="I (Incomplete)"), 0, IF(BM48&gt;=55%, 1, 0))</f>
        <v>1</v>
      </c>
    </row>
    <row r="49">
      <c r="A49" s="153">
        <v>30.0</v>
      </c>
      <c r="B49" s="154">
        <f>CSE4098B_Spring2026_Grade!B34</f>
        <v>231014160</v>
      </c>
      <c r="C49" s="96" t="str">
        <f>CSE4098B_Spring2026_Grade!C34</f>
        <v>Aysha Siddika Methila</v>
      </c>
      <c r="D49" s="155">
        <f>'CO Report Evaluation'!AI32</f>
        <v>3.333333333</v>
      </c>
      <c r="E49" s="155">
        <f>'CO Report Evaluation'!AJ32</f>
        <v>2</v>
      </c>
      <c r="F49" s="155">
        <f>'CO Report Evaluation'!AK32</f>
        <v>2</v>
      </c>
      <c r="G49" s="156">
        <f>'CO Report Evaluation'!AL32</f>
        <v>1.666666667</v>
      </c>
      <c r="H49" s="156">
        <f>'CO Report Evaluation'!AM32</f>
        <v>2</v>
      </c>
      <c r="I49" s="157">
        <f>'CO Report Evaluation'!AN32</f>
        <v>2.333333333</v>
      </c>
      <c r="J49" s="157">
        <f>'CO Report Evaluation'!AO32</f>
        <v>1.666666667</v>
      </c>
      <c r="K49" s="157">
        <f>'CO Report Evaluation'!AP32</f>
        <v>1</v>
      </c>
      <c r="L49" s="158">
        <f>'CO Report Evaluation'!AQ32</f>
        <v>2</v>
      </c>
      <c r="M49" s="159"/>
      <c r="N49" s="160"/>
      <c r="O49" s="160"/>
      <c r="P49" s="160"/>
      <c r="Q49" s="160"/>
      <c r="R49" s="156">
        <f>CSE4098B_Spring2026_Grade!F34</f>
        <v>5</v>
      </c>
      <c r="S49" s="161">
        <f>((CSE4098B_Spring2026_Grade!E34)*10)/45</f>
        <v>7.628888889</v>
      </c>
      <c r="T49" s="162">
        <f t="shared" ref="T49:AB49" si="99">D49</f>
        <v>3.333333333</v>
      </c>
      <c r="U49" s="163">
        <f t="shared" si="99"/>
        <v>2</v>
      </c>
      <c r="V49" s="163">
        <f t="shared" si="99"/>
        <v>2</v>
      </c>
      <c r="W49" s="163">
        <f t="shared" si="99"/>
        <v>1.666666667</v>
      </c>
      <c r="X49" s="163">
        <f t="shared" si="99"/>
        <v>2</v>
      </c>
      <c r="Y49" s="163">
        <f t="shared" si="99"/>
        <v>2.333333333</v>
      </c>
      <c r="Z49" s="163">
        <f t="shared" si="99"/>
        <v>1.666666667</v>
      </c>
      <c r="AA49" s="163">
        <f t="shared" si="99"/>
        <v>1</v>
      </c>
      <c r="AB49" s="163">
        <f t="shared" si="99"/>
        <v>2</v>
      </c>
      <c r="AC49" s="163">
        <f t="shared" ref="AC49:AD49" si="100">R49</f>
        <v>5</v>
      </c>
      <c r="AD49" s="163">
        <f t="shared" si="100"/>
        <v>7.628888889</v>
      </c>
      <c r="AE49" s="164">
        <f t="shared" ref="AE49:AO49" si="101">IF(T49 = 0, 0, T49/T$19)</f>
        <v>0.5555555556</v>
      </c>
      <c r="AF49" s="164">
        <f t="shared" si="101"/>
        <v>0.6666666667</v>
      </c>
      <c r="AG49" s="164">
        <f t="shared" si="101"/>
        <v>0.6666666667</v>
      </c>
      <c r="AH49" s="164">
        <f t="shared" si="101"/>
        <v>0.5555555556</v>
      </c>
      <c r="AI49" s="164">
        <f t="shared" si="101"/>
        <v>0.6666666667</v>
      </c>
      <c r="AJ49" s="164">
        <f t="shared" si="101"/>
        <v>0.3888888889</v>
      </c>
      <c r="AK49" s="164">
        <f t="shared" si="101"/>
        <v>0.5555555556</v>
      </c>
      <c r="AL49" s="164">
        <f t="shared" si="101"/>
        <v>0.3333333333</v>
      </c>
      <c r="AM49" s="164">
        <f t="shared" si="101"/>
        <v>0.6666666667</v>
      </c>
      <c r="AN49" s="164">
        <f t="shared" si="101"/>
        <v>1</v>
      </c>
      <c r="AO49" s="164">
        <f t="shared" si="101"/>
        <v>0.7628888889</v>
      </c>
      <c r="AP49" s="165">
        <f>IF(OR(CSE4098B_Spring2026_Grade!$I34="W (Withdrawn)", CSE4098B_Spring2026_Grade!$I34="I (Incomplete)"), 0, IF(AE49&gt;=55%, 1, 0))</f>
        <v>1</v>
      </c>
      <c r="AQ49" s="165">
        <f>IF(OR(CSE4098B_Spring2026_Grade!$I34="W (Withdrawn)", CSE4098B_Spring2026_Grade!$I34="I (Incomplete)"), 0, IF(AF49&gt;=55%, 1, 0))</f>
        <v>1</v>
      </c>
      <c r="AR49" s="165">
        <f>IF(OR(CSE4098B_Spring2026_Grade!$I34="W (Withdrawn)", CSE4098B_Spring2026_Grade!$I34="I (Incomplete)"), 0, IF(AG49&gt;=55%, 1, 0))</f>
        <v>1</v>
      </c>
      <c r="AS49" s="165">
        <f>IF(OR(CSE4098B_Spring2026_Grade!$I34="W (Withdrawn)", CSE4098B_Spring2026_Grade!$I34="I (Incomplete)"), 0, IF(AH49&gt;=55%, 1, 0))</f>
        <v>1</v>
      </c>
      <c r="AT49" s="165">
        <f>IF(OR(CSE4098B_Spring2026_Grade!$I34="W (Withdrawn)", CSE4098B_Spring2026_Grade!$I34="I (Incomplete)"), 0, IF(AI49&gt;=55%, 1, 0))</f>
        <v>1</v>
      </c>
      <c r="AU49" s="165">
        <f>IF(OR(CSE4098B_Spring2026_Grade!$I34="W (Withdrawn)", CSE4098B_Spring2026_Grade!$I34="I (Incomplete)"), 0, IF(AJ49&gt;=55%, 1, 0))</f>
        <v>0</v>
      </c>
      <c r="AV49" s="165">
        <f>IF(OR(CSE4098B_Spring2026_Grade!$I34="W (Withdrawn)", CSE4098B_Spring2026_Grade!$I34="I (Incomplete)"), 0, IF(AK49&gt;=55%, 1, 0))</f>
        <v>1</v>
      </c>
      <c r="AW49" s="165">
        <f>IF(OR(CSE4098B_Spring2026_Grade!$I34="W (Withdrawn)", CSE4098B_Spring2026_Grade!$I34="I (Incomplete)"), 0, IF(AL49&gt;=55%, 1, 0))</f>
        <v>0</v>
      </c>
      <c r="AX49" s="165">
        <f>IF(OR(CSE4098B_Spring2026_Grade!$I34="W (Withdrawn)", CSE4098B_Spring2026_Grade!$I34="I (Incomplete)"), 0, IF(AM49&gt;=55%, 1, 0))</f>
        <v>1</v>
      </c>
      <c r="AY49" s="165">
        <f>IF(OR(CSE4098B_Spring2026_Grade!$I34="W (Withdrawn)", CSE4098B_Spring2026_Grade!$I34="I (Incomplete)"), 0, IF(AN49&gt;=55%, 1, 0))</f>
        <v>1</v>
      </c>
      <c r="AZ49" s="165">
        <f>IF(OR(CSE4098B_Spring2026_Grade!$I34="W (Withdrawn)", CSE4098B_Spring2026_Grade!$I34="I (Incomplete)"), 0, IF(AO49&gt;=55%, 1, 0))</f>
        <v>1</v>
      </c>
      <c r="BA49" s="76"/>
      <c r="BB49" s="166">
        <f t="shared" si="13"/>
        <v>0</v>
      </c>
      <c r="BC49" s="166">
        <f t="shared" si="14"/>
        <v>0.6666666667</v>
      </c>
      <c r="BD49" s="166">
        <f t="array" ref="BD49">IF($BC$14=0,0,MMULT($AE49:$AO49, BC$3:BC$13)/$BC$14)</f>
        <v>0.6666666667</v>
      </c>
      <c r="BE49" s="166">
        <f t="array" ref="BE49">IF($BD$14=0,0,MMULT($AE49:$AO49, BD$3:BD$13)/$BD$14)</f>
        <v>0.3888888889</v>
      </c>
      <c r="BF49" s="166">
        <f t="shared" si="15"/>
        <v>0.5555555556</v>
      </c>
      <c r="BG49" s="166">
        <f t="array" ref="BG49">IF($BF$14=0,0,MMULT($AE49:$AO49, BF$3:BF$13)/$BF$14)</f>
        <v>0.5555555556</v>
      </c>
      <c r="BH49" s="166">
        <f t="array" ref="BH49">IF($BG$14=0,0,MMULT($AE49:$AO49, BG$3:BG$13)/$BG$14)</f>
        <v>0.3333333333</v>
      </c>
      <c r="BI49" s="166">
        <f t="array" ref="BI49">IF($BH$14=0,0,MMULT($AE49:$AO49, BH$3:BH$13)/$BH$14)</f>
        <v>0.6666666667</v>
      </c>
      <c r="BJ49" s="166">
        <f t="array" ref="BJ49">IF($BI$14=0,0,MMULT($AE49:$AO49, BI$3:BI$13)/$BI$14)</f>
        <v>1</v>
      </c>
      <c r="BK49" s="166">
        <f t="array" ref="BK49">IF($BJ$14=0,0,MMULT($AE49:$AO49, BJ$3:BJ$13)/$BJ$14)</f>
        <v>0.7628888889</v>
      </c>
      <c r="BL49" s="166">
        <f t="shared" si="16"/>
        <v>0.6666666667</v>
      </c>
      <c r="BM49" s="166">
        <f t="shared" si="17"/>
        <v>0.5555555556</v>
      </c>
      <c r="BN49" s="165">
        <f>IF(OR(CSE4098B_Spring2026_Grade!$I34="W (Withdrawn)", CSE4098B_Spring2026_Grade!$I34="I (Incomplete)"), 0, IF(BB49&gt;=55%, 1, 0))</f>
        <v>0</v>
      </c>
      <c r="BO49" s="165">
        <f>IF(OR(CSE4098B_Spring2026_Grade!$I34="W (Withdrawn)", CSE4098B_Spring2026_Grade!$I34="I (Incomplete)"), 0, IF(BC49&gt;=55%, 1, 0))</f>
        <v>1</v>
      </c>
      <c r="BP49" s="165">
        <f>IF(OR(CSE4098B_Spring2026_Grade!$I34="W (Withdrawn)", CSE4098B_Spring2026_Grade!$I34="I (Incomplete)"), 0, IF(BD49&gt;=55%, 1, 0))</f>
        <v>1</v>
      </c>
      <c r="BQ49" s="165">
        <f>IF(OR(CSE4098B_Spring2026_Grade!$I34="W (Withdrawn)", CSE4098B_Spring2026_Grade!$I34="I (Incomplete)"), 0, IF(BE49&gt;=55%, 1, 0))</f>
        <v>0</v>
      </c>
      <c r="BR49" s="165">
        <f>IF(OR(CSE4098B_Spring2026_Grade!$I34="W (Withdrawn)", CSE4098B_Spring2026_Grade!$I34="I (Incomplete)"), 0, IF(BF49&gt;=55%, 1, 0))</f>
        <v>1</v>
      </c>
      <c r="BS49" s="165">
        <f>IF(OR(CSE4098B_Spring2026_Grade!$I34="W (Withdrawn)", CSE4098B_Spring2026_Grade!$I34="I (Incomplete)"), 0, IF(BG49&gt;=55%, 1, 0))</f>
        <v>1</v>
      </c>
      <c r="BT49" s="165">
        <f>IF(OR(CSE4098B_Spring2026_Grade!$I34="W (Withdrawn)", CSE4098B_Spring2026_Grade!$I34="I (Incomplete)"), 0, IF(BH49&gt;=55%, 1, 0))</f>
        <v>0</v>
      </c>
      <c r="BU49" s="165">
        <f>IF(OR(CSE4098B_Spring2026_Grade!$I34="W (Withdrawn)", CSE4098B_Spring2026_Grade!$I34="I (Incomplete)"), 0, IF(BI49&gt;=55%, 1, 0))</f>
        <v>1</v>
      </c>
      <c r="BV49" s="165">
        <f>IF(OR(CSE4098B_Spring2026_Grade!$I34="W (Withdrawn)", CSE4098B_Spring2026_Grade!$I34="I (Incomplete)"), 0, IF(BJ49&gt;=55%, 1, 0))</f>
        <v>1</v>
      </c>
      <c r="BW49" s="165">
        <f>IF(OR(CSE4098B_Spring2026_Grade!$I34="W (Withdrawn)", CSE4098B_Spring2026_Grade!$I34="I (Incomplete)"), 0, IF(BK49&gt;=55%, 1, 0))</f>
        <v>1</v>
      </c>
      <c r="BX49" s="165">
        <f>IF(OR(CSE4098B_Spring2026_Grade!$I34="W (Withdrawn)", CSE4098B_Spring2026_Grade!$I34="I (Incomplete)"), 0, IF(BL49&gt;=55%, 1, 0))</f>
        <v>1</v>
      </c>
      <c r="BY49" s="165">
        <f>IF(OR(CSE4098B_Spring2026_Grade!$I34="W (Withdrawn)", CSE4098B_Spring2026_Grade!$I34="I (Incomplete)"), 0, IF(BM49&gt;=55%, 1, 0))</f>
        <v>1</v>
      </c>
    </row>
    <row r="50">
      <c r="A50" s="153">
        <v>31.0</v>
      </c>
      <c r="B50" s="154">
        <f>CSE4098B_Spring2026_Grade!B35</f>
        <v>231014116</v>
      </c>
      <c r="C50" s="96" t="str">
        <f>CSE4098B_Spring2026_Grade!C35</f>
        <v>Sukanta Majumder</v>
      </c>
      <c r="D50" s="155">
        <f>'CO Report Evaluation'!AI33</f>
        <v>3.333333333</v>
      </c>
      <c r="E50" s="155">
        <f>'CO Report Evaluation'!AJ33</f>
        <v>2</v>
      </c>
      <c r="F50" s="155">
        <f>'CO Report Evaluation'!AK33</f>
        <v>2</v>
      </c>
      <c r="G50" s="156">
        <f>'CO Report Evaluation'!AL33</f>
        <v>1.666666667</v>
      </c>
      <c r="H50" s="156">
        <f>'CO Report Evaluation'!AM33</f>
        <v>2</v>
      </c>
      <c r="I50" s="157">
        <f>'CO Report Evaluation'!AN33</f>
        <v>2.333333333</v>
      </c>
      <c r="J50" s="157">
        <f>'CO Report Evaluation'!AO33</f>
        <v>1.666666667</v>
      </c>
      <c r="K50" s="157">
        <f>'CO Report Evaluation'!AP33</f>
        <v>1</v>
      </c>
      <c r="L50" s="158">
        <f>'CO Report Evaluation'!AQ33</f>
        <v>2</v>
      </c>
      <c r="M50" s="159"/>
      <c r="N50" s="160"/>
      <c r="O50" s="160"/>
      <c r="P50" s="160"/>
      <c r="Q50" s="160"/>
      <c r="R50" s="156">
        <f>CSE4098B_Spring2026_Grade!F35</f>
        <v>5</v>
      </c>
      <c r="S50" s="161">
        <f>((CSE4098B_Spring2026_Grade!E35)*10)/45</f>
        <v>7.628888889</v>
      </c>
      <c r="T50" s="162">
        <f t="shared" ref="T50:AB50" si="102">D50</f>
        <v>3.333333333</v>
      </c>
      <c r="U50" s="163">
        <f t="shared" si="102"/>
        <v>2</v>
      </c>
      <c r="V50" s="163">
        <f t="shared" si="102"/>
        <v>2</v>
      </c>
      <c r="W50" s="163">
        <f t="shared" si="102"/>
        <v>1.666666667</v>
      </c>
      <c r="X50" s="163">
        <f t="shared" si="102"/>
        <v>2</v>
      </c>
      <c r="Y50" s="163">
        <f t="shared" si="102"/>
        <v>2.333333333</v>
      </c>
      <c r="Z50" s="163">
        <f t="shared" si="102"/>
        <v>1.666666667</v>
      </c>
      <c r="AA50" s="163">
        <f t="shared" si="102"/>
        <v>1</v>
      </c>
      <c r="AB50" s="163">
        <f t="shared" si="102"/>
        <v>2</v>
      </c>
      <c r="AC50" s="163">
        <f t="shared" ref="AC50:AD50" si="103">R50</f>
        <v>5</v>
      </c>
      <c r="AD50" s="163">
        <f t="shared" si="103"/>
        <v>7.628888889</v>
      </c>
      <c r="AE50" s="164">
        <f t="shared" ref="AE50:AO50" si="104">IF(T50 = 0, 0, T50/T$19)</f>
        <v>0.5555555556</v>
      </c>
      <c r="AF50" s="164">
        <f t="shared" si="104"/>
        <v>0.6666666667</v>
      </c>
      <c r="AG50" s="164">
        <f t="shared" si="104"/>
        <v>0.6666666667</v>
      </c>
      <c r="AH50" s="164">
        <f t="shared" si="104"/>
        <v>0.5555555556</v>
      </c>
      <c r="AI50" s="164">
        <f t="shared" si="104"/>
        <v>0.6666666667</v>
      </c>
      <c r="AJ50" s="164">
        <f t="shared" si="104"/>
        <v>0.3888888889</v>
      </c>
      <c r="AK50" s="164">
        <f t="shared" si="104"/>
        <v>0.5555555556</v>
      </c>
      <c r="AL50" s="164">
        <f t="shared" si="104"/>
        <v>0.3333333333</v>
      </c>
      <c r="AM50" s="164">
        <f t="shared" si="104"/>
        <v>0.6666666667</v>
      </c>
      <c r="AN50" s="164">
        <f t="shared" si="104"/>
        <v>1</v>
      </c>
      <c r="AO50" s="164">
        <f t="shared" si="104"/>
        <v>0.7628888889</v>
      </c>
      <c r="AP50" s="165">
        <f>IF(OR(CSE4098B_Spring2026_Grade!$I35="W (Withdrawn)", CSE4098B_Spring2026_Grade!$I35="I (Incomplete)"), 0, IF(AE50&gt;=55%, 1, 0))</f>
        <v>1</v>
      </c>
      <c r="AQ50" s="165">
        <f>IF(OR(CSE4098B_Spring2026_Grade!$I35="W (Withdrawn)", CSE4098B_Spring2026_Grade!$I35="I (Incomplete)"), 0, IF(AF50&gt;=55%, 1, 0))</f>
        <v>1</v>
      </c>
      <c r="AR50" s="165">
        <f>IF(OR(CSE4098B_Spring2026_Grade!$I35="W (Withdrawn)", CSE4098B_Spring2026_Grade!$I35="I (Incomplete)"), 0, IF(AG50&gt;=55%, 1, 0))</f>
        <v>1</v>
      </c>
      <c r="AS50" s="165">
        <f>IF(OR(CSE4098B_Spring2026_Grade!$I35="W (Withdrawn)", CSE4098B_Spring2026_Grade!$I35="I (Incomplete)"), 0, IF(AH50&gt;=55%, 1, 0))</f>
        <v>1</v>
      </c>
      <c r="AT50" s="165">
        <f>IF(OR(CSE4098B_Spring2026_Grade!$I35="W (Withdrawn)", CSE4098B_Spring2026_Grade!$I35="I (Incomplete)"), 0, IF(AI50&gt;=55%, 1, 0))</f>
        <v>1</v>
      </c>
      <c r="AU50" s="165">
        <f>IF(OR(CSE4098B_Spring2026_Grade!$I35="W (Withdrawn)", CSE4098B_Spring2026_Grade!$I35="I (Incomplete)"), 0, IF(AJ50&gt;=55%, 1, 0))</f>
        <v>0</v>
      </c>
      <c r="AV50" s="165">
        <f>IF(OR(CSE4098B_Spring2026_Grade!$I35="W (Withdrawn)", CSE4098B_Spring2026_Grade!$I35="I (Incomplete)"), 0, IF(AK50&gt;=55%, 1, 0))</f>
        <v>1</v>
      </c>
      <c r="AW50" s="165">
        <f>IF(OR(CSE4098B_Spring2026_Grade!$I35="W (Withdrawn)", CSE4098B_Spring2026_Grade!$I35="I (Incomplete)"), 0, IF(AL50&gt;=55%, 1, 0))</f>
        <v>0</v>
      </c>
      <c r="AX50" s="165">
        <f>IF(OR(CSE4098B_Spring2026_Grade!$I35="W (Withdrawn)", CSE4098B_Spring2026_Grade!$I35="I (Incomplete)"), 0, IF(AM50&gt;=55%, 1, 0))</f>
        <v>1</v>
      </c>
      <c r="AY50" s="165">
        <f>IF(OR(CSE4098B_Spring2026_Grade!$I35="W (Withdrawn)", CSE4098B_Spring2026_Grade!$I35="I (Incomplete)"), 0, IF(AN50&gt;=55%, 1, 0))</f>
        <v>1</v>
      </c>
      <c r="AZ50" s="165">
        <f>IF(OR(CSE4098B_Spring2026_Grade!$I35="W (Withdrawn)", CSE4098B_Spring2026_Grade!$I35="I (Incomplete)"), 0, IF(AO50&gt;=55%, 1, 0))</f>
        <v>1</v>
      </c>
      <c r="BA50" s="76"/>
      <c r="BB50" s="166">
        <f t="shared" si="13"/>
        <v>0</v>
      </c>
      <c r="BC50" s="166">
        <f t="shared" si="14"/>
        <v>0.6666666667</v>
      </c>
      <c r="BD50" s="166">
        <f t="array" ref="BD50">IF($BC$14=0,0,MMULT($AE50:$AO50, BC$3:BC$13)/$BC$14)</f>
        <v>0.6666666667</v>
      </c>
      <c r="BE50" s="166">
        <f t="array" ref="BE50">IF($BD$14=0,0,MMULT($AE50:$AO50, BD$3:BD$13)/$BD$14)</f>
        <v>0.3888888889</v>
      </c>
      <c r="BF50" s="166">
        <f t="shared" si="15"/>
        <v>0.5555555556</v>
      </c>
      <c r="BG50" s="166">
        <f t="array" ref="BG50">IF($BF$14=0,0,MMULT($AE50:$AO50, BF$3:BF$13)/$BF$14)</f>
        <v>0.5555555556</v>
      </c>
      <c r="BH50" s="166">
        <f t="array" ref="BH50">IF($BG$14=0,0,MMULT($AE50:$AO50, BG$3:BG$13)/$BG$14)</f>
        <v>0.3333333333</v>
      </c>
      <c r="BI50" s="166">
        <f t="array" ref="BI50">IF($BH$14=0,0,MMULT($AE50:$AO50, BH$3:BH$13)/$BH$14)</f>
        <v>0.6666666667</v>
      </c>
      <c r="BJ50" s="166">
        <f t="array" ref="BJ50">IF($BI$14=0,0,MMULT($AE50:$AO50, BI$3:BI$13)/$BI$14)</f>
        <v>1</v>
      </c>
      <c r="BK50" s="166">
        <f t="array" ref="BK50">IF($BJ$14=0,0,MMULT($AE50:$AO50, BJ$3:BJ$13)/$BJ$14)</f>
        <v>0.7628888889</v>
      </c>
      <c r="BL50" s="166">
        <f t="shared" si="16"/>
        <v>0.6666666667</v>
      </c>
      <c r="BM50" s="166">
        <f t="shared" si="17"/>
        <v>0.5555555556</v>
      </c>
      <c r="BN50" s="165">
        <f>IF(OR(CSE4098B_Spring2026_Grade!$I35="W (Withdrawn)", CSE4098B_Spring2026_Grade!$I35="I (Incomplete)"), 0, IF(BB50&gt;=55%, 1, 0))</f>
        <v>0</v>
      </c>
      <c r="BO50" s="165">
        <f>IF(OR(CSE4098B_Spring2026_Grade!$I35="W (Withdrawn)", CSE4098B_Spring2026_Grade!$I35="I (Incomplete)"), 0, IF(BC50&gt;=55%, 1, 0))</f>
        <v>1</v>
      </c>
      <c r="BP50" s="165">
        <f>IF(OR(CSE4098B_Spring2026_Grade!$I35="W (Withdrawn)", CSE4098B_Spring2026_Grade!$I35="I (Incomplete)"), 0, IF(BD50&gt;=55%, 1, 0))</f>
        <v>1</v>
      </c>
      <c r="BQ50" s="165">
        <f>IF(OR(CSE4098B_Spring2026_Grade!$I35="W (Withdrawn)", CSE4098B_Spring2026_Grade!$I35="I (Incomplete)"), 0, IF(BE50&gt;=55%, 1, 0))</f>
        <v>0</v>
      </c>
      <c r="BR50" s="165">
        <f>IF(OR(CSE4098B_Spring2026_Grade!$I35="W (Withdrawn)", CSE4098B_Spring2026_Grade!$I35="I (Incomplete)"), 0, IF(BF50&gt;=55%, 1, 0))</f>
        <v>1</v>
      </c>
      <c r="BS50" s="165">
        <f>IF(OR(CSE4098B_Spring2026_Grade!$I35="W (Withdrawn)", CSE4098B_Spring2026_Grade!$I35="I (Incomplete)"), 0, IF(BG50&gt;=55%, 1, 0))</f>
        <v>1</v>
      </c>
      <c r="BT50" s="165">
        <f>IF(OR(CSE4098B_Spring2026_Grade!$I35="W (Withdrawn)", CSE4098B_Spring2026_Grade!$I35="I (Incomplete)"), 0, IF(BH50&gt;=55%, 1, 0))</f>
        <v>0</v>
      </c>
      <c r="BU50" s="165">
        <f>IF(OR(CSE4098B_Spring2026_Grade!$I35="W (Withdrawn)", CSE4098B_Spring2026_Grade!$I35="I (Incomplete)"), 0, IF(BI50&gt;=55%, 1, 0))</f>
        <v>1</v>
      </c>
      <c r="BV50" s="165">
        <f>IF(OR(CSE4098B_Spring2026_Grade!$I35="W (Withdrawn)", CSE4098B_Spring2026_Grade!$I35="I (Incomplete)"), 0, IF(BJ50&gt;=55%, 1, 0))</f>
        <v>1</v>
      </c>
      <c r="BW50" s="165">
        <f>IF(OR(CSE4098B_Spring2026_Grade!$I35="W (Withdrawn)", CSE4098B_Spring2026_Grade!$I35="I (Incomplete)"), 0, IF(BK50&gt;=55%, 1, 0))</f>
        <v>1</v>
      </c>
      <c r="BX50" s="165">
        <f>IF(OR(CSE4098B_Spring2026_Grade!$I35="W (Withdrawn)", CSE4098B_Spring2026_Grade!$I35="I (Incomplete)"), 0, IF(BL50&gt;=55%, 1, 0))</f>
        <v>1</v>
      </c>
      <c r="BY50" s="165">
        <f>IF(OR(CSE4098B_Spring2026_Grade!$I35="W (Withdrawn)", CSE4098B_Spring2026_Grade!$I35="I (Incomplete)"), 0, IF(BM50&gt;=55%, 1, 0))</f>
        <v>1</v>
      </c>
    </row>
    <row r="51">
      <c r="A51" s="153">
        <v>32.0</v>
      </c>
      <c r="B51" s="154">
        <f>CSE4098B_Spring2026_Grade!B36</f>
        <v>212014015</v>
      </c>
      <c r="C51" s="96" t="str">
        <f>CSE4098B_Spring2026_Grade!C36</f>
        <v>Md. Arif Hossain Mir</v>
      </c>
      <c r="D51" s="155">
        <f>'CO Report Evaluation'!AI34</f>
        <v>4</v>
      </c>
      <c r="E51" s="155">
        <f>'CO Report Evaluation'!AJ34</f>
        <v>1.333333333</v>
      </c>
      <c r="F51" s="155">
        <f>'CO Report Evaluation'!AK34</f>
        <v>1.333333333</v>
      </c>
      <c r="G51" s="156">
        <f>'CO Report Evaluation'!AL34</f>
        <v>1.666666667</v>
      </c>
      <c r="H51" s="156">
        <f>'CO Report Evaluation'!AM34</f>
        <v>1.666666667</v>
      </c>
      <c r="I51" s="157">
        <f>'CO Report Evaluation'!AN34</f>
        <v>3.333333333</v>
      </c>
      <c r="J51" s="157">
        <f>'CO Report Evaluation'!AO34</f>
        <v>1.333333333</v>
      </c>
      <c r="K51" s="157">
        <f>'CO Report Evaluation'!AP34</f>
        <v>1.666666667</v>
      </c>
      <c r="L51" s="158">
        <f>'CO Report Evaluation'!AQ34</f>
        <v>2</v>
      </c>
      <c r="M51" s="159"/>
      <c r="N51" s="160"/>
      <c r="O51" s="160"/>
      <c r="P51" s="160"/>
      <c r="Q51" s="160"/>
      <c r="R51" s="156">
        <f>CSE4098B_Spring2026_Grade!F36</f>
        <v>4</v>
      </c>
      <c r="S51" s="161">
        <f>((CSE4098B_Spring2026_Grade!E36)*10)/45</f>
        <v>8.691111111</v>
      </c>
      <c r="T51" s="162">
        <f t="shared" ref="T51:AB51" si="105">D51</f>
        <v>4</v>
      </c>
      <c r="U51" s="163">
        <f t="shared" si="105"/>
        <v>1.333333333</v>
      </c>
      <c r="V51" s="163">
        <f t="shared" si="105"/>
        <v>1.333333333</v>
      </c>
      <c r="W51" s="163">
        <f t="shared" si="105"/>
        <v>1.666666667</v>
      </c>
      <c r="X51" s="163">
        <f t="shared" si="105"/>
        <v>1.666666667</v>
      </c>
      <c r="Y51" s="163">
        <f t="shared" si="105"/>
        <v>3.333333333</v>
      </c>
      <c r="Z51" s="163">
        <f t="shared" si="105"/>
        <v>1.333333333</v>
      </c>
      <c r="AA51" s="163">
        <f t="shared" si="105"/>
        <v>1.666666667</v>
      </c>
      <c r="AB51" s="163">
        <f t="shared" si="105"/>
        <v>2</v>
      </c>
      <c r="AC51" s="163">
        <f t="shared" ref="AC51:AD51" si="106">R51</f>
        <v>4</v>
      </c>
      <c r="AD51" s="163">
        <f t="shared" si="106"/>
        <v>8.691111111</v>
      </c>
      <c r="AE51" s="164">
        <f t="shared" ref="AE51:AO51" si="107">IF(T51 = 0, 0, T51/T$19)</f>
        <v>0.6666666667</v>
      </c>
      <c r="AF51" s="164">
        <f t="shared" si="107"/>
        <v>0.4444444444</v>
      </c>
      <c r="AG51" s="164">
        <f t="shared" si="107"/>
        <v>0.4444444444</v>
      </c>
      <c r="AH51" s="164">
        <f t="shared" si="107"/>
        <v>0.5555555556</v>
      </c>
      <c r="AI51" s="164">
        <f t="shared" si="107"/>
        <v>0.5555555556</v>
      </c>
      <c r="AJ51" s="164">
        <f t="shared" si="107"/>
        <v>0.5555555556</v>
      </c>
      <c r="AK51" s="164">
        <f t="shared" si="107"/>
        <v>0.4444444444</v>
      </c>
      <c r="AL51" s="164">
        <f t="shared" si="107"/>
        <v>0.5555555556</v>
      </c>
      <c r="AM51" s="164">
        <f t="shared" si="107"/>
        <v>0.6666666667</v>
      </c>
      <c r="AN51" s="164">
        <f t="shared" si="107"/>
        <v>0.8</v>
      </c>
      <c r="AO51" s="164">
        <f t="shared" si="107"/>
        <v>0.8691111111</v>
      </c>
      <c r="AP51" s="165">
        <f>IF(OR(CSE4098B_Spring2026_Grade!$I36="W (Withdrawn)", CSE4098B_Spring2026_Grade!$I36="I (Incomplete)"), 0, IF(AE51&gt;=55%, 1, 0))</f>
        <v>1</v>
      </c>
      <c r="AQ51" s="165">
        <f>IF(OR(CSE4098B_Spring2026_Grade!$I36="W (Withdrawn)", CSE4098B_Spring2026_Grade!$I36="I (Incomplete)"), 0, IF(AF51&gt;=55%, 1, 0))</f>
        <v>0</v>
      </c>
      <c r="AR51" s="165">
        <f>IF(OR(CSE4098B_Spring2026_Grade!$I36="W (Withdrawn)", CSE4098B_Spring2026_Grade!$I36="I (Incomplete)"), 0, IF(AG51&gt;=55%, 1, 0))</f>
        <v>0</v>
      </c>
      <c r="AS51" s="165">
        <f>IF(OR(CSE4098B_Spring2026_Grade!$I36="W (Withdrawn)", CSE4098B_Spring2026_Grade!$I36="I (Incomplete)"), 0, IF(AH51&gt;=55%, 1, 0))</f>
        <v>1</v>
      </c>
      <c r="AT51" s="165">
        <f>IF(OR(CSE4098B_Spring2026_Grade!$I36="W (Withdrawn)", CSE4098B_Spring2026_Grade!$I36="I (Incomplete)"), 0, IF(AI51&gt;=55%, 1, 0))</f>
        <v>1</v>
      </c>
      <c r="AU51" s="165">
        <f>IF(OR(CSE4098B_Spring2026_Grade!$I36="W (Withdrawn)", CSE4098B_Spring2026_Grade!$I36="I (Incomplete)"), 0, IF(AJ51&gt;=55%, 1, 0))</f>
        <v>1</v>
      </c>
      <c r="AV51" s="165">
        <f>IF(OR(CSE4098B_Spring2026_Grade!$I36="W (Withdrawn)", CSE4098B_Spring2026_Grade!$I36="I (Incomplete)"), 0, IF(AK51&gt;=55%, 1, 0))</f>
        <v>0</v>
      </c>
      <c r="AW51" s="165">
        <f>IF(OR(CSE4098B_Spring2026_Grade!$I36="W (Withdrawn)", CSE4098B_Spring2026_Grade!$I36="I (Incomplete)"), 0, IF(AL51&gt;=55%, 1, 0))</f>
        <v>1</v>
      </c>
      <c r="AX51" s="165">
        <f>IF(OR(CSE4098B_Spring2026_Grade!$I36="W (Withdrawn)", CSE4098B_Spring2026_Grade!$I36="I (Incomplete)"), 0, IF(AM51&gt;=55%, 1, 0))</f>
        <v>1</v>
      </c>
      <c r="AY51" s="165">
        <f>IF(OR(CSE4098B_Spring2026_Grade!$I36="W (Withdrawn)", CSE4098B_Spring2026_Grade!$I36="I (Incomplete)"), 0, IF(AN51&gt;=55%, 1, 0))</f>
        <v>1</v>
      </c>
      <c r="AZ51" s="165">
        <f>IF(OR(CSE4098B_Spring2026_Grade!$I36="W (Withdrawn)", CSE4098B_Spring2026_Grade!$I36="I (Incomplete)"), 0, IF(AO51&gt;=55%, 1, 0))</f>
        <v>1</v>
      </c>
      <c r="BA51" s="76"/>
      <c r="BB51" s="166">
        <f t="shared" si="13"/>
        <v>0</v>
      </c>
      <c r="BC51" s="166">
        <f t="shared" si="14"/>
        <v>0.4444444444</v>
      </c>
      <c r="BD51" s="166">
        <f t="array" ref="BD51">IF($BC$14=0,0,MMULT($AE51:$AO51, BC$3:BC$13)/$BC$14)</f>
        <v>0.5555555556</v>
      </c>
      <c r="BE51" s="166">
        <f t="array" ref="BE51">IF($BD$14=0,0,MMULT($AE51:$AO51, BD$3:BD$13)/$BD$14)</f>
        <v>0.5555555556</v>
      </c>
      <c r="BF51" s="166">
        <f t="shared" si="15"/>
        <v>0.5555555556</v>
      </c>
      <c r="BG51" s="166">
        <f t="array" ref="BG51">IF($BF$14=0,0,MMULT($AE51:$AO51, BF$3:BF$13)/$BF$14)</f>
        <v>0.4444444444</v>
      </c>
      <c r="BH51" s="166">
        <f t="array" ref="BH51">IF($BG$14=0,0,MMULT($AE51:$AO51, BG$3:BG$13)/$BG$14)</f>
        <v>0.5555555556</v>
      </c>
      <c r="BI51" s="166">
        <f t="array" ref="BI51">IF($BH$14=0,0,MMULT($AE51:$AO51, BH$3:BH$13)/$BH$14)</f>
        <v>0.6666666667</v>
      </c>
      <c r="BJ51" s="166">
        <f t="array" ref="BJ51">IF($BI$14=0,0,MMULT($AE51:$AO51, BI$3:BI$13)/$BI$14)</f>
        <v>0.8</v>
      </c>
      <c r="BK51" s="166">
        <f t="array" ref="BK51">IF($BJ$14=0,0,MMULT($AE51:$AO51, BJ$3:BJ$13)/$BJ$14)</f>
        <v>0.8691111111</v>
      </c>
      <c r="BL51" s="166">
        <f t="shared" si="16"/>
        <v>0.4444444444</v>
      </c>
      <c r="BM51" s="166">
        <f t="shared" si="17"/>
        <v>0.6666666667</v>
      </c>
      <c r="BN51" s="165">
        <f>IF(OR(CSE4098B_Spring2026_Grade!$I36="W (Withdrawn)", CSE4098B_Spring2026_Grade!$I36="I (Incomplete)"), 0, IF(BB51&gt;=55%, 1, 0))</f>
        <v>0</v>
      </c>
      <c r="BO51" s="165">
        <f>IF(OR(CSE4098B_Spring2026_Grade!$I36="W (Withdrawn)", CSE4098B_Spring2026_Grade!$I36="I (Incomplete)"), 0, IF(BC51&gt;=55%, 1, 0))</f>
        <v>0</v>
      </c>
      <c r="BP51" s="165">
        <f>IF(OR(CSE4098B_Spring2026_Grade!$I36="W (Withdrawn)", CSE4098B_Spring2026_Grade!$I36="I (Incomplete)"), 0, IF(BD51&gt;=55%, 1, 0))</f>
        <v>1</v>
      </c>
      <c r="BQ51" s="165">
        <f>IF(OR(CSE4098B_Spring2026_Grade!$I36="W (Withdrawn)", CSE4098B_Spring2026_Grade!$I36="I (Incomplete)"), 0, IF(BE51&gt;=55%, 1, 0))</f>
        <v>1</v>
      </c>
      <c r="BR51" s="165">
        <f>IF(OR(CSE4098B_Spring2026_Grade!$I36="W (Withdrawn)", CSE4098B_Spring2026_Grade!$I36="I (Incomplete)"), 0, IF(BF51&gt;=55%, 1, 0))</f>
        <v>1</v>
      </c>
      <c r="BS51" s="165">
        <f>IF(OR(CSE4098B_Spring2026_Grade!$I36="W (Withdrawn)", CSE4098B_Spring2026_Grade!$I36="I (Incomplete)"), 0, IF(BG51&gt;=55%, 1, 0))</f>
        <v>0</v>
      </c>
      <c r="BT51" s="165">
        <f>IF(OR(CSE4098B_Spring2026_Grade!$I36="W (Withdrawn)", CSE4098B_Spring2026_Grade!$I36="I (Incomplete)"), 0, IF(BH51&gt;=55%, 1, 0))</f>
        <v>1</v>
      </c>
      <c r="BU51" s="165">
        <f>IF(OR(CSE4098B_Spring2026_Grade!$I36="W (Withdrawn)", CSE4098B_Spring2026_Grade!$I36="I (Incomplete)"), 0, IF(BI51&gt;=55%, 1, 0))</f>
        <v>1</v>
      </c>
      <c r="BV51" s="165">
        <f>IF(OR(CSE4098B_Spring2026_Grade!$I36="W (Withdrawn)", CSE4098B_Spring2026_Grade!$I36="I (Incomplete)"), 0, IF(BJ51&gt;=55%, 1, 0))</f>
        <v>1</v>
      </c>
      <c r="BW51" s="165">
        <f>IF(OR(CSE4098B_Spring2026_Grade!$I36="W (Withdrawn)", CSE4098B_Spring2026_Grade!$I36="I (Incomplete)"), 0, IF(BK51&gt;=55%, 1, 0))</f>
        <v>1</v>
      </c>
      <c r="BX51" s="165">
        <f>IF(OR(CSE4098B_Spring2026_Grade!$I36="W (Withdrawn)", CSE4098B_Spring2026_Grade!$I36="I (Incomplete)"), 0, IF(BL51&gt;=55%, 1, 0))</f>
        <v>0</v>
      </c>
      <c r="BY51" s="165">
        <f>IF(OR(CSE4098B_Spring2026_Grade!$I36="W (Withdrawn)", CSE4098B_Spring2026_Grade!$I36="I (Incomplete)"), 0, IF(BM51&gt;=55%, 1, 0))</f>
        <v>1</v>
      </c>
    </row>
    <row r="52">
      <c r="A52" s="153">
        <v>33.0</v>
      </c>
      <c r="B52" s="154">
        <f>CSE4098B_Spring2026_Grade!B37</f>
        <v>223014050</v>
      </c>
      <c r="C52" s="96" t="str">
        <f>CSE4098B_Spring2026_Grade!C37</f>
        <v>Isnat Jahan Ome</v>
      </c>
      <c r="D52" s="155">
        <f>'CO Report Evaluation'!AI35</f>
        <v>4</v>
      </c>
      <c r="E52" s="155">
        <f>'CO Report Evaluation'!AJ35</f>
        <v>1.333333333</v>
      </c>
      <c r="F52" s="155">
        <f>'CO Report Evaluation'!AK35</f>
        <v>1.333333333</v>
      </c>
      <c r="G52" s="156">
        <f>'CO Report Evaluation'!AL35</f>
        <v>1.666666667</v>
      </c>
      <c r="H52" s="156">
        <f>'CO Report Evaluation'!AM35</f>
        <v>1.666666667</v>
      </c>
      <c r="I52" s="157">
        <f>'CO Report Evaluation'!AN35</f>
        <v>3.333333333</v>
      </c>
      <c r="J52" s="157">
        <f>'CO Report Evaluation'!AO35</f>
        <v>1.333333333</v>
      </c>
      <c r="K52" s="157">
        <f>'CO Report Evaluation'!AP35</f>
        <v>1.666666667</v>
      </c>
      <c r="L52" s="158">
        <f>'CO Report Evaluation'!AQ35</f>
        <v>2</v>
      </c>
      <c r="M52" s="159"/>
      <c r="N52" s="160"/>
      <c r="O52" s="160"/>
      <c r="P52" s="160"/>
      <c r="Q52" s="160"/>
      <c r="R52" s="156">
        <f>CSE4098B_Spring2026_Grade!F37</f>
        <v>4</v>
      </c>
      <c r="S52" s="161">
        <f>((CSE4098B_Spring2026_Grade!E37)*10)/45</f>
        <v>8.048888889</v>
      </c>
      <c r="T52" s="162">
        <f t="shared" ref="T52:AB52" si="108">D52</f>
        <v>4</v>
      </c>
      <c r="U52" s="163">
        <f t="shared" si="108"/>
        <v>1.333333333</v>
      </c>
      <c r="V52" s="163">
        <f t="shared" si="108"/>
        <v>1.333333333</v>
      </c>
      <c r="W52" s="163">
        <f t="shared" si="108"/>
        <v>1.666666667</v>
      </c>
      <c r="X52" s="163">
        <f t="shared" si="108"/>
        <v>1.666666667</v>
      </c>
      <c r="Y52" s="163">
        <f t="shared" si="108"/>
        <v>3.333333333</v>
      </c>
      <c r="Z52" s="163">
        <f t="shared" si="108"/>
        <v>1.333333333</v>
      </c>
      <c r="AA52" s="163">
        <f t="shared" si="108"/>
        <v>1.666666667</v>
      </c>
      <c r="AB52" s="163">
        <f t="shared" si="108"/>
        <v>2</v>
      </c>
      <c r="AC52" s="163">
        <f t="shared" ref="AC52:AD52" si="109">R52</f>
        <v>4</v>
      </c>
      <c r="AD52" s="163">
        <f t="shared" si="109"/>
        <v>8.048888889</v>
      </c>
      <c r="AE52" s="164">
        <f t="shared" ref="AE52:AO52" si="110">IF(T52 = 0, 0, T52/T$19)</f>
        <v>0.6666666667</v>
      </c>
      <c r="AF52" s="164">
        <f t="shared" si="110"/>
        <v>0.4444444444</v>
      </c>
      <c r="AG52" s="164">
        <f t="shared" si="110"/>
        <v>0.4444444444</v>
      </c>
      <c r="AH52" s="164">
        <f t="shared" si="110"/>
        <v>0.5555555556</v>
      </c>
      <c r="AI52" s="164">
        <f t="shared" si="110"/>
        <v>0.5555555556</v>
      </c>
      <c r="AJ52" s="164">
        <f t="shared" si="110"/>
        <v>0.5555555556</v>
      </c>
      <c r="AK52" s="164">
        <f t="shared" si="110"/>
        <v>0.4444444444</v>
      </c>
      <c r="AL52" s="164">
        <f t="shared" si="110"/>
        <v>0.5555555556</v>
      </c>
      <c r="AM52" s="164">
        <f t="shared" si="110"/>
        <v>0.6666666667</v>
      </c>
      <c r="AN52" s="164">
        <f t="shared" si="110"/>
        <v>0.8</v>
      </c>
      <c r="AO52" s="164">
        <f t="shared" si="110"/>
        <v>0.8048888889</v>
      </c>
      <c r="AP52" s="165">
        <f>IF(OR(CSE4098B_Spring2026_Grade!$I37="W (Withdrawn)", CSE4098B_Spring2026_Grade!$I37="I (Incomplete)"), 0, IF(AE52&gt;=55%, 1, 0))</f>
        <v>1</v>
      </c>
      <c r="AQ52" s="165">
        <f>IF(OR(CSE4098B_Spring2026_Grade!$I37="W (Withdrawn)", CSE4098B_Spring2026_Grade!$I37="I (Incomplete)"), 0, IF(AF52&gt;=55%, 1, 0))</f>
        <v>0</v>
      </c>
      <c r="AR52" s="165">
        <f>IF(OR(CSE4098B_Spring2026_Grade!$I37="W (Withdrawn)", CSE4098B_Spring2026_Grade!$I37="I (Incomplete)"), 0, IF(AG52&gt;=55%, 1, 0))</f>
        <v>0</v>
      </c>
      <c r="AS52" s="165">
        <f>IF(OR(CSE4098B_Spring2026_Grade!$I37="W (Withdrawn)", CSE4098B_Spring2026_Grade!$I37="I (Incomplete)"), 0, IF(AH52&gt;=55%, 1, 0))</f>
        <v>1</v>
      </c>
      <c r="AT52" s="165">
        <f>IF(OR(CSE4098B_Spring2026_Grade!$I37="W (Withdrawn)", CSE4098B_Spring2026_Grade!$I37="I (Incomplete)"), 0, IF(AI52&gt;=55%, 1, 0))</f>
        <v>1</v>
      </c>
      <c r="AU52" s="165">
        <f>IF(OR(CSE4098B_Spring2026_Grade!$I37="W (Withdrawn)", CSE4098B_Spring2026_Grade!$I37="I (Incomplete)"), 0, IF(AJ52&gt;=55%, 1, 0))</f>
        <v>1</v>
      </c>
      <c r="AV52" s="165">
        <f>IF(OR(CSE4098B_Spring2026_Grade!$I37="W (Withdrawn)", CSE4098B_Spring2026_Grade!$I37="I (Incomplete)"), 0, IF(AK52&gt;=55%, 1, 0))</f>
        <v>0</v>
      </c>
      <c r="AW52" s="165">
        <f>IF(OR(CSE4098B_Spring2026_Grade!$I37="W (Withdrawn)", CSE4098B_Spring2026_Grade!$I37="I (Incomplete)"), 0, IF(AL52&gt;=55%, 1, 0))</f>
        <v>1</v>
      </c>
      <c r="AX52" s="165">
        <f>IF(OR(CSE4098B_Spring2026_Grade!$I37="W (Withdrawn)", CSE4098B_Spring2026_Grade!$I37="I (Incomplete)"), 0, IF(AM52&gt;=55%, 1, 0))</f>
        <v>1</v>
      </c>
      <c r="AY52" s="165">
        <f>IF(OR(CSE4098B_Spring2026_Grade!$I37="W (Withdrawn)", CSE4098B_Spring2026_Grade!$I37="I (Incomplete)"), 0, IF(AN52&gt;=55%, 1, 0))</f>
        <v>1</v>
      </c>
      <c r="AZ52" s="165">
        <f>IF(OR(CSE4098B_Spring2026_Grade!$I37="W (Withdrawn)", CSE4098B_Spring2026_Grade!$I37="I (Incomplete)"), 0, IF(AO52&gt;=55%, 1, 0))</f>
        <v>1</v>
      </c>
      <c r="BA52" s="76"/>
      <c r="BB52" s="166">
        <f t="shared" si="13"/>
        <v>0</v>
      </c>
      <c r="BC52" s="166">
        <f t="shared" si="14"/>
        <v>0.4444444444</v>
      </c>
      <c r="BD52" s="166">
        <f t="array" ref="BD52">IF($BC$14=0,0,MMULT($AE52:$AO52, BC$3:BC$13)/$BC$14)</f>
        <v>0.5555555556</v>
      </c>
      <c r="BE52" s="166">
        <f t="array" ref="BE52">IF($BD$14=0,0,MMULT($AE52:$AO52, BD$3:BD$13)/$BD$14)</f>
        <v>0.5555555556</v>
      </c>
      <c r="BF52" s="166">
        <f t="shared" si="15"/>
        <v>0.5555555556</v>
      </c>
      <c r="BG52" s="166">
        <f t="array" ref="BG52">IF($BF$14=0,0,MMULT($AE52:$AO52, BF$3:BF$13)/$BF$14)</f>
        <v>0.4444444444</v>
      </c>
      <c r="BH52" s="166">
        <f t="array" ref="BH52">IF($BG$14=0,0,MMULT($AE52:$AO52, BG$3:BG$13)/$BG$14)</f>
        <v>0.5555555556</v>
      </c>
      <c r="BI52" s="166">
        <f t="array" ref="BI52">IF($BH$14=0,0,MMULT($AE52:$AO52, BH$3:BH$13)/$BH$14)</f>
        <v>0.6666666667</v>
      </c>
      <c r="BJ52" s="166">
        <f t="array" ref="BJ52">IF($BI$14=0,0,MMULT($AE52:$AO52, BI$3:BI$13)/$BI$14)</f>
        <v>0.8</v>
      </c>
      <c r="BK52" s="166">
        <f t="array" ref="BK52">IF($BJ$14=0,0,MMULT($AE52:$AO52, BJ$3:BJ$13)/$BJ$14)</f>
        <v>0.8048888889</v>
      </c>
      <c r="BL52" s="166">
        <f t="shared" si="16"/>
        <v>0.4444444444</v>
      </c>
      <c r="BM52" s="166">
        <f t="shared" si="17"/>
        <v>0.6666666667</v>
      </c>
      <c r="BN52" s="165">
        <f>IF(OR(CSE4098B_Spring2026_Grade!$I37="W (Withdrawn)", CSE4098B_Spring2026_Grade!$I37="I (Incomplete)"), 0, IF(BB52&gt;=55%, 1, 0))</f>
        <v>0</v>
      </c>
      <c r="BO52" s="165">
        <f>IF(OR(CSE4098B_Spring2026_Grade!$I37="W (Withdrawn)", CSE4098B_Spring2026_Grade!$I37="I (Incomplete)"), 0, IF(BC52&gt;=55%, 1, 0))</f>
        <v>0</v>
      </c>
      <c r="BP52" s="165">
        <f>IF(OR(CSE4098B_Spring2026_Grade!$I37="W (Withdrawn)", CSE4098B_Spring2026_Grade!$I37="I (Incomplete)"), 0, IF(BD52&gt;=55%, 1, 0))</f>
        <v>1</v>
      </c>
      <c r="BQ52" s="165">
        <f>IF(OR(CSE4098B_Spring2026_Grade!$I37="W (Withdrawn)", CSE4098B_Spring2026_Grade!$I37="I (Incomplete)"), 0, IF(BE52&gt;=55%, 1, 0))</f>
        <v>1</v>
      </c>
      <c r="BR52" s="165">
        <f>IF(OR(CSE4098B_Spring2026_Grade!$I37="W (Withdrawn)", CSE4098B_Spring2026_Grade!$I37="I (Incomplete)"), 0, IF(BF52&gt;=55%, 1, 0))</f>
        <v>1</v>
      </c>
      <c r="BS52" s="165">
        <f>IF(OR(CSE4098B_Spring2026_Grade!$I37="W (Withdrawn)", CSE4098B_Spring2026_Grade!$I37="I (Incomplete)"), 0, IF(BG52&gt;=55%, 1, 0))</f>
        <v>0</v>
      </c>
      <c r="BT52" s="165">
        <f>IF(OR(CSE4098B_Spring2026_Grade!$I37="W (Withdrawn)", CSE4098B_Spring2026_Grade!$I37="I (Incomplete)"), 0, IF(BH52&gt;=55%, 1, 0))</f>
        <v>1</v>
      </c>
      <c r="BU52" s="165">
        <f>IF(OR(CSE4098B_Spring2026_Grade!$I37="W (Withdrawn)", CSE4098B_Spring2026_Grade!$I37="I (Incomplete)"), 0, IF(BI52&gt;=55%, 1, 0))</f>
        <v>1</v>
      </c>
      <c r="BV52" s="165">
        <f>IF(OR(CSE4098B_Spring2026_Grade!$I37="W (Withdrawn)", CSE4098B_Spring2026_Grade!$I37="I (Incomplete)"), 0, IF(BJ52&gt;=55%, 1, 0))</f>
        <v>1</v>
      </c>
      <c r="BW52" s="165">
        <f>IF(OR(CSE4098B_Spring2026_Grade!$I37="W (Withdrawn)", CSE4098B_Spring2026_Grade!$I37="I (Incomplete)"), 0, IF(BK52&gt;=55%, 1, 0))</f>
        <v>1</v>
      </c>
      <c r="BX52" s="165">
        <f>IF(OR(CSE4098B_Spring2026_Grade!$I37="W (Withdrawn)", CSE4098B_Spring2026_Grade!$I37="I (Incomplete)"), 0, IF(BL52&gt;=55%, 1, 0))</f>
        <v>0</v>
      </c>
      <c r="BY52" s="165">
        <f>IF(OR(CSE4098B_Spring2026_Grade!$I37="W (Withdrawn)", CSE4098B_Spring2026_Grade!$I37="I (Incomplete)"), 0, IF(BM52&gt;=55%, 1, 0))</f>
        <v>1</v>
      </c>
    </row>
    <row r="53">
      <c r="A53" s="153">
        <v>34.0</v>
      </c>
      <c r="B53" s="154">
        <f>CSE4098B_Spring2026_Grade!B38</f>
        <v>231014075</v>
      </c>
      <c r="C53" s="96" t="str">
        <f>CSE4098B_Spring2026_Grade!C38</f>
        <v>Hasib Mahmud</v>
      </c>
      <c r="D53" s="155">
        <f>'CO Report Evaluation'!AI36</f>
        <v>4</v>
      </c>
      <c r="E53" s="155">
        <f>'CO Report Evaluation'!AJ36</f>
        <v>1.333333333</v>
      </c>
      <c r="F53" s="155">
        <f>'CO Report Evaluation'!AK36</f>
        <v>1.333333333</v>
      </c>
      <c r="G53" s="156">
        <f>'CO Report Evaluation'!AL36</f>
        <v>1.666666667</v>
      </c>
      <c r="H53" s="156">
        <f>'CO Report Evaluation'!AM36</f>
        <v>1.666666667</v>
      </c>
      <c r="I53" s="157">
        <f>'CO Report Evaluation'!AN36</f>
        <v>3.333333333</v>
      </c>
      <c r="J53" s="157">
        <f>'CO Report Evaluation'!AO36</f>
        <v>1.333333333</v>
      </c>
      <c r="K53" s="157">
        <f>'CO Report Evaluation'!AP36</f>
        <v>1.666666667</v>
      </c>
      <c r="L53" s="158">
        <f>'CO Report Evaluation'!AQ36</f>
        <v>2</v>
      </c>
      <c r="M53" s="159"/>
      <c r="N53" s="160"/>
      <c r="O53" s="160"/>
      <c r="P53" s="160"/>
      <c r="Q53" s="160"/>
      <c r="R53" s="156">
        <f>CSE4098B_Spring2026_Grade!F38</f>
        <v>4</v>
      </c>
      <c r="S53" s="161">
        <f>((CSE4098B_Spring2026_Grade!E38)*10)/45</f>
        <v>8.148888889</v>
      </c>
      <c r="T53" s="162">
        <f t="shared" ref="T53:AB53" si="111">D53</f>
        <v>4</v>
      </c>
      <c r="U53" s="163">
        <f t="shared" si="111"/>
        <v>1.333333333</v>
      </c>
      <c r="V53" s="163">
        <f t="shared" si="111"/>
        <v>1.333333333</v>
      </c>
      <c r="W53" s="163">
        <f t="shared" si="111"/>
        <v>1.666666667</v>
      </c>
      <c r="X53" s="163">
        <f t="shared" si="111"/>
        <v>1.666666667</v>
      </c>
      <c r="Y53" s="163">
        <f t="shared" si="111"/>
        <v>3.333333333</v>
      </c>
      <c r="Z53" s="163">
        <f t="shared" si="111"/>
        <v>1.333333333</v>
      </c>
      <c r="AA53" s="163">
        <f t="shared" si="111"/>
        <v>1.666666667</v>
      </c>
      <c r="AB53" s="163">
        <f t="shared" si="111"/>
        <v>2</v>
      </c>
      <c r="AC53" s="163">
        <f t="shared" ref="AC53:AD53" si="112">R53</f>
        <v>4</v>
      </c>
      <c r="AD53" s="163">
        <f t="shared" si="112"/>
        <v>8.148888889</v>
      </c>
      <c r="AE53" s="164">
        <f t="shared" ref="AE53:AO53" si="113">IF(T53 = 0, 0, T53/T$19)</f>
        <v>0.6666666667</v>
      </c>
      <c r="AF53" s="164">
        <f t="shared" si="113"/>
        <v>0.4444444444</v>
      </c>
      <c r="AG53" s="164">
        <f t="shared" si="113"/>
        <v>0.4444444444</v>
      </c>
      <c r="AH53" s="164">
        <f t="shared" si="113"/>
        <v>0.5555555556</v>
      </c>
      <c r="AI53" s="164">
        <f t="shared" si="113"/>
        <v>0.5555555556</v>
      </c>
      <c r="AJ53" s="164">
        <f t="shared" si="113"/>
        <v>0.5555555556</v>
      </c>
      <c r="AK53" s="164">
        <f t="shared" si="113"/>
        <v>0.4444444444</v>
      </c>
      <c r="AL53" s="164">
        <f t="shared" si="113"/>
        <v>0.5555555556</v>
      </c>
      <c r="AM53" s="164">
        <f t="shared" si="113"/>
        <v>0.6666666667</v>
      </c>
      <c r="AN53" s="164">
        <f t="shared" si="113"/>
        <v>0.8</v>
      </c>
      <c r="AO53" s="164">
        <f t="shared" si="113"/>
        <v>0.8148888889</v>
      </c>
      <c r="AP53" s="165">
        <f>IF(OR(CSE4098B_Spring2026_Grade!$I38="W (Withdrawn)", CSE4098B_Spring2026_Grade!$I38="I (Incomplete)"), 0, IF(AE53&gt;=55%, 1, 0))</f>
        <v>1</v>
      </c>
      <c r="AQ53" s="165">
        <f>IF(OR(CSE4098B_Spring2026_Grade!$I38="W (Withdrawn)", CSE4098B_Spring2026_Grade!$I38="I (Incomplete)"), 0, IF(AF53&gt;=55%, 1, 0))</f>
        <v>0</v>
      </c>
      <c r="AR53" s="165">
        <f>IF(OR(CSE4098B_Spring2026_Grade!$I38="W (Withdrawn)", CSE4098B_Spring2026_Grade!$I38="I (Incomplete)"), 0, IF(AG53&gt;=55%, 1, 0))</f>
        <v>0</v>
      </c>
      <c r="AS53" s="165">
        <f>IF(OR(CSE4098B_Spring2026_Grade!$I38="W (Withdrawn)", CSE4098B_Spring2026_Grade!$I38="I (Incomplete)"), 0, IF(AH53&gt;=55%, 1, 0))</f>
        <v>1</v>
      </c>
      <c r="AT53" s="165">
        <f>IF(OR(CSE4098B_Spring2026_Grade!$I38="W (Withdrawn)", CSE4098B_Spring2026_Grade!$I38="I (Incomplete)"), 0, IF(AI53&gt;=55%, 1, 0))</f>
        <v>1</v>
      </c>
      <c r="AU53" s="165">
        <f>IF(OR(CSE4098B_Spring2026_Grade!$I38="W (Withdrawn)", CSE4098B_Spring2026_Grade!$I38="I (Incomplete)"), 0, IF(AJ53&gt;=55%, 1, 0))</f>
        <v>1</v>
      </c>
      <c r="AV53" s="165">
        <f>IF(OR(CSE4098B_Spring2026_Grade!$I38="W (Withdrawn)", CSE4098B_Spring2026_Grade!$I38="I (Incomplete)"), 0, IF(AK53&gt;=55%, 1, 0))</f>
        <v>0</v>
      </c>
      <c r="AW53" s="165">
        <f>IF(OR(CSE4098B_Spring2026_Grade!$I38="W (Withdrawn)", CSE4098B_Spring2026_Grade!$I38="I (Incomplete)"), 0, IF(AL53&gt;=55%, 1, 0))</f>
        <v>1</v>
      </c>
      <c r="AX53" s="165">
        <f>IF(OR(CSE4098B_Spring2026_Grade!$I38="W (Withdrawn)", CSE4098B_Spring2026_Grade!$I38="I (Incomplete)"), 0, IF(AM53&gt;=55%, 1, 0))</f>
        <v>1</v>
      </c>
      <c r="AY53" s="165">
        <f>IF(OR(CSE4098B_Spring2026_Grade!$I38="W (Withdrawn)", CSE4098B_Spring2026_Grade!$I38="I (Incomplete)"), 0, IF(AN53&gt;=55%, 1, 0))</f>
        <v>1</v>
      </c>
      <c r="AZ53" s="165">
        <f>IF(OR(CSE4098B_Spring2026_Grade!$I38="W (Withdrawn)", CSE4098B_Spring2026_Grade!$I38="I (Incomplete)"), 0, IF(AO53&gt;=55%, 1, 0))</f>
        <v>1</v>
      </c>
      <c r="BA53" s="76"/>
      <c r="BB53" s="166">
        <f t="shared" si="13"/>
        <v>0</v>
      </c>
      <c r="BC53" s="166">
        <f t="shared" si="14"/>
        <v>0.4444444444</v>
      </c>
      <c r="BD53" s="166">
        <f t="array" ref="BD53">IF($BC$14=0,0,MMULT($AE53:$AO53, BC$3:BC$13)/$BC$14)</f>
        <v>0.5555555556</v>
      </c>
      <c r="BE53" s="166">
        <f t="array" ref="BE53">IF($BD$14=0,0,MMULT($AE53:$AO53, BD$3:BD$13)/$BD$14)</f>
        <v>0.5555555556</v>
      </c>
      <c r="BF53" s="166">
        <f t="shared" si="15"/>
        <v>0.5555555556</v>
      </c>
      <c r="BG53" s="166">
        <f t="array" ref="BG53">IF($BF$14=0,0,MMULT($AE53:$AO53, BF$3:BF$13)/$BF$14)</f>
        <v>0.4444444444</v>
      </c>
      <c r="BH53" s="166">
        <f t="array" ref="BH53">IF($BG$14=0,0,MMULT($AE53:$AO53, BG$3:BG$13)/$BG$14)</f>
        <v>0.5555555556</v>
      </c>
      <c r="BI53" s="166">
        <f t="array" ref="BI53">IF($BH$14=0,0,MMULT($AE53:$AO53, BH$3:BH$13)/$BH$14)</f>
        <v>0.6666666667</v>
      </c>
      <c r="BJ53" s="166">
        <f t="array" ref="BJ53">IF($BI$14=0,0,MMULT($AE53:$AO53, BI$3:BI$13)/$BI$14)</f>
        <v>0.8</v>
      </c>
      <c r="BK53" s="166">
        <f t="array" ref="BK53">IF($BJ$14=0,0,MMULT($AE53:$AO53, BJ$3:BJ$13)/$BJ$14)</f>
        <v>0.8148888889</v>
      </c>
      <c r="BL53" s="166">
        <f t="shared" si="16"/>
        <v>0.4444444444</v>
      </c>
      <c r="BM53" s="166">
        <f t="shared" si="17"/>
        <v>0.6666666667</v>
      </c>
      <c r="BN53" s="165">
        <f>IF(OR(CSE4098B_Spring2026_Grade!$I38="W (Withdrawn)", CSE4098B_Spring2026_Grade!$I38="I (Incomplete)"), 0, IF(BB53&gt;=55%, 1, 0))</f>
        <v>0</v>
      </c>
      <c r="BO53" s="165">
        <f>IF(OR(CSE4098B_Spring2026_Grade!$I38="W (Withdrawn)", CSE4098B_Spring2026_Grade!$I38="I (Incomplete)"), 0, IF(BC53&gt;=55%, 1, 0))</f>
        <v>0</v>
      </c>
      <c r="BP53" s="165">
        <f>IF(OR(CSE4098B_Spring2026_Grade!$I38="W (Withdrawn)", CSE4098B_Spring2026_Grade!$I38="I (Incomplete)"), 0, IF(BD53&gt;=55%, 1, 0))</f>
        <v>1</v>
      </c>
      <c r="BQ53" s="165">
        <f>IF(OR(CSE4098B_Spring2026_Grade!$I38="W (Withdrawn)", CSE4098B_Spring2026_Grade!$I38="I (Incomplete)"), 0, IF(BE53&gt;=55%, 1, 0))</f>
        <v>1</v>
      </c>
      <c r="BR53" s="165">
        <f>IF(OR(CSE4098B_Spring2026_Grade!$I38="W (Withdrawn)", CSE4098B_Spring2026_Grade!$I38="I (Incomplete)"), 0, IF(BF53&gt;=55%, 1, 0))</f>
        <v>1</v>
      </c>
      <c r="BS53" s="165">
        <f>IF(OR(CSE4098B_Spring2026_Grade!$I38="W (Withdrawn)", CSE4098B_Spring2026_Grade!$I38="I (Incomplete)"), 0, IF(BG53&gt;=55%, 1, 0))</f>
        <v>0</v>
      </c>
      <c r="BT53" s="165">
        <f>IF(OR(CSE4098B_Spring2026_Grade!$I38="W (Withdrawn)", CSE4098B_Spring2026_Grade!$I38="I (Incomplete)"), 0, IF(BH53&gt;=55%, 1, 0))</f>
        <v>1</v>
      </c>
      <c r="BU53" s="165">
        <f>IF(OR(CSE4098B_Spring2026_Grade!$I38="W (Withdrawn)", CSE4098B_Spring2026_Grade!$I38="I (Incomplete)"), 0, IF(BI53&gt;=55%, 1, 0))</f>
        <v>1</v>
      </c>
      <c r="BV53" s="165">
        <f>IF(OR(CSE4098B_Spring2026_Grade!$I38="W (Withdrawn)", CSE4098B_Spring2026_Grade!$I38="I (Incomplete)"), 0, IF(BJ53&gt;=55%, 1, 0))</f>
        <v>1</v>
      </c>
      <c r="BW53" s="165">
        <f>IF(OR(CSE4098B_Spring2026_Grade!$I38="W (Withdrawn)", CSE4098B_Spring2026_Grade!$I38="I (Incomplete)"), 0, IF(BK53&gt;=55%, 1, 0))</f>
        <v>1</v>
      </c>
      <c r="BX53" s="165">
        <f>IF(OR(CSE4098B_Spring2026_Grade!$I38="W (Withdrawn)", CSE4098B_Spring2026_Grade!$I38="I (Incomplete)"), 0, IF(BL53&gt;=55%, 1, 0))</f>
        <v>0</v>
      </c>
      <c r="BY53" s="165">
        <f>IF(OR(CSE4098B_Spring2026_Grade!$I38="W (Withdrawn)", CSE4098B_Spring2026_Grade!$I38="I (Incomplete)"), 0, IF(BM53&gt;=55%, 1, 0))</f>
        <v>1</v>
      </c>
    </row>
    <row r="54">
      <c r="A54" s="153">
        <v>35.0</v>
      </c>
      <c r="B54" s="154">
        <f>CSE4098B_Spring2026_Grade!B39</f>
        <v>221014135</v>
      </c>
      <c r="C54" s="96" t="str">
        <f>CSE4098B_Spring2026_Grade!C39</f>
        <v>Aminul Islam</v>
      </c>
      <c r="D54" s="155">
        <f>'CO Report Evaluation'!AI37</f>
        <v>4.666666667</v>
      </c>
      <c r="E54" s="155">
        <f>'CO Report Evaluation'!AJ37</f>
        <v>2</v>
      </c>
      <c r="F54" s="155">
        <f>'CO Report Evaluation'!AK37</f>
        <v>2</v>
      </c>
      <c r="G54" s="156">
        <f>'CO Report Evaluation'!AL37</f>
        <v>2.333333333</v>
      </c>
      <c r="H54" s="156">
        <f>'CO Report Evaluation'!AM37</f>
        <v>2.666666667</v>
      </c>
      <c r="I54" s="157">
        <f>'CO Report Evaluation'!AN37</f>
        <v>4.333333333</v>
      </c>
      <c r="J54" s="157">
        <f>'CO Report Evaluation'!AO37</f>
        <v>2.333333333</v>
      </c>
      <c r="K54" s="157">
        <f>'CO Report Evaluation'!AP37</f>
        <v>2.666666667</v>
      </c>
      <c r="L54" s="158">
        <f>'CO Report Evaluation'!AQ37</f>
        <v>2.666666667</v>
      </c>
      <c r="M54" s="159"/>
      <c r="N54" s="160"/>
      <c r="O54" s="160"/>
      <c r="P54" s="160"/>
      <c r="Q54" s="160"/>
      <c r="R54" s="156">
        <f>CSE4098B_Spring2026_Grade!F39</f>
        <v>4</v>
      </c>
      <c r="S54" s="161">
        <f>((CSE4098B_Spring2026_Grade!E39)*10)/45</f>
        <v>7.013333333</v>
      </c>
      <c r="T54" s="162">
        <f t="shared" ref="T54:AB54" si="114">D54</f>
        <v>4.666666667</v>
      </c>
      <c r="U54" s="163">
        <f t="shared" si="114"/>
        <v>2</v>
      </c>
      <c r="V54" s="163">
        <f t="shared" si="114"/>
        <v>2</v>
      </c>
      <c r="W54" s="163">
        <f t="shared" si="114"/>
        <v>2.333333333</v>
      </c>
      <c r="X54" s="163">
        <f t="shared" si="114"/>
        <v>2.666666667</v>
      </c>
      <c r="Y54" s="163">
        <f t="shared" si="114"/>
        <v>4.333333333</v>
      </c>
      <c r="Z54" s="163">
        <f t="shared" si="114"/>
        <v>2.333333333</v>
      </c>
      <c r="AA54" s="163">
        <f t="shared" si="114"/>
        <v>2.666666667</v>
      </c>
      <c r="AB54" s="163">
        <f t="shared" si="114"/>
        <v>2.666666667</v>
      </c>
      <c r="AC54" s="163">
        <f t="shared" ref="AC54:AD54" si="115">R54</f>
        <v>4</v>
      </c>
      <c r="AD54" s="163">
        <f t="shared" si="115"/>
        <v>7.013333333</v>
      </c>
      <c r="AE54" s="164">
        <f t="shared" ref="AE54:AO54" si="116">IF(T54 = 0, 0, T54/T$19)</f>
        <v>0.7777777778</v>
      </c>
      <c r="AF54" s="164">
        <f t="shared" si="116"/>
        <v>0.6666666667</v>
      </c>
      <c r="AG54" s="164">
        <f t="shared" si="116"/>
        <v>0.6666666667</v>
      </c>
      <c r="AH54" s="164">
        <f t="shared" si="116"/>
        <v>0.7777777778</v>
      </c>
      <c r="AI54" s="164">
        <f t="shared" si="116"/>
        <v>0.8888888889</v>
      </c>
      <c r="AJ54" s="164">
        <f t="shared" si="116"/>
        <v>0.7222222222</v>
      </c>
      <c r="AK54" s="164">
        <f t="shared" si="116"/>
        <v>0.7777777778</v>
      </c>
      <c r="AL54" s="164">
        <f t="shared" si="116"/>
        <v>0.8888888889</v>
      </c>
      <c r="AM54" s="164">
        <f t="shared" si="116"/>
        <v>0.8888888889</v>
      </c>
      <c r="AN54" s="164">
        <f t="shared" si="116"/>
        <v>0.8</v>
      </c>
      <c r="AO54" s="164">
        <f t="shared" si="116"/>
        <v>0.7013333333</v>
      </c>
      <c r="AP54" s="165">
        <f>IF(OR(CSE4098B_Spring2026_Grade!$I39="W (Withdrawn)", CSE4098B_Spring2026_Grade!$I39="I (Incomplete)"), 0, IF(AE54&gt;=55%, 1, 0))</f>
        <v>1</v>
      </c>
      <c r="AQ54" s="165">
        <f>IF(OR(CSE4098B_Spring2026_Grade!$I39="W (Withdrawn)", CSE4098B_Spring2026_Grade!$I39="I (Incomplete)"), 0, IF(AF54&gt;=55%, 1, 0))</f>
        <v>1</v>
      </c>
      <c r="AR54" s="165">
        <f>IF(OR(CSE4098B_Spring2026_Grade!$I39="W (Withdrawn)", CSE4098B_Spring2026_Grade!$I39="I (Incomplete)"), 0, IF(AG54&gt;=55%, 1, 0))</f>
        <v>1</v>
      </c>
      <c r="AS54" s="165">
        <f>IF(OR(CSE4098B_Spring2026_Grade!$I39="W (Withdrawn)", CSE4098B_Spring2026_Grade!$I39="I (Incomplete)"), 0, IF(AH54&gt;=55%, 1, 0))</f>
        <v>1</v>
      </c>
      <c r="AT54" s="165">
        <f>IF(OR(CSE4098B_Spring2026_Grade!$I39="W (Withdrawn)", CSE4098B_Spring2026_Grade!$I39="I (Incomplete)"), 0, IF(AI54&gt;=55%, 1, 0))</f>
        <v>1</v>
      </c>
      <c r="AU54" s="165">
        <f>IF(OR(CSE4098B_Spring2026_Grade!$I39="W (Withdrawn)", CSE4098B_Spring2026_Grade!$I39="I (Incomplete)"), 0, IF(AJ54&gt;=55%, 1, 0))</f>
        <v>1</v>
      </c>
      <c r="AV54" s="165">
        <f>IF(OR(CSE4098B_Spring2026_Grade!$I39="W (Withdrawn)", CSE4098B_Spring2026_Grade!$I39="I (Incomplete)"), 0, IF(AK54&gt;=55%, 1, 0))</f>
        <v>1</v>
      </c>
      <c r="AW54" s="165">
        <f>IF(OR(CSE4098B_Spring2026_Grade!$I39="W (Withdrawn)", CSE4098B_Spring2026_Grade!$I39="I (Incomplete)"), 0, IF(AL54&gt;=55%, 1, 0))</f>
        <v>1</v>
      </c>
      <c r="AX54" s="165">
        <f>IF(OR(CSE4098B_Spring2026_Grade!$I39="W (Withdrawn)", CSE4098B_Spring2026_Grade!$I39="I (Incomplete)"), 0, IF(AM54&gt;=55%, 1, 0))</f>
        <v>1</v>
      </c>
      <c r="AY54" s="165">
        <f>IF(OR(CSE4098B_Spring2026_Grade!$I39="W (Withdrawn)", CSE4098B_Spring2026_Grade!$I39="I (Incomplete)"), 0, IF(AN54&gt;=55%, 1, 0))</f>
        <v>1</v>
      </c>
      <c r="AZ54" s="165">
        <f>IF(OR(CSE4098B_Spring2026_Grade!$I39="W (Withdrawn)", CSE4098B_Spring2026_Grade!$I39="I (Incomplete)"), 0, IF(AO54&gt;=55%, 1, 0))</f>
        <v>1</v>
      </c>
      <c r="BA54" s="76"/>
      <c r="BB54" s="166">
        <f t="shared" si="13"/>
        <v>0</v>
      </c>
      <c r="BC54" s="166">
        <f t="shared" si="14"/>
        <v>0.6666666667</v>
      </c>
      <c r="BD54" s="166">
        <f t="array" ref="BD54">IF($BC$14=0,0,MMULT($AE54:$AO54, BC$3:BC$13)/$BC$14)</f>
        <v>0.8888888889</v>
      </c>
      <c r="BE54" s="166">
        <f t="array" ref="BE54">IF($BD$14=0,0,MMULT($AE54:$AO54, BD$3:BD$13)/$BD$14)</f>
        <v>0.7222222222</v>
      </c>
      <c r="BF54" s="166">
        <f t="shared" si="15"/>
        <v>0.7777777778</v>
      </c>
      <c r="BG54" s="166">
        <f t="array" ref="BG54">IF($BF$14=0,0,MMULT($AE54:$AO54, BF$3:BF$13)/$BF$14)</f>
        <v>0.7777777778</v>
      </c>
      <c r="BH54" s="166">
        <f t="array" ref="BH54">IF($BG$14=0,0,MMULT($AE54:$AO54, BG$3:BG$13)/$BG$14)</f>
        <v>0.8888888889</v>
      </c>
      <c r="BI54" s="166">
        <f t="array" ref="BI54">IF($BH$14=0,0,MMULT($AE54:$AO54, BH$3:BH$13)/$BH$14)</f>
        <v>0.8888888889</v>
      </c>
      <c r="BJ54" s="166">
        <f t="array" ref="BJ54">IF($BI$14=0,0,MMULT($AE54:$AO54, BI$3:BI$13)/$BI$14)</f>
        <v>0.8</v>
      </c>
      <c r="BK54" s="166">
        <f t="array" ref="BK54">IF($BJ$14=0,0,MMULT($AE54:$AO54, BJ$3:BJ$13)/$BJ$14)</f>
        <v>0.7013333333</v>
      </c>
      <c r="BL54" s="166">
        <f t="shared" si="16"/>
        <v>0.6666666667</v>
      </c>
      <c r="BM54" s="166">
        <f t="shared" si="17"/>
        <v>0.7777777778</v>
      </c>
      <c r="BN54" s="165">
        <f>IF(OR(CSE4098B_Spring2026_Grade!$I39="W (Withdrawn)", CSE4098B_Spring2026_Grade!$I39="I (Incomplete)"), 0, IF(BB54&gt;=55%, 1, 0))</f>
        <v>0</v>
      </c>
      <c r="BO54" s="165">
        <f>IF(OR(CSE4098B_Spring2026_Grade!$I39="W (Withdrawn)", CSE4098B_Spring2026_Grade!$I39="I (Incomplete)"), 0, IF(BC54&gt;=55%, 1, 0))</f>
        <v>1</v>
      </c>
      <c r="BP54" s="165">
        <f>IF(OR(CSE4098B_Spring2026_Grade!$I39="W (Withdrawn)", CSE4098B_Spring2026_Grade!$I39="I (Incomplete)"), 0, IF(BD54&gt;=55%, 1, 0))</f>
        <v>1</v>
      </c>
      <c r="BQ54" s="165">
        <f>IF(OR(CSE4098B_Spring2026_Grade!$I39="W (Withdrawn)", CSE4098B_Spring2026_Grade!$I39="I (Incomplete)"), 0, IF(BE54&gt;=55%, 1, 0))</f>
        <v>1</v>
      </c>
      <c r="BR54" s="165">
        <f>IF(OR(CSE4098B_Spring2026_Grade!$I39="W (Withdrawn)", CSE4098B_Spring2026_Grade!$I39="I (Incomplete)"), 0, IF(BF54&gt;=55%, 1, 0))</f>
        <v>1</v>
      </c>
      <c r="BS54" s="165">
        <f>IF(OR(CSE4098B_Spring2026_Grade!$I39="W (Withdrawn)", CSE4098B_Spring2026_Grade!$I39="I (Incomplete)"), 0, IF(BG54&gt;=55%, 1, 0))</f>
        <v>1</v>
      </c>
      <c r="BT54" s="165">
        <f>IF(OR(CSE4098B_Spring2026_Grade!$I39="W (Withdrawn)", CSE4098B_Spring2026_Grade!$I39="I (Incomplete)"), 0, IF(BH54&gt;=55%, 1, 0))</f>
        <v>1</v>
      </c>
      <c r="BU54" s="165">
        <f>IF(OR(CSE4098B_Spring2026_Grade!$I39="W (Withdrawn)", CSE4098B_Spring2026_Grade!$I39="I (Incomplete)"), 0, IF(BI54&gt;=55%, 1, 0))</f>
        <v>1</v>
      </c>
      <c r="BV54" s="165">
        <f>IF(OR(CSE4098B_Spring2026_Grade!$I39="W (Withdrawn)", CSE4098B_Spring2026_Grade!$I39="I (Incomplete)"), 0, IF(BJ54&gt;=55%, 1, 0))</f>
        <v>1</v>
      </c>
      <c r="BW54" s="165">
        <f>IF(OR(CSE4098B_Spring2026_Grade!$I39="W (Withdrawn)", CSE4098B_Spring2026_Grade!$I39="I (Incomplete)"), 0, IF(BK54&gt;=55%, 1, 0))</f>
        <v>1</v>
      </c>
      <c r="BX54" s="165">
        <f>IF(OR(CSE4098B_Spring2026_Grade!$I39="W (Withdrawn)", CSE4098B_Spring2026_Grade!$I39="I (Incomplete)"), 0, IF(BL54&gt;=55%, 1, 0))</f>
        <v>1</v>
      </c>
      <c r="BY54" s="165">
        <f>IF(OR(CSE4098B_Spring2026_Grade!$I39="W (Withdrawn)", CSE4098B_Spring2026_Grade!$I39="I (Incomplete)"), 0, IF(BM54&gt;=55%, 1, 0))</f>
        <v>1</v>
      </c>
    </row>
    <row r="55">
      <c r="A55" s="153">
        <v>36.0</v>
      </c>
      <c r="B55" s="154">
        <f>CSE4098B_Spring2026_Grade!B40</f>
        <v>221014018</v>
      </c>
      <c r="C55" s="96" t="str">
        <f>CSE4098B_Spring2026_Grade!C40</f>
        <v>Israfill Hossain Mehedi</v>
      </c>
      <c r="D55" s="155">
        <f>'CO Report Evaluation'!AI38</f>
        <v>4.666666667</v>
      </c>
      <c r="E55" s="155">
        <f>'CO Report Evaluation'!AJ38</f>
        <v>2</v>
      </c>
      <c r="F55" s="155">
        <f>'CO Report Evaluation'!AK38</f>
        <v>2</v>
      </c>
      <c r="G55" s="156">
        <f>'CO Report Evaluation'!AL38</f>
        <v>2.333333333</v>
      </c>
      <c r="H55" s="156">
        <f>'CO Report Evaluation'!AM38</f>
        <v>2.666666667</v>
      </c>
      <c r="I55" s="157">
        <f>'CO Report Evaluation'!AN38</f>
        <v>4.333333333</v>
      </c>
      <c r="J55" s="157">
        <f>'CO Report Evaluation'!AO38</f>
        <v>2.333333333</v>
      </c>
      <c r="K55" s="157">
        <f>'CO Report Evaluation'!AP38</f>
        <v>2.666666667</v>
      </c>
      <c r="L55" s="158">
        <f>'CO Report Evaluation'!AQ38</f>
        <v>2.666666667</v>
      </c>
      <c r="M55" s="159"/>
      <c r="N55" s="160"/>
      <c r="O55" s="160"/>
      <c r="P55" s="160"/>
      <c r="Q55" s="160"/>
      <c r="R55" s="156">
        <f>CSE4098B_Spring2026_Grade!F40</f>
        <v>5</v>
      </c>
      <c r="S55" s="161">
        <f>((CSE4098B_Spring2026_Grade!E40)*10)/45</f>
        <v>8.097777778</v>
      </c>
      <c r="T55" s="162">
        <f t="shared" ref="T55:AB55" si="117">D55</f>
        <v>4.666666667</v>
      </c>
      <c r="U55" s="163">
        <f t="shared" si="117"/>
        <v>2</v>
      </c>
      <c r="V55" s="163">
        <f t="shared" si="117"/>
        <v>2</v>
      </c>
      <c r="W55" s="163">
        <f t="shared" si="117"/>
        <v>2.333333333</v>
      </c>
      <c r="X55" s="163">
        <f t="shared" si="117"/>
        <v>2.666666667</v>
      </c>
      <c r="Y55" s="163">
        <f t="shared" si="117"/>
        <v>4.333333333</v>
      </c>
      <c r="Z55" s="163">
        <f t="shared" si="117"/>
        <v>2.333333333</v>
      </c>
      <c r="AA55" s="163">
        <f t="shared" si="117"/>
        <v>2.666666667</v>
      </c>
      <c r="AB55" s="163">
        <f t="shared" si="117"/>
        <v>2.666666667</v>
      </c>
      <c r="AC55" s="163">
        <f t="shared" ref="AC55:AD55" si="118">R55</f>
        <v>5</v>
      </c>
      <c r="AD55" s="163">
        <f t="shared" si="118"/>
        <v>8.097777778</v>
      </c>
      <c r="AE55" s="164">
        <f t="shared" ref="AE55:AO55" si="119">IF(T55 = 0, 0, T55/T$19)</f>
        <v>0.7777777778</v>
      </c>
      <c r="AF55" s="164">
        <f t="shared" si="119"/>
        <v>0.6666666667</v>
      </c>
      <c r="AG55" s="164">
        <f t="shared" si="119"/>
        <v>0.6666666667</v>
      </c>
      <c r="AH55" s="164">
        <f t="shared" si="119"/>
        <v>0.7777777778</v>
      </c>
      <c r="AI55" s="164">
        <f t="shared" si="119"/>
        <v>0.8888888889</v>
      </c>
      <c r="AJ55" s="164">
        <f t="shared" si="119"/>
        <v>0.7222222222</v>
      </c>
      <c r="AK55" s="164">
        <f t="shared" si="119"/>
        <v>0.7777777778</v>
      </c>
      <c r="AL55" s="164">
        <f t="shared" si="119"/>
        <v>0.8888888889</v>
      </c>
      <c r="AM55" s="164">
        <f t="shared" si="119"/>
        <v>0.8888888889</v>
      </c>
      <c r="AN55" s="164">
        <f t="shared" si="119"/>
        <v>1</v>
      </c>
      <c r="AO55" s="164">
        <f t="shared" si="119"/>
        <v>0.8097777778</v>
      </c>
      <c r="AP55" s="165">
        <f>IF(OR(CSE4098B_Spring2026_Grade!$I40="W (Withdrawn)", CSE4098B_Spring2026_Grade!$I40="I (Incomplete)"), 0, IF(AE55&gt;=55%, 1, 0))</f>
        <v>1</v>
      </c>
      <c r="AQ55" s="165">
        <f>IF(OR(CSE4098B_Spring2026_Grade!$I40="W (Withdrawn)", CSE4098B_Spring2026_Grade!$I40="I (Incomplete)"), 0, IF(AF55&gt;=55%, 1, 0))</f>
        <v>1</v>
      </c>
      <c r="AR55" s="165">
        <f>IF(OR(CSE4098B_Spring2026_Grade!$I40="W (Withdrawn)", CSE4098B_Spring2026_Grade!$I40="I (Incomplete)"), 0, IF(AG55&gt;=55%, 1, 0))</f>
        <v>1</v>
      </c>
      <c r="AS55" s="165">
        <f>IF(OR(CSE4098B_Spring2026_Grade!$I40="W (Withdrawn)", CSE4098B_Spring2026_Grade!$I40="I (Incomplete)"), 0, IF(AH55&gt;=55%, 1, 0))</f>
        <v>1</v>
      </c>
      <c r="AT55" s="165">
        <f>IF(OR(CSE4098B_Spring2026_Grade!$I40="W (Withdrawn)", CSE4098B_Spring2026_Grade!$I40="I (Incomplete)"), 0, IF(AI55&gt;=55%, 1, 0))</f>
        <v>1</v>
      </c>
      <c r="AU55" s="165">
        <f>IF(OR(CSE4098B_Spring2026_Grade!$I40="W (Withdrawn)", CSE4098B_Spring2026_Grade!$I40="I (Incomplete)"), 0, IF(AJ55&gt;=55%, 1, 0))</f>
        <v>1</v>
      </c>
      <c r="AV55" s="165">
        <f>IF(OR(CSE4098B_Spring2026_Grade!$I40="W (Withdrawn)", CSE4098B_Spring2026_Grade!$I40="I (Incomplete)"), 0, IF(AK55&gt;=55%, 1, 0))</f>
        <v>1</v>
      </c>
      <c r="AW55" s="165">
        <f>IF(OR(CSE4098B_Spring2026_Grade!$I40="W (Withdrawn)", CSE4098B_Spring2026_Grade!$I40="I (Incomplete)"), 0, IF(AL55&gt;=55%, 1, 0))</f>
        <v>1</v>
      </c>
      <c r="AX55" s="165">
        <f>IF(OR(CSE4098B_Spring2026_Grade!$I40="W (Withdrawn)", CSE4098B_Spring2026_Grade!$I40="I (Incomplete)"), 0, IF(AM55&gt;=55%, 1, 0))</f>
        <v>1</v>
      </c>
      <c r="AY55" s="165">
        <f>IF(OR(CSE4098B_Spring2026_Grade!$I40="W (Withdrawn)", CSE4098B_Spring2026_Grade!$I40="I (Incomplete)"), 0, IF(AN55&gt;=55%, 1, 0))</f>
        <v>1</v>
      </c>
      <c r="AZ55" s="165">
        <f>IF(OR(CSE4098B_Spring2026_Grade!$I40="W (Withdrawn)", CSE4098B_Spring2026_Grade!$I40="I (Incomplete)"), 0, IF(AO55&gt;=55%, 1, 0))</f>
        <v>1</v>
      </c>
      <c r="BA55" s="76"/>
      <c r="BB55" s="166">
        <f t="shared" si="13"/>
        <v>0</v>
      </c>
      <c r="BC55" s="166">
        <f t="shared" si="14"/>
        <v>0.6666666667</v>
      </c>
      <c r="BD55" s="166">
        <f t="array" ref="BD55">IF($BC$14=0,0,MMULT($AE55:$AO55, BC$3:BC$13)/$BC$14)</f>
        <v>0.8888888889</v>
      </c>
      <c r="BE55" s="166">
        <f t="array" ref="BE55">IF($BD$14=0,0,MMULT($AE55:$AO55, BD$3:BD$13)/$BD$14)</f>
        <v>0.7222222222</v>
      </c>
      <c r="BF55" s="166">
        <f t="shared" si="15"/>
        <v>0.7777777778</v>
      </c>
      <c r="BG55" s="166">
        <f t="array" ref="BG55">IF($BF$14=0,0,MMULT($AE55:$AO55, BF$3:BF$13)/$BF$14)</f>
        <v>0.7777777778</v>
      </c>
      <c r="BH55" s="166">
        <f t="array" ref="BH55">IF($BG$14=0,0,MMULT($AE55:$AO55, BG$3:BG$13)/$BG$14)</f>
        <v>0.8888888889</v>
      </c>
      <c r="BI55" s="166">
        <f t="array" ref="BI55">IF($BH$14=0,0,MMULT($AE55:$AO55, BH$3:BH$13)/$BH$14)</f>
        <v>0.8888888889</v>
      </c>
      <c r="BJ55" s="166">
        <f t="array" ref="BJ55">IF($BI$14=0,0,MMULT($AE55:$AO55, BI$3:BI$13)/$BI$14)</f>
        <v>1</v>
      </c>
      <c r="BK55" s="166">
        <f t="array" ref="BK55">IF($BJ$14=0,0,MMULT($AE55:$AO55, BJ$3:BJ$13)/$BJ$14)</f>
        <v>0.8097777778</v>
      </c>
      <c r="BL55" s="166">
        <f t="shared" si="16"/>
        <v>0.6666666667</v>
      </c>
      <c r="BM55" s="166">
        <f t="shared" si="17"/>
        <v>0.7777777778</v>
      </c>
      <c r="BN55" s="165">
        <f>IF(OR(CSE4098B_Spring2026_Grade!$I40="W (Withdrawn)", CSE4098B_Spring2026_Grade!$I40="I (Incomplete)"), 0, IF(BB55&gt;=55%, 1, 0))</f>
        <v>0</v>
      </c>
      <c r="BO55" s="165">
        <f>IF(OR(CSE4098B_Spring2026_Grade!$I40="W (Withdrawn)", CSE4098B_Spring2026_Grade!$I40="I (Incomplete)"), 0, IF(BC55&gt;=55%, 1, 0))</f>
        <v>1</v>
      </c>
      <c r="BP55" s="165">
        <f>IF(OR(CSE4098B_Spring2026_Grade!$I40="W (Withdrawn)", CSE4098B_Spring2026_Grade!$I40="I (Incomplete)"), 0, IF(BD55&gt;=55%, 1, 0))</f>
        <v>1</v>
      </c>
      <c r="BQ55" s="165">
        <f>IF(OR(CSE4098B_Spring2026_Grade!$I40="W (Withdrawn)", CSE4098B_Spring2026_Grade!$I40="I (Incomplete)"), 0, IF(BE55&gt;=55%, 1, 0))</f>
        <v>1</v>
      </c>
      <c r="BR55" s="165">
        <f>IF(OR(CSE4098B_Spring2026_Grade!$I40="W (Withdrawn)", CSE4098B_Spring2026_Grade!$I40="I (Incomplete)"), 0, IF(BF55&gt;=55%, 1, 0))</f>
        <v>1</v>
      </c>
      <c r="BS55" s="165">
        <f>IF(OR(CSE4098B_Spring2026_Grade!$I40="W (Withdrawn)", CSE4098B_Spring2026_Grade!$I40="I (Incomplete)"), 0, IF(BG55&gt;=55%, 1, 0))</f>
        <v>1</v>
      </c>
      <c r="BT55" s="165">
        <f>IF(OR(CSE4098B_Spring2026_Grade!$I40="W (Withdrawn)", CSE4098B_Spring2026_Grade!$I40="I (Incomplete)"), 0, IF(BH55&gt;=55%, 1, 0))</f>
        <v>1</v>
      </c>
      <c r="BU55" s="165">
        <f>IF(OR(CSE4098B_Spring2026_Grade!$I40="W (Withdrawn)", CSE4098B_Spring2026_Grade!$I40="I (Incomplete)"), 0, IF(BI55&gt;=55%, 1, 0))</f>
        <v>1</v>
      </c>
      <c r="BV55" s="165">
        <f>IF(OR(CSE4098B_Spring2026_Grade!$I40="W (Withdrawn)", CSE4098B_Spring2026_Grade!$I40="I (Incomplete)"), 0, IF(BJ55&gt;=55%, 1, 0))</f>
        <v>1</v>
      </c>
      <c r="BW55" s="165">
        <f>IF(OR(CSE4098B_Spring2026_Grade!$I40="W (Withdrawn)", CSE4098B_Spring2026_Grade!$I40="I (Incomplete)"), 0, IF(BK55&gt;=55%, 1, 0))</f>
        <v>1</v>
      </c>
      <c r="BX55" s="165">
        <f>IF(OR(CSE4098B_Spring2026_Grade!$I40="W (Withdrawn)", CSE4098B_Spring2026_Grade!$I40="I (Incomplete)"), 0, IF(BL55&gt;=55%, 1, 0))</f>
        <v>1</v>
      </c>
      <c r="BY55" s="165">
        <f>IF(OR(CSE4098B_Spring2026_Grade!$I40="W (Withdrawn)", CSE4098B_Spring2026_Grade!$I40="I (Incomplete)"), 0, IF(BM55&gt;=55%, 1, 0))</f>
        <v>1</v>
      </c>
    </row>
    <row r="56">
      <c r="A56" s="153">
        <v>37.0</v>
      </c>
      <c r="B56" s="154">
        <f>CSE4098B_Spring2026_Grade!B41</f>
        <v>221014008</v>
      </c>
      <c r="C56" s="96" t="str">
        <f>CSE4098B_Spring2026_Grade!C41</f>
        <v>Mahmudul Hasan Dipto</v>
      </c>
      <c r="D56" s="155">
        <f>'CO Report Evaluation'!AI39</f>
        <v>4.666666667</v>
      </c>
      <c r="E56" s="155">
        <f>'CO Report Evaluation'!AJ39</f>
        <v>2</v>
      </c>
      <c r="F56" s="155">
        <f>'CO Report Evaluation'!AK39</f>
        <v>2</v>
      </c>
      <c r="G56" s="156">
        <f>'CO Report Evaluation'!AL39</f>
        <v>2.333333333</v>
      </c>
      <c r="H56" s="156">
        <f>'CO Report Evaluation'!AM39</f>
        <v>2.666666667</v>
      </c>
      <c r="I56" s="157">
        <f>'CO Report Evaluation'!AN39</f>
        <v>4.333333333</v>
      </c>
      <c r="J56" s="157">
        <f>'CO Report Evaluation'!AO39</f>
        <v>2.333333333</v>
      </c>
      <c r="K56" s="157">
        <f>'CO Report Evaluation'!AP39</f>
        <v>2.666666667</v>
      </c>
      <c r="L56" s="158">
        <f>'CO Report Evaluation'!AQ39</f>
        <v>2.666666667</v>
      </c>
      <c r="M56" s="159"/>
      <c r="N56" s="160"/>
      <c r="O56" s="160"/>
      <c r="P56" s="160"/>
      <c r="Q56" s="160"/>
      <c r="R56" s="156">
        <f>CSE4098B_Spring2026_Grade!F41</f>
        <v>4</v>
      </c>
      <c r="S56" s="161">
        <f>((CSE4098B_Spring2026_Grade!E41)*10)/45</f>
        <v>7.013333333</v>
      </c>
      <c r="T56" s="162">
        <f t="shared" ref="T56:AB56" si="120">D56</f>
        <v>4.666666667</v>
      </c>
      <c r="U56" s="163">
        <f t="shared" si="120"/>
        <v>2</v>
      </c>
      <c r="V56" s="163">
        <f t="shared" si="120"/>
        <v>2</v>
      </c>
      <c r="W56" s="163">
        <f t="shared" si="120"/>
        <v>2.333333333</v>
      </c>
      <c r="X56" s="163">
        <f t="shared" si="120"/>
        <v>2.666666667</v>
      </c>
      <c r="Y56" s="163">
        <f t="shared" si="120"/>
        <v>4.333333333</v>
      </c>
      <c r="Z56" s="163">
        <f t="shared" si="120"/>
        <v>2.333333333</v>
      </c>
      <c r="AA56" s="163">
        <f t="shared" si="120"/>
        <v>2.666666667</v>
      </c>
      <c r="AB56" s="163">
        <f t="shared" si="120"/>
        <v>2.666666667</v>
      </c>
      <c r="AC56" s="163">
        <f t="shared" ref="AC56:AD56" si="121">R56</f>
        <v>4</v>
      </c>
      <c r="AD56" s="163">
        <f t="shared" si="121"/>
        <v>7.013333333</v>
      </c>
      <c r="AE56" s="164">
        <f t="shared" ref="AE56:AO56" si="122">IF(T56 = 0, 0, T56/T$19)</f>
        <v>0.7777777778</v>
      </c>
      <c r="AF56" s="164">
        <f t="shared" si="122"/>
        <v>0.6666666667</v>
      </c>
      <c r="AG56" s="164">
        <f t="shared" si="122"/>
        <v>0.6666666667</v>
      </c>
      <c r="AH56" s="164">
        <f t="shared" si="122"/>
        <v>0.7777777778</v>
      </c>
      <c r="AI56" s="164">
        <f t="shared" si="122"/>
        <v>0.8888888889</v>
      </c>
      <c r="AJ56" s="164">
        <f t="shared" si="122"/>
        <v>0.7222222222</v>
      </c>
      <c r="AK56" s="164">
        <f t="shared" si="122"/>
        <v>0.7777777778</v>
      </c>
      <c r="AL56" s="164">
        <f t="shared" si="122"/>
        <v>0.8888888889</v>
      </c>
      <c r="AM56" s="164">
        <f t="shared" si="122"/>
        <v>0.8888888889</v>
      </c>
      <c r="AN56" s="164">
        <f t="shared" si="122"/>
        <v>0.8</v>
      </c>
      <c r="AO56" s="164">
        <f t="shared" si="122"/>
        <v>0.7013333333</v>
      </c>
      <c r="AP56" s="165">
        <f>IF(OR(CSE4098B_Spring2026_Grade!$I41="W (Withdrawn)", CSE4098B_Spring2026_Grade!$I41="I (Incomplete)"), 0, IF(AE56&gt;=55%, 1, 0))</f>
        <v>1</v>
      </c>
      <c r="AQ56" s="165">
        <f>IF(OR(CSE4098B_Spring2026_Grade!$I41="W (Withdrawn)", CSE4098B_Spring2026_Grade!$I41="I (Incomplete)"), 0, IF(AF56&gt;=55%, 1, 0))</f>
        <v>1</v>
      </c>
      <c r="AR56" s="165">
        <f>IF(OR(CSE4098B_Spring2026_Grade!$I41="W (Withdrawn)", CSE4098B_Spring2026_Grade!$I41="I (Incomplete)"), 0, IF(AG56&gt;=55%, 1, 0))</f>
        <v>1</v>
      </c>
      <c r="AS56" s="165">
        <f>IF(OR(CSE4098B_Spring2026_Grade!$I41="W (Withdrawn)", CSE4098B_Spring2026_Grade!$I41="I (Incomplete)"), 0, IF(AH56&gt;=55%, 1, 0))</f>
        <v>1</v>
      </c>
      <c r="AT56" s="165">
        <f>IF(OR(CSE4098B_Spring2026_Grade!$I41="W (Withdrawn)", CSE4098B_Spring2026_Grade!$I41="I (Incomplete)"), 0, IF(AI56&gt;=55%, 1, 0))</f>
        <v>1</v>
      </c>
      <c r="AU56" s="165">
        <f>IF(OR(CSE4098B_Spring2026_Grade!$I41="W (Withdrawn)", CSE4098B_Spring2026_Grade!$I41="I (Incomplete)"), 0, IF(AJ56&gt;=55%, 1, 0))</f>
        <v>1</v>
      </c>
      <c r="AV56" s="165">
        <f>IF(OR(CSE4098B_Spring2026_Grade!$I41="W (Withdrawn)", CSE4098B_Spring2026_Grade!$I41="I (Incomplete)"), 0, IF(AK56&gt;=55%, 1, 0))</f>
        <v>1</v>
      </c>
      <c r="AW56" s="165">
        <f>IF(OR(CSE4098B_Spring2026_Grade!$I41="W (Withdrawn)", CSE4098B_Spring2026_Grade!$I41="I (Incomplete)"), 0, IF(AL56&gt;=55%, 1, 0))</f>
        <v>1</v>
      </c>
      <c r="AX56" s="165">
        <f>IF(OR(CSE4098B_Spring2026_Grade!$I41="W (Withdrawn)", CSE4098B_Spring2026_Grade!$I41="I (Incomplete)"), 0, IF(AM56&gt;=55%, 1, 0))</f>
        <v>1</v>
      </c>
      <c r="AY56" s="165">
        <f>IF(OR(CSE4098B_Spring2026_Grade!$I41="W (Withdrawn)", CSE4098B_Spring2026_Grade!$I41="I (Incomplete)"), 0, IF(AN56&gt;=55%, 1, 0))</f>
        <v>1</v>
      </c>
      <c r="AZ56" s="165">
        <f>IF(OR(CSE4098B_Spring2026_Grade!$I41="W (Withdrawn)", CSE4098B_Spring2026_Grade!$I41="I (Incomplete)"), 0, IF(AO56&gt;=55%, 1, 0))</f>
        <v>1</v>
      </c>
      <c r="BA56" s="76"/>
      <c r="BB56" s="166">
        <f t="shared" si="13"/>
        <v>0</v>
      </c>
      <c r="BC56" s="166">
        <f t="shared" si="14"/>
        <v>0.6666666667</v>
      </c>
      <c r="BD56" s="166">
        <f t="array" ref="BD56">IF($BC$14=0,0,MMULT($AE56:$AO56, BC$3:BC$13)/$BC$14)</f>
        <v>0.8888888889</v>
      </c>
      <c r="BE56" s="166">
        <f t="array" ref="BE56">IF($BD$14=0,0,MMULT($AE56:$AO56, BD$3:BD$13)/$BD$14)</f>
        <v>0.7222222222</v>
      </c>
      <c r="BF56" s="166">
        <f t="shared" si="15"/>
        <v>0.7777777778</v>
      </c>
      <c r="BG56" s="166">
        <f t="array" ref="BG56">IF($BF$14=0,0,MMULT($AE56:$AO56, BF$3:BF$13)/$BF$14)</f>
        <v>0.7777777778</v>
      </c>
      <c r="BH56" s="166">
        <f t="array" ref="BH56">IF($BG$14=0,0,MMULT($AE56:$AO56, BG$3:BG$13)/$BG$14)</f>
        <v>0.8888888889</v>
      </c>
      <c r="BI56" s="166">
        <f t="array" ref="BI56">IF($BH$14=0,0,MMULT($AE56:$AO56, BH$3:BH$13)/$BH$14)</f>
        <v>0.8888888889</v>
      </c>
      <c r="BJ56" s="166">
        <f t="array" ref="BJ56">IF($BI$14=0,0,MMULT($AE56:$AO56, BI$3:BI$13)/$BI$14)</f>
        <v>0.8</v>
      </c>
      <c r="BK56" s="166">
        <f t="array" ref="BK56">IF($BJ$14=0,0,MMULT($AE56:$AO56, BJ$3:BJ$13)/$BJ$14)</f>
        <v>0.7013333333</v>
      </c>
      <c r="BL56" s="166">
        <f t="shared" si="16"/>
        <v>0.6666666667</v>
      </c>
      <c r="BM56" s="166">
        <f t="shared" si="17"/>
        <v>0.7777777778</v>
      </c>
      <c r="BN56" s="165">
        <f>IF(OR(CSE4098B_Spring2026_Grade!$I41="W (Withdrawn)", CSE4098B_Spring2026_Grade!$I41="I (Incomplete)"), 0, IF(BB56&gt;=55%, 1, 0))</f>
        <v>0</v>
      </c>
      <c r="BO56" s="165">
        <f>IF(OR(CSE4098B_Spring2026_Grade!$I41="W (Withdrawn)", CSE4098B_Spring2026_Grade!$I41="I (Incomplete)"), 0, IF(BC56&gt;=55%, 1, 0))</f>
        <v>1</v>
      </c>
      <c r="BP56" s="165">
        <f>IF(OR(CSE4098B_Spring2026_Grade!$I41="W (Withdrawn)", CSE4098B_Spring2026_Grade!$I41="I (Incomplete)"), 0, IF(BD56&gt;=55%, 1, 0))</f>
        <v>1</v>
      </c>
      <c r="BQ56" s="165">
        <f>IF(OR(CSE4098B_Spring2026_Grade!$I41="W (Withdrawn)", CSE4098B_Spring2026_Grade!$I41="I (Incomplete)"), 0, IF(BE56&gt;=55%, 1, 0))</f>
        <v>1</v>
      </c>
      <c r="BR56" s="165">
        <f>IF(OR(CSE4098B_Spring2026_Grade!$I41="W (Withdrawn)", CSE4098B_Spring2026_Grade!$I41="I (Incomplete)"), 0, IF(BF56&gt;=55%, 1, 0))</f>
        <v>1</v>
      </c>
      <c r="BS56" s="165">
        <f>IF(OR(CSE4098B_Spring2026_Grade!$I41="W (Withdrawn)", CSE4098B_Spring2026_Grade!$I41="I (Incomplete)"), 0, IF(BG56&gt;=55%, 1, 0))</f>
        <v>1</v>
      </c>
      <c r="BT56" s="165">
        <f>IF(OR(CSE4098B_Spring2026_Grade!$I41="W (Withdrawn)", CSE4098B_Spring2026_Grade!$I41="I (Incomplete)"), 0, IF(BH56&gt;=55%, 1, 0))</f>
        <v>1</v>
      </c>
      <c r="BU56" s="165">
        <f>IF(OR(CSE4098B_Spring2026_Grade!$I41="W (Withdrawn)", CSE4098B_Spring2026_Grade!$I41="I (Incomplete)"), 0, IF(BI56&gt;=55%, 1, 0))</f>
        <v>1</v>
      </c>
      <c r="BV56" s="165">
        <f>IF(OR(CSE4098B_Spring2026_Grade!$I41="W (Withdrawn)", CSE4098B_Spring2026_Grade!$I41="I (Incomplete)"), 0, IF(BJ56&gt;=55%, 1, 0))</f>
        <v>1</v>
      </c>
      <c r="BW56" s="165">
        <f>IF(OR(CSE4098B_Spring2026_Grade!$I41="W (Withdrawn)", CSE4098B_Spring2026_Grade!$I41="I (Incomplete)"), 0, IF(BK56&gt;=55%, 1, 0))</f>
        <v>1</v>
      </c>
      <c r="BX56" s="165">
        <f>IF(OR(CSE4098B_Spring2026_Grade!$I41="W (Withdrawn)", CSE4098B_Spring2026_Grade!$I41="I (Incomplete)"), 0, IF(BL56&gt;=55%, 1, 0))</f>
        <v>1</v>
      </c>
      <c r="BY56" s="165">
        <f>IF(OR(CSE4098B_Spring2026_Grade!$I41="W (Withdrawn)", CSE4098B_Spring2026_Grade!$I41="I (Incomplete)"), 0, IF(BM56&gt;=55%, 1, 0))</f>
        <v>1</v>
      </c>
    </row>
    <row r="57">
      <c r="A57" s="153">
        <v>38.0</v>
      </c>
      <c r="B57" s="154">
        <f>CSE4098B_Spring2026_Grade!B42</f>
        <v>223014086</v>
      </c>
      <c r="C57" s="96" t="str">
        <f>CSE4098B_Spring2026_Grade!C42</f>
        <v>Talat Mahmud Lam</v>
      </c>
      <c r="D57" s="155">
        <f>'CO Report Evaluation'!AI40</f>
        <v>5.333333333</v>
      </c>
      <c r="E57" s="155">
        <f>'CO Report Evaluation'!AJ40</f>
        <v>2.666666667</v>
      </c>
      <c r="F57" s="155">
        <f>'CO Report Evaluation'!AK40</f>
        <v>2.333333333</v>
      </c>
      <c r="G57" s="156">
        <f>'CO Report Evaluation'!AL40</f>
        <v>2.666666667</v>
      </c>
      <c r="H57" s="156">
        <f>'CO Report Evaluation'!AM40</f>
        <v>2.333333333</v>
      </c>
      <c r="I57" s="157">
        <f>'CO Report Evaluation'!AN40</f>
        <v>3.666666667</v>
      </c>
      <c r="J57" s="157">
        <f>'CO Report Evaluation'!AO40</f>
        <v>2.666666667</v>
      </c>
      <c r="K57" s="157">
        <f>'CO Report Evaluation'!AP40</f>
        <v>2.666666667</v>
      </c>
      <c r="L57" s="158">
        <f>'CO Report Evaluation'!AQ40</f>
        <v>2.666666667</v>
      </c>
      <c r="M57" s="159"/>
      <c r="N57" s="160"/>
      <c r="O57" s="160"/>
      <c r="P57" s="160"/>
      <c r="Q57" s="160"/>
      <c r="R57" s="156">
        <f>CSE4098B_Spring2026_Grade!F42</f>
        <v>5</v>
      </c>
      <c r="S57" s="161">
        <f>((CSE4098B_Spring2026_Grade!E42)*10)/45</f>
        <v>9.482222222</v>
      </c>
      <c r="T57" s="162">
        <f t="shared" ref="T57:AB57" si="123">D57</f>
        <v>5.333333333</v>
      </c>
      <c r="U57" s="163">
        <f t="shared" si="123"/>
        <v>2.666666667</v>
      </c>
      <c r="V57" s="163">
        <f t="shared" si="123"/>
        <v>2.333333333</v>
      </c>
      <c r="W57" s="163">
        <f t="shared" si="123"/>
        <v>2.666666667</v>
      </c>
      <c r="X57" s="163">
        <f t="shared" si="123"/>
        <v>2.333333333</v>
      </c>
      <c r="Y57" s="163">
        <f t="shared" si="123"/>
        <v>3.666666667</v>
      </c>
      <c r="Z57" s="163">
        <f t="shared" si="123"/>
        <v>2.666666667</v>
      </c>
      <c r="AA57" s="163">
        <f t="shared" si="123"/>
        <v>2.666666667</v>
      </c>
      <c r="AB57" s="163">
        <f t="shared" si="123"/>
        <v>2.666666667</v>
      </c>
      <c r="AC57" s="163">
        <f t="shared" ref="AC57:AD57" si="124">R57</f>
        <v>5</v>
      </c>
      <c r="AD57" s="163">
        <f t="shared" si="124"/>
        <v>9.482222222</v>
      </c>
      <c r="AE57" s="164">
        <f t="shared" ref="AE57:AO57" si="125">IF(T57 = 0, 0, T57/T$19)</f>
        <v>0.8888888889</v>
      </c>
      <c r="AF57" s="164">
        <f t="shared" si="125"/>
        <v>0.8888888889</v>
      </c>
      <c r="AG57" s="164">
        <f t="shared" si="125"/>
        <v>0.7777777778</v>
      </c>
      <c r="AH57" s="164">
        <f t="shared" si="125"/>
        <v>0.8888888889</v>
      </c>
      <c r="AI57" s="164">
        <f t="shared" si="125"/>
        <v>0.7777777778</v>
      </c>
      <c r="AJ57" s="164">
        <f t="shared" si="125"/>
        <v>0.6111111111</v>
      </c>
      <c r="AK57" s="164">
        <f t="shared" si="125"/>
        <v>0.8888888889</v>
      </c>
      <c r="AL57" s="164">
        <f t="shared" si="125"/>
        <v>0.8888888889</v>
      </c>
      <c r="AM57" s="164">
        <f t="shared" si="125"/>
        <v>0.8888888889</v>
      </c>
      <c r="AN57" s="164">
        <f t="shared" si="125"/>
        <v>1</v>
      </c>
      <c r="AO57" s="164">
        <f t="shared" si="125"/>
        <v>0.9482222222</v>
      </c>
      <c r="AP57" s="165">
        <f>IF(OR(CSE4098B_Spring2026_Grade!$I42="W (Withdrawn)", CSE4098B_Spring2026_Grade!$I42="I (Incomplete)"), 0, IF(AE57&gt;=55%, 1, 0))</f>
        <v>1</v>
      </c>
      <c r="AQ57" s="165">
        <f>IF(OR(CSE4098B_Spring2026_Grade!$I42="W (Withdrawn)", CSE4098B_Spring2026_Grade!$I42="I (Incomplete)"), 0, IF(AF57&gt;=55%, 1, 0))</f>
        <v>1</v>
      </c>
      <c r="AR57" s="165">
        <f>IF(OR(CSE4098B_Spring2026_Grade!$I42="W (Withdrawn)", CSE4098B_Spring2026_Grade!$I42="I (Incomplete)"), 0, IF(AG57&gt;=55%, 1, 0))</f>
        <v>1</v>
      </c>
      <c r="AS57" s="165">
        <f>IF(OR(CSE4098B_Spring2026_Grade!$I42="W (Withdrawn)", CSE4098B_Spring2026_Grade!$I42="I (Incomplete)"), 0, IF(AH57&gt;=55%, 1, 0))</f>
        <v>1</v>
      </c>
      <c r="AT57" s="165">
        <f>IF(OR(CSE4098B_Spring2026_Grade!$I42="W (Withdrawn)", CSE4098B_Spring2026_Grade!$I42="I (Incomplete)"), 0, IF(AI57&gt;=55%, 1, 0))</f>
        <v>1</v>
      </c>
      <c r="AU57" s="165">
        <f>IF(OR(CSE4098B_Spring2026_Grade!$I42="W (Withdrawn)", CSE4098B_Spring2026_Grade!$I42="I (Incomplete)"), 0, IF(AJ57&gt;=55%, 1, 0))</f>
        <v>1</v>
      </c>
      <c r="AV57" s="165">
        <f>IF(OR(CSE4098B_Spring2026_Grade!$I42="W (Withdrawn)", CSE4098B_Spring2026_Grade!$I42="I (Incomplete)"), 0, IF(AK57&gt;=55%, 1, 0))</f>
        <v>1</v>
      </c>
      <c r="AW57" s="165">
        <f>IF(OR(CSE4098B_Spring2026_Grade!$I42="W (Withdrawn)", CSE4098B_Spring2026_Grade!$I42="I (Incomplete)"), 0, IF(AL57&gt;=55%, 1, 0))</f>
        <v>1</v>
      </c>
      <c r="AX57" s="165">
        <f>IF(OR(CSE4098B_Spring2026_Grade!$I42="W (Withdrawn)", CSE4098B_Spring2026_Grade!$I42="I (Incomplete)"), 0, IF(AM57&gt;=55%, 1, 0))</f>
        <v>1</v>
      </c>
      <c r="AY57" s="165">
        <f>IF(OR(CSE4098B_Spring2026_Grade!$I42="W (Withdrawn)", CSE4098B_Spring2026_Grade!$I42="I (Incomplete)"), 0, IF(AN57&gt;=55%, 1, 0))</f>
        <v>1</v>
      </c>
      <c r="AZ57" s="165">
        <f>IF(OR(CSE4098B_Spring2026_Grade!$I42="W (Withdrawn)", CSE4098B_Spring2026_Grade!$I42="I (Incomplete)"), 0, IF(AO57&gt;=55%, 1, 0))</f>
        <v>1</v>
      </c>
      <c r="BA57" s="76"/>
      <c r="BB57" s="166">
        <f t="shared" si="13"/>
        <v>0</v>
      </c>
      <c r="BC57" s="166">
        <f t="shared" si="14"/>
        <v>0.8888888889</v>
      </c>
      <c r="BD57" s="166">
        <f t="array" ref="BD57">IF($BC$14=0,0,MMULT($AE57:$AO57, BC$3:BC$13)/$BC$14)</f>
        <v>0.7777777778</v>
      </c>
      <c r="BE57" s="166">
        <f t="array" ref="BE57">IF($BD$14=0,0,MMULT($AE57:$AO57, BD$3:BD$13)/$BD$14)</f>
        <v>0.6111111111</v>
      </c>
      <c r="BF57" s="166">
        <f t="shared" si="15"/>
        <v>0.8888888889</v>
      </c>
      <c r="BG57" s="166">
        <f t="array" ref="BG57">IF($BF$14=0,0,MMULT($AE57:$AO57, BF$3:BF$13)/$BF$14)</f>
        <v>0.8888888889</v>
      </c>
      <c r="BH57" s="166">
        <f t="array" ref="BH57">IF($BG$14=0,0,MMULT($AE57:$AO57, BG$3:BG$13)/$BG$14)</f>
        <v>0.8888888889</v>
      </c>
      <c r="BI57" s="166">
        <f t="array" ref="BI57">IF($BH$14=0,0,MMULT($AE57:$AO57, BH$3:BH$13)/$BH$14)</f>
        <v>0.8888888889</v>
      </c>
      <c r="BJ57" s="166">
        <f t="array" ref="BJ57">IF($BI$14=0,0,MMULT($AE57:$AO57, BI$3:BI$13)/$BI$14)</f>
        <v>1</v>
      </c>
      <c r="BK57" s="166">
        <f t="array" ref="BK57">IF($BJ$14=0,0,MMULT($AE57:$AO57, BJ$3:BJ$13)/$BJ$14)</f>
        <v>0.9482222222</v>
      </c>
      <c r="BL57" s="166">
        <f t="shared" si="16"/>
        <v>0.7777777778</v>
      </c>
      <c r="BM57" s="166">
        <f t="shared" si="17"/>
        <v>0.8888888889</v>
      </c>
      <c r="BN57" s="165">
        <f>IF(OR(CSE4098B_Spring2026_Grade!$I42="W (Withdrawn)", CSE4098B_Spring2026_Grade!$I42="I (Incomplete)"), 0, IF(BB57&gt;=55%, 1, 0))</f>
        <v>0</v>
      </c>
      <c r="BO57" s="165">
        <f>IF(OR(CSE4098B_Spring2026_Grade!$I42="W (Withdrawn)", CSE4098B_Spring2026_Grade!$I42="I (Incomplete)"), 0, IF(BC57&gt;=55%, 1, 0))</f>
        <v>1</v>
      </c>
      <c r="BP57" s="165">
        <f>IF(OR(CSE4098B_Spring2026_Grade!$I42="W (Withdrawn)", CSE4098B_Spring2026_Grade!$I42="I (Incomplete)"), 0, IF(BD57&gt;=55%, 1, 0))</f>
        <v>1</v>
      </c>
      <c r="BQ57" s="165">
        <f>IF(OR(CSE4098B_Spring2026_Grade!$I42="W (Withdrawn)", CSE4098B_Spring2026_Grade!$I42="I (Incomplete)"), 0, IF(BE57&gt;=55%, 1, 0))</f>
        <v>1</v>
      </c>
      <c r="BR57" s="165">
        <f>IF(OR(CSE4098B_Spring2026_Grade!$I42="W (Withdrawn)", CSE4098B_Spring2026_Grade!$I42="I (Incomplete)"), 0, IF(BF57&gt;=55%, 1, 0))</f>
        <v>1</v>
      </c>
      <c r="BS57" s="165">
        <f>IF(OR(CSE4098B_Spring2026_Grade!$I42="W (Withdrawn)", CSE4098B_Spring2026_Grade!$I42="I (Incomplete)"), 0, IF(BG57&gt;=55%, 1, 0))</f>
        <v>1</v>
      </c>
      <c r="BT57" s="165">
        <f>IF(OR(CSE4098B_Spring2026_Grade!$I42="W (Withdrawn)", CSE4098B_Spring2026_Grade!$I42="I (Incomplete)"), 0, IF(BH57&gt;=55%, 1, 0))</f>
        <v>1</v>
      </c>
      <c r="BU57" s="165">
        <f>IF(OR(CSE4098B_Spring2026_Grade!$I42="W (Withdrawn)", CSE4098B_Spring2026_Grade!$I42="I (Incomplete)"), 0, IF(BI57&gt;=55%, 1, 0))</f>
        <v>1</v>
      </c>
      <c r="BV57" s="165">
        <f>IF(OR(CSE4098B_Spring2026_Grade!$I42="W (Withdrawn)", CSE4098B_Spring2026_Grade!$I42="I (Incomplete)"), 0, IF(BJ57&gt;=55%, 1, 0))</f>
        <v>1</v>
      </c>
      <c r="BW57" s="165">
        <f>IF(OR(CSE4098B_Spring2026_Grade!$I42="W (Withdrawn)", CSE4098B_Spring2026_Grade!$I42="I (Incomplete)"), 0, IF(BK57&gt;=55%, 1, 0))</f>
        <v>1</v>
      </c>
      <c r="BX57" s="165">
        <f>IF(OR(CSE4098B_Spring2026_Grade!$I42="W (Withdrawn)", CSE4098B_Spring2026_Grade!$I42="I (Incomplete)"), 0, IF(BL57&gt;=55%, 1, 0))</f>
        <v>1</v>
      </c>
      <c r="BY57" s="165">
        <f>IF(OR(CSE4098B_Spring2026_Grade!$I42="W (Withdrawn)", CSE4098B_Spring2026_Grade!$I42="I (Incomplete)"), 0, IF(BM57&gt;=55%, 1, 0))</f>
        <v>1</v>
      </c>
    </row>
    <row r="58">
      <c r="A58" s="153">
        <v>39.0</v>
      </c>
      <c r="B58" s="154">
        <f>CSE4098B_Spring2026_Grade!B43</f>
        <v>223014033</v>
      </c>
      <c r="C58" s="96" t="str">
        <f>CSE4098B_Spring2026_Grade!C43</f>
        <v>Sadia Nuzat Prova</v>
      </c>
      <c r="D58" s="155">
        <f>'CO Report Evaluation'!AI41</f>
        <v>5.333333333</v>
      </c>
      <c r="E58" s="155">
        <f>'CO Report Evaluation'!AJ41</f>
        <v>2.666666667</v>
      </c>
      <c r="F58" s="155">
        <f>'CO Report Evaluation'!AK41</f>
        <v>2.333333333</v>
      </c>
      <c r="G58" s="156">
        <f>'CO Report Evaluation'!AL41</f>
        <v>2.666666667</v>
      </c>
      <c r="H58" s="156">
        <f>'CO Report Evaluation'!AM41</f>
        <v>2.333333333</v>
      </c>
      <c r="I58" s="157">
        <f>'CO Report Evaluation'!AN41</f>
        <v>3.666666667</v>
      </c>
      <c r="J58" s="157">
        <f>'CO Report Evaluation'!AO41</f>
        <v>2.666666667</v>
      </c>
      <c r="K58" s="157">
        <f>'CO Report Evaluation'!AP41</f>
        <v>2.666666667</v>
      </c>
      <c r="L58" s="158">
        <f>'CO Report Evaluation'!AQ41</f>
        <v>2.666666667</v>
      </c>
      <c r="M58" s="159"/>
      <c r="N58" s="160"/>
      <c r="O58" s="160"/>
      <c r="P58" s="160"/>
      <c r="Q58" s="160"/>
      <c r="R58" s="156">
        <f>CSE4098B_Spring2026_Grade!F43</f>
        <v>5</v>
      </c>
      <c r="S58" s="161">
        <f>((CSE4098B_Spring2026_Grade!E43)*10)/45</f>
        <v>8.691111111</v>
      </c>
      <c r="T58" s="162">
        <f t="shared" ref="T58:AB58" si="126">D58</f>
        <v>5.333333333</v>
      </c>
      <c r="U58" s="163">
        <f t="shared" si="126"/>
        <v>2.666666667</v>
      </c>
      <c r="V58" s="163">
        <f t="shared" si="126"/>
        <v>2.333333333</v>
      </c>
      <c r="W58" s="163">
        <f t="shared" si="126"/>
        <v>2.666666667</v>
      </c>
      <c r="X58" s="163">
        <f t="shared" si="126"/>
        <v>2.333333333</v>
      </c>
      <c r="Y58" s="163">
        <f t="shared" si="126"/>
        <v>3.666666667</v>
      </c>
      <c r="Z58" s="163">
        <f t="shared" si="126"/>
        <v>2.666666667</v>
      </c>
      <c r="AA58" s="163">
        <f t="shared" si="126"/>
        <v>2.666666667</v>
      </c>
      <c r="AB58" s="163">
        <f t="shared" si="126"/>
        <v>2.666666667</v>
      </c>
      <c r="AC58" s="163">
        <f t="shared" ref="AC58:AD58" si="127">R58</f>
        <v>5</v>
      </c>
      <c r="AD58" s="163">
        <f t="shared" si="127"/>
        <v>8.691111111</v>
      </c>
      <c r="AE58" s="164">
        <f t="shared" ref="AE58:AO58" si="128">IF(T58 = 0, 0, T58/T$19)</f>
        <v>0.8888888889</v>
      </c>
      <c r="AF58" s="164">
        <f t="shared" si="128"/>
        <v>0.8888888889</v>
      </c>
      <c r="AG58" s="164">
        <f t="shared" si="128"/>
        <v>0.7777777778</v>
      </c>
      <c r="AH58" s="164">
        <f t="shared" si="128"/>
        <v>0.8888888889</v>
      </c>
      <c r="AI58" s="164">
        <f t="shared" si="128"/>
        <v>0.7777777778</v>
      </c>
      <c r="AJ58" s="164">
        <f t="shared" si="128"/>
        <v>0.6111111111</v>
      </c>
      <c r="AK58" s="164">
        <f t="shared" si="128"/>
        <v>0.8888888889</v>
      </c>
      <c r="AL58" s="164">
        <f t="shared" si="128"/>
        <v>0.8888888889</v>
      </c>
      <c r="AM58" s="164">
        <f t="shared" si="128"/>
        <v>0.8888888889</v>
      </c>
      <c r="AN58" s="164">
        <f t="shared" si="128"/>
        <v>1</v>
      </c>
      <c r="AO58" s="164">
        <f t="shared" si="128"/>
        <v>0.8691111111</v>
      </c>
      <c r="AP58" s="165">
        <f>IF(OR(CSE4098B_Spring2026_Grade!$I43="W (Withdrawn)", CSE4098B_Spring2026_Grade!$I43="I (Incomplete)"), 0, IF(AE58&gt;=55%, 1, 0))</f>
        <v>1</v>
      </c>
      <c r="AQ58" s="165">
        <f>IF(OR(CSE4098B_Spring2026_Grade!$I43="W (Withdrawn)", CSE4098B_Spring2026_Grade!$I43="I (Incomplete)"), 0, IF(AF58&gt;=55%, 1, 0))</f>
        <v>1</v>
      </c>
      <c r="AR58" s="165">
        <f>IF(OR(CSE4098B_Spring2026_Grade!$I43="W (Withdrawn)", CSE4098B_Spring2026_Grade!$I43="I (Incomplete)"), 0, IF(AG58&gt;=55%, 1, 0))</f>
        <v>1</v>
      </c>
      <c r="AS58" s="165">
        <f>IF(OR(CSE4098B_Spring2026_Grade!$I43="W (Withdrawn)", CSE4098B_Spring2026_Grade!$I43="I (Incomplete)"), 0, IF(AH58&gt;=55%, 1, 0))</f>
        <v>1</v>
      </c>
      <c r="AT58" s="165">
        <f>IF(OR(CSE4098B_Spring2026_Grade!$I43="W (Withdrawn)", CSE4098B_Spring2026_Grade!$I43="I (Incomplete)"), 0, IF(AI58&gt;=55%, 1, 0))</f>
        <v>1</v>
      </c>
      <c r="AU58" s="165">
        <f>IF(OR(CSE4098B_Spring2026_Grade!$I43="W (Withdrawn)", CSE4098B_Spring2026_Grade!$I43="I (Incomplete)"), 0, IF(AJ58&gt;=55%, 1, 0))</f>
        <v>1</v>
      </c>
      <c r="AV58" s="165">
        <f>IF(OR(CSE4098B_Spring2026_Grade!$I43="W (Withdrawn)", CSE4098B_Spring2026_Grade!$I43="I (Incomplete)"), 0, IF(AK58&gt;=55%, 1, 0))</f>
        <v>1</v>
      </c>
      <c r="AW58" s="165">
        <f>IF(OR(CSE4098B_Spring2026_Grade!$I43="W (Withdrawn)", CSE4098B_Spring2026_Grade!$I43="I (Incomplete)"), 0, IF(AL58&gt;=55%, 1, 0))</f>
        <v>1</v>
      </c>
      <c r="AX58" s="165">
        <f>IF(OR(CSE4098B_Spring2026_Grade!$I43="W (Withdrawn)", CSE4098B_Spring2026_Grade!$I43="I (Incomplete)"), 0, IF(AM58&gt;=55%, 1, 0))</f>
        <v>1</v>
      </c>
      <c r="AY58" s="165">
        <f>IF(OR(CSE4098B_Spring2026_Grade!$I43="W (Withdrawn)", CSE4098B_Spring2026_Grade!$I43="I (Incomplete)"), 0, IF(AN58&gt;=55%, 1, 0))</f>
        <v>1</v>
      </c>
      <c r="AZ58" s="165">
        <f>IF(OR(CSE4098B_Spring2026_Grade!$I43="W (Withdrawn)", CSE4098B_Spring2026_Grade!$I43="I (Incomplete)"), 0, IF(AO58&gt;=55%, 1, 0))</f>
        <v>1</v>
      </c>
      <c r="BA58" s="76"/>
      <c r="BB58" s="166">
        <f t="shared" si="13"/>
        <v>0</v>
      </c>
      <c r="BC58" s="166">
        <f t="shared" si="14"/>
        <v>0.8888888889</v>
      </c>
      <c r="BD58" s="166">
        <f t="array" ref="BD58">IF($BC$14=0,0,MMULT($AE58:$AO58, BC$3:BC$13)/$BC$14)</f>
        <v>0.7777777778</v>
      </c>
      <c r="BE58" s="166">
        <f t="array" ref="BE58">IF($BD$14=0,0,MMULT($AE58:$AO58, BD$3:BD$13)/$BD$14)</f>
        <v>0.6111111111</v>
      </c>
      <c r="BF58" s="166">
        <f t="shared" si="15"/>
        <v>0.8888888889</v>
      </c>
      <c r="BG58" s="166">
        <f t="array" ref="BG58">IF($BF$14=0,0,MMULT($AE58:$AO58, BF$3:BF$13)/$BF$14)</f>
        <v>0.8888888889</v>
      </c>
      <c r="BH58" s="166">
        <f t="array" ref="BH58">IF($BG$14=0,0,MMULT($AE58:$AO58, BG$3:BG$13)/$BG$14)</f>
        <v>0.8888888889</v>
      </c>
      <c r="BI58" s="166">
        <f t="array" ref="BI58">IF($BH$14=0,0,MMULT($AE58:$AO58, BH$3:BH$13)/$BH$14)</f>
        <v>0.8888888889</v>
      </c>
      <c r="BJ58" s="166">
        <f t="array" ref="BJ58">IF($BI$14=0,0,MMULT($AE58:$AO58, BI$3:BI$13)/$BI$14)</f>
        <v>1</v>
      </c>
      <c r="BK58" s="166">
        <f t="array" ref="BK58">IF($BJ$14=0,0,MMULT($AE58:$AO58, BJ$3:BJ$13)/$BJ$14)</f>
        <v>0.8691111111</v>
      </c>
      <c r="BL58" s="166">
        <f t="shared" si="16"/>
        <v>0.7777777778</v>
      </c>
      <c r="BM58" s="166">
        <f t="shared" si="17"/>
        <v>0.8888888889</v>
      </c>
      <c r="BN58" s="165">
        <f>IF(OR(CSE4098B_Spring2026_Grade!$I43="W (Withdrawn)", CSE4098B_Spring2026_Grade!$I43="I (Incomplete)"), 0, IF(BB58&gt;=55%, 1, 0))</f>
        <v>0</v>
      </c>
      <c r="BO58" s="165">
        <f>IF(OR(CSE4098B_Spring2026_Grade!$I43="W (Withdrawn)", CSE4098B_Spring2026_Grade!$I43="I (Incomplete)"), 0, IF(BC58&gt;=55%, 1, 0))</f>
        <v>1</v>
      </c>
      <c r="BP58" s="165">
        <f>IF(OR(CSE4098B_Spring2026_Grade!$I43="W (Withdrawn)", CSE4098B_Spring2026_Grade!$I43="I (Incomplete)"), 0, IF(BD58&gt;=55%, 1, 0))</f>
        <v>1</v>
      </c>
      <c r="BQ58" s="165">
        <f>IF(OR(CSE4098B_Spring2026_Grade!$I43="W (Withdrawn)", CSE4098B_Spring2026_Grade!$I43="I (Incomplete)"), 0, IF(BE58&gt;=55%, 1, 0))</f>
        <v>1</v>
      </c>
      <c r="BR58" s="165">
        <f>IF(OR(CSE4098B_Spring2026_Grade!$I43="W (Withdrawn)", CSE4098B_Spring2026_Grade!$I43="I (Incomplete)"), 0, IF(BF58&gt;=55%, 1, 0))</f>
        <v>1</v>
      </c>
      <c r="BS58" s="165">
        <f>IF(OR(CSE4098B_Spring2026_Grade!$I43="W (Withdrawn)", CSE4098B_Spring2026_Grade!$I43="I (Incomplete)"), 0, IF(BG58&gt;=55%, 1, 0))</f>
        <v>1</v>
      </c>
      <c r="BT58" s="165">
        <f>IF(OR(CSE4098B_Spring2026_Grade!$I43="W (Withdrawn)", CSE4098B_Spring2026_Grade!$I43="I (Incomplete)"), 0, IF(BH58&gt;=55%, 1, 0))</f>
        <v>1</v>
      </c>
      <c r="BU58" s="165">
        <f>IF(OR(CSE4098B_Spring2026_Grade!$I43="W (Withdrawn)", CSE4098B_Spring2026_Grade!$I43="I (Incomplete)"), 0, IF(BI58&gt;=55%, 1, 0))</f>
        <v>1</v>
      </c>
      <c r="BV58" s="165">
        <f>IF(OR(CSE4098B_Spring2026_Grade!$I43="W (Withdrawn)", CSE4098B_Spring2026_Grade!$I43="I (Incomplete)"), 0, IF(BJ58&gt;=55%, 1, 0))</f>
        <v>1</v>
      </c>
      <c r="BW58" s="165">
        <f>IF(OR(CSE4098B_Spring2026_Grade!$I43="W (Withdrawn)", CSE4098B_Spring2026_Grade!$I43="I (Incomplete)"), 0, IF(BK58&gt;=55%, 1, 0))</f>
        <v>1</v>
      </c>
      <c r="BX58" s="165">
        <f>IF(OR(CSE4098B_Spring2026_Grade!$I43="W (Withdrawn)", CSE4098B_Spring2026_Grade!$I43="I (Incomplete)"), 0, IF(BL58&gt;=55%, 1, 0))</f>
        <v>1</v>
      </c>
      <c r="BY58" s="165">
        <f>IF(OR(CSE4098B_Spring2026_Grade!$I43="W (Withdrawn)", CSE4098B_Spring2026_Grade!$I43="I (Incomplete)"), 0, IF(BM58&gt;=55%, 1, 0))</f>
        <v>1</v>
      </c>
    </row>
    <row r="59">
      <c r="A59" s="153">
        <v>40.0</v>
      </c>
      <c r="B59" s="154">
        <f>CSE4098B_Spring2026_Grade!B44</f>
        <v>223014042</v>
      </c>
      <c r="C59" s="96" t="str">
        <f>CSE4098B_Spring2026_Grade!C44</f>
        <v>Shahin Alam</v>
      </c>
      <c r="D59" s="155">
        <f>'CO Report Evaluation'!AI42</f>
        <v>5.333333333</v>
      </c>
      <c r="E59" s="155">
        <f>'CO Report Evaluation'!AJ42</f>
        <v>2.666666667</v>
      </c>
      <c r="F59" s="155">
        <f>'CO Report Evaluation'!AK42</f>
        <v>2.333333333</v>
      </c>
      <c r="G59" s="156">
        <f>'CO Report Evaluation'!AL42</f>
        <v>2.666666667</v>
      </c>
      <c r="H59" s="156">
        <f>'CO Report Evaluation'!AM42</f>
        <v>2.333333333</v>
      </c>
      <c r="I59" s="157">
        <f>'CO Report Evaluation'!AN42</f>
        <v>3.666666667</v>
      </c>
      <c r="J59" s="157">
        <f>'CO Report Evaluation'!AO42</f>
        <v>2.666666667</v>
      </c>
      <c r="K59" s="157">
        <f>'CO Report Evaluation'!AP42</f>
        <v>2.666666667</v>
      </c>
      <c r="L59" s="158">
        <f>'CO Report Evaluation'!AQ42</f>
        <v>2.666666667</v>
      </c>
      <c r="M59" s="159"/>
      <c r="N59" s="160"/>
      <c r="O59" s="160"/>
      <c r="P59" s="160"/>
      <c r="Q59" s="160"/>
      <c r="R59" s="156">
        <f>CSE4098B_Spring2026_Grade!F44</f>
        <v>4</v>
      </c>
      <c r="S59" s="161">
        <f>((CSE4098B_Spring2026_Grade!E44)*10)/45</f>
        <v>7.555555556</v>
      </c>
      <c r="T59" s="162">
        <f t="shared" ref="T59:AB59" si="129">D59</f>
        <v>5.333333333</v>
      </c>
      <c r="U59" s="163">
        <f t="shared" si="129"/>
        <v>2.666666667</v>
      </c>
      <c r="V59" s="163">
        <f t="shared" si="129"/>
        <v>2.333333333</v>
      </c>
      <c r="W59" s="163">
        <f t="shared" si="129"/>
        <v>2.666666667</v>
      </c>
      <c r="X59" s="163">
        <f t="shared" si="129"/>
        <v>2.333333333</v>
      </c>
      <c r="Y59" s="163">
        <f t="shared" si="129"/>
        <v>3.666666667</v>
      </c>
      <c r="Z59" s="163">
        <f t="shared" si="129"/>
        <v>2.666666667</v>
      </c>
      <c r="AA59" s="163">
        <f t="shared" si="129"/>
        <v>2.666666667</v>
      </c>
      <c r="AB59" s="163">
        <f t="shared" si="129"/>
        <v>2.666666667</v>
      </c>
      <c r="AC59" s="163">
        <f t="shared" ref="AC59:AD59" si="130">R59</f>
        <v>4</v>
      </c>
      <c r="AD59" s="163">
        <f t="shared" si="130"/>
        <v>7.555555556</v>
      </c>
      <c r="AE59" s="164">
        <f t="shared" ref="AE59:AO59" si="131">IF(T59 = 0, 0, T59/T$19)</f>
        <v>0.8888888889</v>
      </c>
      <c r="AF59" s="164">
        <f t="shared" si="131"/>
        <v>0.8888888889</v>
      </c>
      <c r="AG59" s="164">
        <f t="shared" si="131"/>
        <v>0.7777777778</v>
      </c>
      <c r="AH59" s="164">
        <f t="shared" si="131"/>
        <v>0.8888888889</v>
      </c>
      <c r="AI59" s="164">
        <f t="shared" si="131"/>
        <v>0.7777777778</v>
      </c>
      <c r="AJ59" s="164">
        <f t="shared" si="131"/>
        <v>0.6111111111</v>
      </c>
      <c r="AK59" s="164">
        <f t="shared" si="131"/>
        <v>0.8888888889</v>
      </c>
      <c r="AL59" s="164">
        <f t="shared" si="131"/>
        <v>0.8888888889</v>
      </c>
      <c r="AM59" s="164">
        <f t="shared" si="131"/>
        <v>0.8888888889</v>
      </c>
      <c r="AN59" s="164">
        <f t="shared" si="131"/>
        <v>0.8</v>
      </c>
      <c r="AO59" s="164">
        <f t="shared" si="131"/>
        <v>0.7555555556</v>
      </c>
      <c r="AP59" s="165">
        <f>IF(OR(CSE4098B_Spring2026_Grade!$I44="W (Withdrawn)", CSE4098B_Spring2026_Grade!$I44="I (Incomplete)"), 0, IF(AE59&gt;=55%, 1, 0))</f>
        <v>1</v>
      </c>
      <c r="AQ59" s="165">
        <f>IF(OR(CSE4098B_Spring2026_Grade!$I44="W (Withdrawn)", CSE4098B_Spring2026_Grade!$I44="I (Incomplete)"), 0, IF(AF59&gt;=55%, 1, 0))</f>
        <v>1</v>
      </c>
      <c r="AR59" s="165">
        <f>IF(OR(CSE4098B_Spring2026_Grade!$I44="W (Withdrawn)", CSE4098B_Spring2026_Grade!$I44="I (Incomplete)"), 0, IF(AG59&gt;=55%, 1, 0))</f>
        <v>1</v>
      </c>
      <c r="AS59" s="165">
        <f>IF(OR(CSE4098B_Spring2026_Grade!$I44="W (Withdrawn)", CSE4098B_Spring2026_Grade!$I44="I (Incomplete)"), 0, IF(AH59&gt;=55%, 1, 0))</f>
        <v>1</v>
      </c>
      <c r="AT59" s="165">
        <f>IF(OR(CSE4098B_Spring2026_Grade!$I44="W (Withdrawn)", CSE4098B_Spring2026_Grade!$I44="I (Incomplete)"), 0, IF(AI59&gt;=55%, 1, 0))</f>
        <v>1</v>
      </c>
      <c r="AU59" s="165">
        <f>IF(OR(CSE4098B_Spring2026_Grade!$I44="W (Withdrawn)", CSE4098B_Spring2026_Grade!$I44="I (Incomplete)"), 0, IF(AJ59&gt;=55%, 1, 0))</f>
        <v>1</v>
      </c>
      <c r="AV59" s="165">
        <f>IF(OR(CSE4098B_Spring2026_Grade!$I44="W (Withdrawn)", CSE4098B_Spring2026_Grade!$I44="I (Incomplete)"), 0, IF(AK59&gt;=55%, 1, 0))</f>
        <v>1</v>
      </c>
      <c r="AW59" s="165">
        <f>IF(OR(CSE4098B_Spring2026_Grade!$I44="W (Withdrawn)", CSE4098B_Spring2026_Grade!$I44="I (Incomplete)"), 0, IF(AL59&gt;=55%, 1, 0))</f>
        <v>1</v>
      </c>
      <c r="AX59" s="165">
        <f>IF(OR(CSE4098B_Spring2026_Grade!$I44="W (Withdrawn)", CSE4098B_Spring2026_Grade!$I44="I (Incomplete)"), 0, IF(AM59&gt;=55%, 1, 0))</f>
        <v>1</v>
      </c>
      <c r="AY59" s="165">
        <f>IF(OR(CSE4098B_Spring2026_Grade!$I44="W (Withdrawn)", CSE4098B_Spring2026_Grade!$I44="I (Incomplete)"), 0, IF(AN59&gt;=55%, 1, 0))</f>
        <v>1</v>
      </c>
      <c r="AZ59" s="165">
        <f>IF(OR(CSE4098B_Spring2026_Grade!$I44="W (Withdrawn)", CSE4098B_Spring2026_Grade!$I44="I (Incomplete)"), 0, IF(AO59&gt;=55%, 1, 0))</f>
        <v>1</v>
      </c>
      <c r="BA59" s="76"/>
      <c r="BB59" s="166">
        <f t="shared" si="13"/>
        <v>0</v>
      </c>
      <c r="BC59" s="166">
        <f t="shared" si="14"/>
        <v>0.8888888889</v>
      </c>
      <c r="BD59" s="166">
        <f t="array" ref="BD59">IF($BC$14=0,0,MMULT($AE59:$AO59, BC$3:BC$13)/$BC$14)</f>
        <v>0.7777777778</v>
      </c>
      <c r="BE59" s="166">
        <f t="array" ref="BE59">IF($BD$14=0,0,MMULT($AE59:$AO59, BD$3:BD$13)/$BD$14)</f>
        <v>0.6111111111</v>
      </c>
      <c r="BF59" s="166">
        <f t="shared" si="15"/>
        <v>0.8888888889</v>
      </c>
      <c r="BG59" s="166">
        <f t="array" ref="BG59">IF($BF$14=0,0,MMULT($AE59:$AO59, BF$3:BF$13)/$BF$14)</f>
        <v>0.8888888889</v>
      </c>
      <c r="BH59" s="166">
        <f t="array" ref="BH59">IF($BG$14=0,0,MMULT($AE59:$AO59, BG$3:BG$13)/$BG$14)</f>
        <v>0.8888888889</v>
      </c>
      <c r="BI59" s="166">
        <f t="array" ref="BI59">IF($BH$14=0,0,MMULT($AE59:$AO59, BH$3:BH$13)/$BH$14)</f>
        <v>0.8888888889</v>
      </c>
      <c r="BJ59" s="166">
        <f t="array" ref="BJ59">IF($BI$14=0,0,MMULT($AE59:$AO59, BI$3:BI$13)/$BI$14)</f>
        <v>0.8</v>
      </c>
      <c r="BK59" s="166">
        <f t="array" ref="BK59">IF($BJ$14=0,0,MMULT($AE59:$AO59, BJ$3:BJ$13)/$BJ$14)</f>
        <v>0.7555555556</v>
      </c>
      <c r="BL59" s="166">
        <f t="shared" si="16"/>
        <v>0.7777777778</v>
      </c>
      <c r="BM59" s="166">
        <f t="shared" si="17"/>
        <v>0.8888888889</v>
      </c>
      <c r="BN59" s="165">
        <f>IF(OR(CSE4098B_Spring2026_Grade!$I44="W (Withdrawn)", CSE4098B_Spring2026_Grade!$I44="I (Incomplete)"), 0, IF(BB59&gt;=55%, 1, 0))</f>
        <v>0</v>
      </c>
      <c r="BO59" s="165">
        <f>IF(OR(CSE4098B_Spring2026_Grade!$I44="W (Withdrawn)", CSE4098B_Spring2026_Grade!$I44="I (Incomplete)"), 0, IF(BC59&gt;=55%, 1, 0))</f>
        <v>1</v>
      </c>
      <c r="BP59" s="165">
        <f>IF(OR(CSE4098B_Spring2026_Grade!$I44="W (Withdrawn)", CSE4098B_Spring2026_Grade!$I44="I (Incomplete)"), 0, IF(BD59&gt;=55%, 1, 0))</f>
        <v>1</v>
      </c>
      <c r="BQ59" s="165">
        <f>IF(OR(CSE4098B_Spring2026_Grade!$I44="W (Withdrawn)", CSE4098B_Spring2026_Grade!$I44="I (Incomplete)"), 0, IF(BE59&gt;=55%, 1, 0))</f>
        <v>1</v>
      </c>
      <c r="BR59" s="165">
        <f>IF(OR(CSE4098B_Spring2026_Grade!$I44="W (Withdrawn)", CSE4098B_Spring2026_Grade!$I44="I (Incomplete)"), 0, IF(BF59&gt;=55%, 1, 0))</f>
        <v>1</v>
      </c>
      <c r="BS59" s="165">
        <f>IF(OR(CSE4098B_Spring2026_Grade!$I44="W (Withdrawn)", CSE4098B_Spring2026_Grade!$I44="I (Incomplete)"), 0, IF(BG59&gt;=55%, 1, 0))</f>
        <v>1</v>
      </c>
      <c r="BT59" s="165">
        <f>IF(OR(CSE4098B_Spring2026_Grade!$I44="W (Withdrawn)", CSE4098B_Spring2026_Grade!$I44="I (Incomplete)"), 0, IF(BH59&gt;=55%, 1, 0))</f>
        <v>1</v>
      </c>
      <c r="BU59" s="165">
        <f>IF(OR(CSE4098B_Spring2026_Grade!$I44="W (Withdrawn)", CSE4098B_Spring2026_Grade!$I44="I (Incomplete)"), 0, IF(BI59&gt;=55%, 1, 0))</f>
        <v>1</v>
      </c>
      <c r="BV59" s="165">
        <f>IF(OR(CSE4098B_Spring2026_Grade!$I44="W (Withdrawn)", CSE4098B_Spring2026_Grade!$I44="I (Incomplete)"), 0, IF(BJ59&gt;=55%, 1, 0))</f>
        <v>1</v>
      </c>
      <c r="BW59" s="165">
        <f>IF(OR(CSE4098B_Spring2026_Grade!$I44="W (Withdrawn)", CSE4098B_Spring2026_Grade!$I44="I (Incomplete)"), 0, IF(BK59&gt;=55%, 1, 0))</f>
        <v>1</v>
      </c>
      <c r="BX59" s="165">
        <f>IF(OR(CSE4098B_Spring2026_Grade!$I44="W (Withdrawn)", CSE4098B_Spring2026_Grade!$I44="I (Incomplete)"), 0, IF(BL59&gt;=55%, 1, 0))</f>
        <v>1</v>
      </c>
      <c r="BY59" s="165">
        <f>IF(OR(CSE4098B_Spring2026_Grade!$I44="W (Withdrawn)", CSE4098B_Spring2026_Grade!$I44="I (Incomplete)"), 0, IF(BM59&gt;=55%, 1, 0))</f>
        <v>1</v>
      </c>
    </row>
    <row r="60">
      <c r="A60" s="153">
        <v>41.0</v>
      </c>
      <c r="B60" s="154">
        <f>CSE4098B_Spring2026_Grade!B45</f>
        <v>223014040</v>
      </c>
      <c r="C60" s="96" t="str">
        <f>CSE4098B_Spring2026_Grade!C45</f>
        <v>Umme Asma Busra</v>
      </c>
      <c r="D60" s="155">
        <f>'CO Report Evaluation'!AI43</f>
        <v>5.333333333</v>
      </c>
      <c r="E60" s="155">
        <f>'CO Report Evaluation'!AJ43</f>
        <v>2.666666667</v>
      </c>
      <c r="F60" s="155">
        <f>'CO Report Evaluation'!AK43</f>
        <v>2.333333333</v>
      </c>
      <c r="G60" s="156">
        <f>'CO Report Evaluation'!AL43</f>
        <v>2.666666667</v>
      </c>
      <c r="H60" s="156">
        <f>'CO Report Evaluation'!AM43</f>
        <v>2.333333333</v>
      </c>
      <c r="I60" s="157">
        <f>'CO Report Evaluation'!AN43</f>
        <v>3.666666667</v>
      </c>
      <c r="J60" s="157">
        <f>'CO Report Evaluation'!AO43</f>
        <v>2.666666667</v>
      </c>
      <c r="K60" s="157">
        <f>'CO Report Evaluation'!AP43</f>
        <v>2.666666667</v>
      </c>
      <c r="L60" s="158">
        <f>'CO Report Evaluation'!AQ43</f>
        <v>2.666666667</v>
      </c>
      <c r="M60" s="159"/>
      <c r="N60" s="160"/>
      <c r="O60" s="160"/>
      <c r="P60" s="160"/>
      <c r="Q60" s="160"/>
      <c r="R60" s="156">
        <f>CSE4098B_Spring2026_Grade!F45</f>
        <v>4</v>
      </c>
      <c r="S60" s="161">
        <f>((CSE4098B_Spring2026_Grade!E45)*10)/45</f>
        <v>7.357777778</v>
      </c>
      <c r="T60" s="162">
        <f t="shared" ref="T60:AB60" si="132">D60</f>
        <v>5.333333333</v>
      </c>
      <c r="U60" s="163">
        <f t="shared" si="132"/>
        <v>2.666666667</v>
      </c>
      <c r="V60" s="163">
        <f t="shared" si="132"/>
        <v>2.333333333</v>
      </c>
      <c r="W60" s="163">
        <f t="shared" si="132"/>
        <v>2.666666667</v>
      </c>
      <c r="X60" s="163">
        <f t="shared" si="132"/>
        <v>2.333333333</v>
      </c>
      <c r="Y60" s="163">
        <f t="shared" si="132"/>
        <v>3.666666667</v>
      </c>
      <c r="Z60" s="163">
        <f t="shared" si="132"/>
        <v>2.666666667</v>
      </c>
      <c r="AA60" s="163">
        <f t="shared" si="132"/>
        <v>2.666666667</v>
      </c>
      <c r="AB60" s="163">
        <f t="shared" si="132"/>
        <v>2.666666667</v>
      </c>
      <c r="AC60" s="163">
        <f t="shared" ref="AC60:AD60" si="133">R60</f>
        <v>4</v>
      </c>
      <c r="AD60" s="163">
        <f t="shared" si="133"/>
        <v>7.357777778</v>
      </c>
      <c r="AE60" s="164">
        <f t="shared" ref="AE60:AO60" si="134">IF(T60 = 0, 0, T60/T$19)</f>
        <v>0.8888888889</v>
      </c>
      <c r="AF60" s="164">
        <f t="shared" si="134"/>
        <v>0.8888888889</v>
      </c>
      <c r="AG60" s="164">
        <f t="shared" si="134"/>
        <v>0.7777777778</v>
      </c>
      <c r="AH60" s="164">
        <f t="shared" si="134"/>
        <v>0.8888888889</v>
      </c>
      <c r="AI60" s="164">
        <f t="shared" si="134"/>
        <v>0.7777777778</v>
      </c>
      <c r="AJ60" s="164">
        <f t="shared" si="134"/>
        <v>0.6111111111</v>
      </c>
      <c r="AK60" s="164">
        <f t="shared" si="134"/>
        <v>0.8888888889</v>
      </c>
      <c r="AL60" s="164">
        <f t="shared" si="134"/>
        <v>0.8888888889</v>
      </c>
      <c r="AM60" s="164">
        <f t="shared" si="134"/>
        <v>0.8888888889</v>
      </c>
      <c r="AN60" s="164">
        <f t="shared" si="134"/>
        <v>0.8</v>
      </c>
      <c r="AO60" s="164">
        <f t="shared" si="134"/>
        <v>0.7357777778</v>
      </c>
      <c r="AP60" s="165">
        <f>IF(OR(CSE4098B_Spring2026_Grade!$I45="W (Withdrawn)", CSE4098B_Spring2026_Grade!$I45="I (Incomplete)"), 0, IF(AE60&gt;=55%, 1, 0))</f>
        <v>1</v>
      </c>
      <c r="AQ60" s="165">
        <f>IF(OR(CSE4098B_Spring2026_Grade!$I45="W (Withdrawn)", CSE4098B_Spring2026_Grade!$I45="I (Incomplete)"), 0, IF(AF60&gt;=55%, 1, 0))</f>
        <v>1</v>
      </c>
      <c r="AR60" s="165">
        <f>IF(OR(CSE4098B_Spring2026_Grade!$I45="W (Withdrawn)", CSE4098B_Spring2026_Grade!$I45="I (Incomplete)"), 0, IF(AG60&gt;=55%, 1, 0))</f>
        <v>1</v>
      </c>
      <c r="AS60" s="165">
        <f>IF(OR(CSE4098B_Spring2026_Grade!$I45="W (Withdrawn)", CSE4098B_Spring2026_Grade!$I45="I (Incomplete)"), 0, IF(AH60&gt;=55%, 1, 0))</f>
        <v>1</v>
      </c>
      <c r="AT60" s="165">
        <f>IF(OR(CSE4098B_Spring2026_Grade!$I45="W (Withdrawn)", CSE4098B_Spring2026_Grade!$I45="I (Incomplete)"), 0, IF(AI60&gt;=55%, 1, 0))</f>
        <v>1</v>
      </c>
      <c r="AU60" s="165">
        <f>IF(OR(CSE4098B_Spring2026_Grade!$I45="W (Withdrawn)", CSE4098B_Spring2026_Grade!$I45="I (Incomplete)"), 0, IF(AJ60&gt;=55%, 1, 0))</f>
        <v>1</v>
      </c>
      <c r="AV60" s="165">
        <f>IF(OR(CSE4098B_Spring2026_Grade!$I45="W (Withdrawn)", CSE4098B_Spring2026_Grade!$I45="I (Incomplete)"), 0, IF(AK60&gt;=55%, 1, 0))</f>
        <v>1</v>
      </c>
      <c r="AW60" s="165">
        <f>IF(OR(CSE4098B_Spring2026_Grade!$I45="W (Withdrawn)", CSE4098B_Spring2026_Grade!$I45="I (Incomplete)"), 0, IF(AL60&gt;=55%, 1, 0))</f>
        <v>1</v>
      </c>
      <c r="AX60" s="165">
        <f>IF(OR(CSE4098B_Spring2026_Grade!$I45="W (Withdrawn)", CSE4098B_Spring2026_Grade!$I45="I (Incomplete)"), 0, IF(AM60&gt;=55%, 1, 0))</f>
        <v>1</v>
      </c>
      <c r="AY60" s="165">
        <f>IF(OR(CSE4098B_Spring2026_Grade!$I45="W (Withdrawn)", CSE4098B_Spring2026_Grade!$I45="I (Incomplete)"), 0, IF(AN60&gt;=55%, 1, 0))</f>
        <v>1</v>
      </c>
      <c r="AZ60" s="165">
        <f>IF(OR(CSE4098B_Spring2026_Grade!$I45="W (Withdrawn)", CSE4098B_Spring2026_Grade!$I45="I (Incomplete)"), 0, IF(AO60&gt;=55%, 1, 0))</f>
        <v>1</v>
      </c>
      <c r="BA60" s="76"/>
      <c r="BB60" s="166">
        <f t="shared" si="13"/>
        <v>0</v>
      </c>
      <c r="BC60" s="166">
        <f t="shared" si="14"/>
        <v>0.8888888889</v>
      </c>
      <c r="BD60" s="166">
        <f t="array" ref="BD60">IF($BC$14=0,0,MMULT($AE60:$AO60, BC$3:BC$13)/$BC$14)</f>
        <v>0.7777777778</v>
      </c>
      <c r="BE60" s="166">
        <f t="array" ref="BE60">IF($BD$14=0,0,MMULT($AE60:$AO60, BD$3:BD$13)/$BD$14)</f>
        <v>0.6111111111</v>
      </c>
      <c r="BF60" s="166">
        <f t="shared" si="15"/>
        <v>0.8888888889</v>
      </c>
      <c r="BG60" s="166">
        <f t="array" ref="BG60">IF($BF$14=0,0,MMULT($AE60:$AO60, BF$3:BF$13)/$BF$14)</f>
        <v>0.8888888889</v>
      </c>
      <c r="BH60" s="166">
        <f t="array" ref="BH60">IF($BG$14=0,0,MMULT($AE60:$AO60, BG$3:BG$13)/$BG$14)</f>
        <v>0.8888888889</v>
      </c>
      <c r="BI60" s="166">
        <f t="array" ref="BI60">IF($BH$14=0,0,MMULT($AE60:$AO60, BH$3:BH$13)/$BH$14)</f>
        <v>0.8888888889</v>
      </c>
      <c r="BJ60" s="166">
        <f t="array" ref="BJ60">IF($BI$14=0,0,MMULT($AE60:$AO60, BI$3:BI$13)/$BI$14)</f>
        <v>0.8</v>
      </c>
      <c r="BK60" s="166">
        <f t="array" ref="BK60">IF($BJ$14=0,0,MMULT($AE60:$AO60, BJ$3:BJ$13)/$BJ$14)</f>
        <v>0.7357777778</v>
      </c>
      <c r="BL60" s="166">
        <f t="shared" si="16"/>
        <v>0.7777777778</v>
      </c>
      <c r="BM60" s="166">
        <f t="shared" si="17"/>
        <v>0.8888888889</v>
      </c>
      <c r="BN60" s="165">
        <f>IF(OR(CSE4098B_Spring2026_Grade!$I45="W (Withdrawn)", CSE4098B_Spring2026_Grade!$I45="I (Incomplete)"), 0, IF(BB60&gt;=55%, 1, 0))</f>
        <v>0</v>
      </c>
      <c r="BO60" s="165">
        <f>IF(OR(CSE4098B_Spring2026_Grade!$I45="W (Withdrawn)", CSE4098B_Spring2026_Grade!$I45="I (Incomplete)"), 0, IF(BC60&gt;=55%, 1, 0))</f>
        <v>1</v>
      </c>
      <c r="BP60" s="165">
        <f>IF(OR(CSE4098B_Spring2026_Grade!$I45="W (Withdrawn)", CSE4098B_Spring2026_Grade!$I45="I (Incomplete)"), 0, IF(BD60&gt;=55%, 1, 0))</f>
        <v>1</v>
      </c>
      <c r="BQ60" s="165">
        <f>IF(OR(CSE4098B_Spring2026_Grade!$I45="W (Withdrawn)", CSE4098B_Spring2026_Grade!$I45="I (Incomplete)"), 0, IF(BE60&gt;=55%, 1, 0))</f>
        <v>1</v>
      </c>
      <c r="BR60" s="165">
        <f>IF(OR(CSE4098B_Spring2026_Grade!$I45="W (Withdrawn)", CSE4098B_Spring2026_Grade!$I45="I (Incomplete)"), 0, IF(BF60&gt;=55%, 1, 0))</f>
        <v>1</v>
      </c>
      <c r="BS60" s="165">
        <f>IF(OR(CSE4098B_Spring2026_Grade!$I45="W (Withdrawn)", CSE4098B_Spring2026_Grade!$I45="I (Incomplete)"), 0, IF(BG60&gt;=55%, 1, 0))</f>
        <v>1</v>
      </c>
      <c r="BT60" s="165">
        <f>IF(OR(CSE4098B_Spring2026_Grade!$I45="W (Withdrawn)", CSE4098B_Spring2026_Grade!$I45="I (Incomplete)"), 0, IF(BH60&gt;=55%, 1, 0))</f>
        <v>1</v>
      </c>
      <c r="BU60" s="165">
        <f>IF(OR(CSE4098B_Spring2026_Grade!$I45="W (Withdrawn)", CSE4098B_Spring2026_Grade!$I45="I (Incomplete)"), 0, IF(BI60&gt;=55%, 1, 0))</f>
        <v>1</v>
      </c>
      <c r="BV60" s="165">
        <f>IF(OR(CSE4098B_Spring2026_Grade!$I45="W (Withdrawn)", CSE4098B_Spring2026_Grade!$I45="I (Incomplete)"), 0, IF(BJ60&gt;=55%, 1, 0))</f>
        <v>1</v>
      </c>
      <c r="BW60" s="165">
        <f>IF(OR(CSE4098B_Spring2026_Grade!$I45="W (Withdrawn)", CSE4098B_Spring2026_Grade!$I45="I (Incomplete)"), 0, IF(BK60&gt;=55%, 1, 0))</f>
        <v>1</v>
      </c>
      <c r="BX60" s="165">
        <f>IF(OR(CSE4098B_Spring2026_Grade!$I45="W (Withdrawn)", CSE4098B_Spring2026_Grade!$I45="I (Incomplete)"), 0, IF(BL60&gt;=55%, 1, 0))</f>
        <v>1</v>
      </c>
      <c r="BY60" s="165">
        <f>IF(OR(CSE4098B_Spring2026_Grade!$I45="W (Withdrawn)", CSE4098B_Spring2026_Grade!$I45="I (Incomplete)"), 0, IF(BM60&gt;=55%, 1, 0))</f>
        <v>1</v>
      </c>
    </row>
    <row r="61">
      <c r="A61" s="153">
        <v>42.0</v>
      </c>
      <c r="B61" s="154">
        <f>CSE4098B_Spring2026_Grade!B46</f>
        <v>223014054</v>
      </c>
      <c r="C61" s="96" t="str">
        <f>CSE4098B_Spring2026_Grade!C46</f>
        <v>Golam Munem Zarif</v>
      </c>
      <c r="D61" s="155">
        <f>'CO Report Evaluation'!AI44</f>
        <v>5.333333333</v>
      </c>
      <c r="E61" s="155">
        <f>'CO Report Evaluation'!AJ44</f>
        <v>2.666666667</v>
      </c>
      <c r="F61" s="155">
        <f>'CO Report Evaluation'!AK44</f>
        <v>2.333333333</v>
      </c>
      <c r="G61" s="156">
        <f>'CO Report Evaluation'!AL44</f>
        <v>2.666666667</v>
      </c>
      <c r="H61" s="156">
        <f>'CO Report Evaluation'!AM44</f>
        <v>2.333333333</v>
      </c>
      <c r="I61" s="157">
        <f>'CO Report Evaluation'!AN44</f>
        <v>3.666666667</v>
      </c>
      <c r="J61" s="157">
        <f>'CO Report Evaluation'!AO44</f>
        <v>2.666666667</v>
      </c>
      <c r="K61" s="157">
        <f>'CO Report Evaluation'!AP44</f>
        <v>2.666666667</v>
      </c>
      <c r="L61" s="158">
        <f>'CO Report Evaluation'!AQ44</f>
        <v>2.666666667</v>
      </c>
      <c r="M61" s="159"/>
      <c r="N61" s="160"/>
      <c r="O61" s="160"/>
      <c r="P61" s="160"/>
      <c r="Q61" s="160"/>
      <c r="R61" s="156">
        <f>CSE4098B_Spring2026_Grade!F46</f>
        <v>4</v>
      </c>
      <c r="S61" s="161">
        <f>((CSE4098B_Spring2026_Grade!E46)*10)/45</f>
        <v>7.357777778</v>
      </c>
      <c r="T61" s="162">
        <f t="shared" ref="T61:AB61" si="135">D61</f>
        <v>5.333333333</v>
      </c>
      <c r="U61" s="163">
        <f t="shared" si="135"/>
        <v>2.666666667</v>
      </c>
      <c r="V61" s="163">
        <f t="shared" si="135"/>
        <v>2.333333333</v>
      </c>
      <c r="W61" s="163">
        <f t="shared" si="135"/>
        <v>2.666666667</v>
      </c>
      <c r="X61" s="163">
        <f t="shared" si="135"/>
        <v>2.333333333</v>
      </c>
      <c r="Y61" s="163">
        <f t="shared" si="135"/>
        <v>3.666666667</v>
      </c>
      <c r="Z61" s="163">
        <f t="shared" si="135"/>
        <v>2.666666667</v>
      </c>
      <c r="AA61" s="163">
        <f t="shared" si="135"/>
        <v>2.666666667</v>
      </c>
      <c r="AB61" s="163">
        <f t="shared" si="135"/>
        <v>2.666666667</v>
      </c>
      <c r="AC61" s="163">
        <f t="shared" ref="AC61:AD61" si="136">R61</f>
        <v>4</v>
      </c>
      <c r="AD61" s="163">
        <f t="shared" si="136"/>
        <v>7.357777778</v>
      </c>
      <c r="AE61" s="164">
        <f t="shared" ref="AE61:AO61" si="137">IF(T61 = 0, 0, T61/T$19)</f>
        <v>0.8888888889</v>
      </c>
      <c r="AF61" s="164">
        <f t="shared" si="137"/>
        <v>0.8888888889</v>
      </c>
      <c r="AG61" s="164">
        <f t="shared" si="137"/>
        <v>0.7777777778</v>
      </c>
      <c r="AH61" s="164">
        <f t="shared" si="137"/>
        <v>0.8888888889</v>
      </c>
      <c r="AI61" s="164">
        <f t="shared" si="137"/>
        <v>0.7777777778</v>
      </c>
      <c r="AJ61" s="164">
        <f t="shared" si="137"/>
        <v>0.6111111111</v>
      </c>
      <c r="AK61" s="164">
        <f t="shared" si="137"/>
        <v>0.8888888889</v>
      </c>
      <c r="AL61" s="164">
        <f t="shared" si="137"/>
        <v>0.8888888889</v>
      </c>
      <c r="AM61" s="164">
        <f t="shared" si="137"/>
        <v>0.8888888889</v>
      </c>
      <c r="AN61" s="164">
        <f t="shared" si="137"/>
        <v>0.8</v>
      </c>
      <c r="AO61" s="164">
        <f t="shared" si="137"/>
        <v>0.7357777778</v>
      </c>
      <c r="AP61" s="165">
        <f>IF(OR(CSE4098B_Spring2026_Grade!$I46="W (Withdrawn)", CSE4098B_Spring2026_Grade!$I46="I (Incomplete)"), 0, IF(AE61&gt;=55%, 1, 0))</f>
        <v>1</v>
      </c>
      <c r="AQ61" s="165">
        <f>IF(OR(CSE4098B_Spring2026_Grade!$I46="W (Withdrawn)", CSE4098B_Spring2026_Grade!$I46="I (Incomplete)"), 0, IF(AF61&gt;=55%, 1, 0))</f>
        <v>1</v>
      </c>
      <c r="AR61" s="165">
        <f>IF(OR(CSE4098B_Spring2026_Grade!$I46="W (Withdrawn)", CSE4098B_Spring2026_Grade!$I46="I (Incomplete)"), 0, IF(AG61&gt;=55%, 1, 0))</f>
        <v>1</v>
      </c>
      <c r="AS61" s="165">
        <f>IF(OR(CSE4098B_Spring2026_Grade!$I46="W (Withdrawn)", CSE4098B_Spring2026_Grade!$I46="I (Incomplete)"), 0, IF(AH61&gt;=55%, 1, 0))</f>
        <v>1</v>
      </c>
      <c r="AT61" s="165">
        <f>IF(OR(CSE4098B_Spring2026_Grade!$I46="W (Withdrawn)", CSE4098B_Spring2026_Grade!$I46="I (Incomplete)"), 0, IF(AI61&gt;=55%, 1, 0))</f>
        <v>1</v>
      </c>
      <c r="AU61" s="165">
        <f>IF(OR(CSE4098B_Spring2026_Grade!$I46="W (Withdrawn)", CSE4098B_Spring2026_Grade!$I46="I (Incomplete)"), 0, IF(AJ61&gt;=55%, 1, 0))</f>
        <v>1</v>
      </c>
      <c r="AV61" s="165">
        <f>IF(OR(CSE4098B_Spring2026_Grade!$I46="W (Withdrawn)", CSE4098B_Spring2026_Grade!$I46="I (Incomplete)"), 0, IF(AK61&gt;=55%, 1, 0))</f>
        <v>1</v>
      </c>
      <c r="AW61" s="165">
        <f>IF(OR(CSE4098B_Spring2026_Grade!$I46="W (Withdrawn)", CSE4098B_Spring2026_Grade!$I46="I (Incomplete)"), 0, IF(AL61&gt;=55%, 1, 0))</f>
        <v>1</v>
      </c>
      <c r="AX61" s="165">
        <f>IF(OR(CSE4098B_Spring2026_Grade!$I46="W (Withdrawn)", CSE4098B_Spring2026_Grade!$I46="I (Incomplete)"), 0, IF(AM61&gt;=55%, 1, 0))</f>
        <v>1</v>
      </c>
      <c r="AY61" s="165">
        <f>IF(OR(CSE4098B_Spring2026_Grade!$I46="W (Withdrawn)", CSE4098B_Spring2026_Grade!$I46="I (Incomplete)"), 0, IF(AN61&gt;=55%, 1, 0))</f>
        <v>1</v>
      </c>
      <c r="AZ61" s="165">
        <f>IF(OR(CSE4098B_Spring2026_Grade!$I46="W (Withdrawn)", CSE4098B_Spring2026_Grade!$I46="I (Incomplete)"), 0, IF(AO61&gt;=55%, 1, 0))</f>
        <v>1</v>
      </c>
      <c r="BA61" s="76"/>
      <c r="BB61" s="166">
        <f t="shared" si="13"/>
        <v>0</v>
      </c>
      <c r="BC61" s="166">
        <f t="shared" si="14"/>
        <v>0.8888888889</v>
      </c>
      <c r="BD61" s="166">
        <f t="array" ref="BD61">IF($BC$14=0,0,MMULT($AE61:$AO61, BC$3:BC$13)/$BC$14)</f>
        <v>0.7777777778</v>
      </c>
      <c r="BE61" s="166">
        <f t="array" ref="BE61">IF($BD$14=0,0,MMULT($AE61:$AO61, BD$3:BD$13)/$BD$14)</f>
        <v>0.6111111111</v>
      </c>
      <c r="BF61" s="166">
        <f t="shared" si="15"/>
        <v>0.8888888889</v>
      </c>
      <c r="BG61" s="166">
        <f t="array" ref="BG61">IF($BF$14=0,0,MMULT($AE61:$AO61, BF$3:BF$13)/$BF$14)</f>
        <v>0.8888888889</v>
      </c>
      <c r="BH61" s="166">
        <f t="array" ref="BH61">IF($BG$14=0,0,MMULT($AE61:$AO61, BG$3:BG$13)/$BG$14)</f>
        <v>0.8888888889</v>
      </c>
      <c r="BI61" s="166">
        <f t="array" ref="BI61">IF($BH$14=0,0,MMULT($AE61:$AO61, BH$3:BH$13)/$BH$14)</f>
        <v>0.8888888889</v>
      </c>
      <c r="BJ61" s="166">
        <f t="array" ref="BJ61">IF($BI$14=0,0,MMULT($AE61:$AO61, BI$3:BI$13)/$BI$14)</f>
        <v>0.8</v>
      </c>
      <c r="BK61" s="166">
        <f t="array" ref="BK61">IF($BJ$14=0,0,MMULT($AE61:$AO61, BJ$3:BJ$13)/$BJ$14)</f>
        <v>0.7357777778</v>
      </c>
      <c r="BL61" s="166">
        <f t="shared" si="16"/>
        <v>0.7777777778</v>
      </c>
      <c r="BM61" s="166">
        <f t="shared" si="17"/>
        <v>0.8888888889</v>
      </c>
      <c r="BN61" s="165">
        <f>IF(OR(CSE4098B_Spring2026_Grade!$I46="W (Withdrawn)", CSE4098B_Spring2026_Grade!$I46="I (Incomplete)"), 0, IF(BB61&gt;=55%, 1, 0))</f>
        <v>0</v>
      </c>
      <c r="BO61" s="165">
        <f>IF(OR(CSE4098B_Spring2026_Grade!$I46="W (Withdrawn)", CSE4098B_Spring2026_Grade!$I46="I (Incomplete)"), 0, IF(BC61&gt;=55%, 1, 0))</f>
        <v>1</v>
      </c>
      <c r="BP61" s="165">
        <f>IF(OR(CSE4098B_Spring2026_Grade!$I46="W (Withdrawn)", CSE4098B_Spring2026_Grade!$I46="I (Incomplete)"), 0, IF(BD61&gt;=55%, 1, 0))</f>
        <v>1</v>
      </c>
      <c r="BQ61" s="165">
        <f>IF(OR(CSE4098B_Spring2026_Grade!$I46="W (Withdrawn)", CSE4098B_Spring2026_Grade!$I46="I (Incomplete)"), 0, IF(BE61&gt;=55%, 1, 0))</f>
        <v>1</v>
      </c>
      <c r="BR61" s="165">
        <f>IF(OR(CSE4098B_Spring2026_Grade!$I46="W (Withdrawn)", CSE4098B_Spring2026_Grade!$I46="I (Incomplete)"), 0, IF(BF61&gt;=55%, 1, 0))</f>
        <v>1</v>
      </c>
      <c r="BS61" s="165">
        <f>IF(OR(CSE4098B_Spring2026_Grade!$I46="W (Withdrawn)", CSE4098B_Spring2026_Grade!$I46="I (Incomplete)"), 0, IF(BG61&gt;=55%, 1, 0))</f>
        <v>1</v>
      </c>
      <c r="BT61" s="165">
        <f>IF(OR(CSE4098B_Spring2026_Grade!$I46="W (Withdrawn)", CSE4098B_Spring2026_Grade!$I46="I (Incomplete)"), 0, IF(BH61&gt;=55%, 1, 0))</f>
        <v>1</v>
      </c>
      <c r="BU61" s="165">
        <f>IF(OR(CSE4098B_Spring2026_Grade!$I46="W (Withdrawn)", CSE4098B_Spring2026_Grade!$I46="I (Incomplete)"), 0, IF(BI61&gt;=55%, 1, 0))</f>
        <v>1</v>
      </c>
      <c r="BV61" s="165">
        <f>IF(OR(CSE4098B_Spring2026_Grade!$I46="W (Withdrawn)", CSE4098B_Spring2026_Grade!$I46="I (Incomplete)"), 0, IF(BJ61&gt;=55%, 1, 0))</f>
        <v>1</v>
      </c>
      <c r="BW61" s="165">
        <f>IF(OR(CSE4098B_Spring2026_Grade!$I46="W (Withdrawn)", CSE4098B_Spring2026_Grade!$I46="I (Incomplete)"), 0, IF(BK61&gt;=55%, 1, 0))</f>
        <v>1</v>
      </c>
      <c r="BX61" s="165">
        <f>IF(OR(CSE4098B_Spring2026_Grade!$I46="W (Withdrawn)", CSE4098B_Spring2026_Grade!$I46="I (Incomplete)"), 0, IF(BL61&gt;=55%, 1, 0))</f>
        <v>1</v>
      </c>
      <c r="BY61" s="165">
        <f>IF(OR(CSE4098B_Spring2026_Grade!$I46="W (Withdrawn)", CSE4098B_Spring2026_Grade!$I46="I (Incomplete)"), 0, IF(BM61&gt;=55%, 1, 0))</f>
        <v>1</v>
      </c>
    </row>
    <row r="62">
      <c r="A62" s="153">
        <v>43.0</v>
      </c>
      <c r="B62" s="154">
        <f>CSE4098B_Spring2026_Grade!B47</f>
        <v>223014176</v>
      </c>
      <c r="C62" s="96" t="str">
        <f>CSE4098B_Spring2026_Grade!C47</f>
        <v>MD.Samiul Alam</v>
      </c>
      <c r="D62" s="155">
        <f>'CO Report Evaluation'!AI45</f>
        <v>2.333333333</v>
      </c>
      <c r="E62" s="155">
        <f>'CO Report Evaluation'!AJ45</f>
        <v>1.333333333</v>
      </c>
      <c r="F62" s="155">
        <f>'CO Report Evaluation'!AK45</f>
        <v>1.333333333</v>
      </c>
      <c r="G62" s="156">
        <f>'CO Report Evaluation'!AL45</f>
        <v>1.333333333</v>
      </c>
      <c r="H62" s="156">
        <f>'CO Report Evaluation'!AM45</f>
        <v>1.333333333</v>
      </c>
      <c r="I62" s="157">
        <f>'CO Report Evaluation'!AN45</f>
        <v>2.666666667</v>
      </c>
      <c r="J62" s="157">
        <f>'CO Report Evaluation'!AO45</f>
        <v>2</v>
      </c>
      <c r="K62" s="157">
        <f>'CO Report Evaluation'!AP45</f>
        <v>1.666666667</v>
      </c>
      <c r="L62" s="158">
        <f>'CO Report Evaluation'!AQ45</f>
        <v>1.333333333</v>
      </c>
      <c r="M62" s="159"/>
      <c r="N62" s="160"/>
      <c r="O62" s="160"/>
      <c r="P62" s="160"/>
      <c r="Q62" s="160"/>
      <c r="R62" s="156">
        <f>CSE4098B_Spring2026_Grade!F47</f>
        <v>2</v>
      </c>
      <c r="S62" s="161">
        <f>((CSE4098B_Spring2026_Grade!E47)*10)/45</f>
        <v>4.264444444</v>
      </c>
      <c r="T62" s="162">
        <f t="shared" ref="T62:AB62" si="138">D62</f>
        <v>2.333333333</v>
      </c>
      <c r="U62" s="163">
        <f t="shared" si="138"/>
        <v>1.333333333</v>
      </c>
      <c r="V62" s="163">
        <f t="shared" si="138"/>
        <v>1.333333333</v>
      </c>
      <c r="W62" s="163">
        <f t="shared" si="138"/>
        <v>1.333333333</v>
      </c>
      <c r="X62" s="163">
        <f t="shared" si="138"/>
        <v>1.333333333</v>
      </c>
      <c r="Y62" s="163">
        <f t="shared" si="138"/>
        <v>2.666666667</v>
      </c>
      <c r="Z62" s="163">
        <f t="shared" si="138"/>
        <v>2</v>
      </c>
      <c r="AA62" s="163">
        <f t="shared" si="138"/>
        <v>1.666666667</v>
      </c>
      <c r="AB62" s="163">
        <f t="shared" si="138"/>
        <v>1.333333333</v>
      </c>
      <c r="AC62" s="163">
        <f t="shared" ref="AC62:AD62" si="139">R62</f>
        <v>2</v>
      </c>
      <c r="AD62" s="163">
        <f t="shared" si="139"/>
        <v>4.264444444</v>
      </c>
      <c r="AE62" s="164">
        <f t="shared" ref="AE62:AO62" si="140">IF(T62 = 0, 0, T62/T$19)</f>
        <v>0.3888888889</v>
      </c>
      <c r="AF62" s="164">
        <f t="shared" si="140"/>
        <v>0.4444444444</v>
      </c>
      <c r="AG62" s="164">
        <f t="shared" si="140"/>
        <v>0.4444444444</v>
      </c>
      <c r="AH62" s="164">
        <f t="shared" si="140"/>
        <v>0.4444444444</v>
      </c>
      <c r="AI62" s="164">
        <f t="shared" si="140"/>
        <v>0.4444444444</v>
      </c>
      <c r="AJ62" s="164">
        <f t="shared" si="140"/>
        <v>0.4444444444</v>
      </c>
      <c r="AK62" s="164">
        <f t="shared" si="140"/>
        <v>0.6666666667</v>
      </c>
      <c r="AL62" s="164">
        <f t="shared" si="140"/>
        <v>0.5555555556</v>
      </c>
      <c r="AM62" s="164">
        <f t="shared" si="140"/>
        <v>0.4444444444</v>
      </c>
      <c r="AN62" s="164">
        <f t="shared" si="140"/>
        <v>0.4</v>
      </c>
      <c r="AO62" s="164">
        <f t="shared" si="140"/>
        <v>0.4264444444</v>
      </c>
      <c r="AP62" s="165">
        <f>IF(OR(CSE4098B_Spring2026_Grade!$I47="W (Withdrawn)", CSE4098B_Spring2026_Grade!$I47="I (Incomplete)"), 0, IF(AE62&gt;=55%, 1, 0))</f>
        <v>0</v>
      </c>
      <c r="AQ62" s="165">
        <f>IF(OR(CSE4098B_Spring2026_Grade!$I47="W (Withdrawn)", CSE4098B_Spring2026_Grade!$I47="I (Incomplete)"), 0, IF(AF62&gt;=55%, 1, 0))</f>
        <v>0</v>
      </c>
      <c r="AR62" s="165">
        <f>IF(OR(CSE4098B_Spring2026_Grade!$I47="W (Withdrawn)", CSE4098B_Spring2026_Grade!$I47="I (Incomplete)"), 0, IF(AG62&gt;=55%, 1, 0))</f>
        <v>0</v>
      </c>
      <c r="AS62" s="165">
        <f>IF(OR(CSE4098B_Spring2026_Grade!$I47="W (Withdrawn)", CSE4098B_Spring2026_Grade!$I47="I (Incomplete)"), 0, IF(AH62&gt;=55%, 1, 0))</f>
        <v>0</v>
      </c>
      <c r="AT62" s="165">
        <f>IF(OR(CSE4098B_Spring2026_Grade!$I47="W (Withdrawn)", CSE4098B_Spring2026_Grade!$I47="I (Incomplete)"), 0, IF(AI62&gt;=55%, 1, 0))</f>
        <v>0</v>
      </c>
      <c r="AU62" s="165">
        <f>IF(OR(CSE4098B_Spring2026_Grade!$I47="W (Withdrawn)", CSE4098B_Spring2026_Grade!$I47="I (Incomplete)"), 0, IF(AJ62&gt;=55%, 1, 0))</f>
        <v>0</v>
      </c>
      <c r="AV62" s="165">
        <f>IF(OR(CSE4098B_Spring2026_Grade!$I47="W (Withdrawn)", CSE4098B_Spring2026_Grade!$I47="I (Incomplete)"), 0, IF(AK62&gt;=55%, 1, 0))</f>
        <v>1</v>
      </c>
      <c r="AW62" s="165">
        <f>IF(OR(CSE4098B_Spring2026_Grade!$I47="W (Withdrawn)", CSE4098B_Spring2026_Grade!$I47="I (Incomplete)"), 0, IF(AL62&gt;=55%, 1, 0))</f>
        <v>1</v>
      </c>
      <c r="AX62" s="165">
        <f>IF(OR(CSE4098B_Spring2026_Grade!$I47="W (Withdrawn)", CSE4098B_Spring2026_Grade!$I47="I (Incomplete)"), 0, IF(AM62&gt;=55%, 1, 0))</f>
        <v>0</v>
      </c>
      <c r="AY62" s="165">
        <f>IF(OR(CSE4098B_Spring2026_Grade!$I47="W (Withdrawn)", CSE4098B_Spring2026_Grade!$I47="I (Incomplete)"), 0, IF(AN62&gt;=55%, 1, 0))</f>
        <v>0</v>
      </c>
      <c r="AZ62" s="165">
        <f>IF(OR(CSE4098B_Spring2026_Grade!$I47="W (Withdrawn)", CSE4098B_Spring2026_Grade!$I47="I (Incomplete)"), 0, IF(AO62&gt;=55%, 1, 0))</f>
        <v>0</v>
      </c>
      <c r="BA62" s="76"/>
      <c r="BB62" s="166">
        <f t="shared" si="13"/>
        <v>0</v>
      </c>
      <c r="BC62" s="166">
        <f t="shared" si="14"/>
        <v>0.4444444444</v>
      </c>
      <c r="BD62" s="166">
        <f t="array" ref="BD62">IF($BC$14=0,0,MMULT($AE62:$AO62, BC$3:BC$13)/$BC$14)</f>
        <v>0.4444444444</v>
      </c>
      <c r="BE62" s="166">
        <f t="array" ref="BE62">IF($BD$14=0,0,MMULT($AE62:$AO62, BD$3:BD$13)/$BD$14)</f>
        <v>0.4444444444</v>
      </c>
      <c r="BF62" s="166">
        <f t="shared" si="15"/>
        <v>0.4444444444</v>
      </c>
      <c r="BG62" s="166">
        <f t="array" ref="BG62">IF($BF$14=0,0,MMULT($AE62:$AO62, BF$3:BF$13)/$BF$14)</f>
        <v>0.6666666667</v>
      </c>
      <c r="BH62" s="166">
        <f t="array" ref="BH62">IF($BG$14=0,0,MMULT($AE62:$AO62, BG$3:BG$13)/$BG$14)</f>
        <v>0.5555555556</v>
      </c>
      <c r="BI62" s="166">
        <f t="array" ref="BI62">IF($BH$14=0,0,MMULT($AE62:$AO62, BH$3:BH$13)/$BH$14)</f>
        <v>0.4444444444</v>
      </c>
      <c r="BJ62" s="166">
        <f t="array" ref="BJ62">IF($BI$14=0,0,MMULT($AE62:$AO62, BI$3:BI$13)/$BI$14)</f>
        <v>0.4</v>
      </c>
      <c r="BK62" s="166">
        <f t="array" ref="BK62">IF($BJ$14=0,0,MMULT($AE62:$AO62, BJ$3:BJ$13)/$BJ$14)</f>
        <v>0.4264444444</v>
      </c>
      <c r="BL62" s="166">
        <f t="shared" si="16"/>
        <v>0.4444444444</v>
      </c>
      <c r="BM62" s="166">
        <f t="shared" si="17"/>
        <v>0.3888888889</v>
      </c>
      <c r="BN62" s="165">
        <f>IF(OR(CSE4098B_Spring2026_Grade!$I47="W (Withdrawn)", CSE4098B_Spring2026_Grade!$I47="I (Incomplete)"), 0, IF(BB62&gt;=55%, 1, 0))</f>
        <v>0</v>
      </c>
      <c r="BO62" s="165">
        <f>IF(OR(CSE4098B_Spring2026_Grade!$I47="W (Withdrawn)", CSE4098B_Spring2026_Grade!$I47="I (Incomplete)"), 0, IF(BC62&gt;=55%, 1, 0))</f>
        <v>0</v>
      </c>
      <c r="BP62" s="165">
        <f>IF(OR(CSE4098B_Spring2026_Grade!$I47="W (Withdrawn)", CSE4098B_Spring2026_Grade!$I47="I (Incomplete)"), 0, IF(BD62&gt;=55%, 1, 0))</f>
        <v>0</v>
      </c>
      <c r="BQ62" s="165">
        <f>IF(OR(CSE4098B_Spring2026_Grade!$I47="W (Withdrawn)", CSE4098B_Spring2026_Grade!$I47="I (Incomplete)"), 0, IF(BE62&gt;=55%, 1, 0))</f>
        <v>0</v>
      </c>
      <c r="BR62" s="165">
        <f>IF(OR(CSE4098B_Spring2026_Grade!$I47="W (Withdrawn)", CSE4098B_Spring2026_Grade!$I47="I (Incomplete)"), 0, IF(BF62&gt;=55%, 1, 0))</f>
        <v>0</v>
      </c>
      <c r="BS62" s="165">
        <f>IF(OR(CSE4098B_Spring2026_Grade!$I47="W (Withdrawn)", CSE4098B_Spring2026_Grade!$I47="I (Incomplete)"), 0, IF(BG62&gt;=55%, 1, 0))</f>
        <v>1</v>
      </c>
      <c r="BT62" s="165">
        <f>IF(OR(CSE4098B_Spring2026_Grade!$I47="W (Withdrawn)", CSE4098B_Spring2026_Grade!$I47="I (Incomplete)"), 0, IF(BH62&gt;=55%, 1, 0))</f>
        <v>1</v>
      </c>
      <c r="BU62" s="165">
        <f>IF(OR(CSE4098B_Spring2026_Grade!$I47="W (Withdrawn)", CSE4098B_Spring2026_Grade!$I47="I (Incomplete)"), 0, IF(BI62&gt;=55%, 1, 0))</f>
        <v>0</v>
      </c>
      <c r="BV62" s="165">
        <f>IF(OR(CSE4098B_Spring2026_Grade!$I47="W (Withdrawn)", CSE4098B_Spring2026_Grade!$I47="I (Incomplete)"), 0, IF(BJ62&gt;=55%, 1, 0))</f>
        <v>0</v>
      </c>
      <c r="BW62" s="165">
        <f>IF(OR(CSE4098B_Spring2026_Grade!$I47="W (Withdrawn)", CSE4098B_Spring2026_Grade!$I47="I (Incomplete)"), 0, IF(BK62&gt;=55%, 1, 0))</f>
        <v>0</v>
      </c>
      <c r="BX62" s="165">
        <f>IF(OR(CSE4098B_Spring2026_Grade!$I47="W (Withdrawn)", CSE4098B_Spring2026_Grade!$I47="I (Incomplete)"), 0, IF(BL62&gt;=55%, 1, 0))</f>
        <v>0</v>
      </c>
      <c r="BY62" s="165">
        <f>IF(OR(CSE4098B_Spring2026_Grade!$I47="W (Withdrawn)", CSE4098B_Spring2026_Grade!$I47="I (Incomplete)"), 0, IF(BM62&gt;=55%, 1, 0))</f>
        <v>0</v>
      </c>
    </row>
    <row r="63">
      <c r="A63" s="153">
        <v>44.0</v>
      </c>
      <c r="B63" s="154">
        <f>CSE4098B_Spring2026_Grade!B48</f>
        <v>223014199</v>
      </c>
      <c r="C63" s="96" t="str">
        <f>CSE4098B_Spring2026_Grade!C48</f>
        <v>MD.Hafiz Ullah</v>
      </c>
      <c r="D63" s="155">
        <f>'CO Report Evaluation'!AI46</f>
        <v>1.666666667</v>
      </c>
      <c r="E63" s="155">
        <f>'CO Report Evaluation'!AJ46</f>
        <v>1</v>
      </c>
      <c r="F63" s="155">
        <f>'CO Report Evaluation'!AK46</f>
        <v>1</v>
      </c>
      <c r="G63" s="156">
        <f>'CO Report Evaluation'!AL46</f>
        <v>1</v>
      </c>
      <c r="H63" s="156">
        <f>'CO Report Evaluation'!AM46</f>
        <v>1</v>
      </c>
      <c r="I63" s="157">
        <f>'CO Report Evaluation'!AN46</f>
        <v>2</v>
      </c>
      <c r="J63" s="157">
        <f>'CO Report Evaluation'!AO46</f>
        <v>1.333333333</v>
      </c>
      <c r="K63" s="157">
        <f>'CO Report Evaluation'!AP46</f>
        <v>1.333333333</v>
      </c>
      <c r="L63" s="158">
        <f>'CO Report Evaluation'!AQ46</f>
        <v>1</v>
      </c>
      <c r="M63" s="159"/>
      <c r="N63" s="160"/>
      <c r="O63" s="160"/>
      <c r="P63" s="160"/>
      <c r="Q63" s="160"/>
      <c r="R63" s="156">
        <f>CSE4098B_Spring2026_Grade!F48</f>
        <v>2</v>
      </c>
      <c r="S63" s="161">
        <f>((CSE4098B_Spring2026_Grade!E48)*10)/45</f>
        <v>4.264444444</v>
      </c>
      <c r="T63" s="162">
        <f t="shared" ref="T63:AB63" si="141">D63</f>
        <v>1.666666667</v>
      </c>
      <c r="U63" s="163">
        <f t="shared" si="141"/>
        <v>1</v>
      </c>
      <c r="V63" s="163">
        <f t="shared" si="141"/>
        <v>1</v>
      </c>
      <c r="W63" s="163">
        <f t="shared" si="141"/>
        <v>1</v>
      </c>
      <c r="X63" s="163">
        <f t="shared" si="141"/>
        <v>1</v>
      </c>
      <c r="Y63" s="163">
        <f t="shared" si="141"/>
        <v>2</v>
      </c>
      <c r="Z63" s="163">
        <f t="shared" si="141"/>
        <v>1.333333333</v>
      </c>
      <c r="AA63" s="163">
        <f t="shared" si="141"/>
        <v>1.333333333</v>
      </c>
      <c r="AB63" s="163">
        <f t="shared" si="141"/>
        <v>1</v>
      </c>
      <c r="AC63" s="163">
        <f t="shared" ref="AC63:AD63" si="142">R63</f>
        <v>2</v>
      </c>
      <c r="AD63" s="163">
        <f t="shared" si="142"/>
        <v>4.264444444</v>
      </c>
      <c r="AE63" s="164">
        <f t="shared" ref="AE63:AO63" si="143">IF(T63 = 0, 0, T63/T$19)</f>
        <v>0.2777777778</v>
      </c>
      <c r="AF63" s="164">
        <f t="shared" si="143"/>
        <v>0.3333333333</v>
      </c>
      <c r="AG63" s="164">
        <f t="shared" si="143"/>
        <v>0.3333333333</v>
      </c>
      <c r="AH63" s="164">
        <f t="shared" si="143"/>
        <v>0.3333333333</v>
      </c>
      <c r="AI63" s="164">
        <f t="shared" si="143"/>
        <v>0.3333333333</v>
      </c>
      <c r="AJ63" s="164">
        <f t="shared" si="143"/>
        <v>0.3333333333</v>
      </c>
      <c r="AK63" s="164">
        <f t="shared" si="143"/>
        <v>0.4444444444</v>
      </c>
      <c r="AL63" s="164">
        <f t="shared" si="143"/>
        <v>0.4444444444</v>
      </c>
      <c r="AM63" s="164">
        <f t="shared" si="143"/>
        <v>0.3333333333</v>
      </c>
      <c r="AN63" s="164">
        <f t="shared" si="143"/>
        <v>0.4</v>
      </c>
      <c r="AO63" s="164">
        <f t="shared" si="143"/>
        <v>0.4264444444</v>
      </c>
      <c r="AP63" s="165">
        <f>IF(OR(CSE4098B_Spring2026_Grade!$I48="W (Withdrawn)", CSE4098B_Spring2026_Grade!$I48="I (Incomplete)"), 0, IF(AE63&gt;=55%, 1, 0))</f>
        <v>0</v>
      </c>
      <c r="AQ63" s="165">
        <f>IF(OR(CSE4098B_Spring2026_Grade!$I48="W (Withdrawn)", CSE4098B_Spring2026_Grade!$I48="I (Incomplete)"), 0, IF(AF63&gt;=55%, 1, 0))</f>
        <v>0</v>
      </c>
      <c r="AR63" s="165">
        <f>IF(OR(CSE4098B_Spring2026_Grade!$I48="W (Withdrawn)", CSE4098B_Spring2026_Grade!$I48="I (Incomplete)"), 0, IF(AG63&gt;=55%, 1, 0))</f>
        <v>0</v>
      </c>
      <c r="AS63" s="165">
        <f>IF(OR(CSE4098B_Spring2026_Grade!$I48="W (Withdrawn)", CSE4098B_Spring2026_Grade!$I48="I (Incomplete)"), 0, IF(AH63&gt;=55%, 1, 0))</f>
        <v>0</v>
      </c>
      <c r="AT63" s="165">
        <f>IF(OR(CSE4098B_Spring2026_Grade!$I48="W (Withdrawn)", CSE4098B_Spring2026_Grade!$I48="I (Incomplete)"), 0, IF(AI63&gt;=55%, 1, 0))</f>
        <v>0</v>
      </c>
      <c r="AU63" s="165">
        <f>IF(OR(CSE4098B_Spring2026_Grade!$I48="W (Withdrawn)", CSE4098B_Spring2026_Grade!$I48="I (Incomplete)"), 0, IF(AJ63&gt;=55%, 1, 0))</f>
        <v>0</v>
      </c>
      <c r="AV63" s="165">
        <f>IF(OR(CSE4098B_Spring2026_Grade!$I48="W (Withdrawn)", CSE4098B_Spring2026_Grade!$I48="I (Incomplete)"), 0, IF(AK63&gt;=55%, 1, 0))</f>
        <v>0</v>
      </c>
      <c r="AW63" s="165">
        <f>IF(OR(CSE4098B_Spring2026_Grade!$I48="W (Withdrawn)", CSE4098B_Spring2026_Grade!$I48="I (Incomplete)"), 0, IF(AL63&gt;=55%, 1, 0))</f>
        <v>0</v>
      </c>
      <c r="AX63" s="165">
        <f>IF(OR(CSE4098B_Spring2026_Grade!$I48="W (Withdrawn)", CSE4098B_Spring2026_Grade!$I48="I (Incomplete)"), 0, IF(AM63&gt;=55%, 1, 0))</f>
        <v>0</v>
      </c>
      <c r="AY63" s="165">
        <f>IF(OR(CSE4098B_Spring2026_Grade!$I48="W (Withdrawn)", CSE4098B_Spring2026_Grade!$I48="I (Incomplete)"), 0, IF(AN63&gt;=55%, 1, 0))</f>
        <v>0</v>
      </c>
      <c r="AZ63" s="165">
        <f>IF(OR(CSE4098B_Spring2026_Grade!$I48="W (Withdrawn)", CSE4098B_Spring2026_Grade!$I48="I (Incomplete)"), 0, IF(AO63&gt;=55%, 1, 0))</f>
        <v>0</v>
      </c>
      <c r="BA63" s="76"/>
      <c r="BB63" s="166">
        <f t="shared" si="13"/>
        <v>0</v>
      </c>
      <c r="BC63" s="166">
        <f t="shared" si="14"/>
        <v>0.3333333333</v>
      </c>
      <c r="BD63" s="166">
        <f t="array" ref="BD63">IF($BC$14=0,0,MMULT($AE63:$AO63, BC$3:BC$13)/$BC$14)</f>
        <v>0.3333333333</v>
      </c>
      <c r="BE63" s="166">
        <f t="array" ref="BE63">IF($BD$14=0,0,MMULT($AE63:$AO63, BD$3:BD$13)/$BD$14)</f>
        <v>0.3333333333</v>
      </c>
      <c r="BF63" s="166">
        <f t="shared" si="15"/>
        <v>0.3333333333</v>
      </c>
      <c r="BG63" s="166">
        <f t="array" ref="BG63">IF($BF$14=0,0,MMULT($AE63:$AO63, BF$3:BF$13)/$BF$14)</f>
        <v>0.4444444444</v>
      </c>
      <c r="BH63" s="166">
        <f t="array" ref="BH63">IF($BG$14=0,0,MMULT($AE63:$AO63, BG$3:BG$13)/$BG$14)</f>
        <v>0.4444444444</v>
      </c>
      <c r="BI63" s="166">
        <f t="array" ref="BI63">IF($BH$14=0,0,MMULT($AE63:$AO63, BH$3:BH$13)/$BH$14)</f>
        <v>0.3333333333</v>
      </c>
      <c r="BJ63" s="166">
        <f t="array" ref="BJ63">IF($BI$14=0,0,MMULT($AE63:$AO63, BI$3:BI$13)/$BI$14)</f>
        <v>0.4</v>
      </c>
      <c r="BK63" s="166">
        <f t="array" ref="BK63">IF($BJ$14=0,0,MMULT($AE63:$AO63, BJ$3:BJ$13)/$BJ$14)</f>
        <v>0.4264444444</v>
      </c>
      <c r="BL63" s="166">
        <f t="shared" si="16"/>
        <v>0.3333333333</v>
      </c>
      <c r="BM63" s="166">
        <f t="shared" si="17"/>
        <v>0.2777777778</v>
      </c>
      <c r="BN63" s="165">
        <f>IF(OR(CSE4098B_Spring2026_Grade!$I48="W (Withdrawn)", CSE4098B_Spring2026_Grade!$I48="I (Incomplete)"), 0, IF(BB63&gt;=55%, 1, 0))</f>
        <v>0</v>
      </c>
      <c r="BO63" s="165">
        <f>IF(OR(CSE4098B_Spring2026_Grade!$I48="W (Withdrawn)", CSE4098B_Spring2026_Grade!$I48="I (Incomplete)"), 0, IF(BC63&gt;=55%, 1, 0))</f>
        <v>0</v>
      </c>
      <c r="BP63" s="165">
        <f>IF(OR(CSE4098B_Spring2026_Grade!$I48="W (Withdrawn)", CSE4098B_Spring2026_Grade!$I48="I (Incomplete)"), 0, IF(BD63&gt;=55%, 1, 0))</f>
        <v>0</v>
      </c>
      <c r="BQ63" s="165">
        <f>IF(OR(CSE4098B_Spring2026_Grade!$I48="W (Withdrawn)", CSE4098B_Spring2026_Grade!$I48="I (Incomplete)"), 0, IF(BE63&gt;=55%, 1, 0))</f>
        <v>0</v>
      </c>
      <c r="BR63" s="165">
        <f>IF(OR(CSE4098B_Spring2026_Grade!$I48="W (Withdrawn)", CSE4098B_Spring2026_Grade!$I48="I (Incomplete)"), 0, IF(BF63&gt;=55%, 1, 0))</f>
        <v>0</v>
      </c>
      <c r="BS63" s="165">
        <f>IF(OR(CSE4098B_Spring2026_Grade!$I48="W (Withdrawn)", CSE4098B_Spring2026_Grade!$I48="I (Incomplete)"), 0, IF(BG63&gt;=55%, 1, 0))</f>
        <v>0</v>
      </c>
      <c r="BT63" s="165">
        <f>IF(OR(CSE4098B_Spring2026_Grade!$I48="W (Withdrawn)", CSE4098B_Spring2026_Grade!$I48="I (Incomplete)"), 0, IF(BH63&gt;=55%, 1, 0))</f>
        <v>0</v>
      </c>
      <c r="BU63" s="165">
        <f>IF(OR(CSE4098B_Spring2026_Grade!$I48="W (Withdrawn)", CSE4098B_Spring2026_Grade!$I48="I (Incomplete)"), 0, IF(BI63&gt;=55%, 1, 0))</f>
        <v>0</v>
      </c>
      <c r="BV63" s="165">
        <f>IF(OR(CSE4098B_Spring2026_Grade!$I48="W (Withdrawn)", CSE4098B_Spring2026_Grade!$I48="I (Incomplete)"), 0, IF(BJ63&gt;=55%, 1, 0))</f>
        <v>0</v>
      </c>
      <c r="BW63" s="165">
        <f>IF(OR(CSE4098B_Spring2026_Grade!$I48="W (Withdrawn)", CSE4098B_Spring2026_Grade!$I48="I (Incomplete)"), 0, IF(BK63&gt;=55%, 1, 0))</f>
        <v>0</v>
      </c>
      <c r="BX63" s="165">
        <f>IF(OR(CSE4098B_Spring2026_Grade!$I48="W (Withdrawn)", CSE4098B_Spring2026_Grade!$I48="I (Incomplete)"), 0, IF(BL63&gt;=55%, 1, 0))</f>
        <v>0</v>
      </c>
      <c r="BY63" s="165">
        <f>IF(OR(CSE4098B_Spring2026_Grade!$I48="W (Withdrawn)", CSE4098B_Spring2026_Grade!$I48="I (Incomplete)"), 0, IF(BM63&gt;=55%, 1, 0))</f>
        <v>0</v>
      </c>
    </row>
    <row r="64">
      <c r="A64" s="153">
        <v>45.0</v>
      </c>
      <c r="B64" s="154">
        <f>CSE4098B_Spring2026_Grade!B49</f>
        <v>223014012</v>
      </c>
      <c r="C64" s="96" t="str">
        <f>CSE4098B_Spring2026_Grade!C49</f>
        <v>MD.Yusuf</v>
      </c>
      <c r="D64" s="155">
        <f>'CO Report Evaluation'!AI47</f>
        <v>1.666666667</v>
      </c>
      <c r="E64" s="155">
        <f>'CO Report Evaluation'!AJ47</f>
        <v>1</v>
      </c>
      <c r="F64" s="155">
        <f>'CO Report Evaluation'!AK47</f>
        <v>1</v>
      </c>
      <c r="G64" s="156">
        <f>'CO Report Evaluation'!AL47</f>
        <v>1</v>
      </c>
      <c r="H64" s="156">
        <f>'CO Report Evaluation'!AM47</f>
        <v>1</v>
      </c>
      <c r="I64" s="157">
        <f>'CO Report Evaluation'!AN47</f>
        <v>2</v>
      </c>
      <c r="J64" s="157">
        <f>'CO Report Evaluation'!AO47</f>
        <v>1.333333333</v>
      </c>
      <c r="K64" s="157">
        <f>'CO Report Evaluation'!AP47</f>
        <v>1.333333333</v>
      </c>
      <c r="L64" s="158">
        <f>'CO Report Evaluation'!AQ47</f>
        <v>1</v>
      </c>
      <c r="M64" s="159"/>
      <c r="N64" s="160"/>
      <c r="O64" s="160"/>
      <c r="P64" s="160"/>
      <c r="Q64" s="160"/>
      <c r="R64" s="156">
        <f>CSE4098B_Spring2026_Grade!F49</f>
        <v>2</v>
      </c>
      <c r="S64" s="161">
        <f>((CSE4098B_Spring2026_Grade!E49)*10)/45</f>
        <v>4.164444444</v>
      </c>
      <c r="T64" s="162">
        <f t="shared" ref="T64:AB64" si="144">D64</f>
        <v>1.666666667</v>
      </c>
      <c r="U64" s="163">
        <f t="shared" si="144"/>
        <v>1</v>
      </c>
      <c r="V64" s="163">
        <f t="shared" si="144"/>
        <v>1</v>
      </c>
      <c r="W64" s="163">
        <f t="shared" si="144"/>
        <v>1</v>
      </c>
      <c r="X64" s="163">
        <f t="shared" si="144"/>
        <v>1</v>
      </c>
      <c r="Y64" s="163">
        <f t="shared" si="144"/>
        <v>2</v>
      </c>
      <c r="Z64" s="163">
        <f t="shared" si="144"/>
        <v>1.333333333</v>
      </c>
      <c r="AA64" s="163">
        <f t="shared" si="144"/>
        <v>1.333333333</v>
      </c>
      <c r="AB64" s="163">
        <f t="shared" si="144"/>
        <v>1</v>
      </c>
      <c r="AC64" s="163">
        <f t="shared" ref="AC64:AD64" si="145">R64</f>
        <v>2</v>
      </c>
      <c r="AD64" s="163">
        <f t="shared" si="145"/>
        <v>4.164444444</v>
      </c>
      <c r="AE64" s="164">
        <f t="shared" ref="AE64:AO64" si="146">IF(T64 = 0, 0, T64/T$19)</f>
        <v>0.2777777778</v>
      </c>
      <c r="AF64" s="164">
        <f t="shared" si="146"/>
        <v>0.3333333333</v>
      </c>
      <c r="AG64" s="164">
        <f t="shared" si="146"/>
        <v>0.3333333333</v>
      </c>
      <c r="AH64" s="164">
        <f t="shared" si="146"/>
        <v>0.3333333333</v>
      </c>
      <c r="AI64" s="164">
        <f t="shared" si="146"/>
        <v>0.3333333333</v>
      </c>
      <c r="AJ64" s="164">
        <f t="shared" si="146"/>
        <v>0.3333333333</v>
      </c>
      <c r="AK64" s="164">
        <f t="shared" si="146"/>
        <v>0.4444444444</v>
      </c>
      <c r="AL64" s="164">
        <f t="shared" si="146"/>
        <v>0.4444444444</v>
      </c>
      <c r="AM64" s="164">
        <f t="shared" si="146"/>
        <v>0.3333333333</v>
      </c>
      <c r="AN64" s="164">
        <f t="shared" si="146"/>
        <v>0.4</v>
      </c>
      <c r="AO64" s="164">
        <f t="shared" si="146"/>
        <v>0.4164444444</v>
      </c>
      <c r="AP64" s="165">
        <f>IF(OR(CSE4098B_Spring2026_Grade!$I49="W (Withdrawn)", CSE4098B_Spring2026_Grade!$I49="I (Incomplete)"), 0, IF(AE64&gt;=55%, 1, 0))</f>
        <v>0</v>
      </c>
      <c r="AQ64" s="165">
        <f>IF(OR(CSE4098B_Spring2026_Grade!$I49="W (Withdrawn)", CSE4098B_Spring2026_Grade!$I49="I (Incomplete)"), 0, IF(AF64&gt;=55%, 1, 0))</f>
        <v>0</v>
      </c>
      <c r="AR64" s="165">
        <f>IF(OR(CSE4098B_Spring2026_Grade!$I49="W (Withdrawn)", CSE4098B_Spring2026_Grade!$I49="I (Incomplete)"), 0, IF(AG64&gt;=55%, 1, 0))</f>
        <v>0</v>
      </c>
      <c r="AS64" s="165">
        <f>IF(OR(CSE4098B_Spring2026_Grade!$I49="W (Withdrawn)", CSE4098B_Spring2026_Grade!$I49="I (Incomplete)"), 0, IF(AH64&gt;=55%, 1, 0))</f>
        <v>0</v>
      </c>
      <c r="AT64" s="165">
        <f>IF(OR(CSE4098B_Spring2026_Grade!$I49="W (Withdrawn)", CSE4098B_Spring2026_Grade!$I49="I (Incomplete)"), 0, IF(AI64&gt;=55%, 1, 0))</f>
        <v>0</v>
      </c>
      <c r="AU64" s="165">
        <f>IF(OR(CSE4098B_Spring2026_Grade!$I49="W (Withdrawn)", CSE4098B_Spring2026_Grade!$I49="I (Incomplete)"), 0, IF(AJ64&gt;=55%, 1, 0))</f>
        <v>0</v>
      </c>
      <c r="AV64" s="165">
        <f>IF(OR(CSE4098B_Spring2026_Grade!$I49="W (Withdrawn)", CSE4098B_Spring2026_Grade!$I49="I (Incomplete)"), 0, IF(AK64&gt;=55%, 1, 0))</f>
        <v>0</v>
      </c>
      <c r="AW64" s="165">
        <f>IF(OR(CSE4098B_Spring2026_Grade!$I49="W (Withdrawn)", CSE4098B_Spring2026_Grade!$I49="I (Incomplete)"), 0, IF(AL64&gt;=55%, 1, 0))</f>
        <v>0</v>
      </c>
      <c r="AX64" s="165">
        <f>IF(OR(CSE4098B_Spring2026_Grade!$I49="W (Withdrawn)", CSE4098B_Spring2026_Grade!$I49="I (Incomplete)"), 0, IF(AM64&gt;=55%, 1, 0))</f>
        <v>0</v>
      </c>
      <c r="AY64" s="165">
        <f>IF(OR(CSE4098B_Spring2026_Grade!$I49="W (Withdrawn)", CSE4098B_Spring2026_Grade!$I49="I (Incomplete)"), 0, IF(AN64&gt;=55%, 1, 0))</f>
        <v>0</v>
      </c>
      <c r="AZ64" s="165">
        <f>IF(OR(CSE4098B_Spring2026_Grade!$I49="W (Withdrawn)", CSE4098B_Spring2026_Grade!$I49="I (Incomplete)"), 0, IF(AO64&gt;=55%, 1, 0))</f>
        <v>0</v>
      </c>
      <c r="BA64" s="76"/>
      <c r="BB64" s="166">
        <f t="shared" si="13"/>
        <v>0</v>
      </c>
      <c r="BC64" s="166">
        <f t="shared" si="14"/>
        <v>0.3333333333</v>
      </c>
      <c r="BD64" s="166">
        <f t="array" ref="BD64">IF($BC$14=0,0,MMULT($AE64:$AO64, BC$3:BC$13)/$BC$14)</f>
        <v>0.3333333333</v>
      </c>
      <c r="BE64" s="166">
        <f t="array" ref="BE64">IF($BD$14=0,0,MMULT($AE64:$AO64, BD$3:BD$13)/$BD$14)</f>
        <v>0.3333333333</v>
      </c>
      <c r="BF64" s="166">
        <f t="shared" si="15"/>
        <v>0.3333333333</v>
      </c>
      <c r="BG64" s="166">
        <f t="array" ref="BG64">IF($BF$14=0,0,MMULT($AE64:$AO64, BF$3:BF$13)/$BF$14)</f>
        <v>0.4444444444</v>
      </c>
      <c r="BH64" s="166">
        <f t="array" ref="BH64">IF($BG$14=0,0,MMULT($AE64:$AO64, BG$3:BG$13)/$BG$14)</f>
        <v>0.4444444444</v>
      </c>
      <c r="BI64" s="166">
        <f t="array" ref="BI64">IF($BH$14=0,0,MMULT($AE64:$AO64, BH$3:BH$13)/$BH$14)</f>
        <v>0.3333333333</v>
      </c>
      <c r="BJ64" s="166">
        <f t="array" ref="BJ64">IF($BI$14=0,0,MMULT($AE64:$AO64, BI$3:BI$13)/$BI$14)</f>
        <v>0.4</v>
      </c>
      <c r="BK64" s="166">
        <f t="array" ref="BK64">IF($BJ$14=0,0,MMULT($AE64:$AO64, BJ$3:BJ$13)/$BJ$14)</f>
        <v>0.4164444444</v>
      </c>
      <c r="BL64" s="166">
        <f t="shared" si="16"/>
        <v>0.3333333333</v>
      </c>
      <c r="BM64" s="166">
        <f t="shared" si="17"/>
        <v>0.2777777778</v>
      </c>
      <c r="BN64" s="165">
        <f>IF(OR(CSE4098B_Spring2026_Grade!$I49="W (Withdrawn)", CSE4098B_Spring2026_Grade!$I49="I (Incomplete)"), 0, IF(BB64&gt;=55%, 1, 0))</f>
        <v>0</v>
      </c>
      <c r="BO64" s="165">
        <f>IF(OR(CSE4098B_Spring2026_Grade!$I49="W (Withdrawn)", CSE4098B_Spring2026_Grade!$I49="I (Incomplete)"), 0, IF(BC64&gt;=55%, 1, 0))</f>
        <v>0</v>
      </c>
      <c r="BP64" s="165">
        <f>IF(OR(CSE4098B_Spring2026_Grade!$I49="W (Withdrawn)", CSE4098B_Spring2026_Grade!$I49="I (Incomplete)"), 0, IF(BD64&gt;=55%, 1, 0))</f>
        <v>0</v>
      </c>
      <c r="BQ64" s="165">
        <f>IF(OR(CSE4098B_Spring2026_Grade!$I49="W (Withdrawn)", CSE4098B_Spring2026_Grade!$I49="I (Incomplete)"), 0, IF(BE64&gt;=55%, 1, 0))</f>
        <v>0</v>
      </c>
      <c r="BR64" s="165">
        <f>IF(OR(CSE4098B_Spring2026_Grade!$I49="W (Withdrawn)", CSE4098B_Spring2026_Grade!$I49="I (Incomplete)"), 0, IF(BF64&gt;=55%, 1, 0))</f>
        <v>0</v>
      </c>
      <c r="BS64" s="165">
        <f>IF(OR(CSE4098B_Spring2026_Grade!$I49="W (Withdrawn)", CSE4098B_Spring2026_Grade!$I49="I (Incomplete)"), 0, IF(BG64&gt;=55%, 1, 0))</f>
        <v>0</v>
      </c>
      <c r="BT64" s="165">
        <f>IF(OR(CSE4098B_Spring2026_Grade!$I49="W (Withdrawn)", CSE4098B_Spring2026_Grade!$I49="I (Incomplete)"), 0, IF(BH64&gt;=55%, 1, 0))</f>
        <v>0</v>
      </c>
      <c r="BU64" s="165">
        <f>IF(OR(CSE4098B_Spring2026_Grade!$I49="W (Withdrawn)", CSE4098B_Spring2026_Grade!$I49="I (Incomplete)"), 0, IF(BI64&gt;=55%, 1, 0))</f>
        <v>0</v>
      </c>
      <c r="BV64" s="165">
        <f>IF(OR(CSE4098B_Spring2026_Grade!$I49="W (Withdrawn)", CSE4098B_Spring2026_Grade!$I49="I (Incomplete)"), 0, IF(BJ64&gt;=55%, 1, 0))</f>
        <v>0</v>
      </c>
      <c r="BW64" s="165">
        <f>IF(OR(CSE4098B_Spring2026_Grade!$I49="W (Withdrawn)", CSE4098B_Spring2026_Grade!$I49="I (Incomplete)"), 0, IF(BK64&gt;=55%, 1, 0))</f>
        <v>0</v>
      </c>
      <c r="BX64" s="165">
        <f>IF(OR(CSE4098B_Spring2026_Grade!$I49="W (Withdrawn)", CSE4098B_Spring2026_Grade!$I49="I (Incomplete)"), 0, IF(BL64&gt;=55%, 1, 0))</f>
        <v>0</v>
      </c>
      <c r="BY64" s="165">
        <f>IF(OR(CSE4098B_Spring2026_Grade!$I49="W (Withdrawn)", CSE4098B_Spring2026_Grade!$I49="I (Incomplete)"), 0, IF(BM64&gt;=55%, 1, 0))</f>
        <v>0</v>
      </c>
    </row>
    <row r="65">
      <c r="A65" s="153">
        <v>46.0</v>
      </c>
      <c r="B65" s="154">
        <f>CSE4098B_Spring2026_Grade!B50</f>
        <v>211014030</v>
      </c>
      <c r="C65" s="96" t="str">
        <f>CSE4098B_Spring2026_Grade!C50</f>
        <v>Mahfuzur Rahman</v>
      </c>
      <c r="D65" s="155">
        <f>'CO Report Evaluation'!AI48</f>
        <v>1.666666667</v>
      </c>
      <c r="E65" s="155">
        <f>'CO Report Evaluation'!AJ48</f>
        <v>1</v>
      </c>
      <c r="F65" s="155">
        <f>'CO Report Evaluation'!AK48</f>
        <v>1</v>
      </c>
      <c r="G65" s="156">
        <f>'CO Report Evaluation'!AL48</f>
        <v>1</v>
      </c>
      <c r="H65" s="156">
        <f>'CO Report Evaluation'!AM48</f>
        <v>1</v>
      </c>
      <c r="I65" s="157">
        <f>'CO Report Evaluation'!AN48</f>
        <v>2</v>
      </c>
      <c r="J65" s="157">
        <f>'CO Report Evaluation'!AO48</f>
        <v>1.333333333</v>
      </c>
      <c r="K65" s="157">
        <f>'CO Report Evaluation'!AP48</f>
        <v>1.333333333</v>
      </c>
      <c r="L65" s="158">
        <f>'CO Report Evaluation'!AQ48</f>
        <v>1</v>
      </c>
      <c r="M65" s="159"/>
      <c r="N65" s="160"/>
      <c r="O65" s="160"/>
      <c r="P65" s="160"/>
      <c r="Q65" s="160"/>
      <c r="R65" s="156">
        <f>CSE4098B_Spring2026_Grade!F50</f>
        <v>2</v>
      </c>
      <c r="S65" s="161">
        <f>((CSE4098B_Spring2026_Grade!E50)*10)/45</f>
        <v>4.197777778</v>
      </c>
      <c r="T65" s="162">
        <f t="shared" ref="T65:AB65" si="147">D65</f>
        <v>1.666666667</v>
      </c>
      <c r="U65" s="163">
        <f t="shared" si="147"/>
        <v>1</v>
      </c>
      <c r="V65" s="163">
        <f t="shared" si="147"/>
        <v>1</v>
      </c>
      <c r="W65" s="163">
        <f t="shared" si="147"/>
        <v>1</v>
      </c>
      <c r="X65" s="163">
        <f t="shared" si="147"/>
        <v>1</v>
      </c>
      <c r="Y65" s="163">
        <f t="shared" si="147"/>
        <v>2</v>
      </c>
      <c r="Z65" s="163">
        <f t="shared" si="147"/>
        <v>1.333333333</v>
      </c>
      <c r="AA65" s="163">
        <f t="shared" si="147"/>
        <v>1.333333333</v>
      </c>
      <c r="AB65" s="163">
        <f t="shared" si="147"/>
        <v>1</v>
      </c>
      <c r="AC65" s="163">
        <f t="shared" ref="AC65:AD65" si="148">R65</f>
        <v>2</v>
      </c>
      <c r="AD65" s="163">
        <f t="shared" si="148"/>
        <v>4.197777778</v>
      </c>
      <c r="AE65" s="164">
        <f t="shared" ref="AE65:AO65" si="149">IF(T65 = 0, 0, T65/T$19)</f>
        <v>0.2777777778</v>
      </c>
      <c r="AF65" s="164">
        <f t="shared" si="149"/>
        <v>0.3333333333</v>
      </c>
      <c r="AG65" s="164">
        <f t="shared" si="149"/>
        <v>0.3333333333</v>
      </c>
      <c r="AH65" s="164">
        <f t="shared" si="149"/>
        <v>0.3333333333</v>
      </c>
      <c r="AI65" s="164">
        <f t="shared" si="149"/>
        <v>0.3333333333</v>
      </c>
      <c r="AJ65" s="164">
        <f t="shared" si="149"/>
        <v>0.3333333333</v>
      </c>
      <c r="AK65" s="164">
        <f t="shared" si="149"/>
        <v>0.4444444444</v>
      </c>
      <c r="AL65" s="164">
        <f t="shared" si="149"/>
        <v>0.4444444444</v>
      </c>
      <c r="AM65" s="164">
        <f t="shared" si="149"/>
        <v>0.3333333333</v>
      </c>
      <c r="AN65" s="164">
        <f t="shared" si="149"/>
        <v>0.4</v>
      </c>
      <c r="AO65" s="164">
        <f t="shared" si="149"/>
        <v>0.4197777778</v>
      </c>
      <c r="AP65" s="165">
        <f>IF(OR(CSE4098B_Spring2026_Grade!$I50="W (Withdrawn)", CSE4098B_Spring2026_Grade!$I50="I (Incomplete)"), 0, IF(AE65&gt;=55%, 1, 0))</f>
        <v>0</v>
      </c>
      <c r="AQ65" s="165">
        <f>IF(OR(CSE4098B_Spring2026_Grade!$I50="W (Withdrawn)", CSE4098B_Spring2026_Grade!$I50="I (Incomplete)"), 0, IF(AF65&gt;=55%, 1, 0))</f>
        <v>0</v>
      </c>
      <c r="AR65" s="165">
        <f>IF(OR(CSE4098B_Spring2026_Grade!$I50="W (Withdrawn)", CSE4098B_Spring2026_Grade!$I50="I (Incomplete)"), 0, IF(AG65&gt;=55%, 1, 0))</f>
        <v>0</v>
      </c>
      <c r="AS65" s="165">
        <f>IF(OR(CSE4098B_Spring2026_Grade!$I50="W (Withdrawn)", CSE4098B_Spring2026_Grade!$I50="I (Incomplete)"), 0, IF(AH65&gt;=55%, 1, 0))</f>
        <v>0</v>
      </c>
      <c r="AT65" s="165">
        <f>IF(OR(CSE4098B_Spring2026_Grade!$I50="W (Withdrawn)", CSE4098B_Spring2026_Grade!$I50="I (Incomplete)"), 0, IF(AI65&gt;=55%, 1, 0))</f>
        <v>0</v>
      </c>
      <c r="AU65" s="165">
        <f>IF(OR(CSE4098B_Spring2026_Grade!$I50="W (Withdrawn)", CSE4098B_Spring2026_Grade!$I50="I (Incomplete)"), 0, IF(AJ65&gt;=55%, 1, 0))</f>
        <v>0</v>
      </c>
      <c r="AV65" s="165">
        <f>IF(OR(CSE4098B_Spring2026_Grade!$I50="W (Withdrawn)", CSE4098B_Spring2026_Grade!$I50="I (Incomplete)"), 0, IF(AK65&gt;=55%, 1, 0))</f>
        <v>0</v>
      </c>
      <c r="AW65" s="165">
        <f>IF(OR(CSE4098B_Spring2026_Grade!$I50="W (Withdrawn)", CSE4098B_Spring2026_Grade!$I50="I (Incomplete)"), 0, IF(AL65&gt;=55%, 1, 0))</f>
        <v>0</v>
      </c>
      <c r="AX65" s="165">
        <f>IF(OR(CSE4098B_Spring2026_Grade!$I50="W (Withdrawn)", CSE4098B_Spring2026_Grade!$I50="I (Incomplete)"), 0, IF(AM65&gt;=55%, 1, 0))</f>
        <v>0</v>
      </c>
      <c r="AY65" s="165">
        <f>IF(OR(CSE4098B_Spring2026_Grade!$I50="W (Withdrawn)", CSE4098B_Spring2026_Grade!$I50="I (Incomplete)"), 0, IF(AN65&gt;=55%, 1, 0))</f>
        <v>0</v>
      </c>
      <c r="AZ65" s="165">
        <f>IF(OR(CSE4098B_Spring2026_Grade!$I50="W (Withdrawn)", CSE4098B_Spring2026_Grade!$I50="I (Incomplete)"), 0, IF(AO65&gt;=55%, 1, 0))</f>
        <v>0</v>
      </c>
      <c r="BA65" s="76"/>
      <c r="BB65" s="166">
        <f t="shared" si="13"/>
        <v>0</v>
      </c>
      <c r="BC65" s="166">
        <f t="shared" si="14"/>
        <v>0.3333333333</v>
      </c>
      <c r="BD65" s="166">
        <f t="array" ref="BD65">IF($BC$14=0,0,MMULT($AE65:$AO65, BC$3:BC$13)/$BC$14)</f>
        <v>0.3333333333</v>
      </c>
      <c r="BE65" s="166">
        <f t="array" ref="BE65">IF($BD$14=0,0,MMULT($AE65:$AO65, BD$3:BD$13)/$BD$14)</f>
        <v>0.3333333333</v>
      </c>
      <c r="BF65" s="166">
        <f t="shared" si="15"/>
        <v>0.3333333333</v>
      </c>
      <c r="BG65" s="166">
        <f t="array" ref="BG65">IF($BF$14=0,0,MMULT($AE65:$AO65, BF$3:BF$13)/$BF$14)</f>
        <v>0.4444444444</v>
      </c>
      <c r="BH65" s="166">
        <f t="array" ref="BH65">IF($BG$14=0,0,MMULT($AE65:$AO65, BG$3:BG$13)/$BG$14)</f>
        <v>0.4444444444</v>
      </c>
      <c r="BI65" s="166">
        <f t="array" ref="BI65">IF($BH$14=0,0,MMULT($AE65:$AO65, BH$3:BH$13)/$BH$14)</f>
        <v>0.3333333333</v>
      </c>
      <c r="BJ65" s="166">
        <f t="array" ref="BJ65">IF($BI$14=0,0,MMULT($AE65:$AO65, BI$3:BI$13)/$BI$14)</f>
        <v>0.4</v>
      </c>
      <c r="BK65" s="166">
        <f t="array" ref="BK65">IF($BJ$14=0,0,MMULT($AE65:$AO65, BJ$3:BJ$13)/$BJ$14)</f>
        <v>0.4197777778</v>
      </c>
      <c r="BL65" s="166">
        <f t="shared" si="16"/>
        <v>0.3333333333</v>
      </c>
      <c r="BM65" s="166">
        <f t="shared" si="17"/>
        <v>0.2777777778</v>
      </c>
      <c r="BN65" s="165">
        <f>IF(OR(CSE4098B_Spring2026_Grade!$I50="W (Withdrawn)", CSE4098B_Spring2026_Grade!$I50="I (Incomplete)"), 0, IF(BB65&gt;=55%, 1, 0))</f>
        <v>0</v>
      </c>
      <c r="BO65" s="165">
        <f>IF(OR(CSE4098B_Spring2026_Grade!$I50="W (Withdrawn)", CSE4098B_Spring2026_Grade!$I50="I (Incomplete)"), 0, IF(BC65&gt;=55%, 1, 0))</f>
        <v>0</v>
      </c>
      <c r="BP65" s="165">
        <f>IF(OR(CSE4098B_Spring2026_Grade!$I50="W (Withdrawn)", CSE4098B_Spring2026_Grade!$I50="I (Incomplete)"), 0, IF(BD65&gt;=55%, 1, 0))</f>
        <v>0</v>
      </c>
      <c r="BQ65" s="165">
        <f>IF(OR(CSE4098B_Spring2026_Grade!$I50="W (Withdrawn)", CSE4098B_Spring2026_Grade!$I50="I (Incomplete)"), 0, IF(BE65&gt;=55%, 1, 0))</f>
        <v>0</v>
      </c>
      <c r="BR65" s="165">
        <f>IF(OR(CSE4098B_Spring2026_Grade!$I50="W (Withdrawn)", CSE4098B_Spring2026_Grade!$I50="I (Incomplete)"), 0, IF(BF65&gt;=55%, 1, 0))</f>
        <v>0</v>
      </c>
      <c r="BS65" s="165">
        <f>IF(OR(CSE4098B_Spring2026_Grade!$I50="W (Withdrawn)", CSE4098B_Spring2026_Grade!$I50="I (Incomplete)"), 0, IF(BG65&gt;=55%, 1, 0))</f>
        <v>0</v>
      </c>
      <c r="BT65" s="165">
        <f>IF(OR(CSE4098B_Spring2026_Grade!$I50="W (Withdrawn)", CSE4098B_Spring2026_Grade!$I50="I (Incomplete)"), 0, IF(BH65&gt;=55%, 1, 0))</f>
        <v>0</v>
      </c>
      <c r="BU65" s="165">
        <f>IF(OR(CSE4098B_Spring2026_Grade!$I50="W (Withdrawn)", CSE4098B_Spring2026_Grade!$I50="I (Incomplete)"), 0, IF(BI65&gt;=55%, 1, 0))</f>
        <v>0</v>
      </c>
      <c r="BV65" s="165">
        <f>IF(OR(CSE4098B_Spring2026_Grade!$I50="W (Withdrawn)", CSE4098B_Spring2026_Grade!$I50="I (Incomplete)"), 0, IF(BJ65&gt;=55%, 1, 0))</f>
        <v>0</v>
      </c>
      <c r="BW65" s="165">
        <f>IF(OR(CSE4098B_Spring2026_Grade!$I50="W (Withdrawn)", CSE4098B_Spring2026_Grade!$I50="I (Incomplete)"), 0, IF(BK65&gt;=55%, 1, 0))</f>
        <v>0</v>
      </c>
      <c r="BX65" s="165">
        <f>IF(OR(CSE4098B_Spring2026_Grade!$I50="W (Withdrawn)", CSE4098B_Spring2026_Grade!$I50="I (Incomplete)"), 0, IF(BL65&gt;=55%, 1, 0))</f>
        <v>0</v>
      </c>
      <c r="BY65" s="165">
        <f>IF(OR(CSE4098B_Spring2026_Grade!$I50="W (Withdrawn)", CSE4098B_Spring2026_Grade!$I50="I (Incomplete)"), 0, IF(BM65&gt;=55%, 1, 0))</f>
        <v>0</v>
      </c>
    </row>
    <row r="66">
      <c r="A66" s="153">
        <v>47.0</v>
      </c>
      <c r="B66" s="154">
        <f>CSE4098B_Spring2026_Grade!B51</f>
        <v>223014143</v>
      </c>
      <c r="C66" s="96" t="str">
        <f>CSE4098B_Spring2026_Grade!C51</f>
        <v>Upoma Paul</v>
      </c>
      <c r="D66" s="155">
        <f>'CO Report Evaluation'!AI49</f>
        <v>4</v>
      </c>
      <c r="E66" s="155">
        <f>'CO Report Evaluation'!AJ49</f>
        <v>1.666666667</v>
      </c>
      <c r="F66" s="155">
        <f>'CO Report Evaluation'!AK49</f>
        <v>1.666666667</v>
      </c>
      <c r="G66" s="156">
        <f>'CO Report Evaluation'!AL49</f>
        <v>2.666666667</v>
      </c>
      <c r="H66" s="156">
        <f>'CO Report Evaluation'!AM49</f>
        <v>2.333333333</v>
      </c>
      <c r="I66" s="157">
        <f>'CO Report Evaluation'!AN49</f>
        <v>4.333333333</v>
      </c>
      <c r="J66" s="157">
        <f>'CO Report Evaluation'!AO49</f>
        <v>2.333333333</v>
      </c>
      <c r="K66" s="157">
        <f>'CO Report Evaluation'!AP49</f>
        <v>2.333333333</v>
      </c>
      <c r="L66" s="158">
        <f>'CO Report Evaluation'!AQ49</f>
        <v>2.333333333</v>
      </c>
      <c r="M66" s="159"/>
      <c r="N66" s="160"/>
      <c r="O66" s="160"/>
      <c r="P66" s="160"/>
      <c r="Q66" s="160"/>
      <c r="R66" s="156">
        <f>CSE4098B_Spring2026_Grade!F51</f>
        <v>4</v>
      </c>
      <c r="S66" s="161">
        <f>((CSE4098B_Spring2026_Grade!E51)*10)/45</f>
        <v>6.715555556</v>
      </c>
      <c r="T66" s="162">
        <f t="shared" ref="T66:AB66" si="150">D66</f>
        <v>4</v>
      </c>
      <c r="U66" s="163">
        <f t="shared" si="150"/>
        <v>1.666666667</v>
      </c>
      <c r="V66" s="163">
        <f t="shared" si="150"/>
        <v>1.666666667</v>
      </c>
      <c r="W66" s="163">
        <f t="shared" si="150"/>
        <v>2.666666667</v>
      </c>
      <c r="X66" s="163">
        <f t="shared" si="150"/>
        <v>2.333333333</v>
      </c>
      <c r="Y66" s="163">
        <f t="shared" si="150"/>
        <v>4.333333333</v>
      </c>
      <c r="Z66" s="163">
        <f t="shared" si="150"/>
        <v>2.333333333</v>
      </c>
      <c r="AA66" s="163">
        <f t="shared" si="150"/>
        <v>2.333333333</v>
      </c>
      <c r="AB66" s="163">
        <f t="shared" si="150"/>
        <v>2.333333333</v>
      </c>
      <c r="AC66" s="163">
        <f t="shared" ref="AC66:AD66" si="151">R66</f>
        <v>4</v>
      </c>
      <c r="AD66" s="163">
        <f t="shared" si="151"/>
        <v>6.715555556</v>
      </c>
      <c r="AE66" s="164">
        <f t="shared" ref="AE66:AO66" si="152">IF(T66 = 0, 0, T66/T$19)</f>
        <v>0.6666666667</v>
      </c>
      <c r="AF66" s="164">
        <f t="shared" si="152"/>
        <v>0.5555555556</v>
      </c>
      <c r="AG66" s="164">
        <f t="shared" si="152"/>
        <v>0.5555555556</v>
      </c>
      <c r="AH66" s="164">
        <f t="shared" si="152"/>
        <v>0.8888888889</v>
      </c>
      <c r="AI66" s="164">
        <f t="shared" si="152"/>
        <v>0.7777777778</v>
      </c>
      <c r="AJ66" s="164">
        <f t="shared" si="152"/>
        <v>0.7222222222</v>
      </c>
      <c r="AK66" s="164">
        <f t="shared" si="152"/>
        <v>0.7777777778</v>
      </c>
      <c r="AL66" s="164">
        <f t="shared" si="152"/>
        <v>0.7777777778</v>
      </c>
      <c r="AM66" s="164">
        <f t="shared" si="152"/>
        <v>0.7777777778</v>
      </c>
      <c r="AN66" s="164">
        <f t="shared" si="152"/>
        <v>0.8</v>
      </c>
      <c r="AO66" s="164">
        <f t="shared" si="152"/>
        <v>0.6715555556</v>
      </c>
      <c r="AP66" s="165">
        <f>IF(OR(CSE4098B_Spring2026_Grade!$I51="W (Withdrawn)", CSE4098B_Spring2026_Grade!$I51="I (Incomplete)"), 0, IF(AE66&gt;=55%, 1, 0))</f>
        <v>1</v>
      </c>
      <c r="AQ66" s="165">
        <f>IF(OR(CSE4098B_Spring2026_Grade!$I51="W (Withdrawn)", CSE4098B_Spring2026_Grade!$I51="I (Incomplete)"), 0, IF(AF66&gt;=55%, 1, 0))</f>
        <v>1</v>
      </c>
      <c r="AR66" s="165">
        <f>IF(OR(CSE4098B_Spring2026_Grade!$I51="W (Withdrawn)", CSE4098B_Spring2026_Grade!$I51="I (Incomplete)"), 0, IF(AG66&gt;=55%, 1, 0))</f>
        <v>1</v>
      </c>
      <c r="AS66" s="165">
        <f>IF(OR(CSE4098B_Spring2026_Grade!$I51="W (Withdrawn)", CSE4098B_Spring2026_Grade!$I51="I (Incomplete)"), 0, IF(AH66&gt;=55%, 1, 0))</f>
        <v>1</v>
      </c>
      <c r="AT66" s="165">
        <f>IF(OR(CSE4098B_Spring2026_Grade!$I51="W (Withdrawn)", CSE4098B_Spring2026_Grade!$I51="I (Incomplete)"), 0, IF(AI66&gt;=55%, 1, 0))</f>
        <v>1</v>
      </c>
      <c r="AU66" s="165">
        <f>IF(OR(CSE4098B_Spring2026_Grade!$I51="W (Withdrawn)", CSE4098B_Spring2026_Grade!$I51="I (Incomplete)"), 0, IF(AJ66&gt;=55%, 1, 0))</f>
        <v>1</v>
      </c>
      <c r="AV66" s="165">
        <f>IF(OR(CSE4098B_Spring2026_Grade!$I51="W (Withdrawn)", CSE4098B_Spring2026_Grade!$I51="I (Incomplete)"), 0, IF(AK66&gt;=55%, 1, 0))</f>
        <v>1</v>
      </c>
      <c r="AW66" s="165">
        <f>IF(OR(CSE4098B_Spring2026_Grade!$I51="W (Withdrawn)", CSE4098B_Spring2026_Grade!$I51="I (Incomplete)"), 0, IF(AL66&gt;=55%, 1, 0))</f>
        <v>1</v>
      </c>
      <c r="AX66" s="165">
        <f>IF(OR(CSE4098B_Spring2026_Grade!$I51="W (Withdrawn)", CSE4098B_Spring2026_Grade!$I51="I (Incomplete)"), 0, IF(AM66&gt;=55%, 1, 0))</f>
        <v>1</v>
      </c>
      <c r="AY66" s="165">
        <f>IF(OR(CSE4098B_Spring2026_Grade!$I51="W (Withdrawn)", CSE4098B_Spring2026_Grade!$I51="I (Incomplete)"), 0, IF(AN66&gt;=55%, 1, 0))</f>
        <v>1</v>
      </c>
      <c r="AZ66" s="165">
        <f>IF(OR(CSE4098B_Spring2026_Grade!$I51="W (Withdrawn)", CSE4098B_Spring2026_Grade!$I51="I (Incomplete)"), 0, IF(AO66&gt;=55%, 1, 0))</f>
        <v>1</v>
      </c>
      <c r="BA66" s="76"/>
      <c r="BB66" s="166">
        <f t="shared" si="13"/>
        <v>0</v>
      </c>
      <c r="BC66" s="166">
        <f t="shared" si="14"/>
        <v>0.5555555556</v>
      </c>
      <c r="BD66" s="166">
        <f t="array" ref="BD66">IF($BC$14=0,0,MMULT($AE66:$AO66, BC$3:BC$13)/$BC$14)</f>
        <v>0.7777777778</v>
      </c>
      <c r="BE66" s="166">
        <f t="array" ref="BE66">IF($BD$14=0,0,MMULT($AE66:$AO66, BD$3:BD$13)/$BD$14)</f>
        <v>0.7222222222</v>
      </c>
      <c r="BF66" s="166">
        <f t="shared" si="15"/>
        <v>0.8888888889</v>
      </c>
      <c r="BG66" s="166">
        <f t="array" ref="BG66">IF($BF$14=0,0,MMULT($AE66:$AO66, BF$3:BF$13)/$BF$14)</f>
        <v>0.7777777778</v>
      </c>
      <c r="BH66" s="166">
        <f t="array" ref="BH66">IF($BG$14=0,0,MMULT($AE66:$AO66, BG$3:BG$13)/$BG$14)</f>
        <v>0.7777777778</v>
      </c>
      <c r="BI66" s="166">
        <f t="array" ref="BI66">IF($BH$14=0,0,MMULT($AE66:$AO66, BH$3:BH$13)/$BH$14)</f>
        <v>0.7777777778</v>
      </c>
      <c r="BJ66" s="166">
        <f t="array" ref="BJ66">IF($BI$14=0,0,MMULT($AE66:$AO66, BI$3:BI$13)/$BI$14)</f>
        <v>0.8</v>
      </c>
      <c r="BK66" s="166">
        <f t="array" ref="BK66">IF($BJ$14=0,0,MMULT($AE66:$AO66, BJ$3:BJ$13)/$BJ$14)</f>
        <v>0.6715555556</v>
      </c>
      <c r="BL66" s="166">
        <f t="shared" si="16"/>
        <v>0.5555555556</v>
      </c>
      <c r="BM66" s="166">
        <f t="shared" si="17"/>
        <v>0.6666666667</v>
      </c>
      <c r="BN66" s="165">
        <f>IF(OR(CSE4098B_Spring2026_Grade!$I51="W (Withdrawn)", CSE4098B_Spring2026_Grade!$I51="I (Incomplete)"), 0, IF(BB66&gt;=55%, 1, 0))</f>
        <v>0</v>
      </c>
      <c r="BO66" s="165">
        <f>IF(OR(CSE4098B_Spring2026_Grade!$I51="W (Withdrawn)", CSE4098B_Spring2026_Grade!$I51="I (Incomplete)"), 0, IF(BC66&gt;=55%, 1, 0))</f>
        <v>1</v>
      </c>
      <c r="BP66" s="165">
        <f>IF(OR(CSE4098B_Spring2026_Grade!$I51="W (Withdrawn)", CSE4098B_Spring2026_Grade!$I51="I (Incomplete)"), 0, IF(BD66&gt;=55%, 1, 0))</f>
        <v>1</v>
      </c>
      <c r="BQ66" s="165">
        <f>IF(OR(CSE4098B_Spring2026_Grade!$I51="W (Withdrawn)", CSE4098B_Spring2026_Grade!$I51="I (Incomplete)"), 0, IF(BE66&gt;=55%, 1, 0))</f>
        <v>1</v>
      </c>
      <c r="BR66" s="165">
        <f>IF(OR(CSE4098B_Spring2026_Grade!$I51="W (Withdrawn)", CSE4098B_Spring2026_Grade!$I51="I (Incomplete)"), 0, IF(BF66&gt;=55%, 1, 0))</f>
        <v>1</v>
      </c>
      <c r="BS66" s="165">
        <f>IF(OR(CSE4098B_Spring2026_Grade!$I51="W (Withdrawn)", CSE4098B_Spring2026_Grade!$I51="I (Incomplete)"), 0, IF(BG66&gt;=55%, 1, 0))</f>
        <v>1</v>
      </c>
      <c r="BT66" s="165">
        <f>IF(OR(CSE4098B_Spring2026_Grade!$I51="W (Withdrawn)", CSE4098B_Spring2026_Grade!$I51="I (Incomplete)"), 0, IF(BH66&gt;=55%, 1, 0))</f>
        <v>1</v>
      </c>
      <c r="BU66" s="165">
        <f>IF(OR(CSE4098B_Spring2026_Grade!$I51="W (Withdrawn)", CSE4098B_Spring2026_Grade!$I51="I (Incomplete)"), 0, IF(BI66&gt;=55%, 1, 0))</f>
        <v>1</v>
      </c>
      <c r="BV66" s="165">
        <f>IF(OR(CSE4098B_Spring2026_Grade!$I51="W (Withdrawn)", CSE4098B_Spring2026_Grade!$I51="I (Incomplete)"), 0, IF(BJ66&gt;=55%, 1, 0))</f>
        <v>1</v>
      </c>
      <c r="BW66" s="165">
        <f>IF(OR(CSE4098B_Spring2026_Grade!$I51="W (Withdrawn)", CSE4098B_Spring2026_Grade!$I51="I (Incomplete)"), 0, IF(BK66&gt;=55%, 1, 0))</f>
        <v>1</v>
      </c>
      <c r="BX66" s="165">
        <f>IF(OR(CSE4098B_Spring2026_Grade!$I51="W (Withdrawn)", CSE4098B_Spring2026_Grade!$I51="I (Incomplete)"), 0, IF(BL66&gt;=55%, 1, 0))</f>
        <v>1</v>
      </c>
      <c r="BY66" s="165">
        <f>IF(OR(CSE4098B_Spring2026_Grade!$I51="W (Withdrawn)", CSE4098B_Spring2026_Grade!$I51="I (Incomplete)"), 0, IF(BM66&gt;=55%, 1, 0))</f>
        <v>1</v>
      </c>
    </row>
    <row r="67">
      <c r="A67" s="153">
        <v>48.0</v>
      </c>
      <c r="B67" s="154">
        <f>CSE4098B_Spring2026_Grade!B52</f>
        <v>231014167</v>
      </c>
      <c r="C67" s="96" t="str">
        <f>CSE4098B_Spring2026_Grade!C52</f>
        <v>Fariha Ahmed</v>
      </c>
      <c r="D67" s="155">
        <f>'CO Report Evaluation'!AI50</f>
        <v>4</v>
      </c>
      <c r="E67" s="155">
        <f>'CO Report Evaluation'!AJ50</f>
        <v>1.666666667</v>
      </c>
      <c r="F67" s="155">
        <f>'CO Report Evaluation'!AK50</f>
        <v>1.666666667</v>
      </c>
      <c r="G67" s="156">
        <f>'CO Report Evaluation'!AL50</f>
        <v>2.666666667</v>
      </c>
      <c r="H67" s="156">
        <f>'CO Report Evaluation'!AM50</f>
        <v>2.333333333</v>
      </c>
      <c r="I67" s="157">
        <f>'CO Report Evaluation'!AN50</f>
        <v>4.333333333</v>
      </c>
      <c r="J67" s="157">
        <f>'CO Report Evaluation'!AO50</f>
        <v>2.333333333</v>
      </c>
      <c r="K67" s="157">
        <f>'CO Report Evaluation'!AP50</f>
        <v>2.333333333</v>
      </c>
      <c r="L67" s="158">
        <f>'CO Report Evaluation'!AQ50</f>
        <v>2.333333333</v>
      </c>
      <c r="M67" s="159"/>
      <c r="N67" s="160"/>
      <c r="O67" s="160"/>
      <c r="P67" s="160"/>
      <c r="Q67" s="160"/>
      <c r="R67" s="156">
        <f>CSE4098B_Spring2026_Grade!F52</f>
        <v>4</v>
      </c>
      <c r="S67" s="161">
        <f>((CSE4098B_Spring2026_Grade!E52)*10)/45</f>
        <v>6.271111111</v>
      </c>
      <c r="T67" s="162">
        <f t="shared" ref="T67:AB67" si="153">D67</f>
        <v>4</v>
      </c>
      <c r="U67" s="163">
        <f t="shared" si="153"/>
        <v>1.666666667</v>
      </c>
      <c r="V67" s="163">
        <f t="shared" si="153"/>
        <v>1.666666667</v>
      </c>
      <c r="W67" s="163">
        <f t="shared" si="153"/>
        <v>2.666666667</v>
      </c>
      <c r="X67" s="163">
        <f t="shared" si="153"/>
        <v>2.333333333</v>
      </c>
      <c r="Y67" s="163">
        <f t="shared" si="153"/>
        <v>4.333333333</v>
      </c>
      <c r="Z67" s="163">
        <f t="shared" si="153"/>
        <v>2.333333333</v>
      </c>
      <c r="AA67" s="163">
        <f t="shared" si="153"/>
        <v>2.333333333</v>
      </c>
      <c r="AB67" s="163">
        <f t="shared" si="153"/>
        <v>2.333333333</v>
      </c>
      <c r="AC67" s="163">
        <f t="shared" ref="AC67:AD67" si="154">R67</f>
        <v>4</v>
      </c>
      <c r="AD67" s="163">
        <f t="shared" si="154"/>
        <v>6.271111111</v>
      </c>
      <c r="AE67" s="164">
        <f t="shared" ref="AE67:AO67" si="155">IF(T67 = 0, 0, T67/T$19)</f>
        <v>0.6666666667</v>
      </c>
      <c r="AF67" s="164">
        <f t="shared" si="155"/>
        <v>0.5555555556</v>
      </c>
      <c r="AG67" s="164">
        <f t="shared" si="155"/>
        <v>0.5555555556</v>
      </c>
      <c r="AH67" s="164">
        <f t="shared" si="155"/>
        <v>0.8888888889</v>
      </c>
      <c r="AI67" s="164">
        <f t="shared" si="155"/>
        <v>0.7777777778</v>
      </c>
      <c r="AJ67" s="164">
        <f t="shared" si="155"/>
        <v>0.7222222222</v>
      </c>
      <c r="AK67" s="164">
        <f t="shared" si="155"/>
        <v>0.7777777778</v>
      </c>
      <c r="AL67" s="164">
        <f t="shared" si="155"/>
        <v>0.7777777778</v>
      </c>
      <c r="AM67" s="164">
        <f t="shared" si="155"/>
        <v>0.7777777778</v>
      </c>
      <c r="AN67" s="164">
        <f t="shared" si="155"/>
        <v>0.8</v>
      </c>
      <c r="AO67" s="164">
        <f t="shared" si="155"/>
        <v>0.6271111111</v>
      </c>
      <c r="AP67" s="165">
        <f>IF(OR(CSE4098B_Spring2026_Grade!$I52="W (Withdrawn)", CSE4098B_Spring2026_Grade!$I52="I (Incomplete)"), 0, IF(AE67&gt;=55%, 1, 0))</f>
        <v>1</v>
      </c>
      <c r="AQ67" s="165">
        <f>IF(OR(CSE4098B_Spring2026_Grade!$I52="W (Withdrawn)", CSE4098B_Spring2026_Grade!$I52="I (Incomplete)"), 0, IF(AF67&gt;=55%, 1, 0))</f>
        <v>1</v>
      </c>
      <c r="AR67" s="165">
        <f>IF(OR(CSE4098B_Spring2026_Grade!$I52="W (Withdrawn)", CSE4098B_Spring2026_Grade!$I52="I (Incomplete)"), 0, IF(AG67&gt;=55%, 1, 0))</f>
        <v>1</v>
      </c>
      <c r="AS67" s="165">
        <f>IF(OR(CSE4098B_Spring2026_Grade!$I52="W (Withdrawn)", CSE4098B_Spring2026_Grade!$I52="I (Incomplete)"), 0, IF(AH67&gt;=55%, 1, 0))</f>
        <v>1</v>
      </c>
      <c r="AT67" s="165">
        <f>IF(OR(CSE4098B_Spring2026_Grade!$I52="W (Withdrawn)", CSE4098B_Spring2026_Grade!$I52="I (Incomplete)"), 0, IF(AI67&gt;=55%, 1, 0))</f>
        <v>1</v>
      </c>
      <c r="AU67" s="165">
        <f>IF(OR(CSE4098B_Spring2026_Grade!$I52="W (Withdrawn)", CSE4098B_Spring2026_Grade!$I52="I (Incomplete)"), 0, IF(AJ67&gt;=55%, 1, 0))</f>
        <v>1</v>
      </c>
      <c r="AV67" s="165">
        <f>IF(OR(CSE4098B_Spring2026_Grade!$I52="W (Withdrawn)", CSE4098B_Spring2026_Grade!$I52="I (Incomplete)"), 0, IF(AK67&gt;=55%, 1, 0))</f>
        <v>1</v>
      </c>
      <c r="AW67" s="165">
        <f>IF(OR(CSE4098B_Spring2026_Grade!$I52="W (Withdrawn)", CSE4098B_Spring2026_Grade!$I52="I (Incomplete)"), 0, IF(AL67&gt;=55%, 1, 0))</f>
        <v>1</v>
      </c>
      <c r="AX67" s="165">
        <f>IF(OR(CSE4098B_Spring2026_Grade!$I52="W (Withdrawn)", CSE4098B_Spring2026_Grade!$I52="I (Incomplete)"), 0, IF(AM67&gt;=55%, 1, 0))</f>
        <v>1</v>
      </c>
      <c r="AY67" s="165">
        <f>IF(OR(CSE4098B_Spring2026_Grade!$I52="W (Withdrawn)", CSE4098B_Spring2026_Grade!$I52="I (Incomplete)"), 0, IF(AN67&gt;=55%, 1, 0))</f>
        <v>1</v>
      </c>
      <c r="AZ67" s="165">
        <f>IF(OR(CSE4098B_Spring2026_Grade!$I52="W (Withdrawn)", CSE4098B_Spring2026_Grade!$I52="I (Incomplete)"), 0, IF(AO67&gt;=55%, 1, 0))</f>
        <v>1</v>
      </c>
      <c r="BA67" s="76"/>
      <c r="BB67" s="166">
        <f t="shared" si="13"/>
        <v>0</v>
      </c>
      <c r="BC67" s="166">
        <f t="shared" si="14"/>
        <v>0.5555555556</v>
      </c>
      <c r="BD67" s="166">
        <f t="array" ref="BD67">IF($BC$14=0,0,MMULT($AE67:$AO67, BC$3:BC$13)/$BC$14)</f>
        <v>0.7777777778</v>
      </c>
      <c r="BE67" s="166">
        <f t="array" ref="BE67">IF($BD$14=0,0,MMULT($AE67:$AO67, BD$3:BD$13)/$BD$14)</f>
        <v>0.7222222222</v>
      </c>
      <c r="BF67" s="166">
        <f t="shared" si="15"/>
        <v>0.8888888889</v>
      </c>
      <c r="BG67" s="166">
        <f t="array" ref="BG67">IF($BF$14=0,0,MMULT($AE67:$AO67, BF$3:BF$13)/$BF$14)</f>
        <v>0.7777777778</v>
      </c>
      <c r="BH67" s="166">
        <f t="array" ref="BH67">IF($BG$14=0,0,MMULT($AE67:$AO67, BG$3:BG$13)/$BG$14)</f>
        <v>0.7777777778</v>
      </c>
      <c r="BI67" s="166">
        <f t="array" ref="BI67">IF($BH$14=0,0,MMULT($AE67:$AO67, BH$3:BH$13)/$BH$14)</f>
        <v>0.7777777778</v>
      </c>
      <c r="BJ67" s="166">
        <f t="array" ref="BJ67">IF($BI$14=0,0,MMULT($AE67:$AO67, BI$3:BI$13)/$BI$14)</f>
        <v>0.8</v>
      </c>
      <c r="BK67" s="166">
        <f t="array" ref="BK67">IF($BJ$14=0,0,MMULT($AE67:$AO67, BJ$3:BJ$13)/$BJ$14)</f>
        <v>0.6271111111</v>
      </c>
      <c r="BL67" s="166">
        <f t="shared" si="16"/>
        <v>0.5555555556</v>
      </c>
      <c r="BM67" s="166">
        <f t="shared" si="17"/>
        <v>0.6666666667</v>
      </c>
      <c r="BN67" s="165">
        <f>IF(OR(CSE4098B_Spring2026_Grade!$I52="W (Withdrawn)", CSE4098B_Spring2026_Grade!$I52="I (Incomplete)"), 0, IF(BB67&gt;=55%, 1, 0))</f>
        <v>0</v>
      </c>
      <c r="BO67" s="165">
        <f>IF(OR(CSE4098B_Spring2026_Grade!$I52="W (Withdrawn)", CSE4098B_Spring2026_Grade!$I52="I (Incomplete)"), 0, IF(BC67&gt;=55%, 1, 0))</f>
        <v>1</v>
      </c>
      <c r="BP67" s="165">
        <f>IF(OR(CSE4098B_Spring2026_Grade!$I52="W (Withdrawn)", CSE4098B_Spring2026_Grade!$I52="I (Incomplete)"), 0, IF(BD67&gt;=55%, 1, 0))</f>
        <v>1</v>
      </c>
      <c r="BQ67" s="165">
        <f>IF(OR(CSE4098B_Spring2026_Grade!$I52="W (Withdrawn)", CSE4098B_Spring2026_Grade!$I52="I (Incomplete)"), 0, IF(BE67&gt;=55%, 1, 0))</f>
        <v>1</v>
      </c>
      <c r="BR67" s="165">
        <f>IF(OR(CSE4098B_Spring2026_Grade!$I52="W (Withdrawn)", CSE4098B_Spring2026_Grade!$I52="I (Incomplete)"), 0, IF(BF67&gt;=55%, 1, 0))</f>
        <v>1</v>
      </c>
      <c r="BS67" s="165">
        <f>IF(OR(CSE4098B_Spring2026_Grade!$I52="W (Withdrawn)", CSE4098B_Spring2026_Grade!$I52="I (Incomplete)"), 0, IF(BG67&gt;=55%, 1, 0))</f>
        <v>1</v>
      </c>
      <c r="BT67" s="165">
        <f>IF(OR(CSE4098B_Spring2026_Grade!$I52="W (Withdrawn)", CSE4098B_Spring2026_Grade!$I52="I (Incomplete)"), 0, IF(BH67&gt;=55%, 1, 0))</f>
        <v>1</v>
      </c>
      <c r="BU67" s="165">
        <f>IF(OR(CSE4098B_Spring2026_Grade!$I52="W (Withdrawn)", CSE4098B_Spring2026_Grade!$I52="I (Incomplete)"), 0, IF(BI67&gt;=55%, 1, 0))</f>
        <v>1</v>
      </c>
      <c r="BV67" s="165">
        <f>IF(OR(CSE4098B_Spring2026_Grade!$I52="W (Withdrawn)", CSE4098B_Spring2026_Grade!$I52="I (Incomplete)"), 0, IF(BJ67&gt;=55%, 1, 0))</f>
        <v>1</v>
      </c>
      <c r="BW67" s="165">
        <f>IF(OR(CSE4098B_Spring2026_Grade!$I52="W (Withdrawn)", CSE4098B_Spring2026_Grade!$I52="I (Incomplete)"), 0, IF(BK67&gt;=55%, 1, 0))</f>
        <v>1</v>
      </c>
      <c r="BX67" s="165">
        <f>IF(OR(CSE4098B_Spring2026_Grade!$I52="W (Withdrawn)", CSE4098B_Spring2026_Grade!$I52="I (Incomplete)"), 0, IF(BL67&gt;=55%, 1, 0))</f>
        <v>1</v>
      </c>
      <c r="BY67" s="165">
        <f>IF(OR(CSE4098B_Spring2026_Grade!$I52="W (Withdrawn)", CSE4098B_Spring2026_Grade!$I52="I (Incomplete)"), 0, IF(BM67&gt;=55%, 1, 0))</f>
        <v>1</v>
      </c>
    </row>
    <row r="68">
      <c r="A68" s="153">
        <v>49.0</v>
      </c>
      <c r="B68" s="154">
        <f>CSE4098B_Spring2026_Grade!B53</f>
        <v>231014073</v>
      </c>
      <c r="C68" s="96" t="str">
        <f>CSE4098B_Spring2026_Grade!C53</f>
        <v>Amifat Juhad Pranto</v>
      </c>
      <c r="D68" s="155">
        <f>'CO Report Evaluation'!AI51</f>
        <v>4</v>
      </c>
      <c r="E68" s="155">
        <f>'CO Report Evaluation'!AJ51</f>
        <v>1.666666667</v>
      </c>
      <c r="F68" s="155">
        <f>'CO Report Evaluation'!AK51</f>
        <v>1.666666667</v>
      </c>
      <c r="G68" s="156">
        <f>'CO Report Evaluation'!AL51</f>
        <v>2.666666667</v>
      </c>
      <c r="H68" s="156">
        <f>'CO Report Evaluation'!AM51</f>
        <v>2.333333333</v>
      </c>
      <c r="I68" s="157">
        <f>'CO Report Evaluation'!AN51</f>
        <v>4.333333333</v>
      </c>
      <c r="J68" s="157">
        <f>'CO Report Evaluation'!AO51</f>
        <v>2.333333333</v>
      </c>
      <c r="K68" s="157">
        <f>'CO Report Evaluation'!AP51</f>
        <v>2.333333333</v>
      </c>
      <c r="L68" s="158">
        <f>'CO Report Evaluation'!AQ51</f>
        <v>2.333333333</v>
      </c>
      <c r="M68" s="159"/>
      <c r="N68" s="160"/>
      <c r="O68" s="160"/>
      <c r="P68" s="160"/>
      <c r="Q68" s="160"/>
      <c r="R68" s="156">
        <f>CSE4098B_Spring2026_Grade!F53</f>
        <v>4</v>
      </c>
      <c r="S68" s="161">
        <f>((CSE4098B_Spring2026_Grade!E53)*10)/45</f>
        <v>7.308888889</v>
      </c>
      <c r="T68" s="162">
        <f t="shared" ref="T68:AB68" si="156">D68</f>
        <v>4</v>
      </c>
      <c r="U68" s="163">
        <f t="shared" si="156"/>
        <v>1.666666667</v>
      </c>
      <c r="V68" s="163">
        <f t="shared" si="156"/>
        <v>1.666666667</v>
      </c>
      <c r="W68" s="163">
        <f t="shared" si="156"/>
        <v>2.666666667</v>
      </c>
      <c r="X68" s="163">
        <f t="shared" si="156"/>
        <v>2.333333333</v>
      </c>
      <c r="Y68" s="163">
        <f t="shared" si="156"/>
        <v>4.333333333</v>
      </c>
      <c r="Z68" s="163">
        <f t="shared" si="156"/>
        <v>2.333333333</v>
      </c>
      <c r="AA68" s="163">
        <f t="shared" si="156"/>
        <v>2.333333333</v>
      </c>
      <c r="AB68" s="163">
        <f t="shared" si="156"/>
        <v>2.333333333</v>
      </c>
      <c r="AC68" s="163">
        <f t="shared" ref="AC68:AD68" si="157">R68</f>
        <v>4</v>
      </c>
      <c r="AD68" s="163">
        <f t="shared" si="157"/>
        <v>7.308888889</v>
      </c>
      <c r="AE68" s="164">
        <f t="shared" ref="AE68:AO68" si="158">IF(T68 = 0, 0, T68/T$19)</f>
        <v>0.6666666667</v>
      </c>
      <c r="AF68" s="164">
        <f t="shared" si="158"/>
        <v>0.5555555556</v>
      </c>
      <c r="AG68" s="164">
        <f t="shared" si="158"/>
        <v>0.5555555556</v>
      </c>
      <c r="AH68" s="164">
        <f t="shared" si="158"/>
        <v>0.8888888889</v>
      </c>
      <c r="AI68" s="164">
        <f t="shared" si="158"/>
        <v>0.7777777778</v>
      </c>
      <c r="AJ68" s="164">
        <f t="shared" si="158"/>
        <v>0.7222222222</v>
      </c>
      <c r="AK68" s="164">
        <f t="shared" si="158"/>
        <v>0.7777777778</v>
      </c>
      <c r="AL68" s="164">
        <f t="shared" si="158"/>
        <v>0.7777777778</v>
      </c>
      <c r="AM68" s="164">
        <f t="shared" si="158"/>
        <v>0.7777777778</v>
      </c>
      <c r="AN68" s="164">
        <f t="shared" si="158"/>
        <v>0.8</v>
      </c>
      <c r="AO68" s="164">
        <f t="shared" si="158"/>
        <v>0.7308888889</v>
      </c>
      <c r="AP68" s="165">
        <f>IF(OR(CSE4098B_Spring2026_Grade!$I53="W (Withdrawn)", CSE4098B_Spring2026_Grade!$I53="I (Incomplete)"), 0, IF(AE68&gt;=55%, 1, 0))</f>
        <v>1</v>
      </c>
      <c r="AQ68" s="165">
        <f>IF(OR(CSE4098B_Spring2026_Grade!$I53="W (Withdrawn)", CSE4098B_Spring2026_Grade!$I53="I (Incomplete)"), 0, IF(AF68&gt;=55%, 1, 0))</f>
        <v>1</v>
      </c>
      <c r="AR68" s="165">
        <f>IF(OR(CSE4098B_Spring2026_Grade!$I53="W (Withdrawn)", CSE4098B_Spring2026_Grade!$I53="I (Incomplete)"), 0, IF(AG68&gt;=55%, 1, 0))</f>
        <v>1</v>
      </c>
      <c r="AS68" s="165">
        <f>IF(OR(CSE4098B_Spring2026_Grade!$I53="W (Withdrawn)", CSE4098B_Spring2026_Grade!$I53="I (Incomplete)"), 0, IF(AH68&gt;=55%, 1, 0))</f>
        <v>1</v>
      </c>
      <c r="AT68" s="165">
        <f>IF(OR(CSE4098B_Spring2026_Grade!$I53="W (Withdrawn)", CSE4098B_Spring2026_Grade!$I53="I (Incomplete)"), 0, IF(AI68&gt;=55%, 1, 0))</f>
        <v>1</v>
      </c>
      <c r="AU68" s="165">
        <f>IF(OR(CSE4098B_Spring2026_Grade!$I53="W (Withdrawn)", CSE4098B_Spring2026_Grade!$I53="I (Incomplete)"), 0, IF(AJ68&gt;=55%, 1, 0))</f>
        <v>1</v>
      </c>
      <c r="AV68" s="165">
        <f>IF(OR(CSE4098B_Spring2026_Grade!$I53="W (Withdrawn)", CSE4098B_Spring2026_Grade!$I53="I (Incomplete)"), 0, IF(AK68&gt;=55%, 1, 0))</f>
        <v>1</v>
      </c>
      <c r="AW68" s="165">
        <f>IF(OR(CSE4098B_Spring2026_Grade!$I53="W (Withdrawn)", CSE4098B_Spring2026_Grade!$I53="I (Incomplete)"), 0, IF(AL68&gt;=55%, 1, 0))</f>
        <v>1</v>
      </c>
      <c r="AX68" s="165">
        <f>IF(OR(CSE4098B_Spring2026_Grade!$I53="W (Withdrawn)", CSE4098B_Spring2026_Grade!$I53="I (Incomplete)"), 0, IF(AM68&gt;=55%, 1, 0))</f>
        <v>1</v>
      </c>
      <c r="AY68" s="165">
        <f>IF(OR(CSE4098B_Spring2026_Grade!$I53="W (Withdrawn)", CSE4098B_Spring2026_Grade!$I53="I (Incomplete)"), 0, IF(AN68&gt;=55%, 1, 0))</f>
        <v>1</v>
      </c>
      <c r="AZ68" s="165">
        <f>IF(OR(CSE4098B_Spring2026_Grade!$I53="W (Withdrawn)", CSE4098B_Spring2026_Grade!$I53="I (Incomplete)"), 0, IF(AO68&gt;=55%, 1, 0))</f>
        <v>1</v>
      </c>
      <c r="BA68" s="76"/>
      <c r="BB68" s="166">
        <f t="shared" si="13"/>
        <v>0</v>
      </c>
      <c r="BC68" s="166">
        <f t="shared" si="14"/>
        <v>0.5555555556</v>
      </c>
      <c r="BD68" s="166">
        <f t="array" ref="BD68">IF($BC$14=0,0,MMULT($AE68:$AO68, BC$3:BC$13)/$BC$14)</f>
        <v>0.7777777778</v>
      </c>
      <c r="BE68" s="166">
        <f t="array" ref="BE68">IF($BD$14=0,0,MMULT($AE68:$AO68, BD$3:BD$13)/$BD$14)</f>
        <v>0.7222222222</v>
      </c>
      <c r="BF68" s="166">
        <f t="shared" si="15"/>
        <v>0.8888888889</v>
      </c>
      <c r="BG68" s="166">
        <f t="array" ref="BG68">IF($BF$14=0,0,MMULT($AE68:$AO68, BF$3:BF$13)/$BF$14)</f>
        <v>0.7777777778</v>
      </c>
      <c r="BH68" s="166">
        <f t="array" ref="BH68">IF($BG$14=0,0,MMULT($AE68:$AO68, BG$3:BG$13)/$BG$14)</f>
        <v>0.7777777778</v>
      </c>
      <c r="BI68" s="166">
        <f t="array" ref="BI68">IF($BH$14=0,0,MMULT($AE68:$AO68, BH$3:BH$13)/$BH$14)</f>
        <v>0.7777777778</v>
      </c>
      <c r="BJ68" s="166">
        <f t="array" ref="BJ68">IF($BI$14=0,0,MMULT($AE68:$AO68, BI$3:BI$13)/$BI$14)</f>
        <v>0.8</v>
      </c>
      <c r="BK68" s="166">
        <f t="array" ref="BK68">IF($BJ$14=0,0,MMULT($AE68:$AO68, BJ$3:BJ$13)/$BJ$14)</f>
        <v>0.7308888889</v>
      </c>
      <c r="BL68" s="166">
        <f t="shared" si="16"/>
        <v>0.5555555556</v>
      </c>
      <c r="BM68" s="166">
        <f t="shared" si="17"/>
        <v>0.6666666667</v>
      </c>
      <c r="BN68" s="165">
        <f>IF(OR(CSE4098B_Spring2026_Grade!$I53="W (Withdrawn)", CSE4098B_Spring2026_Grade!$I53="I (Incomplete)"), 0, IF(BB68&gt;=55%, 1, 0))</f>
        <v>0</v>
      </c>
      <c r="BO68" s="165">
        <f>IF(OR(CSE4098B_Spring2026_Grade!$I53="W (Withdrawn)", CSE4098B_Spring2026_Grade!$I53="I (Incomplete)"), 0, IF(BC68&gt;=55%, 1, 0))</f>
        <v>1</v>
      </c>
      <c r="BP68" s="165">
        <f>IF(OR(CSE4098B_Spring2026_Grade!$I53="W (Withdrawn)", CSE4098B_Spring2026_Grade!$I53="I (Incomplete)"), 0, IF(BD68&gt;=55%, 1, 0))</f>
        <v>1</v>
      </c>
      <c r="BQ68" s="165">
        <f>IF(OR(CSE4098B_Spring2026_Grade!$I53="W (Withdrawn)", CSE4098B_Spring2026_Grade!$I53="I (Incomplete)"), 0, IF(BE68&gt;=55%, 1, 0))</f>
        <v>1</v>
      </c>
      <c r="BR68" s="165">
        <f>IF(OR(CSE4098B_Spring2026_Grade!$I53="W (Withdrawn)", CSE4098B_Spring2026_Grade!$I53="I (Incomplete)"), 0, IF(BF68&gt;=55%, 1, 0))</f>
        <v>1</v>
      </c>
      <c r="BS68" s="165">
        <f>IF(OR(CSE4098B_Spring2026_Grade!$I53="W (Withdrawn)", CSE4098B_Spring2026_Grade!$I53="I (Incomplete)"), 0, IF(BG68&gt;=55%, 1, 0))</f>
        <v>1</v>
      </c>
      <c r="BT68" s="165">
        <f>IF(OR(CSE4098B_Spring2026_Grade!$I53="W (Withdrawn)", CSE4098B_Spring2026_Grade!$I53="I (Incomplete)"), 0, IF(BH68&gt;=55%, 1, 0))</f>
        <v>1</v>
      </c>
      <c r="BU68" s="165">
        <f>IF(OR(CSE4098B_Spring2026_Grade!$I53="W (Withdrawn)", CSE4098B_Spring2026_Grade!$I53="I (Incomplete)"), 0, IF(BI68&gt;=55%, 1, 0))</f>
        <v>1</v>
      </c>
      <c r="BV68" s="165">
        <f>IF(OR(CSE4098B_Spring2026_Grade!$I53="W (Withdrawn)", CSE4098B_Spring2026_Grade!$I53="I (Incomplete)"), 0, IF(BJ68&gt;=55%, 1, 0))</f>
        <v>1</v>
      </c>
      <c r="BW68" s="165">
        <f>IF(OR(CSE4098B_Spring2026_Grade!$I53="W (Withdrawn)", CSE4098B_Spring2026_Grade!$I53="I (Incomplete)"), 0, IF(BK68&gt;=55%, 1, 0))</f>
        <v>1</v>
      </c>
      <c r="BX68" s="165">
        <f>IF(OR(CSE4098B_Spring2026_Grade!$I53="W (Withdrawn)", CSE4098B_Spring2026_Grade!$I53="I (Incomplete)"), 0, IF(BL68&gt;=55%, 1, 0))</f>
        <v>1</v>
      </c>
      <c r="BY68" s="165">
        <f>IF(OR(CSE4098B_Spring2026_Grade!$I53="W (Withdrawn)", CSE4098B_Spring2026_Grade!$I53="I (Incomplete)"), 0, IF(BM68&gt;=55%, 1, 0))</f>
        <v>1</v>
      </c>
    </row>
    <row r="69">
      <c r="A69" s="153">
        <v>50.0</v>
      </c>
      <c r="B69" s="154">
        <f>CSE4098B_Spring2026_Grade!B54</f>
        <v>232014058</v>
      </c>
      <c r="C69" s="96" t="str">
        <f>CSE4098B_Spring2026_Grade!C54</f>
        <v>Tasnia Kabir Mahia</v>
      </c>
      <c r="D69" s="155">
        <f>'CO Report Evaluation'!AI52</f>
        <v>4</v>
      </c>
      <c r="E69" s="155">
        <f>'CO Report Evaluation'!AJ52</f>
        <v>1.666666667</v>
      </c>
      <c r="F69" s="155">
        <f>'CO Report Evaluation'!AK52</f>
        <v>1.666666667</v>
      </c>
      <c r="G69" s="156">
        <f>'CO Report Evaluation'!AL52</f>
        <v>2.666666667</v>
      </c>
      <c r="H69" s="156">
        <f>'CO Report Evaluation'!AM52</f>
        <v>2.333333333</v>
      </c>
      <c r="I69" s="157">
        <f>'CO Report Evaluation'!AN52</f>
        <v>4.333333333</v>
      </c>
      <c r="J69" s="157">
        <f>'CO Report Evaluation'!AO52</f>
        <v>2.333333333</v>
      </c>
      <c r="K69" s="157">
        <f>'CO Report Evaluation'!AP52</f>
        <v>2.333333333</v>
      </c>
      <c r="L69" s="158">
        <f>'CO Report Evaluation'!AQ52</f>
        <v>2.333333333</v>
      </c>
      <c r="M69" s="159"/>
      <c r="N69" s="160"/>
      <c r="O69" s="160"/>
      <c r="P69" s="160"/>
      <c r="Q69" s="160"/>
      <c r="R69" s="156">
        <f>CSE4098B_Spring2026_Grade!F54</f>
        <v>3</v>
      </c>
      <c r="S69" s="161">
        <f>((CSE4098B_Spring2026_Grade!E54)*10)/45</f>
        <v>6.864444444</v>
      </c>
      <c r="T69" s="162">
        <f t="shared" ref="T69:AB69" si="159">D69</f>
        <v>4</v>
      </c>
      <c r="U69" s="163">
        <f t="shared" si="159"/>
        <v>1.666666667</v>
      </c>
      <c r="V69" s="163">
        <f t="shared" si="159"/>
        <v>1.666666667</v>
      </c>
      <c r="W69" s="163">
        <f t="shared" si="159"/>
        <v>2.666666667</v>
      </c>
      <c r="X69" s="163">
        <f t="shared" si="159"/>
        <v>2.333333333</v>
      </c>
      <c r="Y69" s="163">
        <f t="shared" si="159"/>
        <v>4.333333333</v>
      </c>
      <c r="Z69" s="163">
        <f t="shared" si="159"/>
        <v>2.333333333</v>
      </c>
      <c r="AA69" s="163">
        <f t="shared" si="159"/>
        <v>2.333333333</v>
      </c>
      <c r="AB69" s="163">
        <f t="shared" si="159"/>
        <v>2.333333333</v>
      </c>
      <c r="AC69" s="163">
        <f t="shared" ref="AC69:AD69" si="160">R69</f>
        <v>3</v>
      </c>
      <c r="AD69" s="163">
        <f t="shared" si="160"/>
        <v>6.864444444</v>
      </c>
      <c r="AE69" s="164">
        <f t="shared" ref="AE69:AO69" si="161">IF(T69 = 0, 0, T69/T$19)</f>
        <v>0.6666666667</v>
      </c>
      <c r="AF69" s="164">
        <f t="shared" si="161"/>
        <v>0.5555555556</v>
      </c>
      <c r="AG69" s="164">
        <f t="shared" si="161"/>
        <v>0.5555555556</v>
      </c>
      <c r="AH69" s="164">
        <f t="shared" si="161"/>
        <v>0.8888888889</v>
      </c>
      <c r="AI69" s="164">
        <f t="shared" si="161"/>
        <v>0.7777777778</v>
      </c>
      <c r="AJ69" s="164">
        <f t="shared" si="161"/>
        <v>0.7222222222</v>
      </c>
      <c r="AK69" s="164">
        <f t="shared" si="161"/>
        <v>0.7777777778</v>
      </c>
      <c r="AL69" s="164">
        <f t="shared" si="161"/>
        <v>0.7777777778</v>
      </c>
      <c r="AM69" s="164">
        <f t="shared" si="161"/>
        <v>0.7777777778</v>
      </c>
      <c r="AN69" s="164">
        <f t="shared" si="161"/>
        <v>0.6</v>
      </c>
      <c r="AO69" s="164">
        <f t="shared" si="161"/>
        <v>0.6864444444</v>
      </c>
      <c r="AP69" s="165">
        <f>IF(OR(CSE4098B_Spring2026_Grade!$I54="W (Withdrawn)", CSE4098B_Spring2026_Grade!$I54="I (Incomplete)"), 0, IF(AE69&gt;=55%, 1, 0))</f>
        <v>1</v>
      </c>
      <c r="AQ69" s="165">
        <f>IF(OR(CSE4098B_Spring2026_Grade!$I54="W (Withdrawn)", CSE4098B_Spring2026_Grade!$I54="I (Incomplete)"), 0, IF(AF69&gt;=55%, 1, 0))</f>
        <v>1</v>
      </c>
      <c r="AR69" s="165">
        <f>IF(OR(CSE4098B_Spring2026_Grade!$I54="W (Withdrawn)", CSE4098B_Spring2026_Grade!$I54="I (Incomplete)"), 0, IF(AG69&gt;=55%, 1, 0))</f>
        <v>1</v>
      </c>
      <c r="AS69" s="165">
        <f>IF(OR(CSE4098B_Spring2026_Grade!$I54="W (Withdrawn)", CSE4098B_Spring2026_Grade!$I54="I (Incomplete)"), 0, IF(AH69&gt;=55%, 1, 0))</f>
        <v>1</v>
      </c>
      <c r="AT69" s="165">
        <f>IF(OR(CSE4098B_Spring2026_Grade!$I54="W (Withdrawn)", CSE4098B_Spring2026_Grade!$I54="I (Incomplete)"), 0, IF(AI69&gt;=55%, 1, 0))</f>
        <v>1</v>
      </c>
      <c r="AU69" s="165">
        <f>IF(OR(CSE4098B_Spring2026_Grade!$I54="W (Withdrawn)", CSE4098B_Spring2026_Grade!$I54="I (Incomplete)"), 0, IF(AJ69&gt;=55%, 1, 0))</f>
        <v>1</v>
      </c>
      <c r="AV69" s="165">
        <f>IF(OR(CSE4098B_Spring2026_Grade!$I54="W (Withdrawn)", CSE4098B_Spring2026_Grade!$I54="I (Incomplete)"), 0, IF(AK69&gt;=55%, 1, 0))</f>
        <v>1</v>
      </c>
      <c r="AW69" s="165">
        <f>IF(OR(CSE4098B_Spring2026_Grade!$I54="W (Withdrawn)", CSE4098B_Spring2026_Grade!$I54="I (Incomplete)"), 0, IF(AL69&gt;=55%, 1, 0))</f>
        <v>1</v>
      </c>
      <c r="AX69" s="165">
        <f>IF(OR(CSE4098B_Spring2026_Grade!$I54="W (Withdrawn)", CSE4098B_Spring2026_Grade!$I54="I (Incomplete)"), 0, IF(AM69&gt;=55%, 1, 0))</f>
        <v>1</v>
      </c>
      <c r="AY69" s="165">
        <f>IF(OR(CSE4098B_Spring2026_Grade!$I54="W (Withdrawn)", CSE4098B_Spring2026_Grade!$I54="I (Incomplete)"), 0, IF(AN69&gt;=55%, 1, 0))</f>
        <v>1</v>
      </c>
      <c r="AZ69" s="165">
        <f>IF(OR(CSE4098B_Spring2026_Grade!$I54="W (Withdrawn)", CSE4098B_Spring2026_Grade!$I54="I (Incomplete)"), 0, IF(AO69&gt;=55%, 1, 0))</f>
        <v>1</v>
      </c>
      <c r="BA69" s="76"/>
      <c r="BB69" s="166">
        <f t="shared" si="13"/>
        <v>0</v>
      </c>
      <c r="BC69" s="166">
        <f t="shared" si="14"/>
        <v>0.5555555556</v>
      </c>
      <c r="BD69" s="166">
        <f t="array" ref="BD69">IF($BC$14=0,0,MMULT($AE69:$AO69, BC$3:BC$13)/$BC$14)</f>
        <v>0.7777777778</v>
      </c>
      <c r="BE69" s="166">
        <f t="array" ref="BE69">IF($BD$14=0,0,MMULT($AE69:$AO69, BD$3:BD$13)/$BD$14)</f>
        <v>0.7222222222</v>
      </c>
      <c r="BF69" s="166">
        <f t="shared" si="15"/>
        <v>0.8888888889</v>
      </c>
      <c r="BG69" s="166">
        <f t="array" ref="BG69">IF($BF$14=0,0,MMULT($AE69:$AO69, BF$3:BF$13)/$BF$14)</f>
        <v>0.7777777778</v>
      </c>
      <c r="BH69" s="166">
        <f t="array" ref="BH69">IF($BG$14=0,0,MMULT($AE69:$AO69, BG$3:BG$13)/$BG$14)</f>
        <v>0.7777777778</v>
      </c>
      <c r="BI69" s="166">
        <f t="array" ref="BI69">IF($BH$14=0,0,MMULT($AE69:$AO69, BH$3:BH$13)/$BH$14)</f>
        <v>0.7777777778</v>
      </c>
      <c r="BJ69" s="166">
        <f t="array" ref="BJ69">IF($BI$14=0,0,MMULT($AE69:$AO69, BI$3:BI$13)/$BI$14)</f>
        <v>0.6</v>
      </c>
      <c r="BK69" s="166">
        <f t="array" ref="BK69">IF($BJ$14=0,0,MMULT($AE69:$AO69, BJ$3:BJ$13)/$BJ$14)</f>
        <v>0.6864444444</v>
      </c>
      <c r="BL69" s="166">
        <f t="shared" si="16"/>
        <v>0.5555555556</v>
      </c>
      <c r="BM69" s="166">
        <f t="shared" si="17"/>
        <v>0.6666666667</v>
      </c>
      <c r="BN69" s="165">
        <f>IF(OR(CSE4098B_Spring2026_Grade!$I54="W (Withdrawn)", CSE4098B_Spring2026_Grade!$I54="I (Incomplete)"), 0, IF(BB69&gt;=55%, 1, 0))</f>
        <v>0</v>
      </c>
      <c r="BO69" s="165">
        <f>IF(OR(CSE4098B_Spring2026_Grade!$I54="W (Withdrawn)", CSE4098B_Spring2026_Grade!$I54="I (Incomplete)"), 0, IF(BC69&gt;=55%, 1, 0))</f>
        <v>1</v>
      </c>
      <c r="BP69" s="165">
        <f>IF(OR(CSE4098B_Spring2026_Grade!$I54="W (Withdrawn)", CSE4098B_Spring2026_Grade!$I54="I (Incomplete)"), 0, IF(BD69&gt;=55%, 1, 0))</f>
        <v>1</v>
      </c>
      <c r="BQ69" s="165">
        <f>IF(OR(CSE4098B_Spring2026_Grade!$I54="W (Withdrawn)", CSE4098B_Spring2026_Grade!$I54="I (Incomplete)"), 0, IF(BE69&gt;=55%, 1, 0))</f>
        <v>1</v>
      </c>
      <c r="BR69" s="165">
        <f>IF(OR(CSE4098B_Spring2026_Grade!$I54="W (Withdrawn)", CSE4098B_Spring2026_Grade!$I54="I (Incomplete)"), 0, IF(BF69&gt;=55%, 1, 0))</f>
        <v>1</v>
      </c>
      <c r="BS69" s="165">
        <f>IF(OR(CSE4098B_Spring2026_Grade!$I54="W (Withdrawn)", CSE4098B_Spring2026_Grade!$I54="I (Incomplete)"), 0, IF(BG69&gt;=55%, 1, 0))</f>
        <v>1</v>
      </c>
      <c r="BT69" s="165">
        <f>IF(OR(CSE4098B_Spring2026_Grade!$I54="W (Withdrawn)", CSE4098B_Spring2026_Grade!$I54="I (Incomplete)"), 0, IF(BH69&gt;=55%, 1, 0))</f>
        <v>1</v>
      </c>
      <c r="BU69" s="165">
        <f>IF(OR(CSE4098B_Spring2026_Grade!$I54="W (Withdrawn)", CSE4098B_Spring2026_Grade!$I54="I (Incomplete)"), 0, IF(BI69&gt;=55%, 1, 0))</f>
        <v>1</v>
      </c>
      <c r="BV69" s="165">
        <f>IF(OR(CSE4098B_Spring2026_Grade!$I54="W (Withdrawn)", CSE4098B_Spring2026_Grade!$I54="I (Incomplete)"), 0, IF(BJ69&gt;=55%, 1, 0))</f>
        <v>1</v>
      </c>
      <c r="BW69" s="165">
        <f>IF(OR(CSE4098B_Spring2026_Grade!$I54="W (Withdrawn)", CSE4098B_Spring2026_Grade!$I54="I (Incomplete)"), 0, IF(BK69&gt;=55%, 1, 0))</f>
        <v>1</v>
      </c>
      <c r="BX69" s="165">
        <f>IF(OR(CSE4098B_Spring2026_Grade!$I54="W (Withdrawn)", CSE4098B_Spring2026_Grade!$I54="I (Incomplete)"), 0, IF(BL69&gt;=55%, 1, 0))</f>
        <v>1</v>
      </c>
      <c r="BY69" s="165">
        <f>IF(OR(CSE4098B_Spring2026_Grade!$I54="W (Withdrawn)", CSE4098B_Spring2026_Grade!$I54="I (Incomplete)"), 0, IF(BM69&gt;=55%, 1, 0))</f>
        <v>1</v>
      </c>
    </row>
    <row r="70">
      <c r="A70" s="153">
        <v>51.0</v>
      </c>
      <c r="B70" s="154">
        <f>CSE4098B_Spring2026_Grade!B55</f>
        <v>223014183</v>
      </c>
      <c r="C70" s="96" t="str">
        <f>CSE4098B_Spring2026_Grade!C55</f>
        <v>Mahbuba Akter Chowdhury</v>
      </c>
      <c r="D70" s="155">
        <f>'CO Report Evaluation'!AI53</f>
        <v>4.666666667</v>
      </c>
      <c r="E70" s="155">
        <f>'CO Report Evaluation'!AJ53</f>
        <v>2.666666667</v>
      </c>
      <c r="F70" s="155">
        <f>'CO Report Evaluation'!AK53</f>
        <v>2</v>
      </c>
      <c r="G70" s="156">
        <f>'CO Report Evaluation'!AL53</f>
        <v>2.333333333</v>
      </c>
      <c r="H70" s="156">
        <f>'CO Report Evaluation'!AM53</f>
        <v>2</v>
      </c>
      <c r="I70" s="157">
        <f>'CO Report Evaluation'!AN53</f>
        <v>4</v>
      </c>
      <c r="J70" s="157">
        <f>'CO Report Evaluation'!AO53</f>
        <v>2.333333333</v>
      </c>
      <c r="K70" s="157">
        <f>'CO Report Evaluation'!AP53</f>
        <v>2.333333333</v>
      </c>
      <c r="L70" s="158">
        <f>'CO Report Evaluation'!AQ53</f>
        <v>2.333333333</v>
      </c>
      <c r="M70" s="159"/>
      <c r="N70" s="160"/>
      <c r="O70" s="160"/>
      <c r="P70" s="160"/>
      <c r="Q70" s="160"/>
      <c r="R70" s="156">
        <f>CSE4098B_Spring2026_Grade!F55</f>
        <v>5</v>
      </c>
      <c r="S70" s="161">
        <f>((CSE4098B_Spring2026_Grade!E55)*10)/45</f>
        <v>8.84</v>
      </c>
      <c r="T70" s="162">
        <f t="shared" ref="T70:AB70" si="162">D70</f>
        <v>4.666666667</v>
      </c>
      <c r="U70" s="163">
        <f t="shared" si="162"/>
        <v>2.666666667</v>
      </c>
      <c r="V70" s="163">
        <f t="shared" si="162"/>
        <v>2</v>
      </c>
      <c r="W70" s="163">
        <f t="shared" si="162"/>
        <v>2.333333333</v>
      </c>
      <c r="X70" s="163">
        <f t="shared" si="162"/>
        <v>2</v>
      </c>
      <c r="Y70" s="163">
        <f t="shared" si="162"/>
        <v>4</v>
      </c>
      <c r="Z70" s="163">
        <f t="shared" si="162"/>
        <v>2.333333333</v>
      </c>
      <c r="AA70" s="163">
        <f t="shared" si="162"/>
        <v>2.333333333</v>
      </c>
      <c r="AB70" s="163">
        <f t="shared" si="162"/>
        <v>2.333333333</v>
      </c>
      <c r="AC70" s="163">
        <f t="shared" ref="AC70:AD70" si="163">R70</f>
        <v>5</v>
      </c>
      <c r="AD70" s="163">
        <f t="shared" si="163"/>
        <v>8.84</v>
      </c>
      <c r="AE70" s="164">
        <f t="shared" ref="AE70:AO70" si="164">IF(T70 = 0, 0, T70/T$19)</f>
        <v>0.7777777778</v>
      </c>
      <c r="AF70" s="164">
        <f t="shared" si="164"/>
        <v>0.8888888889</v>
      </c>
      <c r="AG70" s="164">
        <f t="shared" si="164"/>
        <v>0.6666666667</v>
      </c>
      <c r="AH70" s="164">
        <f t="shared" si="164"/>
        <v>0.7777777778</v>
      </c>
      <c r="AI70" s="164">
        <f t="shared" si="164"/>
        <v>0.6666666667</v>
      </c>
      <c r="AJ70" s="164">
        <f t="shared" si="164"/>
        <v>0.6666666667</v>
      </c>
      <c r="AK70" s="164">
        <f t="shared" si="164"/>
        <v>0.7777777778</v>
      </c>
      <c r="AL70" s="164">
        <f t="shared" si="164"/>
        <v>0.7777777778</v>
      </c>
      <c r="AM70" s="164">
        <f t="shared" si="164"/>
        <v>0.7777777778</v>
      </c>
      <c r="AN70" s="164">
        <f t="shared" si="164"/>
        <v>1</v>
      </c>
      <c r="AO70" s="164">
        <f t="shared" si="164"/>
        <v>0.884</v>
      </c>
      <c r="AP70" s="165">
        <f>IF(OR(CSE4098B_Spring2026_Grade!$I55="W (Withdrawn)", CSE4098B_Spring2026_Grade!$I55="I (Incomplete)"), 0, IF(AE70&gt;=55%, 1, 0))</f>
        <v>1</v>
      </c>
      <c r="AQ70" s="165">
        <f>IF(OR(CSE4098B_Spring2026_Grade!$I55="W (Withdrawn)", CSE4098B_Spring2026_Grade!$I55="I (Incomplete)"), 0, IF(AF70&gt;=55%, 1, 0))</f>
        <v>1</v>
      </c>
      <c r="AR70" s="165">
        <f>IF(OR(CSE4098B_Spring2026_Grade!$I55="W (Withdrawn)", CSE4098B_Spring2026_Grade!$I55="I (Incomplete)"), 0, IF(AG70&gt;=55%, 1, 0))</f>
        <v>1</v>
      </c>
      <c r="AS70" s="165">
        <f>IF(OR(CSE4098B_Spring2026_Grade!$I55="W (Withdrawn)", CSE4098B_Spring2026_Grade!$I55="I (Incomplete)"), 0, IF(AH70&gt;=55%, 1, 0))</f>
        <v>1</v>
      </c>
      <c r="AT70" s="165">
        <f>IF(OR(CSE4098B_Spring2026_Grade!$I55="W (Withdrawn)", CSE4098B_Spring2026_Grade!$I55="I (Incomplete)"), 0, IF(AI70&gt;=55%, 1, 0))</f>
        <v>1</v>
      </c>
      <c r="AU70" s="165">
        <f>IF(OR(CSE4098B_Spring2026_Grade!$I55="W (Withdrawn)", CSE4098B_Spring2026_Grade!$I55="I (Incomplete)"), 0, IF(AJ70&gt;=55%, 1, 0))</f>
        <v>1</v>
      </c>
      <c r="AV70" s="165">
        <f>IF(OR(CSE4098B_Spring2026_Grade!$I55="W (Withdrawn)", CSE4098B_Spring2026_Grade!$I55="I (Incomplete)"), 0, IF(AK70&gt;=55%, 1, 0))</f>
        <v>1</v>
      </c>
      <c r="AW70" s="165">
        <f>IF(OR(CSE4098B_Spring2026_Grade!$I55="W (Withdrawn)", CSE4098B_Spring2026_Grade!$I55="I (Incomplete)"), 0, IF(AL70&gt;=55%, 1, 0))</f>
        <v>1</v>
      </c>
      <c r="AX70" s="165">
        <f>IF(OR(CSE4098B_Spring2026_Grade!$I55="W (Withdrawn)", CSE4098B_Spring2026_Grade!$I55="I (Incomplete)"), 0, IF(AM70&gt;=55%, 1, 0))</f>
        <v>1</v>
      </c>
      <c r="AY70" s="165">
        <f>IF(OR(CSE4098B_Spring2026_Grade!$I55="W (Withdrawn)", CSE4098B_Spring2026_Grade!$I55="I (Incomplete)"), 0, IF(AN70&gt;=55%, 1, 0))</f>
        <v>1</v>
      </c>
      <c r="AZ70" s="165">
        <f>IF(OR(CSE4098B_Spring2026_Grade!$I55="W (Withdrawn)", CSE4098B_Spring2026_Grade!$I55="I (Incomplete)"), 0, IF(AO70&gt;=55%, 1, 0))</f>
        <v>1</v>
      </c>
      <c r="BA70" s="76"/>
      <c r="BB70" s="166">
        <f t="shared" si="13"/>
        <v>0</v>
      </c>
      <c r="BC70" s="166">
        <f t="shared" si="14"/>
        <v>0.8888888889</v>
      </c>
      <c r="BD70" s="166">
        <f t="array" ref="BD70">IF($BC$14=0,0,MMULT($AE70:$AO70, BC$3:BC$13)/$BC$14)</f>
        <v>0.6666666667</v>
      </c>
      <c r="BE70" s="166">
        <f t="array" ref="BE70">IF($BD$14=0,0,MMULT($AE70:$AO70, BD$3:BD$13)/$BD$14)</f>
        <v>0.6666666667</v>
      </c>
      <c r="BF70" s="166">
        <f t="shared" si="15"/>
        <v>0.7777777778</v>
      </c>
      <c r="BG70" s="166">
        <f t="array" ref="BG70">IF($BF$14=0,0,MMULT($AE70:$AO70, BF$3:BF$13)/$BF$14)</f>
        <v>0.7777777778</v>
      </c>
      <c r="BH70" s="166">
        <f t="array" ref="BH70">IF($BG$14=0,0,MMULT($AE70:$AO70, BG$3:BG$13)/$BG$14)</f>
        <v>0.7777777778</v>
      </c>
      <c r="BI70" s="166">
        <f t="array" ref="BI70">IF($BH$14=0,0,MMULT($AE70:$AO70, BH$3:BH$13)/$BH$14)</f>
        <v>0.7777777778</v>
      </c>
      <c r="BJ70" s="166">
        <f t="array" ref="BJ70">IF($BI$14=0,0,MMULT($AE70:$AO70, BI$3:BI$13)/$BI$14)</f>
        <v>1</v>
      </c>
      <c r="BK70" s="166">
        <f t="array" ref="BK70">IF($BJ$14=0,0,MMULT($AE70:$AO70, BJ$3:BJ$13)/$BJ$14)</f>
        <v>0.884</v>
      </c>
      <c r="BL70" s="166">
        <f t="shared" si="16"/>
        <v>0.6666666667</v>
      </c>
      <c r="BM70" s="166">
        <f t="shared" si="17"/>
        <v>0.7777777778</v>
      </c>
      <c r="BN70" s="165">
        <f>IF(OR(CSE4098B_Spring2026_Grade!$I55="W (Withdrawn)", CSE4098B_Spring2026_Grade!$I55="I (Incomplete)"), 0, IF(BB70&gt;=55%, 1, 0))</f>
        <v>0</v>
      </c>
      <c r="BO70" s="165">
        <f>IF(OR(CSE4098B_Spring2026_Grade!$I55="W (Withdrawn)", CSE4098B_Spring2026_Grade!$I55="I (Incomplete)"), 0, IF(BC70&gt;=55%, 1, 0))</f>
        <v>1</v>
      </c>
      <c r="BP70" s="165">
        <f>IF(OR(CSE4098B_Spring2026_Grade!$I55="W (Withdrawn)", CSE4098B_Spring2026_Grade!$I55="I (Incomplete)"), 0, IF(BD70&gt;=55%, 1, 0))</f>
        <v>1</v>
      </c>
      <c r="BQ70" s="165">
        <f>IF(OR(CSE4098B_Spring2026_Grade!$I55="W (Withdrawn)", CSE4098B_Spring2026_Grade!$I55="I (Incomplete)"), 0, IF(BE70&gt;=55%, 1, 0))</f>
        <v>1</v>
      </c>
      <c r="BR70" s="165">
        <f>IF(OR(CSE4098B_Spring2026_Grade!$I55="W (Withdrawn)", CSE4098B_Spring2026_Grade!$I55="I (Incomplete)"), 0, IF(BF70&gt;=55%, 1, 0))</f>
        <v>1</v>
      </c>
      <c r="BS70" s="165">
        <f>IF(OR(CSE4098B_Spring2026_Grade!$I55="W (Withdrawn)", CSE4098B_Spring2026_Grade!$I55="I (Incomplete)"), 0, IF(BG70&gt;=55%, 1, 0))</f>
        <v>1</v>
      </c>
      <c r="BT70" s="165">
        <f>IF(OR(CSE4098B_Spring2026_Grade!$I55="W (Withdrawn)", CSE4098B_Spring2026_Grade!$I55="I (Incomplete)"), 0, IF(BH70&gt;=55%, 1, 0))</f>
        <v>1</v>
      </c>
      <c r="BU70" s="165">
        <f>IF(OR(CSE4098B_Spring2026_Grade!$I55="W (Withdrawn)", CSE4098B_Spring2026_Grade!$I55="I (Incomplete)"), 0, IF(BI70&gt;=55%, 1, 0))</f>
        <v>1</v>
      </c>
      <c r="BV70" s="165">
        <f>IF(OR(CSE4098B_Spring2026_Grade!$I55="W (Withdrawn)", CSE4098B_Spring2026_Grade!$I55="I (Incomplete)"), 0, IF(BJ70&gt;=55%, 1, 0))</f>
        <v>1</v>
      </c>
      <c r="BW70" s="165">
        <f>IF(OR(CSE4098B_Spring2026_Grade!$I55="W (Withdrawn)", CSE4098B_Spring2026_Grade!$I55="I (Incomplete)"), 0, IF(BK70&gt;=55%, 1, 0))</f>
        <v>1</v>
      </c>
      <c r="BX70" s="165">
        <f>IF(OR(CSE4098B_Spring2026_Grade!$I55="W (Withdrawn)", CSE4098B_Spring2026_Grade!$I55="I (Incomplete)"), 0, IF(BL70&gt;=55%, 1, 0))</f>
        <v>1</v>
      </c>
      <c r="BY70" s="165">
        <f>IF(OR(CSE4098B_Spring2026_Grade!$I55="W (Withdrawn)", CSE4098B_Spring2026_Grade!$I55="I (Incomplete)"), 0, IF(BM70&gt;=55%, 1, 0))</f>
        <v>1</v>
      </c>
    </row>
    <row r="71">
      <c r="A71" s="153">
        <v>52.0</v>
      </c>
      <c r="B71" s="154">
        <f>CSE4098B_Spring2026_Grade!B56</f>
        <v>223014182</v>
      </c>
      <c r="C71" s="96" t="str">
        <f>CSE4098B_Spring2026_Grade!C56</f>
        <v>Divya Jyoti Bagchi</v>
      </c>
      <c r="D71" s="155">
        <f>'CO Report Evaluation'!AI54</f>
        <v>4.666666667</v>
      </c>
      <c r="E71" s="155">
        <f>'CO Report Evaluation'!AJ54</f>
        <v>2.666666667</v>
      </c>
      <c r="F71" s="155">
        <f>'CO Report Evaluation'!AK54</f>
        <v>2</v>
      </c>
      <c r="G71" s="156">
        <f>'CO Report Evaluation'!AL54</f>
        <v>2.333333333</v>
      </c>
      <c r="H71" s="156">
        <f>'CO Report Evaluation'!AM54</f>
        <v>2</v>
      </c>
      <c r="I71" s="157">
        <f>'CO Report Evaluation'!AN54</f>
        <v>4</v>
      </c>
      <c r="J71" s="157">
        <f>'CO Report Evaluation'!AO54</f>
        <v>2.333333333</v>
      </c>
      <c r="K71" s="157">
        <f>'CO Report Evaluation'!AP54</f>
        <v>2.333333333</v>
      </c>
      <c r="L71" s="158">
        <f>'CO Report Evaluation'!AQ54</f>
        <v>2.333333333</v>
      </c>
      <c r="M71" s="159"/>
      <c r="N71" s="160"/>
      <c r="O71" s="160"/>
      <c r="P71" s="160"/>
      <c r="Q71" s="160"/>
      <c r="R71" s="156">
        <f>CSE4098B_Spring2026_Grade!F56</f>
        <v>5</v>
      </c>
      <c r="S71" s="161">
        <f>((CSE4098B_Spring2026_Grade!E56)*10)/45</f>
        <v>8.84</v>
      </c>
      <c r="T71" s="162">
        <f t="shared" ref="T71:AB71" si="165">D71</f>
        <v>4.666666667</v>
      </c>
      <c r="U71" s="163">
        <f t="shared" si="165"/>
        <v>2.666666667</v>
      </c>
      <c r="V71" s="163">
        <f t="shared" si="165"/>
        <v>2</v>
      </c>
      <c r="W71" s="163">
        <f t="shared" si="165"/>
        <v>2.333333333</v>
      </c>
      <c r="X71" s="163">
        <f t="shared" si="165"/>
        <v>2</v>
      </c>
      <c r="Y71" s="163">
        <f t="shared" si="165"/>
        <v>4</v>
      </c>
      <c r="Z71" s="163">
        <f t="shared" si="165"/>
        <v>2.333333333</v>
      </c>
      <c r="AA71" s="163">
        <f t="shared" si="165"/>
        <v>2.333333333</v>
      </c>
      <c r="AB71" s="163">
        <f t="shared" si="165"/>
        <v>2.333333333</v>
      </c>
      <c r="AC71" s="163">
        <f t="shared" ref="AC71:AD71" si="166">R71</f>
        <v>5</v>
      </c>
      <c r="AD71" s="163">
        <f t="shared" si="166"/>
        <v>8.84</v>
      </c>
      <c r="AE71" s="164">
        <f t="shared" ref="AE71:AO71" si="167">IF(T71 = 0, 0, T71/T$19)</f>
        <v>0.7777777778</v>
      </c>
      <c r="AF71" s="164">
        <f t="shared" si="167"/>
        <v>0.8888888889</v>
      </c>
      <c r="AG71" s="164">
        <f t="shared" si="167"/>
        <v>0.6666666667</v>
      </c>
      <c r="AH71" s="164">
        <f t="shared" si="167"/>
        <v>0.7777777778</v>
      </c>
      <c r="AI71" s="164">
        <f t="shared" si="167"/>
        <v>0.6666666667</v>
      </c>
      <c r="AJ71" s="164">
        <f t="shared" si="167"/>
        <v>0.6666666667</v>
      </c>
      <c r="AK71" s="164">
        <f t="shared" si="167"/>
        <v>0.7777777778</v>
      </c>
      <c r="AL71" s="164">
        <f t="shared" si="167"/>
        <v>0.7777777778</v>
      </c>
      <c r="AM71" s="164">
        <f t="shared" si="167"/>
        <v>0.7777777778</v>
      </c>
      <c r="AN71" s="164">
        <f t="shared" si="167"/>
        <v>1</v>
      </c>
      <c r="AO71" s="164">
        <f t="shared" si="167"/>
        <v>0.884</v>
      </c>
      <c r="AP71" s="165">
        <f>IF(OR(CSE4098B_Spring2026_Grade!$I56="W (Withdrawn)", CSE4098B_Spring2026_Grade!$I56="I (Incomplete)"), 0, IF(AE71&gt;=55%, 1, 0))</f>
        <v>1</v>
      </c>
      <c r="AQ71" s="165">
        <f>IF(OR(CSE4098B_Spring2026_Grade!$I56="W (Withdrawn)", CSE4098B_Spring2026_Grade!$I56="I (Incomplete)"), 0, IF(AF71&gt;=55%, 1, 0))</f>
        <v>1</v>
      </c>
      <c r="AR71" s="165">
        <f>IF(OR(CSE4098B_Spring2026_Grade!$I56="W (Withdrawn)", CSE4098B_Spring2026_Grade!$I56="I (Incomplete)"), 0, IF(AG71&gt;=55%, 1, 0))</f>
        <v>1</v>
      </c>
      <c r="AS71" s="165">
        <f>IF(OR(CSE4098B_Spring2026_Grade!$I56="W (Withdrawn)", CSE4098B_Spring2026_Grade!$I56="I (Incomplete)"), 0, IF(AH71&gt;=55%, 1, 0))</f>
        <v>1</v>
      </c>
      <c r="AT71" s="165">
        <f>IF(OR(CSE4098B_Spring2026_Grade!$I56="W (Withdrawn)", CSE4098B_Spring2026_Grade!$I56="I (Incomplete)"), 0, IF(AI71&gt;=55%, 1, 0))</f>
        <v>1</v>
      </c>
      <c r="AU71" s="165">
        <f>IF(OR(CSE4098B_Spring2026_Grade!$I56="W (Withdrawn)", CSE4098B_Spring2026_Grade!$I56="I (Incomplete)"), 0, IF(AJ71&gt;=55%, 1, 0))</f>
        <v>1</v>
      </c>
      <c r="AV71" s="165">
        <f>IF(OR(CSE4098B_Spring2026_Grade!$I56="W (Withdrawn)", CSE4098B_Spring2026_Grade!$I56="I (Incomplete)"), 0, IF(AK71&gt;=55%, 1, 0))</f>
        <v>1</v>
      </c>
      <c r="AW71" s="165">
        <f>IF(OR(CSE4098B_Spring2026_Grade!$I56="W (Withdrawn)", CSE4098B_Spring2026_Grade!$I56="I (Incomplete)"), 0, IF(AL71&gt;=55%, 1, 0))</f>
        <v>1</v>
      </c>
      <c r="AX71" s="165">
        <f>IF(OR(CSE4098B_Spring2026_Grade!$I56="W (Withdrawn)", CSE4098B_Spring2026_Grade!$I56="I (Incomplete)"), 0, IF(AM71&gt;=55%, 1, 0))</f>
        <v>1</v>
      </c>
      <c r="AY71" s="165">
        <f>IF(OR(CSE4098B_Spring2026_Grade!$I56="W (Withdrawn)", CSE4098B_Spring2026_Grade!$I56="I (Incomplete)"), 0, IF(AN71&gt;=55%, 1, 0))</f>
        <v>1</v>
      </c>
      <c r="AZ71" s="165">
        <f>IF(OR(CSE4098B_Spring2026_Grade!$I56="W (Withdrawn)", CSE4098B_Spring2026_Grade!$I56="I (Incomplete)"), 0, IF(AO71&gt;=55%, 1, 0))</f>
        <v>1</v>
      </c>
      <c r="BA71" s="76"/>
      <c r="BB71" s="166">
        <f t="shared" si="13"/>
        <v>0</v>
      </c>
      <c r="BC71" s="166">
        <f t="shared" si="14"/>
        <v>0.8888888889</v>
      </c>
      <c r="BD71" s="166">
        <f t="array" ref="BD71">IF($BC$14=0,0,MMULT($AE71:$AO71, BC$3:BC$13)/$BC$14)</f>
        <v>0.6666666667</v>
      </c>
      <c r="BE71" s="166">
        <f t="array" ref="BE71">IF($BD$14=0,0,MMULT($AE71:$AO71, BD$3:BD$13)/$BD$14)</f>
        <v>0.6666666667</v>
      </c>
      <c r="BF71" s="166">
        <f t="shared" si="15"/>
        <v>0.7777777778</v>
      </c>
      <c r="BG71" s="166">
        <f t="array" ref="BG71">IF($BF$14=0,0,MMULT($AE71:$AO71, BF$3:BF$13)/$BF$14)</f>
        <v>0.7777777778</v>
      </c>
      <c r="BH71" s="166">
        <f t="array" ref="BH71">IF($BG$14=0,0,MMULT($AE71:$AO71, BG$3:BG$13)/$BG$14)</f>
        <v>0.7777777778</v>
      </c>
      <c r="BI71" s="166">
        <f t="array" ref="BI71">IF($BH$14=0,0,MMULT($AE71:$AO71, BH$3:BH$13)/$BH$14)</f>
        <v>0.7777777778</v>
      </c>
      <c r="BJ71" s="166">
        <f t="array" ref="BJ71">IF($BI$14=0,0,MMULT($AE71:$AO71, BI$3:BI$13)/$BI$14)</f>
        <v>1</v>
      </c>
      <c r="BK71" s="166">
        <f t="array" ref="BK71">IF($BJ$14=0,0,MMULT($AE71:$AO71, BJ$3:BJ$13)/$BJ$14)</f>
        <v>0.884</v>
      </c>
      <c r="BL71" s="166">
        <f t="shared" si="16"/>
        <v>0.6666666667</v>
      </c>
      <c r="BM71" s="166">
        <f t="shared" si="17"/>
        <v>0.7777777778</v>
      </c>
      <c r="BN71" s="165">
        <f>IF(OR(CSE4098B_Spring2026_Grade!$I56="W (Withdrawn)", CSE4098B_Spring2026_Grade!$I56="I (Incomplete)"), 0, IF(BB71&gt;=55%, 1, 0))</f>
        <v>0</v>
      </c>
      <c r="BO71" s="165">
        <f>IF(OR(CSE4098B_Spring2026_Grade!$I56="W (Withdrawn)", CSE4098B_Spring2026_Grade!$I56="I (Incomplete)"), 0, IF(BC71&gt;=55%, 1, 0))</f>
        <v>1</v>
      </c>
      <c r="BP71" s="165">
        <f>IF(OR(CSE4098B_Spring2026_Grade!$I56="W (Withdrawn)", CSE4098B_Spring2026_Grade!$I56="I (Incomplete)"), 0, IF(BD71&gt;=55%, 1, 0))</f>
        <v>1</v>
      </c>
      <c r="BQ71" s="165">
        <f>IF(OR(CSE4098B_Spring2026_Grade!$I56="W (Withdrawn)", CSE4098B_Spring2026_Grade!$I56="I (Incomplete)"), 0, IF(BE71&gt;=55%, 1, 0))</f>
        <v>1</v>
      </c>
      <c r="BR71" s="165">
        <f>IF(OR(CSE4098B_Spring2026_Grade!$I56="W (Withdrawn)", CSE4098B_Spring2026_Grade!$I56="I (Incomplete)"), 0, IF(BF71&gt;=55%, 1, 0))</f>
        <v>1</v>
      </c>
      <c r="BS71" s="165">
        <f>IF(OR(CSE4098B_Spring2026_Grade!$I56="W (Withdrawn)", CSE4098B_Spring2026_Grade!$I56="I (Incomplete)"), 0, IF(BG71&gt;=55%, 1, 0))</f>
        <v>1</v>
      </c>
      <c r="BT71" s="165">
        <f>IF(OR(CSE4098B_Spring2026_Grade!$I56="W (Withdrawn)", CSE4098B_Spring2026_Grade!$I56="I (Incomplete)"), 0, IF(BH71&gt;=55%, 1, 0))</f>
        <v>1</v>
      </c>
      <c r="BU71" s="165">
        <f>IF(OR(CSE4098B_Spring2026_Grade!$I56="W (Withdrawn)", CSE4098B_Spring2026_Grade!$I56="I (Incomplete)"), 0, IF(BI71&gt;=55%, 1, 0))</f>
        <v>1</v>
      </c>
      <c r="BV71" s="165">
        <f>IF(OR(CSE4098B_Spring2026_Grade!$I56="W (Withdrawn)", CSE4098B_Spring2026_Grade!$I56="I (Incomplete)"), 0, IF(BJ71&gt;=55%, 1, 0))</f>
        <v>1</v>
      </c>
      <c r="BW71" s="165">
        <f>IF(OR(CSE4098B_Spring2026_Grade!$I56="W (Withdrawn)", CSE4098B_Spring2026_Grade!$I56="I (Incomplete)"), 0, IF(BK71&gt;=55%, 1, 0))</f>
        <v>1</v>
      </c>
      <c r="BX71" s="165">
        <f>IF(OR(CSE4098B_Spring2026_Grade!$I56="W (Withdrawn)", CSE4098B_Spring2026_Grade!$I56="I (Incomplete)"), 0, IF(BL71&gt;=55%, 1, 0))</f>
        <v>1</v>
      </c>
      <c r="BY71" s="165">
        <f>IF(OR(CSE4098B_Spring2026_Grade!$I56="W (Withdrawn)", CSE4098B_Spring2026_Grade!$I56="I (Incomplete)"), 0, IF(BM71&gt;=55%, 1, 0))</f>
        <v>1</v>
      </c>
    </row>
    <row r="72">
      <c r="A72" s="153">
        <v>53.0</v>
      </c>
      <c r="B72" s="154">
        <f>CSE4098B_Spring2026_Grade!B57</f>
        <v>223014127</v>
      </c>
      <c r="C72" s="96" t="str">
        <f>CSE4098B_Spring2026_Grade!C57</f>
        <v>Naznine Sultana Nitu</v>
      </c>
      <c r="D72" s="155">
        <f>'CO Report Evaluation'!AI55</f>
        <v>4.666666667</v>
      </c>
      <c r="E72" s="155">
        <f>'CO Report Evaluation'!AJ55</f>
        <v>2.666666667</v>
      </c>
      <c r="F72" s="155">
        <f>'CO Report Evaluation'!AK55</f>
        <v>2</v>
      </c>
      <c r="G72" s="156">
        <f>'CO Report Evaluation'!AL55</f>
        <v>2.333333333</v>
      </c>
      <c r="H72" s="156">
        <f>'CO Report Evaluation'!AM55</f>
        <v>2</v>
      </c>
      <c r="I72" s="157">
        <f>'CO Report Evaluation'!AN55</f>
        <v>4</v>
      </c>
      <c r="J72" s="157">
        <f>'CO Report Evaluation'!AO55</f>
        <v>2.333333333</v>
      </c>
      <c r="K72" s="157">
        <f>'CO Report Evaluation'!AP55</f>
        <v>2.333333333</v>
      </c>
      <c r="L72" s="158">
        <f>'CO Report Evaluation'!AQ55</f>
        <v>2.333333333</v>
      </c>
      <c r="M72" s="159"/>
      <c r="N72" s="160"/>
      <c r="O72" s="160"/>
      <c r="P72" s="160"/>
      <c r="Q72" s="160"/>
      <c r="R72" s="156">
        <f>CSE4098B_Spring2026_Grade!F57</f>
        <v>4</v>
      </c>
      <c r="S72" s="161">
        <f>((CSE4098B_Spring2026_Grade!E57)*10)/45</f>
        <v>8.84</v>
      </c>
      <c r="T72" s="162">
        <f t="shared" ref="T72:AB72" si="168">D72</f>
        <v>4.666666667</v>
      </c>
      <c r="U72" s="163">
        <f t="shared" si="168"/>
        <v>2.666666667</v>
      </c>
      <c r="V72" s="163">
        <f t="shared" si="168"/>
        <v>2</v>
      </c>
      <c r="W72" s="163">
        <f t="shared" si="168"/>
        <v>2.333333333</v>
      </c>
      <c r="X72" s="163">
        <f t="shared" si="168"/>
        <v>2</v>
      </c>
      <c r="Y72" s="163">
        <f t="shared" si="168"/>
        <v>4</v>
      </c>
      <c r="Z72" s="163">
        <f t="shared" si="168"/>
        <v>2.333333333</v>
      </c>
      <c r="AA72" s="163">
        <f t="shared" si="168"/>
        <v>2.333333333</v>
      </c>
      <c r="AB72" s="163">
        <f t="shared" si="168"/>
        <v>2.333333333</v>
      </c>
      <c r="AC72" s="163">
        <f t="shared" ref="AC72:AD72" si="169">R72</f>
        <v>4</v>
      </c>
      <c r="AD72" s="163">
        <f t="shared" si="169"/>
        <v>8.84</v>
      </c>
      <c r="AE72" s="164">
        <f t="shared" ref="AE72:AO72" si="170">IF(T72 = 0, 0, T72/T$19)</f>
        <v>0.7777777778</v>
      </c>
      <c r="AF72" s="164">
        <f t="shared" si="170"/>
        <v>0.8888888889</v>
      </c>
      <c r="AG72" s="164">
        <f t="shared" si="170"/>
        <v>0.6666666667</v>
      </c>
      <c r="AH72" s="164">
        <f t="shared" si="170"/>
        <v>0.7777777778</v>
      </c>
      <c r="AI72" s="164">
        <f t="shared" si="170"/>
        <v>0.6666666667</v>
      </c>
      <c r="AJ72" s="164">
        <f t="shared" si="170"/>
        <v>0.6666666667</v>
      </c>
      <c r="AK72" s="164">
        <f t="shared" si="170"/>
        <v>0.7777777778</v>
      </c>
      <c r="AL72" s="164">
        <f t="shared" si="170"/>
        <v>0.7777777778</v>
      </c>
      <c r="AM72" s="164">
        <f t="shared" si="170"/>
        <v>0.7777777778</v>
      </c>
      <c r="AN72" s="164">
        <f t="shared" si="170"/>
        <v>0.8</v>
      </c>
      <c r="AO72" s="164">
        <f t="shared" si="170"/>
        <v>0.884</v>
      </c>
      <c r="AP72" s="165">
        <f>IF(OR(CSE4098B_Spring2026_Grade!$I57="W (Withdrawn)", CSE4098B_Spring2026_Grade!$I57="I (Incomplete)"), 0, IF(AE72&gt;=55%, 1, 0))</f>
        <v>1</v>
      </c>
      <c r="AQ72" s="165">
        <f>IF(OR(CSE4098B_Spring2026_Grade!$I57="W (Withdrawn)", CSE4098B_Spring2026_Grade!$I57="I (Incomplete)"), 0, IF(AF72&gt;=55%, 1, 0))</f>
        <v>1</v>
      </c>
      <c r="AR72" s="165">
        <f>IF(OR(CSE4098B_Spring2026_Grade!$I57="W (Withdrawn)", CSE4098B_Spring2026_Grade!$I57="I (Incomplete)"), 0, IF(AG72&gt;=55%, 1, 0))</f>
        <v>1</v>
      </c>
      <c r="AS72" s="165">
        <f>IF(OR(CSE4098B_Spring2026_Grade!$I57="W (Withdrawn)", CSE4098B_Spring2026_Grade!$I57="I (Incomplete)"), 0, IF(AH72&gt;=55%, 1, 0))</f>
        <v>1</v>
      </c>
      <c r="AT72" s="165">
        <f>IF(OR(CSE4098B_Spring2026_Grade!$I57="W (Withdrawn)", CSE4098B_Spring2026_Grade!$I57="I (Incomplete)"), 0, IF(AI72&gt;=55%, 1, 0))</f>
        <v>1</v>
      </c>
      <c r="AU72" s="165">
        <f>IF(OR(CSE4098B_Spring2026_Grade!$I57="W (Withdrawn)", CSE4098B_Spring2026_Grade!$I57="I (Incomplete)"), 0, IF(AJ72&gt;=55%, 1, 0))</f>
        <v>1</v>
      </c>
      <c r="AV72" s="165">
        <f>IF(OR(CSE4098B_Spring2026_Grade!$I57="W (Withdrawn)", CSE4098B_Spring2026_Grade!$I57="I (Incomplete)"), 0, IF(AK72&gt;=55%, 1, 0))</f>
        <v>1</v>
      </c>
      <c r="AW72" s="165">
        <f>IF(OR(CSE4098B_Spring2026_Grade!$I57="W (Withdrawn)", CSE4098B_Spring2026_Grade!$I57="I (Incomplete)"), 0, IF(AL72&gt;=55%, 1, 0))</f>
        <v>1</v>
      </c>
      <c r="AX72" s="165">
        <f>IF(OR(CSE4098B_Spring2026_Grade!$I57="W (Withdrawn)", CSE4098B_Spring2026_Grade!$I57="I (Incomplete)"), 0, IF(AM72&gt;=55%, 1, 0))</f>
        <v>1</v>
      </c>
      <c r="AY72" s="165">
        <f>IF(OR(CSE4098B_Spring2026_Grade!$I57="W (Withdrawn)", CSE4098B_Spring2026_Grade!$I57="I (Incomplete)"), 0, IF(AN72&gt;=55%, 1, 0))</f>
        <v>1</v>
      </c>
      <c r="AZ72" s="165">
        <f>IF(OR(CSE4098B_Spring2026_Grade!$I57="W (Withdrawn)", CSE4098B_Spring2026_Grade!$I57="I (Incomplete)"), 0, IF(AO72&gt;=55%, 1, 0))</f>
        <v>1</v>
      </c>
      <c r="BA72" s="76"/>
      <c r="BB72" s="166">
        <f t="shared" si="13"/>
        <v>0</v>
      </c>
      <c r="BC72" s="166">
        <f t="shared" si="14"/>
        <v>0.8888888889</v>
      </c>
      <c r="BD72" s="166">
        <f t="array" ref="BD72">IF($BC$14=0,0,MMULT($AE72:$AO72, BC$3:BC$13)/$BC$14)</f>
        <v>0.6666666667</v>
      </c>
      <c r="BE72" s="166">
        <f t="array" ref="BE72">IF($BD$14=0,0,MMULT($AE72:$AO72, BD$3:BD$13)/$BD$14)</f>
        <v>0.6666666667</v>
      </c>
      <c r="BF72" s="166">
        <f t="shared" si="15"/>
        <v>0.7777777778</v>
      </c>
      <c r="BG72" s="166">
        <f t="array" ref="BG72">IF($BF$14=0,0,MMULT($AE72:$AO72, BF$3:BF$13)/$BF$14)</f>
        <v>0.7777777778</v>
      </c>
      <c r="BH72" s="166">
        <f t="array" ref="BH72">IF($BG$14=0,0,MMULT($AE72:$AO72, BG$3:BG$13)/$BG$14)</f>
        <v>0.7777777778</v>
      </c>
      <c r="BI72" s="166">
        <f t="array" ref="BI72">IF($BH$14=0,0,MMULT($AE72:$AO72, BH$3:BH$13)/$BH$14)</f>
        <v>0.7777777778</v>
      </c>
      <c r="BJ72" s="166">
        <f t="array" ref="BJ72">IF($BI$14=0,0,MMULT($AE72:$AO72, BI$3:BI$13)/$BI$14)</f>
        <v>0.8</v>
      </c>
      <c r="BK72" s="166">
        <f t="array" ref="BK72">IF($BJ$14=0,0,MMULT($AE72:$AO72, BJ$3:BJ$13)/$BJ$14)</f>
        <v>0.884</v>
      </c>
      <c r="BL72" s="166">
        <f t="shared" si="16"/>
        <v>0.6666666667</v>
      </c>
      <c r="BM72" s="166">
        <f t="shared" si="17"/>
        <v>0.7777777778</v>
      </c>
      <c r="BN72" s="165">
        <f>IF(OR(CSE4098B_Spring2026_Grade!$I57="W (Withdrawn)", CSE4098B_Spring2026_Grade!$I57="I (Incomplete)"), 0, IF(BB72&gt;=55%, 1, 0))</f>
        <v>0</v>
      </c>
      <c r="BO72" s="165">
        <f>IF(OR(CSE4098B_Spring2026_Grade!$I57="W (Withdrawn)", CSE4098B_Spring2026_Grade!$I57="I (Incomplete)"), 0, IF(BC72&gt;=55%, 1, 0))</f>
        <v>1</v>
      </c>
      <c r="BP72" s="165">
        <f>IF(OR(CSE4098B_Spring2026_Grade!$I57="W (Withdrawn)", CSE4098B_Spring2026_Grade!$I57="I (Incomplete)"), 0, IF(BD72&gt;=55%, 1, 0))</f>
        <v>1</v>
      </c>
      <c r="BQ72" s="165">
        <f>IF(OR(CSE4098B_Spring2026_Grade!$I57="W (Withdrawn)", CSE4098B_Spring2026_Grade!$I57="I (Incomplete)"), 0, IF(BE72&gt;=55%, 1, 0))</f>
        <v>1</v>
      </c>
      <c r="BR72" s="165">
        <f>IF(OR(CSE4098B_Spring2026_Grade!$I57="W (Withdrawn)", CSE4098B_Spring2026_Grade!$I57="I (Incomplete)"), 0, IF(BF72&gt;=55%, 1, 0))</f>
        <v>1</v>
      </c>
      <c r="BS72" s="165">
        <f>IF(OR(CSE4098B_Spring2026_Grade!$I57="W (Withdrawn)", CSE4098B_Spring2026_Grade!$I57="I (Incomplete)"), 0, IF(BG72&gt;=55%, 1, 0))</f>
        <v>1</v>
      </c>
      <c r="BT72" s="165">
        <f>IF(OR(CSE4098B_Spring2026_Grade!$I57="W (Withdrawn)", CSE4098B_Spring2026_Grade!$I57="I (Incomplete)"), 0, IF(BH72&gt;=55%, 1, 0))</f>
        <v>1</v>
      </c>
      <c r="BU72" s="165">
        <f>IF(OR(CSE4098B_Spring2026_Grade!$I57="W (Withdrawn)", CSE4098B_Spring2026_Grade!$I57="I (Incomplete)"), 0, IF(BI72&gt;=55%, 1, 0))</f>
        <v>1</v>
      </c>
      <c r="BV72" s="165">
        <f>IF(OR(CSE4098B_Spring2026_Grade!$I57="W (Withdrawn)", CSE4098B_Spring2026_Grade!$I57="I (Incomplete)"), 0, IF(BJ72&gt;=55%, 1, 0))</f>
        <v>1</v>
      </c>
      <c r="BW72" s="165">
        <f>IF(OR(CSE4098B_Spring2026_Grade!$I57="W (Withdrawn)", CSE4098B_Spring2026_Grade!$I57="I (Incomplete)"), 0, IF(BK72&gt;=55%, 1, 0))</f>
        <v>1</v>
      </c>
      <c r="BX72" s="165">
        <f>IF(OR(CSE4098B_Spring2026_Grade!$I57="W (Withdrawn)", CSE4098B_Spring2026_Grade!$I57="I (Incomplete)"), 0, IF(BL72&gt;=55%, 1, 0))</f>
        <v>1</v>
      </c>
      <c r="BY72" s="165">
        <f>IF(OR(CSE4098B_Spring2026_Grade!$I57="W (Withdrawn)", CSE4098B_Spring2026_Grade!$I57="I (Incomplete)"), 0, IF(BM72&gt;=55%, 1, 0))</f>
        <v>1</v>
      </c>
    </row>
    <row r="73">
      <c r="A73" s="153">
        <v>54.0</v>
      </c>
      <c r="B73" s="154">
        <f>CSE4098B_Spring2026_Grade!B58</f>
        <v>223014011</v>
      </c>
      <c r="C73" s="96" t="str">
        <f>CSE4098B_Spring2026_Grade!C58</f>
        <v>Fabiha Fayruj</v>
      </c>
      <c r="D73" s="155">
        <f>'CO Report Evaluation'!AI56</f>
        <v>4.666666667</v>
      </c>
      <c r="E73" s="155">
        <f>'CO Report Evaluation'!AJ56</f>
        <v>2.666666667</v>
      </c>
      <c r="F73" s="155">
        <f>'CO Report Evaluation'!AK56</f>
        <v>2</v>
      </c>
      <c r="G73" s="156">
        <f>'CO Report Evaluation'!AL56</f>
        <v>2.333333333</v>
      </c>
      <c r="H73" s="156">
        <f>'CO Report Evaluation'!AM56</f>
        <v>2</v>
      </c>
      <c r="I73" s="157">
        <f>'CO Report Evaluation'!AN56</f>
        <v>4</v>
      </c>
      <c r="J73" s="157">
        <f>'CO Report Evaluation'!AO56</f>
        <v>2.333333333</v>
      </c>
      <c r="K73" s="157">
        <f>'CO Report Evaluation'!AP56</f>
        <v>2.333333333</v>
      </c>
      <c r="L73" s="158">
        <f>'CO Report Evaluation'!AQ56</f>
        <v>2.333333333</v>
      </c>
      <c r="M73" s="159"/>
      <c r="N73" s="160"/>
      <c r="O73" s="160"/>
      <c r="P73" s="160"/>
      <c r="Q73" s="160"/>
      <c r="R73" s="156">
        <f>CSE4098B_Spring2026_Grade!F58</f>
        <v>4</v>
      </c>
      <c r="S73" s="161">
        <f>((CSE4098B_Spring2026_Grade!E58)*10)/45</f>
        <v>8.986666667</v>
      </c>
      <c r="T73" s="162">
        <f t="shared" ref="T73:AB73" si="171">D73</f>
        <v>4.666666667</v>
      </c>
      <c r="U73" s="163">
        <f t="shared" si="171"/>
        <v>2.666666667</v>
      </c>
      <c r="V73" s="163">
        <f t="shared" si="171"/>
        <v>2</v>
      </c>
      <c r="W73" s="163">
        <f t="shared" si="171"/>
        <v>2.333333333</v>
      </c>
      <c r="X73" s="163">
        <f t="shared" si="171"/>
        <v>2</v>
      </c>
      <c r="Y73" s="163">
        <f t="shared" si="171"/>
        <v>4</v>
      </c>
      <c r="Z73" s="163">
        <f t="shared" si="171"/>
        <v>2.333333333</v>
      </c>
      <c r="AA73" s="163">
        <f t="shared" si="171"/>
        <v>2.333333333</v>
      </c>
      <c r="AB73" s="163">
        <f t="shared" si="171"/>
        <v>2.333333333</v>
      </c>
      <c r="AC73" s="163">
        <f t="shared" ref="AC73:AD73" si="172">R73</f>
        <v>4</v>
      </c>
      <c r="AD73" s="163">
        <f t="shared" si="172"/>
        <v>8.986666667</v>
      </c>
      <c r="AE73" s="164">
        <f t="shared" ref="AE73:AO73" si="173">IF(T73 = 0, 0, T73/T$19)</f>
        <v>0.7777777778</v>
      </c>
      <c r="AF73" s="164">
        <f t="shared" si="173"/>
        <v>0.8888888889</v>
      </c>
      <c r="AG73" s="164">
        <f t="shared" si="173"/>
        <v>0.6666666667</v>
      </c>
      <c r="AH73" s="164">
        <f t="shared" si="173"/>
        <v>0.7777777778</v>
      </c>
      <c r="AI73" s="164">
        <f t="shared" si="173"/>
        <v>0.6666666667</v>
      </c>
      <c r="AJ73" s="164">
        <f t="shared" si="173"/>
        <v>0.6666666667</v>
      </c>
      <c r="AK73" s="164">
        <f t="shared" si="173"/>
        <v>0.7777777778</v>
      </c>
      <c r="AL73" s="164">
        <f t="shared" si="173"/>
        <v>0.7777777778</v>
      </c>
      <c r="AM73" s="164">
        <f t="shared" si="173"/>
        <v>0.7777777778</v>
      </c>
      <c r="AN73" s="164">
        <f t="shared" si="173"/>
        <v>0.8</v>
      </c>
      <c r="AO73" s="164">
        <f t="shared" si="173"/>
        <v>0.8986666667</v>
      </c>
      <c r="AP73" s="165">
        <f>IF(OR(CSE4098B_Spring2026_Grade!$I58="W (Withdrawn)", CSE4098B_Spring2026_Grade!$I58="I (Incomplete)"), 0, IF(AE73&gt;=55%, 1, 0))</f>
        <v>1</v>
      </c>
      <c r="AQ73" s="165">
        <f>IF(OR(CSE4098B_Spring2026_Grade!$I58="W (Withdrawn)", CSE4098B_Spring2026_Grade!$I58="I (Incomplete)"), 0, IF(AF73&gt;=55%, 1, 0))</f>
        <v>1</v>
      </c>
      <c r="AR73" s="165">
        <f>IF(OR(CSE4098B_Spring2026_Grade!$I58="W (Withdrawn)", CSE4098B_Spring2026_Grade!$I58="I (Incomplete)"), 0, IF(AG73&gt;=55%, 1, 0))</f>
        <v>1</v>
      </c>
      <c r="AS73" s="165">
        <f>IF(OR(CSE4098B_Spring2026_Grade!$I58="W (Withdrawn)", CSE4098B_Spring2026_Grade!$I58="I (Incomplete)"), 0, IF(AH73&gt;=55%, 1, 0))</f>
        <v>1</v>
      </c>
      <c r="AT73" s="165">
        <f>IF(OR(CSE4098B_Spring2026_Grade!$I58="W (Withdrawn)", CSE4098B_Spring2026_Grade!$I58="I (Incomplete)"), 0, IF(AI73&gt;=55%, 1, 0))</f>
        <v>1</v>
      </c>
      <c r="AU73" s="165">
        <f>IF(OR(CSE4098B_Spring2026_Grade!$I58="W (Withdrawn)", CSE4098B_Spring2026_Grade!$I58="I (Incomplete)"), 0, IF(AJ73&gt;=55%, 1, 0))</f>
        <v>1</v>
      </c>
      <c r="AV73" s="165">
        <f>IF(OR(CSE4098B_Spring2026_Grade!$I58="W (Withdrawn)", CSE4098B_Spring2026_Grade!$I58="I (Incomplete)"), 0, IF(AK73&gt;=55%, 1, 0))</f>
        <v>1</v>
      </c>
      <c r="AW73" s="165">
        <f>IF(OR(CSE4098B_Spring2026_Grade!$I58="W (Withdrawn)", CSE4098B_Spring2026_Grade!$I58="I (Incomplete)"), 0, IF(AL73&gt;=55%, 1, 0))</f>
        <v>1</v>
      </c>
      <c r="AX73" s="165">
        <f>IF(OR(CSE4098B_Spring2026_Grade!$I58="W (Withdrawn)", CSE4098B_Spring2026_Grade!$I58="I (Incomplete)"), 0, IF(AM73&gt;=55%, 1, 0))</f>
        <v>1</v>
      </c>
      <c r="AY73" s="165">
        <f>IF(OR(CSE4098B_Spring2026_Grade!$I58="W (Withdrawn)", CSE4098B_Spring2026_Grade!$I58="I (Incomplete)"), 0, IF(AN73&gt;=55%, 1, 0))</f>
        <v>1</v>
      </c>
      <c r="AZ73" s="165">
        <f>IF(OR(CSE4098B_Spring2026_Grade!$I58="W (Withdrawn)", CSE4098B_Spring2026_Grade!$I58="I (Incomplete)"), 0, IF(AO73&gt;=55%, 1, 0))</f>
        <v>1</v>
      </c>
      <c r="BA73" s="76"/>
      <c r="BB73" s="166">
        <f t="shared" si="13"/>
        <v>0</v>
      </c>
      <c r="BC73" s="166">
        <f t="shared" si="14"/>
        <v>0.8888888889</v>
      </c>
      <c r="BD73" s="166">
        <f t="array" ref="BD73">IF($BC$14=0,0,MMULT($AE73:$AO73, BC$3:BC$13)/$BC$14)</f>
        <v>0.6666666667</v>
      </c>
      <c r="BE73" s="166">
        <f t="array" ref="BE73">IF($BD$14=0,0,MMULT($AE73:$AO73, BD$3:BD$13)/$BD$14)</f>
        <v>0.6666666667</v>
      </c>
      <c r="BF73" s="166">
        <f t="shared" si="15"/>
        <v>0.7777777778</v>
      </c>
      <c r="BG73" s="166">
        <f t="array" ref="BG73">IF($BF$14=0,0,MMULT($AE73:$AO73, BF$3:BF$13)/$BF$14)</f>
        <v>0.7777777778</v>
      </c>
      <c r="BH73" s="166">
        <f t="array" ref="BH73">IF($BG$14=0,0,MMULT($AE73:$AO73, BG$3:BG$13)/$BG$14)</f>
        <v>0.7777777778</v>
      </c>
      <c r="BI73" s="166">
        <f t="array" ref="BI73">IF($BH$14=0,0,MMULT($AE73:$AO73, BH$3:BH$13)/$BH$14)</f>
        <v>0.7777777778</v>
      </c>
      <c r="BJ73" s="166">
        <f t="array" ref="BJ73">IF($BI$14=0,0,MMULT($AE73:$AO73, BI$3:BI$13)/$BI$14)</f>
        <v>0.8</v>
      </c>
      <c r="BK73" s="166">
        <f t="array" ref="BK73">IF($BJ$14=0,0,MMULT($AE73:$AO73, BJ$3:BJ$13)/$BJ$14)</f>
        <v>0.8986666667</v>
      </c>
      <c r="BL73" s="166">
        <f t="shared" si="16"/>
        <v>0.6666666667</v>
      </c>
      <c r="BM73" s="166">
        <f t="shared" si="17"/>
        <v>0.7777777778</v>
      </c>
      <c r="BN73" s="165">
        <f>IF(OR(CSE4098B_Spring2026_Grade!$I58="W (Withdrawn)", CSE4098B_Spring2026_Grade!$I58="I (Incomplete)"), 0, IF(BB73&gt;=55%, 1, 0))</f>
        <v>0</v>
      </c>
      <c r="BO73" s="165">
        <f>IF(OR(CSE4098B_Spring2026_Grade!$I58="W (Withdrawn)", CSE4098B_Spring2026_Grade!$I58="I (Incomplete)"), 0, IF(BC73&gt;=55%, 1, 0))</f>
        <v>1</v>
      </c>
      <c r="BP73" s="165">
        <f>IF(OR(CSE4098B_Spring2026_Grade!$I58="W (Withdrawn)", CSE4098B_Spring2026_Grade!$I58="I (Incomplete)"), 0, IF(BD73&gt;=55%, 1, 0))</f>
        <v>1</v>
      </c>
      <c r="BQ73" s="165">
        <f>IF(OR(CSE4098B_Spring2026_Grade!$I58="W (Withdrawn)", CSE4098B_Spring2026_Grade!$I58="I (Incomplete)"), 0, IF(BE73&gt;=55%, 1, 0))</f>
        <v>1</v>
      </c>
      <c r="BR73" s="165">
        <f>IF(OR(CSE4098B_Spring2026_Grade!$I58="W (Withdrawn)", CSE4098B_Spring2026_Grade!$I58="I (Incomplete)"), 0, IF(BF73&gt;=55%, 1, 0))</f>
        <v>1</v>
      </c>
      <c r="BS73" s="165">
        <f>IF(OR(CSE4098B_Spring2026_Grade!$I58="W (Withdrawn)", CSE4098B_Spring2026_Grade!$I58="I (Incomplete)"), 0, IF(BG73&gt;=55%, 1, 0))</f>
        <v>1</v>
      </c>
      <c r="BT73" s="165">
        <f>IF(OR(CSE4098B_Spring2026_Grade!$I58="W (Withdrawn)", CSE4098B_Spring2026_Grade!$I58="I (Incomplete)"), 0, IF(BH73&gt;=55%, 1, 0))</f>
        <v>1</v>
      </c>
      <c r="BU73" s="165">
        <f>IF(OR(CSE4098B_Spring2026_Grade!$I58="W (Withdrawn)", CSE4098B_Spring2026_Grade!$I58="I (Incomplete)"), 0, IF(BI73&gt;=55%, 1, 0))</f>
        <v>1</v>
      </c>
      <c r="BV73" s="165">
        <f>IF(OR(CSE4098B_Spring2026_Grade!$I58="W (Withdrawn)", CSE4098B_Spring2026_Grade!$I58="I (Incomplete)"), 0, IF(BJ73&gt;=55%, 1, 0))</f>
        <v>1</v>
      </c>
      <c r="BW73" s="165">
        <f>IF(OR(CSE4098B_Spring2026_Grade!$I58="W (Withdrawn)", CSE4098B_Spring2026_Grade!$I58="I (Incomplete)"), 0, IF(BK73&gt;=55%, 1, 0))</f>
        <v>1</v>
      </c>
      <c r="BX73" s="165">
        <f>IF(OR(CSE4098B_Spring2026_Grade!$I58="W (Withdrawn)", CSE4098B_Spring2026_Grade!$I58="I (Incomplete)"), 0, IF(BL73&gt;=55%, 1, 0))</f>
        <v>1</v>
      </c>
      <c r="BY73" s="165">
        <f>IF(OR(CSE4098B_Spring2026_Grade!$I58="W (Withdrawn)", CSE4098B_Spring2026_Grade!$I58="I (Incomplete)"), 0, IF(BM73&gt;=55%, 1, 0))</f>
        <v>1</v>
      </c>
    </row>
    <row r="74">
      <c r="A74" s="153">
        <v>55.0</v>
      </c>
      <c r="B74" s="154">
        <f>CSE4098B_Spring2026_Grade!B59</f>
        <v>231014007</v>
      </c>
      <c r="C74" s="96" t="str">
        <f>CSE4098B_Spring2026_Grade!C59</f>
        <v>Abdullah Al Baki</v>
      </c>
      <c r="D74" s="155">
        <f>'CO Report Evaluation'!AI57</f>
        <v>4.666666667</v>
      </c>
      <c r="E74" s="155">
        <f>'CO Report Evaluation'!AJ57</f>
        <v>2.666666667</v>
      </c>
      <c r="F74" s="155">
        <f>'CO Report Evaluation'!AK57</f>
        <v>2</v>
      </c>
      <c r="G74" s="156">
        <f>'CO Report Evaluation'!AL57</f>
        <v>2.333333333</v>
      </c>
      <c r="H74" s="156">
        <f>'CO Report Evaluation'!AM57</f>
        <v>2</v>
      </c>
      <c r="I74" s="157">
        <f>'CO Report Evaluation'!AN57</f>
        <v>4</v>
      </c>
      <c r="J74" s="157">
        <f>'CO Report Evaluation'!AO57</f>
        <v>2.333333333</v>
      </c>
      <c r="K74" s="157">
        <f>'CO Report Evaluation'!AP57</f>
        <v>2.333333333</v>
      </c>
      <c r="L74" s="158">
        <f>'CO Report Evaluation'!AQ57</f>
        <v>2.333333333</v>
      </c>
      <c r="M74" s="159"/>
      <c r="N74" s="160"/>
      <c r="O74" s="160"/>
      <c r="P74" s="160"/>
      <c r="Q74" s="160"/>
      <c r="R74" s="156">
        <f>CSE4098B_Spring2026_Grade!F59</f>
        <v>4</v>
      </c>
      <c r="S74" s="161">
        <f>((CSE4098B_Spring2026_Grade!E59)*10)/45</f>
        <v>8.84</v>
      </c>
      <c r="T74" s="162">
        <f t="shared" ref="T74:AB74" si="174">D74</f>
        <v>4.666666667</v>
      </c>
      <c r="U74" s="163">
        <f t="shared" si="174"/>
        <v>2.666666667</v>
      </c>
      <c r="V74" s="163">
        <f t="shared" si="174"/>
        <v>2</v>
      </c>
      <c r="W74" s="163">
        <f t="shared" si="174"/>
        <v>2.333333333</v>
      </c>
      <c r="X74" s="163">
        <f t="shared" si="174"/>
        <v>2</v>
      </c>
      <c r="Y74" s="163">
        <f t="shared" si="174"/>
        <v>4</v>
      </c>
      <c r="Z74" s="163">
        <f t="shared" si="174"/>
        <v>2.333333333</v>
      </c>
      <c r="AA74" s="163">
        <f t="shared" si="174"/>
        <v>2.333333333</v>
      </c>
      <c r="AB74" s="163">
        <f t="shared" si="174"/>
        <v>2.333333333</v>
      </c>
      <c r="AC74" s="163">
        <f t="shared" ref="AC74:AD74" si="175">R74</f>
        <v>4</v>
      </c>
      <c r="AD74" s="163">
        <f t="shared" si="175"/>
        <v>8.84</v>
      </c>
      <c r="AE74" s="164">
        <f t="shared" ref="AE74:AO74" si="176">IF(T74 = 0, 0, T74/T$19)</f>
        <v>0.7777777778</v>
      </c>
      <c r="AF74" s="164">
        <f t="shared" si="176"/>
        <v>0.8888888889</v>
      </c>
      <c r="AG74" s="164">
        <f t="shared" si="176"/>
        <v>0.6666666667</v>
      </c>
      <c r="AH74" s="164">
        <f t="shared" si="176"/>
        <v>0.7777777778</v>
      </c>
      <c r="AI74" s="164">
        <f t="shared" si="176"/>
        <v>0.6666666667</v>
      </c>
      <c r="AJ74" s="164">
        <f t="shared" si="176"/>
        <v>0.6666666667</v>
      </c>
      <c r="AK74" s="164">
        <f t="shared" si="176"/>
        <v>0.7777777778</v>
      </c>
      <c r="AL74" s="164">
        <f t="shared" si="176"/>
        <v>0.7777777778</v>
      </c>
      <c r="AM74" s="164">
        <f t="shared" si="176"/>
        <v>0.7777777778</v>
      </c>
      <c r="AN74" s="164">
        <f t="shared" si="176"/>
        <v>0.8</v>
      </c>
      <c r="AO74" s="164">
        <f t="shared" si="176"/>
        <v>0.884</v>
      </c>
      <c r="AP74" s="165">
        <f>IF(OR(CSE4098B_Spring2026_Grade!$I59="W (Withdrawn)", CSE4098B_Spring2026_Grade!$I59="I (Incomplete)"), 0, IF(AE74&gt;=55%, 1, 0))</f>
        <v>1</v>
      </c>
      <c r="AQ74" s="165">
        <f>IF(OR(CSE4098B_Spring2026_Grade!$I59="W (Withdrawn)", CSE4098B_Spring2026_Grade!$I59="I (Incomplete)"), 0, IF(AF74&gt;=55%, 1, 0))</f>
        <v>1</v>
      </c>
      <c r="AR74" s="165">
        <f>IF(OR(CSE4098B_Spring2026_Grade!$I59="W (Withdrawn)", CSE4098B_Spring2026_Grade!$I59="I (Incomplete)"), 0, IF(AG74&gt;=55%, 1, 0))</f>
        <v>1</v>
      </c>
      <c r="AS74" s="165">
        <f>IF(OR(CSE4098B_Spring2026_Grade!$I59="W (Withdrawn)", CSE4098B_Spring2026_Grade!$I59="I (Incomplete)"), 0, IF(AH74&gt;=55%, 1, 0))</f>
        <v>1</v>
      </c>
      <c r="AT74" s="165">
        <f>IF(OR(CSE4098B_Spring2026_Grade!$I59="W (Withdrawn)", CSE4098B_Spring2026_Grade!$I59="I (Incomplete)"), 0, IF(AI74&gt;=55%, 1, 0))</f>
        <v>1</v>
      </c>
      <c r="AU74" s="165">
        <f>IF(OR(CSE4098B_Spring2026_Grade!$I59="W (Withdrawn)", CSE4098B_Spring2026_Grade!$I59="I (Incomplete)"), 0, IF(AJ74&gt;=55%, 1, 0))</f>
        <v>1</v>
      </c>
      <c r="AV74" s="165">
        <f>IF(OR(CSE4098B_Spring2026_Grade!$I59="W (Withdrawn)", CSE4098B_Spring2026_Grade!$I59="I (Incomplete)"), 0, IF(AK74&gt;=55%, 1, 0))</f>
        <v>1</v>
      </c>
      <c r="AW74" s="165">
        <f>IF(OR(CSE4098B_Spring2026_Grade!$I59="W (Withdrawn)", CSE4098B_Spring2026_Grade!$I59="I (Incomplete)"), 0, IF(AL74&gt;=55%, 1, 0))</f>
        <v>1</v>
      </c>
      <c r="AX74" s="165">
        <f>IF(OR(CSE4098B_Spring2026_Grade!$I59="W (Withdrawn)", CSE4098B_Spring2026_Grade!$I59="I (Incomplete)"), 0, IF(AM74&gt;=55%, 1, 0))</f>
        <v>1</v>
      </c>
      <c r="AY74" s="165">
        <f>IF(OR(CSE4098B_Spring2026_Grade!$I59="W (Withdrawn)", CSE4098B_Spring2026_Grade!$I59="I (Incomplete)"), 0, IF(AN74&gt;=55%, 1, 0))</f>
        <v>1</v>
      </c>
      <c r="AZ74" s="165">
        <f>IF(OR(CSE4098B_Spring2026_Grade!$I59="W (Withdrawn)", CSE4098B_Spring2026_Grade!$I59="I (Incomplete)"), 0, IF(AO74&gt;=55%, 1, 0))</f>
        <v>1</v>
      </c>
      <c r="BA74" s="76"/>
      <c r="BB74" s="166">
        <f t="shared" si="13"/>
        <v>0</v>
      </c>
      <c r="BC74" s="166">
        <f t="shared" si="14"/>
        <v>0.8888888889</v>
      </c>
      <c r="BD74" s="166">
        <f t="array" ref="BD74">IF($BC$14=0,0,MMULT($AE74:$AO74, BC$3:BC$13)/$BC$14)</f>
        <v>0.6666666667</v>
      </c>
      <c r="BE74" s="166">
        <f t="array" ref="BE74">IF($BD$14=0,0,MMULT($AE74:$AO74, BD$3:BD$13)/$BD$14)</f>
        <v>0.6666666667</v>
      </c>
      <c r="BF74" s="166">
        <f t="shared" si="15"/>
        <v>0.7777777778</v>
      </c>
      <c r="BG74" s="166">
        <f t="array" ref="BG74">IF($BF$14=0,0,MMULT($AE74:$AO74, BF$3:BF$13)/$BF$14)</f>
        <v>0.7777777778</v>
      </c>
      <c r="BH74" s="166">
        <f t="array" ref="BH74">IF($BG$14=0,0,MMULT($AE74:$AO74, BG$3:BG$13)/$BG$14)</f>
        <v>0.7777777778</v>
      </c>
      <c r="BI74" s="166">
        <f t="array" ref="BI74">IF($BH$14=0,0,MMULT($AE74:$AO74, BH$3:BH$13)/$BH$14)</f>
        <v>0.7777777778</v>
      </c>
      <c r="BJ74" s="166">
        <f t="array" ref="BJ74">IF($BI$14=0,0,MMULT($AE74:$AO74, BI$3:BI$13)/$BI$14)</f>
        <v>0.8</v>
      </c>
      <c r="BK74" s="166">
        <f t="array" ref="BK74">IF($BJ$14=0,0,MMULT($AE74:$AO74, BJ$3:BJ$13)/$BJ$14)</f>
        <v>0.884</v>
      </c>
      <c r="BL74" s="166">
        <f t="shared" si="16"/>
        <v>0.6666666667</v>
      </c>
      <c r="BM74" s="166">
        <f t="shared" si="17"/>
        <v>0.7777777778</v>
      </c>
      <c r="BN74" s="165">
        <f>IF(OR(CSE4098B_Spring2026_Grade!$I59="W (Withdrawn)", CSE4098B_Spring2026_Grade!$I59="I (Incomplete)"), 0, IF(BB74&gt;=55%, 1, 0))</f>
        <v>0</v>
      </c>
      <c r="BO74" s="165">
        <f>IF(OR(CSE4098B_Spring2026_Grade!$I59="W (Withdrawn)", CSE4098B_Spring2026_Grade!$I59="I (Incomplete)"), 0, IF(BC74&gt;=55%, 1, 0))</f>
        <v>1</v>
      </c>
      <c r="BP74" s="165">
        <f>IF(OR(CSE4098B_Spring2026_Grade!$I59="W (Withdrawn)", CSE4098B_Spring2026_Grade!$I59="I (Incomplete)"), 0, IF(BD74&gt;=55%, 1, 0))</f>
        <v>1</v>
      </c>
      <c r="BQ74" s="165">
        <f>IF(OR(CSE4098B_Spring2026_Grade!$I59="W (Withdrawn)", CSE4098B_Spring2026_Grade!$I59="I (Incomplete)"), 0, IF(BE74&gt;=55%, 1, 0))</f>
        <v>1</v>
      </c>
      <c r="BR74" s="165">
        <f>IF(OR(CSE4098B_Spring2026_Grade!$I59="W (Withdrawn)", CSE4098B_Spring2026_Grade!$I59="I (Incomplete)"), 0, IF(BF74&gt;=55%, 1, 0))</f>
        <v>1</v>
      </c>
      <c r="BS74" s="165">
        <f>IF(OR(CSE4098B_Spring2026_Grade!$I59="W (Withdrawn)", CSE4098B_Spring2026_Grade!$I59="I (Incomplete)"), 0, IF(BG74&gt;=55%, 1, 0))</f>
        <v>1</v>
      </c>
      <c r="BT74" s="165">
        <f>IF(OR(CSE4098B_Spring2026_Grade!$I59="W (Withdrawn)", CSE4098B_Spring2026_Grade!$I59="I (Incomplete)"), 0, IF(BH74&gt;=55%, 1, 0))</f>
        <v>1</v>
      </c>
      <c r="BU74" s="165">
        <f>IF(OR(CSE4098B_Spring2026_Grade!$I59="W (Withdrawn)", CSE4098B_Spring2026_Grade!$I59="I (Incomplete)"), 0, IF(BI74&gt;=55%, 1, 0))</f>
        <v>1</v>
      </c>
      <c r="BV74" s="165">
        <f>IF(OR(CSE4098B_Spring2026_Grade!$I59="W (Withdrawn)", CSE4098B_Spring2026_Grade!$I59="I (Incomplete)"), 0, IF(BJ74&gt;=55%, 1, 0))</f>
        <v>1</v>
      </c>
      <c r="BW74" s="165">
        <f>IF(OR(CSE4098B_Spring2026_Grade!$I59="W (Withdrawn)", CSE4098B_Spring2026_Grade!$I59="I (Incomplete)"), 0, IF(BK74&gt;=55%, 1, 0))</f>
        <v>1</v>
      </c>
      <c r="BX74" s="165">
        <f>IF(OR(CSE4098B_Spring2026_Grade!$I59="W (Withdrawn)", CSE4098B_Spring2026_Grade!$I59="I (Incomplete)"), 0, IF(BL74&gt;=55%, 1, 0))</f>
        <v>1</v>
      </c>
      <c r="BY74" s="165">
        <f>IF(OR(CSE4098B_Spring2026_Grade!$I59="W (Withdrawn)", CSE4098B_Spring2026_Grade!$I59="I (Incomplete)"), 0, IF(BM74&gt;=55%, 1, 0))</f>
        <v>1</v>
      </c>
    </row>
    <row r="75">
      <c r="A75" s="153">
        <v>56.0</v>
      </c>
      <c r="B75" s="154">
        <f>CSE4098B_Spring2026_Grade!B60</f>
        <v>222014072</v>
      </c>
      <c r="C75" s="96" t="str">
        <f>CSE4098B_Spring2026_Grade!C60</f>
        <v>Md. Rahat Pervez</v>
      </c>
      <c r="D75" s="155">
        <f>'CO Report Evaluation'!AI58</f>
        <v>4</v>
      </c>
      <c r="E75" s="155">
        <f>'CO Report Evaluation'!AJ58</f>
        <v>2</v>
      </c>
      <c r="F75" s="155">
        <f>'CO Report Evaluation'!AK58</f>
        <v>2</v>
      </c>
      <c r="G75" s="156">
        <f>'CO Report Evaluation'!AL58</f>
        <v>3</v>
      </c>
      <c r="H75" s="156">
        <f>'CO Report Evaluation'!AM58</f>
        <v>2</v>
      </c>
      <c r="I75" s="157">
        <f>'CO Report Evaluation'!AN58</f>
        <v>4</v>
      </c>
      <c r="J75" s="157">
        <f>'CO Report Evaluation'!AO58</f>
        <v>2</v>
      </c>
      <c r="K75" s="157">
        <f>'CO Report Evaluation'!AP58</f>
        <v>2</v>
      </c>
      <c r="L75" s="158">
        <f>'CO Report Evaluation'!AQ58</f>
        <v>3</v>
      </c>
      <c r="M75" s="159"/>
      <c r="N75" s="160"/>
      <c r="O75" s="160"/>
      <c r="P75" s="160"/>
      <c r="Q75" s="160"/>
      <c r="R75" s="156">
        <f>CSE4098B_Spring2026_Grade!F60</f>
        <v>4</v>
      </c>
      <c r="S75" s="161">
        <f>((CSE4098B_Spring2026_Grade!E60)*10)/45</f>
        <v>6.32</v>
      </c>
      <c r="T75" s="162">
        <f t="shared" ref="T75:AB75" si="177">D75</f>
        <v>4</v>
      </c>
      <c r="U75" s="163">
        <f t="shared" si="177"/>
        <v>2</v>
      </c>
      <c r="V75" s="163">
        <f t="shared" si="177"/>
        <v>2</v>
      </c>
      <c r="W75" s="163">
        <f t="shared" si="177"/>
        <v>3</v>
      </c>
      <c r="X75" s="163">
        <f t="shared" si="177"/>
        <v>2</v>
      </c>
      <c r="Y75" s="163">
        <f t="shared" si="177"/>
        <v>4</v>
      </c>
      <c r="Z75" s="163">
        <f t="shared" si="177"/>
        <v>2</v>
      </c>
      <c r="AA75" s="163">
        <f t="shared" si="177"/>
        <v>2</v>
      </c>
      <c r="AB75" s="163">
        <f t="shared" si="177"/>
        <v>3</v>
      </c>
      <c r="AC75" s="163">
        <f t="shared" ref="AC75:AD75" si="178">R75</f>
        <v>4</v>
      </c>
      <c r="AD75" s="163">
        <f t="shared" si="178"/>
        <v>6.32</v>
      </c>
      <c r="AE75" s="164">
        <f t="shared" ref="AE75:AO75" si="179">IF(T75 = 0, 0, T75/T$19)</f>
        <v>0.6666666667</v>
      </c>
      <c r="AF75" s="164">
        <f t="shared" si="179"/>
        <v>0.6666666667</v>
      </c>
      <c r="AG75" s="164">
        <f t="shared" si="179"/>
        <v>0.6666666667</v>
      </c>
      <c r="AH75" s="164">
        <f t="shared" si="179"/>
        <v>1</v>
      </c>
      <c r="AI75" s="164">
        <f t="shared" si="179"/>
        <v>0.6666666667</v>
      </c>
      <c r="AJ75" s="164">
        <f t="shared" si="179"/>
        <v>0.6666666667</v>
      </c>
      <c r="AK75" s="164">
        <f t="shared" si="179"/>
        <v>0.6666666667</v>
      </c>
      <c r="AL75" s="164">
        <f t="shared" si="179"/>
        <v>0.6666666667</v>
      </c>
      <c r="AM75" s="164">
        <f t="shared" si="179"/>
        <v>1</v>
      </c>
      <c r="AN75" s="164">
        <f t="shared" si="179"/>
        <v>0.8</v>
      </c>
      <c r="AO75" s="164">
        <f t="shared" si="179"/>
        <v>0.632</v>
      </c>
      <c r="AP75" s="165">
        <f>IF(OR(CSE4098B_Spring2026_Grade!$I60="W (Withdrawn)", CSE4098B_Spring2026_Grade!$I60="I (Incomplete)"), 0, IF(AE75&gt;=55%, 1, 0))</f>
        <v>1</v>
      </c>
      <c r="AQ75" s="165">
        <f>IF(OR(CSE4098B_Spring2026_Grade!$I60="W (Withdrawn)", CSE4098B_Spring2026_Grade!$I60="I (Incomplete)"), 0, IF(AF75&gt;=55%, 1, 0))</f>
        <v>1</v>
      </c>
      <c r="AR75" s="165">
        <f>IF(OR(CSE4098B_Spring2026_Grade!$I60="W (Withdrawn)", CSE4098B_Spring2026_Grade!$I60="I (Incomplete)"), 0, IF(AG75&gt;=55%, 1, 0))</f>
        <v>1</v>
      </c>
      <c r="AS75" s="165">
        <f>IF(OR(CSE4098B_Spring2026_Grade!$I60="W (Withdrawn)", CSE4098B_Spring2026_Grade!$I60="I (Incomplete)"), 0, IF(AH75&gt;=55%, 1, 0))</f>
        <v>1</v>
      </c>
      <c r="AT75" s="165">
        <f>IF(OR(CSE4098B_Spring2026_Grade!$I60="W (Withdrawn)", CSE4098B_Spring2026_Grade!$I60="I (Incomplete)"), 0, IF(AI75&gt;=55%, 1, 0))</f>
        <v>1</v>
      </c>
      <c r="AU75" s="165">
        <f>IF(OR(CSE4098B_Spring2026_Grade!$I60="W (Withdrawn)", CSE4098B_Spring2026_Grade!$I60="I (Incomplete)"), 0, IF(AJ75&gt;=55%, 1, 0))</f>
        <v>1</v>
      </c>
      <c r="AV75" s="165">
        <f>IF(OR(CSE4098B_Spring2026_Grade!$I60="W (Withdrawn)", CSE4098B_Spring2026_Grade!$I60="I (Incomplete)"), 0, IF(AK75&gt;=55%, 1, 0))</f>
        <v>1</v>
      </c>
      <c r="AW75" s="165">
        <f>IF(OR(CSE4098B_Spring2026_Grade!$I60="W (Withdrawn)", CSE4098B_Spring2026_Grade!$I60="I (Incomplete)"), 0, IF(AL75&gt;=55%, 1, 0))</f>
        <v>1</v>
      </c>
      <c r="AX75" s="165">
        <f>IF(OR(CSE4098B_Spring2026_Grade!$I60="W (Withdrawn)", CSE4098B_Spring2026_Grade!$I60="I (Incomplete)"), 0, IF(AM75&gt;=55%, 1, 0))</f>
        <v>1</v>
      </c>
      <c r="AY75" s="165">
        <f>IF(OR(CSE4098B_Spring2026_Grade!$I60="W (Withdrawn)", CSE4098B_Spring2026_Grade!$I60="I (Incomplete)"), 0, IF(AN75&gt;=55%, 1, 0))</f>
        <v>1</v>
      </c>
      <c r="AZ75" s="165">
        <f>IF(OR(CSE4098B_Spring2026_Grade!$I60="W (Withdrawn)", CSE4098B_Spring2026_Grade!$I60="I (Incomplete)"), 0, IF(AO75&gt;=55%, 1, 0))</f>
        <v>1</v>
      </c>
      <c r="BA75" s="76"/>
      <c r="BB75" s="166">
        <f t="shared" si="13"/>
        <v>0</v>
      </c>
      <c r="BC75" s="166">
        <f t="shared" si="14"/>
        <v>0.6666666667</v>
      </c>
      <c r="BD75" s="166">
        <f t="array" ref="BD75">IF($BC$14=0,0,MMULT($AE75:$AO75, BC$3:BC$13)/$BC$14)</f>
        <v>0.6666666667</v>
      </c>
      <c r="BE75" s="166">
        <f t="array" ref="BE75">IF($BD$14=0,0,MMULT($AE75:$AO75, BD$3:BD$13)/$BD$14)</f>
        <v>0.6666666667</v>
      </c>
      <c r="BF75" s="166">
        <f t="shared" si="15"/>
        <v>1</v>
      </c>
      <c r="BG75" s="166">
        <f t="array" ref="BG75">IF($BF$14=0,0,MMULT($AE75:$AO75, BF$3:BF$13)/$BF$14)</f>
        <v>0.6666666667</v>
      </c>
      <c r="BH75" s="166">
        <f t="array" ref="BH75">IF($BG$14=0,0,MMULT($AE75:$AO75, BG$3:BG$13)/$BG$14)</f>
        <v>0.6666666667</v>
      </c>
      <c r="BI75" s="166">
        <f t="array" ref="BI75">IF($BH$14=0,0,MMULT($AE75:$AO75, BH$3:BH$13)/$BH$14)</f>
        <v>1</v>
      </c>
      <c r="BJ75" s="166">
        <f t="array" ref="BJ75">IF($BI$14=0,0,MMULT($AE75:$AO75, BI$3:BI$13)/$BI$14)</f>
        <v>0.8</v>
      </c>
      <c r="BK75" s="166">
        <f t="array" ref="BK75">IF($BJ$14=0,0,MMULT($AE75:$AO75, BJ$3:BJ$13)/$BJ$14)</f>
        <v>0.632</v>
      </c>
      <c r="BL75" s="166">
        <f t="shared" si="16"/>
        <v>0.6666666667</v>
      </c>
      <c r="BM75" s="166">
        <f t="shared" si="17"/>
        <v>0.6666666667</v>
      </c>
      <c r="BN75" s="165">
        <f>IF(OR(CSE4098B_Spring2026_Grade!$I60="W (Withdrawn)", CSE4098B_Spring2026_Grade!$I60="I (Incomplete)"), 0, IF(BB75&gt;=55%, 1, 0))</f>
        <v>0</v>
      </c>
      <c r="BO75" s="165">
        <f>IF(OR(CSE4098B_Spring2026_Grade!$I60="W (Withdrawn)", CSE4098B_Spring2026_Grade!$I60="I (Incomplete)"), 0, IF(BC75&gt;=55%, 1, 0))</f>
        <v>1</v>
      </c>
      <c r="BP75" s="165">
        <f>IF(OR(CSE4098B_Spring2026_Grade!$I60="W (Withdrawn)", CSE4098B_Spring2026_Grade!$I60="I (Incomplete)"), 0, IF(BD75&gt;=55%, 1, 0))</f>
        <v>1</v>
      </c>
      <c r="BQ75" s="165">
        <f>IF(OR(CSE4098B_Spring2026_Grade!$I60="W (Withdrawn)", CSE4098B_Spring2026_Grade!$I60="I (Incomplete)"), 0, IF(BE75&gt;=55%, 1, 0))</f>
        <v>1</v>
      </c>
      <c r="BR75" s="165">
        <f>IF(OR(CSE4098B_Spring2026_Grade!$I60="W (Withdrawn)", CSE4098B_Spring2026_Grade!$I60="I (Incomplete)"), 0, IF(BF75&gt;=55%, 1, 0))</f>
        <v>1</v>
      </c>
      <c r="BS75" s="165">
        <f>IF(OR(CSE4098B_Spring2026_Grade!$I60="W (Withdrawn)", CSE4098B_Spring2026_Grade!$I60="I (Incomplete)"), 0, IF(BG75&gt;=55%, 1, 0))</f>
        <v>1</v>
      </c>
      <c r="BT75" s="165">
        <f>IF(OR(CSE4098B_Spring2026_Grade!$I60="W (Withdrawn)", CSE4098B_Spring2026_Grade!$I60="I (Incomplete)"), 0, IF(BH75&gt;=55%, 1, 0))</f>
        <v>1</v>
      </c>
      <c r="BU75" s="165">
        <f>IF(OR(CSE4098B_Spring2026_Grade!$I60="W (Withdrawn)", CSE4098B_Spring2026_Grade!$I60="I (Incomplete)"), 0, IF(BI75&gt;=55%, 1, 0))</f>
        <v>1</v>
      </c>
      <c r="BV75" s="165">
        <f>IF(OR(CSE4098B_Spring2026_Grade!$I60="W (Withdrawn)", CSE4098B_Spring2026_Grade!$I60="I (Incomplete)"), 0, IF(BJ75&gt;=55%, 1, 0))</f>
        <v>1</v>
      </c>
      <c r="BW75" s="165">
        <f>IF(OR(CSE4098B_Spring2026_Grade!$I60="W (Withdrawn)", CSE4098B_Spring2026_Grade!$I60="I (Incomplete)"), 0, IF(BK75&gt;=55%, 1, 0))</f>
        <v>1</v>
      </c>
      <c r="BX75" s="165">
        <f>IF(OR(CSE4098B_Spring2026_Grade!$I60="W (Withdrawn)", CSE4098B_Spring2026_Grade!$I60="I (Incomplete)"), 0, IF(BL75&gt;=55%, 1, 0))</f>
        <v>1</v>
      </c>
      <c r="BY75" s="165">
        <f>IF(OR(CSE4098B_Spring2026_Grade!$I60="W (Withdrawn)", CSE4098B_Spring2026_Grade!$I60="I (Incomplete)"), 0, IF(BM75&gt;=55%, 1, 0))</f>
        <v>1</v>
      </c>
    </row>
    <row r="76">
      <c r="A76" s="153">
        <v>57.0</v>
      </c>
      <c r="B76" s="154">
        <f>CSE4098B_Spring2026_Grade!B61</f>
        <v>222014097</v>
      </c>
      <c r="C76" s="96" t="str">
        <f>CSE4098B_Spring2026_Grade!C61</f>
        <v>Md. Abul Hashem</v>
      </c>
      <c r="D76" s="155">
        <f>'CO Report Evaluation'!AI59</f>
        <v>4</v>
      </c>
      <c r="E76" s="155">
        <f>'CO Report Evaluation'!AJ59</f>
        <v>2</v>
      </c>
      <c r="F76" s="155">
        <f>'CO Report Evaluation'!AK59</f>
        <v>2</v>
      </c>
      <c r="G76" s="156">
        <f>'CO Report Evaluation'!AL59</f>
        <v>3</v>
      </c>
      <c r="H76" s="156">
        <f>'CO Report Evaluation'!AM59</f>
        <v>2</v>
      </c>
      <c r="I76" s="157">
        <f>'CO Report Evaluation'!AN59</f>
        <v>4</v>
      </c>
      <c r="J76" s="157">
        <f>'CO Report Evaluation'!AO59</f>
        <v>2</v>
      </c>
      <c r="K76" s="157">
        <f>'CO Report Evaluation'!AP59</f>
        <v>2</v>
      </c>
      <c r="L76" s="158">
        <f>'CO Report Evaluation'!AQ59</f>
        <v>3</v>
      </c>
      <c r="M76" s="159"/>
      <c r="N76" s="160"/>
      <c r="O76" s="160"/>
      <c r="P76" s="160"/>
      <c r="Q76" s="160"/>
      <c r="R76" s="156">
        <f>CSE4098B_Spring2026_Grade!F61</f>
        <v>4</v>
      </c>
      <c r="S76" s="161">
        <f>((CSE4098B_Spring2026_Grade!E61)*10)/45</f>
        <v>5.942222222</v>
      </c>
      <c r="T76" s="162">
        <f t="shared" ref="T76:AB76" si="180">D76</f>
        <v>4</v>
      </c>
      <c r="U76" s="163">
        <f t="shared" si="180"/>
        <v>2</v>
      </c>
      <c r="V76" s="163">
        <f t="shared" si="180"/>
        <v>2</v>
      </c>
      <c r="W76" s="163">
        <f t="shared" si="180"/>
        <v>3</v>
      </c>
      <c r="X76" s="163">
        <f t="shared" si="180"/>
        <v>2</v>
      </c>
      <c r="Y76" s="163">
        <f t="shared" si="180"/>
        <v>4</v>
      </c>
      <c r="Z76" s="163">
        <f t="shared" si="180"/>
        <v>2</v>
      </c>
      <c r="AA76" s="163">
        <f t="shared" si="180"/>
        <v>2</v>
      </c>
      <c r="AB76" s="163">
        <f t="shared" si="180"/>
        <v>3</v>
      </c>
      <c r="AC76" s="163">
        <f t="shared" ref="AC76:AD76" si="181">R76</f>
        <v>4</v>
      </c>
      <c r="AD76" s="163">
        <f t="shared" si="181"/>
        <v>5.942222222</v>
      </c>
      <c r="AE76" s="164">
        <f t="shared" ref="AE76:AO76" si="182">IF(T76 = 0, 0, T76/T$19)</f>
        <v>0.6666666667</v>
      </c>
      <c r="AF76" s="164">
        <f t="shared" si="182"/>
        <v>0.6666666667</v>
      </c>
      <c r="AG76" s="164">
        <f t="shared" si="182"/>
        <v>0.6666666667</v>
      </c>
      <c r="AH76" s="164">
        <f t="shared" si="182"/>
        <v>1</v>
      </c>
      <c r="AI76" s="164">
        <f t="shared" si="182"/>
        <v>0.6666666667</v>
      </c>
      <c r="AJ76" s="164">
        <f t="shared" si="182"/>
        <v>0.6666666667</v>
      </c>
      <c r="AK76" s="164">
        <f t="shared" si="182"/>
        <v>0.6666666667</v>
      </c>
      <c r="AL76" s="164">
        <f t="shared" si="182"/>
        <v>0.6666666667</v>
      </c>
      <c r="AM76" s="164">
        <f t="shared" si="182"/>
        <v>1</v>
      </c>
      <c r="AN76" s="164">
        <f t="shared" si="182"/>
        <v>0.8</v>
      </c>
      <c r="AO76" s="164">
        <f t="shared" si="182"/>
        <v>0.5942222222</v>
      </c>
      <c r="AP76" s="165">
        <f>IF(OR(CSE4098B_Spring2026_Grade!$I61="W (Withdrawn)", CSE4098B_Spring2026_Grade!$I61="I (Incomplete)"), 0, IF(AE76&gt;=55%, 1, 0))</f>
        <v>1</v>
      </c>
      <c r="AQ76" s="165">
        <f>IF(OR(CSE4098B_Spring2026_Grade!$I61="W (Withdrawn)", CSE4098B_Spring2026_Grade!$I61="I (Incomplete)"), 0, IF(AF76&gt;=55%, 1, 0))</f>
        <v>1</v>
      </c>
      <c r="AR76" s="165">
        <f>IF(OR(CSE4098B_Spring2026_Grade!$I61="W (Withdrawn)", CSE4098B_Spring2026_Grade!$I61="I (Incomplete)"), 0, IF(AG76&gt;=55%, 1, 0))</f>
        <v>1</v>
      </c>
      <c r="AS76" s="165">
        <f>IF(OR(CSE4098B_Spring2026_Grade!$I61="W (Withdrawn)", CSE4098B_Spring2026_Grade!$I61="I (Incomplete)"), 0, IF(AH76&gt;=55%, 1, 0))</f>
        <v>1</v>
      </c>
      <c r="AT76" s="165">
        <f>IF(OR(CSE4098B_Spring2026_Grade!$I61="W (Withdrawn)", CSE4098B_Spring2026_Grade!$I61="I (Incomplete)"), 0, IF(AI76&gt;=55%, 1, 0))</f>
        <v>1</v>
      </c>
      <c r="AU76" s="165">
        <f>IF(OR(CSE4098B_Spring2026_Grade!$I61="W (Withdrawn)", CSE4098B_Spring2026_Grade!$I61="I (Incomplete)"), 0, IF(AJ76&gt;=55%, 1, 0))</f>
        <v>1</v>
      </c>
      <c r="AV76" s="165">
        <f>IF(OR(CSE4098B_Spring2026_Grade!$I61="W (Withdrawn)", CSE4098B_Spring2026_Grade!$I61="I (Incomplete)"), 0, IF(AK76&gt;=55%, 1, 0))</f>
        <v>1</v>
      </c>
      <c r="AW76" s="165">
        <f>IF(OR(CSE4098B_Spring2026_Grade!$I61="W (Withdrawn)", CSE4098B_Spring2026_Grade!$I61="I (Incomplete)"), 0, IF(AL76&gt;=55%, 1, 0))</f>
        <v>1</v>
      </c>
      <c r="AX76" s="165">
        <f>IF(OR(CSE4098B_Spring2026_Grade!$I61="W (Withdrawn)", CSE4098B_Spring2026_Grade!$I61="I (Incomplete)"), 0, IF(AM76&gt;=55%, 1, 0))</f>
        <v>1</v>
      </c>
      <c r="AY76" s="165">
        <f>IF(OR(CSE4098B_Spring2026_Grade!$I61="W (Withdrawn)", CSE4098B_Spring2026_Grade!$I61="I (Incomplete)"), 0, IF(AN76&gt;=55%, 1, 0))</f>
        <v>1</v>
      </c>
      <c r="AZ76" s="165">
        <f>IF(OR(CSE4098B_Spring2026_Grade!$I61="W (Withdrawn)", CSE4098B_Spring2026_Grade!$I61="I (Incomplete)"), 0, IF(AO76&gt;=55%, 1, 0))</f>
        <v>1</v>
      </c>
      <c r="BA76" s="76"/>
      <c r="BB76" s="166">
        <f t="shared" si="13"/>
        <v>0</v>
      </c>
      <c r="BC76" s="166">
        <f t="shared" si="14"/>
        <v>0.6666666667</v>
      </c>
      <c r="BD76" s="166">
        <f t="array" ref="BD76">IF($BC$14=0,0,MMULT($AE76:$AO76, BC$3:BC$13)/$BC$14)</f>
        <v>0.6666666667</v>
      </c>
      <c r="BE76" s="166">
        <f t="array" ref="BE76">IF($BD$14=0,0,MMULT($AE76:$AO76, BD$3:BD$13)/$BD$14)</f>
        <v>0.6666666667</v>
      </c>
      <c r="BF76" s="166">
        <f t="shared" si="15"/>
        <v>1</v>
      </c>
      <c r="BG76" s="166">
        <f t="array" ref="BG76">IF($BF$14=0,0,MMULT($AE76:$AO76, BF$3:BF$13)/$BF$14)</f>
        <v>0.6666666667</v>
      </c>
      <c r="BH76" s="166">
        <f t="array" ref="BH76">IF($BG$14=0,0,MMULT($AE76:$AO76, BG$3:BG$13)/$BG$14)</f>
        <v>0.6666666667</v>
      </c>
      <c r="BI76" s="166">
        <f t="array" ref="BI76">IF($BH$14=0,0,MMULT($AE76:$AO76, BH$3:BH$13)/$BH$14)</f>
        <v>1</v>
      </c>
      <c r="BJ76" s="166">
        <f t="array" ref="BJ76">IF($BI$14=0,0,MMULT($AE76:$AO76, BI$3:BI$13)/$BI$14)</f>
        <v>0.8</v>
      </c>
      <c r="BK76" s="166">
        <f t="array" ref="BK76">IF($BJ$14=0,0,MMULT($AE76:$AO76, BJ$3:BJ$13)/$BJ$14)</f>
        <v>0.5942222222</v>
      </c>
      <c r="BL76" s="166">
        <f t="shared" si="16"/>
        <v>0.6666666667</v>
      </c>
      <c r="BM76" s="166">
        <f t="shared" si="17"/>
        <v>0.6666666667</v>
      </c>
      <c r="BN76" s="165">
        <f>IF(OR(CSE4098B_Spring2026_Grade!$I61="W (Withdrawn)", CSE4098B_Spring2026_Grade!$I61="I (Incomplete)"), 0, IF(BB76&gt;=55%, 1, 0))</f>
        <v>0</v>
      </c>
      <c r="BO76" s="165">
        <f>IF(OR(CSE4098B_Spring2026_Grade!$I61="W (Withdrawn)", CSE4098B_Spring2026_Grade!$I61="I (Incomplete)"), 0, IF(BC76&gt;=55%, 1, 0))</f>
        <v>1</v>
      </c>
      <c r="BP76" s="165">
        <f>IF(OR(CSE4098B_Spring2026_Grade!$I61="W (Withdrawn)", CSE4098B_Spring2026_Grade!$I61="I (Incomplete)"), 0, IF(BD76&gt;=55%, 1, 0))</f>
        <v>1</v>
      </c>
      <c r="BQ76" s="165">
        <f>IF(OR(CSE4098B_Spring2026_Grade!$I61="W (Withdrawn)", CSE4098B_Spring2026_Grade!$I61="I (Incomplete)"), 0, IF(BE76&gt;=55%, 1, 0))</f>
        <v>1</v>
      </c>
      <c r="BR76" s="165">
        <f>IF(OR(CSE4098B_Spring2026_Grade!$I61="W (Withdrawn)", CSE4098B_Spring2026_Grade!$I61="I (Incomplete)"), 0, IF(BF76&gt;=55%, 1, 0))</f>
        <v>1</v>
      </c>
      <c r="BS76" s="165">
        <f>IF(OR(CSE4098B_Spring2026_Grade!$I61="W (Withdrawn)", CSE4098B_Spring2026_Grade!$I61="I (Incomplete)"), 0, IF(BG76&gt;=55%, 1, 0))</f>
        <v>1</v>
      </c>
      <c r="BT76" s="165">
        <f>IF(OR(CSE4098B_Spring2026_Grade!$I61="W (Withdrawn)", CSE4098B_Spring2026_Grade!$I61="I (Incomplete)"), 0, IF(BH76&gt;=55%, 1, 0))</f>
        <v>1</v>
      </c>
      <c r="BU76" s="165">
        <f>IF(OR(CSE4098B_Spring2026_Grade!$I61="W (Withdrawn)", CSE4098B_Spring2026_Grade!$I61="I (Incomplete)"), 0, IF(BI76&gt;=55%, 1, 0))</f>
        <v>1</v>
      </c>
      <c r="BV76" s="165">
        <f>IF(OR(CSE4098B_Spring2026_Grade!$I61="W (Withdrawn)", CSE4098B_Spring2026_Grade!$I61="I (Incomplete)"), 0, IF(BJ76&gt;=55%, 1, 0))</f>
        <v>1</v>
      </c>
      <c r="BW76" s="165">
        <f>IF(OR(CSE4098B_Spring2026_Grade!$I61="W (Withdrawn)", CSE4098B_Spring2026_Grade!$I61="I (Incomplete)"), 0, IF(BK76&gt;=55%, 1, 0))</f>
        <v>1</v>
      </c>
      <c r="BX76" s="165">
        <f>IF(OR(CSE4098B_Spring2026_Grade!$I61="W (Withdrawn)", CSE4098B_Spring2026_Grade!$I61="I (Incomplete)"), 0, IF(BL76&gt;=55%, 1, 0))</f>
        <v>1</v>
      </c>
      <c r="BY76" s="165">
        <f>IF(OR(CSE4098B_Spring2026_Grade!$I61="W (Withdrawn)", CSE4098B_Spring2026_Grade!$I61="I (Incomplete)"), 0, IF(BM76&gt;=55%, 1, 0))</f>
        <v>1</v>
      </c>
    </row>
    <row r="77">
      <c r="A77" s="153">
        <v>58.0</v>
      </c>
      <c r="B77" s="154">
        <f>CSE4098B_Spring2026_Grade!B62</f>
        <v>222014040</v>
      </c>
      <c r="C77" s="96" t="str">
        <f>CSE4098B_Spring2026_Grade!C62</f>
        <v>Md. Fiaz Anam Tasfi</v>
      </c>
      <c r="D77" s="155">
        <f>'CO Report Evaluation'!AI60</f>
        <v>4</v>
      </c>
      <c r="E77" s="155">
        <f>'CO Report Evaluation'!AJ60</f>
        <v>2</v>
      </c>
      <c r="F77" s="155">
        <f>'CO Report Evaluation'!AK60</f>
        <v>2</v>
      </c>
      <c r="G77" s="156">
        <f>'CO Report Evaluation'!AL60</f>
        <v>3</v>
      </c>
      <c r="H77" s="156">
        <f>'CO Report Evaluation'!AM60</f>
        <v>2</v>
      </c>
      <c r="I77" s="157">
        <f>'CO Report Evaluation'!AN60</f>
        <v>4</v>
      </c>
      <c r="J77" s="157">
        <f>'CO Report Evaluation'!AO60</f>
        <v>2</v>
      </c>
      <c r="K77" s="157">
        <f>'CO Report Evaluation'!AP60</f>
        <v>2</v>
      </c>
      <c r="L77" s="158">
        <f>'CO Report Evaluation'!AQ60</f>
        <v>3</v>
      </c>
      <c r="M77" s="159"/>
      <c r="N77" s="160"/>
      <c r="O77" s="160"/>
      <c r="P77" s="160"/>
      <c r="Q77" s="160"/>
      <c r="R77" s="156">
        <f>CSE4098B_Spring2026_Grade!F62</f>
        <v>3</v>
      </c>
      <c r="S77" s="161">
        <f>((CSE4098B_Spring2026_Grade!E62)*10)/45</f>
        <v>5.811111111</v>
      </c>
      <c r="T77" s="162">
        <f t="shared" ref="T77:AB77" si="183">D77</f>
        <v>4</v>
      </c>
      <c r="U77" s="163">
        <f t="shared" si="183"/>
        <v>2</v>
      </c>
      <c r="V77" s="163">
        <f t="shared" si="183"/>
        <v>2</v>
      </c>
      <c r="W77" s="163">
        <f t="shared" si="183"/>
        <v>3</v>
      </c>
      <c r="X77" s="163">
        <f t="shared" si="183"/>
        <v>2</v>
      </c>
      <c r="Y77" s="163">
        <f t="shared" si="183"/>
        <v>4</v>
      </c>
      <c r="Z77" s="163">
        <f t="shared" si="183"/>
        <v>2</v>
      </c>
      <c r="AA77" s="163">
        <f t="shared" si="183"/>
        <v>2</v>
      </c>
      <c r="AB77" s="163">
        <f t="shared" si="183"/>
        <v>3</v>
      </c>
      <c r="AC77" s="163">
        <f t="shared" ref="AC77:AD77" si="184">R77</f>
        <v>3</v>
      </c>
      <c r="AD77" s="163">
        <f t="shared" si="184"/>
        <v>5.811111111</v>
      </c>
      <c r="AE77" s="164">
        <f t="shared" ref="AE77:AO77" si="185">IF(T77 = 0, 0, T77/T$19)</f>
        <v>0.6666666667</v>
      </c>
      <c r="AF77" s="164">
        <f t="shared" si="185"/>
        <v>0.6666666667</v>
      </c>
      <c r="AG77" s="164">
        <f t="shared" si="185"/>
        <v>0.6666666667</v>
      </c>
      <c r="AH77" s="164">
        <f t="shared" si="185"/>
        <v>1</v>
      </c>
      <c r="AI77" s="164">
        <f t="shared" si="185"/>
        <v>0.6666666667</v>
      </c>
      <c r="AJ77" s="164">
        <f t="shared" si="185"/>
        <v>0.6666666667</v>
      </c>
      <c r="AK77" s="164">
        <f t="shared" si="185"/>
        <v>0.6666666667</v>
      </c>
      <c r="AL77" s="164">
        <f t="shared" si="185"/>
        <v>0.6666666667</v>
      </c>
      <c r="AM77" s="164">
        <f t="shared" si="185"/>
        <v>1</v>
      </c>
      <c r="AN77" s="164">
        <f t="shared" si="185"/>
        <v>0.6</v>
      </c>
      <c r="AO77" s="164">
        <f t="shared" si="185"/>
        <v>0.5811111111</v>
      </c>
      <c r="AP77" s="165">
        <f>IF(OR(CSE4098B_Spring2026_Grade!$I62="W (Withdrawn)", CSE4098B_Spring2026_Grade!$I62="I (Incomplete)"), 0, IF(AE77&gt;=55%, 1, 0))</f>
        <v>1</v>
      </c>
      <c r="AQ77" s="165">
        <f>IF(OR(CSE4098B_Spring2026_Grade!$I62="W (Withdrawn)", CSE4098B_Spring2026_Grade!$I62="I (Incomplete)"), 0, IF(AF77&gt;=55%, 1, 0))</f>
        <v>1</v>
      </c>
      <c r="AR77" s="165">
        <f>IF(OR(CSE4098B_Spring2026_Grade!$I62="W (Withdrawn)", CSE4098B_Spring2026_Grade!$I62="I (Incomplete)"), 0, IF(AG77&gt;=55%, 1, 0))</f>
        <v>1</v>
      </c>
      <c r="AS77" s="165">
        <f>IF(OR(CSE4098B_Spring2026_Grade!$I62="W (Withdrawn)", CSE4098B_Spring2026_Grade!$I62="I (Incomplete)"), 0, IF(AH77&gt;=55%, 1, 0))</f>
        <v>1</v>
      </c>
      <c r="AT77" s="165">
        <f>IF(OR(CSE4098B_Spring2026_Grade!$I62="W (Withdrawn)", CSE4098B_Spring2026_Grade!$I62="I (Incomplete)"), 0, IF(AI77&gt;=55%, 1, 0))</f>
        <v>1</v>
      </c>
      <c r="AU77" s="165">
        <f>IF(OR(CSE4098B_Spring2026_Grade!$I62="W (Withdrawn)", CSE4098B_Spring2026_Grade!$I62="I (Incomplete)"), 0, IF(AJ77&gt;=55%, 1, 0))</f>
        <v>1</v>
      </c>
      <c r="AV77" s="165">
        <f>IF(OR(CSE4098B_Spring2026_Grade!$I62="W (Withdrawn)", CSE4098B_Spring2026_Grade!$I62="I (Incomplete)"), 0, IF(AK77&gt;=55%, 1, 0))</f>
        <v>1</v>
      </c>
      <c r="AW77" s="165">
        <f>IF(OR(CSE4098B_Spring2026_Grade!$I62="W (Withdrawn)", CSE4098B_Spring2026_Grade!$I62="I (Incomplete)"), 0, IF(AL77&gt;=55%, 1, 0))</f>
        <v>1</v>
      </c>
      <c r="AX77" s="165">
        <f>IF(OR(CSE4098B_Spring2026_Grade!$I62="W (Withdrawn)", CSE4098B_Spring2026_Grade!$I62="I (Incomplete)"), 0, IF(AM77&gt;=55%, 1, 0))</f>
        <v>1</v>
      </c>
      <c r="AY77" s="165">
        <f>IF(OR(CSE4098B_Spring2026_Grade!$I62="W (Withdrawn)", CSE4098B_Spring2026_Grade!$I62="I (Incomplete)"), 0, IF(AN77&gt;=55%, 1, 0))</f>
        <v>1</v>
      </c>
      <c r="AZ77" s="165">
        <f>IF(OR(CSE4098B_Spring2026_Grade!$I62="W (Withdrawn)", CSE4098B_Spring2026_Grade!$I62="I (Incomplete)"), 0, IF(AO77&gt;=55%, 1, 0))</f>
        <v>1</v>
      </c>
      <c r="BA77" s="76"/>
      <c r="BB77" s="166">
        <f t="shared" si="13"/>
        <v>0</v>
      </c>
      <c r="BC77" s="166">
        <f t="shared" si="14"/>
        <v>0.6666666667</v>
      </c>
      <c r="BD77" s="166">
        <f t="array" ref="BD77">IF($BC$14=0,0,MMULT($AE77:$AO77, BC$3:BC$13)/$BC$14)</f>
        <v>0.6666666667</v>
      </c>
      <c r="BE77" s="166">
        <f t="array" ref="BE77">IF($BD$14=0,0,MMULT($AE77:$AO77, BD$3:BD$13)/$BD$14)</f>
        <v>0.6666666667</v>
      </c>
      <c r="BF77" s="166">
        <f t="shared" si="15"/>
        <v>1</v>
      </c>
      <c r="BG77" s="166">
        <f t="array" ref="BG77">IF($BF$14=0,0,MMULT($AE77:$AO77, BF$3:BF$13)/$BF$14)</f>
        <v>0.6666666667</v>
      </c>
      <c r="BH77" s="166">
        <f t="array" ref="BH77">IF($BG$14=0,0,MMULT($AE77:$AO77, BG$3:BG$13)/$BG$14)</f>
        <v>0.6666666667</v>
      </c>
      <c r="BI77" s="166">
        <f t="array" ref="BI77">IF($BH$14=0,0,MMULT($AE77:$AO77, BH$3:BH$13)/$BH$14)</f>
        <v>1</v>
      </c>
      <c r="BJ77" s="166">
        <f t="array" ref="BJ77">IF($BI$14=0,0,MMULT($AE77:$AO77, BI$3:BI$13)/$BI$14)</f>
        <v>0.6</v>
      </c>
      <c r="BK77" s="166">
        <f t="array" ref="BK77">IF($BJ$14=0,0,MMULT($AE77:$AO77, BJ$3:BJ$13)/$BJ$14)</f>
        <v>0.5811111111</v>
      </c>
      <c r="BL77" s="166">
        <f t="shared" si="16"/>
        <v>0.6666666667</v>
      </c>
      <c r="BM77" s="166">
        <f t="shared" si="17"/>
        <v>0.6666666667</v>
      </c>
      <c r="BN77" s="165">
        <f>IF(OR(CSE4098B_Spring2026_Grade!$I62="W (Withdrawn)", CSE4098B_Spring2026_Grade!$I62="I (Incomplete)"), 0, IF(BB77&gt;=55%, 1, 0))</f>
        <v>0</v>
      </c>
      <c r="BO77" s="165">
        <f>IF(OR(CSE4098B_Spring2026_Grade!$I62="W (Withdrawn)", CSE4098B_Spring2026_Grade!$I62="I (Incomplete)"), 0, IF(BC77&gt;=55%, 1, 0))</f>
        <v>1</v>
      </c>
      <c r="BP77" s="165">
        <f>IF(OR(CSE4098B_Spring2026_Grade!$I62="W (Withdrawn)", CSE4098B_Spring2026_Grade!$I62="I (Incomplete)"), 0, IF(BD77&gt;=55%, 1, 0))</f>
        <v>1</v>
      </c>
      <c r="BQ77" s="165">
        <f>IF(OR(CSE4098B_Spring2026_Grade!$I62="W (Withdrawn)", CSE4098B_Spring2026_Grade!$I62="I (Incomplete)"), 0, IF(BE77&gt;=55%, 1, 0))</f>
        <v>1</v>
      </c>
      <c r="BR77" s="165">
        <f>IF(OR(CSE4098B_Spring2026_Grade!$I62="W (Withdrawn)", CSE4098B_Spring2026_Grade!$I62="I (Incomplete)"), 0, IF(BF77&gt;=55%, 1, 0))</f>
        <v>1</v>
      </c>
      <c r="BS77" s="165">
        <f>IF(OR(CSE4098B_Spring2026_Grade!$I62="W (Withdrawn)", CSE4098B_Spring2026_Grade!$I62="I (Incomplete)"), 0, IF(BG77&gt;=55%, 1, 0))</f>
        <v>1</v>
      </c>
      <c r="BT77" s="165">
        <f>IF(OR(CSE4098B_Spring2026_Grade!$I62="W (Withdrawn)", CSE4098B_Spring2026_Grade!$I62="I (Incomplete)"), 0, IF(BH77&gt;=55%, 1, 0))</f>
        <v>1</v>
      </c>
      <c r="BU77" s="165">
        <f>IF(OR(CSE4098B_Spring2026_Grade!$I62="W (Withdrawn)", CSE4098B_Spring2026_Grade!$I62="I (Incomplete)"), 0, IF(BI77&gt;=55%, 1, 0))</f>
        <v>1</v>
      </c>
      <c r="BV77" s="165">
        <f>IF(OR(CSE4098B_Spring2026_Grade!$I62="W (Withdrawn)", CSE4098B_Spring2026_Grade!$I62="I (Incomplete)"), 0, IF(BJ77&gt;=55%, 1, 0))</f>
        <v>1</v>
      </c>
      <c r="BW77" s="165">
        <f>IF(OR(CSE4098B_Spring2026_Grade!$I62="W (Withdrawn)", CSE4098B_Spring2026_Grade!$I62="I (Incomplete)"), 0, IF(BK77&gt;=55%, 1, 0))</f>
        <v>1</v>
      </c>
      <c r="BX77" s="165">
        <f>IF(OR(CSE4098B_Spring2026_Grade!$I62="W (Withdrawn)", CSE4098B_Spring2026_Grade!$I62="I (Incomplete)"), 0, IF(BL77&gt;=55%, 1, 0))</f>
        <v>1</v>
      </c>
      <c r="BY77" s="165">
        <f>IF(OR(CSE4098B_Spring2026_Grade!$I62="W (Withdrawn)", CSE4098B_Spring2026_Grade!$I62="I (Incomplete)"), 0, IF(BM77&gt;=55%, 1, 0))</f>
        <v>1</v>
      </c>
    </row>
    <row r="78">
      <c r="A78" s="153">
        <v>59.0</v>
      </c>
      <c r="B78" s="154">
        <f>CSE4098B_Spring2026_Grade!B63</f>
        <v>222014071</v>
      </c>
      <c r="C78" s="96" t="str">
        <f>CSE4098B_Spring2026_Grade!C63</f>
        <v>Kasfia Hossain</v>
      </c>
      <c r="D78" s="155">
        <f>'CO Report Evaluation'!AI61</f>
        <v>4</v>
      </c>
      <c r="E78" s="155">
        <f>'CO Report Evaluation'!AJ61</f>
        <v>2</v>
      </c>
      <c r="F78" s="155">
        <f>'CO Report Evaluation'!AK61</f>
        <v>2</v>
      </c>
      <c r="G78" s="156">
        <f>'CO Report Evaluation'!AL61</f>
        <v>3</v>
      </c>
      <c r="H78" s="156">
        <f>'CO Report Evaluation'!AM61</f>
        <v>2</v>
      </c>
      <c r="I78" s="157">
        <f>'CO Report Evaluation'!AN61</f>
        <v>4</v>
      </c>
      <c r="J78" s="157">
        <f>'CO Report Evaluation'!AO61</f>
        <v>2</v>
      </c>
      <c r="K78" s="157">
        <f>'CO Report Evaluation'!AP61</f>
        <v>2</v>
      </c>
      <c r="L78" s="158">
        <f>'CO Report Evaluation'!AQ61</f>
        <v>3</v>
      </c>
      <c r="M78" s="159"/>
      <c r="N78" s="160"/>
      <c r="O78" s="160"/>
      <c r="P78" s="160"/>
      <c r="Q78" s="160"/>
      <c r="R78" s="156">
        <f>CSE4098B_Spring2026_Grade!F63</f>
        <v>3</v>
      </c>
      <c r="S78" s="161">
        <f>((CSE4098B_Spring2026_Grade!E63)*10)/45</f>
        <v>5.744444444</v>
      </c>
      <c r="T78" s="162">
        <f t="shared" ref="T78:AB78" si="186">D78</f>
        <v>4</v>
      </c>
      <c r="U78" s="163">
        <f t="shared" si="186"/>
        <v>2</v>
      </c>
      <c r="V78" s="163">
        <f t="shared" si="186"/>
        <v>2</v>
      </c>
      <c r="W78" s="163">
        <f t="shared" si="186"/>
        <v>3</v>
      </c>
      <c r="X78" s="163">
        <f t="shared" si="186"/>
        <v>2</v>
      </c>
      <c r="Y78" s="163">
        <f t="shared" si="186"/>
        <v>4</v>
      </c>
      <c r="Z78" s="163">
        <f t="shared" si="186"/>
        <v>2</v>
      </c>
      <c r="AA78" s="163">
        <f t="shared" si="186"/>
        <v>2</v>
      </c>
      <c r="AB78" s="163">
        <f t="shared" si="186"/>
        <v>3</v>
      </c>
      <c r="AC78" s="163">
        <f t="shared" ref="AC78:AD78" si="187">R78</f>
        <v>3</v>
      </c>
      <c r="AD78" s="163">
        <f t="shared" si="187"/>
        <v>5.744444444</v>
      </c>
      <c r="AE78" s="164">
        <f t="shared" ref="AE78:AO78" si="188">IF(T78 = 0, 0, T78/T$19)</f>
        <v>0.6666666667</v>
      </c>
      <c r="AF78" s="164">
        <f t="shared" si="188"/>
        <v>0.6666666667</v>
      </c>
      <c r="AG78" s="164">
        <f t="shared" si="188"/>
        <v>0.6666666667</v>
      </c>
      <c r="AH78" s="164">
        <f t="shared" si="188"/>
        <v>1</v>
      </c>
      <c r="AI78" s="164">
        <f t="shared" si="188"/>
        <v>0.6666666667</v>
      </c>
      <c r="AJ78" s="164">
        <f t="shared" si="188"/>
        <v>0.6666666667</v>
      </c>
      <c r="AK78" s="164">
        <f t="shared" si="188"/>
        <v>0.6666666667</v>
      </c>
      <c r="AL78" s="164">
        <f t="shared" si="188"/>
        <v>0.6666666667</v>
      </c>
      <c r="AM78" s="164">
        <f t="shared" si="188"/>
        <v>1</v>
      </c>
      <c r="AN78" s="164">
        <f t="shared" si="188"/>
        <v>0.6</v>
      </c>
      <c r="AO78" s="164">
        <f t="shared" si="188"/>
        <v>0.5744444444</v>
      </c>
      <c r="AP78" s="165">
        <f>IF(OR(CSE4098B_Spring2026_Grade!$I63="W (Withdrawn)", CSE4098B_Spring2026_Grade!$I63="I (Incomplete)"), 0, IF(AE78&gt;=55%, 1, 0))</f>
        <v>1</v>
      </c>
      <c r="AQ78" s="165">
        <f>IF(OR(CSE4098B_Spring2026_Grade!$I63="W (Withdrawn)", CSE4098B_Spring2026_Grade!$I63="I (Incomplete)"), 0, IF(AF78&gt;=55%, 1, 0))</f>
        <v>1</v>
      </c>
      <c r="AR78" s="165">
        <f>IF(OR(CSE4098B_Spring2026_Grade!$I63="W (Withdrawn)", CSE4098B_Spring2026_Grade!$I63="I (Incomplete)"), 0, IF(AG78&gt;=55%, 1, 0))</f>
        <v>1</v>
      </c>
      <c r="AS78" s="165">
        <f>IF(OR(CSE4098B_Spring2026_Grade!$I63="W (Withdrawn)", CSE4098B_Spring2026_Grade!$I63="I (Incomplete)"), 0, IF(AH78&gt;=55%, 1, 0))</f>
        <v>1</v>
      </c>
      <c r="AT78" s="165">
        <f>IF(OR(CSE4098B_Spring2026_Grade!$I63="W (Withdrawn)", CSE4098B_Spring2026_Grade!$I63="I (Incomplete)"), 0, IF(AI78&gt;=55%, 1, 0))</f>
        <v>1</v>
      </c>
      <c r="AU78" s="165">
        <f>IF(OR(CSE4098B_Spring2026_Grade!$I63="W (Withdrawn)", CSE4098B_Spring2026_Grade!$I63="I (Incomplete)"), 0, IF(AJ78&gt;=55%, 1, 0))</f>
        <v>1</v>
      </c>
      <c r="AV78" s="165">
        <f>IF(OR(CSE4098B_Spring2026_Grade!$I63="W (Withdrawn)", CSE4098B_Spring2026_Grade!$I63="I (Incomplete)"), 0, IF(AK78&gt;=55%, 1, 0))</f>
        <v>1</v>
      </c>
      <c r="AW78" s="165">
        <f>IF(OR(CSE4098B_Spring2026_Grade!$I63="W (Withdrawn)", CSE4098B_Spring2026_Grade!$I63="I (Incomplete)"), 0, IF(AL78&gt;=55%, 1, 0))</f>
        <v>1</v>
      </c>
      <c r="AX78" s="165">
        <f>IF(OR(CSE4098B_Spring2026_Grade!$I63="W (Withdrawn)", CSE4098B_Spring2026_Grade!$I63="I (Incomplete)"), 0, IF(AM78&gt;=55%, 1, 0))</f>
        <v>1</v>
      </c>
      <c r="AY78" s="165">
        <f>IF(OR(CSE4098B_Spring2026_Grade!$I63="W (Withdrawn)", CSE4098B_Spring2026_Grade!$I63="I (Incomplete)"), 0, IF(AN78&gt;=55%, 1, 0))</f>
        <v>1</v>
      </c>
      <c r="AZ78" s="165">
        <f>IF(OR(CSE4098B_Spring2026_Grade!$I63="W (Withdrawn)", CSE4098B_Spring2026_Grade!$I63="I (Incomplete)"), 0, IF(AO78&gt;=55%, 1, 0))</f>
        <v>1</v>
      </c>
      <c r="BA78" s="76"/>
      <c r="BB78" s="166">
        <f t="shared" si="13"/>
        <v>0</v>
      </c>
      <c r="BC78" s="166">
        <f t="shared" si="14"/>
        <v>0.6666666667</v>
      </c>
      <c r="BD78" s="166">
        <f t="array" ref="BD78">IF($BC$14=0,0,MMULT($AE78:$AO78, BC$3:BC$13)/$BC$14)</f>
        <v>0.6666666667</v>
      </c>
      <c r="BE78" s="166">
        <f t="array" ref="BE78">IF($BD$14=0,0,MMULT($AE78:$AO78, BD$3:BD$13)/$BD$14)</f>
        <v>0.6666666667</v>
      </c>
      <c r="BF78" s="166">
        <f t="shared" si="15"/>
        <v>1</v>
      </c>
      <c r="BG78" s="166">
        <f t="array" ref="BG78">IF($BF$14=0,0,MMULT($AE78:$AO78, BF$3:BF$13)/$BF$14)</f>
        <v>0.6666666667</v>
      </c>
      <c r="BH78" s="166">
        <f t="array" ref="BH78">IF($BG$14=0,0,MMULT($AE78:$AO78, BG$3:BG$13)/$BG$14)</f>
        <v>0.6666666667</v>
      </c>
      <c r="BI78" s="166">
        <f t="array" ref="BI78">IF($BH$14=0,0,MMULT($AE78:$AO78, BH$3:BH$13)/$BH$14)</f>
        <v>1</v>
      </c>
      <c r="BJ78" s="166">
        <f t="array" ref="BJ78">IF($BI$14=0,0,MMULT($AE78:$AO78, BI$3:BI$13)/$BI$14)</f>
        <v>0.6</v>
      </c>
      <c r="BK78" s="166">
        <f t="array" ref="BK78">IF($BJ$14=0,0,MMULT($AE78:$AO78, BJ$3:BJ$13)/$BJ$14)</f>
        <v>0.5744444444</v>
      </c>
      <c r="BL78" s="166">
        <f t="shared" si="16"/>
        <v>0.6666666667</v>
      </c>
      <c r="BM78" s="166">
        <f t="shared" si="17"/>
        <v>0.6666666667</v>
      </c>
      <c r="BN78" s="165">
        <f>IF(OR(CSE4098B_Spring2026_Grade!$I63="W (Withdrawn)", CSE4098B_Spring2026_Grade!$I63="I (Incomplete)"), 0, IF(BB78&gt;=55%, 1, 0))</f>
        <v>0</v>
      </c>
      <c r="BO78" s="165">
        <f>IF(OR(CSE4098B_Spring2026_Grade!$I63="W (Withdrawn)", CSE4098B_Spring2026_Grade!$I63="I (Incomplete)"), 0, IF(BC78&gt;=55%, 1, 0))</f>
        <v>1</v>
      </c>
      <c r="BP78" s="165">
        <f>IF(OR(CSE4098B_Spring2026_Grade!$I63="W (Withdrawn)", CSE4098B_Spring2026_Grade!$I63="I (Incomplete)"), 0, IF(BD78&gt;=55%, 1, 0))</f>
        <v>1</v>
      </c>
      <c r="BQ78" s="165">
        <f>IF(OR(CSE4098B_Spring2026_Grade!$I63="W (Withdrawn)", CSE4098B_Spring2026_Grade!$I63="I (Incomplete)"), 0, IF(BE78&gt;=55%, 1, 0))</f>
        <v>1</v>
      </c>
      <c r="BR78" s="165">
        <f>IF(OR(CSE4098B_Spring2026_Grade!$I63="W (Withdrawn)", CSE4098B_Spring2026_Grade!$I63="I (Incomplete)"), 0, IF(BF78&gt;=55%, 1, 0))</f>
        <v>1</v>
      </c>
      <c r="BS78" s="165">
        <f>IF(OR(CSE4098B_Spring2026_Grade!$I63="W (Withdrawn)", CSE4098B_Spring2026_Grade!$I63="I (Incomplete)"), 0, IF(BG78&gt;=55%, 1, 0))</f>
        <v>1</v>
      </c>
      <c r="BT78" s="165">
        <f>IF(OR(CSE4098B_Spring2026_Grade!$I63="W (Withdrawn)", CSE4098B_Spring2026_Grade!$I63="I (Incomplete)"), 0, IF(BH78&gt;=55%, 1, 0))</f>
        <v>1</v>
      </c>
      <c r="BU78" s="165">
        <f>IF(OR(CSE4098B_Spring2026_Grade!$I63="W (Withdrawn)", CSE4098B_Spring2026_Grade!$I63="I (Incomplete)"), 0, IF(BI78&gt;=55%, 1, 0))</f>
        <v>1</v>
      </c>
      <c r="BV78" s="165">
        <f>IF(OR(CSE4098B_Spring2026_Grade!$I63="W (Withdrawn)", CSE4098B_Spring2026_Grade!$I63="I (Incomplete)"), 0, IF(BJ78&gt;=55%, 1, 0))</f>
        <v>1</v>
      </c>
      <c r="BW78" s="165">
        <f>IF(OR(CSE4098B_Spring2026_Grade!$I63="W (Withdrawn)", CSE4098B_Spring2026_Grade!$I63="I (Incomplete)"), 0, IF(BK78&gt;=55%, 1, 0))</f>
        <v>1</v>
      </c>
      <c r="BX78" s="165">
        <f>IF(OR(CSE4098B_Spring2026_Grade!$I63="W (Withdrawn)", CSE4098B_Spring2026_Grade!$I63="I (Incomplete)"), 0, IF(BL78&gt;=55%, 1, 0))</f>
        <v>1</v>
      </c>
      <c r="BY78" s="165">
        <f>IF(OR(CSE4098B_Spring2026_Grade!$I63="W (Withdrawn)", CSE4098B_Spring2026_Grade!$I63="I (Incomplete)"), 0, IF(BM78&gt;=55%, 1, 0))</f>
        <v>1</v>
      </c>
    </row>
    <row r="79">
      <c r="A79" s="153">
        <v>60.0</v>
      </c>
      <c r="B79" s="154">
        <f>CSE4098B_Spring2026_Grade!B64</f>
        <v>223014195</v>
      </c>
      <c r="C79" s="96" t="str">
        <f>CSE4098B_Spring2026_Grade!C64</f>
        <v>Md. Rashedul Islam</v>
      </c>
      <c r="D79" s="155">
        <f>'CO Report Evaluation'!AI62</f>
        <v>4</v>
      </c>
      <c r="E79" s="155">
        <f>'CO Report Evaluation'!AJ62</f>
        <v>2</v>
      </c>
      <c r="F79" s="155">
        <f>'CO Report Evaluation'!AK62</f>
        <v>2</v>
      </c>
      <c r="G79" s="156">
        <f>'CO Report Evaluation'!AL62</f>
        <v>3</v>
      </c>
      <c r="H79" s="156">
        <f>'CO Report Evaluation'!AM62</f>
        <v>2</v>
      </c>
      <c r="I79" s="157">
        <f>'CO Report Evaluation'!AN62</f>
        <v>4</v>
      </c>
      <c r="J79" s="157">
        <f>'CO Report Evaluation'!AO62</f>
        <v>2</v>
      </c>
      <c r="K79" s="157">
        <f>'CO Report Evaluation'!AP62</f>
        <v>2</v>
      </c>
      <c r="L79" s="158">
        <f>'CO Report Evaluation'!AQ62</f>
        <v>3</v>
      </c>
      <c r="M79" s="159"/>
      <c r="N79" s="160"/>
      <c r="O79" s="160"/>
      <c r="P79" s="160"/>
      <c r="Q79" s="160"/>
      <c r="R79" s="156">
        <f>CSE4098B_Spring2026_Grade!F64</f>
        <v>3</v>
      </c>
      <c r="S79" s="161">
        <f>((CSE4098B_Spring2026_Grade!E64)*10)/45</f>
        <v>5.744444444</v>
      </c>
      <c r="T79" s="162">
        <f t="shared" ref="T79:AB79" si="189">D79</f>
        <v>4</v>
      </c>
      <c r="U79" s="163">
        <f t="shared" si="189"/>
        <v>2</v>
      </c>
      <c r="V79" s="163">
        <f t="shared" si="189"/>
        <v>2</v>
      </c>
      <c r="W79" s="163">
        <f t="shared" si="189"/>
        <v>3</v>
      </c>
      <c r="X79" s="163">
        <f t="shared" si="189"/>
        <v>2</v>
      </c>
      <c r="Y79" s="163">
        <f t="shared" si="189"/>
        <v>4</v>
      </c>
      <c r="Z79" s="163">
        <f t="shared" si="189"/>
        <v>2</v>
      </c>
      <c r="AA79" s="163">
        <f t="shared" si="189"/>
        <v>2</v>
      </c>
      <c r="AB79" s="163">
        <f t="shared" si="189"/>
        <v>3</v>
      </c>
      <c r="AC79" s="163">
        <f t="shared" ref="AC79:AD79" si="190">R79</f>
        <v>3</v>
      </c>
      <c r="AD79" s="163">
        <f t="shared" si="190"/>
        <v>5.744444444</v>
      </c>
      <c r="AE79" s="164">
        <f t="shared" ref="AE79:AO79" si="191">IF(T79 = 0, 0, T79/T$19)</f>
        <v>0.6666666667</v>
      </c>
      <c r="AF79" s="164">
        <f t="shared" si="191"/>
        <v>0.6666666667</v>
      </c>
      <c r="AG79" s="164">
        <f t="shared" si="191"/>
        <v>0.6666666667</v>
      </c>
      <c r="AH79" s="164">
        <f t="shared" si="191"/>
        <v>1</v>
      </c>
      <c r="AI79" s="164">
        <f t="shared" si="191"/>
        <v>0.6666666667</v>
      </c>
      <c r="AJ79" s="164">
        <f t="shared" si="191"/>
        <v>0.6666666667</v>
      </c>
      <c r="AK79" s="164">
        <f t="shared" si="191"/>
        <v>0.6666666667</v>
      </c>
      <c r="AL79" s="164">
        <f t="shared" si="191"/>
        <v>0.6666666667</v>
      </c>
      <c r="AM79" s="164">
        <f t="shared" si="191"/>
        <v>1</v>
      </c>
      <c r="AN79" s="164">
        <f t="shared" si="191"/>
        <v>0.6</v>
      </c>
      <c r="AO79" s="164">
        <f t="shared" si="191"/>
        <v>0.5744444444</v>
      </c>
      <c r="AP79" s="165">
        <f>IF(OR(CSE4098B_Spring2026_Grade!$I64="W (Withdrawn)", CSE4098B_Spring2026_Grade!$I64="I (Incomplete)"), 0, IF(AE79&gt;=55%, 1, 0))</f>
        <v>1</v>
      </c>
      <c r="AQ79" s="165">
        <f>IF(OR(CSE4098B_Spring2026_Grade!$I64="W (Withdrawn)", CSE4098B_Spring2026_Grade!$I64="I (Incomplete)"), 0, IF(AF79&gt;=55%, 1, 0))</f>
        <v>1</v>
      </c>
      <c r="AR79" s="165">
        <f>IF(OR(CSE4098B_Spring2026_Grade!$I64="W (Withdrawn)", CSE4098B_Spring2026_Grade!$I64="I (Incomplete)"), 0, IF(AG79&gt;=55%, 1, 0))</f>
        <v>1</v>
      </c>
      <c r="AS79" s="165">
        <f>IF(OR(CSE4098B_Spring2026_Grade!$I64="W (Withdrawn)", CSE4098B_Spring2026_Grade!$I64="I (Incomplete)"), 0, IF(AH79&gt;=55%, 1, 0))</f>
        <v>1</v>
      </c>
      <c r="AT79" s="165">
        <f>IF(OR(CSE4098B_Spring2026_Grade!$I64="W (Withdrawn)", CSE4098B_Spring2026_Grade!$I64="I (Incomplete)"), 0, IF(AI79&gt;=55%, 1, 0))</f>
        <v>1</v>
      </c>
      <c r="AU79" s="165">
        <f>IF(OR(CSE4098B_Spring2026_Grade!$I64="W (Withdrawn)", CSE4098B_Spring2026_Grade!$I64="I (Incomplete)"), 0, IF(AJ79&gt;=55%, 1, 0))</f>
        <v>1</v>
      </c>
      <c r="AV79" s="165">
        <f>IF(OR(CSE4098B_Spring2026_Grade!$I64="W (Withdrawn)", CSE4098B_Spring2026_Grade!$I64="I (Incomplete)"), 0, IF(AK79&gt;=55%, 1, 0))</f>
        <v>1</v>
      </c>
      <c r="AW79" s="165">
        <f>IF(OR(CSE4098B_Spring2026_Grade!$I64="W (Withdrawn)", CSE4098B_Spring2026_Grade!$I64="I (Incomplete)"), 0, IF(AL79&gt;=55%, 1, 0))</f>
        <v>1</v>
      </c>
      <c r="AX79" s="165">
        <f>IF(OR(CSE4098B_Spring2026_Grade!$I64="W (Withdrawn)", CSE4098B_Spring2026_Grade!$I64="I (Incomplete)"), 0, IF(AM79&gt;=55%, 1, 0))</f>
        <v>1</v>
      </c>
      <c r="AY79" s="165">
        <f>IF(OR(CSE4098B_Spring2026_Grade!$I64="W (Withdrawn)", CSE4098B_Spring2026_Grade!$I64="I (Incomplete)"), 0, IF(AN79&gt;=55%, 1, 0))</f>
        <v>1</v>
      </c>
      <c r="AZ79" s="165">
        <f>IF(OR(CSE4098B_Spring2026_Grade!$I64="W (Withdrawn)", CSE4098B_Spring2026_Grade!$I64="I (Incomplete)"), 0, IF(AO79&gt;=55%, 1, 0))</f>
        <v>1</v>
      </c>
      <c r="BA79" s="76"/>
      <c r="BB79" s="166">
        <f t="shared" si="13"/>
        <v>0</v>
      </c>
      <c r="BC79" s="166">
        <f t="shared" si="14"/>
        <v>0.6666666667</v>
      </c>
      <c r="BD79" s="166">
        <f t="array" ref="BD79">IF($BC$14=0,0,MMULT($AE79:$AO79, BC$3:BC$13)/$BC$14)</f>
        <v>0.6666666667</v>
      </c>
      <c r="BE79" s="166">
        <f t="array" ref="BE79">IF($BD$14=0,0,MMULT($AE79:$AO79, BD$3:BD$13)/$BD$14)</f>
        <v>0.6666666667</v>
      </c>
      <c r="BF79" s="166">
        <f t="shared" si="15"/>
        <v>1</v>
      </c>
      <c r="BG79" s="166">
        <f t="array" ref="BG79">IF($BF$14=0,0,MMULT($AE79:$AO79, BF$3:BF$13)/$BF$14)</f>
        <v>0.6666666667</v>
      </c>
      <c r="BH79" s="166">
        <f t="array" ref="BH79">IF($BG$14=0,0,MMULT($AE79:$AO79, BG$3:BG$13)/$BG$14)</f>
        <v>0.6666666667</v>
      </c>
      <c r="BI79" s="166">
        <f t="array" ref="BI79">IF($BH$14=0,0,MMULT($AE79:$AO79, BH$3:BH$13)/$BH$14)</f>
        <v>1</v>
      </c>
      <c r="BJ79" s="166">
        <f t="array" ref="BJ79">IF($BI$14=0,0,MMULT($AE79:$AO79, BI$3:BI$13)/$BI$14)</f>
        <v>0.6</v>
      </c>
      <c r="BK79" s="166">
        <f t="array" ref="BK79">IF($BJ$14=0,0,MMULT($AE79:$AO79, BJ$3:BJ$13)/$BJ$14)</f>
        <v>0.5744444444</v>
      </c>
      <c r="BL79" s="166">
        <f t="shared" si="16"/>
        <v>0.6666666667</v>
      </c>
      <c r="BM79" s="166">
        <f t="shared" si="17"/>
        <v>0.6666666667</v>
      </c>
      <c r="BN79" s="165">
        <f>IF(OR(CSE4098B_Spring2026_Grade!$I64="W (Withdrawn)", CSE4098B_Spring2026_Grade!$I64="I (Incomplete)"), 0, IF(BB79&gt;=55%, 1, 0))</f>
        <v>0</v>
      </c>
      <c r="BO79" s="165">
        <f>IF(OR(CSE4098B_Spring2026_Grade!$I64="W (Withdrawn)", CSE4098B_Spring2026_Grade!$I64="I (Incomplete)"), 0, IF(BC79&gt;=55%, 1, 0))</f>
        <v>1</v>
      </c>
      <c r="BP79" s="165">
        <f>IF(OR(CSE4098B_Spring2026_Grade!$I64="W (Withdrawn)", CSE4098B_Spring2026_Grade!$I64="I (Incomplete)"), 0, IF(BD79&gt;=55%, 1, 0))</f>
        <v>1</v>
      </c>
      <c r="BQ79" s="165">
        <f>IF(OR(CSE4098B_Spring2026_Grade!$I64="W (Withdrawn)", CSE4098B_Spring2026_Grade!$I64="I (Incomplete)"), 0, IF(BE79&gt;=55%, 1, 0))</f>
        <v>1</v>
      </c>
      <c r="BR79" s="165">
        <f>IF(OR(CSE4098B_Spring2026_Grade!$I64="W (Withdrawn)", CSE4098B_Spring2026_Grade!$I64="I (Incomplete)"), 0, IF(BF79&gt;=55%, 1, 0))</f>
        <v>1</v>
      </c>
      <c r="BS79" s="165">
        <f>IF(OR(CSE4098B_Spring2026_Grade!$I64="W (Withdrawn)", CSE4098B_Spring2026_Grade!$I64="I (Incomplete)"), 0, IF(BG79&gt;=55%, 1, 0))</f>
        <v>1</v>
      </c>
      <c r="BT79" s="165">
        <f>IF(OR(CSE4098B_Spring2026_Grade!$I64="W (Withdrawn)", CSE4098B_Spring2026_Grade!$I64="I (Incomplete)"), 0, IF(BH79&gt;=55%, 1, 0))</f>
        <v>1</v>
      </c>
      <c r="BU79" s="165">
        <f>IF(OR(CSE4098B_Spring2026_Grade!$I64="W (Withdrawn)", CSE4098B_Spring2026_Grade!$I64="I (Incomplete)"), 0, IF(BI79&gt;=55%, 1, 0))</f>
        <v>1</v>
      </c>
      <c r="BV79" s="165">
        <f>IF(OR(CSE4098B_Spring2026_Grade!$I64="W (Withdrawn)", CSE4098B_Spring2026_Grade!$I64="I (Incomplete)"), 0, IF(BJ79&gt;=55%, 1, 0))</f>
        <v>1</v>
      </c>
      <c r="BW79" s="165">
        <f>IF(OR(CSE4098B_Spring2026_Grade!$I64="W (Withdrawn)", CSE4098B_Spring2026_Grade!$I64="I (Incomplete)"), 0, IF(BK79&gt;=55%, 1, 0))</f>
        <v>1</v>
      </c>
      <c r="BX79" s="165">
        <f>IF(OR(CSE4098B_Spring2026_Grade!$I64="W (Withdrawn)", CSE4098B_Spring2026_Grade!$I64="I (Incomplete)"), 0, IF(BL79&gt;=55%, 1, 0))</f>
        <v>1</v>
      </c>
      <c r="BY79" s="165">
        <f>IF(OR(CSE4098B_Spring2026_Grade!$I64="W (Withdrawn)", CSE4098B_Spring2026_Grade!$I64="I (Incomplete)"), 0, IF(BM79&gt;=55%, 1, 0))</f>
        <v>1</v>
      </c>
    </row>
    <row r="80">
      <c r="A80" s="153">
        <v>61.0</v>
      </c>
      <c r="B80" s="154">
        <f>CSE4098B_Spring2026_Grade!B65</f>
        <v>223014110</v>
      </c>
      <c r="C80" s="96" t="str">
        <f>CSE4098B_Spring2026_Grade!C65</f>
        <v>Md. Maruf Hossain</v>
      </c>
      <c r="D80" s="155">
        <f>'CO Report Evaluation'!AI63</f>
        <v>4</v>
      </c>
      <c r="E80" s="155">
        <f>'CO Report Evaluation'!AJ63</f>
        <v>2</v>
      </c>
      <c r="F80" s="155">
        <f>'CO Report Evaluation'!AK63</f>
        <v>2.333333333</v>
      </c>
      <c r="G80" s="156">
        <f>'CO Report Evaluation'!AL63</f>
        <v>2.333333333</v>
      </c>
      <c r="H80" s="156">
        <f>'CO Report Evaluation'!AM63</f>
        <v>2</v>
      </c>
      <c r="I80" s="157">
        <f>'CO Report Evaluation'!AN63</f>
        <v>3.333333333</v>
      </c>
      <c r="J80" s="157">
        <f>'CO Report Evaluation'!AO63</f>
        <v>3.333333333</v>
      </c>
      <c r="K80" s="157">
        <f>'CO Report Evaluation'!AP63</f>
        <v>2.666666667</v>
      </c>
      <c r="L80" s="158">
        <f>'CO Report Evaluation'!AQ63</f>
        <v>2</v>
      </c>
      <c r="M80" s="159"/>
      <c r="N80" s="160"/>
      <c r="O80" s="160"/>
      <c r="P80" s="160"/>
      <c r="Q80" s="160"/>
      <c r="R80" s="156">
        <f>CSE4098B_Spring2026_Grade!F65</f>
        <v>5</v>
      </c>
      <c r="S80" s="161">
        <f>((CSE4098B_Spring2026_Grade!E65)*10)/45</f>
        <v>9.053333333</v>
      </c>
      <c r="T80" s="162">
        <f t="shared" ref="T80:AB80" si="192">D80</f>
        <v>4</v>
      </c>
      <c r="U80" s="163">
        <f t="shared" si="192"/>
        <v>2</v>
      </c>
      <c r="V80" s="163">
        <f t="shared" si="192"/>
        <v>2.333333333</v>
      </c>
      <c r="W80" s="163">
        <f t="shared" si="192"/>
        <v>2.333333333</v>
      </c>
      <c r="X80" s="163">
        <f t="shared" si="192"/>
        <v>2</v>
      </c>
      <c r="Y80" s="163">
        <f t="shared" si="192"/>
        <v>3.333333333</v>
      </c>
      <c r="Z80" s="163">
        <f t="shared" si="192"/>
        <v>3.333333333</v>
      </c>
      <c r="AA80" s="163">
        <f t="shared" si="192"/>
        <v>2.666666667</v>
      </c>
      <c r="AB80" s="163">
        <f t="shared" si="192"/>
        <v>2</v>
      </c>
      <c r="AC80" s="163">
        <f t="shared" ref="AC80:AD80" si="193">R80</f>
        <v>5</v>
      </c>
      <c r="AD80" s="163">
        <f t="shared" si="193"/>
        <v>9.053333333</v>
      </c>
      <c r="AE80" s="164">
        <f t="shared" ref="AE80:AO80" si="194">IF(T80 = 0, 0, T80/T$19)</f>
        <v>0.6666666667</v>
      </c>
      <c r="AF80" s="164">
        <f t="shared" si="194"/>
        <v>0.6666666667</v>
      </c>
      <c r="AG80" s="164">
        <f t="shared" si="194"/>
        <v>0.7777777778</v>
      </c>
      <c r="AH80" s="164">
        <f t="shared" si="194"/>
        <v>0.7777777778</v>
      </c>
      <c r="AI80" s="164">
        <f t="shared" si="194"/>
        <v>0.6666666667</v>
      </c>
      <c r="AJ80" s="164">
        <f t="shared" si="194"/>
        <v>0.5555555556</v>
      </c>
      <c r="AK80" s="164">
        <f t="shared" si="194"/>
        <v>1.111111111</v>
      </c>
      <c r="AL80" s="164">
        <f t="shared" si="194"/>
        <v>0.8888888889</v>
      </c>
      <c r="AM80" s="164">
        <f t="shared" si="194"/>
        <v>0.6666666667</v>
      </c>
      <c r="AN80" s="164">
        <f t="shared" si="194"/>
        <v>1</v>
      </c>
      <c r="AO80" s="164">
        <f t="shared" si="194"/>
        <v>0.9053333333</v>
      </c>
      <c r="AP80" s="165">
        <f>IF(OR(CSE4098B_Spring2026_Grade!$I65="W (Withdrawn)", CSE4098B_Spring2026_Grade!$I65="I (Incomplete)"), 0, IF(AE80&gt;=55%, 1, 0))</f>
        <v>1</v>
      </c>
      <c r="AQ80" s="165">
        <f>IF(OR(CSE4098B_Spring2026_Grade!$I65="W (Withdrawn)", CSE4098B_Spring2026_Grade!$I65="I (Incomplete)"), 0, IF(AF80&gt;=55%, 1, 0))</f>
        <v>1</v>
      </c>
      <c r="AR80" s="165">
        <f>IF(OR(CSE4098B_Spring2026_Grade!$I65="W (Withdrawn)", CSE4098B_Spring2026_Grade!$I65="I (Incomplete)"), 0, IF(AG80&gt;=55%, 1, 0))</f>
        <v>1</v>
      </c>
      <c r="AS80" s="165">
        <f>IF(OR(CSE4098B_Spring2026_Grade!$I65="W (Withdrawn)", CSE4098B_Spring2026_Grade!$I65="I (Incomplete)"), 0, IF(AH80&gt;=55%, 1, 0))</f>
        <v>1</v>
      </c>
      <c r="AT80" s="165">
        <f>IF(OR(CSE4098B_Spring2026_Grade!$I65="W (Withdrawn)", CSE4098B_Spring2026_Grade!$I65="I (Incomplete)"), 0, IF(AI80&gt;=55%, 1, 0))</f>
        <v>1</v>
      </c>
      <c r="AU80" s="165">
        <f>IF(OR(CSE4098B_Spring2026_Grade!$I65="W (Withdrawn)", CSE4098B_Spring2026_Grade!$I65="I (Incomplete)"), 0, IF(AJ80&gt;=55%, 1, 0))</f>
        <v>1</v>
      </c>
      <c r="AV80" s="165">
        <f>IF(OR(CSE4098B_Spring2026_Grade!$I65="W (Withdrawn)", CSE4098B_Spring2026_Grade!$I65="I (Incomplete)"), 0, IF(AK80&gt;=55%, 1, 0))</f>
        <v>1</v>
      </c>
      <c r="AW80" s="165">
        <f>IF(OR(CSE4098B_Spring2026_Grade!$I65="W (Withdrawn)", CSE4098B_Spring2026_Grade!$I65="I (Incomplete)"), 0, IF(AL80&gt;=55%, 1, 0))</f>
        <v>1</v>
      </c>
      <c r="AX80" s="165">
        <f>IF(OR(CSE4098B_Spring2026_Grade!$I65="W (Withdrawn)", CSE4098B_Spring2026_Grade!$I65="I (Incomplete)"), 0, IF(AM80&gt;=55%, 1, 0))</f>
        <v>1</v>
      </c>
      <c r="AY80" s="165">
        <f>IF(OR(CSE4098B_Spring2026_Grade!$I65="W (Withdrawn)", CSE4098B_Spring2026_Grade!$I65="I (Incomplete)"), 0, IF(AN80&gt;=55%, 1, 0))</f>
        <v>1</v>
      </c>
      <c r="AZ80" s="165">
        <f>IF(OR(CSE4098B_Spring2026_Grade!$I65="W (Withdrawn)", CSE4098B_Spring2026_Grade!$I65="I (Incomplete)"), 0, IF(AO80&gt;=55%, 1, 0))</f>
        <v>1</v>
      </c>
      <c r="BA80" s="76"/>
      <c r="BB80" s="166">
        <f t="shared" si="13"/>
        <v>0</v>
      </c>
      <c r="BC80" s="166">
        <f t="shared" si="14"/>
        <v>0.6666666667</v>
      </c>
      <c r="BD80" s="166">
        <f t="array" ref="BD80">IF($BC$14=0,0,MMULT($AE80:$AO80, BC$3:BC$13)/$BC$14)</f>
        <v>0.6666666667</v>
      </c>
      <c r="BE80" s="166">
        <f t="array" ref="BE80">IF($BD$14=0,0,MMULT($AE80:$AO80, BD$3:BD$13)/$BD$14)</f>
        <v>0.5555555556</v>
      </c>
      <c r="BF80" s="166">
        <f t="shared" si="15"/>
        <v>0.7777777778</v>
      </c>
      <c r="BG80" s="166">
        <f t="array" ref="BG80">IF($BF$14=0,0,MMULT($AE80:$AO80, BF$3:BF$13)/$BF$14)</f>
        <v>1.111111111</v>
      </c>
      <c r="BH80" s="166">
        <f t="array" ref="BH80">IF($BG$14=0,0,MMULT($AE80:$AO80, BG$3:BG$13)/$BG$14)</f>
        <v>0.8888888889</v>
      </c>
      <c r="BI80" s="166">
        <f t="array" ref="BI80">IF($BH$14=0,0,MMULT($AE80:$AO80, BH$3:BH$13)/$BH$14)</f>
        <v>0.6666666667</v>
      </c>
      <c r="BJ80" s="166">
        <f t="array" ref="BJ80">IF($BI$14=0,0,MMULT($AE80:$AO80, BI$3:BI$13)/$BI$14)</f>
        <v>1</v>
      </c>
      <c r="BK80" s="166">
        <f t="array" ref="BK80">IF($BJ$14=0,0,MMULT($AE80:$AO80, BJ$3:BJ$13)/$BJ$14)</f>
        <v>0.9053333333</v>
      </c>
      <c r="BL80" s="166">
        <f t="shared" si="16"/>
        <v>0.7777777778</v>
      </c>
      <c r="BM80" s="166">
        <f t="shared" si="17"/>
        <v>0.6666666667</v>
      </c>
      <c r="BN80" s="165">
        <f>IF(OR(CSE4098B_Spring2026_Grade!$I65="W (Withdrawn)", CSE4098B_Spring2026_Grade!$I65="I (Incomplete)"), 0, IF(BB80&gt;=55%, 1, 0))</f>
        <v>0</v>
      </c>
      <c r="BO80" s="165">
        <f>IF(OR(CSE4098B_Spring2026_Grade!$I65="W (Withdrawn)", CSE4098B_Spring2026_Grade!$I65="I (Incomplete)"), 0, IF(BC80&gt;=55%, 1, 0))</f>
        <v>1</v>
      </c>
      <c r="BP80" s="165">
        <f>IF(OR(CSE4098B_Spring2026_Grade!$I65="W (Withdrawn)", CSE4098B_Spring2026_Grade!$I65="I (Incomplete)"), 0, IF(BD80&gt;=55%, 1, 0))</f>
        <v>1</v>
      </c>
      <c r="BQ80" s="165">
        <f>IF(OR(CSE4098B_Spring2026_Grade!$I65="W (Withdrawn)", CSE4098B_Spring2026_Grade!$I65="I (Incomplete)"), 0, IF(BE80&gt;=55%, 1, 0))</f>
        <v>1</v>
      </c>
      <c r="BR80" s="165">
        <f>IF(OR(CSE4098B_Spring2026_Grade!$I65="W (Withdrawn)", CSE4098B_Spring2026_Grade!$I65="I (Incomplete)"), 0, IF(BF80&gt;=55%, 1, 0))</f>
        <v>1</v>
      </c>
      <c r="BS80" s="165">
        <f>IF(OR(CSE4098B_Spring2026_Grade!$I65="W (Withdrawn)", CSE4098B_Spring2026_Grade!$I65="I (Incomplete)"), 0, IF(BG80&gt;=55%, 1, 0))</f>
        <v>1</v>
      </c>
      <c r="BT80" s="165">
        <f>IF(OR(CSE4098B_Spring2026_Grade!$I65="W (Withdrawn)", CSE4098B_Spring2026_Grade!$I65="I (Incomplete)"), 0, IF(BH80&gt;=55%, 1, 0))</f>
        <v>1</v>
      </c>
      <c r="BU80" s="165">
        <f>IF(OR(CSE4098B_Spring2026_Grade!$I65="W (Withdrawn)", CSE4098B_Spring2026_Grade!$I65="I (Incomplete)"), 0, IF(BI80&gt;=55%, 1, 0))</f>
        <v>1</v>
      </c>
      <c r="BV80" s="165">
        <f>IF(OR(CSE4098B_Spring2026_Grade!$I65="W (Withdrawn)", CSE4098B_Spring2026_Grade!$I65="I (Incomplete)"), 0, IF(BJ80&gt;=55%, 1, 0))</f>
        <v>1</v>
      </c>
      <c r="BW80" s="165">
        <f>IF(OR(CSE4098B_Spring2026_Grade!$I65="W (Withdrawn)", CSE4098B_Spring2026_Grade!$I65="I (Incomplete)"), 0, IF(BK80&gt;=55%, 1, 0))</f>
        <v>1</v>
      </c>
      <c r="BX80" s="165">
        <f>IF(OR(CSE4098B_Spring2026_Grade!$I65="W (Withdrawn)", CSE4098B_Spring2026_Grade!$I65="I (Incomplete)"), 0, IF(BL80&gt;=55%, 1, 0))</f>
        <v>1</v>
      </c>
      <c r="BY80" s="165">
        <f>IF(OR(CSE4098B_Spring2026_Grade!$I65="W (Withdrawn)", CSE4098B_Spring2026_Grade!$I65="I (Incomplete)"), 0, IF(BM80&gt;=55%, 1, 0))</f>
        <v>1</v>
      </c>
    </row>
    <row r="81">
      <c r="A81" s="153">
        <v>62.0</v>
      </c>
      <c r="B81" s="154">
        <f>CSE4098B_Spring2026_Grade!B66</f>
        <v>223014135</v>
      </c>
      <c r="C81" s="96" t="str">
        <f>CSE4098B_Spring2026_Grade!C66</f>
        <v>Rakibul Hasan</v>
      </c>
      <c r="D81" s="155">
        <f>'CO Report Evaluation'!AI64</f>
        <v>3.333333333</v>
      </c>
      <c r="E81" s="155">
        <f>'CO Report Evaluation'!AJ64</f>
        <v>1.666666667</v>
      </c>
      <c r="F81" s="155">
        <f>'CO Report Evaluation'!AK64</f>
        <v>1.666666667</v>
      </c>
      <c r="G81" s="156">
        <f>'CO Report Evaluation'!AL64</f>
        <v>1.666666667</v>
      </c>
      <c r="H81" s="156">
        <f>'CO Report Evaluation'!AM64</f>
        <v>1.666666667</v>
      </c>
      <c r="I81" s="157">
        <f>'CO Report Evaluation'!AN64</f>
        <v>2.666666667</v>
      </c>
      <c r="J81" s="157">
        <f>'CO Report Evaluation'!AO64</f>
        <v>2.666666667</v>
      </c>
      <c r="K81" s="157">
        <f>'CO Report Evaluation'!AP64</f>
        <v>2</v>
      </c>
      <c r="L81" s="158">
        <f>'CO Report Evaluation'!AQ64</f>
        <v>1.666666667</v>
      </c>
      <c r="M81" s="159"/>
      <c r="N81" s="160"/>
      <c r="O81" s="160"/>
      <c r="P81" s="160"/>
      <c r="Q81" s="160"/>
      <c r="R81" s="156">
        <f>CSE4098B_Spring2026_Grade!F66</f>
        <v>5</v>
      </c>
      <c r="S81" s="161">
        <f>((CSE4098B_Spring2026_Grade!E66)*10)/45</f>
        <v>8.986666667</v>
      </c>
      <c r="T81" s="162">
        <f t="shared" ref="T81:AB81" si="195">D81</f>
        <v>3.333333333</v>
      </c>
      <c r="U81" s="163">
        <f t="shared" si="195"/>
        <v>1.666666667</v>
      </c>
      <c r="V81" s="163">
        <f t="shared" si="195"/>
        <v>1.666666667</v>
      </c>
      <c r="W81" s="163">
        <f t="shared" si="195"/>
        <v>1.666666667</v>
      </c>
      <c r="X81" s="163">
        <f t="shared" si="195"/>
        <v>1.666666667</v>
      </c>
      <c r="Y81" s="163">
        <f t="shared" si="195"/>
        <v>2.666666667</v>
      </c>
      <c r="Z81" s="163">
        <f t="shared" si="195"/>
        <v>2.666666667</v>
      </c>
      <c r="AA81" s="163">
        <f t="shared" si="195"/>
        <v>2</v>
      </c>
      <c r="AB81" s="163">
        <f t="shared" si="195"/>
        <v>1.666666667</v>
      </c>
      <c r="AC81" s="163">
        <f t="shared" ref="AC81:AD81" si="196">R81</f>
        <v>5</v>
      </c>
      <c r="AD81" s="163">
        <f t="shared" si="196"/>
        <v>8.986666667</v>
      </c>
      <c r="AE81" s="164">
        <f t="shared" ref="AE81:AO81" si="197">IF(T81 = 0, 0, T81/T$19)</f>
        <v>0.5555555556</v>
      </c>
      <c r="AF81" s="164">
        <f t="shared" si="197"/>
        <v>0.5555555556</v>
      </c>
      <c r="AG81" s="164">
        <f t="shared" si="197"/>
        <v>0.5555555556</v>
      </c>
      <c r="AH81" s="164">
        <f t="shared" si="197"/>
        <v>0.5555555556</v>
      </c>
      <c r="AI81" s="164">
        <f t="shared" si="197"/>
        <v>0.5555555556</v>
      </c>
      <c r="AJ81" s="164">
        <f t="shared" si="197"/>
        <v>0.4444444444</v>
      </c>
      <c r="AK81" s="164">
        <f t="shared" si="197"/>
        <v>0.8888888889</v>
      </c>
      <c r="AL81" s="164">
        <f t="shared" si="197"/>
        <v>0.6666666667</v>
      </c>
      <c r="AM81" s="164">
        <f t="shared" si="197"/>
        <v>0.5555555556</v>
      </c>
      <c r="AN81" s="164">
        <f t="shared" si="197"/>
        <v>1</v>
      </c>
      <c r="AO81" s="164">
        <f t="shared" si="197"/>
        <v>0.8986666667</v>
      </c>
      <c r="AP81" s="165">
        <f>IF(OR(CSE4098B_Spring2026_Grade!$I66="W (Withdrawn)", CSE4098B_Spring2026_Grade!$I66="I (Incomplete)"), 0, IF(AE81&gt;=55%, 1, 0))</f>
        <v>1</v>
      </c>
      <c r="AQ81" s="165">
        <f>IF(OR(CSE4098B_Spring2026_Grade!$I66="W (Withdrawn)", CSE4098B_Spring2026_Grade!$I66="I (Incomplete)"), 0, IF(AF81&gt;=55%, 1, 0))</f>
        <v>1</v>
      </c>
      <c r="AR81" s="165">
        <f>IF(OR(CSE4098B_Spring2026_Grade!$I66="W (Withdrawn)", CSE4098B_Spring2026_Grade!$I66="I (Incomplete)"), 0, IF(AG81&gt;=55%, 1, 0))</f>
        <v>1</v>
      </c>
      <c r="AS81" s="165">
        <f>IF(OR(CSE4098B_Spring2026_Grade!$I66="W (Withdrawn)", CSE4098B_Spring2026_Grade!$I66="I (Incomplete)"), 0, IF(AH81&gt;=55%, 1, 0))</f>
        <v>1</v>
      </c>
      <c r="AT81" s="165">
        <f>IF(OR(CSE4098B_Spring2026_Grade!$I66="W (Withdrawn)", CSE4098B_Spring2026_Grade!$I66="I (Incomplete)"), 0, IF(AI81&gt;=55%, 1, 0))</f>
        <v>1</v>
      </c>
      <c r="AU81" s="165">
        <f>IF(OR(CSE4098B_Spring2026_Grade!$I66="W (Withdrawn)", CSE4098B_Spring2026_Grade!$I66="I (Incomplete)"), 0, IF(AJ81&gt;=55%, 1, 0))</f>
        <v>0</v>
      </c>
      <c r="AV81" s="165">
        <f>IF(OR(CSE4098B_Spring2026_Grade!$I66="W (Withdrawn)", CSE4098B_Spring2026_Grade!$I66="I (Incomplete)"), 0, IF(AK81&gt;=55%, 1, 0))</f>
        <v>1</v>
      </c>
      <c r="AW81" s="165">
        <f>IF(OR(CSE4098B_Spring2026_Grade!$I66="W (Withdrawn)", CSE4098B_Spring2026_Grade!$I66="I (Incomplete)"), 0, IF(AL81&gt;=55%, 1, 0))</f>
        <v>1</v>
      </c>
      <c r="AX81" s="165">
        <f>IF(OR(CSE4098B_Spring2026_Grade!$I66="W (Withdrawn)", CSE4098B_Spring2026_Grade!$I66="I (Incomplete)"), 0, IF(AM81&gt;=55%, 1, 0))</f>
        <v>1</v>
      </c>
      <c r="AY81" s="165">
        <f>IF(OR(CSE4098B_Spring2026_Grade!$I66="W (Withdrawn)", CSE4098B_Spring2026_Grade!$I66="I (Incomplete)"), 0, IF(AN81&gt;=55%, 1, 0))</f>
        <v>1</v>
      </c>
      <c r="AZ81" s="165">
        <f>IF(OR(CSE4098B_Spring2026_Grade!$I66="W (Withdrawn)", CSE4098B_Spring2026_Grade!$I66="I (Incomplete)"), 0, IF(AO81&gt;=55%, 1, 0))</f>
        <v>1</v>
      </c>
      <c r="BA81" s="76"/>
      <c r="BB81" s="166">
        <f t="shared" si="13"/>
        <v>0</v>
      </c>
      <c r="BC81" s="166">
        <f t="shared" si="14"/>
        <v>0.5555555556</v>
      </c>
      <c r="BD81" s="166">
        <f t="array" ref="BD81">IF($BC$14=0,0,MMULT($AE81:$AO81, BC$3:BC$13)/$BC$14)</f>
        <v>0.5555555556</v>
      </c>
      <c r="BE81" s="166">
        <f t="array" ref="BE81">IF($BD$14=0,0,MMULT($AE81:$AO81, BD$3:BD$13)/$BD$14)</f>
        <v>0.4444444444</v>
      </c>
      <c r="BF81" s="166">
        <f t="shared" si="15"/>
        <v>0.5555555556</v>
      </c>
      <c r="BG81" s="166">
        <f t="array" ref="BG81">IF($BF$14=0,0,MMULT($AE81:$AO81, BF$3:BF$13)/$BF$14)</f>
        <v>0.8888888889</v>
      </c>
      <c r="BH81" s="166">
        <f t="array" ref="BH81">IF($BG$14=0,0,MMULT($AE81:$AO81, BG$3:BG$13)/$BG$14)</f>
        <v>0.6666666667</v>
      </c>
      <c r="BI81" s="166">
        <f t="array" ref="BI81">IF($BH$14=0,0,MMULT($AE81:$AO81, BH$3:BH$13)/$BH$14)</f>
        <v>0.5555555556</v>
      </c>
      <c r="BJ81" s="166">
        <f t="array" ref="BJ81">IF($BI$14=0,0,MMULT($AE81:$AO81, BI$3:BI$13)/$BI$14)</f>
        <v>1</v>
      </c>
      <c r="BK81" s="166">
        <f t="array" ref="BK81">IF($BJ$14=0,0,MMULT($AE81:$AO81, BJ$3:BJ$13)/$BJ$14)</f>
        <v>0.8986666667</v>
      </c>
      <c r="BL81" s="166">
        <f t="shared" si="16"/>
        <v>0.5555555556</v>
      </c>
      <c r="BM81" s="166">
        <f t="shared" si="17"/>
        <v>0.5555555556</v>
      </c>
      <c r="BN81" s="165">
        <f>IF(OR(CSE4098B_Spring2026_Grade!$I66="W (Withdrawn)", CSE4098B_Spring2026_Grade!$I66="I (Incomplete)"), 0, IF(BB81&gt;=55%, 1, 0))</f>
        <v>0</v>
      </c>
      <c r="BO81" s="165">
        <f>IF(OR(CSE4098B_Spring2026_Grade!$I66="W (Withdrawn)", CSE4098B_Spring2026_Grade!$I66="I (Incomplete)"), 0, IF(BC81&gt;=55%, 1, 0))</f>
        <v>1</v>
      </c>
      <c r="BP81" s="165">
        <f>IF(OR(CSE4098B_Spring2026_Grade!$I66="W (Withdrawn)", CSE4098B_Spring2026_Grade!$I66="I (Incomplete)"), 0, IF(BD81&gt;=55%, 1, 0))</f>
        <v>1</v>
      </c>
      <c r="BQ81" s="165">
        <f>IF(OR(CSE4098B_Spring2026_Grade!$I66="W (Withdrawn)", CSE4098B_Spring2026_Grade!$I66="I (Incomplete)"), 0, IF(BE81&gt;=55%, 1, 0))</f>
        <v>0</v>
      </c>
      <c r="BR81" s="165">
        <f>IF(OR(CSE4098B_Spring2026_Grade!$I66="W (Withdrawn)", CSE4098B_Spring2026_Grade!$I66="I (Incomplete)"), 0, IF(BF81&gt;=55%, 1, 0))</f>
        <v>1</v>
      </c>
      <c r="BS81" s="165">
        <f>IF(OR(CSE4098B_Spring2026_Grade!$I66="W (Withdrawn)", CSE4098B_Spring2026_Grade!$I66="I (Incomplete)"), 0, IF(BG81&gt;=55%, 1, 0))</f>
        <v>1</v>
      </c>
      <c r="BT81" s="165">
        <f>IF(OR(CSE4098B_Spring2026_Grade!$I66="W (Withdrawn)", CSE4098B_Spring2026_Grade!$I66="I (Incomplete)"), 0, IF(BH81&gt;=55%, 1, 0))</f>
        <v>1</v>
      </c>
      <c r="BU81" s="165">
        <f>IF(OR(CSE4098B_Spring2026_Grade!$I66="W (Withdrawn)", CSE4098B_Spring2026_Grade!$I66="I (Incomplete)"), 0, IF(BI81&gt;=55%, 1, 0))</f>
        <v>1</v>
      </c>
      <c r="BV81" s="165">
        <f>IF(OR(CSE4098B_Spring2026_Grade!$I66="W (Withdrawn)", CSE4098B_Spring2026_Grade!$I66="I (Incomplete)"), 0, IF(BJ81&gt;=55%, 1, 0))</f>
        <v>1</v>
      </c>
      <c r="BW81" s="165">
        <f>IF(OR(CSE4098B_Spring2026_Grade!$I66="W (Withdrawn)", CSE4098B_Spring2026_Grade!$I66="I (Incomplete)"), 0, IF(BK81&gt;=55%, 1, 0))</f>
        <v>1</v>
      </c>
      <c r="BX81" s="165">
        <f>IF(OR(CSE4098B_Spring2026_Grade!$I66="W (Withdrawn)", CSE4098B_Spring2026_Grade!$I66="I (Incomplete)"), 0, IF(BL81&gt;=55%, 1, 0))</f>
        <v>1</v>
      </c>
      <c r="BY81" s="165">
        <f>IF(OR(CSE4098B_Spring2026_Grade!$I66="W (Withdrawn)", CSE4098B_Spring2026_Grade!$I66="I (Incomplete)"), 0, IF(BM81&gt;=55%, 1, 0))</f>
        <v>1</v>
      </c>
    </row>
    <row r="82">
      <c r="A82" s="153">
        <v>63.0</v>
      </c>
      <c r="B82" s="154">
        <f>CSE4098B_Spring2026_Grade!B67</f>
        <v>223014122</v>
      </c>
      <c r="C82" s="96" t="str">
        <f>CSE4098B_Spring2026_Grade!C67</f>
        <v>Rabbi Sadnan Khan</v>
      </c>
      <c r="D82" s="155">
        <f>'CO Report Evaluation'!AI65</f>
        <v>3.333333333</v>
      </c>
      <c r="E82" s="155">
        <f>'CO Report Evaluation'!AJ65</f>
        <v>1.666666667</v>
      </c>
      <c r="F82" s="155">
        <f>'CO Report Evaluation'!AK65</f>
        <v>1.666666667</v>
      </c>
      <c r="G82" s="156">
        <f>'CO Report Evaluation'!AL65</f>
        <v>1.666666667</v>
      </c>
      <c r="H82" s="156">
        <f>'CO Report Evaluation'!AM65</f>
        <v>1.666666667</v>
      </c>
      <c r="I82" s="157">
        <f>'CO Report Evaluation'!AN65</f>
        <v>2.666666667</v>
      </c>
      <c r="J82" s="157">
        <f>'CO Report Evaluation'!AO65</f>
        <v>2.666666667</v>
      </c>
      <c r="K82" s="157">
        <f>'CO Report Evaluation'!AP65</f>
        <v>2</v>
      </c>
      <c r="L82" s="158">
        <f>'CO Report Evaluation'!AQ65</f>
        <v>1.666666667</v>
      </c>
      <c r="M82" s="159"/>
      <c r="N82" s="160"/>
      <c r="O82" s="160"/>
      <c r="P82" s="160"/>
      <c r="Q82" s="160"/>
      <c r="R82" s="156">
        <f>CSE4098B_Spring2026_Grade!F67</f>
        <v>5</v>
      </c>
      <c r="S82" s="161">
        <f>((CSE4098B_Spring2026_Grade!E67)*10)/45</f>
        <v>9.12</v>
      </c>
      <c r="T82" s="162">
        <f t="shared" ref="T82:AB82" si="198">D82</f>
        <v>3.333333333</v>
      </c>
      <c r="U82" s="163">
        <f t="shared" si="198"/>
        <v>1.666666667</v>
      </c>
      <c r="V82" s="163">
        <f t="shared" si="198"/>
        <v>1.666666667</v>
      </c>
      <c r="W82" s="163">
        <f t="shared" si="198"/>
        <v>1.666666667</v>
      </c>
      <c r="X82" s="163">
        <f t="shared" si="198"/>
        <v>1.666666667</v>
      </c>
      <c r="Y82" s="163">
        <f t="shared" si="198"/>
        <v>2.666666667</v>
      </c>
      <c r="Z82" s="163">
        <f t="shared" si="198"/>
        <v>2.666666667</v>
      </c>
      <c r="AA82" s="163">
        <f t="shared" si="198"/>
        <v>2</v>
      </c>
      <c r="AB82" s="163">
        <f t="shared" si="198"/>
        <v>1.666666667</v>
      </c>
      <c r="AC82" s="163">
        <f t="shared" ref="AC82:AD82" si="199">R82</f>
        <v>5</v>
      </c>
      <c r="AD82" s="163">
        <f t="shared" si="199"/>
        <v>9.12</v>
      </c>
      <c r="AE82" s="164">
        <f t="shared" ref="AE82:AO82" si="200">IF(T82 = 0, 0, T82/T$19)</f>
        <v>0.5555555556</v>
      </c>
      <c r="AF82" s="164">
        <f t="shared" si="200"/>
        <v>0.5555555556</v>
      </c>
      <c r="AG82" s="164">
        <f t="shared" si="200"/>
        <v>0.5555555556</v>
      </c>
      <c r="AH82" s="164">
        <f t="shared" si="200"/>
        <v>0.5555555556</v>
      </c>
      <c r="AI82" s="164">
        <f t="shared" si="200"/>
        <v>0.5555555556</v>
      </c>
      <c r="AJ82" s="164">
        <f t="shared" si="200"/>
        <v>0.4444444444</v>
      </c>
      <c r="AK82" s="164">
        <f t="shared" si="200"/>
        <v>0.8888888889</v>
      </c>
      <c r="AL82" s="164">
        <f t="shared" si="200"/>
        <v>0.6666666667</v>
      </c>
      <c r="AM82" s="164">
        <f t="shared" si="200"/>
        <v>0.5555555556</v>
      </c>
      <c r="AN82" s="164">
        <f t="shared" si="200"/>
        <v>1</v>
      </c>
      <c r="AO82" s="164">
        <f t="shared" si="200"/>
        <v>0.912</v>
      </c>
      <c r="AP82" s="165">
        <f>IF(OR(CSE4098B_Spring2026_Grade!$I67="W (Withdrawn)", CSE4098B_Spring2026_Grade!$I67="I (Incomplete)"), 0, IF(AE82&gt;=55%, 1, 0))</f>
        <v>1</v>
      </c>
      <c r="AQ82" s="165">
        <f>IF(OR(CSE4098B_Spring2026_Grade!$I67="W (Withdrawn)", CSE4098B_Spring2026_Grade!$I67="I (Incomplete)"), 0, IF(AF82&gt;=55%, 1, 0))</f>
        <v>1</v>
      </c>
      <c r="AR82" s="165">
        <f>IF(OR(CSE4098B_Spring2026_Grade!$I67="W (Withdrawn)", CSE4098B_Spring2026_Grade!$I67="I (Incomplete)"), 0, IF(AG82&gt;=55%, 1, 0))</f>
        <v>1</v>
      </c>
      <c r="AS82" s="165">
        <f>IF(OR(CSE4098B_Spring2026_Grade!$I67="W (Withdrawn)", CSE4098B_Spring2026_Grade!$I67="I (Incomplete)"), 0, IF(AH82&gt;=55%, 1, 0))</f>
        <v>1</v>
      </c>
      <c r="AT82" s="165">
        <f>IF(OR(CSE4098B_Spring2026_Grade!$I67="W (Withdrawn)", CSE4098B_Spring2026_Grade!$I67="I (Incomplete)"), 0, IF(AI82&gt;=55%, 1, 0))</f>
        <v>1</v>
      </c>
      <c r="AU82" s="165">
        <f>IF(OR(CSE4098B_Spring2026_Grade!$I67="W (Withdrawn)", CSE4098B_Spring2026_Grade!$I67="I (Incomplete)"), 0, IF(AJ82&gt;=55%, 1, 0))</f>
        <v>0</v>
      </c>
      <c r="AV82" s="165">
        <f>IF(OR(CSE4098B_Spring2026_Grade!$I67="W (Withdrawn)", CSE4098B_Spring2026_Grade!$I67="I (Incomplete)"), 0, IF(AK82&gt;=55%, 1, 0))</f>
        <v>1</v>
      </c>
      <c r="AW82" s="165">
        <f>IF(OR(CSE4098B_Spring2026_Grade!$I67="W (Withdrawn)", CSE4098B_Spring2026_Grade!$I67="I (Incomplete)"), 0, IF(AL82&gt;=55%, 1, 0))</f>
        <v>1</v>
      </c>
      <c r="AX82" s="165">
        <f>IF(OR(CSE4098B_Spring2026_Grade!$I67="W (Withdrawn)", CSE4098B_Spring2026_Grade!$I67="I (Incomplete)"), 0, IF(AM82&gt;=55%, 1, 0))</f>
        <v>1</v>
      </c>
      <c r="AY82" s="165">
        <f>IF(OR(CSE4098B_Spring2026_Grade!$I67="W (Withdrawn)", CSE4098B_Spring2026_Grade!$I67="I (Incomplete)"), 0, IF(AN82&gt;=55%, 1, 0))</f>
        <v>1</v>
      </c>
      <c r="AZ82" s="165">
        <f>IF(OR(CSE4098B_Spring2026_Grade!$I67="W (Withdrawn)", CSE4098B_Spring2026_Grade!$I67="I (Incomplete)"), 0, IF(AO82&gt;=55%, 1, 0))</f>
        <v>1</v>
      </c>
      <c r="BA82" s="76"/>
      <c r="BB82" s="166">
        <f t="shared" si="13"/>
        <v>0</v>
      </c>
      <c r="BC82" s="166">
        <f t="shared" si="14"/>
        <v>0.5555555556</v>
      </c>
      <c r="BD82" s="166">
        <f t="array" ref="BD82">IF($BC$14=0,0,MMULT($AE82:$AO82, BC$3:BC$13)/$BC$14)</f>
        <v>0.5555555556</v>
      </c>
      <c r="BE82" s="166">
        <f t="array" ref="BE82">IF($BD$14=0,0,MMULT($AE82:$AO82, BD$3:BD$13)/$BD$14)</f>
        <v>0.4444444444</v>
      </c>
      <c r="BF82" s="166">
        <f t="shared" si="15"/>
        <v>0.5555555556</v>
      </c>
      <c r="BG82" s="166">
        <f t="array" ref="BG82">IF($BF$14=0,0,MMULT($AE82:$AO82, BF$3:BF$13)/$BF$14)</f>
        <v>0.8888888889</v>
      </c>
      <c r="BH82" s="166">
        <f t="array" ref="BH82">IF($BG$14=0,0,MMULT($AE82:$AO82, BG$3:BG$13)/$BG$14)</f>
        <v>0.6666666667</v>
      </c>
      <c r="BI82" s="166">
        <f t="array" ref="BI82">IF($BH$14=0,0,MMULT($AE82:$AO82, BH$3:BH$13)/$BH$14)</f>
        <v>0.5555555556</v>
      </c>
      <c r="BJ82" s="166">
        <f t="array" ref="BJ82">IF($BI$14=0,0,MMULT($AE82:$AO82, BI$3:BI$13)/$BI$14)</f>
        <v>1</v>
      </c>
      <c r="BK82" s="166">
        <f t="array" ref="BK82">IF($BJ$14=0,0,MMULT($AE82:$AO82, BJ$3:BJ$13)/$BJ$14)</f>
        <v>0.912</v>
      </c>
      <c r="BL82" s="166">
        <f t="shared" si="16"/>
        <v>0.5555555556</v>
      </c>
      <c r="BM82" s="166">
        <f t="shared" si="17"/>
        <v>0.5555555556</v>
      </c>
      <c r="BN82" s="165">
        <f>IF(OR(CSE4098B_Spring2026_Grade!$I67="W (Withdrawn)", CSE4098B_Spring2026_Grade!$I67="I (Incomplete)"), 0, IF(BB82&gt;=55%, 1, 0))</f>
        <v>0</v>
      </c>
      <c r="BO82" s="165">
        <f>IF(OR(CSE4098B_Spring2026_Grade!$I67="W (Withdrawn)", CSE4098B_Spring2026_Grade!$I67="I (Incomplete)"), 0, IF(BC82&gt;=55%, 1, 0))</f>
        <v>1</v>
      </c>
      <c r="BP82" s="165">
        <f>IF(OR(CSE4098B_Spring2026_Grade!$I67="W (Withdrawn)", CSE4098B_Spring2026_Grade!$I67="I (Incomplete)"), 0, IF(BD82&gt;=55%, 1, 0))</f>
        <v>1</v>
      </c>
      <c r="BQ82" s="165">
        <f>IF(OR(CSE4098B_Spring2026_Grade!$I67="W (Withdrawn)", CSE4098B_Spring2026_Grade!$I67="I (Incomplete)"), 0, IF(BE82&gt;=55%, 1, 0))</f>
        <v>0</v>
      </c>
      <c r="BR82" s="165">
        <f>IF(OR(CSE4098B_Spring2026_Grade!$I67="W (Withdrawn)", CSE4098B_Spring2026_Grade!$I67="I (Incomplete)"), 0, IF(BF82&gt;=55%, 1, 0))</f>
        <v>1</v>
      </c>
      <c r="BS82" s="165">
        <f>IF(OR(CSE4098B_Spring2026_Grade!$I67="W (Withdrawn)", CSE4098B_Spring2026_Grade!$I67="I (Incomplete)"), 0, IF(BG82&gt;=55%, 1, 0))</f>
        <v>1</v>
      </c>
      <c r="BT82" s="165">
        <f>IF(OR(CSE4098B_Spring2026_Grade!$I67="W (Withdrawn)", CSE4098B_Spring2026_Grade!$I67="I (Incomplete)"), 0, IF(BH82&gt;=55%, 1, 0))</f>
        <v>1</v>
      </c>
      <c r="BU82" s="165">
        <f>IF(OR(CSE4098B_Spring2026_Grade!$I67="W (Withdrawn)", CSE4098B_Spring2026_Grade!$I67="I (Incomplete)"), 0, IF(BI82&gt;=55%, 1, 0))</f>
        <v>1</v>
      </c>
      <c r="BV82" s="165">
        <f>IF(OR(CSE4098B_Spring2026_Grade!$I67="W (Withdrawn)", CSE4098B_Spring2026_Grade!$I67="I (Incomplete)"), 0, IF(BJ82&gt;=55%, 1, 0))</f>
        <v>1</v>
      </c>
      <c r="BW82" s="165">
        <f>IF(OR(CSE4098B_Spring2026_Grade!$I67="W (Withdrawn)", CSE4098B_Spring2026_Grade!$I67="I (Incomplete)"), 0, IF(BK82&gt;=55%, 1, 0))</f>
        <v>1</v>
      </c>
      <c r="BX82" s="165">
        <f>IF(OR(CSE4098B_Spring2026_Grade!$I67="W (Withdrawn)", CSE4098B_Spring2026_Grade!$I67="I (Incomplete)"), 0, IF(BL82&gt;=55%, 1, 0))</f>
        <v>1</v>
      </c>
      <c r="BY82" s="165">
        <f>IF(OR(CSE4098B_Spring2026_Grade!$I67="W (Withdrawn)", CSE4098B_Spring2026_Grade!$I67="I (Incomplete)"), 0, IF(BM82&gt;=55%, 1, 0))</f>
        <v>1</v>
      </c>
    </row>
    <row r="83">
      <c r="A83" s="153">
        <v>64.0</v>
      </c>
      <c r="B83" s="154">
        <f>CSE4098B_Spring2026_Grade!B68</f>
        <v>212014030</v>
      </c>
      <c r="C83" s="96" t="str">
        <f>CSE4098B_Spring2026_Grade!C68</f>
        <v>Faria Islam Sara</v>
      </c>
      <c r="D83" s="155">
        <f>'CO Report Evaluation'!AI66</f>
        <v>3.333333333</v>
      </c>
      <c r="E83" s="155">
        <f>'CO Report Evaluation'!AJ66</f>
        <v>1.666666667</v>
      </c>
      <c r="F83" s="155">
        <f>'CO Report Evaluation'!AK66</f>
        <v>1.666666667</v>
      </c>
      <c r="G83" s="156">
        <f>'CO Report Evaluation'!AL66</f>
        <v>1.666666667</v>
      </c>
      <c r="H83" s="156">
        <f>'CO Report Evaluation'!AM66</f>
        <v>1.666666667</v>
      </c>
      <c r="I83" s="157">
        <f>'CO Report Evaluation'!AN66</f>
        <v>2.666666667</v>
      </c>
      <c r="J83" s="157">
        <f>'CO Report Evaluation'!AO66</f>
        <v>2.666666667</v>
      </c>
      <c r="K83" s="157">
        <f>'CO Report Evaluation'!AP66</f>
        <v>2</v>
      </c>
      <c r="L83" s="158">
        <f>'CO Report Evaluation'!AQ66</f>
        <v>1.666666667</v>
      </c>
      <c r="M83" s="159"/>
      <c r="N83" s="160"/>
      <c r="O83" s="160"/>
      <c r="P83" s="160"/>
      <c r="Q83" s="160"/>
      <c r="R83" s="156">
        <f>CSE4098B_Spring2026_Grade!F68</f>
        <v>5</v>
      </c>
      <c r="S83" s="161">
        <f>((CSE4098B_Spring2026_Grade!E68)*10)/45</f>
        <v>9.053333333</v>
      </c>
      <c r="T83" s="162">
        <f t="shared" ref="T83:AB83" si="201">D83</f>
        <v>3.333333333</v>
      </c>
      <c r="U83" s="163">
        <f t="shared" si="201"/>
        <v>1.666666667</v>
      </c>
      <c r="V83" s="163">
        <f t="shared" si="201"/>
        <v>1.666666667</v>
      </c>
      <c r="W83" s="163">
        <f t="shared" si="201"/>
        <v>1.666666667</v>
      </c>
      <c r="X83" s="163">
        <f t="shared" si="201"/>
        <v>1.666666667</v>
      </c>
      <c r="Y83" s="163">
        <f t="shared" si="201"/>
        <v>2.666666667</v>
      </c>
      <c r="Z83" s="163">
        <f t="shared" si="201"/>
        <v>2.666666667</v>
      </c>
      <c r="AA83" s="163">
        <f t="shared" si="201"/>
        <v>2</v>
      </c>
      <c r="AB83" s="163">
        <f t="shared" si="201"/>
        <v>1.666666667</v>
      </c>
      <c r="AC83" s="163">
        <f t="shared" ref="AC83:AD83" si="202">R83</f>
        <v>5</v>
      </c>
      <c r="AD83" s="163">
        <f t="shared" si="202"/>
        <v>9.053333333</v>
      </c>
      <c r="AE83" s="164">
        <f t="shared" ref="AE83:AO83" si="203">IF(T83 = 0, 0, T83/T$19)</f>
        <v>0.5555555556</v>
      </c>
      <c r="AF83" s="164">
        <f t="shared" si="203"/>
        <v>0.5555555556</v>
      </c>
      <c r="AG83" s="164">
        <f t="shared" si="203"/>
        <v>0.5555555556</v>
      </c>
      <c r="AH83" s="164">
        <f t="shared" si="203"/>
        <v>0.5555555556</v>
      </c>
      <c r="AI83" s="164">
        <f t="shared" si="203"/>
        <v>0.5555555556</v>
      </c>
      <c r="AJ83" s="164">
        <f t="shared" si="203"/>
        <v>0.4444444444</v>
      </c>
      <c r="AK83" s="164">
        <f t="shared" si="203"/>
        <v>0.8888888889</v>
      </c>
      <c r="AL83" s="164">
        <f t="shared" si="203"/>
        <v>0.6666666667</v>
      </c>
      <c r="AM83" s="164">
        <f t="shared" si="203"/>
        <v>0.5555555556</v>
      </c>
      <c r="AN83" s="164">
        <f t="shared" si="203"/>
        <v>1</v>
      </c>
      <c r="AO83" s="164">
        <f t="shared" si="203"/>
        <v>0.9053333333</v>
      </c>
      <c r="AP83" s="165">
        <f>IF(OR(CSE4098B_Spring2026_Grade!$I68="W (Withdrawn)", CSE4098B_Spring2026_Grade!$I68="I (Incomplete)"), 0, IF(AE83&gt;=55%, 1, 0))</f>
        <v>1</v>
      </c>
      <c r="AQ83" s="165">
        <f>IF(OR(CSE4098B_Spring2026_Grade!$I68="W (Withdrawn)", CSE4098B_Spring2026_Grade!$I68="I (Incomplete)"), 0, IF(AF83&gt;=55%, 1, 0))</f>
        <v>1</v>
      </c>
      <c r="AR83" s="165">
        <f>IF(OR(CSE4098B_Spring2026_Grade!$I68="W (Withdrawn)", CSE4098B_Spring2026_Grade!$I68="I (Incomplete)"), 0, IF(AG83&gt;=55%, 1, 0))</f>
        <v>1</v>
      </c>
      <c r="AS83" s="165">
        <f>IF(OR(CSE4098B_Spring2026_Grade!$I68="W (Withdrawn)", CSE4098B_Spring2026_Grade!$I68="I (Incomplete)"), 0, IF(AH83&gt;=55%, 1, 0))</f>
        <v>1</v>
      </c>
      <c r="AT83" s="165">
        <f>IF(OR(CSE4098B_Spring2026_Grade!$I68="W (Withdrawn)", CSE4098B_Spring2026_Grade!$I68="I (Incomplete)"), 0, IF(AI83&gt;=55%, 1, 0))</f>
        <v>1</v>
      </c>
      <c r="AU83" s="165">
        <f>IF(OR(CSE4098B_Spring2026_Grade!$I68="W (Withdrawn)", CSE4098B_Spring2026_Grade!$I68="I (Incomplete)"), 0, IF(AJ83&gt;=55%, 1, 0))</f>
        <v>0</v>
      </c>
      <c r="AV83" s="165">
        <f>IF(OR(CSE4098B_Spring2026_Grade!$I68="W (Withdrawn)", CSE4098B_Spring2026_Grade!$I68="I (Incomplete)"), 0, IF(AK83&gt;=55%, 1, 0))</f>
        <v>1</v>
      </c>
      <c r="AW83" s="165">
        <f>IF(OR(CSE4098B_Spring2026_Grade!$I68="W (Withdrawn)", CSE4098B_Spring2026_Grade!$I68="I (Incomplete)"), 0, IF(AL83&gt;=55%, 1, 0))</f>
        <v>1</v>
      </c>
      <c r="AX83" s="165">
        <f>IF(OR(CSE4098B_Spring2026_Grade!$I68="W (Withdrawn)", CSE4098B_Spring2026_Grade!$I68="I (Incomplete)"), 0, IF(AM83&gt;=55%, 1, 0))</f>
        <v>1</v>
      </c>
      <c r="AY83" s="165">
        <f>IF(OR(CSE4098B_Spring2026_Grade!$I68="W (Withdrawn)", CSE4098B_Spring2026_Grade!$I68="I (Incomplete)"), 0, IF(AN83&gt;=55%, 1, 0))</f>
        <v>1</v>
      </c>
      <c r="AZ83" s="165">
        <f>IF(OR(CSE4098B_Spring2026_Grade!$I68="W (Withdrawn)", CSE4098B_Spring2026_Grade!$I68="I (Incomplete)"), 0, IF(AO83&gt;=55%, 1, 0))</f>
        <v>1</v>
      </c>
      <c r="BA83" s="76"/>
      <c r="BB83" s="166">
        <f t="shared" si="13"/>
        <v>0</v>
      </c>
      <c r="BC83" s="166">
        <f t="shared" si="14"/>
        <v>0.5555555556</v>
      </c>
      <c r="BD83" s="166">
        <f t="array" ref="BD83">IF($BC$14=0,0,MMULT($AE83:$AO83, BC$3:BC$13)/$BC$14)</f>
        <v>0.5555555556</v>
      </c>
      <c r="BE83" s="166">
        <f t="array" ref="BE83">IF($BD$14=0,0,MMULT($AE83:$AO83, BD$3:BD$13)/$BD$14)</f>
        <v>0.4444444444</v>
      </c>
      <c r="BF83" s="166">
        <f t="shared" si="15"/>
        <v>0.5555555556</v>
      </c>
      <c r="BG83" s="166">
        <f t="array" ref="BG83">IF($BF$14=0,0,MMULT($AE83:$AO83, BF$3:BF$13)/$BF$14)</f>
        <v>0.8888888889</v>
      </c>
      <c r="BH83" s="166">
        <f t="array" ref="BH83">IF($BG$14=0,0,MMULT($AE83:$AO83, BG$3:BG$13)/$BG$14)</f>
        <v>0.6666666667</v>
      </c>
      <c r="BI83" s="166">
        <f t="array" ref="BI83">IF($BH$14=0,0,MMULT($AE83:$AO83, BH$3:BH$13)/$BH$14)</f>
        <v>0.5555555556</v>
      </c>
      <c r="BJ83" s="166">
        <f t="array" ref="BJ83">IF($BI$14=0,0,MMULT($AE83:$AO83, BI$3:BI$13)/$BI$14)</f>
        <v>1</v>
      </c>
      <c r="BK83" s="166">
        <f t="array" ref="BK83">IF($BJ$14=0,0,MMULT($AE83:$AO83, BJ$3:BJ$13)/$BJ$14)</f>
        <v>0.9053333333</v>
      </c>
      <c r="BL83" s="166">
        <f t="shared" si="16"/>
        <v>0.5555555556</v>
      </c>
      <c r="BM83" s="166">
        <f t="shared" si="17"/>
        <v>0.5555555556</v>
      </c>
      <c r="BN83" s="165">
        <f>IF(OR(CSE4098B_Spring2026_Grade!$I68="W (Withdrawn)", CSE4098B_Spring2026_Grade!$I68="I (Incomplete)"), 0, IF(BB83&gt;=55%, 1, 0))</f>
        <v>0</v>
      </c>
      <c r="BO83" s="165">
        <f>IF(OR(CSE4098B_Spring2026_Grade!$I68="W (Withdrawn)", CSE4098B_Spring2026_Grade!$I68="I (Incomplete)"), 0, IF(BC83&gt;=55%, 1, 0))</f>
        <v>1</v>
      </c>
      <c r="BP83" s="165">
        <f>IF(OR(CSE4098B_Spring2026_Grade!$I68="W (Withdrawn)", CSE4098B_Spring2026_Grade!$I68="I (Incomplete)"), 0, IF(BD83&gt;=55%, 1, 0))</f>
        <v>1</v>
      </c>
      <c r="BQ83" s="165">
        <f>IF(OR(CSE4098B_Spring2026_Grade!$I68="W (Withdrawn)", CSE4098B_Spring2026_Grade!$I68="I (Incomplete)"), 0, IF(BE83&gt;=55%, 1, 0))</f>
        <v>0</v>
      </c>
      <c r="BR83" s="165">
        <f>IF(OR(CSE4098B_Spring2026_Grade!$I68="W (Withdrawn)", CSE4098B_Spring2026_Grade!$I68="I (Incomplete)"), 0, IF(BF83&gt;=55%, 1, 0))</f>
        <v>1</v>
      </c>
      <c r="BS83" s="165">
        <f>IF(OR(CSE4098B_Spring2026_Grade!$I68="W (Withdrawn)", CSE4098B_Spring2026_Grade!$I68="I (Incomplete)"), 0, IF(BG83&gt;=55%, 1, 0))</f>
        <v>1</v>
      </c>
      <c r="BT83" s="165">
        <f>IF(OR(CSE4098B_Spring2026_Grade!$I68="W (Withdrawn)", CSE4098B_Spring2026_Grade!$I68="I (Incomplete)"), 0, IF(BH83&gt;=55%, 1, 0))</f>
        <v>1</v>
      </c>
      <c r="BU83" s="165">
        <f>IF(OR(CSE4098B_Spring2026_Grade!$I68="W (Withdrawn)", CSE4098B_Spring2026_Grade!$I68="I (Incomplete)"), 0, IF(BI83&gt;=55%, 1, 0))</f>
        <v>1</v>
      </c>
      <c r="BV83" s="165">
        <f>IF(OR(CSE4098B_Spring2026_Grade!$I68="W (Withdrawn)", CSE4098B_Spring2026_Grade!$I68="I (Incomplete)"), 0, IF(BJ83&gt;=55%, 1, 0))</f>
        <v>1</v>
      </c>
      <c r="BW83" s="165">
        <f>IF(OR(CSE4098B_Spring2026_Grade!$I68="W (Withdrawn)", CSE4098B_Spring2026_Grade!$I68="I (Incomplete)"), 0, IF(BK83&gt;=55%, 1, 0))</f>
        <v>1</v>
      </c>
      <c r="BX83" s="165">
        <f>IF(OR(CSE4098B_Spring2026_Grade!$I68="W (Withdrawn)", CSE4098B_Spring2026_Grade!$I68="I (Incomplete)"), 0, IF(BL83&gt;=55%, 1, 0))</f>
        <v>1</v>
      </c>
      <c r="BY83" s="165">
        <f>IF(OR(CSE4098B_Spring2026_Grade!$I68="W (Withdrawn)", CSE4098B_Spring2026_Grade!$I68="I (Incomplete)"), 0, IF(BM83&gt;=55%, 1, 0))</f>
        <v>1</v>
      </c>
    </row>
    <row r="84">
      <c r="A84" s="153">
        <v>65.0</v>
      </c>
      <c r="B84" s="154">
        <f>CSE4098B_Spring2026_Grade!B69</f>
        <v>221014083</v>
      </c>
      <c r="C84" s="96" t="str">
        <f>CSE4098B_Spring2026_Grade!C69</f>
        <v>Salina Akhter</v>
      </c>
      <c r="D84" s="155">
        <f>'CO Report Evaluation'!AI67</f>
        <v>0</v>
      </c>
      <c r="E84" s="155">
        <f>'CO Report Evaluation'!AJ67</f>
        <v>0</v>
      </c>
      <c r="F84" s="155">
        <f>'CO Report Evaluation'!AK67</f>
        <v>0</v>
      </c>
      <c r="G84" s="156">
        <f>'CO Report Evaluation'!AL67</f>
        <v>0</v>
      </c>
      <c r="H84" s="156">
        <f>'CO Report Evaluation'!AM67</f>
        <v>0</v>
      </c>
      <c r="I84" s="157">
        <f>'CO Report Evaluation'!AN67</f>
        <v>0</v>
      </c>
      <c r="J84" s="157">
        <f>'CO Report Evaluation'!AO67</f>
        <v>0</v>
      </c>
      <c r="K84" s="157">
        <f>'CO Report Evaluation'!AP67</f>
        <v>0</v>
      </c>
      <c r="L84" s="158">
        <f>'CO Report Evaluation'!AQ67</f>
        <v>0</v>
      </c>
      <c r="M84" s="159"/>
      <c r="N84" s="160"/>
      <c r="O84" s="160"/>
      <c r="P84" s="160"/>
      <c r="Q84" s="160"/>
      <c r="R84" s="156">
        <f>CSE4098B_Spring2026_Grade!F69</f>
        <v>0</v>
      </c>
      <c r="S84" s="161">
        <f>((CSE4098B_Spring2026_Grade!E69)*10)/45</f>
        <v>0</v>
      </c>
      <c r="T84" s="162">
        <f t="shared" ref="T84:AB84" si="204">D84</f>
        <v>0</v>
      </c>
      <c r="U84" s="163">
        <f t="shared" si="204"/>
        <v>0</v>
      </c>
      <c r="V84" s="163">
        <f t="shared" si="204"/>
        <v>0</v>
      </c>
      <c r="W84" s="163">
        <f t="shared" si="204"/>
        <v>0</v>
      </c>
      <c r="X84" s="163">
        <f t="shared" si="204"/>
        <v>0</v>
      </c>
      <c r="Y84" s="163">
        <f t="shared" si="204"/>
        <v>0</v>
      </c>
      <c r="Z84" s="163">
        <f t="shared" si="204"/>
        <v>0</v>
      </c>
      <c r="AA84" s="163">
        <f t="shared" si="204"/>
        <v>0</v>
      </c>
      <c r="AB84" s="163">
        <f t="shared" si="204"/>
        <v>0</v>
      </c>
      <c r="AC84" s="163">
        <f t="shared" ref="AC84:AD84" si="205">R84</f>
        <v>0</v>
      </c>
      <c r="AD84" s="163">
        <f t="shared" si="205"/>
        <v>0</v>
      </c>
      <c r="AE84" s="164">
        <f t="shared" ref="AE84:AO84" si="206">IF(T84 = 0, 0, T84/T$19)</f>
        <v>0</v>
      </c>
      <c r="AF84" s="164">
        <f t="shared" si="206"/>
        <v>0</v>
      </c>
      <c r="AG84" s="164">
        <f t="shared" si="206"/>
        <v>0</v>
      </c>
      <c r="AH84" s="164">
        <f t="shared" si="206"/>
        <v>0</v>
      </c>
      <c r="AI84" s="164">
        <f t="shared" si="206"/>
        <v>0</v>
      </c>
      <c r="AJ84" s="164">
        <f t="shared" si="206"/>
        <v>0</v>
      </c>
      <c r="AK84" s="164">
        <f t="shared" si="206"/>
        <v>0</v>
      </c>
      <c r="AL84" s="164">
        <f t="shared" si="206"/>
        <v>0</v>
      </c>
      <c r="AM84" s="164">
        <f t="shared" si="206"/>
        <v>0</v>
      </c>
      <c r="AN84" s="164">
        <f t="shared" si="206"/>
        <v>0</v>
      </c>
      <c r="AO84" s="164">
        <f t="shared" si="206"/>
        <v>0</v>
      </c>
      <c r="AP84" s="165">
        <f>IF(OR(CSE4098B_Spring2026_Grade!$I69="W (Withdrawn)", CSE4098B_Spring2026_Grade!$I69="I (Incomplete)"), 0, IF(AE84&gt;=55%, 1, 0))</f>
        <v>0</v>
      </c>
      <c r="AQ84" s="165">
        <f>IF(OR(CSE4098B_Spring2026_Grade!$I69="W (Withdrawn)", CSE4098B_Spring2026_Grade!$I69="I (Incomplete)"), 0, IF(AF84&gt;=55%, 1, 0))</f>
        <v>0</v>
      </c>
      <c r="AR84" s="165">
        <f>IF(OR(CSE4098B_Spring2026_Grade!$I69="W (Withdrawn)", CSE4098B_Spring2026_Grade!$I69="I (Incomplete)"), 0, IF(AG84&gt;=55%, 1, 0))</f>
        <v>0</v>
      </c>
      <c r="AS84" s="165">
        <f>IF(OR(CSE4098B_Spring2026_Grade!$I69="W (Withdrawn)", CSE4098B_Spring2026_Grade!$I69="I (Incomplete)"), 0, IF(AH84&gt;=55%, 1, 0))</f>
        <v>0</v>
      </c>
      <c r="AT84" s="165">
        <f>IF(OR(CSE4098B_Spring2026_Grade!$I69="W (Withdrawn)", CSE4098B_Spring2026_Grade!$I69="I (Incomplete)"), 0, IF(AI84&gt;=55%, 1, 0))</f>
        <v>0</v>
      </c>
      <c r="AU84" s="165">
        <f>IF(OR(CSE4098B_Spring2026_Grade!$I69="W (Withdrawn)", CSE4098B_Spring2026_Grade!$I69="I (Incomplete)"), 0, IF(AJ84&gt;=55%, 1, 0))</f>
        <v>0</v>
      </c>
      <c r="AV84" s="165">
        <f>IF(OR(CSE4098B_Spring2026_Grade!$I69="W (Withdrawn)", CSE4098B_Spring2026_Grade!$I69="I (Incomplete)"), 0, IF(AK84&gt;=55%, 1, 0))</f>
        <v>0</v>
      </c>
      <c r="AW84" s="165">
        <f>IF(OR(CSE4098B_Spring2026_Grade!$I69="W (Withdrawn)", CSE4098B_Spring2026_Grade!$I69="I (Incomplete)"), 0, IF(AL84&gt;=55%, 1, 0))</f>
        <v>0</v>
      </c>
      <c r="AX84" s="165">
        <f>IF(OR(CSE4098B_Spring2026_Grade!$I69="W (Withdrawn)", CSE4098B_Spring2026_Grade!$I69="I (Incomplete)"), 0, IF(AM84&gt;=55%, 1, 0))</f>
        <v>0</v>
      </c>
      <c r="AY84" s="165">
        <f>IF(OR(CSE4098B_Spring2026_Grade!$I69="W (Withdrawn)", CSE4098B_Spring2026_Grade!$I69="I (Incomplete)"), 0, IF(AN84&gt;=55%, 1, 0))</f>
        <v>0</v>
      </c>
      <c r="AZ84" s="165">
        <f>IF(OR(CSE4098B_Spring2026_Grade!$I69="W (Withdrawn)", CSE4098B_Spring2026_Grade!$I69="I (Incomplete)"), 0, IF(AO84&gt;=55%, 1, 0))</f>
        <v>0</v>
      </c>
      <c r="BA84" s="76"/>
      <c r="BB84" s="166">
        <f t="shared" si="13"/>
        <v>0</v>
      </c>
      <c r="BC84" s="166">
        <f t="shared" si="14"/>
        <v>0</v>
      </c>
      <c r="BD84" s="166">
        <f t="array" ref="BD84">IF($BC$14=0,0,MMULT($AE84:$AO84, BC$3:BC$13)/$BC$14)</f>
        <v>0</v>
      </c>
      <c r="BE84" s="166">
        <f t="array" ref="BE84">IF($BD$14=0,0,MMULT($AE84:$AO84, BD$3:BD$13)/$BD$14)</f>
        <v>0</v>
      </c>
      <c r="BF84" s="166">
        <f t="shared" si="15"/>
        <v>0</v>
      </c>
      <c r="BG84" s="166">
        <f t="array" ref="BG84">IF($BF$14=0,0,MMULT($AE84:$AO84, BF$3:BF$13)/$BF$14)</f>
        <v>0</v>
      </c>
      <c r="BH84" s="166">
        <f t="array" ref="BH84">IF($BG$14=0,0,MMULT($AE84:$AO84, BG$3:BG$13)/$BG$14)</f>
        <v>0</v>
      </c>
      <c r="BI84" s="166">
        <f t="array" ref="BI84">IF($BH$14=0,0,MMULT($AE84:$AO84, BH$3:BH$13)/$BH$14)</f>
        <v>0</v>
      </c>
      <c r="BJ84" s="166">
        <f t="array" ref="BJ84">IF($BI$14=0,0,MMULT($AE84:$AO84, BI$3:BI$13)/$BI$14)</f>
        <v>0</v>
      </c>
      <c r="BK84" s="166">
        <f t="array" ref="BK84">IF($BJ$14=0,0,MMULT($AE84:$AO84, BJ$3:BJ$13)/$BJ$14)</f>
        <v>0</v>
      </c>
      <c r="BL84" s="166">
        <f t="shared" si="16"/>
        <v>0</v>
      </c>
      <c r="BM84" s="166">
        <f t="shared" si="17"/>
        <v>0</v>
      </c>
      <c r="BN84" s="165">
        <f>IF(OR(CSE4098B_Spring2026_Grade!$I69="W (Withdrawn)", CSE4098B_Spring2026_Grade!$I69="I (Incomplete)"), 0, IF(BB84&gt;=55%, 1, 0))</f>
        <v>0</v>
      </c>
      <c r="BO84" s="165">
        <f>IF(OR(CSE4098B_Spring2026_Grade!$I69="W (Withdrawn)", CSE4098B_Spring2026_Grade!$I69="I (Incomplete)"), 0, IF(BC84&gt;=55%, 1, 0))</f>
        <v>0</v>
      </c>
      <c r="BP84" s="165">
        <f>IF(OR(CSE4098B_Spring2026_Grade!$I69="W (Withdrawn)", CSE4098B_Spring2026_Grade!$I69="I (Incomplete)"), 0, IF(BD84&gt;=55%, 1, 0))</f>
        <v>0</v>
      </c>
      <c r="BQ84" s="165">
        <f>IF(OR(CSE4098B_Spring2026_Grade!$I69="W (Withdrawn)", CSE4098B_Spring2026_Grade!$I69="I (Incomplete)"), 0, IF(BE84&gt;=55%, 1, 0))</f>
        <v>0</v>
      </c>
      <c r="BR84" s="165">
        <f>IF(OR(CSE4098B_Spring2026_Grade!$I69="W (Withdrawn)", CSE4098B_Spring2026_Grade!$I69="I (Incomplete)"), 0, IF(BF84&gt;=55%, 1, 0))</f>
        <v>0</v>
      </c>
      <c r="BS84" s="165">
        <f>IF(OR(CSE4098B_Spring2026_Grade!$I69="W (Withdrawn)", CSE4098B_Spring2026_Grade!$I69="I (Incomplete)"), 0, IF(BG84&gt;=55%, 1, 0))</f>
        <v>0</v>
      </c>
      <c r="BT84" s="165">
        <f>IF(OR(CSE4098B_Spring2026_Grade!$I69="W (Withdrawn)", CSE4098B_Spring2026_Grade!$I69="I (Incomplete)"), 0, IF(BH84&gt;=55%, 1, 0))</f>
        <v>0</v>
      </c>
      <c r="BU84" s="165">
        <f>IF(OR(CSE4098B_Spring2026_Grade!$I69="W (Withdrawn)", CSE4098B_Spring2026_Grade!$I69="I (Incomplete)"), 0, IF(BI84&gt;=55%, 1, 0))</f>
        <v>0</v>
      </c>
      <c r="BV84" s="165">
        <f>IF(OR(CSE4098B_Spring2026_Grade!$I69="W (Withdrawn)", CSE4098B_Spring2026_Grade!$I69="I (Incomplete)"), 0, IF(BJ84&gt;=55%, 1, 0))</f>
        <v>0</v>
      </c>
      <c r="BW84" s="165">
        <f>IF(OR(CSE4098B_Spring2026_Grade!$I69="W (Withdrawn)", CSE4098B_Spring2026_Grade!$I69="I (Incomplete)"), 0, IF(BK84&gt;=55%, 1, 0))</f>
        <v>0</v>
      </c>
      <c r="BX84" s="165">
        <f>IF(OR(CSE4098B_Spring2026_Grade!$I69="W (Withdrawn)", CSE4098B_Spring2026_Grade!$I69="I (Incomplete)"), 0, IF(BL84&gt;=55%, 1, 0))</f>
        <v>0</v>
      </c>
      <c r="BY84" s="165">
        <f>IF(OR(CSE4098B_Spring2026_Grade!$I69="W (Withdrawn)", CSE4098B_Spring2026_Grade!$I69="I (Incomplete)"), 0, IF(BM84&gt;=55%, 1, 0))</f>
        <v>0</v>
      </c>
    </row>
    <row r="85">
      <c r="A85" s="153">
        <v>66.0</v>
      </c>
      <c r="B85" s="154">
        <f>CSE4098B_Spring2026_Grade!B70</f>
        <v>221014104</v>
      </c>
      <c r="C85" s="96" t="str">
        <f>CSE4098B_Spring2026_Grade!C70</f>
        <v>Rownak Salsabil</v>
      </c>
      <c r="D85" s="155">
        <f>'CO Report Evaluation'!AI68</f>
        <v>0</v>
      </c>
      <c r="E85" s="155">
        <f>'CO Report Evaluation'!AJ68</f>
        <v>0</v>
      </c>
      <c r="F85" s="155">
        <f>'CO Report Evaluation'!AK68</f>
        <v>0</v>
      </c>
      <c r="G85" s="156">
        <f>'CO Report Evaluation'!AL68</f>
        <v>0</v>
      </c>
      <c r="H85" s="156">
        <f>'CO Report Evaluation'!AM68</f>
        <v>0</v>
      </c>
      <c r="I85" s="157">
        <f>'CO Report Evaluation'!AN68</f>
        <v>0</v>
      </c>
      <c r="J85" s="157">
        <f>'CO Report Evaluation'!AO68</f>
        <v>0</v>
      </c>
      <c r="K85" s="157">
        <f>'CO Report Evaluation'!AP68</f>
        <v>0</v>
      </c>
      <c r="L85" s="158">
        <f>'CO Report Evaluation'!AQ68</f>
        <v>0</v>
      </c>
      <c r="M85" s="159"/>
      <c r="N85" s="160"/>
      <c r="O85" s="160"/>
      <c r="P85" s="160"/>
      <c r="Q85" s="160"/>
      <c r="R85" s="156">
        <f>CSE4098B_Spring2026_Grade!F70</f>
        <v>2</v>
      </c>
      <c r="S85" s="161">
        <f>((CSE4098B_Spring2026_Grade!E70)*10)/45</f>
        <v>2.666666667</v>
      </c>
      <c r="T85" s="162">
        <f t="shared" ref="T85:AB85" si="207">D85</f>
        <v>0</v>
      </c>
      <c r="U85" s="163">
        <f t="shared" si="207"/>
        <v>0</v>
      </c>
      <c r="V85" s="163">
        <f t="shared" si="207"/>
        <v>0</v>
      </c>
      <c r="W85" s="163">
        <f t="shared" si="207"/>
        <v>0</v>
      </c>
      <c r="X85" s="163">
        <f t="shared" si="207"/>
        <v>0</v>
      </c>
      <c r="Y85" s="163">
        <f t="shared" si="207"/>
        <v>0</v>
      </c>
      <c r="Z85" s="163">
        <f t="shared" si="207"/>
        <v>0</v>
      </c>
      <c r="AA85" s="163">
        <f t="shared" si="207"/>
        <v>0</v>
      </c>
      <c r="AB85" s="163">
        <f t="shared" si="207"/>
        <v>0</v>
      </c>
      <c r="AC85" s="163">
        <f t="shared" ref="AC85:AD85" si="208">R85</f>
        <v>2</v>
      </c>
      <c r="AD85" s="163">
        <f t="shared" si="208"/>
        <v>2.666666667</v>
      </c>
      <c r="AE85" s="164">
        <f t="shared" ref="AE85:AO85" si="209">IF(T85 = 0, 0, T85/T$19)</f>
        <v>0</v>
      </c>
      <c r="AF85" s="164">
        <f t="shared" si="209"/>
        <v>0</v>
      </c>
      <c r="AG85" s="164">
        <f t="shared" si="209"/>
        <v>0</v>
      </c>
      <c r="AH85" s="164">
        <f t="shared" si="209"/>
        <v>0</v>
      </c>
      <c r="AI85" s="164">
        <f t="shared" si="209"/>
        <v>0</v>
      </c>
      <c r="AJ85" s="164">
        <f t="shared" si="209"/>
        <v>0</v>
      </c>
      <c r="AK85" s="164">
        <f t="shared" si="209"/>
        <v>0</v>
      </c>
      <c r="AL85" s="164">
        <f t="shared" si="209"/>
        <v>0</v>
      </c>
      <c r="AM85" s="164">
        <f t="shared" si="209"/>
        <v>0</v>
      </c>
      <c r="AN85" s="164">
        <f t="shared" si="209"/>
        <v>0.4</v>
      </c>
      <c r="AO85" s="164">
        <f t="shared" si="209"/>
        <v>0.2666666667</v>
      </c>
      <c r="AP85" s="165">
        <f>IF(OR(CSE4098B_Spring2026_Grade!$I70="W (Withdrawn)", CSE4098B_Spring2026_Grade!$I70="I (Incomplete)"), 0, IF(AE85&gt;=55%, 1, 0))</f>
        <v>0</v>
      </c>
      <c r="AQ85" s="165">
        <f>IF(OR(CSE4098B_Spring2026_Grade!$I70="W (Withdrawn)", CSE4098B_Spring2026_Grade!$I70="I (Incomplete)"), 0, IF(AF85&gt;=55%, 1, 0))</f>
        <v>0</v>
      </c>
      <c r="AR85" s="165">
        <f>IF(OR(CSE4098B_Spring2026_Grade!$I70="W (Withdrawn)", CSE4098B_Spring2026_Grade!$I70="I (Incomplete)"), 0, IF(AG85&gt;=55%, 1, 0))</f>
        <v>0</v>
      </c>
      <c r="AS85" s="165">
        <f>IF(OR(CSE4098B_Spring2026_Grade!$I70="W (Withdrawn)", CSE4098B_Spring2026_Grade!$I70="I (Incomplete)"), 0, IF(AH85&gt;=55%, 1, 0))</f>
        <v>0</v>
      </c>
      <c r="AT85" s="165">
        <f>IF(OR(CSE4098B_Spring2026_Grade!$I70="W (Withdrawn)", CSE4098B_Spring2026_Grade!$I70="I (Incomplete)"), 0, IF(AI85&gt;=55%, 1, 0))</f>
        <v>0</v>
      </c>
      <c r="AU85" s="165">
        <f>IF(OR(CSE4098B_Spring2026_Grade!$I70="W (Withdrawn)", CSE4098B_Spring2026_Grade!$I70="I (Incomplete)"), 0, IF(AJ85&gt;=55%, 1, 0))</f>
        <v>0</v>
      </c>
      <c r="AV85" s="165">
        <f>IF(OR(CSE4098B_Spring2026_Grade!$I70="W (Withdrawn)", CSE4098B_Spring2026_Grade!$I70="I (Incomplete)"), 0, IF(AK85&gt;=55%, 1, 0))</f>
        <v>0</v>
      </c>
      <c r="AW85" s="165">
        <f>IF(OR(CSE4098B_Spring2026_Grade!$I70="W (Withdrawn)", CSE4098B_Spring2026_Grade!$I70="I (Incomplete)"), 0, IF(AL85&gt;=55%, 1, 0))</f>
        <v>0</v>
      </c>
      <c r="AX85" s="165">
        <f>IF(OR(CSE4098B_Spring2026_Grade!$I70="W (Withdrawn)", CSE4098B_Spring2026_Grade!$I70="I (Incomplete)"), 0, IF(AM85&gt;=55%, 1, 0))</f>
        <v>0</v>
      </c>
      <c r="AY85" s="165">
        <f>IF(OR(CSE4098B_Spring2026_Grade!$I70="W (Withdrawn)", CSE4098B_Spring2026_Grade!$I70="I (Incomplete)"), 0, IF(AN85&gt;=55%, 1, 0))</f>
        <v>0</v>
      </c>
      <c r="AZ85" s="165">
        <f>IF(OR(CSE4098B_Spring2026_Grade!$I70="W (Withdrawn)", CSE4098B_Spring2026_Grade!$I70="I (Incomplete)"), 0, IF(AO85&gt;=55%, 1, 0))</f>
        <v>0</v>
      </c>
      <c r="BA85" s="76"/>
      <c r="BB85" s="166">
        <f t="shared" si="13"/>
        <v>0</v>
      </c>
      <c r="BC85" s="166">
        <f t="shared" si="14"/>
        <v>0</v>
      </c>
      <c r="BD85" s="166">
        <f t="array" ref="BD85">IF($BC$14=0,0,MMULT($AE85:$AO85, BC$3:BC$13)/$BC$14)</f>
        <v>0</v>
      </c>
      <c r="BE85" s="166">
        <f t="array" ref="BE85">IF($BD$14=0,0,MMULT($AE85:$AO85, BD$3:BD$13)/$BD$14)</f>
        <v>0</v>
      </c>
      <c r="BF85" s="166">
        <f t="shared" si="15"/>
        <v>0</v>
      </c>
      <c r="BG85" s="166">
        <f t="array" ref="BG85">IF($BF$14=0,0,MMULT($AE85:$AO85, BF$3:BF$13)/$BF$14)</f>
        <v>0</v>
      </c>
      <c r="BH85" s="166">
        <f t="array" ref="BH85">IF($BG$14=0,0,MMULT($AE85:$AO85, BG$3:BG$13)/$BG$14)</f>
        <v>0</v>
      </c>
      <c r="BI85" s="166">
        <f t="array" ref="BI85">IF($BH$14=0,0,MMULT($AE85:$AO85, BH$3:BH$13)/$BH$14)</f>
        <v>0</v>
      </c>
      <c r="BJ85" s="166">
        <f t="array" ref="BJ85">IF($BI$14=0,0,MMULT($AE85:$AO85, BI$3:BI$13)/$BI$14)</f>
        <v>0.4</v>
      </c>
      <c r="BK85" s="166">
        <f t="array" ref="BK85">IF($BJ$14=0,0,MMULT($AE85:$AO85, BJ$3:BJ$13)/$BJ$14)</f>
        <v>0.2666666667</v>
      </c>
      <c r="BL85" s="166">
        <f t="shared" si="16"/>
        <v>0</v>
      </c>
      <c r="BM85" s="166">
        <f t="shared" si="17"/>
        <v>0</v>
      </c>
      <c r="BN85" s="165">
        <f>IF(OR(CSE4098B_Spring2026_Grade!$I70="W (Withdrawn)", CSE4098B_Spring2026_Grade!$I70="I (Incomplete)"), 0, IF(BB85&gt;=55%, 1, 0))</f>
        <v>0</v>
      </c>
      <c r="BO85" s="165">
        <f>IF(OR(CSE4098B_Spring2026_Grade!$I70="W (Withdrawn)", CSE4098B_Spring2026_Grade!$I70="I (Incomplete)"), 0, IF(BC85&gt;=55%, 1, 0))</f>
        <v>0</v>
      </c>
      <c r="BP85" s="165">
        <f>IF(OR(CSE4098B_Spring2026_Grade!$I70="W (Withdrawn)", CSE4098B_Spring2026_Grade!$I70="I (Incomplete)"), 0, IF(BD85&gt;=55%, 1, 0))</f>
        <v>0</v>
      </c>
      <c r="BQ85" s="165">
        <f>IF(OR(CSE4098B_Spring2026_Grade!$I70="W (Withdrawn)", CSE4098B_Spring2026_Grade!$I70="I (Incomplete)"), 0, IF(BE85&gt;=55%, 1, 0))</f>
        <v>0</v>
      </c>
      <c r="BR85" s="165">
        <f>IF(OR(CSE4098B_Spring2026_Grade!$I70="W (Withdrawn)", CSE4098B_Spring2026_Grade!$I70="I (Incomplete)"), 0, IF(BF85&gt;=55%, 1, 0))</f>
        <v>0</v>
      </c>
      <c r="BS85" s="165">
        <f>IF(OR(CSE4098B_Spring2026_Grade!$I70="W (Withdrawn)", CSE4098B_Spring2026_Grade!$I70="I (Incomplete)"), 0, IF(BG85&gt;=55%, 1, 0))</f>
        <v>0</v>
      </c>
      <c r="BT85" s="165">
        <f>IF(OR(CSE4098B_Spring2026_Grade!$I70="W (Withdrawn)", CSE4098B_Spring2026_Grade!$I70="I (Incomplete)"), 0, IF(BH85&gt;=55%, 1, 0))</f>
        <v>0</v>
      </c>
      <c r="BU85" s="165">
        <f>IF(OR(CSE4098B_Spring2026_Grade!$I70="W (Withdrawn)", CSE4098B_Spring2026_Grade!$I70="I (Incomplete)"), 0, IF(BI85&gt;=55%, 1, 0))</f>
        <v>0</v>
      </c>
      <c r="BV85" s="165">
        <f>IF(OR(CSE4098B_Spring2026_Grade!$I70="W (Withdrawn)", CSE4098B_Spring2026_Grade!$I70="I (Incomplete)"), 0, IF(BJ85&gt;=55%, 1, 0))</f>
        <v>0</v>
      </c>
      <c r="BW85" s="165">
        <f>IF(OR(CSE4098B_Spring2026_Grade!$I70="W (Withdrawn)", CSE4098B_Spring2026_Grade!$I70="I (Incomplete)"), 0, IF(BK85&gt;=55%, 1, 0))</f>
        <v>0</v>
      </c>
      <c r="BX85" s="165">
        <f>IF(OR(CSE4098B_Spring2026_Grade!$I70="W (Withdrawn)", CSE4098B_Spring2026_Grade!$I70="I (Incomplete)"), 0, IF(BL85&gt;=55%, 1, 0))</f>
        <v>0</v>
      </c>
      <c r="BY85" s="165">
        <f>IF(OR(CSE4098B_Spring2026_Grade!$I70="W (Withdrawn)", CSE4098B_Spring2026_Grade!$I70="I (Incomplete)"), 0, IF(BM85&gt;=55%, 1, 0))</f>
        <v>0</v>
      </c>
    </row>
    <row r="86">
      <c r="A86" s="153">
        <v>67.0</v>
      </c>
      <c r="B86" s="154">
        <f>CSE4098B_Spring2026_Grade!B71</f>
        <v>221014077</v>
      </c>
      <c r="C86" s="96" t="str">
        <f>CSE4098B_Spring2026_Grade!C71</f>
        <v>Adnan Chowdhury</v>
      </c>
      <c r="D86" s="155">
        <f>'CO Report Evaluation'!AI69</f>
        <v>0</v>
      </c>
      <c r="E86" s="155">
        <f>'CO Report Evaluation'!AJ69</f>
        <v>0</v>
      </c>
      <c r="F86" s="155">
        <f>'CO Report Evaluation'!AK69</f>
        <v>0</v>
      </c>
      <c r="G86" s="156">
        <f>'CO Report Evaluation'!AL69</f>
        <v>0</v>
      </c>
      <c r="H86" s="156">
        <f>'CO Report Evaluation'!AM69</f>
        <v>0</v>
      </c>
      <c r="I86" s="157">
        <f>'CO Report Evaluation'!AN69</f>
        <v>0</v>
      </c>
      <c r="J86" s="157">
        <f>'CO Report Evaluation'!AO69</f>
        <v>0</v>
      </c>
      <c r="K86" s="157">
        <f>'CO Report Evaluation'!AP69</f>
        <v>0</v>
      </c>
      <c r="L86" s="158">
        <f>'CO Report Evaluation'!AQ69</f>
        <v>0</v>
      </c>
      <c r="M86" s="159"/>
      <c r="N86" s="160"/>
      <c r="O86" s="160"/>
      <c r="P86" s="160"/>
      <c r="Q86" s="160"/>
      <c r="R86" s="156">
        <f>CSE4098B_Spring2026_Grade!F71</f>
        <v>1</v>
      </c>
      <c r="S86" s="161">
        <f>((CSE4098B_Spring2026_Grade!E71)*10)/45</f>
        <v>2.666666667</v>
      </c>
      <c r="T86" s="162">
        <f t="shared" ref="T86:AB86" si="210">D86</f>
        <v>0</v>
      </c>
      <c r="U86" s="163">
        <f t="shared" si="210"/>
        <v>0</v>
      </c>
      <c r="V86" s="163">
        <f t="shared" si="210"/>
        <v>0</v>
      </c>
      <c r="W86" s="163">
        <f t="shared" si="210"/>
        <v>0</v>
      </c>
      <c r="X86" s="163">
        <f t="shared" si="210"/>
        <v>0</v>
      </c>
      <c r="Y86" s="163">
        <f t="shared" si="210"/>
        <v>0</v>
      </c>
      <c r="Z86" s="163">
        <f t="shared" si="210"/>
        <v>0</v>
      </c>
      <c r="AA86" s="163">
        <f t="shared" si="210"/>
        <v>0</v>
      </c>
      <c r="AB86" s="163">
        <f t="shared" si="210"/>
        <v>0</v>
      </c>
      <c r="AC86" s="163">
        <f t="shared" ref="AC86:AD86" si="211">R86</f>
        <v>1</v>
      </c>
      <c r="AD86" s="163">
        <f t="shared" si="211"/>
        <v>2.666666667</v>
      </c>
      <c r="AE86" s="164">
        <f t="shared" ref="AE86:AO86" si="212">IF(T86 = 0, 0, T86/T$19)</f>
        <v>0</v>
      </c>
      <c r="AF86" s="164">
        <f t="shared" si="212"/>
        <v>0</v>
      </c>
      <c r="AG86" s="164">
        <f t="shared" si="212"/>
        <v>0</v>
      </c>
      <c r="AH86" s="164">
        <f t="shared" si="212"/>
        <v>0</v>
      </c>
      <c r="AI86" s="164">
        <f t="shared" si="212"/>
        <v>0</v>
      </c>
      <c r="AJ86" s="164">
        <f t="shared" si="212"/>
        <v>0</v>
      </c>
      <c r="AK86" s="164">
        <f t="shared" si="212"/>
        <v>0</v>
      </c>
      <c r="AL86" s="164">
        <f t="shared" si="212"/>
        <v>0</v>
      </c>
      <c r="AM86" s="164">
        <f t="shared" si="212"/>
        <v>0</v>
      </c>
      <c r="AN86" s="164">
        <f t="shared" si="212"/>
        <v>0.2</v>
      </c>
      <c r="AO86" s="164">
        <f t="shared" si="212"/>
        <v>0.2666666667</v>
      </c>
      <c r="AP86" s="165">
        <f>IF(OR(CSE4098B_Spring2026_Grade!$I71="W (Withdrawn)", CSE4098B_Spring2026_Grade!$I71="I (Incomplete)"), 0, IF(AE86&gt;=55%, 1, 0))</f>
        <v>0</v>
      </c>
      <c r="AQ86" s="165">
        <f>IF(OR(CSE4098B_Spring2026_Grade!$I71="W (Withdrawn)", CSE4098B_Spring2026_Grade!$I71="I (Incomplete)"), 0, IF(AF86&gt;=55%, 1, 0))</f>
        <v>0</v>
      </c>
      <c r="AR86" s="165">
        <f>IF(OR(CSE4098B_Spring2026_Grade!$I71="W (Withdrawn)", CSE4098B_Spring2026_Grade!$I71="I (Incomplete)"), 0, IF(AG86&gt;=55%, 1, 0))</f>
        <v>0</v>
      </c>
      <c r="AS86" s="165">
        <f>IF(OR(CSE4098B_Spring2026_Grade!$I71="W (Withdrawn)", CSE4098B_Spring2026_Grade!$I71="I (Incomplete)"), 0, IF(AH86&gt;=55%, 1, 0))</f>
        <v>0</v>
      </c>
      <c r="AT86" s="165">
        <f>IF(OR(CSE4098B_Spring2026_Grade!$I71="W (Withdrawn)", CSE4098B_Spring2026_Grade!$I71="I (Incomplete)"), 0, IF(AI86&gt;=55%, 1, 0))</f>
        <v>0</v>
      </c>
      <c r="AU86" s="165">
        <f>IF(OR(CSE4098B_Spring2026_Grade!$I71="W (Withdrawn)", CSE4098B_Spring2026_Grade!$I71="I (Incomplete)"), 0, IF(AJ86&gt;=55%, 1, 0))</f>
        <v>0</v>
      </c>
      <c r="AV86" s="165">
        <f>IF(OR(CSE4098B_Spring2026_Grade!$I71="W (Withdrawn)", CSE4098B_Spring2026_Grade!$I71="I (Incomplete)"), 0, IF(AK86&gt;=55%, 1, 0))</f>
        <v>0</v>
      </c>
      <c r="AW86" s="165">
        <f>IF(OR(CSE4098B_Spring2026_Grade!$I71="W (Withdrawn)", CSE4098B_Spring2026_Grade!$I71="I (Incomplete)"), 0, IF(AL86&gt;=55%, 1, 0))</f>
        <v>0</v>
      </c>
      <c r="AX86" s="165">
        <f>IF(OR(CSE4098B_Spring2026_Grade!$I71="W (Withdrawn)", CSE4098B_Spring2026_Grade!$I71="I (Incomplete)"), 0, IF(AM86&gt;=55%, 1, 0))</f>
        <v>0</v>
      </c>
      <c r="AY86" s="165">
        <f>IF(OR(CSE4098B_Spring2026_Grade!$I71="W (Withdrawn)", CSE4098B_Spring2026_Grade!$I71="I (Incomplete)"), 0, IF(AN86&gt;=55%, 1, 0))</f>
        <v>0</v>
      </c>
      <c r="AZ86" s="165">
        <f>IF(OR(CSE4098B_Spring2026_Grade!$I71="W (Withdrawn)", CSE4098B_Spring2026_Grade!$I71="I (Incomplete)"), 0, IF(AO86&gt;=55%, 1, 0))</f>
        <v>0</v>
      </c>
      <c r="BA86" s="76"/>
      <c r="BB86" s="166">
        <f t="shared" si="13"/>
        <v>0</v>
      </c>
      <c r="BC86" s="166">
        <f t="shared" si="14"/>
        <v>0</v>
      </c>
      <c r="BD86" s="166">
        <f t="array" ref="BD86">IF($BC$14=0,0,MMULT($AE86:$AO86, BC$3:BC$13)/$BC$14)</f>
        <v>0</v>
      </c>
      <c r="BE86" s="166">
        <f t="array" ref="BE86">IF($BD$14=0,0,MMULT($AE86:$AO86, BD$3:BD$13)/$BD$14)</f>
        <v>0</v>
      </c>
      <c r="BF86" s="166">
        <f t="shared" si="15"/>
        <v>0</v>
      </c>
      <c r="BG86" s="166">
        <f t="array" ref="BG86">IF($BF$14=0,0,MMULT($AE86:$AO86, BF$3:BF$13)/$BF$14)</f>
        <v>0</v>
      </c>
      <c r="BH86" s="166">
        <f t="array" ref="BH86">IF($BG$14=0,0,MMULT($AE86:$AO86, BG$3:BG$13)/$BG$14)</f>
        <v>0</v>
      </c>
      <c r="BI86" s="166">
        <f t="array" ref="BI86">IF($BH$14=0,0,MMULT($AE86:$AO86, BH$3:BH$13)/$BH$14)</f>
        <v>0</v>
      </c>
      <c r="BJ86" s="166">
        <f t="array" ref="BJ86">IF($BI$14=0,0,MMULT($AE86:$AO86, BI$3:BI$13)/$BI$14)</f>
        <v>0.2</v>
      </c>
      <c r="BK86" s="166">
        <f t="array" ref="BK86">IF($BJ$14=0,0,MMULT($AE86:$AO86, BJ$3:BJ$13)/$BJ$14)</f>
        <v>0.2666666667</v>
      </c>
      <c r="BL86" s="166">
        <f t="shared" si="16"/>
        <v>0</v>
      </c>
      <c r="BM86" s="166">
        <f t="shared" si="17"/>
        <v>0</v>
      </c>
      <c r="BN86" s="165">
        <f>IF(OR(CSE4098B_Spring2026_Grade!$I71="W (Withdrawn)", CSE4098B_Spring2026_Grade!$I71="I (Incomplete)"), 0, IF(BB86&gt;=55%, 1, 0))</f>
        <v>0</v>
      </c>
      <c r="BO86" s="165">
        <f>IF(OR(CSE4098B_Spring2026_Grade!$I71="W (Withdrawn)", CSE4098B_Spring2026_Grade!$I71="I (Incomplete)"), 0, IF(BC86&gt;=55%, 1, 0))</f>
        <v>0</v>
      </c>
      <c r="BP86" s="165">
        <f>IF(OR(CSE4098B_Spring2026_Grade!$I71="W (Withdrawn)", CSE4098B_Spring2026_Grade!$I71="I (Incomplete)"), 0, IF(BD86&gt;=55%, 1, 0))</f>
        <v>0</v>
      </c>
      <c r="BQ86" s="165">
        <f>IF(OR(CSE4098B_Spring2026_Grade!$I71="W (Withdrawn)", CSE4098B_Spring2026_Grade!$I71="I (Incomplete)"), 0, IF(BE86&gt;=55%, 1, 0))</f>
        <v>0</v>
      </c>
      <c r="BR86" s="165">
        <f>IF(OR(CSE4098B_Spring2026_Grade!$I71="W (Withdrawn)", CSE4098B_Spring2026_Grade!$I71="I (Incomplete)"), 0, IF(BF86&gt;=55%, 1, 0))</f>
        <v>0</v>
      </c>
      <c r="BS86" s="165">
        <f>IF(OR(CSE4098B_Spring2026_Grade!$I71="W (Withdrawn)", CSE4098B_Spring2026_Grade!$I71="I (Incomplete)"), 0, IF(BG86&gt;=55%, 1, 0))</f>
        <v>0</v>
      </c>
      <c r="BT86" s="165">
        <f>IF(OR(CSE4098B_Spring2026_Grade!$I71="W (Withdrawn)", CSE4098B_Spring2026_Grade!$I71="I (Incomplete)"), 0, IF(BH86&gt;=55%, 1, 0))</f>
        <v>0</v>
      </c>
      <c r="BU86" s="165">
        <f>IF(OR(CSE4098B_Spring2026_Grade!$I71="W (Withdrawn)", CSE4098B_Spring2026_Grade!$I71="I (Incomplete)"), 0, IF(BI86&gt;=55%, 1, 0))</f>
        <v>0</v>
      </c>
      <c r="BV86" s="165">
        <f>IF(OR(CSE4098B_Spring2026_Grade!$I71="W (Withdrawn)", CSE4098B_Spring2026_Grade!$I71="I (Incomplete)"), 0, IF(BJ86&gt;=55%, 1, 0))</f>
        <v>0</v>
      </c>
      <c r="BW86" s="165">
        <f>IF(OR(CSE4098B_Spring2026_Grade!$I71="W (Withdrawn)", CSE4098B_Spring2026_Grade!$I71="I (Incomplete)"), 0, IF(BK86&gt;=55%, 1, 0))</f>
        <v>0</v>
      </c>
      <c r="BX86" s="165">
        <f>IF(OR(CSE4098B_Spring2026_Grade!$I71="W (Withdrawn)", CSE4098B_Spring2026_Grade!$I71="I (Incomplete)"), 0, IF(BL86&gt;=55%, 1, 0))</f>
        <v>0</v>
      </c>
      <c r="BY86" s="165">
        <f>IF(OR(CSE4098B_Spring2026_Grade!$I71="W (Withdrawn)", CSE4098B_Spring2026_Grade!$I71="I (Incomplete)"), 0, IF(BM86&gt;=55%, 1, 0))</f>
        <v>0</v>
      </c>
    </row>
    <row r="87">
      <c r="A87" s="153">
        <v>68.0</v>
      </c>
      <c r="B87" s="154">
        <f>CSE4098B_Spring2026_Grade!B72</f>
        <v>221014085</v>
      </c>
      <c r="C87" s="96" t="str">
        <f>CSE4098B_Spring2026_Grade!C72</f>
        <v>Sheikh Nusaibah Noor</v>
      </c>
      <c r="D87" s="155">
        <f>'CO Report Evaluation'!AI70</f>
        <v>0</v>
      </c>
      <c r="E87" s="155">
        <f>'CO Report Evaluation'!AJ70</f>
        <v>0</v>
      </c>
      <c r="F87" s="155">
        <f>'CO Report Evaluation'!AK70</f>
        <v>0</v>
      </c>
      <c r="G87" s="156">
        <f>'CO Report Evaluation'!AL70</f>
        <v>0</v>
      </c>
      <c r="H87" s="156">
        <f>'CO Report Evaluation'!AM70</f>
        <v>0</v>
      </c>
      <c r="I87" s="157">
        <f>'CO Report Evaluation'!AN70</f>
        <v>0</v>
      </c>
      <c r="J87" s="157">
        <f>'CO Report Evaluation'!AO70</f>
        <v>0</v>
      </c>
      <c r="K87" s="157">
        <f>'CO Report Evaluation'!AP70</f>
        <v>0</v>
      </c>
      <c r="L87" s="158">
        <f>'CO Report Evaluation'!AQ70</f>
        <v>0</v>
      </c>
      <c r="M87" s="159"/>
      <c r="N87" s="160"/>
      <c r="O87" s="160"/>
      <c r="P87" s="160"/>
      <c r="Q87" s="160"/>
      <c r="R87" s="156">
        <f>CSE4098B_Spring2026_Grade!F72</f>
        <v>2</v>
      </c>
      <c r="S87" s="161">
        <f>((CSE4098B_Spring2026_Grade!E72)*10)/45</f>
        <v>2.666666667</v>
      </c>
      <c r="T87" s="162">
        <f t="shared" ref="T87:AB87" si="213">D87</f>
        <v>0</v>
      </c>
      <c r="U87" s="163">
        <f t="shared" si="213"/>
        <v>0</v>
      </c>
      <c r="V87" s="163">
        <f t="shared" si="213"/>
        <v>0</v>
      </c>
      <c r="W87" s="163">
        <f t="shared" si="213"/>
        <v>0</v>
      </c>
      <c r="X87" s="163">
        <f t="shared" si="213"/>
        <v>0</v>
      </c>
      <c r="Y87" s="163">
        <f t="shared" si="213"/>
        <v>0</v>
      </c>
      <c r="Z87" s="163">
        <f t="shared" si="213"/>
        <v>0</v>
      </c>
      <c r="AA87" s="163">
        <f t="shared" si="213"/>
        <v>0</v>
      </c>
      <c r="AB87" s="163">
        <f t="shared" si="213"/>
        <v>0</v>
      </c>
      <c r="AC87" s="163">
        <f t="shared" ref="AC87:AD87" si="214">R87</f>
        <v>2</v>
      </c>
      <c r="AD87" s="163">
        <f t="shared" si="214"/>
        <v>2.666666667</v>
      </c>
      <c r="AE87" s="164">
        <f t="shared" ref="AE87:AO87" si="215">IF(T87 = 0, 0, T87/T$19)</f>
        <v>0</v>
      </c>
      <c r="AF87" s="164">
        <f t="shared" si="215"/>
        <v>0</v>
      </c>
      <c r="AG87" s="164">
        <f t="shared" si="215"/>
        <v>0</v>
      </c>
      <c r="AH87" s="164">
        <f t="shared" si="215"/>
        <v>0</v>
      </c>
      <c r="AI87" s="164">
        <f t="shared" si="215"/>
        <v>0</v>
      </c>
      <c r="AJ87" s="164">
        <f t="shared" si="215"/>
        <v>0</v>
      </c>
      <c r="AK87" s="164">
        <f t="shared" si="215"/>
        <v>0</v>
      </c>
      <c r="AL87" s="164">
        <f t="shared" si="215"/>
        <v>0</v>
      </c>
      <c r="AM87" s="164">
        <f t="shared" si="215"/>
        <v>0</v>
      </c>
      <c r="AN87" s="164">
        <f t="shared" si="215"/>
        <v>0.4</v>
      </c>
      <c r="AO87" s="164">
        <f t="shared" si="215"/>
        <v>0.2666666667</v>
      </c>
      <c r="AP87" s="165">
        <f>IF(OR(CSE4098B_Spring2026_Grade!$I72="W (Withdrawn)", CSE4098B_Spring2026_Grade!$I72="I (Incomplete)"), 0, IF(AE87&gt;=55%, 1, 0))</f>
        <v>0</v>
      </c>
      <c r="AQ87" s="165">
        <f>IF(OR(CSE4098B_Spring2026_Grade!$I72="W (Withdrawn)", CSE4098B_Spring2026_Grade!$I72="I (Incomplete)"), 0, IF(AF87&gt;=55%, 1, 0))</f>
        <v>0</v>
      </c>
      <c r="AR87" s="165">
        <f>IF(OR(CSE4098B_Spring2026_Grade!$I72="W (Withdrawn)", CSE4098B_Spring2026_Grade!$I72="I (Incomplete)"), 0, IF(AG87&gt;=55%, 1, 0))</f>
        <v>0</v>
      </c>
      <c r="AS87" s="165">
        <f>IF(OR(CSE4098B_Spring2026_Grade!$I72="W (Withdrawn)", CSE4098B_Spring2026_Grade!$I72="I (Incomplete)"), 0, IF(AH87&gt;=55%, 1, 0))</f>
        <v>0</v>
      </c>
      <c r="AT87" s="165">
        <f>IF(OR(CSE4098B_Spring2026_Grade!$I72="W (Withdrawn)", CSE4098B_Spring2026_Grade!$I72="I (Incomplete)"), 0, IF(AI87&gt;=55%, 1, 0))</f>
        <v>0</v>
      </c>
      <c r="AU87" s="165">
        <f>IF(OR(CSE4098B_Spring2026_Grade!$I72="W (Withdrawn)", CSE4098B_Spring2026_Grade!$I72="I (Incomplete)"), 0, IF(AJ87&gt;=55%, 1, 0))</f>
        <v>0</v>
      </c>
      <c r="AV87" s="165">
        <f>IF(OR(CSE4098B_Spring2026_Grade!$I72="W (Withdrawn)", CSE4098B_Spring2026_Grade!$I72="I (Incomplete)"), 0, IF(AK87&gt;=55%, 1, 0))</f>
        <v>0</v>
      </c>
      <c r="AW87" s="165">
        <f>IF(OR(CSE4098B_Spring2026_Grade!$I72="W (Withdrawn)", CSE4098B_Spring2026_Grade!$I72="I (Incomplete)"), 0, IF(AL87&gt;=55%, 1, 0))</f>
        <v>0</v>
      </c>
      <c r="AX87" s="165">
        <f>IF(OR(CSE4098B_Spring2026_Grade!$I72="W (Withdrawn)", CSE4098B_Spring2026_Grade!$I72="I (Incomplete)"), 0, IF(AM87&gt;=55%, 1, 0))</f>
        <v>0</v>
      </c>
      <c r="AY87" s="165">
        <f>IF(OR(CSE4098B_Spring2026_Grade!$I72="W (Withdrawn)", CSE4098B_Spring2026_Grade!$I72="I (Incomplete)"), 0, IF(AN87&gt;=55%, 1, 0))</f>
        <v>0</v>
      </c>
      <c r="AZ87" s="165">
        <f>IF(OR(CSE4098B_Spring2026_Grade!$I72="W (Withdrawn)", CSE4098B_Spring2026_Grade!$I72="I (Incomplete)"), 0, IF(AO87&gt;=55%, 1, 0))</f>
        <v>0</v>
      </c>
      <c r="BA87" s="76"/>
      <c r="BB87" s="166">
        <f t="shared" si="13"/>
        <v>0</v>
      </c>
      <c r="BC87" s="166">
        <f t="shared" si="14"/>
        <v>0</v>
      </c>
      <c r="BD87" s="166">
        <f t="array" ref="BD87">IF($BC$14=0,0,MMULT($AE87:$AO87, BC$3:BC$13)/$BC$14)</f>
        <v>0</v>
      </c>
      <c r="BE87" s="166">
        <f t="array" ref="BE87">IF($BD$14=0,0,MMULT($AE87:$AO87, BD$3:BD$13)/$BD$14)</f>
        <v>0</v>
      </c>
      <c r="BF87" s="166">
        <f t="shared" si="15"/>
        <v>0</v>
      </c>
      <c r="BG87" s="166">
        <f t="array" ref="BG87">IF($BF$14=0,0,MMULT($AE87:$AO87, BF$3:BF$13)/$BF$14)</f>
        <v>0</v>
      </c>
      <c r="BH87" s="166">
        <f t="array" ref="BH87">IF($BG$14=0,0,MMULT($AE87:$AO87, BG$3:BG$13)/$BG$14)</f>
        <v>0</v>
      </c>
      <c r="BI87" s="166">
        <f t="array" ref="BI87">IF($BH$14=0,0,MMULT($AE87:$AO87, BH$3:BH$13)/$BH$14)</f>
        <v>0</v>
      </c>
      <c r="BJ87" s="166">
        <f t="array" ref="BJ87">IF($BI$14=0,0,MMULT($AE87:$AO87, BI$3:BI$13)/$BI$14)</f>
        <v>0.4</v>
      </c>
      <c r="BK87" s="166">
        <f t="array" ref="BK87">IF($BJ$14=0,0,MMULT($AE87:$AO87, BJ$3:BJ$13)/$BJ$14)</f>
        <v>0.2666666667</v>
      </c>
      <c r="BL87" s="166">
        <f t="shared" si="16"/>
        <v>0</v>
      </c>
      <c r="BM87" s="166">
        <f t="shared" si="17"/>
        <v>0</v>
      </c>
      <c r="BN87" s="165">
        <f>IF(OR(CSE4098B_Spring2026_Grade!$I72="W (Withdrawn)", CSE4098B_Spring2026_Grade!$I72="I (Incomplete)"), 0, IF(BB87&gt;=55%, 1, 0))</f>
        <v>0</v>
      </c>
      <c r="BO87" s="165">
        <f>IF(OR(CSE4098B_Spring2026_Grade!$I72="W (Withdrawn)", CSE4098B_Spring2026_Grade!$I72="I (Incomplete)"), 0, IF(BC87&gt;=55%, 1, 0))</f>
        <v>0</v>
      </c>
      <c r="BP87" s="165">
        <f>IF(OR(CSE4098B_Spring2026_Grade!$I72="W (Withdrawn)", CSE4098B_Spring2026_Grade!$I72="I (Incomplete)"), 0, IF(BD87&gt;=55%, 1, 0))</f>
        <v>0</v>
      </c>
      <c r="BQ87" s="165">
        <f>IF(OR(CSE4098B_Spring2026_Grade!$I72="W (Withdrawn)", CSE4098B_Spring2026_Grade!$I72="I (Incomplete)"), 0, IF(BE87&gt;=55%, 1, 0))</f>
        <v>0</v>
      </c>
      <c r="BR87" s="165">
        <f>IF(OR(CSE4098B_Spring2026_Grade!$I72="W (Withdrawn)", CSE4098B_Spring2026_Grade!$I72="I (Incomplete)"), 0, IF(BF87&gt;=55%, 1, 0))</f>
        <v>0</v>
      </c>
      <c r="BS87" s="165">
        <f>IF(OR(CSE4098B_Spring2026_Grade!$I72="W (Withdrawn)", CSE4098B_Spring2026_Grade!$I72="I (Incomplete)"), 0, IF(BG87&gt;=55%, 1, 0))</f>
        <v>0</v>
      </c>
      <c r="BT87" s="165">
        <f>IF(OR(CSE4098B_Spring2026_Grade!$I72="W (Withdrawn)", CSE4098B_Spring2026_Grade!$I72="I (Incomplete)"), 0, IF(BH87&gt;=55%, 1, 0))</f>
        <v>0</v>
      </c>
      <c r="BU87" s="165">
        <f>IF(OR(CSE4098B_Spring2026_Grade!$I72="W (Withdrawn)", CSE4098B_Spring2026_Grade!$I72="I (Incomplete)"), 0, IF(BI87&gt;=55%, 1, 0))</f>
        <v>0</v>
      </c>
      <c r="BV87" s="165">
        <f>IF(OR(CSE4098B_Spring2026_Grade!$I72="W (Withdrawn)", CSE4098B_Spring2026_Grade!$I72="I (Incomplete)"), 0, IF(BJ87&gt;=55%, 1, 0))</f>
        <v>0</v>
      </c>
      <c r="BW87" s="165">
        <f>IF(OR(CSE4098B_Spring2026_Grade!$I72="W (Withdrawn)", CSE4098B_Spring2026_Grade!$I72="I (Incomplete)"), 0, IF(BK87&gt;=55%, 1, 0))</f>
        <v>0</v>
      </c>
      <c r="BX87" s="165">
        <f>IF(OR(CSE4098B_Spring2026_Grade!$I72="W (Withdrawn)", CSE4098B_Spring2026_Grade!$I72="I (Incomplete)"), 0, IF(BL87&gt;=55%, 1, 0))</f>
        <v>0</v>
      </c>
      <c r="BY87" s="165">
        <f>IF(OR(CSE4098B_Spring2026_Grade!$I72="W (Withdrawn)", CSE4098B_Spring2026_Grade!$I72="I (Incomplete)"), 0, IF(BM87&gt;=55%, 1, 0))</f>
        <v>0</v>
      </c>
    </row>
    <row r="88">
      <c r="A88" s="167">
        <f>COUNTA(A20:A87)</f>
        <v>68</v>
      </c>
      <c r="B88" s="168" t="s">
        <v>164</v>
      </c>
      <c r="C88" s="108"/>
      <c r="D88" s="169">
        <f t="shared" ref="D88:AD88" si="216">AVERAGE(D20:D87)</f>
        <v>3.911764706</v>
      </c>
      <c r="E88" s="169">
        <f t="shared" si="216"/>
        <v>1.980392157</v>
      </c>
      <c r="F88" s="169">
        <f t="shared" si="216"/>
        <v>1.931372549</v>
      </c>
      <c r="G88" s="169">
        <f t="shared" si="216"/>
        <v>2.147058824</v>
      </c>
      <c r="H88" s="169">
        <f t="shared" si="216"/>
        <v>2.068627451</v>
      </c>
      <c r="I88" s="169">
        <f t="shared" si="216"/>
        <v>3.382352941</v>
      </c>
      <c r="J88" s="169">
        <f t="shared" si="216"/>
        <v>1.995098039</v>
      </c>
      <c r="K88" s="169">
        <f t="shared" si="216"/>
        <v>1.970588235</v>
      </c>
      <c r="L88" s="169">
        <f t="shared" si="216"/>
        <v>2.029411765</v>
      </c>
      <c r="M88" s="169" t="str">
        <f t="shared" si="216"/>
        <v>#DIV/0!</v>
      </c>
      <c r="N88" s="170" t="str">
        <f t="shared" si="216"/>
        <v>#DIV/0!</v>
      </c>
      <c r="O88" s="170" t="str">
        <f t="shared" si="216"/>
        <v>#DIV/0!</v>
      </c>
      <c r="P88" s="170" t="str">
        <f t="shared" si="216"/>
        <v>#DIV/0!</v>
      </c>
      <c r="Q88" s="170" t="str">
        <f t="shared" si="216"/>
        <v>#DIV/0!</v>
      </c>
      <c r="R88" s="170">
        <f t="shared" si="216"/>
        <v>3.882352941</v>
      </c>
      <c r="S88" s="170">
        <f t="shared" si="216"/>
        <v>7.768431373</v>
      </c>
      <c r="T88" s="169">
        <f t="shared" si="216"/>
        <v>3.911764706</v>
      </c>
      <c r="U88" s="169">
        <f t="shared" si="216"/>
        <v>1.980392157</v>
      </c>
      <c r="V88" s="169">
        <f t="shared" si="216"/>
        <v>1.931372549</v>
      </c>
      <c r="W88" s="169">
        <f t="shared" si="216"/>
        <v>2.147058824</v>
      </c>
      <c r="X88" s="169">
        <f t="shared" si="216"/>
        <v>2.068627451</v>
      </c>
      <c r="Y88" s="169">
        <f t="shared" si="216"/>
        <v>3.382352941</v>
      </c>
      <c r="Z88" s="169">
        <f t="shared" si="216"/>
        <v>1.995098039</v>
      </c>
      <c r="AA88" s="169">
        <f t="shared" si="216"/>
        <v>1.970588235</v>
      </c>
      <c r="AB88" s="169">
        <f t="shared" si="216"/>
        <v>2.029411765</v>
      </c>
      <c r="AC88" s="169">
        <f t="shared" si="216"/>
        <v>3.882352941</v>
      </c>
      <c r="AD88" s="169">
        <f t="shared" si="216"/>
        <v>7.768431373</v>
      </c>
      <c r="AE88" s="142">
        <f>SUMIFS(AE20:AE87, 
  CSE4098B_Spring2026_Grade!$I$5:$I$72, "&lt;&gt;W (Withdrawn)", 
  CSE4098B_Spring2026_Grade!$I$5:$I$72, "&lt;&gt;I (Incomplete)") 
  / ($A$88-0-0)</f>
        <v>0.6519607843</v>
      </c>
      <c r="AF88" s="142">
        <f>SUMIFS(AF20:AF87, 
  CSE4098B_Spring2026_Grade!$I$5:$I$72, "&lt;&gt;W (Withdrawn)", 
  CSE4098B_Spring2026_Grade!$I$5:$I$72, "&lt;&gt;I (Incomplete)") 
  / ($A$88-0-0)</f>
        <v>0.660130719</v>
      </c>
      <c r="AG88" s="142">
        <f>SUMIFS(AG20:AG87, 
  CSE4098B_Spring2026_Grade!$I$5:$I$72, "&lt;&gt;W (Withdrawn)", 
  CSE4098B_Spring2026_Grade!$I$5:$I$72, "&lt;&gt;I (Incomplete)") 
  / ($A$88-0-0)</f>
        <v>0.6437908497</v>
      </c>
      <c r="AH88" s="142">
        <f>SUMIFS(AH20:AH87, 
  CSE4098B_Spring2026_Grade!$I$5:$I$72, "&lt;&gt;W (Withdrawn)", 
  CSE4098B_Spring2026_Grade!$I$5:$I$72, "&lt;&gt;I (Incomplete)") 
  / ($A$88-0-0)</f>
        <v>0.7156862745</v>
      </c>
      <c r="AI88" s="142">
        <f>SUMIFS(AI20:AI87, 
  CSE4098B_Spring2026_Grade!$I$5:$I$72, "&lt;&gt;W (Withdrawn)", 
  CSE4098B_Spring2026_Grade!$I$5:$I$72, "&lt;&gt;I (Incomplete)") 
  / ($A$88-0-0)</f>
        <v>0.6895424837</v>
      </c>
      <c r="AJ88" s="142">
        <f>SUMIFS(AJ20:AJ87, 
  CSE4098B_Spring2026_Grade!$I$5:$I$72, "&lt;&gt;W (Withdrawn)", 
  CSE4098B_Spring2026_Grade!$I$5:$I$72, "&lt;&gt;I (Incomplete)") 
  / ($A$88-0-0)</f>
        <v>0.5637254902</v>
      </c>
      <c r="AK88" s="142">
        <f>SUMIFS(AK20:AK87, 
  CSE4098B_Spring2026_Grade!$I$5:$I$72, "&lt;&gt;W (Withdrawn)", 
  CSE4098B_Spring2026_Grade!$I$5:$I$72, "&lt;&gt;I (Incomplete)") 
  / ($A$88-0-0)</f>
        <v>0.6650326797</v>
      </c>
      <c r="AL88" s="142">
        <f>SUMIFS(AL20:AL87, 
  CSE4098B_Spring2026_Grade!$I$5:$I$72, "&lt;&gt;W (Withdrawn)", 
  CSE4098B_Spring2026_Grade!$I$5:$I$72, "&lt;&gt;I (Incomplete)") 
  / ($A$88-0-0)</f>
        <v>0.6568627451</v>
      </c>
      <c r="AM88" s="142">
        <f>SUMIFS(AM20:AM87, 
  CSE4098B_Spring2026_Grade!$I$5:$I$72, "&lt;&gt;W (Withdrawn)", 
  CSE4098B_Spring2026_Grade!$I$5:$I$72, "&lt;&gt;I (Incomplete)") 
  / ($A$88-0-0)</f>
        <v>0.6764705882</v>
      </c>
      <c r="AN88" s="142">
        <f>SUMIFS(AN20:AN87, 
  CSE4098B_Spring2026_Grade!$I$5:$I$72, "&lt;&gt;W (Withdrawn)", 
  CSE4098B_Spring2026_Grade!$I$5:$I$72, "&lt;&gt;I (Incomplete)") 
  / ($A$88-0-0)</f>
        <v>0.7764705882</v>
      </c>
      <c r="AO88" s="142">
        <f>SUMIFS(AO20:AO87, 
  CSE4098B_Spring2026_Grade!$I$5:$I$72, "&lt;&gt;W (Withdrawn)", 
  CSE4098B_Spring2026_Grade!$I$5:$I$72, "&lt;&gt;I (Incomplete)") 
  / ($A$88-0-0)</f>
        <v>0.7768431373</v>
      </c>
      <c r="AP88" s="140">
        <f t="shared" ref="AP88:AZ88" si="217">SUM(AP20:AP87)</f>
        <v>60</v>
      </c>
      <c r="AQ88" s="140">
        <f t="shared" si="217"/>
        <v>57</v>
      </c>
      <c r="AR88" s="140">
        <f t="shared" si="217"/>
        <v>57</v>
      </c>
      <c r="AS88" s="140">
        <f t="shared" si="217"/>
        <v>55</v>
      </c>
      <c r="AT88" s="140">
        <f t="shared" si="217"/>
        <v>60</v>
      </c>
      <c r="AU88" s="140">
        <f t="shared" si="217"/>
        <v>48</v>
      </c>
      <c r="AV88" s="140">
        <f t="shared" si="217"/>
        <v>53</v>
      </c>
      <c r="AW88" s="140">
        <f t="shared" si="217"/>
        <v>56</v>
      </c>
      <c r="AX88" s="140">
        <f t="shared" si="217"/>
        <v>55</v>
      </c>
      <c r="AY88" s="140">
        <f t="shared" si="217"/>
        <v>57</v>
      </c>
      <c r="AZ88" s="140">
        <f t="shared" si="217"/>
        <v>60</v>
      </c>
      <c r="BA88" s="76"/>
      <c r="BB88" s="142" t="str">
        <f>SUMIFS(AU20:AU87, 
  CSE4098B_Fall2025_Grade!$I$5:$I$86, "&lt;&gt;W (Withdrawn)", 
  CSE4098B_Fall2025_Grade!$I$5:$I$86, "&lt;&gt;I (Incomplete)") 
  / ($A$88-0-4)</f>
        <v>#VALUE!</v>
      </c>
      <c r="BC88" s="142">
        <f>SUMIFS(AQ20:AQ87, 
  CSE4098B_Spring2026_Grade!$I$5:$I$72, "&lt;&gt;W (Withdrawn)", 
  CSE4098B_Spring2026_Grade!$I$5:$I$72, "&lt;&gt;I (Incomplete)") 
  / ($A$88-0-0)</f>
        <v>0.8382352941</v>
      </c>
      <c r="BD88" s="142">
        <f>SUMIFS(AT20:AT87, 
  CSE4098B_Spring2026_Grade!$I$5:$I$72, "&lt;&gt;W (Withdrawn)", 
  CSE4098B_Spring2026_Grade!$I$5:$I$72, "&lt;&gt;I (Incomplete)") 
  / ($A$88-0-0)</f>
        <v>0.8823529412</v>
      </c>
      <c r="BE88" s="142">
        <f>SUMIFS(AU20:AU87, 
  CSE4098B_Spring2026_Grade!$I$5:$I$72, "&lt;&gt;W (Withdrawn)", 
  CSE4098B_Spring2026_Grade!$I$5:$I$72, "&lt;&gt;I (Incomplete)") 
  / ($A$88-0-0)</f>
        <v>0.7058823529</v>
      </c>
      <c r="BF88" s="142">
        <f>SUMIFS(AS20:AS87, 
  CSE4098B_Spring2026_Grade!$I$5:$I$72, "&lt;&gt;W (Withdrawn)", 
  CSE4098B_Spring2026_Grade!$I$5:$I$72, "&lt;&gt;I (Incomplete)") 
  / ($A$88-0-0)</f>
        <v>0.8088235294</v>
      </c>
      <c r="BG88" s="142">
        <f>SUMIFS(AV20:AV87, 
  CSE4098B_Spring2026_Grade!$I$5:$I$72, "&lt;&gt;W (Withdrawn)", 
  CSE4098B_Spring2026_Grade!$I$5:$I$72, "&lt;&gt;I (Incomplete)") 
  / ($A$88-0-0)</f>
        <v>0.7794117647</v>
      </c>
      <c r="BH88" s="142">
        <f>SUMIFS(AW20:AW87, 
  CSE4098B_Spring2026_Grade!$I$5:$I$72, "&lt;&gt;W (Withdrawn)", 
  CSE4098B_Spring2026_Grade!$I$5:$I$72, "&lt;&gt;I (Incomplete)") 
  / ($A$88-0-0)</f>
        <v>0.8235294118</v>
      </c>
      <c r="BI88" s="142">
        <f>SUMIFS(AX20:AX87, 
  CSE4098B_Spring2026_Grade!$I$5:$I$72, "&lt;&gt;W (Withdrawn)", 
  CSE4098B_Spring2026_Grade!$I$5:$I$72, "&lt;&gt;I (Incomplete)") 
  / ($A$88-0-0)</f>
        <v>0.8088235294</v>
      </c>
      <c r="BJ88" s="142">
        <f>SUMIFS(AY20:AY87, 
  CSE4098B_Spring2026_Grade!$I$5:$I$72, "&lt;&gt;W (Withdrawn)", 
  CSE4098B_Spring2026_Grade!$I$5:$I$72, "&lt;&gt;I (Incomplete)") 
  / ($A$88-0-0)</f>
        <v>0.8382352941</v>
      </c>
      <c r="BK88" s="142">
        <f>SUMIFS(AZ20:AZ87, 
  CSE4098B_Spring2026_Grade!$I$5:$I$72, "&lt;&gt;W (Withdrawn)", 
  CSE4098B_Spring2026_Grade!$I$5:$I$72, "&lt;&gt;I (Incomplete)") 
  / ($A$88-0-0)</f>
        <v>0.8823529412</v>
      </c>
      <c r="BL88" s="142">
        <f>SUMIFS(AR20:AR87, 
  CSE4098B_Spring2026_Grade!$I$5:$I$72, "&lt;&gt;W (Withdrawn)", 
  CSE4098B_Spring2026_Grade!$I$5:$I$72, "&lt;&gt;I (Incomplete)") 
  / ($A$88-0-0)</f>
        <v>0.8382352941</v>
      </c>
      <c r="BM88" s="142">
        <f>SUMIFS(AP20:AP87, 
  CSE4098B_Spring2026_Grade!$I$5:$I$72, "&lt;&gt;W (Withdrawn)", 
  CSE4098B_Spring2026_Grade!$I$5:$I$72, "&lt;&gt;I (Incomplete)") 
  / ($A$88-0-0)</f>
        <v>0.8823529412</v>
      </c>
      <c r="BN88" s="140">
        <f t="shared" ref="BN88:BY88" si="218">SUM(BN20:BN87)</f>
        <v>0</v>
      </c>
      <c r="BO88" s="141">
        <f t="shared" si="218"/>
        <v>57</v>
      </c>
      <c r="BP88" s="141">
        <f t="shared" si="218"/>
        <v>60</v>
      </c>
      <c r="BQ88" s="141">
        <f t="shared" si="218"/>
        <v>48</v>
      </c>
      <c r="BR88" s="141">
        <f t="shared" si="218"/>
        <v>55</v>
      </c>
      <c r="BS88" s="141">
        <f t="shared" si="218"/>
        <v>53</v>
      </c>
      <c r="BT88" s="141">
        <f t="shared" si="218"/>
        <v>56</v>
      </c>
      <c r="BU88" s="141">
        <f t="shared" si="218"/>
        <v>55</v>
      </c>
      <c r="BV88" s="141">
        <f t="shared" si="218"/>
        <v>57</v>
      </c>
      <c r="BW88" s="141">
        <f t="shared" si="218"/>
        <v>60</v>
      </c>
      <c r="BX88" s="141">
        <f t="shared" si="218"/>
        <v>57</v>
      </c>
      <c r="BY88" s="171">
        <f t="shared" si="218"/>
        <v>60</v>
      </c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</row>
    <row r="93">
      <c r="A93" s="76"/>
      <c r="B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</row>
    <row r="94">
      <c r="A94" s="76"/>
      <c r="B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172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</row>
    <row r="95">
      <c r="A95" s="76"/>
      <c r="B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172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172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172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</row>
    <row r="187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3"/>
      <c r="AW187" s="173"/>
      <c r="AX187" s="173"/>
      <c r="AY187" s="173"/>
      <c r="AZ187" s="173"/>
      <c r="BA187" s="173"/>
      <c r="BB187" s="173"/>
      <c r="BC187" s="173"/>
      <c r="BD187" s="173"/>
      <c r="BE187" s="173"/>
      <c r="BF187" s="173"/>
      <c r="BG187" s="173"/>
      <c r="BH187" s="173"/>
      <c r="BI187" s="173"/>
      <c r="BJ187" s="173"/>
      <c r="BK187" s="173"/>
      <c r="BL187" s="173"/>
      <c r="BM187" s="173"/>
      <c r="BN187" s="173"/>
      <c r="BO187" s="173"/>
      <c r="BP187" s="173"/>
      <c r="BQ187" s="173"/>
      <c r="BR187" s="173"/>
      <c r="BS187" s="173"/>
      <c r="BT187" s="173"/>
      <c r="BU187" s="173"/>
      <c r="BV187" s="173"/>
      <c r="BW187" s="173"/>
      <c r="BX187" s="173"/>
      <c r="BY187" s="173"/>
    </row>
    <row r="188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3"/>
      <c r="AT188" s="173"/>
      <c r="AU188" s="173"/>
      <c r="AV188" s="173"/>
      <c r="AW188" s="173"/>
      <c r="AX188" s="173"/>
      <c r="AY188" s="173"/>
      <c r="AZ188" s="173"/>
      <c r="BA188" s="173"/>
      <c r="BB188" s="173"/>
      <c r="BC188" s="173"/>
      <c r="BD188" s="173"/>
      <c r="BE188" s="173"/>
      <c r="BF188" s="173"/>
      <c r="BG188" s="173"/>
      <c r="BH188" s="173"/>
      <c r="BI188" s="173"/>
      <c r="BJ188" s="173"/>
      <c r="BK188" s="173"/>
      <c r="BL188" s="173"/>
      <c r="BM188" s="173"/>
      <c r="BN188" s="173"/>
      <c r="BO188" s="173"/>
      <c r="BP188" s="173"/>
      <c r="BQ188" s="173"/>
      <c r="BR188" s="173"/>
      <c r="BS188" s="173"/>
      <c r="BT188" s="173"/>
      <c r="BU188" s="173"/>
      <c r="BV188" s="173"/>
      <c r="BW188" s="173"/>
      <c r="BX188" s="173"/>
      <c r="BY188" s="173"/>
    </row>
    <row r="189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3"/>
      <c r="AT189" s="173"/>
      <c r="AU189" s="173"/>
      <c r="AV189" s="173"/>
      <c r="AW189" s="173"/>
      <c r="AX189" s="173"/>
      <c r="AY189" s="173"/>
      <c r="AZ189" s="173"/>
      <c r="BA189" s="173"/>
      <c r="BB189" s="173"/>
      <c r="BC189" s="173"/>
      <c r="BD189" s="173"/>
      <c r="BE189" s="173"/>
      <c r="BF189" s="173"/>
      <c r="BG189" s="173"/>
      <c r="BH189" s="173"/>
      <c r="BI189" s="173"/>
      <c r="BJ189" s="173"/>
      <c r="BK189" s="173"/>
      <c r="BL189" s="173"/>
      <c r="BM189" s="173"/>
      <c r="BN189" s="173"/>
      <c r="BO189" s="173"/>
      <c r="BP189" s="173"/>
      <c r="BQ189" s="173"/>
      <c r="BR189" s="173"/>
      <c r="BS189" s="173"/>
      <c r="BT189" s="173"/>
      <c r="BU189" s="173"/>
      <c r="BV189" s="173"/>
      <c r="BW189" s="173"/>
      <c r="BX189" s="173"/>
      <c r="BY189" s="173"/>
    </row>
    <row r="190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  <c r="AU190" s="173"/>
      <c r="AV190" s="173"/>
      <c r="AW190" s="173"/>
      <c r="AX190" s="173"/>
      <c r="AY190" s="173"/>
      <c r="AZ190" s="173"/>
      <c r="BA190" s="173"/>
      <c r="BB190" s="173"/>
      <c r="BC190" s="173"/>
      <c r="BD190" s="173"/>
      <c r="BE190" s="173"/>
      <c r="BF190" s="173"/>
      <c r="BG190" s="173"/>
      <c r="BH190" s="173"/>
      <c r="BI190" s="173"/>
      <c r="BJ190" s="173"/>
      <c r="BK190" s="173"/>
      <c r="BL190" s="173"/>
      <c r="BM190" s="173"/>
      <c r="BN190" s="173"/>
      <c r="BO190" s="173"/>
      <c r="BP190" s="173"/>
      <c r="BQ190" s="173"/>
      <c r="BR190" s="173"/>
      <c r="BS190" s="173"/>
      <c r="BT190" s="173"/>
      <c r="BU190" s="173"/>
      <c r="BV190" s="173"/>
      <c r="BW190" s="173"/>
      <c r="BX190" s="173"/>
      <c r="BY190" s="173"/>
    </row>
    <row r="19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  <c r="AU191" s="173"/>
      <c r="AV191" s="173"/>
      <c r="AW191" s="173"/>
      <c r="AX191" s="173"/>
      <c r="AY191" s="173"/>
      <c r="AZ191" s="173"/>
      <c r="BA191" s="173"/>
      <c r="BB191" s="173"/>
      <c r="BC191" s="173"/>
      <c r="BD191" s="173"/>
      <c r="BE191" s="173"/>
      <c r="BF191" s="173"/>
      <c r="BG191" s="173"/>
      <c r="BH191" s="173"/>
      <c r="BI191" s="173"/>
      <c r="BJ191" s="173"/>
      <c r="BK191" s="173"/>
      <c r="BL191" s="173"/>
      <c r="BM191" s="173"/>
      <c r="BN191" s="173"/>
      <c r="BO191" s="173"/>
      <c r="BP191" s="173"/>
      <c r="BQ191" s="173"/>
      <c r="BR191" s="173"/>
      <c r="BS191" s="173"/>
      <c r="BT191" s="173"/>
      <c r="BU191" s="173"/>
      <c r="BV191" s="173"/>
      <c r="BW191" s="173"/>
      <c r="BX191" s="173"/>
      <c r="BY191" s="173"/>
    </row>
    <row r="192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3"/>
      <c r="AT192" s="173"/>
      <c r="AU192" s="173"/>
      <c r="AV192" s="173"/>
      <c r="AW192" s="173"/>
      <c r="AX192" s="173"/>
      <c r="AY192" s="173"/>
      <c r="AZ192" s="173"/>
      <c r="BA192" s="173"/>
      <c r="BB192" s="173"/>
      <c r="BC192" s="173"/>
      <c r="BD192" s="173"/>
      <c r="BE192" s="173"/>
      <c r="BF192" s="173"/>
      <c r="BG192" s="173"/>
      <c r="BH192" s="173"/>
      <c r="BI192" s="173"/>
      <c r="BJ192" s="173"/>
      <c r="BK192" s="173"/>
      <c r="BL192" s="173"/>
      <c r="BM192" s="173"/>
      <c r="BN192" s="173"/>
      <c r="BO192" s="173"/>
      <c r="BP192" s="173"/>
      <c r="BQ192" s="173"/>
      <c r="BR192" s="173"/>
      <c r="BS192" s="173"/>
      <c r="BT192" s="173"/>
      <c r="BU192" s="173"/>
      <c r="BV192" s="173"/>
      <c r="BW192" s="173"/>
      <c r="BX192" s="173"/>
      <c r="BY192" s="173"/>
    </row>
    <row r="193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3"/>
      <c r="AT193" s="173"/>
      <c r="AU193" s="173"/>
      <c r="AV193" s="173"/>
      <c r="AW193" s="173"/>
      <c r="AX193" s="173"/>
      <c r="AY193" s="173"/>
      <c r="AZ193" s="173"/>
      <c r="BA193" s="173"/>
      <c r="BB193" s="173"/>
      <c r="BC193" s="173"/>
      <c r="BD193" s="173"/>
      <c r="BE193" s="173"/>
      <c r="BF193" s="173"/>
      <c r="BG193" s="173"/>
      <c r="BH193" s="173"/>
      <c r="BI193" s="173"/>
      <c r="BJ193" s="173"/>
      <c r="BK193" s="173"/>
      <c r="BL193" s="173"/>
      <c r="BM193" s="173"/>
      <c r="BN193" s="173"/>
      <c r="BO193" s="173"/>
      <c r="BP193" s="173"/>
      <c r="BQ193" s="173"/>
      <c r="BR193" s="173"/>
      <c r="BS193" s="173"/>
      <c r="BT193" s="173"/>
      <c r="BU193" s="173"/>
      <c r="BV193" s="173"/>
      <c r="BW193" s="173"/>
      <c r="BX193" s="173"/>
      <c r="BY193" s="173"/>
    </row>
    <row r="194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173"/>
      <c r="BB194" s="173"/>
      <c r="BC194" s="173"/>
      <c r="BD194" s="173"/>
      <c r="BE194" s="173"/>
      <c r="BF194" s="173"/>
      <c r="BG194" s="173"/>
      <c r="BH194" s="173"/>
      <c r="BI194" s="173"/>
      <c r="BJ194" s="173"/>
      <c r="BK194" s="173"/>
      <c r="BL194" s="173"/>
      <c r="BM194" s="173"/>
      <c r="BN194" s="173"/>
      <c r="BO194" s="173"/>
      <c r="BP194" s="173"/>
      <c r="BQ194" s="173"/>
      <c r="BR194" s="173"/>
      <c r="BS194" s="173"/>
      <c r="BT194" s="173"/>
      <c r="BU194" s="173"/>
      <c r="BV194" s="173"/>
      <c r="BW194" s="173"/>
      <c r="BX194" s="173"/>
      <c r="BY194" s="173"/>
    </row>
    <row r="195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3"/>
      <c r="AT195" s="173"/>
      <c r="AU195" s="173"/>
      <c r="AV195" s="173"/>
      <c r="AW195" s="173"/>
      <c r="AX195" s="173"/>
      <c r="AY195" s="173"/>
      <c r="AZ195" s="173"/>
      <c r="BA195" s="173"/>
      <c r="BB195" s="173"/>
      <c r="BC195" s="173"/>
      <c r="BD195" s="173"/>
      <c r="BE195" s="173"/>
      <c r="BF195" s="173"/>
      <c r="BG195" s="173"/>
      <c r="BH195" s="173"/>
      <c r="BI195" s="173"/>
      <c r="BJ195" s="173"/>
      <c r="BK195" s="173"/>
      <c r="BL195" s="173"/>
      <c r="BM195" s="173"/>
      <c r="BN195" s="173"/>
      <c r="BO195" s="173"/>
      <c r="BP195" s="173"/>
      <c r="BQ195" s="173"/>
      <c r="BR195" s="173"/>
      <c r="BS195" s="173"/>
      <c r="BT195" s="173"/>
      <c r="BU195" s="173"/>
      <c r="BV195" s="173"/>
      <c r="BW195" s="173"/>
      <c r="BX195" s="173"/>
      <c r="BY195" s="173"/>
    </row>
    <row r="196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3"/>
      <c r="AT196" s="173"/>
      <c r="AU196" s="173"/>
      <c r="AV196" s="173"/>
      <c r="AW196" s="173"/>
      <c r="AX196" s="173"/>
      <c r="AY196" s="173"/>
      <c r="AZ196" s="173"/>
      <c r="BA196" s="173"/>
      <c r="BB196" s="173"/>
      <c r="BC196" s="173"/>
      <c r="BD196" s="173"/>
      <c r="BE196" s="173"/>
      <c r="BF196" s="173"/>
      <c r="BG196" s="173"/>
      <c r="BH196" s="173"/>
      <c r="BI196" s="173"/>
      <c r="BJ196" s="173"/>
      <c r="BK196" s="173"/>
      <c r="BL196" s="173"/>
      <c r="BM196" s="173"/>
      <c r="BN196" s="173"/>
      <c r="BO196" s="173"/>
      <c r="BP196" s="173"/>
      <c r="BQ196" s="173"/>
      <c r="BR196" s="173"/>
      <c r="BS196" s="173"/>
      <c r="BT196" s="173"/>
      <c r="BU196" s="173"/>
      <c r="BV196" s="173"/>
      <c r="BW196" s="173"/>
      <c r="BX196" s="173"/>
      <c r="BY196" s="173"/>
    </row>
    <row r="197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3"/>
      <c r="AT197" s="173"/>
      <c r="AU197" s="173"/>
      <c r="AV197" s="173"/>
      <c r="AW197" s="173"/>
      <c r="AX197" s="173"/>
      <c r="AY197" s="173"/>
      <c r="AZ197" s="173"/>
      <c r="BA197" s="173"/>
      <c r="BB197" s="173"/>
      <c r="BC197" s="173"/>
      <c r="BD197" s="173"/>
      <c r="BE197" s="173"/>
      <c r="BF197" s="173"/>
      <c r="BG197" s="173"/>
      <c r="BH197" s="173"/>
      <c r="BI197" s="173"/>
      <c r="BJ197" s="173"/>
      <c r="BK197" s="173"/>
      <c r="BL197" s="173"/>
      <c r="BM197" s="173"/>
      <c r="BN197" s="173"/>
      <c r="BO197" s="173"/>
      <c r="BP197" s="173"/>
      <c r="BQ197" s="173"/>
      <c r="BR197" s="173"/>
      <c r="BS197" s="173"/>
      <c r="BT197" s="173"/>
      <c r="BU197" s="173"/>
      <c r="BV197" s="173"/>
      <c r="BW197" s="173"/>
      <c r="BX197" s="173"/>
      <c r="BY197" s="173"/>
    </row>
    <row r="198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3"/>
      <c r="AT198" s="173"/>
      <c r="AU198" s="173"/>
      <c r="AV198" s="173"/>
      <c r="AW198" s="173"/>
      <c r="AX198" s="173"/>
      <c r="AY198" s="173"/>
      <c r="AZ198" s="173"/>
      <c r="BA198" s="173"/>
      <c r="BB198" s="173"/>
      <c r="BC198" s="173"/>
      <c r="BD198" s="173"/>
      <c r="BE198" s="173"/>
      <c r="BF198" s="173"/>
      <c r="BG198" s="173"/>
      <c r="BH198" s="173"/>
      <c r="BI198" s="173"/>
      <c r="BJ198" s="173"/>
      <c r="BK198" s="173"/>
      <c r="BL198" s="173"/>
      <c r="BM198" s="173"/>
      <c r="BN198" s="173"/>
      <c r="BO198" s="173"/>
      <c r="BP198" s="173"/>
      <c r="BQ198" s="173"/>
      <c r="BR198" s="173"/>
      <c r="BS198" s="173"/>
      <c r="BT198" s="173"/>
      <c r="BU198" s="173"/>
      <c r="BV198" s="173"/>
      <c r="BW198" s="173"/>
      <c r="BX198" s="173"/>
      <c r="BY198" s="173"/>
    </row>
    <row r="199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  <c r="AY199" s="173"/>
      <c r="AZ199" s="173"/>
      <c r="BA199" s="173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  <c r="BN199" s="173"/>
      <c r="BO199" s="173"/>
      <c r="BP199" s="173"/>
      <c r="BQ199" s="173"/>
      <c r="BR199" s="173"/>
      <c r="BS199" s="173"/>
      <c r="BT199" s="173"/>
      <c r="BU199" s="173"/>
      <c r="BV199" s="173"/>
      <c r="BW199" s="173"/>
      <c r="BX199" s="173"/>
      <c r="BY199" s="173"/>
    </row>
    <row r="200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3"/>
      <c r="AT200" s="173"/>
      <c r="AU200" s="173"/>
      <c r="AV200" s="173"/>
      <c r="AW200" s="173"/>
      <c r="AX200" s="173"/>
      <c r="AY200" s="173"/>
      <c r="AZ200" s="173"/>
      <c r="BA200" s="173"/>
      <c r="BB200" s="173"/>
      <c r="BC200" s="173"/>
      <c r="BD200" s="173"/>
      <c r="BE200" s="173"/>
      <c r="BF200" s="173"/>
      <c r="BG200" s="173"/>
      <c r="BH200" s="173"/>
      <c r="BI200" s="173"/>
      <c r="BJ200" s="173"/>
      <c r="BK200" s="173"/>
      <c r="BL200" s="173"/>
      <c r="BM200" s="173"/>
      <c r="BN200" s="173"/>
      <c r="BO200" s="173"/>
      <c r="BP200" s="173"/>
      <c r="BQ200" s="173"/>
      <c r="BR200" s="173"/>
      <c r="BS200" s="173"/>
      <c r="BT200" s="173"/>
      <c r="BU200" s="173"/>
      <c r="BV200" s="173"/>
      <c r="BW200" s="173"/>
      <c r="BX200" s="173"/>
      <c r="BY200" s="173"/>
    </row>
    <row r="20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3"/>
      <c r="AT201" s="173"/>
      <c r="AU201" s="173"/>
      <c r="AV201" s="173"/>
      <c r="AW201" s="173"/>
      <c r="AX201" s="173"/>
      <c r="AY201" s="173"/>
      <c r="AZ201" s="173"/>
      <c r="BA201" s="173"/>
      <c r="BB201" s="173"/>
      <c r="BC201" s="173"/>
      <c r="BD201" s="173"/>
      <c r="BE201" s="173"/>
      <c r="BF201" s="173"/>
      <c r="BG201" s="173"/>
      <c r="BH201" s="173"/>
      <c r="BI201" s="173"/>
      <c r="BJ201" s="173"/>
      <c r="BK201" s="173"/>
      <c r="BL201" s="173"/>
      <c r="BM201" s="173"/>
      <c r="BN201" s="173"/>
      <c r="BO201" s="173"/>
      <c r="BP201" s="173"/>
      <c r="BQ201" s="173"/>
      <c r="BR201" s="173"/>
      <c r="BS201" s="173"/>
      <c r="BT201" s="173"/>
      <c r="BU201" s="173"/>
      <c r="BV201" s="173"/>
      <c r="BW201" s="173"/>
      <c r="BX201" s="173"/>
      <c r="BY201" s="173"/>
    </row>
    <row r="202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3"/>
      <c r="AT202" s="173"/>
      <c r="AU202" s="173"/>
      <c r="AV202" s="173"/>
      <c r="AW202" s="173"/>
      <c r="AX202" s="173"/>
      <c r="AY202" s="173"/>
      <c r="AZ202" s="173"/>
      <c r="BA202" s="173"/>
      <c r="BB202" s="173"/>
      <c r="BC202" s="173"/>
      <c r="BD202" s="173"/>
      <c r="BE202" s="173"/>
      <c r="BF202" s="173"/>
      <c r="BG202" s="173"/>
      <c r="BH202" s="173"/>
      <c r="BI202" s="173"/>
      <c r="BJ202" s="173"/>
      <c r="BK202" s="173"/>
      <c r="BL202" s="173"/>
      <c r="BM202" s="173"/>
      <c r="BN202" s="173"/>
      <c r="BO202" s="173"/>
      <c r="BP202" s="173"/>
      <c r="BQ202" s="173"/>
      <c r="BR202" s="173"/>
      <c r="BS202" s="173"/>
      <c r="BT202" s="173"/>
      <c r="BU202" s="173"/>
      <c r="BV202" s="173"/>
      <c r="BW202" s="173"/>
      <c r="BX202" s="173"/>
      <c r="BY202" s="173"/>
    </row>
    <row r="203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3"/>
      <c r="AT203" s="173"/>
      <c r="AU203" s="173"/>
      <c r="AV203" s="173"/>
      <c r="AW203" s="173"/>
      <c r="AX203" s="173"/>
      <c r="AY203" s="173"/>
      <c r="AZ203" s="173"/>
      <c r="BA203" s="173"/>
      <c r="BB203" s="173"/>
      <c r="BC203" s="173"/>
      <c r="BD203" s="173"/>
      <c r="BE203" s="173"/>
      <c r="BF203" s="173"/>
      <c r="BG203" s="173"/>
      <c r="BH203" s="173"/>
      <c r="BI203" s="173"/>
      <c r="BJ203" s="173"/>
      <c r="BK203" s="173"/>
      <c r="BL203" s="173"/>
      <c r="BM203" s="173"/>
      <c r="BN203" s="173"/>
      <c r="BO203" s="173"/>
      <c r="BP203" s="173"/>
      <c r="BQ203" s="173"/>
      <c r="BR203" s="173"/>
      <c r="BS203" s="173"/>
      <c r="BT203" s="173"/>
      <c r="BU203" s="173"/>
      <c r="BV203" s="173"/>
      <c r="BW203" s="173"/>
      <c r="BX203" s="173"/>
      <c r="BY203" s="173"/>
    </row>
    <row r="204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3"/>
      <c r="AT204" s="173"/>
      <c r="AU204" s="173"/>
      <c r="AV204" s="173"/>
      <c r="AW204" s="173"/>
      <c r="AX204" s="173"/>
      <c r="AY204" s="173"/>
      <c r="AZ204" s="173"/>
      <c r="BA204" s="173"/>
      <c r="BB204" s="173"/>
      <c r="BC204" s="173"/>
      <c r="BD204" s="173"/>
      <c r="BE204" s="173"/>
      <c r="BF204" s="173"/>
      <c r="BG204" s="173"/>
      <c r="BH204" s="173"/>
      <c r="BI204" s="173"/>
      <c r="BJ204" s="173"/>
      <c r="BK204" s="173"/>
      <c r="BL204" s="173"/>
      <c r="BM204" s="173"/>
      <c r="BN204" s="173"/>
      <c r="BO204" s="173"/>
      <c r="BP204" s="173"/>
      <c r="BQ204" s="173"/>
      <c r="BR204" s="173"/>
      <c r="BS204" s="173"/>
      <c r="BT204" s="173"/>
      <c r="BU204" s="173"/>
      <c r="BV204" s="173"/>
      <c r="BW204" s="173"/>
      <c r="BX204" s="173"/>
      <c r="BY204" s="173"/>
    </row>
    <row r="205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3"/>
      <c r="AT205" s="173"/>
      <c r="AU205" s="173"/>
      <c r="AV205" s="173"/>
      <c r="AW205" s="173"/>
      <c r="AX205" s="173"/>
      <c r="AY205" s="173"/>
      <c r="AZ205" s="173"/>
      <c r="BA205" s="173"/>
      <c r="BB205" s="173"/>
      <c r="BC205" s="173"/>
      <c r="BD205" s="173"/>
      <c r="BE205" s="173"/>
      <c r="BF205" s="173"/>
      <c r="BG205" s="173"/>
      <c r="BH205" s="173"/>
      <c r="BI205" s="173"/>
      <c r="BJ205" s="173"/>
      <c r="BK205" s="173"/>
      <c r="BL205" s="173"/>
      <c r="BM205" s="173"/>
      <c r="BN205" s="173"/>
      <c r="BO205" s="173"/>
      <c r="BP205" s="173"/>
      <c r="BQ205" s="173"/>
      <c r="BR205" s="173"/>
      <c r="BS205" s="173"/>
      <c r="BT205" s="173"/>
      <c r="BU205" s="173"/>
      <c r="BV205" s="173"/>
      <c r="BW205" s="173"/>
      <c r="BX205" s="173"/>
      <c r="BY205" s="173"/>
    </row>
    <row r="206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3"/>
      <c r="AT206" s="173"/>
      <c r="AU206" s="173"/>
      <c r="AV206" s="173"/>
      <c r="AW206" s="173"/>
      <c r="AX206" s="173"/>
      <c r="AY206" s="173"/>
      <c r="AZ206" s="173"/>
      <c r="BA206" s="173"/>
      <c r="BB206" s="173"/>
      <c r="BC206" s="173"/>
      <c r="BD206" s="173"/>
      <c r="BE206" s="173"/>
      <c r="BF206" s="173"/>
      <c r="BG206" s="173"/>
      <c r="BH206" s="173"/>
      <c r="BI206" s="173"/>
      <c r="BJ206" s="173"/>
      <c r="BK206" s="173"/>
      <c r="BL206" s="173"/>
      <c r="BM206" s="173"/>
      <c r="BN206" s="173"/>
      <c r="BO206" s="173"/>
      <c r="BP206" s="173"/>
      <c r="BQ206" s="173"/>
      <c r="BR206" s="173"/>
      <c r="BS206" s="173"/>
      <c r="BT206" s="173"/>
      <c r="BU206" s="173"/>
      <c r="BV206" s="173"/>
      <c r="BW206" s="173"/>
      <c r="BX206" s="173"/>
      <c r="BY206" s="173"/>
    </row>
    <row r="207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3"/>
      <c r="AT207" s="173"/>
      <c r="AU207" s="173"/>
      <c r="AV207" s="173"/>
      <c r="AW207" s="173"/>
      <c r="AX207" s="173"/>
      <c r="AY207" s="173"/>
      <c r="AZ207" s="173"/>
      <c r="BA207" s="173"/>
      <c r="BB207" s="173"/>
      <c r="BC207" s="173"/>
      <c r="BD207" s="173"/>
      <c r="BE207" s="173"/>
      <c r="BF207" s="173"/>
      <c r="BG207" s="173"/>
      <c r="BH207" s="173"/>
      <c r="BI207" s="173"/>
      <c r="BJ207" s="173"/>
      <c r="BK207" s="173"/>
      <c r="BL207" s="173"/>
      <c r="BM207" s="173"/>
      <c r="BN207" s="173"/>
      <c r="BO207" s="173"/>
      <c r="BP207" s="173"/>
      <c r="BQ207" s="173"/>
      <c r="BR207" s="173"/>
      <c r="BS207" s="173"/>
      <c r="BT207" s="173"/>
      <c r="BU207" s="173"/>
      <c r="BV207" s="173"/>
      <c r="BW207" s="173"/>
      <c r="BX207" s="173"/>
      <c r="BY207" s="173"/>
    </row>
    <row r="208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3"/>
      <c r="AT208" s="173"/>
      <c r="AU208" s="173"/>
      <c r="AV208" s="173"/>
      <c r="AW208" s="173"/>
      <c r="AX208" s="173"/>
      <c r="AY208" s="173"/>
      <c r="AZ208" s="173"/>
      <c r="BA208" s="173"/>
      <c r="BB208" s="173"/>
      <c r="BC208" s="173"/>
      <c r="BD208" s="173"/>
      <c r="BE208" s="173"/>
      <c r="BF208" s="173"/>
      <c r="BG208" s="173"/>
      <c r="BH208" s="173"/>
      <c r="BI208" s="173"/>
      <c r="BJ208" s="173"/>
      <c r="BK208" s="173"/>
      <c r="BL208" s="173"/>
      <c r="BM208" s="173"/>
      <c r="BN208" s="173"/>
      <c r="BO208" s="173"/>
      <c r="BP208" s="173"/>
      <c r="BQ208" s="173"/>
      <c r="BR208" s="173"/>
      <c r="BS208" s="173"/>
      <c r="BT208" s="173"/>
      <c r="BU208" s="173"/>
      <c r="BV208" s="173"/>
      <c r="BW208" s="173"/>
      <c r="BX208" s="173"/>
      <c r="BY208" s="173"/>
    </row>
    <row r="209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3"/>
      <c r="AT209" s="173"/>
      <c r="AU209" s="173"/>
      <c r="AV209" s="173"/>
      <c r="AW209" s="173"/>
      <c r="AX209" s="173"/>
      <c r="AY209" s="173"/>
      <c r="AZ209" s="173"/>
      <c r="BA209" s="173"/>
      <c r="BB209" s="173"/>
      <c r="BC209" s="173"/>
      <c r="BD209" s="173"/>
      <c r="BE209" s="173"/>
      <c r="BF209" s="173"/>
      <c r="BG209" s="173"/>
      <c r="BH209" s="173"/>
      <c r="BI209" s="173"/>
      <c r="BJ209" s="173"/>
      <c r="BK209" s="173"/>
      <c r="BL209" s="173"/>
      <c r="BM209" s="173"/>
      <c r="BN209" s="173"/>
      <c r="BO209" s="173"/>
      <c r="BP209" s="173"/>
      <c r="BQ209" s="173"/>
      <c r="BR209" s="173"/>
      <c r="BS209" s="173"/>
      <c r="BT209" s="173"/>
      <c r="BU209" s="173"/>
      <c r="BV209" s="173"/>
      <c r="BW209" s="173"/>
      <c r="BX209" s="173"/>
      <c r="BY209" s="173"/>
    </row>
    <row r="210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3"/>
      <c r="AT210" s="173"/>
      <c r="AU210" s="173"/>
      <c r="AV210" s="173"/>
      <c r="AW210" s="173"/>
      <c r="AX210" s="173"/>
      <c r="AY210" s="173"/>
      <c r="AZ210" s="173"/>
      <c r="BA210" s="173"/>
      <c r="BB210" s="173"/>
      <c r="BC210" s="173"/>
      <c r="BD210" s="173"/>
      <c r="BE210" s="173"/>
      <c r="BF210" s="173"/>
      <c r="BG210" s="173"/>
      <c r="BH210" s="173"/>
      <c r="BI210" s="173"/>
      <c r="BJ210" s="173"/>
      <c r="BK210" s="173"/>
      <c r="BL210" s="173"/>
      <c r="BM210" s="173"/>
      <c r="BN210" s="173"/>
      <c r="BO210" s="173"/>
      <c r="BP210" s="173"/>
      <c r="BQ210" s="173"/>
      <c r="BR210" s="173"/>
      <c r="BS210" s="173"/>
      <c r="BT210" s="173"/>
      <c r="BU210" s="173"/>
      <c r="BV210" s="173"/>
      <c r="BW210" s="173"/>
      <c r="BX210" s="173"/>
      <c r="BY210" s="173"/>
    </row>
    <row r="21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3"/>
      <c r="AT211" s="173"/>
      <c r="AU211" s="173"/>
      <c r="AV211" s="173"/>
      <c r="AW211" s="173"/>
      <c r="AX211" s="173"/>
      <c r="AY211" s="173"/>
      <c r="AZ211" s="173"/>
      <c r="BA211" s="173"/>
      <c r="BB211" s="173"/>
      <c r="BC211" s="173"/>
      <c r="BD211" s="173"/>
      <c r="BE211" s="173"/>
      <c r="BF211" s="173"/>
      <c r="BG211" s="173"/>
      <c r="BH211" s="173"/>
      <c r="BI211" s="173"/>
      <c r="BJ211" s="173"/>
      <c r="BK211" s="173"/>
      <c r="BL211" s="173"/>
      <c r="BM211" s="173"/>
      <c r="BN211" s="173"/>
      <c r="BO211" s="173"/>
      <c r="BP211" s="173"/>
      <c r="BQ211" s="173"/>
      <c r="BR211" s="173"/>
      <c r="BS211" s="173"/>
      <c r="BT211" s="173"/>
      <c r="BU211" s="173"/>
      <c r="BV211" s="173"/>
      <c r="BW211" s="173"/>
      <c r="BX211" s="173"/>
      <c r="BY211" s="173"/>
    </row>
    <row r="212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3"/>
      <c r="AT212" s="173"/>
      <c r="AU212" s="173"/>
      <c r="AV212" s="173"/>
      <c r="AW212" s="173"/>
      <c r="AX212" s="173"/>
      <c r="AY212" s="173"/>
      <c r="AZ212" s="173"/>
      <c r="BA212" s="173"/>
      <c r="BB212" s="173"/>
      <c r="BC212" s="173"/>
      <c r="BD212" s="173"/>
      <c r="BE212" s="173"/>
      <c r="BF212" s="173"/>
      <c r="BG212" s="173"/>
      <c r="BH212" s="173"/>
      <c r="BI212" s="173"/>
      <c r="BJ212" s="173"/>
      <c r="BK212" s="173"/>
      <c r="BL212" s="173"/>
      <c r="BM212" s="173"/>
      <c r="BN212" s="173"/>
      <c r="BO212" s="173"/>
      <c r="BP212" s="173"/>
      <c r="BQ212" s="173"/>
      <c r="BR212" s="173"/>
      <c r="BS212" s="173"/>
      <c r="BT212" s="173"/>
      <c r="BU212" s="173"/>
      <c r="BV212" s="173"/>
      <c r="BW212" s="173"/>
      <c r="BX212" s="173"/>
      <c r="BY212" s="173"/>
    </row>
    <row r="213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3"/>
      <c r="AT213" s="173"/>
      <c r="AU213" s="173"/>
      <c r="AV213" s="173"/>
      <c r="AW213" s="173"/>
      <c r="AX213" s="173"/>
      <c r="AY213" s="173"/>
      <c r="AZ213" s="173"/>
      <c r="BA213" s="173"/>
      <c r="BB213" s="173"/>
      <c r="BC213" s="173"/>
      <c r="BD213" s="173"/>
      <c r="BE213" s="173"/>
      <c r="BF213" s="173"/>
      <c r="BG213" s="173"/>
      <c r="BH213" s="173"/>
      <c r="BI213" s="173"/>
      <c r="BJ213" s="173"/>
      <c r="BK213" s="173"/>
      <c r="BL213" s="173"/>
      <c r="BM213" s="173"/>
      <c r="BN213" s="173"/>
      <c r="BO213" s="173"/>
      <c r="BP213" s="173"/>
      <c r="BQ213" s="173"/>
      <c r="BR213" s="173"/>
      <c r="BS213" s="173"/>
      <c r="BT213" s="173"/>
      <c r="BU213" s="173"/>
      <c r="BV213" s="173"/>
      <c r="BW213" s="173"/>
      <c r="BX213" s="173"/>
      <c r="BY213" s="173"/>
    </row>
    <row r="214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3"/>
      <c r="AT214" s="173"/>
      <c r="AU214" s="173"/>
      <c r="AV214" s="173"/>
      <c r="AW214" s="173"/>
      <c r="AX214" s="173"/>
      <c r="AY214" s="173"/>
      <c r="AZ214" s="173"/>
      <c r="BA214" s="173"/>
      <c r="BB214" s="173"/>
      <c r="BC214" s="173"/>
      <c r="BD214" s="173"/>
      <c r="BE214" s="173"/>
      <c r="BF214" s="173"/>
      <c r="BG214" s="173"/>
      <c r="BH214" s="173"/>
      <c r="BI214" s="173"/>
      <c r="BJ214" s="173"/>
      <c r="BK214" s="173"/>
      <c r="BL214" s="173"/>
      <c r="BM214" s="173"/>
      <c r="BN214" s="173"/>
      <c r="BO214" s="173"/>
      <c r="BP214" s="173"/>
      <c r="BQ214" s="173"/>
      <c r="BR214" s="173"/>
      <c r="BS214" s="173"/>
      <c r="BT214" s="173"/>
      <c r="BU214" s="173"/>
      <c r="BV214" s="173"/>
      <c r="BW214" s="173"/>
      <c r="BX214" s="173"/>
      <c r="BY214" s="173"/>
    </row>
    <row r="215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3"/>
      <c r="AT215" s="173"/>
      <c r="AU215" s="173"/>
      <c r="AV215" s="173"/>
      <c r="AW215" s="173"/>
      <c r="AX215" s="173"/>
      <c r="AY215" s="173"/>
      <c r="AZ215" s="173"/>
      <c r="BA215" s="173"/>
      <c r="BB215" s="173"/>
      <c r="BC215" s="173"/>
      <c r="BD215" s="173"/>
      <c r="BE215" s="173"/>
      <c r="BF215" s="173"/>
      <c r="BG215" s="173"/>
      <c r="BH215" s="173"/>
      <c r="BI215" s="173"/>
      <c r="BJ215" s="173"/>
      <c r="BK215" s="173"/>
      <c r="BL215" s="173"/>
      <c r="BM215" s="173"/>
      <c r="BN215" s="173"/>
      <c r="BO215" s="173"/>
      <c r="BP215" s="173"/>
      <c r="BQ215" s="173"/>
      <c r="BR215" s="173"/>
      <c r="BS215" s="173"/>
      <c r="BT215" s="173"/>
      <c r="BU215" s="173"/>
      <c r="BV215" s="173"/>
      <c r="BW215" s="173"/>
      <c r="BX215" s="173"/>
      <c r="BY215" s="173"/>
    </row>
    <row r="216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3"/>
      <c r="AT216" s="173"/>
      <c r="AU216" s="173"/>
      <c r="AV216" s="173"/>
      <c r="AW216" s="173"/>
      <c r="AX216" s="173"/>
      <c r="AY216" s="173"/>
      <c r="AZ216" s="173"/>
      <c r="BA216" s="173"/>
      <c r="BB216" s="173"/>
      <c r="BC216" s="173"/>
      <c r="BD216" s="173"/>
      <c r="BE216" s="173"/>
      <c r="BF216" s="173"/>
      <c r="BG216" s="173"/>
      <c r="BH216" s="173"/>
      <c r="BI216" s="173"/>
      <c r="BJ216" s="173"/>
      <c r="BK216" s="173"/>
      <c r="BL216" s="173"/>
      <c r="BM216" s="173"/>
      <c r="BN216" s="173"/>
      <c r="BO216" s="173"/>
      <c r="BP216" s="173"/>
      <c r="BQ216" s="173"/>
      <c r="BR216" s="173"/>
      <c r="BS216" s="173"/>
      <c r="BT216" s="173"/>
      <c r="BU216" s="173"/>
      <c r="BV216" s="173"/>
      <c r="BW216" s="173"/>
      <c r="BX216" s="173"/>
      <c r="BY216" s="173"/>
    </row>
    <row r="217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3"/>
      <c r="AT217" s="173"/>
      <c r="AU217" s="173"/>
      <c r="AV217" s="173"/>
      <c r="AW217" s="173"/>
      <c r="AX217" s="173"/>
      <c r="AY217" s="173"/>
      <c r="AZ217" s="173"/>
      <c r="BA217" s="173"/>
      <c r="BB217" s="173"/>
      <c r="BC217" s="173"/>
      <c r="BD217" s="173"/>
      <c r="BE217" s="173"/>
      <c r="BF217" s="173"/>
      <c r="BG217" s="173"/>
      <c r="BH217" s="173"/>
      <c r="BI217" s="173"/>
      <c r="BJ217" s="173"/>
      <c r="BK217" s="173"/>
      <c r="BL217" s="173"/>
      <c r="BM217" s="173"/>
      <c r="BN217" s="173"/>
      <c r="BO217" s="173"/>
      <c r="BP217" s="173"/>
      <c r="BQ217" s="173"/>
      <c r="BR217" s="173"/>
      <c r="BS217" s="173"/>
      <c r="BT217" s="173"/>
      <c r="BU217" s="173"/>
      <c r="BV217" s="173"/>
      <c r="BW217" s="173"/>
      <c r="BX217" s="173"/>
      <c r="BY217" s="173"/>
    </row>
    <row r="218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3"/>
      <c r="AT218" s="173"/>
      <c r="AU218" s="173"/>
      <c r="AV218" s="173"/>
      <c r="AW218" s="173"/>
      <c r="AX218" s="173"/>
      <c r="AY218" s="173"/>
      <c r="AZ218" s="173"/>
      <c r="BA218" s="173"/>
      <c r="BB218" s="173"/>
      <c r="BC218" s="173"/>
      <c r="BD218" s="173"/>
      <c r="BE218" s="173"/>
      <c r="BF218" s="173"/>
      <c r="BG218" s="173"/>
      <c r="BH218" s="173"/>
      <c r="BI218" s="173"/>
      <c r="BJ218" s="173"/>
      <c r="BK218" s="173"/>
      <c r="BL218" s="173"/>
      <c r="BM218" s="173"/>
      <c r="BN218" s="173"/>
      <c r="BO218" s="173"/>
      <c r="BP218" s="173"/>
      <c r="BQ218" s="173"/>
      <c r="BR218" s="173"/>
      <c r="BS218" s="173"/>
      <c r="BT218" s="173"/>
      <c r="BU218" s="173"/>
      <c r="BV218" s="173"/>
      <c r="BW218" s="173"/>
      <c r="BX218" s="173"/>
      <c r="BY218" s="173"/>
    </row>
    <row r="219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3"/>
      <c r="AT219" s="173"/>
      <c r="AU219" s="173"/>
      <c r="AV219" s="173"/>
      <c r="AW219" s="173"/>
      <c r="AX219" s="173"/>
      <c r="AY219" s="173"/>
      <c r="AZ219" s="173"/>
      <c r="BA219" s="173"/>
      <c r="BB219" s="173"/>
      <c r="BC219" s="173"/>
      <c r="BD219" s="173"/>
      <c r="BE219" s="173"/>
      <c r="BF219" s="173"/>
      <c r="BG219" s="173"/>
      <c r="BH219" s="173"/>
      <c r="BI219" s="173"/>
      <c r="BJ219" s="173"/>
      <c r="BK219" s="173"/>
      <c r="BL219" s="173"/>
      <c r="BM219" s="173"/>
      <c r="BN219" s="173"/>
      <c r="BO219" s="173"/>
      <c r="BP219" s="173"/>
      <c r="BQ219" s="173"/>
      <c r="BR219" s="173"/>
      <c r="BS219" s="173"/>
      <c r="BT219" s="173"/>
      <c r="BU219" s="173"/>
      <c r="BV219" s="173"/>
      <c r="BW219" s="173"/>
      <c r="BX219" s="173"/>
      <c r="BY219" s="173"/>
    </row>
    <row r="220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3"/>
      <c r="AT220" s="173"/>
      <c r="AU220" s="173"/>
      <c r="AV220" s="173"/>
      <c r="AW220" s="173"/>
      <c r="AX220" s="173"/>
      <c r="AY220" s="173"/>
      <c r="AZ220" s="173"/>
      <c r="BA220" s="173"/>
      <c r="BB220" s="173"/>
      <c r="BC220" s="173"/>
      <c r="BD220" s="173"/>
      <c r="BE220" s="173"/>
      <c r="BF220" s="173"/>
      <c r="BG220" s="173"/>
      <c r="BH220" s="173"/>
      <c r="BI220" s="173"/>
      <c r="BJ220" s="173"/>
      <c r="BK220" s="173"/>
      <c r="BL220" s="173"/>
      <c r="BM220" s="173"/>
      <c r="BN220" s="173"/>
      <c r="BO220" s="173"/>
      <c r="BP220" s="173"/>
      <c r="BQ220" s="173"/>
      <c r="BR220" s="173"/>
      <c r="BS220" s="173"/>
      <c r="BT220" s="173"/>
      <c r="BU220" s="173"/>
      <c r="BV220" s="173"/>
      <c r="BW220" s="173"/>
      <c r="BX220" s="173"/>
      <c r="BY220" s="173"/>
    </row>
    <row r="22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3"/>
      <c r="AT221" s="173"/>
      <c r="AU221" s="173"/>
      <c r="AV221" s="173"/>
      <c r="AW221" s="173"/>
      <c r="AX221" s="173"/>
      <c r="AY221" s="173"/>
      <c r="AZ221" s="173"/>
      <c r="BA221" s="173"/>
      <c r="BB221" s="173"/>
      <c r="BC221" s="173"/>
      <c r="BD221" s="173"/>
      <c r="BE221" s="173"/>
      <c r="BF221" s="173"/>
      <c r="BG221" s="173"/>
      <c r="BH221" s="173"/>
      <c r="BI221" s="173"/>
      <c r="BJ221" s="173"/>
      <c r="BK221" s="173"/>
      <c r="BL221" s="173"/>
      <c r="BM221" s="173"/>
      <c r="BN221" s="173"/>
      <c r="BO221" s="173"/>
      <c r="BP221" s="173"/>
      <c r="BQ221" s="173"/>
      <c r="BR221" s="173"/>
      <c r="BS221" s="173"/>
      <c r="BT221" s="173"/>
      <c r="BU221" s="173"/>
      <c r="BV221" s="173"/>
      <c r="BW221" s="173"/>
      <c r="BX221" s="173"/>
      <c r="BY221" s="173"/>
    </row>
    <row r="222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3"/>
      <c r="AT222" s="173"/>
      <c r="AU222" s="173"/>
      <c r="AV222" s="173"/>
      <c r="AW222" s="173"/>
      <c r="AX222" s="173"/>
      <c r="AY222" s="173"/>
      <c r="AZ222" s="173"/>
      <c r="BA222" s="173"/>
      <c r="BB222" s="173"/>
      <c r="BC222" s="173"/>
      <c r="BD222" s="173"/>
      <c r="BE222" s="173"/>
      <c r="BF222" s="173"/>
      <c r="BG222" s="173"/>
      <c r="BH222" s="173"/>
      <c r="BI222" s="173"/>
      <c r="BJ222" s="173"/>
      <c r="BK222" s="173"/>
      <c r="BL222" s="173"/>
      <c r="BM222" s="173"/>
      <c r="BN222" s="173"/>
      <c r="BO222" s="173"/>
      <c r="BP222" s="173"/>
      <c r="BQ222" s="173"/>
      <c r="BR222" s="173"/>
      <c r="BS222" s="173"/>
      <c r="BT222" s="173"/>
      <c r="BU222" s="173"/>
      <c r="BV222" s="173"/>
      <c r="BW222" s="173"/>
      <c r="BX222" s="173"/>
      <c r="BY222" s="173"/>
    </row>
    <row r="223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3"/>
      <c r="AT223" s="173"/>
      <c r="AU223" s="173"/>
      <c r="AV223" s="173"/>
      <c r="AW223" s="173"/>
      <c r="AX223" s="173"/>
      <c r="AY223" s="173"/>
      <c r="AZ223" s="173"/>
      <c r="BA223" s="173"/>
      <c r="BB223" s="173"/>
      <c r="BC223" s="173"/>
      <c r="BD223" s="173"/>
      <c r="BE223" s="173"/>
      <c r="BF223" s="173"/>
      <c r="BG223" s="173"/>
      <c r="BH223" s="173"/>
      <c r="BI223" s="173"/>
      <c r="BJ223" s="173"/>
      <c r="BK223" s="173"/>
      <c r="BL223" s="173"/>
      <c r="BM223" s="173"/>
      <c r="BN223" s="173"/>
      <c r="BO223" s="173"/>
      <c r="BP223" s="173"/>
      <c r="BQ223" s="173"/>
      <c r="BR223" s="173"/>
      <c r="BS223" s="173"/>
      <c r="BT223" s="173"/>
      <c r="BU223" s="173"/>
      <c r="BV223" s="173"/>
      <c r="BW223" s="173"/>
      <c r="BX223" s="173"/>
      <c r="BY223" s="173"/>
    </row>
    <row r="224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3"/>
      <c r="AT224" s="173"/>
      <c r="AU224" s="173"/>
      <c r="AV224" s="173"/>
      <c r="AW224" s="173"/>
      <c r="AX224" s="173"/>
      <c r="AY224" s="173"/>
      <c r="AZ224" s="173"/>
      <c r="BA224" s="173"/>
      <c r="BB224" s="173"/>
      <c r="BC224" s="173"/>
      <c r="BD224" s="173"/>
      <c r="BE224" s="173"/>
      <c r="BF224" s="173"/>
      <c r="BG224" s="173"/>
      <c r="BH224" s="173"/>
      <c r="BI224" s="173"/>
      <c r="BJ224" s="173"/>
      <c r="BK224" s="173"/>
      <c r="BL224" s="173"/>
      <c r="BM224" s="173"/>
      <c r="BN224" s="173"/>
      <c r="BO224" s="173"/>
      <c r="BP224" s="173"/>
      <c r="BQ224" s="173"/>
      <c r="BR224" s="173"/>
      <c r="BS224" s="173"/>
      <c r="BT224" s="173"/>
      <c r="BU224" s="173"/>
      <c r="BV224" s="173"/>
      <c r="BW224" s="173"/>
      <c r="BX224" s="173"/>
      <c r="BY224" s="173"/>
    </row>
    <row r="225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3"/>
      <c r="AT225" s="173"/>
      <c r="AU225" s="173"/>
      <c r="AV225" s="173"/>
      <c r="AW225" s="173"/>
      <c r="AX225" s="173"/>
      <c r="AY225" s="173"/>
      <c r="AZ225" s="173"/>
      <c r="BA225" s="173"/>
      <c r="BB225" s="173"/>
      <c r="BC225" s="173"/>
      <c r="BD225" s="173"/>
      <c r="BE225" s="173"/>
      <c r="BF225" s="173"/>
      <c r="BG225" s="173"/>
      <c r="BH225" s="173"/>
      <c r="BI225" s="173"/>
      <c r="BJ225" s="173"/>
      <c r="BK225" s="173"/>
      <c r="BL225" s="173"/>
      <c r="BM225" s="173"/>
      <c r="BN225" s="173"/>
      <c r="BO225" s="173"/>
      <c r="BP225" s="173"/>
      <c r="BQ225" s="173"/>
      <c r="BR225" s="173"/>
      <c r="BS225" s="173"/>
      <c r="BT225" s="173"/>
      <c r="BU225" s="173"/>
      <c r="BV225" s="173"/>
      <c r="BW225" s="173"/>
      <c r="BX225" s="173"/>
      <c r="BY225" s="173"/>
    </row>
    <row r="226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3"/>
      <c r="AT226" s="173"/>
      <c r="AU226" s="173"/>
      <c r="AV226" s="173"/>
      <c r="AW226" s="173"/>
      <c r="AX226" s="173"/>
      <c r="AY226" s="173"/>
      <c r="AZ226" s="173"/>
      <c r="BA226" s="173"/>
      <c r="BB226" s="173"/>
      <c r="BC226" s="173"/>
      <c r="BD226" s="173"/>
      <c r="BE226" s="173"/>
      <c r="BF226" s="173"/>
      <c r="BG226" s="173"/>
      <c r="BH226" s="173"/>
      <c r="BI226" s="173"/>
      <c r="BJ226" s="173"/>
      <c r="BK226" s="173"/>
      <c r="BL226" s="173"/>
      <c r="BM226" s="173"/>
      <c r="BN226" s="173"/>
      <c r="BO226" s="173"/>
      <c r="BP226" s="173"/>
      <c r="BQ226" s="173"/>
      <c r="BR226" s="173"/>
      <c r="BS226" s="173"/>
      <c r="BT226" s="173"/>
      <c r="BU226" s="173"/>
      <c r="BV226" s="173"/>
      <c r="BW226" s="173"/>
      <c r="BX226" s="173"/>
      <c r="BY226" s="173"/>
    </row>
    <row r="227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3"/>
      <c r="AT227" s="173"/>
      <c r="AU227" s="173"/>
      <c r="AV227" s="173"/>
      <c r="AW227" s="173"/>
      <c r="AX227" s="173"/>
      <c r="AY227" s="173"/>
      <c r="AZ227" s="173"/>
      <c r="BA227" s="173"/>
      <c r="BB227" s="173"/>
      <c r="BC227" s="173"/>
      <c r="BD227" s="173"/>
      <c r="BE227" s="173"/>
      <c r="BF227" s="173"/>
      <c r="BG227" s="173"/>
      <c r="BH227" s="173"/>
      <c r="BI227" s="173"/>
      <c r="BJ227" s="173"/>
      <c r="BK227" s="173"/>
      <c r="BL227" s="173"/>
      <c r="BM227" s="173"/>
      <c r="BN227" s="173"/>
      <c r="BO227" s="173"/>
      <c r="BP227" s="173"/>
      <c r="BQ227" s="173"/>
      <c r="BR227" s="173"/>
      <c r="BS227" s="173"/>
      <c r="BT227" s="173"/>
      <c r="BU227" s="173"/>
      <c r="BV227" s="173"/>
      <c r="BW227" s="173"/>
      <c r="BX227" s="173"/>
      <c r="BY227" s="173"/>
    </row>
    <row r="228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3"/>
      <c r="AT228" s="173"/>
      <c r="AU228" s="173"/>
      <c r="AV228" s="173"/>
      <c r="AW228" s="173"/>
      <c r="AX228" s="173"/>
      <c r="AY228" s="173"/>
      <c r="AZ228" s="173"/>
      <c r="BA228" s="173"/>
      <c r="BB228" s="173"/>
      <c r="BC228" s="173"/>
      <c r="BD228" s="173"/>
      <c r="BE228" s="173"/>
      <c r="BF228" s="173"/>
      <c r="BG228" s="173"/>
      <c r="BH228" s="173"/>
      <c r="BI228" s="173"/>
      <c r="BJ228" s="173"/>
      <c r="BK228" s="173"/>
      <c r="BL228" s="173"/>
      <c r="BM228" s="173"/>
      <c r="BN228" s="173"/>
      <c r="BO228" s="173"/>
      <c r="BP228" s="173"/>
      <c r="BQ228" s="173"/>
      <c r="BR228" s="173"/>
      <c r="BS228" s="173"/>
      <c r="BT228" s="173"/>
      <c r="BU228" s="173"/>
      <c r="BV228" s="173"/>
      <c r="BW228" s="173"/>
      <c r="BX228" s="173"/>
      <c r="BY228" s="173"/>
    </row>
    <row r="229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3"/>
      <c r="AT229" s="173"/>
      <c r="AU229" s="173"/>
      <c r="AV229" s="173"/>
      <c r="AW229" s="173"/>
      <c r="AX229" s="173"/>
      <c r="AY229" s="173"/>
      <c r="AZ229" s="173"/>
      <c r="BA229" s="173"/>
      <c r="BB229" s="173"/>
      <c r="BC229" s="173"/>
      <c r="BD229" s="173"/>
      <c r="BE229" s="173"/>
      <c r="BF229" s="173"/>
      <c r="BG229" s="173"/>
      <c r="BH229" s="173"/>
      <c r="BI229" s="173"/>
      <c r="BJ229" s="173"/>
      <c r="BK229" s="173"/>
      <c r="BL229" s="173"/>
      <c r="BM229" s="173"/>
      <c r="BN229" s="173"/>
      <c r="BO229" s="173"/>
      <c r="BP229" s="173"/>
      <c r="BQ229" s="173"/>
      <c r="BR229" s="173"/>
      <c r="BS229" s="173"/>
      <c r="BT229" s="173"/>
      <c r="BU229" s="173"/>
      <c r="BV229" s="173"/>
      <c r="BW229" s="173"/>
      <c r="BX229" s="173"/>
      <c r="BY229" s="173"/>
    </row>
    <row r="230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3"/>
      <c r="AT230" s="173"/>
      <c r="AU230" s="173"/>
      <c r="AV230" s="173"/>
      <c r="AW230" s="173"/>
      <c r="AX230" s="173"/>
      <c r="AY230" s="173"/>
      <c r="AZ230" s="173"/>
      <c r="BA230" s="173"/>
      <c r="BB230" s="173"/>
      <c r="BC230" s="173"/>
      <c r="BD230" s="173"/>
      <c r="BE230" s="173"/>
      <c r="BF230" s="173"/>
      <c r="BG230" s="173"/>
      <c r="BH230" s="173"/>
      <c r="BI230" s="173"/>
      <c r="BJ230" s="173"/>
      <c r="BK230" s="173"/>
      <c r="BL230" s="173"/>
      <c r="BM230" s="173"/>
      <c r="BN230" s="173"/>
      <c r="BO230" s="173"/>
      <c r="BP230" s="173"/>
      <c r="BQ230" s="173"/>
      <c r="BR230" s="173"/>
      <c r="BS230" s="173"/>
      <c r="BT230" s="173"/>
      <c r="BU230" s="173"/>
      <c r="BV230" s="173"/>
      <c r="BW230" s="173"/>
      <c r="BX230" s="173"/>
      <c r="BY230" s="173"/>
    </row>
    <row r="23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3"/>
      <c r="AT231" s="173"/>
      <c r="AU231" s="173"/>
      <c r="AV231" s="173"/>
      <c r="AW231" s="173"/>
      <c r="AX231" s="173"/>
      <c r="AY231" s="173"/>
      <c r="AZ231" s="173"/>
      <c r="BA231" s="173"/>
      <c r="BB231" s="173"/>
      <c r="BC231" s="173"/>
      <c r="BD231" s="173"/>
      <c r="BE231" s="173"/>
      <c r="BF231" s="173"/>
      <c r="BG231" s="173"/>
      <c r="BH231" s="173"/>
      <c r="BI231" s="173"/>
      <c r="BJ231" s="173"/>
      <c r="BK231" s="173"/>
      <c r="BL231" s="173"/>
      <c r="BM231" s="173"/>
      <c r="BN231" s="173"/>
      <c r="BO231" s="173"/>
      <c r="BP231" s="173"/>
      <c r="BQ231" s="173"/>
      <c r="BR231" s="173"/>
      <c r="BS231" s="173"/>
      <c r="BT231" s="173"/>
      <c r="BU231" s="173"/>
      <c r="BV231" s="173"/>
      <c r="BW231" s="173"/>
      <c r="BX231" s="173"/>
      <c r="BY231" s="173"/>
    </row>
    <row r="232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3"/>
      <c r="AT232" s="173"/>
      <c r="AU232" s="173"/>
      <c r="AV232" s="173"/>
      <c r="AW232" s="173"/>
      <c r="AX232" s="173"/>
      <c r="AY232" s="173"/>
      <c r="AZ232" s="173"/>
      <c r="BA232" s="173"/>
      <c r="BB232" s="173"/>
      <c r="BC232" s="173"/>
      <c r="BD232" s="173"/>
      <c r="BE232" s="173"/>
      <c r="BF232" s="173"/>
      <c r="BG232" s="173"/>
      <c r="BH232" s="173"/>
      <c r="BI232" s="173"/>
      <c r="BJ232" s="173"/>
      <c r="BK232" s="173"/>
      <c r="BL232" s="173"/>
      <c r="BM232" s="173"/>
      <c r="BN232" s="173"/>
      <c r="BO232" s="173"/>
      <c r="BP232" s="173"/>
      <c r="BQ232" s="173"/>
      <c r="BR232" s="173"/>
      <c r="BS232" s="173"/>
      <c r="BT232" s="173"/>
      <c r="BU232" s="173"/>
      <c r="BV232" s="173"/>
      <c r="BW232" s="173"/>
      <c r="BX232" s="173"/>
      <c r="BY232" s="173"/>
    </row>
    <row r="233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3"/>
      <c r="AT233" s="173"/>
      <c r="AU233" s="173"/>
      <c r="AV233" s="173"/>
      <c r="AW233" s="173"/>
      <c r="AX233" s="173"/>
      <c r="AY233" s="173"/>
      <c r="AZ233" s="173"/>
      <c r="BA233" s="173"/>
      <c r="BB233" s="173"/>
      <c r="BC233" s="173"/>
      <c r="BD233" s="173"/>
      <c r="BE233" s="173"/>
      <c r="BF233" s="173"/>
      <c r="BG233" s="173"/>
      <c r="BH233" s="173"/>
      <c r="BI233" s="173"/>
      <c r="BJ233" s="173"/>
      <c r="BK233" s="173"/>
      <c r="BL233" s="173"/>
      <c r="BM233" s="173"/>
      <c r="BN233" s="173"/>
      <c r="BO233" s="173"/>
      <c r="BP233" s="173"/>
      <c r="BQ233" s="173"/>
      <c r="BR233" s="173"/>
      <c r="BS233" s="173"/>
      <c r="BT233" s="173"/>
      <c r="BU233" s="173"/>
      <c r="BV233" s="173"/>
      <c r="BW233" s="173"/>
      <c r="BX233" s="173"/>
      <c r="BY233" s="173"/>
    </row>
    <row r="234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  <c r="AQ234" s="173"/>
      <c r="AR234" s="173"/>
      <c r="AS234" s="173"/>
      <c r="AT234" s="173"/>
      <c r="AU234" s="173"/>
      <c r="AV234" s="173"/>
      <c r="AW234" s="173"/>
      <c r="AX234" s="173"/>
      <c r="AY234" s="173"/>
      <c r="AZ234" s="173"/>
      <c r="BA234" s="173"/>
      <c r="BB234" s="173"/>
      <c r="BC234" s="173"/>
      <c r="BD234" s="173"/>
      <c r="BE234" s="173"/>
      <c r="BF234" s="173"/>
      <c r="BG234" s="173"/>
      <c r="BH234" s="173"/>
      <c r="BI234" s="173"/>
      <c r="BJ234" s="173"/>
      <c r="BK234" s="173"/>
      <c r="BL234" s="173"/>
      <c r="BM234" s="173"/>
      <c r="BN234" s="173"/>
      <c r="BO234" s="173"/>
      <c r="BP234" s="173"/>
      <c r="BQ234" s="173"/>
      <c r="BR234" s="173"/>
      <c r="BS234" s="173"/>
      <c r="BT234" s="173"/>
      <c r="BU234" s="173"/>
      <c r="BV234" s="173"/>
      <c r="BW234" s="173"/>
      <c r="BX234" s="173"/>
      <c r="BY234" s="173"/>
    </row>
    <row r="235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3"/>
      <c r="AT235" s="173"/>
      <c r="AU235" s="173"/>
      <c r="AV235" s="173"/>
      <c r="AW235" s="173"/>
      <c r="AX235" s="173"/>
      <c r="AY235" s="173"/>
      <c r="AZ235" s="173"/>
      <c r="BA235" s="173"/>
      <c r="BB235" s="173"/>
      <c r="BC235" s="173"/>
      <c r="BD235" s="173"/>
      <c r="BE235" s="173"/>
      <c r="BF235" s="173"/>
      <c r="BG235" s="173"/>
      <c r="BH235" s="173"/>
      <c r="BI235" s="173"/>
      <c r="BJ235" s="173"/>
      <c r="BK235" s="173"/>
      <c r="BL235" s="173"/>
      <c r="BM235" s="173"/>
      <c r="BN235" s="173"/>
      <c r="BO235" s="173"/>
      <c r="BP235" s="173"/>
      <c r="BQ235" s="173"/>
      <c r="BR235" s="173"/>
      <c r="BS235" s="173"/>
      <c r="BT235" s="173"/>
      <c r="BU235" s="173"/>
      <c r="BV235" s="173"/>
      <c r="BW235" s="173"/>
      <c r="BX235" s="173"/>
      <c r="BY235" s="173"/>
    </row>
    <row r="236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3"/>
      <c r="AT236" s="173"/>
      <c r="AU236" s="173"/>
      <c r="AV236" s="173"/>
      <c r="AW236" s="173"/>
      <c r="AX236" s="173"/>
      <c r="AY236" s="173"/>
      <c r="AZ236" s="173"/>
      <c r="BA236" s="173"/>
      <c r="BB236" s="173"/>
      <c r="BC236" s="173"/>
      <c r="BD236" s="173"/>
      <c r="BE236" s="173"/>
      <c r="BF236" s="173"/>
      <c r="BG236" s="173"/>
      <c r="BH236" s="173"/>
      <c r="BI236" s="173"/>
      <c r="BJ236" s="173"/>
      <c r="BK236" s="173"/>
      <c r="BL236" s="173"/>
      <c r="BM236" s="173"/>
      <c r="BN236" s="173"/>
      <c r="BO236" s="173"/>
      <c r="BP236" s="173"/>
      <c r="BQ236" s="173"/>
      <c r="BR236" s="173"/>
      <c r="BS236" s="173"/>
      <c r="BT236" s="173"/>
      <c r="BU236" s="173"/>
      <c r="BV236" s="173"/>
      <c r="BW236" s="173"/>
      <c r="BX236" s="173"/>
      <c r="BY236" s="173"/>
    </row>
    <row r="237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3"/>
      <c r="AT237" s="173"/>
      <c r="AU237" s="173"/>
      <c r="AV237" s="173"/>
      <c r="AW237" s="173"/>
      <c r="AX237" s="173"/>
      <c r="AY237" s="173"/>
      <c r="AZ237" s="173"/>
      <c r="BA237" s="173"/>
      <c r="BB237" s="173"/>
      <c r="BC237" s="173"/>
      <c r="BD237" s="173"/>
      <c r="BE237" s="173"/>
      <c r="BF237" s="173"/>
      <c r="BG237" s="173"/>
      <c r="BH237" s="173"/>
      <c r="BI237" s="173"/>
      <c r="BJ237" s="173"/>
      <c r="BK237" s="173"/>
      <c r="BL237" s="173"/>
      <c r="BM237" s="173"/>
      <c r="BN237" s="173"/>
      <c r="BO237" s="173"/>
      <c r="BP237" s="173"/>
      <c r="BQ237" s="173"/>
      <c r="BR237" s="173"/>
      <c r="BS237" s="173"/>
      <c r="BT237" s="173"/>
      <c r="BU237" s="173"/>
      <c r="BV237" s="173"/>
      <c r="BW237" s="173"/>
      <c r="BX237" s="173"/>
      <c r="BY237" s="173"/>
    </row>
    <row r="238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3"/>
      <c r="AT238" s="173"/>
      <c r="AU238" s="173"/>
      <c r="AV238" s="173"/>
      <c r="AW238" s="173"/>
      <c r="AX238" s="173"/>
      <c r="AY238" s="173"/>
      <c r="AZ238" s="173"/>
      <c r="BA238" s="173"/>
      <c r="BB238" s="173"/>
      <c r="BC238" s="173"/>
      <c r="BD238" s="173"/>
      <c r="BE238" s="173"/>
      <c r="BF238" s="173"/>
      <c r="BG238" s="173"/>
      <c r="BH238" s="173"/>
      <c r="BI238" s="173"/>
      <c r="BJ238" s="173"/>
      <c r="BK238" s="173"/>
      <c r="BL238" s="173"/>
      <c r="BM238" s="173"/>
      <c r="BN238" s="173"/>
      <c r="BO238" s="173"/>
      <c r="BP238" s="173"/>
      <c r="BQ238" s="173"/>
      <c r="BR238" s="173"/>
      <c r="BS238" s="173"/>
      <c r="BT238" s="173"/>
      <c r="BU238" s="173"/>
      <c r="BV238" s="173"/>
      <c r="BW238" s="173"/>
      <c r="BX238" s="173"/>
      <c r="BY238" s="173"/>
    </row>
    <row r="239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3"/>
      <c r="AT239" s="173"/>
      <c r="AU239" s="173"/>
      <c r="AV239" s="173"/>
      <c r="AW239" s="173"/>
      <c r="AX239" s="173"/>
      <c r="AY239" s="173"/>
      <c r="AZ239" s="173"/>
      <c r="BA239" s="173"/>
      <c r="BB239" s="173"/>
      <c r="BC239" s="173"/>
      <c r="BD239" s="173"/>
      <c r="BE239" s="173"/>
      <c r="BF239" s="173"/>
      <c r="BG239" s="173"/>
      <c r="BH239" s="173"/>
      <c r="BI239" s="173"/>
      <c r="BJ239" s="173"/>
      <c r="BK239" s="173"/>
      <c r="BL239" s="173"/>
      <c r="BM239" s="173"/>
      <c r="BN239" s="173"/>
      <c r="BO239" s="173"/>
      <c r="BP239" s="173"/>
      <c r="BQ239" s="173"/>
      <c r="BR239" s="173"/>
      <c r="BS239" s="173"/>
      <c r="BT239" s="173"/>
      <c r="BU239" s="173"/>
      <c r="BV239" s="173"/>
      <c r="BW239" s="173"/>
      <c r="BX239" s="173"/>
      <c r="BY239" s="173"/>
    </row>
    <row r="240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3"/>
      <c r="AT240" s="173"/>
      <c r="AU240" s="173"/>
      <c r="AV240" s="173"/>
      <c r="AW240" s="173"/>
      <c r="AX240" s="173"/>
      <c r="AY240" s="173"/>
      <c r="AZ240" s="173"/>
      <c r="BA240" s="173"/>
      <c r="BB240" s="173"/>
      <c r="BC240" s="173"/>
      <c r="BD240" s="173"/>
      <c r="BE240" s="173"/>
      <c r="BF240" s="173"/>
      <c r="BG240" s="173"/>
      <c r="BH240" s="173"/>
      <c r="BI240" s="173"/>
      <c r="BJ240" s="173"/>
      <c r="BK240" s="173"/>
      <c r="BL240" s="173"/>
      <c r="BM240" s="173"/>
      <c r="BN240" s="173"/>
      <c r="BO240" s="173"/>
      <c r="BP240" s="173"/>
      <c r="BQ240" s="173"/>
      <c r="BR240" s="173"/>
      <c r="BS240" s="173"/>
      <c r="BT240" s="173"/>
      <c r="BU240" s="173"/>
      <c r="BV240" s="173"/>
      <c r="BW240" s="173"/>
      <c r="BX240" s="173"/>
      <c r="BY240" s="173"/>
    </row>
    <row r="24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3"/>
      <c r="AT241" s="173"/>
      <c r="AU241" s="173"/>
      <c r="AV241" s="173"/>
      <c r="AW241" s="173"/>
      <c r="AX241" s="173"/>
      <c r="AY241" s="173"/>
      <c r="AZ241" s="173"/>
      <c r="BA241" s="173"/>
      <c r="BB241" s="173"/>
      <c r="BC241" s="173"/>
      <c r="BD241" s="173"/>
      <c r="BE241" s="173"/>
      <c r="BF241" s="173"/>
      <c r="BG241" s="173"/>
      <c r="BH241" s="173"/>
      <c r="BI241" s="173"/>
      <c r="BJ241" s="173"/>
      <c r="BK241" s="173"/>
      <c r="BL241" s="173"/>
      <c r="BM241" s="173"/>
      <c r="BN241" s="173"/>
      <c r="BO241" s="173"/>
      <c r="BP241" s="173"/>
      <c r="BQ241" s="173"/>
      <c r="BR241" s="173"/>
      <c r="BS241" s="173"/>
      <c r="BT241" s="173"/>
      <c r="BU241" s="173"/>
      <c r="BV241" s="173"/>
      <c r="BW241" s="173"/>
      <c r="BX241" s="173"/>
      <c r="BY241" s="173"/>
    </row>
    <row r="242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3"/>
      <c r="AT242" s="173"/>
      <c r="AU242" s="173"/>
      <c r="AV242" s="173"/>
      <c r="AW242" s="173"/>
      <c r="AX242" s="173"/>
      <c r="AY242" s="173"/>
      <c r="AZ242" s="173"/>
      <c r="BA242" s="173"/>
      <c r="BB242" s="173"/>
      <c r="BC242" s="173"/>
      <c r="BD242" s="173"/>
      <c r="BE242" s="173"/>
      <c r="BF242" s="173"/>
      <c r="BG242" s="173"/>
      <c r="BH242" s="173"/>
      <c r="BI242" s="173"/>
      <c r="BJ242" s="173"/>
      <c r="BK242" s="173"/>
      <c r="BL242" s="173"/>
      <c r="BM242" s="173"/>
      <c r="BN242" s="173"/>
      <c r="BO242" s="173"/>
      <c r="BP242" s="173"/>
      <c r="BQ242" s="173"/>
      <c r="BR242" s="173"/>
      <c r="BS242" s="173"/>
      <c r="BT242" s="173"/>
      <c r="BU242" s="173"/>
      <c r="BV242" s="173"/>
      <c r="BW242" s="173"/>
      <c r="BX242" s="173"/>
      <c r="BY242" s="173"/>
    </row>
    <row r="243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3"/>
      <c r="AT243" s="173"/>
      <c r="AU243" s="173"/>
      <c r="AV243" s="173"/>
      <c r="AW243" s="173"/>
      <c r="AX243" s="173"/>
      <c r="AY243" s="173"/>
      <c r="AZ243" s="173"/>
      <c r="BA243" s="173"/>
      <c r="BB243" s="173"/>
      <c r="BC243" s="173"/>
      <c r="BD243" s="173"/>
      <c r="BE243" s="173"/>
      <c r="BF243" s="173"/>
      <c r="BG243" s="173"/>
      <c r="BH243" s="173"/>
      <c r="BI243" s="173"/>
      <c r="BJ243" s="173"/>
      <c r="BK243" s="173"/>
      <c r="BL243" s="173"/>
      <c r="BM243" s="173"/>
      <c r="BN243" s="173"/>
      <c r="BO243" s="173"/>
      <c r="BP243" s="173"/>
      <c r="BQ243" s="173"/>
      <c r="BR243" s="173"/>
      <c r="BS243" s="173"/>
      <c r="BT243" s="173"/>
      <c r="BU243" s="173"/>
      <c r="BV243" s="173"/>
      <c r="BW243" s="173"/>
      <c r="BX243" s="173"/>
      <c r="BY243" s="173"/>
    </row>
    <row r="244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3"/>
      <c r="AT244" s="173"/>
      <c r="AU244" s="173"/>
      <c r="AV244" s="173"/>
      <c r="AW244" s="173"/>
      <c r="AX244" s="173"/>
      <c r="AY244" s="173"/>
      <c r="AZ244" s="173"/>
      <c r="BA244" s="173"/>
      <c r="BB244" s="173"/>
      <c r="BC244" s="173"/>
      <c r="BD244" s="173"/>
      <c r="BE244" s="173"/>
      <c r="BF244" s="173"/>
      <c r="BG244" s="173"/>
      <c r="BH244" s="173"/>
      <c r="BI244" s="173"/>
      <c r="BJ244" s="173"/>
      <c r="BK244" s="173"/>
      <c r="BL244" s="173"/>
      <c r="BM244" s="173"/>
      <c r="BN244" s="173"/>
      <c r="BO244" s="173"/>
      <c r="BP244" s="173"/>
      <c r="BQ244" s="173"/>
      <c r="BR244" s="173"/>
      <c r="BS244" s="173"/>
      <c r="BT244" s="173"/>
      <c r="BU244" s="173"/>
      <c r="BV244" s="173"/>
      <c r="BW244" s="173"/>
      <c r="BX244" s="173"/>
      <c r="BY244" s="173"/>
    </row>
    <row r="245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3"/>
      <c r="AT245" s="173"/>
      <c r="AU245" s="173"/>
      <c r="AV245" s="173"/>
      <c r="AW245" s="173"/>
      <c r="AX245" s="173"/>
      <c r="AY245" s="173"/>
      <c r="AZ245" s="173"/>
      <c r="BA245" s="173"/>
      <c r="BB245" s="173"/>
      <c r="BC245" s="173"/>
      <c r="BD245" s="173"/>
      <c r="BE245" s="173"/>
      <c r="BF245" s="173"/>
      <c r="BG245" s="173"/>
      <c r="BH245" s="173"/>
      <c r="BI245" s="173"/>
      <c r="BJ245" s="173"/>
      <c r="BK245" s="173"/>
      <c r="BL245" s="173"/>
      <c r="BM245" s="173"/>
      <c r="BN245" s="173"/>
      <c r="BO245" s="173"/>
      <c r="BP245" s="173"/>
      <c r="BQ245" s="173"/>
      <c r="BR245" s="173"/>
      <c r="BS245" s="173"/>
      <c r="BT245" s="173"/>
      <c r="BU245" s="173"/>
      <c r="BV245" s="173"/>
      <c r="BW245" s="173"/>
      <c r="BX245" s="173"/>
      <c r="BY245" s="173"/>
    </row>
    <row r="246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3"/>
      <c r="AT246" s="173"/>
      <c r="AU246" s="173"/>
      <c r="AV246" s="173"/>
      <c r="AW246" s="173"/>
      <c r="AX246" s="173"/>
      <c r="AY246" s="173"/>
      <c r="AZ246" s="173"/>
      <c r="BA246" s="173"/>
      <c r="BB246" s="173"/>
      <c r="BC246" s="173"/>
      <c r="BD246" s="173"/>
      <c r="BE246" s="173"/>
      <c r="BF246" s="173"/>
      <c r="BG246" s="173"/>
      <c r="BH246" s="173"/>
      <c r="BI246" s="173"/>
      <c r="BJ246" s="173"/>
      <c r="BK246" s="173"/>
      <c r="BL246" s="173"/>
      <c r="BM246" s="173"/>
      <c r="BN246" s="173"/>
      <c r="BO246" s="173"/>
      <c r="BP246" s="173"/>
      <c r="BQ246" s="173"/>
      <c r="BR246" s="173"/>
      <c r="BS246" s="173"/>
      <c r="BT246" s="173"/>
      <c r="BU246" s="173"/>
      <c r="BV246" s="173"/>
      <c r="BW246" s="173"/>
      <c r="BX246" s="173"/>
      <c r="BY246" s="173"/>
    </row>
    <row r="247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3"/>
      <c r="AT247" s="173"/>
      <c r="AU247" s="173"/>
      <c r="AV247" s="173"/>
      <c r="AW247" s="173"/>
      <c r="AX247" s="173"/>
      <c r="AY247" s="173"/>
      <c r="AZ247" s="173"/>
      <c r="BA247" s="173"/>
      <c r="BB247" s="173"/>
      <c r="BC247" s="173"/>
      <c r="BD247" s="173"/>
      <c r="BE247" s="173"/>
      <c r="BF247" s="173"/>
      <c r="BG247" s="173"/>
      <c r="BH247" s="173"/>
      <c r="BI247" s="173"/>
      <c r="BJ247" s="173"/>
      <c r="BK247" s="173"/>
      <c r="BL247" s="173"/>
      <c r="BM247" s="173"/>
      <c r="BN247" s="173"/>
      <c r="BO247" s="173"/>
      <c r="BP247" s="173"/>
      <c r="BQ247" s="173"/>
      <c r="BR247" s="173"/>
      <c r="BS247" s="173"/>
      <c r="BT247" s="173"/>
      <c r="BU247" s="173"/>
      <c r="BV247" s="173"/>
      <c r="BW247" s="173"/>
      <c r="BX247" s="173"/>
      <c r="BY247" s="173"/>
    </row>
    <row r="248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3"/>
      <c r="AT248" s="173"/>
      <c r="AU248" s="173"/>
      <c r="AV248" s="173"/>
      <c r="AW248" s="173"/>
      <c r="AX248" s="173"/>
      <c r="AY248" s="173"/>
      <c r="AZ248" s="173"/>
      <c r="BA248" s="173"/>
      <c r="BB248" s="173"/>
      <c r="BC248" s="173"/>
      <c r="BD248" s="173"/>
      <c r="BE248" s="173"/>
      <c r="BF248" s="173"/>
      <c r="BG248" s="173"/>
      <c r="BH248" s="173"/>
      <c r="BI248" s="173"/>
      <c r="BJ248" s="173"/>
      <c r="BK248" s="173"/>
      <c r="BL248" s="173"/>
      <c r="BM248" s="173"/>
      <c r="BN248" s="173"/>
      <c r="BO248" s="173"/>
      <c r="BP248" s="173"/>
      <c r="BQ248" s="173"/>
      <c r="BR248" s="173"/>
      <c r="BS248" s="173"/>
      <c r="BT248" s="173"/>
      <c r="BU248" s="173"/>
      <c r="BV248" s="173"/>
      <c r="BW248" s="173"/>
      <c r="BX248" s="173"/>
      <c r="BY248" s="173"/>
    </row>
    <row r="249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3"/>
      <c r="AT249" s="173"/>
      <c r="AU249" s="173"/>
      <c r="AV249" s="173"/>
      <c r="AW249" s="173"/>
      <c r="AX249" s="173"/>
      <c r="AY249" s="173"/>
      <c r="AZ249" s="173"/>
      <c r="BA249" s="173"/>
      <c r="BB249" s="173"/>
      <c r="BC249" s="173"/>
      <c r="BD249" s="173"/>
      <c r="BE249" s="173"/>
      <c r="BF249" s="173"/>
      <c r="BG249" s="173"/>
      <c r="BH249" s="173"/>
      <c r="BI249" s="173"/>
      <c r="BJ249" s="173"/>
      <c r="BK249" s="173"/>
      <c r="BL249" s="173"/>
      <c r="BM249" s="173"/>
      <c r="BN249" s="173"/>
      <c r="BO249" s="173"/>
      <c r="BP249" s="173"/>
      <c r="BQ249" s="173"/>
      <c r="BR249" s="173"/>
      <c r="BS249" s="173"/>
      <c r="BT249" s="173"/>
      <c r="BU249" s="173"/>
      <c r="BV249" s="173"/>
      <c r="BW249" s="173"/>
      <c r="BX249" s="173"/>
      <c r="BY249" s="173"/>
    </row>
    <row r="250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3"/>
      <c r="AT250" s="173"/>
      <c r="AU250" s="173"/>
      <c r="AV250" s="173"/>
      <c r="AW250" s="173"/>
      <c r="AX250" s="173"/>
      <c r="AY250" s="173"/>
      <c r="AZ250" s="173"/>
      <c r="BA250" s="173"/>
      <c r="BB250" s="173"/>
      <c r="BC250" s="173"/>
      <c r="BD250" s="173"/>
      <c r="BE250" s="173"/>
      <c r="BF250" s="173"/>
      <c r="BG250" s="173"/>
      <c r="BH250" s="173"/>
      <c r="BI250" s="173"/>
      <c r="BJ250" s="173"/>
      <c r="BK250" s="173"/>
      <c r="BL250" s="173"/>
      <c r="BM250" s="173"/>
      <c r="BN250" s="173"/>
      <c r="BO250" s="173"/>
      <c r="BP250" s="173"/>
      <c r="BQ250" s="173"/>
      <c r="BR250" s="173"/>
      <c r="BS250" s="173"/>
      <c r="BT250" s="173"/>
      <c r="BU250" s="173"/>
      <c r="BV250" s="173"/>
      <c r="BW250" s="173"/>
      <c r="BX250" s="173"/>
      <c r="BY250" s="173"/>
    </row>
    <row r="25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3"/>
      <c r="AT251" s="173"/>
      <c r="AU251" s="173"/>
      <c r="AV251" s="173"/>
      <c r="AW251" s="173"/>
      <c r="AX251" s="173"/>
      <c r="AY251" s="173"/>
      <c r="AZ251" s="173"/>
      <c r="BA251" s="173"/>
      <c r="BB251" s="173"/>
      <c r="BC251" s="173"/>
      <c r="BD251" s="173"/>
      <c r="BE251" s="173"/>
      <c r="BF251" s="173"/>
      <c r="BG251" s="173"/>
      <c r="BH251" s="173"/>
      <c r="BI251" s="173"/>
      <c r="BJ251" s="173"/>
      <c r="BK251" s="173"/>
      <c r="BL251" s="173"/>
      <c r="BM251" s="173"/>
      <c r="BN251" s="173"/>
      <c r="BO251" s="173"/>
      <c r="BP251" s="173"/>
      <c r="BQ251" s="173"/>
      <c r="BR251" s="173"/>
      <c r="BS251" s="173"/>
      <c r="BT251" s="173"/>
      <c r="BU251" s="173"/>
      <c r="BV251" s="173"/>
      <c r="BW251" s="173"/>
      <c r="BX251" s="173"/>
      <c r="BY251" s="173"/>
    </row>
    <row r="252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3"/>
      <c r="AT252" s="173"/>
      <c r="AU252" s="173"/>
      <c r="AV252" s="173"/>
      <c r="AW252" s="173"/>
      <c r="AX252" s="173"/>
      <c r="AY252" s="173"/>
      <c r="AZ252" s="173"/>
      <c r="BA252" s="173"/>
      <c r="BB252" s="173"/>
      <c r="BC252" s="173"/>
      <c r="BD252" s="173"/>
      <c r="BE252" s="173"/>
      <c r="BF252" s="173"/>
      <c r="BG252" s="173"/>
      <c r="BH252" s="173"/>
      <c r="BI252" s="173"/>
      <c r="BJ252" s="173"/>
      <c r="BK252" s="173"/>
      <c r="BL252" s="173"/>
      <c r="BM252" s="173"/>
      <c r="BN252" s="173"/>
      <c r="BO252" s="173"/>
      <c r="BP252" s="173"/>
      <c r="BQ252" s="173"/>
      <c r="BR252" s="173"/>
      <c r="BS252" s="173"/>
      <c r="BT252" s="173"/>
      <c r="BU252" s="173"/>
      <c r="BV252" s="173"/>
      <c r="BW252" s="173"/>
      <c r="BX252" s="173"/>
      <c r="BY252" s="173"/>
    </row>
    <row r="253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3"/>
      <c r="AT253" s="173"/>
      <c r="AU253" s="173"/>
      <c r="AV253" s="173"/>
      <c r="AW253" s="173"/>
      <c r="AX253" s="173"/>
      <c r="AY253" s="173"/>
      <c r="AZ253" s="173"/>
      <c r="BA253" s="173"/>
      <c r="BB253" s="173"/>
      <c r="BC253" s="173"/>
      <c r="BD253" s="173"/>
      <c r="BE253" s="173"/>
      <c r="BF253" s="173"/>
      <c r="BG253" s="173"/>
      <c r="BH253" s="173"/>
      <c r="BI253" s="173"/>
      <c r="BJ253" s="173"/>
      <c r="BK253" s="173"/>
      <c r="BL253" s="173"/>
      <c r="BM253" s="173"/>
      <c r="BN253" s="173"/>
      <c r="BO253" s="173"/>
      <c r="BP253" s="173"/>
      <c r="BQ253" s="173"/>
      <c r="BR253" s="173"/>
      <c r="BS253" s="173"/>
      <c r="BT253" s="173"/>
      <c r="BU253" s="173"/>
      <c r="BV253" s="173"/>
      <c r="BW253" s="173"/>
      <c r="BX253" s="173"/>
      <c r="BY253" s="173"/>
    </row>
    <row r="254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3"/>
      <c r="AT254" s="173"/>
      <c r="AU254" s="173"/>
      <c r="AV254" s="173"/>
      <c r="AW254" s="173"/>
      <c r="AX254" s="173"/>
      <c r="AY254" s="173"/>
      <c r="AZ254" s="173"/>
      <c r="BA254" s="173"/>
      <c r="BB254" s="173"/>
      <c r="BC254" s="173"/>
      <c r="BD254" s="173"/>
      <c r="BE254" s="173"/>
      <c r="BF254" s="173"/>
      <c r="BG254" s="173"/>
      <c r="BH254" s="173"/>
      <c r="BI254" s="173"/>
      <c r="BJ254" s="173"/>
      <c r="BK254" s="173"/>
      <c r="BL254" s="173"/>
      <c r="BM254" s="173"/>
      <c r="BN254" s="173"/>
      <c r="BO254" s="173"/>
      <c r="BP254" s="173"/>
      <c r="BQ254" s="173"/>
      <c r="BR254" s="173"/>
      <c r="BS254" s="173"/>
      <c r="BT254" s="173"/>
      <c r="BU254" s="173"/>
      <c r="BV254" s="173"/>
      <c r="BW254" s="173"/>
      <c r="BX254" s="173"/>
      <c r="BY254" s="173"/>
    </row>
    <row r="255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3"/>
      <c r="AT255" s="173"/>
      <c r="AU255" s="173"/>
      <c r="AV255" s="173"/>
      <c r="AW255" s="173"/>
      <c r="AX255" s="173"/>
      <c r="AY255" s="173"/>
      <c r="AZ255" s="173"/>
      <c r="BA255" s="173"/>
      <c r="BB255" s="173"/>
      <c r="BC255" s="173"/>
      <c r="BD255" s="173"/>
      <c r="BE255" s="173"/>
      <c r="BF255" s="173"/>
      <c r="BG255" s="173"/>
      <c r="BH255" s="173"/>
      <c r="BI255" s="173"/>
      <c r="BJ255" s="173"/>
      <c r="BK255" s="173"/>
      <c r="BL255" s="173"/>
      <c r="BM255" s="173"/>
      <c r="BN255" s="173"/>
      <c r="BO255" s="173"/>
      <c r="BP255" s="173"/>
      <c r="BQ255" s="173"/>
      <c r="BR255" s="173"/>
      <c r="BS255" s="173"/>
      <c r="BT255" s="173"/>
      <c r="BU255" s="173"/>
      <c r="BV255" s="173"/>
      <c r="BW255" s="173"/>
      <c r="BX255" s="173"/>
      <c r="BY255" s="173"/>
    </row>
    <row r="256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3"/>
      <c r="AT256" s="173"/>
      <c r="AU256" s="173"/>
      <c r="AV256" s="173"/>
      <c r="AW256" s="173"/>
      <c r="AX256" s="173"/>
      <c r="AY256" s="173"/>
      <c r="AZ256" s="173"/>
      <c r="BA256" s="173"/>
      <c r="BB256" s="173"/>
      <c r="BC256" s="173"/>
      <c r="BD256" s="173"/>
      <c r="BE256" s="173"/>
      <c r="BF256" s="173"/>
      <c r="BG256" s="173"/>
      <c r="BH256" s="173"/>
      <c r="BI256" s="173"/>
      <c r="BJ256" s="173"/>
      <c r="BK256" s="173"/>
      <c r="BL256" s="173"/>
      <c r="BM256" s="173"/>
      <c r="BN256" s="173"/>
      <c r="BO256" s="173"/>
      <c r="BP256" s="173"/>
      <c r="BQ256" s="173"/>
      <c r="BR256" s="173"/>
      <c r="BS256" s="173"/>
      <c r="BT256" s="173"/>
      <c r="BU256" s="173"/>
      <c r="BV256" s="173"/>
      <c r="BW256" s="173"/>
      <c r="BX256" s="173"/>
      <c r="BY256" s="173"/>
    </row>
    <row r="257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3"/>
      <c r="AT257" s="173"/>
      <c r="AU257" s="173"/>
      <c r="AV257" s="173"/>
      <c r="AW257" s="173"/>
      <c r="AX257" s="173"/>
      <c r="AY257" s="173"/>
      <c r="AZ257" s="173"/>
      <c r="BA257" s="173"/>
      <c r="BB257" s="173"/>
      <c r="BC257" s="173"/>
      <c r="BD257" s="173"/>
      <c r="BE257" s="173"/>
      <c r="BF257" s="173"/>
      <c r="BG257" s="173"/>
      <c r="BH257" s="173"/>
      <c r="BI257" s="173"/>
      <c r="BJ257" s="173"/>
      <c r="BK257" s="173"/>
      <c r="BL257" s="173"/>
      <c r="BM257" s="173"/>
      <c r="BN257" s="173"/>
      <c r="BO257" s="173"/>
      <c r="BP257" s="173"/>
      <c r="BQ257" s="173"/>
      <c r="BR257" s="173"/>
      <c r="BS257" s="173"/>
      <c r="BT257" s="173"/>
      <c r="BU257" s="173"/>
      <c r="BV257" s="173"/>
      <c r="BW257" s="173"/>
      <c r="BX257" s="173"/>
      <c r="BY257" s="173"/>
    </row>
    <row r="258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3"/>
      <c r="AT258" s="173"/>
      <c r="AU258" s="173"/>
      <c r="AV258" s="173"/>
      <c r="AW258" s="173"/>
      <c r="AX258" s="173"/>
      <c r="AY258" s="173"/>
      <c r="AZ258" s="173"/>
      <c r="BA258" s="173"/>
      <c r="BB258" s="173"/>
      <c r="BC258" s="173"/>
      <c r="BD258" s="173"/>
      <c r="BE258" s="173"/>
      <c r="BF258" s="173"/>
      <c r="BG258" s="173"/>
      <c r="BH258" s="173"/>
      <c r="BI258" s="173"/>
      <c r="BJ258" s="173"/>
      <c r="BK258" s="173"/>
      <c r="BL258" s="173"/>
      <c r="BM258" s="173"/>
      <c r="BN258" s="173"/>
      <c r="BO258" s="173"/>
      <c r="BP258" s="173"/>
      <c r="BQ258" s="173"/>
      <c r="BR258" s="173"/>
      <c r="BS258" s="173"/>
      <c r="BT258" s="173"/>
      <c r="BU258" s="173"/>
      <c r="BV258" s="173"/>
      <c r="BW258" s="173"/>
      <c r="BX258" s="173"/>
      <c r="BY258" s="173"/>
    </row>
    <row r="259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3"/>
      <c r="AT259" s="173"/>
      <c r="AU259" s="173"/>
      <c r="AV259" s="173"/>
      <c r="AW259" s="173"/>
      <c r="AX259" s="173"/>
      <c r="AY259" s="173"/>
      <c r="AZ259" s="173"/>
      <c r="BA259" s="173"/>
      <c r="BB259" s="173"/>
      <c r="BC259" s="173"/>
      <c r="BD259" s="173"/>
      <c r="BE259" s="173"/>
      <c r="BF259" s="173"/>
      <c r="BG259" s="173"/>
      <c r="BH259" s="173"/>
      <c r="BI259" s="173"/>
      <c r="BJ259" s="173"/>
      <c r="BK259" s="173"/>
      <c r="BL259" s="173"/>
      <c r="BM259" s="173"/>
      <c r="BN259" s="173"/>
      <c r="BO259" s="173"/>
      <c r="BP259" s="173"/>
      <c r="BQ259" s="173"/>
      <c r="BR259" s="173"/>
      <c r="BS259" s="173"/>
      <c r="BT259" s="173"/>
      <c r="BU259" s="173"/>
      <c r="BV259" s="173"/>
      <c r="BW259" s="173"/>
      <c r="BX259" s="173"/>
      <c r="BY259" s="173"/>
    </row>
    <row r="260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3"/>
      <c r="AT260" s="173"/>
      <c r="AU260" s="173"/>
      <c r="AV260" s="173"/>
      <c r="AW260" s="173"/>
      <c r="AX260" s="173"/>
      <c r="AY260" s="173"/>
      <c r="AZ260" s="173"/>
      <c r="BA260" s="173"/>
      <c r="BB260" s="173"/>
      <c r="BC260" s="173"/>
      <c r="BD260" s="173"/>
      <c r="BE260" s="173"/>
      <c r="BF260" s="173"/>
      <c r="BG260" s="173"/>
      <c r="BH260" s="173"/>
      <c r="BI260" s="173"/>
      <c r="BJ260" s="173"/>
      <c r="BK260" s="173"/>
      <c r="BL260" s="173"/>
      <c r="BM260" s="173"/>
      <c r="BN260" s="173"/>
      <c r="BO260" s="173"/>
      <c r="BP260" s="173"/>
      <c r="BQ260" s="173"/>
      <c r="BR260" s="173"/>
      <c r="BS260" s="173"/>
      <c r="BT260" s="173"/>
      <c r="BU260" s="173"/>
      <c r="BV260" s="173"/>
      <c r="BW260" s="173"/>
      <c r="BX260" s="173"/>
      <c r="BY260" s="173"/>
    </row>
    <row r="261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3"/>
      <c r="AT261" s="173"/>
      <c r="AU261" s="173"/>
      <c r="AV261" s="173"/>
      <c r="AW261" s="173"/>
      <c r="AX261" s="173"/>
      <c r="AY261" s="173"/>
      <c r="AZ261" s="173"/>
      <c r="BA261" s="173"/>
      <c r="BB261" s="173"/>
      <c r="BC261" s="173"/>
      <c r="BD261" s="173"/>
      <c r="BE261" s="173"/>
      <c r="BF261" s="173"/>
      <c r="BG261" s="173"/>
      <c r="BH261" s="173"/>
      <c r="BI261" s="173"/>
      <c r="BJ261" s="173"/>
      <c r="BK261" s="173"/>
      <c r="BL261" s="173"/>
      <c r="BM261" s="173"/>
      <c r="BN261" s="173"/>
      <c r="BO261" s="173"/>
      <c r="BP261" s="173"/>
      <c r="BQ261" s="173"/>
      <c r="BR261" s="173"/>
      <c r="BS261" s="173"/>
      <c r="BT261" s="173"/>
      <c r="BU261" s="173"/>
      <c r="BV261" s="173"/>
      <c r="BW261" s="173"/>
      <c r="BX261" s="173"/>
      <c r="BY261" s="173"/>
    </row>
    <row r="262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3"/>
      <c r="AT262" s="173"/>
      <c r="AU262" s="173"/>
      <c r="AV262" s="173"/>
      <c r="AW262" s="173"/>
      <c r="AX262" s="173"/>
      <c r="AY262" s="173"/>
      <c r="AZ262" s="173"/>
      <c r="BA262" s="173"/>
      <c r="BB262" s="173"/>
      <c r="BC262" s="173"/>
      <c r="BD262" s="173"/>
      <c r="BE262" s="173"/>
      <c r="BF262" s="173"/>
      <c r="BG262" s="173"/>
      <c r="BH262" s="173"/>
      <c r="BI262" s="173"/>
      <c r="BJ262" s="173"/>
      <c r="BK262" s="173"/>
      <c r="BL262" s="173"/>
      <c r="BM262" s="173"/>
      <c r="BN262" s="173"/>
      <c r="BO262" s="173"/>
      <c r="BP262" s="173"/>
      <c r="BQ262" s="173"/>
      <c r="BR262" s="173"/>
      <c r="BS262" s="173"/>
      <c r="BT262" s="173"/>
      <c r="BU262" s="173"/>
      <c r="BV262" s="173"/>
      <c r="BW262" s="173"/>
      <c r="BX262" s="173"/>
      <c r="BY262" s="173"/>
    </row>
    <row r="263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3"/>
      <c r="AT263" s="173"/>
      <c r="AU263" s="173"/>
      <c r="AV263" s="173"/>
      <c r="AW263" s="173"/>
      <c r="AX263" s="173"/>
      <c r="AY263" s="173"/>
      <c r="AZ263" s="173"/>
      <c r="BA263" s="173"/>
      <c r="BB263" s="173"/>
      <c r="BC263" s="173"/>
      <c r="BD263" s="173"/>
      <c r="BE263" s="173"/>
      <c r="BF263" s="173"/>
      <c r="BG263" s="173"/>
      <c r="BH263" s="173"/>
      <c r="BI263" s="173"/>
      <c r="BJ263" s="173"/>
      <c r="BK263" s="173"/>
      <c r="BL263" s="173"/>
      <c r="BM263" s="173"/>
      <c r="BN263" s="173"/>
      <c r="BO263" s="173"/>
      <c r="BP263" s="173"/>
      <c r="BQ263" s="173"/>
      <c r="BR263" s="173"/>
      <c r="BS263" s="173"/>
      <c r="BT263" s="173"/>
      <c r="BU263" s="173"/>
      <c r="BV263" s="173"/>
      <c r="BW263" s="173"/>
      <c r="BX263" s="173"/>
      <c r="BY263" s="173"/>
    </row>
    <row r="264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3"/>
      <c r="AT264" s="173"/>
      <c r="AU264" s="173"/>
      <c r="AV264" s="173"/>
      <c r="AW264" s="173"/>
      <c r="AX264" s="173"/>
      <c r="AY264" s="173"/>
      <c r="AZ264" s="173"/>
      <c r="BA264" s="173"/>
      <c r="BB264" s="173"/>
      <c r="BC264" s="173"/>
      <c r="BD264" s="173"/>
      <c r="BE264" s="173"/>
      <c r="BF264" s="173"/>
      <c r="BG264" s="173"/>
      <c r="BH264" s="173"/>
      <c r="BI264" s="173"/>
      <c r="BJ264" s="173"/>
      <c r="BK264" s="173"/>
      <c r="BL264" s="173"/>
      <c r="BM264" s="173"/>
      <c r="BN264" s="173"/>
      <c r="BO264" s="173"/>
      <c r="BP264" s="173"/>
      <c r="BQ264" s="173"/>
      <c r="BR264" s="173"/>
      <c r="BS264" s="173"/>
      <c r="BT264" s="173"/>
      <c r="BU264" s="173"/>
      <c r="BV264" s="173"/>
      <c r="BW264" s="173"/>
      <c r="BX264" s="173"/>
      <c r="BY264" s="173"/>
    </row>
    <row r="265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3"/>
      <c r="AT265" s="173"/>
      <c r="AU265" s="173"/>
      <c r="AV265" s="173"/>
      <c r="AW265" s="173"/>
      <c r="AX265" s="173"/>
      <c r="AY265" s="173"/>
      <c r="AZ265" s="173"/>
      <c r="BA265" s="173"/>
      <c r="BB265" s="173"/>
      <c r="BC265" s="173"/>
      <c r="BD265" s="173"/>
      <c r="BE265" s="173"/>
      <c r="BF265" s="173"/>
      <c r="BG265" s="173"/>
      <c r="BH265" s="173"/>
      <c r="BI265" s="173"/>
      <c r="BJ265" s="173"/>
      <c r="BK265" s="173"/>
      <c r="BL265" s="173"/>
      <c r="BM265" s="173"/>
      <c r="BN265" s="173"/>
      <c r="BO265" s="173"/>
      <c r="BP265" s="173"/>
      <c r="BQ265" s="173"/>
      <c r="BR265" s="173"/>
      <c r="BS265" s="173"/>
      <c r="BT265" s="173"/>
      <c r="BU265" s="173"/>
      <c r="BV265" s="173"/>
      <c r="BW265" s="173"/>
      <c r="BX265" s="173"/>
      <c r="BY265" s="173"/>
    </row>
    <row r="266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3"/>
      <c r="AT266" s="173"/>
      <c r="AU266" s="173"/>
      <c r="AV266" s="173"/>
      <c r="AW266" s="173"/>
      <c r="AX266" s="173"/>
      <c r="AY266" s="173"/>
      <c r="AZ266" s="173"/>
      <c r="BA266" s="173"/>
      <c r="BB266" s="173"/>
      <c r="BC266" s="173"/>
      <c r="BD266" s="173"/>
      <c r="BE266" s="173"/>
      <c r="BF266" s="173"/>
      <c r="BG266" s="173"/>
      <c r="BH266" s="173"/>
      <c r="BI266" s="173"/>
      <c r="BJ266" s="173"/>
      <c r="BK266" s="173"/>
      <c r="BL266" s="173"/>
      <c r="BM266" s="173"/>
      <c r="BN266" s="173"/>
      <c r="BO266" s="173"/>
      <c r="BP266" s="173"/>
      <c r="BQ266" s="173"/>
      <c r="BR266" s="173"/>
      <c r="BS266" s="173"/>
      <c r="BT266" s="173"/>
      <c r="BU266" s="173"/>
      <c r="BV266" s="173"/>
      <c r="BW266" s="173"/>
      <c r="BX266" s="173"/>
      <c r="BY266" s="173"/>
    </row>
    <row r="267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3"/>
      <c r="AT267" s="173"/>
      <c r="AU267" s="173"/>
      <c r="AV267" s="173"/>
      <c r="AW267" s="173"/>
      <c r="AX267" s="173"/>
      <c r="AY267" s="173"/>
      <c r="AZ267" s="173"/>
      <c r="BA267" s="173"/>
      <c r="BB267" s="173"/>
      <c r="BC267" s="173"/>
      <c r="BD267" s="173"/>
      <c r="BE267" s="173"/>
      <c r="BF267" s="173"/>
      <c r="BG267" s="173"/>
      <c r="BH267" s="173"/>
      <c r="BI267" s="173"/>
      <c r="BJ267" s="173"/>
      <c r="BK267" s="173"/>
      <c r="BL267" s="173"/>
      <c r="BM267" s="173"/>
      <c r="BN267" s="173"/>
      <c r="BO267" s="173"/>
      <c r="BP267" s="173"/>
      <c r="BQ267" s="173"/>
      <c r="BR267" s="173"/>
      <c r="BS267" s="173"/>
      <c r="BT267" s="173"/>
      <c r="BU267" s="173"/>
      <c r="BV267" s="173"/>
      <c r="BW267" s="173"/>
      <c r="BX267" s="173"/>
      <c r="BY267" s="173"/>
    </row>
    <row r="268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3"/>
      <c r="AT268" s="173"/>
      <c r="AU268" s="173"/>
      <c r="AV268" s="173"/>
      <c r="AW268" s="173"/>
      <c r="AX268" s="173"/>
      <c r="AY268" s="173"/>
      <c r="AZ268" s="173"/>
      <c r="BA268" s="173"/>
      <c r="BB268" s="173"/>
      <c r="BC268" s="173"/>
      <c r="BD268" s="173"/>
      <c r="BE268" s="173"/>
      <c r="BF268" s="173"/>
      <c r="BG268" s="173"/>
      <c r="BH268" s="173"/>
      <c r="BI268" s="173"/>
      <c r="BJ268" s="173"/>
      <c r="BK268" s="173"/>
      <c r="BL268" s="173"/>
      <c r="BM268" s="173"/>
      <c r="BN268" s="173"/>
      <c r="BO268" s="173"/>
      <c r="BP268" s="173"/>
      <c r="BQ268" s="173"/>
      <c r="BR268" s="173"/>
      <c r="BS268" s="173"/>
      <c r="BT268" s="173"/>
      <c r="BU268" s="173"/>
      <c r="BV268" s="173"/>
      <c r="BW268" s="173"/>
      <c r="BX268" s="173"/>
      <c r="BY268" s="173"/>
    </row>
    <row r="269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3"/>
      <c r="AT269" s="173"/>
      <c r="AU269" s="173"/>
      <c r="AV269" s="173"/>
      <c r="AW269" s="173"/>
      <c r="AX269" s="173"/>
      <c r="AY269" s="173"/>
      <c r="AZ269" s="173"/>
      <c r="BA269" s="173"/>
      <c r="BB269" s="173"/>
      <c r="BC269" s="173"/>
      <c r="BD269" s="173"/>
      <c r="BE269" s="173"/>
      <c r="BF269" s="173"/>
      <c r="BG269" s="173"/>
      <c r="BH269" s="173"/>
      <c r="BI269" s="173"/>
      <c r="BJ269" s="173"/>
      <c r="BK269" s="173"/>
      <c r="BL269" s="173"/>
      <c r="BM269" s="173"/>
      <c r="BN269" s="173"/>
      <c r="BO269" s="173"/>
      <c r="BP269" s="173"/>
      <c r="BQ269" s="173"/>
      <c r="BR269" s="173"/>
      <c r="BS269" s="173"/>
      <c r="BT269" s="173"/>
      <c r="BU269" s="173"/>
      <c r="BV269" s="173"/>
      <c r="BW269" s="173"/>
      <c r="BX269" s="173"/>
      <c r="BY269" s="173"/>
    </row>
    <row r="270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3"/>
      <c r="AT270" s="173"/>
      <c r="AU270" s="173"/>
      <c r="AV270" s="173"/>
      <c r="AW270" s="173"/>
      <c r="AX270" s="173"/>
      <c r="AY270" s="173"/>
      <c r="AZ270" s="173"/>
      <c r="BA270" s="173"/>
      <c r="BB270" s="173"/>
      <c r="BC270" s="173"/>
      <c r="BD270" s="173"/>
      <c r="BE270" s="173"/>
      <c r="BF270" s="173"/>
      <c r="BG270" s="173"/>
      <c r="BH270" s="173"/>
      <c r="BI270" s="173"/>
      <c r="BJ270" s="173"/>
      <c r="BK270" s="173"/>
      <c r="BL270" s="173"/>
      <c r="BM270" s="173"/>
      <c r="BN270" s="173"/>
      <c r="BO270" s="173"/>
      <c r="BP270" s="173"/>
      <c r="BQ270" s="173"/>
      <c r="BR270" s="173"/>
      <c r="BS270" s="173"/>
      <c r="BT270" s="173"/>
      <c r="BU270" s="173"/>
      <c r="BV270" s="173"/>
      <c r="BW270" s="173"/>
      <c r="BX270" s="173"/>
      <c r="BY270" s="173"/>
    </row>
    <row r="271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3"/>
      <c r="AT271" s="173"/>
      <c r="AU271" s="173"/>
      <c r="AV271" s="173"/>
      <c r="AW271" s="173"/>
      <c r="AX271" s="173"/>
      <c r="AY271" s="173"/>
      <c r="AZ271" s="173"/>
      <c r="BA271" s="173"/>
      <c r="BB271" s="173"/>
      <c r="BC271" s="173"/>
      <c r="BD271" s="173"/>
      <c r="BE271" s="173"/>
      <c r="BF271" s="173"/>
      <c r="BG271" s="173"/>
      <c r="BH271" s="173"/>
      <c r="BI271" s="173"/>
      <c r="BJ271" s="173"/>
      <c r="BK271" s="173"/>
      <c r="BL271" s="173"/>
      <c r="BM271" s="173"/>
      <c r="BN271" s="173"/>
      <c r="BO271" s="173"/>
      <c r="BP271" s="173"/>
      <c r="BQ271" s="173"/>
      <c r="BR271" s="173"/>
      <c r="BS271" s="173"/>
      <c r="BT271" s="173"/>
      <c r="BU271" s="173"/>
      <c r="BV271" s="173"/>
      <c r="BW271" s="173"/>
      <c r="BX271" s="173"/>
      <c r="BY271" s="173"/>
    </row>
    <row r="272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3"/>
      <c r="AT272" s="173"/>
      <c r="AU272" s="173"/>
      <c r="AV272" s="173"/>
      <c r="AW272" s="173"/>
      <c r="AX272" s="173"/>
      <c r="AY272" s="173"/>
      <c r="AZ272" s="173"/>
      <c r="BA272" s="173"/>
      <c r="BB272" s="173"/>
      <c r="BC272" s="173"/>
      <c r="BD272" s="173"/>
      <c r="BE272" s="173"/>
      <c r="BF272" s="173"/>
      <c r="BG272" s="173"/>
      <c r="BH272" s="173"/>
      <c r="BI272" s="173"/>
      <c r="BJ272" s="173"/>
      <c r="BK272" s="173"/>
      <c r="BL272" s="173"/>
      <c r="BM272" s="173"/>
      <c r="BN272" s="173"/>
      <c r="BO272" s="173"/>
      <c r="BP272" s="173"/>
      <c r="BQ272" s="173"/>
      <c r="BR272" s="173"/>
      <c r="BS272" s="173"/>
      <c r="BT272" s="173"/>
      <c r="BU272" s="173"/>
      <c r="BV272" s="173"/>
      <c r="BW272" s="173"/>
      <c r="BX272" s="173"/>
      <c r="BY272" s="173"/>
    </row>
    <row r="273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3"/>
      <c r="AT273" s="173"/>
      <c r="AU273" s="173"/>
      <c r="AV273" s="173"/>
      <c r="AW273" s="173"/>
      <c r="AX273" s="173"/>
      <c r="AY273" s="173"/>
      <c r="AZ273" s="173"/>
      <c r="BA273" s="173"/>
      <c r="BB273" s="173"/>
      <c r="BC273" s="173"/>
      <c r="BD273" s="173"/>
      <c r="BE273" s="173"/>
      <c r="BF273" s="173"/>
      <c r="BG273" s="173"/>
      <c r="BH273" s="173"/>
      <c r="BI273" s="173"/>
      <c r="BJ273" s="173"/>
      <c r="BK273" s="173"/>
      <c r="BL273" s="173"/>
      <c r="BM273" s="173"/>
      <c r="BN273" s="173"/>
      <c r="BO273" s="173"/>
      <c r="BP273" s="173"/>
      <c r="BQ273" s="173"/>
      <c r="BR273" s="173"/>
      <c r="BS273" s="173"/>
      <c r="BT273" s="173"/>
      <c r="BU273" s="173"/>
      <c r="BV273" s="173"/>
      <c r="BW273" s="173"/>
      <c r="BX273" s="173"/>
      <c r="BY273" s="173"/>
    </row>
    <row r="274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3"/>
      <c r="AT274" s="173"/>
      <c r="AU274" s="173"/>
      <c r="AV274" s="173"/>
      <c r="AW274" s="173"/>
      <c r="AX274" s="173"/>
      <c r="AY274" s="173"/>
      <c r="AZ274" s="173"/>
      <c r="BA274" s="173"/>
      <c r="BB274" s="173"/>
      <c r="BC274" s="173"/>
      <c r="BD274" s="173"/>
      <c r="BE274" s="173"/>
      <c r="BF274" s="173"/>
      <c r="BG274" s="173"/>
      <c r="BH274" s="173"/>
      <c r="BI274" s="173"/>
      <c r="BJ274" s="173"/>
      <c r="BK274" s="173"/>
      <c r="BL274" s="173"/>
      <c r="BM274" s="173"/>
      <c r="BN274" s="173"/>
      <c r="BO274" s="173"/>
      <c r="BP274" s="173"/>
      <c r="BQ274" s="173"/>
      <c r="BR274" s="173"/>
      <c r="BS274" s="173"/>
      <c r="BT274" s="173"/>
      <c r="BU274" s="173"/>
      <c r="BV274" s="173"/>
      <c r="BW274" s="173"/>
      <c r="BX274" s="173"/>
      <c r="BY274" s="173"/>
    </row>
    <row r="275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3"/>
      <c r="AT275" s="173"/>
      <c r="AU275" s="173"/>
      <c r="AV275" s="173"/>
      <c r="AW275" s="173"/>
      <c r="AX275" s="173"/>
      <c r="AY275" s="173"/>
      <c r="AZ275" s="173"/>
      <c r="BA275" s="173"/>
      <c r="BB275" s="173"/>
      <c r="BC275" s="173"/>
      <c r="BD275" s="173"/>
      <c r="BE275" s="173"/>
      <c r="BF275" s="173"/>
      <c r="BG275" s="173"/>
      <c r="BH275" s="173"/>
      <c r="BI275" s="173"/>
      <c r="BJ275" s="173"/>
      <c r="BK275" s="173"/>
      <c r="BL275" s="173"/>
      <c r="BM275" s="173"/>
      <c r="BN275" s="173"/>
      <c r="BO275" s="173"/>
      <c r="BP275" s="173"/>
      <c r="BQ275" s="173"/>
      <c r="BR275" s="173"/>
      <c r="BS275" s="173"/>
      <c r="BT275" s="173"/>
      <c r="BU275" s="173"/>
      <c r="BV275" s="173"/>
      <c r="BW275" s="173"/>
      <c r="BX275" s="173"/>
      <c r="BY275" s="173"/>
    </row>
    <row r="276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3"/>
      <c r="AT276" s="173"/>
      <c r="AU276" s="173"/>
      <c r="AV276" s="173"/>
      <c r="AW276" s="173"/>
      <c r="AX276" s="173"/>
      <c r="AY276" s="173"/>
      <c r="AZ276" s="173"/>
      <c r="BA276" s="173"/>
      <c r="BB276" s="173"/>
      <c r="BC276" s="173"/>
      <c r="BD276" s="173"/>
      <c r="BE276" s="173"/>
      <c r="BF276" s="173"/>
      <c r="BG276" s="173"/>
      <c r="BH276" s="173"/>
      <c r="BI276" s="173"/>
      <c r="BJ276" s="173"/>
      <c r="BK276" s="173"/>
      <c r="BL276" s="173"/>
      <c r="BM276" s="173"/>
      <c r="BN276" s="173"/>
      <c r="BO276" s="173"/>
      <c r="BP276" s="173"/>
      <c r="BQ276" s="173"/>
      <c r="BR276" s="173"/>
      <c r="BS276" s="173"/>
      <c r="BT276" s="173"/>
      <c r="BU276" s="173"/>
      <c r="BV276" s="173"/>
      <c r="BW276" s="173"/>
      <c r="BX276" s="173"/>
      <c r="BY276" s="173"/>
    </row>
    <row r="277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3"/>
      <c r="AT277" s="173"/>
      <c r="AU277" s="173"/>
      <c r="AV277" s="173"/>
      <c r="AW277" s="173"/>
      <c r="AX277" s="173"/>
      <c r="AY277" s="173"/>
      <c r="AZ277" s="173"/>
      <c r="BA277" s="173"/>
      <c r="BB277" s="173"/>
      <c r="BC277" s="173"/>
      <c r="BD277" s="173"/>
      <c r="BE277" s="173"/>
      <c r="BF277" s="173"/>
      <c r="BG277" s="173"/>
      <c r="BH277" s="173"/>
      <c r="BI277" s="173"/>
      <c r="BJ277" s="173"/>
      <c r="BK277" s="173"/>
      <c r="BL277" s="173"/>
      <c r="BM277" s="173"/>
      <c r="BN277" s="173"/>
      <c r="BO277" s="173"/>
      <c r="BP277" s="173"/>
      <c r="BQ277" s="173"/>
      <c r="BR277" s="173"/>
      <c r="BS277" s="173"/>
      <c r="BT277" s="173"/>
      <c r="BU277" s="173"/>
      <c r="BV277" s="173"/>
      <c r="BW277" s="173"/>
      <c r="BX277" s="173"/>
      <c r="BY277" s="173"/>
    </row>
    <row r="278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3"/>
      <c r="AT278" s="173"/>
      <c r="AU278" s="173"/>
      <c r="AV278" s="173"/>
      <c r="AW278" s="173"/>
      <c r="AX278" s="173"/>
      <c r="AY278" s="173"/>
      <c r="AZ278" s="173"/>
      <c r="BA278" s="173"/>
      <c r="BB278" s="173"/>
      <c r="BC278" s="173"/>
      <c r="BD278" s="173"/>
      <c r="BE278" s="173"/>
      <c r="BF278" s="173"/>
      <c r="BG278" s="173"/>
      <c r="BH278" s="173"/>
      <c r="BI278" s="173"/>
      <c r="BJ278" s="173"/>
      <c r="BK278" s="173"/>
      <c r="BL278" s="173"/>
      <c r="BM278" s="173"/>
      <c r="BN278" s="173"/>
      <c r="BO278" s="173"/>
      <c r="BP278" s="173"/>
      <c r="BQ278" s="173"/>
      <c r="BR278" s="173"/>
      <c r="BS278" s="173"/>
      <c r="BT278" s="173"/>
      <c r="BU278" s="173"/>
      <c r="BV278" s="173"/>
      <c r="BW278" s="173"/>
      <c r="BX278" s="173"/>
      <c r="BY278" s="173"/>
    </row>
    <row r="279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3"/>
      <c r="AT279" s="173"/>
      <c r="AU279" s="173"/>
      <c r="AV279" s="173"/>
      <c r="AW279" s="173"/>
      <c r="AX279" s="173"/>
      <c r="AY279" s="173"/>
      <c r="AZ279" s="173"/>
      <c r="BA279" s="173"/>
      <c r="BB279" s="173"/>
      <c r="BC279" s="173"/>
      <c r="BD279" s="173"/>
      <c r="BE279" s="173"/>
      <c r="BF279" s="173"/>
      <c r="BG279" s="173"/>
      <c r="BH279" s="173"/>
      <c r="BI279" s="173"/>
      <c r="BJ279" s="173"/>
      <c r="BK279" s="173"/>
      <c r="BL279" s="173"/>
      <c r="BM279" s="173"/>
      <c r="BN279" s="173"/>
      <c r="BO279" s="173"/>
      <c r="BP279" s="173"/>
      <c r="BQ279" s="173"/>
      <c r="BR279" s="173"/>
      <c r="BS279" s="173"/>
      <c r="BT279" s="173"/>
      <c r="BU279" s="173"/>
      <c r="BV279" s="173"/>
      <c r="BW279" s="173"/>
      <c r="BX279" s="173"/>
      <c r="BY279" s="173"/>
    </row>
    <row r="280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3"/>
      <c r="AT280" s="173"/>
      <c r="AU280" s="173"/>
      <c r="AV280" s="173"/>
      <c r="AW280" s="173"/>
      <c r="AX280" s="173"/>
      <c r="AY280" s="173"/>
      <c r="AZ280" s="173"/>
      <c r="BA280" s="173"/>
      <c r="BB280" s="173"/>
      <c r="BC280" s="173"/>
      <c r="BD280" s="173"/>
      <c r="BE280" s="173"/>
      <c r="BF280" s="173"/>
      <c r="BG280" s="173"/>
      <c r="BH280" s="173"/>
      <c r="BI280" s="173"/>
      <c r="BJ280" s="173"/>
      <c r="BK280" s="173"/>
      <c r="BL280" s="173"/>
      <c r="BM280" s="173"/>
      <c r="BN280" s="173"/>
      <c r="BO280" s="173"/>
      <c r="BP280" s="173"/>
      <c r="BQ280" s="173"/>
      <c r="BR280" s="173"/>
      <c r="BS280" s="173"/>
      <c r="BT280" s="173"/>
      <c r="BU280" s="173"/>
      <c r="BV280" s="173"/>
      <c r="BW280" s="173"/>
      <c r="BX280" s="173"/>
      <c r="BY280" s="173"/>
    </row>
    <row r="281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3"/>
      <c r="AT281" s="173"/>
      <c r="AU281" s="173"/>
      <c r="AV281" s="173"/>
      <c r="AW281" s="173"/>
      <c r="AX281" s="173"/>
      <c r="AY281" s="173"/>
      <c r="AZ281" s="173"/>
      <c r="BA281" s="173"/>
      <c r="BB281" s="173"/>
      <c r="BC281" s="173"/>
      <c r="BD281" s="173"/>
      <c r="BE281" s="173"/>
      <c r="BF281" s="173"/>
      <c r="BG281" s="173"/>
      <c r="BH281" s="173"/>
      <c r="BI281" s="173"/>
      <c r="BJ281" s="173"/>
      <c r="BK281" s="173"/>
      <c r="BL281" s="173"/>
      <c r="BM281" s="173"/>
      <c r="BN281" s="173"/>
      <c r="BO281" s="173"/>
      <c r="BP281" s="173"/>
      <c r="BQ281" s="173"/>
      <c r="BR281" s="173"/>
      <c r="BS281" s="173"/>
      <c r="BT281" s="173"/>
      <c r="BU281" s="173"/>
      <c r="BV281" s="173"/>
      <c r="BW281" s="173"/>
      <c r="BX281" s="173"/>
      <c r="BY281" s="173"/>
    </row>
    <row r="282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3"/>
      <c r="AT282" s="173"/>
      <c r="AU282" s="173"/>
      <c r="AV282" s="173"/>
      <c r="AW282" s="173"/>
      <c r="AX282" s="173"/>
      <c r="AY282" s="173"/>
      <c r="AZ282" s="173"/>
      <c r="BA282" s="173"/>
      <c r="BB282" s="173"/>
      <c r="BC282" s="173"/>
      <c r="BD282" s="173"/>
      <c r="BE282" s="173"/>
      <c r="BF282" s="173"/>
      <c r="BG282" s="173"/>
      <c r="BH282" s="173"/>
      <c r="BI282" s="173"/>
      <c r="BJ282" s="173"/>
      <c r="BK282" s="173"/>
      <c r="BL282" s="173"/>
      <c r="BM282" s="173"/>
      <c r="BN282" s="173"/>
      <c r="BO282" s="173"/>
      <c r="BP282" s="173"/>
      <c r="BQ282" s="173"/>
      <c r="BR282" s="173"/>
      <c r="BS282" s="173"/>
      <c r="BT282" s="173"/>
      <c r="BU282" s="173"/>
      <c r="BV282" s="173"/>
      <c r="BW282" s="173"/>
      <c r="BX282" s="173"/>
      <c r="BY282" s="173"/>
    </row>
    <row r="283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3"/>
      <c r="AT283" s="173"/>
      <c r="AU283" s="173"/>
      <c r="AV283" s="173"/>
      <c r="AW283" s="173"/>
      <c r="AX283" s="173"/>
      <c r="AY283" s="173"/>
      <c r="AZ283" s="173"/>
      <c r="BA283" s="173"/>
      <c r="BB283" s="173"/>
      <c r="BC283" s="173"/>
      <c r="BD283" s="173"/>
      <c r="BE283" s="173"/>
      <c r="BF283" s="173"/>
      <c r="BG283" s="173"/>
      <c r="BH283" s="173"/>
      <c r="BI283" s="173"/>
      <c r="BJ283" s="173"/>
      <c r="BK283" s="173"/>
      <c r="BL283" s="173"/>
      <c r="BM283" s="173"/>
      <c r="BN283" s="173"/>
      <c r="BO283" s="173"/>
      <c r="BP283" s="173"/>
      <c r="BQ283" s="173"/>
      <c r="BR283" s="173"/>
      <c r="BS283" s="173"/>
      <c r="BT283" s="173"/>
      <c r="BU283" s="173"/>
      <c r="BV283" s="173"/>
      <c r="BW283" s="173"/>
      <c r="BX283" s="173"/>
      <c r="BY283" s="173"/>
    </row>
    <row r="284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3"/>
      <c r="AT284" s="173"/>
      <c r="AU284" s="173"/>
      <c r="AV284" s="173"/>
      <c r="AW284" s="173"/>
      <c r="AX284" s="173"/>
      <c r="AY284" s="173"/>
      <c r="AZ284" s="173"/>
      <c r="BA284" s="173"/>
      <c r="BB284" s="173"/>
      <c r="BC284" s="173"/>
      <c r="BD284" s="173"/>
      <c r="BE284" s="173"/>
      <c r="BF284" s="173"/>
      <c r="BG284" s="173"/>
      <c r="BH284" s="173"/>
      <c r="BI284" s="173"/>
      <c r="BJ284" s="173"/>
      <c r="BK284" s="173"/>
      <c r="BL284" s="173"/>
      <c r="BM284" s="173"/>
      <c r="BN284" s="173"/>
      <c r="BO284" s="173"/>
      <c r="BP284" s="173"/>
      <c r="BQ284" s="173"/>
      <c r="BR284" s="173"/>
      <c r="BS284" s="173"/>
      <c r="BT284" s="173"/>
      <c r="BU284" s="173"/>
      <c r="BV284" s="173"/>
      <c r="BW284" s="173"/>
      <c r="BX284" s="173"/>
      <c r="BY284" s="173"/>
    </row>
    <row r="285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3"/>
      <c r="AT285" s="173"/>
      <c r="AU285" s="173"/>
      <c r="AV285" s="173"/>
      <c r="AW285" s="173"/>
      <c r="AX285" s="173"/>
      <c r="AY285" s="173"/>
      <c r="AZ285" s="173"/>
      <c r="BA285" s="173"/>
      <c r="BB285" s="173"/>
      <c r="BC285" s="173"/>
      <c r="BD285" s="173"/>
      <c r="BE285" s="173"/>
      <c r="BF285" s="173"/>
      <c r="BG285" s="173"/>
      <c r="BH285" s="173"/>
      <c r="BI285" s="173"/>
      <c r="BJ285" s="173"/>
      <c r="BK285" s="173"/>
      <c r="BL285" s="173"/>
      <c r="BM285" s="173"/>
      <c r="BN285" s="173"/>
      <c r="BO285" s="173"/>
      <c r="BP285" s="173"/>
      <c r="BQ285" s="173"/>
      <c r="BR285" s="173"/>
      <c r="BS285" s="173"/>
      <c r="BT285" s="173"/>
      <c r="BU285" s="173"/>
      <c r="BV285" s="173"/>
      <c r="BW285" s="173"/>
      <c r="BX285" s="173"/>
      <c r="BY285" s="173"/>
    </row>
    <row r="286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3"/>
      <c r="AT286" s="173"/>
      <c r="AU286" s="173"/>
      <c r="AV286" s="173"/>
      <c r="AW286" s="173"/>
      <c r="AX286" s="173"/>
      <c r="AY286" s="173"/>
      <c r="AZ286" s="173"/>
      <c r="BA286" s="173"/>
      <c r="BB286" s="173"/>
      <c r="BC286" s="173"/>
      <c r="BD286" s="173"/>
      <c r="BE286" s="173"/>
      <c r="BF286" s="173"/>
      <c r="BG286" s="173"/>
      <c r="BH286" s="173"/>
      <c r="BI286" s="173"/>
      <c r="BJ286" s="173"/>
      <c r="BK286" s="173"/>
      <c r="BL286" s="173"/>
      <c r="BM286" s="173"/>
      <c r="BN286" s="173"/>
      <c r="BO286" s="173"/>
      <c r="BP286" s="173"/>
      <c r="BQ286" s="173"/>
      <c r="BR286" s="173"/>
      <c r="BS286" s="173"/>
      <c r="BT286" s="173"/>
      <c r="BU286" s="173"/>
      <c r="BV286" s="173"/>
      <c r="BW286" s="173"/>
      <c r="BX286" s="173"/>
      <c r="BY286" s="173"/>
    </row>
    <row r="287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3"/>
      <c r="AT287" s="173"/>
      <c r="AU287" s="173"/>
      <c r="AV287" s="173"/>
      <c r="AW287" s="173"/>
      <c r="AX287" s="173"/>
      <c r="AY287" s="173"/>
      <c r="AZ287" s="173"/>
      <c r="BA287" s="173"/>
      <c r="BB287" s="173"/>
      <c r="BC287" s="173"/>
      <c r="BD287" s="173"/>
      <c r="BE287" s="173"/>
      <c r="BF287" s="173"/>
      <c r="BG287" s="173"/>
      <c r="BH287" s="173"/>
      <c r="BI287" s="173"/>
      <c r="BJ287" s="173"/>
      <c r="BK287" s="173"/>
      <c r="BL287" s="173"/>
      <c r="BM287" s="173"/>
      <c r="BN287" s="173"/>
      <c r="BO287" s="173"/>
      <c r="BP287" s="173"/>
      <c r="BQ287" s="173"/>
      <c r="BR287" s="173"/>
      <c r="BS287" s="173"/>
      <c r="BT287" s="173"/>
      <c r="BU287" s="173"/>
      <c r="BV287" s="173"/>
      <c r="BW287" s="173"/>
      <c r="BX287" s="173"/>
      <c r="BY287" s="173"/>
    </row>
    <row r="288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3"/>
      <c r="AT288" s="173"/>
      <c r="AU288" s="173"/>
      <c r="AV288" s="173"/>
      <c r="AW288" s="173"/>
      <c r="AX288" s="173"/>
      <c r="AY288" s="173"/>
      <c r="AZ288" s="173"/>
      <c r="BA288" s="173"/>
      <c r="BB288" s="173"/>
      <c r="BC288" s="173"/>
      <c r="BD288" s="173"/>
      <c r="BE288" s="173"/>
      <c r="BF288" s="173"/>
      <c r="BG288" s="173"/>
      <c r="BH288" s="173"/>
      <c r="BI288" s="173"/>
      <c r="BJ288" s="173"/>
      <c r="BK288" s="173"/>
      <c r="BL288" s="173"/>
      <c r="BM288" s="173"/>
      <c r="BN288" s="173"/>
      <c r="BO288" s="173"/>
      <c r="BP288" s="173"/>
      <c r="BQ288" s="173"/>
      <c r="BR288" s="173"/>
      <c r="BS288" s="173"/>
      <c r="BT288" s="173"/>
      <c r="BU288" s="173"/>
      <c r="BV288" s="173"/>
      <c r="BW288" s="173"/>
      <c r="BX288" s="173"/>
      <c r="BY288" s="173"/>
    </row>
    <row r="289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3"/>
      <c r="AT289" s="173"/>
      <c r="AU289" s="173"/>
      <c r="AV289" s="173"/>
      <c r="AW289" s="173"/>
      <c r="AX289" s="173"/>
      <c r="AY289" s="173"/>
      <c r="AZ289" s="173"/>
      <c r="BA289" s="173"/>
      <c r="BB289" s="173"/>
      <c r="BC289" s="173"/>
      <c r="BD289" s="173"/>
      <c r="BE289" s="173"/>
      <c r="BF289" s="173"/>
      <c r="BG289" s="173"/>
      <c r="BH289" s="173"/>
      <c r="BI289" s="173"/>
      <c r="BJ289" s="173"/>
      <c r="BK289" s="173"/>
      <c r="BL289" s="173"/>
      <c r="BM289" s="173"/>
      <c r="BN289" s="173"/>
      <c r="BO289" s="173"/>
      <c r="BP289" s="173"/>
      <c r="BQ289" s="173"/>
      <c r="BR289" s="173"/>
      <c r="BS289" s="173"/>
      <c r="BT289" s="173"/>
      <c r="BU289" s="173"/>
      <c r="BV289" s="173"/>
      <c r="BW289" s="173"/>
      <c r="BX289" s="173"/>
      <c r="BY289" s="173"/>
    </row>
    <row r="290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3"/>
      <c r="AT290" s="173"/>
      <c r="AU290" s="173"/>
      <c r="AV290" s="173"/>
      <c r="AW290" s="173"/>
      <c r="AX290" s="173"/>
      <c r="AY290" s="173"/>
      <c r="AZ290" s="173"/>
      <c r="BA290" s="173"/>
      <c r="BB290" s="173"/>
      <c r="BC290" s="173"/>
      <c r="BD290" s="173"/>
      <c r="BE290" s="173"/>
      <c r="BF290" s="173"/>
      <c r="BG290" s="173"/>
      <c r="BH290" s="173"/>
      <c r="BI290" s="173"/>
      <c r="BJ290" s="173"/>
      <c r="BK290" s="173"/>
      <c r="BL290" s="173"/>
      <c r="BM290" s="173"/>
      <c r="BN290" s="173"/>
      <c r="BO290" s="173"/>
      <c r="BP290" s="173"/>
      <c r="BQ290" s="173"/>
      <c r="BR290" s="173"/>
      <c r="BS290" s="173"/>
      <c r="BT290" s="173"/>
      <c r="BU290" s="173"/>
      <c r="BV290" s="173"/>
      <c r="BW290" s="173"/>
      <c r="BX290" s="173"/>
      <c r="BY290" s="173"/>
    </row>
    <row r="291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3"/>
      <c r="AT291" s="173"/>
      <c r="AU291" s="173"/>
      <c r="AV291" s="173"/>
      <c r="AW291" s="173"/>
      <c r="AX291" s="173"/>
      <c r="AY291" s="173"/>
      <c r="AZ291" s="173"/>
      <c r="BA291" s="173"/>
      <c r="BB291" s="173"/>
      <c r="BC291" s="173"/>
      <c r="BD291" s="173"/>
      <c r="BE291" s="173"/>
      <c r="BF291" s="173"/>
      <c r="BG291" s="173"/>
      <c r="BH291" s="173"/>
      <c r="BI291" s="173"/>
      <c r="BJ291" s="173"/>
      <c r="BK291" s="173"/>
      <c r="BL291" s="173"/>
      <c r="BM291" s="173"/>
      <c r="BN291" s="173"/>
      <c r="BO291" s="173"/>
      <c r="BP291" s="173"/>
      <c r="BQ291" s="173"/>
      <c r="BR291" s="173"/>
      <c r="BS291" s="173"/>
      <c r="BT291" s="173"/>
      <c r="BU291" s="173"/>
      <c r="BV291" s="173"/>
      <c r="BW291" s="173"/>
      <c r="BX291" s="173"/>
      <c r="BY291" s="173"/>
    </row>
    <row r="292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3"/>
      <c r="AT292" s="173"/>
      <c r="AU292" s="173"/>
      <c r="AV292" s="173"/>
      <c r="AW292" s="173"/>
      <c r="AX292" s="173"/>
      <c r="AY292" s="173"/>
      <c r="AZ292" s="173"/>
      <c r="BA292" s="173"/>
      <c r="BB292" s="173"/>
      <c r="BC292" s="173"/>
      <c r="BD292" s="173"/>
      <c r="BE292" s="173"/>
      <c r="BF292" s="173"/>
      <c r="BG292" s="173"/>
      <c r="BH292" s="173"/>
      <c r="BI292" s="173"/>
      <c r="BJ292" s="173"/>
      <c r="BK292" s="173"/>
      <c r="BL292" s="173"/>
      <c r="BM292" s="173"/>
      <c r="BN292" s="173"/>
      <c r="BO292" s="173"/>
      <c r="BP292" s="173"/>
      <c r="BQ292" s="173"/>
      <c r="BR292" s="173"/>
      <c r="BS292" s="173"/>
      <c r="BT292" s="173"/>
      <c r="BU292" s="173"/>
      <c r="BV292" s="173"/>
      <c r="BW292" s="173"/>
      <c r="BX292" s="173"/>
      <c r="BY292" s="173"/>
    </row>
    <row r="293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3"/>
      <c r="AT293" s="173"/>
      <c r="AU293" s="173"/>
      <c r="AV293" s="173"/>
      <c r="AW293" s="173"/>
      <c r="AX293" s="173"/>
      <c r="AY293" s="173"/>
      <c r="AZ293" s="173"/>
      <c r="BA293" s="173"/>
      <c r="BB293" s="173"/>
      <c r="BC293" s="173"/>
      <c r="BD293" s="173"/>
      <c r="BE293" s="173"/>
      <c r="BF293" s="173"/>
      <c r="BG293" s="173"/>
      <c r="BH293" s="173"/>
      <c r="BI293" s="173"/>
      <c r="BJ293" s="173"/>
      <c r="BK293" s="173"/>
      <c r="BL293" s="173"/>
      <c r="BM293" s="173"/>
      <c r="BN293" s="173"/>
      <c r="BO293" s="173"/>
      <c r="BP293" s="173"/>
      <c r="BQ293" s="173"/>
      <c r="BR293" s="173"/>
      <c r="BS293" s="173"/>
      <c r="BT293" s="173"/>
      <c r="BU293" s="173"/>
      <c r="BV293" s="173"/>
      <c r="BW293" s="173"/>
      <c r="BX293" s="173"/>
      <c r="BY293" s="173"/>
    </row>
    <row r="294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3"/>
      <c r="AT294" s="173"/>
      <c r="AU294" s="173"/>
      <c r="AV294" s="173"/>
      <c r="AW294" s="173"/>
      <c r="AX294" s="173"/>
      <c r="AY294" s="173"/>
      <c r="AZ294" s="173"/>
      <c r="BA294" s="173"/>
      <c r="BB294" s="173"/>
      <c r="BC294" s="173"/>
      <c r="BD294" s="173"/>
      <c r="BE294" s="173"/>
      <c r="BF294" s="173"/>
      <c r="BG294" s="173"/>
      <c r="BH294" s="173"/>
      <c r="BI294" s="173"/>
      <c r="BJ294" s="173"/>
      <c r="BK294" s="173"/>
      <c r="BL294" s="173"/>
      <c r="BM294" s="173"/>
      <c r="BN294" s="173"/>
      <c r="BO294" s="173"/>
      <c r="BP294" s="173"/>
      <c r="BQ294" s="173"/>
      <c r="BR294" s="173"/>
      <c r="BS294" s="173"/>
      <c r="BT294" s="173"/>
      <c r="BU294" s="173"/>
      <c r="BV294" s="173"/>
      <c r="BW294" s="173"/>
      <c r="BX294" s="173"/>
      <c r="BY294" s="173"/>
    </row>
    <row r="295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3"/>
      <c r="AT295" s="173"/>
      <c r="AU295" s="173"/>
      <c r="AV295" s="173"/>
      <c r="AW295" s="173"/>
      <c r="AX295" s="173"/>
      <c r="AY295" s="173"/>
      <c r="AZ295" s="173"/>
      <c r="BA295" s="173"/>
      <c r="BB295" s="173"/>
      <c r="BC295" s="173"/>
      <c r="BD295" s="173"/>
      <c r="BE295" s="173"/>
      <c r="BF295" s="173"/>
      <c r="BG295" s="173"/>
      <c r="BH295" s="173"/>
      <c r="BI295" s="173"/>
      <c r="BJ295" s="173"/>
      <c r="BK295" s="173"/>
      <c r="BL295" s="173"/>
      <c r="BM295" s="173"/>
      <c r="BN295" s="173"/>
      <c r="BO295" s="173"/>
      <c r="BP295" s="173"/>
      <c r="BQ295" s="173"/>
      <c r="BR295" s="173"/>
      <c r="BS295" s="173"/>
      <c r="BT295" s="173"/>
      <c r="BU295" s="173"/>
      <c r="BV295" s="173"/>
      <c r="BW295" s="173"/>
      <c r="BX295" s="173"/>
      <c r="BY295" s="173"/>
    </row>
    <row r="296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3"/>
      <c r="AT296" s="173"/>
      <c r="AU296" s="173"/>
      <c r="AV296" s="173"/>
      <c r="AW296" s="173"/>
      <c r="AX296" s="173"/>
      <c r="AY296" s="173"/>
      <c r="AZ296" s="173"/>
      <c r="BA296" s="173"/>
      <c r="BB296" s="173"/>
      <c r="BC296" s="173"/>
      <c r="BD296" s="173"/>
      <c r="BE296" s="173"/>
      <c r="BF296" s="173"/>
      <c r="BG296" s="173"/>
      <c r="BH296" s="173"/>
      <c r="BI296" s="173"/>
      <c r="BJ296" s="173"/>
      <c r="BK296" s="173"/>
      <c r="BL296" s="173"/>
      <c r="BM296" s="173"/>
      <c r="BN296" s="173"/>
      <c r="BO296" s="173"/>
      <c r="BP296" s="173"/>
      <c r="BQ296" s="173"/>
      <c r="BR296" s="173"/>
      <c r="BS296" s="173"/>
      <c r="BT296" s="173"/>
      <c r="BU296" s="173"/>
      <c r="BV296" s="173"/>
      <c r="BW296" s="173"/>
      <c r="BX296" s="173"/>
      <c r="BY296" s="173"/>
    </row>
    <row r="297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3"/>
      <c r="AT297" s="173"/>
      <c r="AU297" s="173"/>
      <c r="AV297" s="173"/>
      <c r="AW297" s="173"/>
      <c r="AX297" s="173"/>
      <c r="AY297" s="173"/>
      <c r="AZ297" s="173"/>
      <c r="BA297" s="173"/>
      <c r="BB297" s="173"/>
      <c r="BC297" s="173"/>
      <c r="BD297" s="173"/>
      <c r="BE297" s="173"/>
      <c r="BF297" s="173"/>
      <c r="BG297" s="173"/>
      <c r="BH297" s="173"/>
      <c r="BI297" s="173"/>
      <c r="BJ297" s="173"/>
      <c r="BK297" s="173"/>
      <c r="BL297" s="173"/>
      <c r="BM297" s="173"/>
      <c r="BN297" s="173"/>
      <c r="BO297" s="173"/>
      <c r="BP297" s="173"/>
      <c r="BQ297" s="173"/>
      <c r="BR297" s="173"/>
      <c r="BS297" s="173"/>
      <c r="BT297" s="173"/>
      <c r="BU297" s="173"/>
      <c r="BV297" s="173"/>
      <c r="BW297" s="173"/>
      <c r="BX297" s="173"/>
      <c r="BY297" s="173"/>
    </row>
    <row r="298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3"/>
      <c r="AT298" s="173"/>
      <c r="AU298" s="173"/>
      <c r="AV298" s="173"/>
      <c r="AW298" s="173"/>
      <c r="AX298" s="173"/>
      <c r="AY298" s="173"/>
      <c r="AZ298" s="173"/>
      <c r="BA298" s="173"/>
      <c r="BB298" s="173"/>
      <c r="BC298" s="173"/>
      <c r="BD298" s="173"/>
      <c r="BE298" s="173"/>
      <c r="BF298" s="173"/>
      <c r="BG298" s="173"/>
      <c r="BH298" s="173"/>
      <c r="BI298" s="173"/>
      <c r="BJ298" s="173"/>
      <c r="BK298" s="173"/>
      <c r="BL298" s="173"/>
      <c r="BM298" s="173"/>
      <c r="BN298" s="173"/>
      <c r="BO298" s="173"/>
      <c r="BP298" s="173"/>
      <c r="BQ298" s="173"/>
      <c r="BR298" s="173"/>
      <c r="BS298" s="173"/>
      <c r="BT298" s="173"/>
      <c r="BU298" s="173"/>
      <c r="BV298" s="173"/>
      <c r="BW298" s="173"/>
      <c r="BX298" s="173"/>
      <c r="BY298" s="173"/>
    </row>
    <row r="299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3"/>
      <c r="AT299" s="173"/>
      <c r="AU299" s="173"/>
      <c r="AV299" s="173"/>
      <c r="AW299" s="173"/>
      <c r="AX299" s="173"/>
      <c r="AY299" s="173"/>
      <c r="AZ299" s="173"/>
      <c r="BA299" s="173"/>
      <c r="BB299" s="173"/>
      <c r="BC299" s="173"/>
      <c r="BD299" s="173"/>
      <c r="BE299" s="173"/>
      <c r="BF299" s="173"/>
      <c r="BG299" s="173"/>
      <c r="BH299" s="173"/>
      <c r="BI299" s="173"/>
      <c r="BJ299" s="173"/>
      <c r="BK299" s="173"/>
      <c r="BL299" s="173"/>
      <c r="BM299" s="173"/>
      <c r="BN299" s="173"/>
      <c r="BO299" s="173"/>
      <c r="BP299" s="173"/>
      <c r="BQ299" s="173"/>
      <c r="BR299" s="173"/>
      <c r="BS299" s="173"/>
      <c r="BT299" s="173"/>
      <c r="BU299" s="173"/>
      <c r="BV299" s="173"/>
      <c r="BW299" s="173"/>
      <c r="BX299" s="173"/>
      <c r="BY299" s="173"/>
    </row>
    <row r="300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3"/>
      <c r="AT300" s="173"/>
      <c r="AU300" s="173"/>
      <c r="AV300" s="173"/>
      <c r="AW300" s="173"/>
      <c r="AX300" s="173"/>
      <c r="AY300" s="173"/>
      <c r="AZ300" s="173"/>
      <c r="BA300" s="173"/>
      <c r="BB300" s="173"/>
      <c r="BC300" s="173"/>
      <c r="BD300" s="173"/>
      <c r="BE300" s="173"/>
      <c r="BF300" s="173"/>
      <c r="BG300" s="173"/>
      <c r="BH300" s="173"/>
      <c r="BI300" s="173"/>
      <c r="BJ300" s="173"/>
      <c r="BK300" s="173"/>
      <c r="BL300" s="173"/>
      <c r="BM300" s="173"/>
      <c r="BN300" s="173"/>
      <c r="BO300" s="173"/>
      <c r="BP300" s="173"/>
      <c r="BQ300" s="173"/>
      <c r="BR300" s="173"/>
      <c r="BS300" s="173"/>
      <c r="BT300" s="173"/>
      <c r="BU300" s="173"/>
      <c r="BV300" s="173"/>
      <c r="BW300" s="173"/>
      <c r="BX300" s="173"/>
      <c r="BY300" s="173"/>
    </row>
    <row r="301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3"/>
      <c r="AT301" s="173"/>
      <c r="AU301" s="173"/>
      <c r="AV301" s="173"/>
      <c r="AW301" s="173"/>
      <c r="AX301" s="173"/>
      <c r="AY301" s="173"/>
      <c r="AZ301" s="173"/>
      <c r="BA301" s="173"/>
      <c r="BB301" s="173"/>
      <c r="BC301" s="173"/>
      <c r="BD301" s="173"/>
      <c r="BE301" s="173"/>
      <c r="BF301" s="173"/>
      <c r="BG301" s="173"/>
      <c r="BH301" s="173"/>
      <c r="BI301" s="173"/>
      <c r="BJ301" s="173"/>
      <c r="BK301" s="173"/>
      <c r="BL301" s="173"/>
      <c r="BM301" s="173"/>
      <c r="BN301" s="173"/>
      <c r="BO301" s="173"/>
      <c r="BP301" s="173"/>
      <c r="BQ301" s="173"/>
      <c r="BR301" s="173"/>
      <c r="BS301" s="173"/>
      <c r="BT301" s="173"/>
      <c r="BU301" s="173"/>
      <c r="BV301" s="173"/>
      <c r="BW301" s="173"/>
      <c r="BX301" s="173"/>
      <c r="BY301" s="173"/>
    </row>
    <row r="302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3"/>
      <c r="AT302" s="173"/>
      <c r="AU302" s="173"/>
      <c r="AV302" s="173"/>
      <c r="AW302" s="173"/>
      <c r="AX302" s="173"/>
      <c r="AY302" s="173"/>
      <c r="AZ302" s="173"/>
      <c r="BA302" s="173"/>
      <c r="BB302" s="173"/>
      <c r="BC302" s="173"/>
      <c r="BD302" s="173"/>
      <c r="BE302" s="173"/>
      <c r="BF302" s="173"/>
      <c r="BG302" s="173"/>
      <c r="BH302" s="173"/>
      <c r="BI302" s="173"/>
      <c r="BJ302" s="173"/>
      <c r="BK302" s="173"/>
      <c r="BL302" s="173"/>
      <c r="BM302" s="173"/>
      <c r="BN302" s="173"/>
      <c r="BO302" s="173"/>
      <c r="BP302" s="173"/>
      <c r="BQ302" s="173"/>
      <c r="BR302" s="173"/>
      <c r="BS302" s="173"/>
      <c r="BT302" s="173"/>
      <c r="BU302" s="173"/>
      <c r="BV302" s="173"/>
      <c r="BW302" s="173"/>
      <c r="BX302" s="173"/>
      <c r="BY302" s="173"/>
    </row>
    <row r="303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3"/>
      <c r="AT303" s="173"/>
      <c r="AU303" s="173"/>
      <c r="AV303" s="173"/>
      <c r="AW303" s="173"/>
      <c r="AX303" s="173"/>
      <c r="AY303" s="173"/>
      <c r="AZ303" s="173"/>
      <c r="BA303" s="173"/>
      <c r="BB303" s="173"/>
      <c r="BC303" s="173"/>
      <c r="BD303" s="173"/>
      <c r="BE303" s="173"/>
      <c r="BF303" s="173"/>
      <c r="BG303" s="173"/>
      <c r="BH303" s="173"/>
      <c r="BI303" s="173"/>
      <c r="BJ303" s="173"/>
      <c r="BK303" s="173"/>
      <c r="BL303" s="173"/>
      <c r="BM303" s="173"/>
      <c r="BN303" s="173"/>
      <c r="BO303" s="173"/>
      <c r="BP303" s="173"/>
      <c r="BQ303" s="173"/>
      <c r="BR303" s="173"/>
      <c r="BS303" s="173"/>
      <c r="BT303" s="173"/>
      <c r="BU303" s="173"/>
      <c r="BV303" s="173"/>
      <c r="BW303" s="173"/>
      <c r="BX303" s="173"/>
      <c r="BY303" s="173"/>
    </row>
    <row r="304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3"/>
      <c r="AT304" s="173"/>
      <c r="AU304" s="173"/>
      <c r="AV304" s="173"/>
      <c r="AW304" s="173"/>
      <c r="AX304" s="173"/>
      <c r="AY304" s="173"/>
      <c r="AZ304" s="173"/>
      <c r="BA304" s="173"/>
      <c r="BB304" s="173"/>
      <c r="BC304" s="173"/>
      <c r="BD304" s="173"/>
      <c r="BE304" s="173"/>
      <c r="BF304" s="173"/>
      <c r="BG304" s="173"/>
      <c r="BH304" s="173"/>
      <c r="BI304" s="173"/>
      <c r="BJ304" s="173"/>
      <c r="BK304" s="173"/>
      <c r="BL304" s="173"/>
      <c r="BM304" s="173"/>
      <c r="BN304" s="173"/>
      <c r="BO304" s="173"/>
      <c r="BP304" s="173"/>
      <c r="BQ304" s="173"/>
      <c r="BR304" s="173"/>
      <c r="BS304" s="173"/>
      <c r="BT304" s="173"/>
      <c r="BU304" s="173"/>
      <c r="BV304" s="173"/>
      <c r="BW304" s="173"/>
      <c r="BX304" s="173"/>
      <c r="BY304" s="173"/>
    </row>
    <row r="305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3"/>
      <c r="AT305" s="173"/>
      <c r="AU305" s="173"/>
      <c r="AV305" s="173"/>
      <c r="AW305" s="173"/>
      <c r="AX305" s="173"/>
      <c r="AY305" s="173"/>
      <c r="AZ305" s="173"/>
      <c r="BA305" s="173"/>
      <c r="BB305" s="173"/>
      <c r="BC305" s="173"/>
      <c r="BD305" s="173"/>
      <c r="BE305" s="173"/>
      <c r="BF305" s="173"/>
      <c r="BG305" s="173"/>
      <c r="BH305" s="173"/>
      <c r="BI305" s="173"/>
      <c r="BJ305" s="173"/>
      <c r="BK305" s="173"/>
      <c r="BL305" s="173"/>
      <c r="BM305" s="173"/>
      <c r="BN305" s="173"/>
      <c r="BO305" s="173"/>
      <c r="BP305" s="173"/>
      <c r="BQ305" s="173"/>
      <c r="BR305" s="173"/>
      <c r="BS305" s="173"/>
      <c r="BT305" s="173"/>
      <c r="BU305" s="173"/>
      <c r="BV305" s="173"/>
      <c r="BW305" s="173"/>
      <c r="BX305" s="173"/>
      <c r="BY305" s="173"/>
    </row>
    <row r="306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3"/>
      <c r="AT306" s="173"/>
      <c r="AU306" s="173"/>
      <c r="AV306" s="173"/>
      <c r="AW306" s="173"/>
      <c r="AX306" s="173"/>
      <c r="AY306" s="173"/>
      <c r="AZ306" s="173"/>
      <c r="BA306" s="173"/>
      <c r="BB306" s="173"/>
      <c r="BC306" s="173"/>
      <c r="BD306" s="173"/>
      <c r="BE306" s="173"/>
      <c r="BF306" s="173"/>
      <c r="BG306" s="173"/>
      <c r="BH306" s="173"/>
      <c r="BI306" s="173"/>
      <c r="BJ306" s="173"/>
      <c r="BK306" s="173"/>
      <c r="BL306" s="173"/>
      <c r="BM306" s="173"/>
      <c r="BN306" s="173"/>
      <c r="BO306" s="173"/>
      <c r="BP306" s="173"/>
      <c r="BQ306" s="173"/>
      <c r="BR306" s="173"/>
      <c r="BS306" s="173"/>
      <c r="BT306" s="173"/>
      <c r="BU306" s="173"/>
      <c r="BV306" s="173"/>
      <c r="BW306" s="173"/>
      <c r="BX306" s="173"/>
      <c r="BY306" s="173"/>
    </row>
    <row r="307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3"/>
      <c r="AT307" s="173"/>
      <c r="AU307" s="173"/>
      <c r="AV307" s="173"/>
      <c r="AW307" s="173"/>
      <c r="AX307" s="173"/>
      <c r="AY307" s="173"/>
      <c r="AZ307" s="173"/>
      <c r="BA307" s="173"/>
      <c r="BB307" s="173"/>
      <c r="BC307" s="173"/>
      <c r="BD307" s="173"/>
      <c r="BE307" s="173"/>
      <c r="BF307" s="173"/>
      <c r="BG307" s="173"/>
      <c r="BH307" s="173"/>
      <c r="BI307" s="173"/>
      <c r="BJ307" s="173"/>
      <c r="BK307" s="173"/>
      <c r="BL307" s="173"/>
      <c r="BM307" s="173"/>
      <c r="BN307" s="173"/>
      <c r="BO307" s="173"/>
      <c r="BP307" s="173"/>
      <c r="BQ307" s="173"/>
      <c r="BR307" s="173"/>
      <c r="BS307" s="173"/>
      <c r="BT307" s="173"/>
      <c r="BU307" s="173"/>
      <c r="BV307" s="173"/>
      <c r="BW307" s="173"/>
      <c r="BX307" s="173"/>
      <c r="BY307" s="173"/>
    </row>
    <row r="308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3"/>
      <c r="AT308" s="173"/>
      <c r="AU308" s="173"/>
      <c r="AV308" s="173"/>
      <c r="AW308" s="173"/>
      <c r="AX308" s="173"/>
      <c r="AY308" s="173"/>
      <c r="AZ308" s="173"/>
      <c r="BA308" s="173"/>
      <c r="BB308" s="173"/>
      <c r="BC308" s="173"/>
      <c r="BD308" s="173"/>
      <c r="BE308" s="173"/>
      <c r="BF308" s="173"/>
      <c r="BG308" s="173"/>
      <c r="BH308" s="173"/>
      <c r="BI308" s="173"/>
      <c r="BJ308" s="173"/>
      <c r="BK308" s="173"/>
      <c r="BL308" s="173"/>
      <c r="BM308" s="173"/>
      <c r="BN308" s="173"/>
      <c r="BO308" s="173"/>
      <c r="BP308" s="173"/>
      <c r="BQ308" s="173"/>
      <c r="BR308" s="173"/>
      <c r="BS308" s="173"/>
      <c r="BT308" s="173"/>
      <c r="BU308" s="173"/>
      <c r="BV308" s="173"/>
      <c r="BW308" s="173"/>
      <c r="BX308" s="173"/>
      <c r="BY308" s="173"/>
    </row>
    <row r="309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3"/>
      <c r="AT309" s="173"/>
      <c r="AU309" s="173"/>
      <c r="AV309" s="173"/>
      <c r="AW309" s="173"/>
      <c r="AX309" s="173"/>
      <c r="AY309" s="173"/>
      <c r="AZ309" s="173"/>
      <c r="BA309" s="173"/>
      <c r="BB309" s="173"/>
      <c r="BC309" s="173"/>
      <c r="BD309" s="173"/>
      <c r="BE309" s="173"/>
      <c r="BF309" s="173"/>
      <c r="BG309" s="173"/>
      <c r="BH309" s="173"/>
      <c r="BI309" s="173"/>
      <c r="BJ309" s="173"/>
      <c r="BK309" s="173"/>
      <c r="BL309" s="173"/>
      <c r="BM309" s="173"/>
      <c r="BN309" s="173"/>
      <c r="BO309" s="173"/>
      <c r="BP309" s="173"/>
      <c r="BQ309" s="173"/>
      <c r="BR309" s="173"/>
      <c r="BS309" s="173"/>
      <c r="BT309" s="173"/>
      <c r="BU309" s="173"/>
      <c r="BV309" s="173"/>
      <c r="BW309" s="173"/>
      <c r="BX309" s="173"/>
      <c r="BY309" s="173"/>
    </row>
    <row r="310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3"/>
      <c r="AT310" s="173"/>
      <c r="AU310" s="173"/>
      <c r="AV310" s="173"/>
      <c r="AW310" s="173"/>
      <c r="AX310" s="173"/>
      <c r="AY310" s="173"/>
      <c r="AZ310" s="173"/>
      <c r="BA310" s="173"/>
      <c r="BB310" s="173"/>
      <c r="BC310" s="173"/>
      <c r="BD310" s="173"/>
      <c r="BE310" s="173"/>
      <c r="BF310" s="173"/>
      <c r="BG310" s="173"/>
      <c r="BH310" s="173"/>
      <c r="BI310" s="173"/>
      <c r="BJ310" s="173"/>
      <c r="BK310" s="173"/>
      <c r="BL310" s="173"/>
      <c r="BM310" s="173"/>
      <c r="BN310" s="173"/>
      <c r="BO310" s="173"/>
      <c r="BP310" s="173"/>
      <c r="BQ310" s="173"/>
      <c r="BR310" s="173"/>
      <c r="BS310" s="173"/>
      <c r="BT310" s="173"/>
      <c r="BU310" s="173"/>
      <c r="BV310" s="173"/>
      <c r="BW310" s="173"/>
      <c r="BX310" s="173"/>
      <c r="BY310" s="173"/>
    </row>
    <row r="311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3"/>
      <c r="AT311" s="173"/>
      <c r="AU311" s="173"/>
      <c r="AV311" s="173"/>
      <c r="AW311" s="173"/>
      <c r="AX311" s="173"/>
      <c r="AY311" s="173"/>
      <c r="AZ311" s="173"/>
      <c r="BA311" s="173"/>
      <c r="BB311" s="173"/>
      <c r="BC311" s="173"/>
      <c r="BD311" s="173"/>
      <c r="BE311" s="173"/>
      <c r="BF311" s="173"/>
      <c r="BG311" s="173"/>
      <c r="BH311" s="173"/>
      <c r="BI311" s="173"/>
      <c r="BJ311" s="173"/>
      <c r="BK311" s="173"/>
      <c r="BL311" s="173"/>
      <c r="BM311" s="173"/>
      <c r="BN311" s="173"/>
      <c r="BO311" s="173"/>
      <c r="BP311" s="173"/>
      <c r="BQ311" s="173"/>
      <c r="BR311" s="173"/>
      <c r="BS311" s="173"/>
      <c r="BT311" s="173"/>
      <c r="BU311" s="173"/>
      <c r="BV311" s="173"/>
      <c r="BW311" s="173"/>
      <c r="BX311" s="173"/>
      <c r="BY311" s="173"/>
    </row>
    <row r="312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3"/>
      <c r="AT312" s="173"/>
      <c r="AU312" s="173"/>
      <c r="AV312" s="173"/>
      <c r="AW312" s="173"/>
      <c r="AX312" s="173"/>
      <c r="AY312" s="173"/>
      <c r="AZ312" s="173"/>
      <c r="BA312" s="173"/>
      <c r="BB312" s="173"/>
      <c r="BC312" s="173"/>
      <c r="BD312" s="173"/>
      <c r="BE312" s="173"/>
      <c r="BF312" s="173"/>
      <c r="BG312" s="173"/>
      <c r="BH312" s="173"/>
      <c r="BI312" s="173"/>
      <c r="BJ312" s="173"/>
      <c r="BK312" s="173"/>
      <c r="BL312" s="173"/>
      <c r="BM312" s="173"/>
      <c r="BN312" s="173"/>
      <c r="BO312" s="173"/>
      <c r="BP312" s="173"/>
      <c r="BQ312" s="173"/>
      <c r="BR312" s="173"/>
      <c r="BS312" s="173"/>
      <c r="BT312" s="173"/>
      <c r="BU312" s="173"/>
      <c r="BV312" s="173"/>
      <c r="BW312" s="173"/>
      <c r="BX312" s="173"/>
      <c r="BY312" s="173"/>
    </row>
    <row r="313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3"/>
      <c r="AT313" s="173"/>
      <c r="AU313" s="173"/>
      <c r="AV313" s="173"/>
      <c r="AW313" s="173"/>
      <c r="AX313" s="173"/>
      <c r="AY313" s="173"/>
      <c r="AZ313" s="173"/>
      <c r="BA313" s="173"/>
      <c r="BB313" s="173"/>
      <c r="BC313" s="173"/>
      <c r="BD313" s="173"/>
      <c r="BE313" s="173"/>
      <c r="BF313" s="173"/>
      <c r="BG313" s="173"/>
      <c r="BH313" s="173"/>
      <c r="BI313" s="173"/>
      <c r="BJ313" s="173"/>
      <c r="BK313" s="173"/>
      <c r="BL313" s="173"/>
      <c r="BM313" s="173"/>
      <c r="BN313" s="173"/>
      <c r="BO313" s="173"/>
      <c r="BP313" s="173"/>
      <c r="BQ313" s="173"/>
      <c r="BR313" s="173"/>
      <c r="BS313" s="173"/>
      <c r="BT313" s="173"/>
      <c r="BU313" s="173"/>
      <c r="BV313" s="173"/>
      <c r="BW313" s="173"/>
      <c r="BX313" s="173"/>
      <c r="BY313" s="173"/>
    </row>
    <row r="314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3"/>
      <c r="AT314" s="173"/>
      <c r="AU314" s="173"/>
      <c r="AV314" s="173"/>
      <c r="AW314" s="173"/>
      <c r="AX314" s="173"/>
      <c r="AY314" s="173"/>
      <c r="AZ314" s="173"/>
      <c r="BA314" s="173"/>
      <c r="BB314" s="173"/>
      <c r="BC314" s="173"/>
      <c r="BD314" s="173"/>
      <c r="BE314" s="173"/>
      <c r="BF314" s="173"/>
      <c r="BG314" s="173"/>
      <c r="BH314" s="173"/>
      <c r="BI314" s="173"/>
      <c r="BJ314" s="173"/>
      <c r="BK314" s="173"/>
      <c r="BL314" s="173"/>
      <c r="BM314" s="173"/>
      <c r="BN314" s="173"/>
      <c r="BO314" s="173"/>
      <c r="BP314" s="173"/>
      <c r="BQ314" s="173"/>
      <c r="BR314" s="173"/>
      <c r="BS314" s="173"/>
      <c r="BT314" s="173"/>
      <c r="BU314" s="173"/>
      <c r="BV314" s="173"/>
      <c r="BW314" s="173"/>
      <c r="BX314" s="173"/>
      <c r="BY314" s="173"/>
    </row>
    <row r="315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3"/>
      <c r="AT315" s="173"/>
      <c r="AU315" s="173"/>
      <c r="AV315" s="173"/>
      <c r="AW315" s="173"/>
      <c r="AX315" s="173"/>
      <c r="AY315" s="173"/>
      <c r="AZ315" s="173"/>
      <c r="BA315" s="173"/>
      <c r="BB315" s="173"/>
      <c r="BC315" s="173"/>
      <c r="BD315" s="173"/>
      <c r="BE315" s="173"/>
      <c r="BF315" s="173"/>
      <c r="BG315" s="173"/>
      <c r="BH315" s="173"/>
      <c r="BI315" s="173"/>
      <c r="BJ315" s="173"/>
      <c r="BK315" s="173"/>
      <c r="BL315" s="173"/>
      <c r="BM315" s="173"/>
      <c r="BN315" s="173"/>
      <c r="BO315" s="173"/>
      <c r="BP315" s="173"/>
      <c r="BQ315" s="173"/>
      <c r="BR315" s="173"/>
      <c r="BS315" s="173"/>
      <c r="BT315" s="173"/>
      <c r="BU315" s="173"/>
      <c r="BV315" s="173"/>
      <c r="BW315" s="173"/>
      <c r="BX315" s="173"/>
      <c r="BY315" s="173"/>
    </row>
    <row r="316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3"/>
      <c r="AT316" s="173"/>
      <c r="AU316" s="173"/>
      <c r="AV316" s="173"/>
      <c r="AW316" s="173"/>
      <c r="AX316" s="173"/>
      <c r="AY316" s="173"/>
      <c r="AZ316" s="173"/>
      <c r="BA316" s="173"/>
      <c r="BB316" s="173"/>
      <c r="BC316" s="173"/>
      <c r="BD316" s="173"/>
      <c r="BE316" s="173"/>
      <c r="BF316" s="173"/>
      <c r="BG316" s="173"/>
      <c r="BH316" s="173"/>
      <c r="BI316" s="173"/>
      <c r="BJ316" s="173"/>
      <c r="BK316" s="173"/>
      <c r="BL316" s="173"/>
      <c r="BM316" s="173"/>
      <c r="BN316" s="173"/>
      <c r="BO316" s="173"/>
      <c r="BP316" s="173"/>
      <c r="BQ316" s="173"/>
      <c r="BR316" s="173"/>
      <c r="BS316" s="173"/>
      <c r="BT316" s="173"/>
      <c r="BU316" s="173"/>
      <c r="BV316" s="173"/>
      <c r="BW316" s="173"/>
      <c r="BX316" s="173"/>
      <c r="BY316" s="173"/>
    </row>
    <row r="317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3"/>
      <c r="AT317" s="173"/>
      <c r="AU317" s="173"/>
      <c r="AV317" s="173"/>
      <c r="AW317" s="173"/>
      <c r="AX317" s="173"/>
      <c r="AY317" s="173"/>
      <c r="AZ317" s="173"/>
      <c r="BA317" s="173"/>
      <c r="BB317" s="173"/>
      <c r="BC317" s="173"/>
      <c r="BD317" s="173"/>
      <c r="BE317" s="173"/>
      <c r="BF317" s="173"/>
      <c r="BG317" s="173"/>
      <c r="BH317" s="173"/>
      <c r="BI317" s="173"/>
      <c r="BJ317" s="173"/>
      <c r="BK317" s="173"/>
      <c r="BL317" s="173"/>
      <c r="BM317" s="173"/>
      <c r="BN317" s="173"/>
      <c r="BO317" s="173"/>
      <c r="BP317" s="173"/>
      <c r="BQ317" s="173"/>
      <c r="BR317" s="173"/>
      <c r="BS317" s="173"/>
      <c r="BT317" s="173"/>
      <c r="BU317" s="173"/>
      <c r="BV317" s="173"/>
      <c r="BW317" s="173"/>
      <c r="BX317" s="173"/>
      <c r="BY317" s="173"/>
    </row>
    <row r="318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3"/>
      <c r="AT318" s="173"/>
      <c r="AU318" s="173"/>
      <c r="AV318" s="173"/>
      <c r="AW318" s="173"/>
      <c r="AX318" s="173"/>
      <c r="AY318" s="173"/>
      <c r="AZ318" s="173"/>
      <c r="BA318" s="173"/>
      <c r="BB318" s="173"/>
      <c r="BC318" s="173"/>
      <c r="BD318" s="173"/>
      <c r="BE318" s="173"/>
      <c r="BF318" s="173"/>
      <c r="BG318" s="173"/>
      <c r="BH318" s="173"/>
      <c r="BI318" s="173"/>
      <c r="BJ318" s="173"/>
      <c r="BK318" s="173"/>
      <c r="BL318" s="173"/>
      <c r="BM318" s="173"/>
      <c r="BN318" s="173"/>
      <c r="BO318" s="173"/>
      <c r="BP318" s="173"/>
      <c r="BQ318" s="173"/>
      <c r="BR318" s="173"/>
      <c r="BS318" s="173"/>
      <c r="BT318" s="173"/>
      <c r="BU318" s="173"/>
      <c r="BV318" s="173"/>
      <c r="BW318" s="173"/>
      <c r="BX318" s="173"/>
      <c r="BY318" s="173"/>
    </row>
    <row r="319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3"/>
      <c r="AT319" s="173"/>
      <c r="AU319" s="173"/>
      <c r="AV319" s="173"/>
      <c r="AW319" s="173"/>
      <c r="AX319" s="173"/>
      <c r="AY319" s="173"/>
      <c r="AZ319" s="173"/>
      <c r="BA319" s="173"/>
      <c r="BB319" s="173"/>
      <c r="BC319" s="173"/>
      <c r="BD319" s="173"/>
      <c r="BE319" s="173"/>
      <c r="BF319" s="173"/>
      <c r="BG319" s="173"/>
      <c r="BH319" s="173"/>
      <c r="BI319" s="173"/>
      <c r="BJ319" s="173"/>
      <c r="BK319" s="173"/>
      <c r="BL319" s="173"/>
      <c r="BM319" s="173"/>
      <c r="BN319" s="173"/>
      <c r="BO319" s="173"/>
      <c r="BP319" s="173"/>
      <c r="BQ319" s="173"/>
      <c r="BR319" s="173"/>
      <c r="BS319" s="173"/>
      <c r="BT319" s="173"/>
      <c r="BU319" s="173"/>
      <c r="BV319" s="173"/>
      <c r="BW319" s="173"/>
      <c r="BX319" s="173"/>
      <c r="BY319" s="173"/>
    </row>
    <row r="320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3"/>
      <c r="AT320" s="173"/>
      <c r="AU320" s="173"/>
      <c r="AV320" s="173"/>
      <c r="AW320" s="173"/>
      <c r="AX320" s="173"/>
      <c r="AY320" s="173"/>
      <c r="AZ320" s="173"/>
      <c r="BA320" s="173"/>
      <c r="BB320" s="173"/>
      <c r="BC320" s="173"/>
      <c r="BD320" s="173"/>
      <c r="BE320" s="173"/>
      <c r="BF320" s="173"/>
      <c r="BG320" s="173"/>
      <c r="BH320" s="173"/>
      <c r="BI320" s="173"/>
      <c r="BJ320" s="173"/>
      <c r="BK320" s="173"/>
      <c r="BL320" s="173"/>
      <c r="BM320" s="173"/>
      <c r="BN320" s="173"/>
      <c r="BO320" s="173"/>
      <c r="BP320" s="173"/>
      <c r="BQ320" s="173"/>
      <c r="BR320" s="173"/>
      <c r="BS320" s="173"/>
      <c r="BT320" s="173"/>
      <c r="BU320" s="173"/>
      <c r="BV320" s="173"/>
      <c r="BW320" s="173"/>
      <c r="BX320" s="173"/>
      <c r="BY320" s="173"/>
    </row>
    <row r="321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3"/>
      <c r="AT321" s="173"/>
      <c r="AU321" s="173"/>
      <c r="AV321" s="173"/>
      <c r="AW321" s="173"/>
      <c r="AX321" s="173"/>
      <c r="AY321" s="173"/>
      <c r="AZ321" s="173"/>
      <c r="BA321" s="173"/>
      <c r="BB321" s="173"/>
      <c r="BC321" s="173"/>
      <c r="BD321" s="173"/>
      <c r="BE321" s="173"/>
      <c r="BF321" s="173"/>
      <c r="BG321" s="173"/>
      <c r="BH321" s="173"/>
      <c r="BI321" s="173"/>
      <c r="BJ321" s="173"/>
      <c r="BK321" s="173"/>
      <c r="BL321" s="173"/>
      <c r="BM321" s="173"/>
      <c r="BN321" s="173"/>
      <c r="BO321" s="173"/>
      <c r="BP321" s="173"/>
      <c r="BQ321" s="173"/>
      <c r="BR321" s="173"/>
      <c r="BS321" s="173"/>
      <c r="BT321" s="173"/>
      <c r="BU321" s="173"/>
      <c r="BV321" s="173"/>
      <c r="BW321" s="173"/>
      <c r="BX321" s="173"/>
      <c r="BY321" s="173"/>
    </row>
    <row r="322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  <c r="AQ322" s="173"/>
      <c r="AR322" s="173"/>
      <c r="AS322" s="173"/>
      <c r="AT322" s="173"/>
      <c r="AU322" s="173"/>
      <c r="AV322" s="173"/>
      <c r="AW322" s="173"/>
      <c r="AX322" s="173"/>
      <c r="AY322" s="173"/>
      <c r="AZ322" s="173"/>
      <c r="BA322" s="173"/>
      <c r="BB322" s="173"/>
      <c r="BC322" s="173"/>
      <c r="BD322" s="173"/>
      <c r="BE322" s="173"/>
      <c r="BF322" s="173"/>
      <c r="BG322" s="173"/>
      <c r="BH322" s="173"/>
      <c r="BI322" s="173"/>
      <c r="BJ322" s="173"/>
      <c r="BK322" s="173"/>
      <c r="BL322" s="173"/>
      <c r="BM322" s="173"/>
      <c r="BN322" s="173"/>
      <c r="BO322" s="173"/>
      <c r="BP322" s="173"/>
      <c r="BQ322" s="173"/>
      <c r="BR322" s="173"/>
      <c r="BS322" s="173"/>
      <c r="BT322" s="173"/>
      <c r="BU322" s="173"/>
      <c r="BV322" s="173"/>
      <c r="BW322" s="173"/>
      <c r="BX322" s="173"/>
      <c r="BY322" s="173"/>
    </row>
    <row r="323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3"/>
      <c r="AT323" s="173"/>
      <c r="AU323" s="173"/>
      <c r="AV323" s="173"/>
      <c r="AW323" s="173"/>
      <c r="AX323" s="173"/>
      <c r="AY323" s="173"/>
      <c r="AZ323" s="173"/>
      <c r="BA323" s="173"/>
      <c r="BB323" s="173"/>
      <c r="BC323" s="173"/>
      <c r="BD323" s="173"/>
      <c r="BE323" s="173"/>
      <c r="BF323" s="173"/>
      <c r="BG323" s="173"/>
      <c r="BH323" s="173"/>
      <c r="BI323" s="173"/>
      <c r="BJ323" s="173"/>
      <c r="BK323" s="173"/>
      <c r="BL323" s="173"/>
      <c r="BM323" s="173"/>
      <c r="BN323" s="173"/>
      <c r="BO323" s="173"/>
      <c r="BP323" s="173"/>
      <c r="BQ323" s="173"/>
      <c r="BR323" s="173"/>
      <c r="BS323" s="173"/>
      <c r="BT323" s="173"/>
      <c r="BU323" s="173"/>
      <c r="BV323" s="173"/>
      <c r="BW323" s="173"/>
      <c r="BX323" s="173"/>
      <c r="BY323" s="173"/>
    </row>
    <row r="324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3"/>
      <c r="AT324" s="173"/>
      <c r="AU324" s="173"/>
      <c r="AV324" s="173"/>
      <c r="AW324" s="173"/>
      <c r="AX324" s="173"/>
      <c r="AY324" s="173"/>
      <c r="AZ324" s="173"/>
      <c r="BA324" s="173"/>
      <c r="BB324" s="173"/>
      <c r="BC324" s="173"/>
      <c r="BD324" s="173"/>
      <c r="BE324" s="173"/>
      <c r="BF324" s="173"/>
      <c r="BG324" s="173"/>
      <c r="BH324" s="173"/>
      <c r="BI324" s="173"/>
      <c r="BJ324" s="173"/>
      <c r="BK324" s="173"/>
      <c r="BL324" s="173"/>
      <c r="BM324" s="173"/>
      <c r="BN324" s="173"/>
      <c r="BO324" s="173"/>
      <c r="BP324" s="173"/>
      <c r="BQ324" s="173"/>
      <c r="BR324" s="173"/>
      <c r="BS324" s="173"/>
      <c r="BT324" s="173"/>
      <c r="BU324" s="173"/>
      <c r="BV324" s="173"/>
      <c r="BW324" s="173"/>
      <c r="BX324" s="173"/>
      <c r="BY324" s="173"/>
    </row>
    <row r="325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3"/>
      <c r="AT325" s="173"/>
      <c r="AU325" s="173"/>
      <c r="AV325" s="173"/>
      <c r="AW325" s="173"/>
      <c r="AX325" s="173"/>
      <c r="AY325" s="173"/>
      <c r="AZ325" s="173"/>
      <c r="BA325" s="173"/>
      <c r="BB325" s="173"/>
      <c r="BC325" s="173"/>
      <c r="BD325" s="173"/>
      <c r="BE325" s="173"/>
      <c r="BF325" s="173"/>
      <c r="BG325" s="173"/>
      <c r="BH325" s="173"/>
      <c r="BI325" s="173"/>
      <c r="BJ325" s="173"/>
      <c r="BK325" s="173"/>
      <c r="BL325" s="173"/>
      <c r="BM325" s="173"/>
      <c r="BN325" s="173"/>
      <c r="BO325" s="173"/>
      <c r="BP325" s="173"/>
      <c r="BQ325" s="173"/>
      <c r="BR325" s="173"/>
      <c r="BS325" s="173"/>
      <c r="BT325" s="173"/>
      <c r="BU325" s="173"/>
      <c r="BV325" s="173"/>
      <c r="BW325" s="173"/>
      <c r="BX325" s="173"/>
      <c r="BY325" s="173"/>
    </row>
    <row r="326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3"/>
      <c r="AT326" s="173"/>
      <c r="AU326" s="173"/>
      <c r="AV326" s="173"/>
      <c r="AW326" s="173"/>
      <c r="AX326" s="173"/>
      <c r="AY326" s="173"/>
      <c r="AZ326" s="173"/>
      <c r="BA326" s="173"/>
      <c r="BB326" s="173"/>
      <c r="BC326" s="173"/>
      <c r="BD326" s="173"/>
      <c r="BE326" s="173"/>
      <c r="BF326" s="173"/>
      <c r="BG326" s="173"/>
      <c r="BH326" s="173"/>
      <c r="BI326" s="173"/>
      <c r="BJ326" s="173"/>
      <c r="BK326" s="173"/>
      <c r="BL326" s="173"/>
      <c r="BM326" s="173"/>
      <c r="BN326" s="173"/>
      <c r="BO326" s="173"/>
      <c r="BP326" s="173"/>
      <c r="BQ326" s="173"/>
      <c r="BR326" s="173"/>
      <c r="BS326" s="173"/>
      <c r="BT326" s="173"/>
      <c r="BU326" s="173"/>
      <c r="BV326" s="173"/>
      <c r="BW326" s="173"/>
      <c r="BX326" s="173"/>
      <c r="BY326" s="173"/>
    </row>
    <row r="327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3"/>
      <c r="AT327" s="173"/>
      <c r="AU327" s="173"/>
      <c r="AV327" s="173"/>
      <c r="AW327" s="173"/>
      <c r="AX327" s="173"/>
      <c r="AY327" s="173"/>
      <c r="AZ327" s="173"/>
      <c r="BA327" s="173"/>
      <c r="BB327" s="173"/>
      <c r="BC327" s="173"/>
      <c r="BD327" s="173"/>
      <c r="BE327" s="173"/>
      <c r="BF327" s="173"/>
      <c r="BG327" s="173"/>
      <c r="BH327" s="173"/>
      <c r="BI327" s="173"/>
      <c r="BJ327" s="173"/>
      <c r="BK327" s="173"/>
      <c r="BL327" s="173"/>
      <c r="BM327" s="173"/>
      <c r="BN327" s="173"/>
      <c r="BO327" s="173"/>
      <c r="BP327" s="173"/>
      <c r="BQ327" s="173"/>
      <c r="BR327" s="173"/>
      <c r="BS327" s="173"/>
      <c r="BT327" s="173"/>
      <c r="BU327" s="173"/>
      <c r="BV327" s="173"/>
      <c r="BW327" s="173"/>
      <c r="BX327" s="173"/>
      <c r="BY327" s="173"/>
    </row>
    <row r="328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3"/>
      <c r="AT328" s="173"/>
      <c r="AU328" s="173"/>
      <c r="AV328" s="173"/>
      <c r="AW328" s="173"/>
      <c r="AX328" s="173"/>
      <c r="AY328" s="173"/>
      <c r="AZ328" s="173"/>
      <c r="BA328" s="173"/>
      <c r="BB328" s="173"/>
      <c r="BC328" s="173"/>
      <c r="BD328" s="173"/>
      <c r="BE328" s="173"/>
      <c r="BF328" s="173"/>
      <c r="BG328" s="173"/>
      <c r="BH328" s="173"/>
      <c r="BI328" s="173"/>
      <c r="BJ328" s="173"/>
      <c r="BK328" s="173"/>
      <c r="BL328" s="173"/>
      <c r="BM328" s="173"/>
      <c r="BN328" s="173"/>
      <c r="BO328" s="173"/>
      <c r="BP328" s="173"/>
      <c r="BQ328" s="173"/>
      <c r="BR328" s="173"/>
      <c r="BS328" s="173"/>
      <c r="BT328" s="173"/>
      <c r="BU328" s="173"/>
      <c r="BV328" s="173"/>
      <c r="BW328" s="173"/>
      <c r="BX328" s="173"/>
      <c r="BY328" s="173"/>
    </row>
    <row r="329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3"/>
      <c r="AT329" s="173"/>
      <c r="AU329" s="173"/>
      <c r="AV329" s="173"/>
      <c r="AW329" s="173"/>
      <c r="AX329" s="173"/>
      <c r="AY329" s="173"/>
      <c r="AZ329" s="173"/>
      <c r="BA329" s="173"/>
      <c r="BB329" s="173"/>
      <c r="BC329" s="173"/>
      <c r="BD329" s="173"/>
      <c r="BE329" s="173"/>
      <c r="BF329" s="173"/>
      <c r="BG329" s="173"/>
      <c r="BH329" s="173"/>
      <c r="BI329" s="173"/>
      <c r="BJ329" s="173"/>
      <c r="BK329" s="173"/>
      <c r="BL329" s="173"/>
      <c r="BM329" s="173"/>
      <c r="BN329" s="173"/>
      <c r="BO329" s="173"/>
      <c r="BP329" s="173"/>
      <c r="BQ329" s="173"/>
      <c r="BR329" s="173"/>
      <c r="BS329" s="173"/>
      <c r="BT329" s="173"/>
      <c r="BU329" s="173"/>
      <c r="BV329" s="173"/>
      <c r="BW329" s="173"/>
      <c r="BX329" s="173"/>
      <c r="BY329" s="173"/>
    </row>
    <row r="330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3"/>
      <c r="AT330" s="173"/>
      <c r="AU330" s="173"/>
      <c r="AV330" s="173"/>
      <c r="AW330" s="173"/>
      <c r="AX330" s="173"/>
      <c r="AY330" s="173"/>
      <c r="AZ330" s="173"/>
      <c r="BA330" s="173"/>
      <c r="BB330" s="173"/>
      <c r="BC330" s="173"/>
      <c r="BD330" s="173"/>
      <c r="BE330" s="173"/>
      <c r="BF330" s="173"/>
      <c r="BG330" s="173"/>
      <c r="BH330" s="173"/>
      <c r="BI330" s="173"/>
      <c r="BJ330" s="173"/>
      <c r="BK330" s="173"/>
      <c r="BL330" s="173"/>
      <c r="BM330" s="173"/>
      <c r="BN330" s="173"/>
      <c r="BO330" s="173"/>
      <c r="BP330" s="173"/>
      <c r="BQ330" s="173"/>
      <c r="BR330" s="173"/>
      <c r="BS330" s="173"/>
      <c r="BT330" s="173"/>
      <c r="BU330" s="173"/>
      <c r="BV330" s="173"/>
      <c r="BW330" s="173"/>
      <c r="BX330" s="173"/>
      <c r="BY330" s="173"/>
    </row>
    <row r="331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3"/>
      <c r="AT331" s="173"/>
      <c r="AU331" s="173"/>
      <c r="AV331" s="173"/>
      <c r="AW331" s="173"/>
      <c r="AX331" s="173"/>
      <c r="AY331" s="173"/>
      <c r="AZ331" s="173"/>
      <c r="BA331" s="173"/>
      <c r="BB331" s="173"/>
      <c r="BC331" s="173"/>
      <c r="BD331" s="173"/>
      <c r="BE331" s="173"/>
      <c r="BF331" s="173"/>
      <c r="BG331" s="173"/>
      <c r="BH331" s="173"/>
      <c r="BI331" s="173"/>
      <c r="BJ331" s="173"/>
      <c r="BK331" s="173"/>
      <c r="BL331" s="173"/>
      <c r="BM331" s="173"/>
      <c r="BN331" s="173"/>
      <c r="BO331" s="173"/>
      <c r="BP331" s="173"/>
      <c r="BQ331" s="173"/>
      <c r="BR331" s="173"/>
      <c r="BS331" s="173"/>
      <c r="BT331" s="173"/>
      <c r="BU331" s="173"/>
      <c r="BV331" s="173"/>
      <c r="BW331" s="173"/>
      <c r="BX331" s="173"/>
      <c r="BY331" s="173"/>
    </row>
    <row r="332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3"/>
      <c r="AT332" s="173"/>
      <c r="AU332" s="173"/>
      <c r="AV332" s="173"/>
      <c r="AW332" s="173"/>
      <c r="AX332" s="173"/>
      <c r="AY332" s="173"/>
      <c r="AZ332" s="173"/>
      <c r="BA332" s="173"/>
      <c r="BB332" s="173"/>
      <c r="BC332" s="173"/>
      <c r="BD332" s="173"/>
      <c r="BE332" s="173"/>
      <c r="BF332" s="173"/>
      <c r="BG332" s="173"/>
      <c r="BH332" s="173"/>
      <c r="BI332" s="173"/>
      <c r="BJ332" s="173"/>
      <c r="BK332" s="173"/>
      <c r="BL332" s="173"/>
      <c r="BM332" s="173"/>
      <c r="BN332" s="173"/>
      <c r="BO332" s="173"/>
      <c r="BP332" s="173"/>
      <c r="BQ332" s="173"/>
      <c r="BR332" s="173"/>
      <c r="BS332" s="173"/>
      <c r="BT332" s="173"/>
      <c r="BU332" s="173"/>
      <c r="BV332" s="173"/>
      <c r="BW332" s="173"/>
      <c r="BX332" s="173"/>
      <c r="BY332" s="173"/>
    </row>
    <row r="333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3"/>
      <c r="AT333" s="173"/>
      <c r="AU333" s="173"/>
      <c r="AV333" s="173"/>
      <c r="AW333" s="173"/>
      <c r="AX333" s="173"/>
      <c r="AY333" s="173"/>
      <c r="AZ333" s="173"/>
      <c r="BA333" s="173"/>
      <c r="BB333" s="173"/>
      <c r="BC333" s="173"/>
      <c r="BD333" s="173"/>
      <c r="BE333" s="173"/>
      <c r="BF333" s="173"/>
      <c r="BG333" s="173"/>
      <c r="BH333" s="173"/>
      <c r="BI333" s="173"/>
      <c r="BJ333" s="173"/>
      <c r="BK333" s="173"/>
      <c r="BL333" s="173"/>
      <c r="BM333" s="173"/>
      <c r="BN333" s="173"/>
      <c r="BO333" s="173"/>
      <c r="BP333" s="173"/>
      <c r="BQ333" s="173"/>
      <c r="BR333" s="173"/>
      <c r="BS333" s="173"/>
      <c r="BT333" s="173"/>
      <c r="BU333" s="173"/>
      <c r="BV333" s="173"/>
      <c r="BW333" s="173"/>
      <c r="BX333" s="173"/>
      <c r="BY333" s="173"/>
    </row>
    <row r="334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3"/>
      <c r="AT334" s="173"/>
      <c r="AU334" s="173"/>
      <c r="AV334" s="173"/>
      <c r="AW334" s="173"/>
      <c r="AX334" s="173"/>
      <c r="AY334" s="173"/>
      <c r="AZ334" s="173"/>
      <c r="BA334" s="173"/>
      <c r="BB334" s="173"/>
      <c r="BC334" s="173"/>
      <c r="BD334" s="173"/>
      <c r="BE334" s="173"/>
      <c r="BF334" s="173"/>
      <c r="BG334" s="173"/>
      <c r="BH334" s="173"/>
      <c r="BI334" s="173"/>
      <c r="BJ334" s="173"/>
      <c r="BK334" s="173"/>
      <c r="BL334" s="173"/>
      <c r="BM334" s="173"/>
      <c r="BN334" s="173"/>
      <c r="BO334" s="173"/>
      <c r="BP334" s="173"/>
      <c r="BQ334" s="173"/>
      <c r="BR334" s="173"/>
      <c r="BS334" s="173"/>
      <c r="BT334" s="173"/>
      <c r="BU334" s="173"/>
      <c r="BV334" s="173"/>
      <c r="BW334" s="173"/>
      <c r="BX334" s="173"/>
      <c r="BY334" s="173"/>
    </row>
    <row r="335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3"/>
      <c r="AT335" s="173"/>
      <c r="AU335" s="173"/>
      <c r="AV335" s="173"/>
      <c r="AW335" s="173"/>
      <c r="AX335" s="173"/>
      <c r="AY335" s="173"/>
      <c r="AZ335" s="173"/>
      <c r="BA335" s="173"/>
      <c r="BB335" s="173"/>
      <c r="BC335" s="173"/>
      <c r="BD335" s="173"/>
      <c r="BE335" s="173"/>
      <c r="BF335" s="173"/>
      <c r="BG335" s="173"/>
      <c r="BH335" s="173"/>
      <c r="BI335" s="173"/>
      <c r="BJ335" s="173"/>
      <c r="BK335" s="173"/>
      <c r="BL335" s="173"/>
      <c r="BM335" s="173"/>
      <c r="BN335" s="173"/>
      <c r="BO335" s="173"/>
      <c r="BP335" s="173"/>
      <c r="BQ335" s="173"/>
      <c r="BR335" s="173"/>
      <c r="BS335" s="173"/>
      <c r="BT335" s="173"/>
      <c r="BU335" s="173"/>
      <c r="BV335" s="173"/>
      <c r="BW335" s="173"/>
      <c r="BX335" s="173"/>
      <c r="BY335" s="173"/>
    </row>
    <row r="336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3"/>
      <c r="AT336" s="173"/>
      <c r="AU336" s="173"/>
      <c r="AV336" s="173"/>
      <c r="AW336" s="173"/>
      <c r="AX336" s="173"/>
      <c r="AY336" s="173"/>
      <c r="AZ336" s="173"/>
      <c r="BA336" s="173"/>
      <c r="BB336" s="173"/>
      <c r="BC336" s="173"/>
      <c r="BD336" s="173"/>
      <c r="BE336" s="173"/>
      <c r="BF336" s="173"/>
      <c r="BG336" s="173"/>
      <c r="BH336" s="173"/>
      <c r="BI336" s="173"/>
      <c r="BJ336" s="173"/>
      <c r="BK336" s="173"/>
      <c r="BL336" s="173"/>
      <c r="BM336" s="173"/>
      <c r="BN336" s="173"/>
      <c r="BO336" s="173"/>
      <c r="BP336" s="173"/>
      <c r="BQ336" s="173"/>
      <c r="BR336" s="173"/>
      <c r="BS336" s="173"/>
      <c r="BT336" s="173"/>
      <c r="BU336" s="173"/>
      <c r="BV336" s="173"/>
      <c r="BW336" s="173"/>
      <c r="BX336" s="173"/>
      <c r="BY336" s="173"/>
    </row>
    <row r="337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3"/>
      <c r="AT337" s="173"/>
      <c r="AU337" s="173"/>
      <c r="AV337" s="173"/>
      <c r="AW337" s="173"/>
      <c r="AX337" s="173"/>
      <c r="AY337" s="173"/>
      <c r="AZ337" s="173"/>
      <c r="BA337" s="173"/>
      <c r="BB337" s="173"/>
      <c r="BC337" s="173"/>
      <c r="BD337" s="173"/>
      <c r="BE337" s="173"/>
      <c r="BF337" s="173"/>
      <c r="BG337" s="173"/>
      <c r="BH337" s="173"/>
      <c r="BI337" s="173"/>
      <c r="BJ337" s="173"/>
      <c r="BK337" s="173"/>
      <c r="BL337" s="173"/>
      <c r="BM337" s="173"/>
      <c r="BN337" s="173"/>
      <c r="BO337" s="173"/>
      <c r="BP337" s="173"/>
      <c r="BQ337" s="173"/>
      <c r="BR337" s="173"/>
      <c r="BS337" s="173"/>
      <c r="BT337" s="173"/>
      <c r="BU337" s="173"/>
      <c r="BV337" s="173"/>
      <c r="BW337" s="173"/>
      <c r="BX337" s="173"/>
      <c r="BY337" s="173"/>
    </row>
    <row r="338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3"/>
      <c r="AT338" s="173"/>
      <c r="AU338" s="173"/>
      <c r="AV338" s="173"/>
      <c r="AW338" s="173"/>
      <c r="AX338" s="173"/>
      <c r="AY338" s="173"/>
      <c r="AZ338" s="173"/>
      <c r="BA338" s="173"/>
      <c r="BB338" s="173"/>
      <c r="BC338" s="173"/>
      <c r="BD338" s="173"/>
      <c r="BE338" s="173"/>
      <c r="BF338" s="173"/>
      <c r="BG338" s="173"/>
      <c r="BH338" s="173"/>
      <c r="BI338" s="173"/>
      <c r="BJ338" s="173"/>
      <c r="BK338" s="173"/>
      <c r="BL338" s="173"/>
      <c r="BM338" s="173"/>
      <c r="BN338" s="173"/>
      <c r="BO338" s="173"/>
      <c r="BP338" s="173"/>
      <c r="BQ338" s="173"/>
      <c r="BR338" s="173"/>
      <c r="BS338" s="173"/>
      <c r="BT338" s="173"/>
      <c r="BU338" s="173"/>
      <c r="BV338" s="173"/>
      <c r="BW338" s="173"/>
      <c r="BX338" s="173"/>
      <c r="BY338" s="173"/>
    </row>
    <row r="339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3"/>
      <c r="AT339" s="173"/>
      <c r="AU339" s="173"/>
      <c r="AV339" s="173"/>
      <c r="AW339" s="173"/>
      <c r="AX339" s="173"/>
      <c r="AY339" s="173"/>
      <c r="AZ339" s="173"/>
      <c r="BA339" s="173"/>
      <c r="BB339" s="173"/>
      <c r="BC339" s="173"/>
      <c r="BD339" s="173"/>
      <c r="BE339" s="173"/>
      <c r="BF339" s="173"/>
      <c r="BG339" s="173"/>
      <c r="BH339" s="173"/>
      <c r="BI339" s="173"/>
      <c r="BJ339" s="173"/>
      <c r="BK339" s="173"/>
      <c r="BL339" s="173"/>
      <c r="BM339" s="173"/>
      <c r="BN339" s="173"/>
      <c r="BO339" s="173"/>
      <c r="BP339" s="173"/>
      <c r="BQ339" s="173"/>
      <c r="BR339" s="173"/>
      <c r="BS339" s="173"/>
      <c r="BT339" s="173"/>
      <c r="BU339" s="173"/>
      <c r="BV339" s="173"/>
      <c r="BW339" s="173"/>
      <c r="BX339" s="173"/>
      <c r="BY339" s="173"/>
    </row>
    <row r="340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3"/>
      <c r="AT340" s="173"/>
      <c r="AU340" s="173"/>
      <c r="AV340" s="173"/>
      <c r="AW340" s="173"/>
      <c r="AX340" s="173"/>
      <c r="AY340" s="173"/>
      <c r="AZ340" s="173"/>
      <c r="BA340" s="173"/>
      <c r="BB340" s="173"/>
      <c r="BC340" s="173"/>
      <c r="BD340" s="173"/>
      <c r="BE340" s="173"/>
      <c r="BF340" s="173"/>
      <c r="BG340" s="173"/>
      <c r="BH340" s="173"/>
      <c r="BI340" s="173"/>
      <c r="BJ340" s="173"/>
      <c r="BK340" s="173"/>
      <c r="BL340" s="173"/>
      <c r="BM340" s="173"/>
      <c r="BN340" s="173"/>
      <c r="BO340" s="173"/>
      <c r="BP340" s="173"/>
      <c r="BQ340" s="173"/>
      <c r="BR340" s="173"/>
      <c r="BS340" s="173"/>
      <c r="BT340" s="173"/>
      <c r="BU340" s="173"/>
      <c r="BV340" s="173"/>
      <c r="BW340" s="173"/>
      <c r="BX340" s="173"/>
      <c r="BY340" s="173"/>
    </row>
    <row r="341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3"/>
      <c r="AT341" s="173"/>
      <c r="AU341" s="173"/>
      <c r="AV341" s="173"/>
      <c r="AW341" s="173"/>
      <c r="AX341" s="173"/>
      <c r="AY341" s="173"/>
      <c r="AZ341" s="173"/>
      <c r="BA341" s="173"/>
      <c r="BB341" s="173"/>
      <c r="BC341" s="173"/>
      <c r="BD341" s="173"/>
      <c r="BE341" s="173"/>
      <c r="BF341" s="173"/>
      <c r="BG341" s="173"/>
      <c r="BH341" s="173"/>
      <c r="BI341" s="173"/>
      <c r="BJ341" s="173"/>
      <c r="BK341" s="173"/>
      <c r="BL341" s="173"/>
      <c r="BM341" s="173"/>
      <c r="BN341" s="173"/>
      <c r="BO341" s="173"/>
      <c r="BP341" s="173"/>
      <c r="BQ341" s="173"/>
      <c r="BR341" s="173"/>
      <c r="BS341" s="173"/>
      <c r="BT341" s="173"/>
      <c r="BU341" s="173"/>
      <c r="BV341" s="173"/>
      <c r="BW341" s="173"/>
      <c r="BX341" s="173"/>
      <c r="BY341" s="173"/>
    </row>
    <row r="342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3"/>
      <c r="AT342" s="173"/>
      <c r="AU342" s="173"/>
      <c r="AV342" s="173"/>
      <c r="AW342" s="173"/>
      <c r="AX342" s="173"/>
      <c r="AY342" s="173"/>
      <c r="AZ342" s="173"/>
      <c r="BA342" s="173"/>
      <c r="BB342" s="173"/>
      <c r="BC342" s="173"/>
      <c r="BD342" s="173"/>
      <c r="BE342" s="173"/>
      <c r="BF342" s="173"/>
      <c r="BG342" s="173"/>
      <c r="BH342" s="173"/>
      <c r="BI342" s="173"/>
      <c r="BJ342" s="173"/>
      <c r="BK342" s="173"/>
      <c r="BL342" s="173"/>
      <c r="BM342" s="173"/>
      <c r="BN342" s="173"/>
      <c r="BO342" s="173"/>
      <c r="BP342" s="173"/>
      <c r="BQ342" s="173"/>
      <c r="BR342" s="173"/>
      <c r="BS342" s="173"/>
      <c r="BT342" s="173"/>
      <c r="BU342" s="173"/>
      <c r="BV342" s="173"/>
      <c r="BW342" s="173"/>
      <c r="BX342" s="173"/>
      <c r="BY342" s="173"/>
    </row>
    <row r="343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3"/>
      <c r="AT343" s="173"/>
      <c r="AU343" s="173"/>
      <c r="AV343" s="173"/>
      <c r="AW343" s="173"/>
      <c r="AX343" s="173"/>
      <c r="AY343" s="173"/>
      <c r="AZ343" s="173"/>
      <c r="BA343" s="173"/>
      <c r="BB343" s="173"/>
      <c r="BC343" s="173"/>
      <c r="BD343" s="173"/>
      <c r="BE343" s="173"/>
      <c r="BF343" s="173"/>
      <c r="BG343" s="173"/>
      <c r="BH343" s="173"/>
      <c r="BI343" s="173"/>
      <c r="BJ343" s="173"/>
      <c r="BK343" s="173"/>
      <c r="BL343" s="173"/>
      <c r="BM343" s="173"/>
      <c r="BN343" s="173"/>
      <c r="BO343" s="173"/>
      <c r="BP343" s="173"/>
      <c r="BQ343" s="173"/>
      <c r="BR343" s="173"/>
      <c r="BS343" s="173"/>
      <c r="BT343" s="173"/>
      <c r="BU343" s="173"/>
      <c r="BV343" s="173"/>
      <c r="BW343" s="173"/>
      <c r="BX343" s="173"/>
      <c r="BY343" s="173"/>
    </row>
    <row r="344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3"/>
      <c r="AT344" s="173"/>
      <c r="AU344" s="173"/>
      <c r="AV344" s="173"/>
      <c r="AW344" s="173"/>
      <c r="AX344" s="173"/>
      <c r="AY344" s="173"/>
      <c r="AZ344" s="173"/>
      <c r="BA344" s="173"/>
      <c r="BB344" s="173"/>
      <c r="BC344" s="173"/>
      <c r="BD344" s="173"/>
      <c r="BE344" s="173"/>
      <c r="BF344" s="173"/>
      <c r="BG344" s="173"/>
      <c r="BH344" s="173"/>
      <c r="BI344" s="173"/>
      <c r="BJ344" s="173"/>
      <c r="BK344" s="173"/>
      <c r="BL344" s="173"/>
      <c r="BM344" s="173"/>
      <c r="BN344" s="173"/>
      <c r="BO344" s="173"/>
      <c r="BP344" s="173"/>
      <c r="BQ344" s="173"/>
      <c r="BR344" s="173"/>
      <c r="BS344" s="173"/>
      <c r="BT344" s="173"/>
      <c r="BU344" s="173"/>
      <c r="BV344" s="173"/>
      <c r="BW344" s="173"/>
      <c r="BX344" s="173"/>
      <c r="BY344" s="173"/>
    </row>
    <row r="345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3"/>
      <c r="AT345" s="173"/>
      <c r="AU345" s="173"/>
      <c r="AV345" s="173"/>
      <c r="AW345" s="173"/>
      <c r="AX345" s="173"/>
      <c r="AY345" s="173"/>
      <c r="AZ345" s="173"/>
      <c r="BA345" s="173"/>
      <c r="BB345" s="173"/>
      <c r="BC345" s="173"/>
      <c r="BD345" s="173"/>
      <c r="BE345" s="173"/>
      <c r="BF345" s="173"/>
      <c r="BG345" s="173"/>
      <c r="BH345" s="173"/>
      <c r="BI345" s="173"/>
      <c r="BJ345" s="173"/>
      <c r="BK345" s="173"/>
      <c r="BL345" s="173"/>
      <c r="BM345" s="173"/>
      <c r="BN345" s="173"/>
      <c r="BO345" s="173"/>
      <c r="BP345" s="173"/>
      <c r="BQ345" s="173"/>
      <c r="BR345" s="173"/>
      <c r="BS345" s="173"/>
      <c r="BT345" s="173"/>
      <c r="BU345" s="173"/>
      <c r="BV345" s="173"/>
      <c r="BW345" s="173"/>
      <c r="BX345" s="173"/>
      <c r="BY345" s="173"/>
    </row>
    <row r="346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3"/>
      <c r="AT346" s="173"/>
      <c r="AU346" s="173"/>
      <c r="AV346" s="173"/>
      <c r="AW346" s="173"/>
      <c r="AX346" s="173"/>
      <c r="AY346" s="173"/>
      <c r="AZ346" s="173"/>
      <c r="BA346" s="173"/>
      <c r="BB346" s="173"/>
      <c r="BC346" s="173"/>
      <c r="BD346" s="173"/>
      <c r="BE346" s="173"/>
      <c r="BF346" s="173"/>
      <c r="BG346" s="173"/>
      <c r="BH346" s="173"/>
      <c r="BI346" s="173"/>
      <c r="BJ346" s="173"/>
      <c r="BK346" s="173"/>
      <c r="BL346" s="173"/>
      <c r="BM346" s="173"/>
      <c r="BN346" s="173"/>
      <c r="BO346" s="173"/>
      <c r="BP346" s="173"/>
      <c r="BQ346" s="173"/>
      <c r="BR346" s="173"/>
      <c r="BS346" s="173"/>
      <c r="BT346" s="173"/>
      <c r="BU346" s="173"/>
      <c r="BV346" s="173"/>
      <c r="BW346" s="173"/>
      <c r="BX346" s="173"/>
      <c r="BY346" s="173"/>
    </row>
    <row r="347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3"/>
      <c r="AT347" s="173"/>
      <c r="AU347" s="173"/>
      <c r="AV347" s="173"/>
      <c r="AW347" s="173"/>
      <c r="AX347" s="173"/>
      <c r="AY347" s="173"/>
      <c r="AZ347" s="173"/>
      <c r="BA347" s="173"/>
      <c r="BB347" s="173"/>
      <c r="BC347" s="173"/>
      <c r="BD347" s="173"/>
      <c r="BE347" s="173"/>
      <c r="BF347" s="173"/>
      <c r="BG347" s="173"/>
      <c r="BH347" s="173"/>
      <c r="BI347" s="173"/>
      <c r="BJ347" s="173"/>
      <c r="BK347" s="173"/>
      <c r="BL347" s="173"/>
      <c r="BM347" s="173"/>
      <c r="BN347" s="173"/>
      <c r="BO347" s="173"/>
      <c r="BP347" s="173"/>
      <c r="BQ347" s="173"/>
      <c r="BR347" s="173"/>
      <c r="BS347" s="173"/>
      <c r="BT347" s="173"/>
      <c r="BU347" s="173"/>
      <c r="BV347" s="173"/>
      <c r="BW347" s="173"/>
      <c r="BX347" s="173"/>
      <c r="BY347" s="173"/>
    </row>
    <row r="348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3"/>
      <c r="AT348" s="173"/>
      <c r="AU348" s="173"/>
      <c r="AV348" s="173"/>
      <c r="AW348" s="173"/>
      <c r="AX348" s="173"/>
      <c r="AY348" s="173"/>
      <c r="AZ348" s="173"/>
      <c r="BA348" s="173"/>
      <c r="BB348" s="173"/>
      <c r="BC348" s="173"/>
      <c r="BD348" s="173"/>
      <c r="BE348" s="173"/>
      <c r="BF348" s="173"/>
      <c r="BG348" s="173"/>
      <c r="BH348" s="173"/>
      <c r="BI348" s="173"/>
      <c r="BJ348" s="173"/>
      <c r="BK348" s="173"/>
      <c r="BL348" s="173"/>
      <c r="BM348" s="173"/>
      <c r="BN348" s="173"/>
      <c r="BO348" s="173"/>
      <c r="BP348" s="173"/>
      <c r="BQ348" s="173"/>
      <c r="BR348" s="173"/>
      <c r="BS348" s="173"/>
      <c r="BT348" s="173"/>
      <c r="BU348" s="173"/>
      <c r="BV348" s="173"/>
      <c r="BW348" s="173"/>
      <c r="BX348" s="173"/>
      <c r="BY348" s="173"/>
    </row>
    <row r="349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3"/>
      <c r="AT349" s="173"/>
      <c r="AU349" s="173"/>
      <c r="AV349" s="173"/>
      <c r="AW349" s="173"/>
      <c r="AX349" s="173"/>
      <c r="AY349" s="173"/>
      <c r="AZ349" s="173"/>
      <c r="BA349" s="173"/>
      <c r="BB349" s="173"/>
      <c r="BC349" s="173"/>
      <c r="BD349" s="173"/>
      <c r="BE349" s="173"/>
      <c r="BF349" s="173"/>
      <c r="BG349" s="173"/>
      <c r="BH349" s="173"/>
      <c r="BI349" s="173"/>
      <c r="BJ349" s="173"/>
      <c r="BK349" s="173"/>
      <c r="BL349" s="173"/>
      <c r="BM349" s="173"/>
      <c r="BN349" s="173"/>
      <c r="BO349" s="173"/>
      <c r="BP349" s="173"/>
      <c r="BQ349" s="173"/>
      <c r="BR349" s="173"/>
      <c r="BS349" s="173"/>
      <c r="BT349" s="173"/>
      <c r="BU349" s="173"/>
      <c r="BV349" s="173"/>
      <c r="BW349" s="173"/>
      <c r="BX349" s="173"/>
      <c r="BY349" s="173"/>
    </row>
    <row r="350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3"/>
      <c r="AT350" s="173"/>
      <c r="AU350" s="173"/>
      <c r="AV350" s="173"/>
      <c r="AW350" s="173"/>
      <c r="AX350" s="173"/>
      <c r="AY350" s="173"/>
      <c r="AZ350" s="173"/>
      <c r="BA350" s="173"/>
      <c r="BB350" s="173"/>
      <c r="BC350" s="173"/>
      <c r="BD350" s="173"/>
      <c r="BE350" s="173"/>
      <c r="BF350" s="173"/>
      <c r="BG350" s="173"/>
      <c r="BH350" s="173"/>
      <c r="BI350" s="173"/>
      <c r="BJ350" s="173"/>
      <c r="BK350" s="173"/>
      <c r="BL350" s="173"/>
      <c r="BM350" s="173"/>
      <c r="BN350" s="173"/>
      <c r="BO350" s="173"/>
      <c r="BP350" s="173"/>
      <c r="BQ350" s="173"/>
      <c r="BR350" s="173"/>
      <c r="BS350" s="173"/>
      <c r="BT350" s="173"/>
      <c r="BU350" s="173"/>
      <c r="BV350" s="173"/>
      <c r="BW350" s="173"/>
      <c r="BX350" s="173"/>
      <c r="BY350" s="173"/>
    </row>
    <row r="351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3"/>
      <c r="AT351" s="173"/>
      <c r="AU351" s="173"/>
      <c r="AV351" s="173"/>
      <c r="AW351" s="173"/>
      <c r="AX351" s="173"/>
      <c r="AY351" s="173"/>
      <c r="AZ351" s="173"/>
      <c r="BA351" s="173"/>
      <c r="BB351" s="173"/>
      <c r="BC351" s="173"/>
      <c r="BD351" s="173"/>
      <c r="BE351" s="173"/>
      <c r="BF351" s="173"/>
      <c r="BG351" s="173"/>
      <c r="BH351" s="173"/>
      <c r="BI351" s="173"/>
      <c r="BJ351" s="173"/>
      <c r="BK351" s="173"/>
      <c r="BL351" s="173"/>
      <c r="BM351" s="173"/>
      <c r="BN351" s="173"/>
      <c r="BO351" s="173"/>
      <c r="BP351" s="173"/>
      <c r="BQ351" s="173"/>
      <c r="BR351" s="173"/>
      <c r="BS351" s="173"/>
      <c r="BT351" s="173"/>
      <c r="BU351" s="173"/>
      <c r="BV351" s="173"/>
      <c r="BW351" s="173"/>
      <c r="BX351" s="173"/>
      <c r="BY351" s="173"/>
    </row>
    <row r="352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3"/>
      <c r="AT352" s="173"/>
      <c r="AU352" s="173"/>
      <c r="AV352" s="173"/>
      <c r="AW352" s="173"/>
      <c r="AX352" s="173"/>
      <c r="AY352" s="173"/>
      <c r="AZ352" s="173"/>
      <c r="BA352" s="173"/>
      <c r="BB352" s="173"/>
      <c r="BC352" s="173"/>
      <c r="BD352" s="173"/>
      <c r="BE352" s="173"/>
      <c r="BF352" s="173"/>
      <c r="BG352" s="173"/>
      <c r="BH352" s="173"/>
      <c r="BI352" s="173"/>
      <c r="BJ352" s="173"/>
      <c r="BK352" s="173"/>
      <c r="BL352" s="173"/>
      <c r="BM352" s="173"/>
      <c r="BN352" s="173"/>
      <c r="BO352" s="173"/>
      <c r="BP352" s="173"/>
      <c r="BQ352" s="173"/>
      <c r="BR352" s="173"/>
      <c r="BS352" s="173"/>
      <c r="BT352" s="173"/>
      <c r="BU352" s="173"/>
      <c r="BV352" s="173"/>
      <c r="BW352" s="173"/>
      <c r="BX352" s="173"/>
      <c r="BY352" s="173"/>
    </row>
    <row r="353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3"/>
      <c r="AT353" s="173"/>
      <c r="AU353" s="173"/>
      <c r="AV353" s="173"/>
      <c r="AW353" s="173"/>
      <c r="AX353" s="173"/>
      <c r="AY353" s="173"/>
      <c r="AZ353" s="173"/>
      <c r="BA353" s="173"/>
      <c r="BB353" s="173"/>
      <c r="BC353" s="173"/>
      <c r="BD353" s="173"/>
      <c r="BE353" s="173"/>
      <c r="BF353" s="173"/>
      <c r="BG353" s="173"/>
      <c r="BH353" s="173"/>
      <c r="BI353" s="173"/>
      <c r="BJ353" s="173"/>
      <c r="BK353" s="173"/>
      <c r="BL353" s="173"/>
      <c r="BM353" s="173"/>
      <c r="BN353" s="173"/>
      <c r="BO353" s="173"/>
      <c r="BP353" s="173"/>
      <c r="BQ353" s="173"/>
      <c r="BR353" s="173"/>
      <c r="BS353" s="173"/>
      <c r="BT353" s="173"/>
      <c r="BU353" s="173"/>
      <c r="BV353" s="173"/>
      <c r="BW353" s="173"/>
      <c r="BX353" s="173"/>
      <c r="BY353" s="173"/>
    </row>
    <row r="354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3"/>
      <c r="AT354" s="173"/>
      <c r="AU354" s="173"/>
      <c r="AV354" s="173"/>
      <c r="AW354" s="173"/>
      <c r="AX354" s="173"/>
      <c r="AY354" s="173"/>
      <c r="AZ354" s="173"/>
      <c r="BA354" s="173"/>
      <c r="BB354" s="173"/>
      <c r="BC354" s="173"/>
      <c r="BD354" s="173"/>
      <c r="BE354" s="173"/>
      <c r="BF354" s="173"/>
      <c r="BG354" s="173"/>
      <c r="BH354" s="173"/>
      <c r="BI354" s="173"/>
      <c r="BJ354" s="173"/>
      <c r="BK354" s="173"/>
      <c r="BL354" s="173"/>
      <c r="BM354" s="173"/>
      <c r="BN354" s="173"/>
      <c r="BO354" s="173"/>
      <c r="BP354" s="173"/>
      <c r="BQ354" s="173"/>
      <c r="BR354" s="173"/>
      <c r="BS354" s="173"/>
      <c r="BT354" s="173"/>
      <c r="BU354" s="173"/>
      <c r="BV354" s="173"/>
      <c r="BW354" s="173"/>
      <c r="BX354" s="173"/>
      <c r="BY354" s="173"/>
    </row>
    <row r="355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3"/>
      <c r="AT355" s="173"/>
      <c r="AU355" s="173"/>
      <c r="AV355" s="173"/>
      <c r="AW355" s="173"/>
      <c r="AX355" s="173"/>
      <c r="AY355" s="173"/>
      <c r="AZ355" s="173"/>
      <c r="BA355" s="173"/>
      <c r="BB355" s="173"/>
      <c r="BC355" s="173"/>
      <c r="BD355" s="173"/>
      <c r="BE355" s="173"/>
      <c r="BF355" s="173"/>
      <c r="BG355" s="173"/>
      <c r="BH355" s="173"/>
      <c r="BI355" s="173"/>
      <c r="BJ355" s="173"/>
      <c r="BK355" s="173"/>
      <c r="BL355" s="173"/>
      <c r="BM355" s="173"/>
      <c r="BN355" s="173"/>
      <c r="BO355" s="173"/>
      <c r="BP355" s="173"/>
      <c r="BQ355" s="173"/>
      <c r="BR355" s="173"/>
      <c r="BS355" s="173"/>
      <c r="BT355" s="173"/>
      <c r="BU355" s="173"/>
      <c r="BV355" s="173"/>
      <c r="BW355" s="173"/>
      <c r="BX355" s="173"/>
      <c r="BY355" s="173"/>
    </row>
    <row r="356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3"/>
      <c r="AT356" s="173"/>
      <c r="AU356" s="173"/>
      <c r="AV356" s="173"/>
      <c r="AW356" s="173"/>
      <c r="AX356" s="173"/>
      <c r="AY356" s="173"/>
      <c r="AZ356" s="173"/>
      <c r="BA356" s="173"/>
      <c r="BB356" s="173"/>
      <c r="BC356" s="173"/>
      <c r="BD356" s="173"/>
      <c r="BE356" s="173"/>
      <c r="BF356" s="173"/>
      <c r="BG356" s="173"/>
      <c r="BH356" s="173"/>
      <c r="BI356" s="173"/>
      <c r="BJ356" s="173"/>
      <c r="BK356" s="173"/>
      <c r="BL356" s="173"/>
      <c r="BM356" s="173"/>
      <c r="BN356" s="173"/>
      <c r="BO356" s="173"/>
      <c r="BP356" s="173"/>
      <c r="BQ356" s="173"/>
      <c r="BR356" s="173"/>
      <c r="BS356" s="173"/>
      <c r="BT356" s="173"/>
      <c r="BU356" s="173"/>
      <c r="BV356" s="173"/>
      <c r="BW356" s="173"/>
      <c r="BX356" s="173"/>
      <c r="BY356" s="173"/>
    </row>
    <row r="357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3"/>
      <c r="AT357" s="173"/>
      <c r="AU357" s="173"/>
      <c r="AV357" s="173"/>
      <c r="AW357" s="173"/>
      <c r="AX357" s="173"/>
      <c r="AY357" s="173"/>
      <c r="AZ357" s="173"/>
      <c r="BA357" s="173"/>
      <c r="BB357" s="173"/>
      <c r="BC357" s="173"/>
      <c r="BD357" s="173"/>
      <c r="BE357" s="173"/>
      <c r="BF357" s="173"/>
      <c r="BG357" s="173"/>
      <c r="BH357" s="173"/>
      <c r="BI357" s="173"/>
      <c r="BJ357" s="173"/>
      <c r="BK357" s="173"/>
      <c r="BL357" s="173"/>
      <c r="BM357" s="173"/>
      <c r="BN357" s="173"/>
      <c r="BO357" s="173"/>
      <c r="BP357" s="173"/>
      <c r="BQ357" s="173"/>
      <c r="BR357" s="173"/>
      <c r="BS357" s="173"/>
      <c r="BT357" s="173"/>
      <c r="BU357" s="173"/>
      <c r="BV357" s="173"/>
      <c r="BW357" s="173"/>
      <c r="BX357" s="173"/>
      <c r="BY357" s="173"/>
    </row>
    <row r="358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3"/>
      <c r="AT358" s="173"/>
      <c r="AU358" s="173"/>
      <c r="AV358" s="173"/>
      <c r="AW358" s="173"/>
      <c r="AX358" s="173"/>
      <c r="AY358" s="173"/>
      <c r="AZ358" s="173"/>
      <c r="BA358" s="173"/>
      <c r="BB358" s="173"/>
      <c r="BC358" s="173"/>
      <c r="BD358" s="173"/>
      <c r="BE358" s="173"/>
      <c r="BF358" s="173"/>
      <c r="BG358" s="173"/>
      <c r="BH358" s="173"/>
      <c r="BI358" s="173"/>
      <c r="BJ358" s="173"/>
      <c r="BK358" s="173"/>
      <c r="BL358" s="173"/>
      <c r="BM358" s="173"/>
      <c r="BN358" s="173"/>
      <c r="BO358" s="173"/>
      <c r="BP358" s="173"/>
      <c r="BQ358" s="173"/>
      <c r="BR358" s="173"/>
      <c r="BS358" s="173"/>
      <c r="BT358" s="173"/>
      <c r="BU358" s="173"/>
      <c r="BV358" s="173"/>
      <c r="BW358" s="173"/>
      <c r="BX358" s="173"/>
      <c r="BY358" s="173"/>
    </row>
    <row r="359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3"/>
      <c r="AT359" s="173"/>
      <c r="AU359" s="173"/>
      <c r="AV359" s="173"/>
      <c r="AW359" s="173"/>
      <c r="AX359" s="173"/>
      <c r="AY359" s="173"/>
      <c r="AZ359" s="173"/>
      <c r="BA359" s="173"/>
      <c r="BB359" s="173"/>
      <c r="BC359" s="173"/>
      <c r="BD359" s="173"/>
      <c r="BE359" s="173"/>
      <c r="BF359" s="173"/>
      <c r="BG359" s="173"/>
      <c r="BH359" s="173"/>
      <c r="BI359" s="173"/>
      <c r="BJ359" s="173"/>
      <c r="BK359" s="173"/>
      <c r="BL359" s="173"/>
      <c r="BM359" s="173"/>
      <c r="BN359" s="173"/>
      <c r="BO359" s="173"/>
      <c r="BP359" s="173"/>
      <c r="BQ359" s="173"/>
      <c r="BR359" s="173"/>
      <c r="BS359" s="173"/>
      <c r="BT359" s="173"/>
      <c r="BU359" s="173"/>
      <c r="BV359" s="173"/>
      <c r="BW359" s="173"/>
      <c r="BX359" s="173"/>
      <c r="BY359" s="173"/>
    </row>
    <row r="360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3"/>
      <c r="AT360" s="173"/>
      <c r="AU360" s="173"/>
      <c r="AV360" s="173"/>
      <c r="AW360" s="173"/>
      <c r="AX360" s="173"/>
      <c r="AY360" s="173"/>
      <c r="AZ360" s="173"/>
      <c r="BA360" s="173"/>
      <c r="BB360" s="173"/>
      <c r="BC360" s="173"/>
      <c r="BD360" s="173"/>
      <c r="BE360" s="173"/>
      <c r="BF360" s="173"/>
      <c r="BG360" s="173"/>
      <c r="BH360" s="173"/>
      <c r="BI360" s="173"/>
      <c r="BJ360" s="173"/>
      <c r="BK360" s="173"/>
      <c r="BL360" s="173"/>
      <c r="BM360" s="173"/>
      <c r="BN360" s="173"/>
      <c r="BO360" s="173"/>
      <c r="BP360" s="173"/>
      <c r="BQ360" s="173"/>
      <c r="BR360" s="173"/>
      <c r="BS360" s="173"/>
      <c r="BT360" s="173"/>
      <c r="BU360" s="173"/>
      <c r="BV360" s="173"/>
      <c r="BW360" s="173"/>
      <c r="BX360" s="173"/>
      <c r="BY360" s="173"/>
    </row>
    <row r="361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3"/>
      <c r="AT361" s="173"/>
      <c r="AU361" s="173"/>
      <c r="AV361" s="173"/>
      <c r="AW361" s="173"/>
      <c r="AX361" s="173"/>
      <c r="AY361" s="173"/>
      <c r="AZ361" s="173"/>
      <c r="BA361" s="173"/>
      <c r="BB361" s="173"/>
      <c r="BC361" s="173"/>
      <c r="BD361" s="173"/>
      <c r="BE361" s="173"/>
      <c r="BF361" s="173"/>
      <c r="BG361" s="173"/>
      <c r="BH361" s="173"/>
      <c r="BI361" s="173"/>
      <c r="BJ361" s="173"/>
      <c r="BK361" s="173"/>
      <c r="BL361" s="173"/>
      <c r="BM361" s="173"/>
      <c r="BN361" s="173"/>
      <c r="BO361" s="173"/>
      <c r="BP361" s="173"/>
      <c r="BQ361" s="173"/>
      <c r="BR361" s="173"/>
      <c r="BS361" s="173"/>
      <c r="BT361" s="173"/>
      <c r="BU361" s="173"/>
      <c r="BV361" s="173"/>
      <c r="BW361" s="173"/>
      <c r="BX361" s="173"/>
      <c r="BY361" s="173"/>
    </row>
    <row r="362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3"/>
      <c r="AT362" s="173"/>
      <c r="AU362" s="173"/>
      <c r="AV362" s="173"/>
      <c r="AW362" s="173"/>
      <c r="AX362" s="173"/>
      <c r="AY362" s="173"/>
      <c r="AZ362" s="173"/>
      <c r="BA362" s="173"/>
      <c r="BB362" s="173"/>
      <c r="BC362" s="173"/>
      <c r="BD362" s="173"/>
      <c r="BE362" s="173"/>
      <c r="BF362" s="173"/>
      <c r="BG362" s="173"/>
      <c r="BH362" s="173"/>
      <c r="BI362" s="173"/>
      <c r="BJ362" s="173"/>
      <c r="BK362" s="173"/>
      <c r="BL362" s="173"/>
      <c r="BM362" s="173"/>
      <c r="BN362" s="173"/>
      <c r="BO362" s="173"/>
      <c r="BP362" s="173"/>
      <c r="BQ362" s="173"/>
      <c r="BR362" s="173"/>
      <c r="BS362" s="173"/>
      <c r="BT362" s="173"/>
      <c r="BU362" s="173"/>
      <c r="BV362" s="173"/>
      <c r="BW362" s="173"/>
      <c r="BX362" s="173"/>
      <c r="BY362" s="173"/>
    </row>
    <row r="363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3"/>
      <c r="AT363" s="173"/>
      <c r="AU363" s="173"/>
      <c r="AV363" s="173"/>
      <c r="AW363" s="173"/>
      <c r="AX363" s="173"/>
      <c r="AY363" s="173"/>
      <c r="AZ363" s="173"/>
      <c r="BA363" s="173"/>
      <c r="BB363" s="173"/>
      <c r="BC363" s="173"/>
      <c r="BD363" s="173"/>
      <c r="BE363" s="173"/>
      <c r="BF363" s="173"/>
      <c r="BG363" s="173"/>
      <c r="BH363" s="173"/>
      <c r="BI363" s="173"/>
      <c r="BJ363" s="173"/>
      <c r="BK363" s="173"/>
      <c r="BL363" s="173"/>
      <c r="BM363" s="173"/>
      <c r="BN363" s="173"/>
      <c r="BO363" s="173"/>
      <c r="BP363" s="173"/>
      <c r="BQ363" s="173"/>
      <c r="BR363" s="173"/>
      <c r="BS363" s="173"/>
      <c r="BT363" s="173"/>
      <c r="BU363" s="173"/>
      <c r="BV363" s="173"/>
      <c r="BW363" s="173"/>
      <c r="BX363" s="173"/>
      <c r="BY363" s="173"/>
    </row>
    <row r="364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3"/>
      <c r="AT364" s="173"/>
      <c r="AU364" s="173"/>
      <c r="AV364" s="173"/>
      <c r="AW364" s="173"/>
      <c r="AX364" s="173"/>
      <c r="AY364" s="173"/>
      <c r="AZ364" s="173"/>
      <c r="BA364" s="173"/>
      <c r="BB364" s="173"/>
      <c r="BC364" s="173"/>
      <c r="BD364" s="173"/>
      <c r="BE364" s="173"/>
      <c r="BF364" s="173"/>
      <c r="BG364" s="173"/>
      <c r="BH364" s="173"/>
      <c r="BI364" s="173"/>
      <c r="BJ364" s="173"/>
      <c r="BK364" s="173"/>
      <c r="BL364" s="173"/>
      <c r="BM364" s="173"/>
      <c r="BN364" s="173"/>
      <c r="BO364" s="173"/>
      <c r="BP364" s="173"/>
      <c r="BQ364" s="173"/>
      <c r="BR364" s="173"/>
      <c r="BS364" s="173"/>
      <c r="BT364" s="173"/>
      <c r="BU364" s="173"/>
      <c r="BV364" s="173"/>
      <c r="BW364" s="173"/>
      <c r="BX364" s="173"/>
      <c r="BY364" s="173"/>
    </row>
    <row r="365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3"/>
      <c r="AT365" s="173"/>
      <c r="AU365" s="173"/>
      <c r="AV365" s="173"/>
      <c r="AW365" s="173"/>
      <c r="AX365" s="173"/>
      <c r="AY365" s="173"/>
      <c r="AZ365" s="173"/>
      <c r="BA365" s="173"/>
      <c r="BB365" s="173"/>
      <c r="BC365" s="173"/>
      <c r="BD365" s="173"/>
      <c r="BE365" s="173"/>
      <c r="BF365" s="173"/>
      <c r="BG365" s="173"/>
      <c r="BH365" s="173"/>
      <c r="BI365" s="173"/>
      <c r="BJ365" s="173"/>
      <c r="BK365" s="173"/>
      <c r="BL365" s="173"/>
      <c r="BM365" s="173"/>
      <c r="BN365" s="173"/>
      <c r="BO365" s="173"/>
      <c r="BP365" s="173"/>
      <c r="BQ365" s="173"/>
      <c r="BR365" s="173"/>
      <c r="BS365" s="173"/>
      <c r="BT365" s="173"/>
      <c r="BU365" s="173"/>
      <c r="BV365" s="173"/>
      <c r="BW365" s="173"/>
      <c r="BX365" s="173"/>
      <c r="BY365" s="173"/>
    </row>
    <row r="366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3"/>
      <c r="AT366" s="173"/>
      <c r="AU366" s="173"/>
      <c r="AV366" s="173"/>
      <c r="AW366" s="173"/>
      <c r="AX366" s="173"/>
      <c r="AY366" s="173"/>
      <c r="AZ366" s="173"/>
      <c r="BA366" s="173"/>
      <c r="BB366" s="173"/>
      <c r="BC366" s="173"/>
      <c r="BD366" s="173"/>
      <c r="BE366" s="173"/>
      <c r="BF366" s="173"/>
      <c r="BG366" s="173"/>
      <c r="BH366" s="173"/>
      <c r="BI366" s="173"/>
      <c r="BJ366" s="173"/>
      <c r="BK366" s="173"/>
      <c r="BL366" s="173"/>
      <c r="BM366" s="173"/>
      <c r="BN366" s="173"/>
      <c r="BO366" s="173"/>
      <c r="BP366" s="173"/>
      <c r="BQ366" s="173"/>
      <c r="BR366" s="173"/>
      <c r="BS366" s="173"/>
      <c r="BT366" s="173"/>
      <c r="BU366" s="173"/>
      <c r="BV366" s="173"/>
      <c r="BW366" s="173"/>
      <c r="BX366" s="173"/>
      <c r="BY366" s="173"/>
    </row>
    <row r="367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3"/>
      <c r="AT367" s="173"/>
      <c r="AU367" s="173"/>
      <c r="AV367" s="173"/>
      <c r="AW367" s="173"/>
      <c r="AX367" s="173"/>
      <c r="AY367" s="173"/>
      <c r="AZ367" s="173"/>
      <c r="BA367" s="173"/>
      <c r="BB367" s="173"/>
      <c r="BC367" s="173"/>
      <c r="BD367" s="173"/>
      <c r="BE367" s="173"/>
      <c r="BF367" s="173"/>
      <c r="BG367" s="173"/>
      <c r="BH367" s="173"/>
      <c r="BI367" s="173"/>
      <c r="BJ367" s="173"/>
      <c r="BK367" s="173"/>
      <c r="BL367" s="173"/>
      <c r="BM367" s="173"/>
      <c r="BN367" s="173"/>
      <c r="BO367" s="173"/>
      <c r="BP367" s="173"/>
      <c r="BQ367" s="173"/>
      <c r="BR367" s="173"/>
      <c r="BS367" s="173"/>
      <c r="BT367" s="173"/>
      <c r="BU367" s="173"/>
      <c r="BV367" s="173"/>
      <c r="BW367" s="173"/>
      <c r="BX367" s="173"/>
      <c r="BY367" s="173"/>
    </row>
    <row r="368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3"/>
      <c r="AT368" s="173"/>
      <c r="AU368" s="173"/>
      <c r="AV368" s="173"/>
      <c r="AW368" s="173"/>
      <c r="AX368" s="173"/>
      <c r="AY368" s="173"/>
      <c r="AZ368" s="173"/>
      <c r="BA368" s="173"/>
      <c r="BB368" s="173"/>
      <c r="BC368" s="173"/>
      <c r="BD368" s="173"/>
      <c r="BE368" s="173"/>
      <c r="BF368" s="173"/>
      <c r="BG368" s="173"/>
      <c r="BH368" s="173"/>
      <c r="BI368" s="173"/>
      <c r="BJ368" s="173"/>
      <c r="BK368" s="173"/>
      <c r="BL368" s="173"/>
      <c r="BM368" s="173"/>
      <c r="BN368" s="173"/>
      <c r="BO368" s="173"/>
      <c r="BP368" s="173"/>
      <c r="BQ368" s="173"/>
      <c r="BR368" s="173"/>
      <c r="BS368" s="173"/>
      <c r="BT368" s="173"/>
      <c r="BU368" s="173"/>
      <c r="BV368" s="173"/>
      <c r="BW368" s="173"/>
      <c r="BX368" s="173"/>
      <c r="BY368" s="173"/>
    </row>
    <row r="369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3"/>
      <c r="AT369" s="173"/>
      <c r="AU369" s="173"/>
      <c r="AV369" s="173"/>
      <c r="AW369" s="173"/>
      <c r="AX369" s="173"/>
      <c r="AY369" s="173"/>
      <c r="AZ369" s="173"/>
      <c r="BA369" s="173"/>
      <c r="BB369" s="173"/>
      <c r="BC369" s="173"/>
      <c r="BD369" s="173"/>
      <c r="BE369" s="173"/>
      <c r="BF369" s="173"/>
      <c r="BG369" s="173"/>
      <c r="BH369" s="173"/>
      <c r="BI369" s="173"/>
      <c r="BJ369" s="173"/>
      <c r="BK369" s="173"/>
      <c r="BL369" s="173"/>
      <c r="BM369" s="173"/>
      <c r="BN369" s="173"/>
      <c r="BO369" s="173"/>
      <c r="BP369" s="173"/>
      <c r="BQ369" s="173"/>
      <c r="BR369" s="173"/>
      <c r="BS369" s="173"/>
      <c r="BT369" s="173"/>
      <c r="BU369" s="173"/>
      <c r="BV369" s="173"/>
      <c r="BW369" s="173"/>
      <c r="BX369" s="173"/>
      <c r="BY369" s="173"/>
    </row>
    <row r="370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3"/>
      <c r="AT370" s="173"/>
      <c r="AU370" s="173"/>
      <c r="AV370" s="173"/>
      <c r="AW370" s="173"/>
      <c r="AX370" s="173"/>
      <c r="AY370" s="173"/>
      <c r="AZ370" s="173"/>
      <c r="BA370" s="173"/>
      <c r="BB370" s="173"/>
      <c r="BC370" s="173"/>
      <c r="BD370" s="173"/>
      <c r="BE370" s="173"/>
      <c r="BF370" s="173"/>
      <c r="BG370" s="173"/>
      <c r="BH370" s="173"/>
      <c r="BI370" s="173"/>
      <c r="BJ370" s="173"/>
      <c r="BK370" s="173"/>
      <c r="BL370" s="173"/>
      <c r="BM370" s="173"/>
      <c r="BN370" s="173"/>
      <c r="BO370" s="173"/>
      <c r="BP370" s="173"/>
      <c r="BQ370" s="173"/>
      <c r="BR370" s="173"/>
      <c r="BS370" s="173"/>
      <c r="BT370" s="173"/>
      <c r="BU370" s="173"/>
      <c r="BV370" s="173"/>
      <c r="BW370" s="173"/>
      <c r="BX370" s="173"/>
      <c r="BY370" s="173"/>
    </row>
    <row r="371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3"/>
      <c r="AT371" s="173"/>
      <c r="AU371" s="173"/>
      <c r="AV371" s="173"/>
      <c r="AW371" s="173"/>
      <c r="AX371" s="173"/>
      <c r="AY371" s="173"/>
      <c r="AZ371" s="173"/>
      <c r="BA371" s="173"/>
      <c r="BB371" s="173"/>
      <c r="BC371" s="173"/>
      <c r="BD371" s="173"/>
      <c r="BE371" s="173"/>
      <c r="BF371" s="173"/>
      <c r="BG371" s="173"/>
      <c r="BH371" s="173"/>
      <c r="BI371" s="173"/>
      <c r="BJ371" s="173"/>
      <c r="BK371" s="173"/>
      <c r="BL371" s="173"/>
      <c r="BM371" s="173"/>
      <c r="BN371" s="173"/>
      <c r="BO371" s="173"/>
      <c r="BP371" s="173"/>
      <c r="BQ371" s="173"/>
      <c r="BR371" s="173"/>
      <c r="BS371" s="173"/>
      <c r="BT371" s="173"/>
      <c r="BU371" s="173"/>
      <c r="BV371" s="173"/>
      <c r="BW371" s="173"/>
      <c r="BX371" s="173"/>
      <c r="BY371" s="173"/>
    </row>
    <row r="372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3"/>
      <c r="AT372" s="173"/>
      <c r="AU372" s="173"/>
      <c r="AV372" s="173"/>
      <c r="AW372" s="173"/>
      <c r="AX372" s="173"/>
      <c r="AY372" s="173"/>
      <c r="AZ372" s="173"/>
      <c r="BA372" s="173"/>
      <c r="BB372" s="173"/>
      <c r="BC372" s="173"/>
      <c r="BD372" s="173"/>
      <c r="BE372" s="173"/>
      <c r="BF372" s="173"/>
      <c r="BG372" s="173"/>
      <c r="BH372" s="173"/>
      <c r="BI372" s="173"/>
      <c r="BJ372" s="173"/>
      <c r="BK372" s="173"/>
      <c r="BL372" s="173"/>
      <c r="BM372" s="173"/>
      <c r="BN372" s="173"/>
      <c r="BO372" s="173"/>
      <c r="BP372" s="173"/>
      <c r="BQ372" s="173"/>
      <c r="BR372" s="173"/>
      <c r="BS372" s="173"/>
      <c r="BT372" s="173"/>
      <c r="BU372" s="173"/>
      <c r="BV372" s="173"/>
      <c r="BW372" s="173"/>
      <c r="BX372" s="173"/>
      <c r="BY372" s="173"/>
    </row>
    <row r="373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3"/>
      <c r="AT373" s="173"/>
      <c r="AU373" s="173"/>
      <c r="AV373" s="173"/>
      <c r="AW373" s="173"/>
      <c r="AX373" s="173"/>
      <c r="AY373" s="173"/>
      <c r="AZ373" s="173"/>
      <c r="BA373" s="173"/>
      <c r="BB373" s="173"/>
      <c r="BC373" s="173"/>
      <c r="BD373" s="173"/>
      <c r="BE373" s="173"/>
      <c r="BF373" s="173"/>
      <c r="BG373" s="173"/>
      <c r="BH373" s="173"/>
      <c r="BI373" s="173"/>
      <c r="BJ373" s="173"/>
      <c r="BK373" s="173"/>
      <c r="BL373" s="173"/>
      <c r="BM373" s="173"/>
      <c r="BN373" s="173"/>
      <c r="BO373" s="173"/>
      <c r="BP373" s="173"/>
      <c r="BQ373" s="173"/>
      <c r="BR373" s="173"/>
      <c r="BS373" s="173"/>
      <c r="BT373" s="173"/>
      <c r="BU373" s="173"/>
      <c r="BV373" s="173"/>
      <c r="BW373" s="173"/>
      <c r="BX373" s="173"/>
      <c r="BY373" s="173"/>
    </row>
    <row r="374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3"/>
      <c r="AT374" s="173"/>
      <c r="AU374" s="173"/>
      <c r="AV374" s="173"/>
      <c r="AW374" s="173"/>
      <c r="AX374" s="173"/>
      <c r="AY374" s="173"/>
      <c r="AZ374" s="173"/>
      <c r="BA374" s="173"/>
      <c r="BB374" s="173"/>
      <c r="BC374" s="173"/>
      <c r="BD374" s="173"/>
      <c r="BE374" s="173"/>
      <c r="BF374" s="173"/>
      <c r="BG374" s="173"/>
      <c r="BH374" s="173"/>
      <c r="BI374" s="173"/>
      <c r="BJ374" s="173"/>
      <c r="BK374" s="173"/>
      <c r="BL374" s="173"/>
      <c r="BM374" s="173"/>
      <c r="BN374" s="173"/>
      <c r="BO374" s="173"/>
      <c r="BP374" s="173"/>
      <c r="BQ374" s="173"/>
      <c r="BR374" s="173"/>
      <c r="BS374" s="173"/>
      <c r="BT374" s="173"/>
      <c r="BU374" s="173"/>
      <c r="BV374" s="173"/>
      <c r="BW374" s="173"/>
      <c r="BX374" s="173"/>
      <c r="BY374" s="173"/>
    </row>
    <row r="375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3"/>
      <c r="AT375" s="173"/>
      <c r="AU375" s="173"/>
      <c r="AV375" s="173"/>
      <c r="AW375" s="173"/>
      <c r="AX375" s="173"/>
      <c r="AY375" s="173"/>
      <c r="AZ375" s="173"/>
      <c r="BA375" s="173"/>
      <c r="BB375" s="173"/>
      <c r="BC375" s="173"/>
      <c r="BD375" s="173"/>
      <c r="BE375" s="173"/>
      <c r="BF375" s="173"/>
      <c r="BG375" s="173"/>
      <c r="BH375" s="173"/>
      <c r="BI375" s="173"/>
      <c r="BJ375" s="173"/>
      <c r="BK375" s="173"/>
      <c r="BL375" s="173"/>
      <c r="BM375" s="173"/>
      <c r="BN375" s="173"/>
      <c r="BO375" s="173"/>
      <c r="BP375" s="173"/>
      <c r="BQ375" s="173"/>
      <c r="BR375" s="173"/>
      <c r="BS375" s="173"/>
      <c r="BT375" s="173"/>
      <c r="BU375" s="173"/>
      <c r="BV375" s="173"/>
      <c r="BW375" s="173"/>
      <c r="BX375" s="173"/>
      <c r="BY375" s="173"/>
    </row>
    <row r="376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3"/>
      <c r="AT376" s="173"/>
      <c r="AU376" s="173"/>
      <c r="AV376" s="173"/>
      <c r="AW376" s="173"/>
      <c r="AX376" s="173"/>
      <c r="AY376" s="173"/>
      <c r="AZ376" s="173"/>
      <c r="BA376" s="173"/>
      <c r="BB376" s="173"/>
      <c r="BC376" s="173"/>
      <c r="BD376" s="173"/>
      <c r="BE376" s="173"/>
      <c r="BF376" s="173"/>
      <c r="BG376" s="173"/>
      <c r="BH376" s="173"/>
      <c r="BI376" s="173"/>
      <c r="BJ376" s="173"/>
      <c r="BK376" s="173"/>
      <c r="BL376" s="173"/>
      <c r="BM376" s="173"/>
      <c r="BN376" s="173"/>
      <c r="BO376" s="173"/>
      <c r="BP376" s="173"/>
      <c r="BQ376" s="173"/>
      <c r="BR376" s="173"/>
      <c r="BS376" s="173"/>
      <c r="BT376" s="173"/>
      <c r="BU376" s="173"/>
      <c r="BV376" s="173"/>
      <c r="BW376" s="173"/>
      <c r="BX376" s="173"/>
      <c r="BY376" s="173"/>
    </row>
    <row r="377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3"/>
      <c r="AT377" s="173"/>
      <c r="AU377" s="173"/>
      <c r="AV377" s="173"/>
      <c r="AW377" s="173"/>
      <c r="AX377" s="173"/>
      <c r="AY377" s="173"/>
      <c r="AZ377" s="173"/>
      <c r="BA377" s="173"/>
      <c r="BB377" s="173"/>
      <c r="BC377" s="173"/>
      <c r="BD377" s="173"/>
      <c r="BE377" s="173"/>
      <c r="BF377" s="173"/>
      <c r="BG377" s="173"/>
      <c r="BH377" s="173"/>
      <c r="BI377" s="173"/>
      <c r="BJ377" s="173"/>
      <c r="BK377" s="173"/>
      <c r="BL377" s="173"/>
      <c r="BM377" s="173"/>
      <c r="BN377" s="173"/>
      <c r="BO377" s="173"/>
      <c r="BP377" s="173"/>
      <c r="BQ377" s="173"/>
      <c r="BR377" s="173"/>
      <c r="BS377" s="173"/>
      <c r="BT377" s="173"/>
      <c r="BU377" s="173"/>
      <c r="BV377" s="173"/>
      <c r="BW377" s="173"/>
      <c r="BX377" s="173"/>
      <c r="BY377" s="173"/>
    </row>
    <row r="378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3"/>
      <c r="AT378" s="173"/>
      <c r="AU378" s="173"/>
      <c r="AV378" s="173"/>
      <c r="AW378" s="173"/>
      <c r="AX378" s="173"/>
      <c r="AY378" s="173"/>
      <c r="AZ378" s="173"/>
      <c r="BA378" s="173"/>
      <c r="BB378" s="173"/>
      <c r="BC378" s="173"/>
      <c r="BD378" s="173"/>
      <c r="BE378" s="173"/>
      <c r="BF378" s="173"/>
      <c r="BG378" s="173"/>
      <c r="BH378" s="173"/>
      <c r="BI378" s="173"/>
      <c r="BJ378" s="173"/>
      <c r="BK378" s="173"/>
      <c r="BL378" s="173"/>
      <c r="BM378" s="173"/>
      <c r="BN378" s="173"/>
      <c r="BO378" s="173"/>
      <c r="BP378" s="173"/>
      <c r="BQ378" s="173"/>
      <c r="BR378" s="173"/>
      <c r="BS378" s="173"/>
      <c r="BT378" s="173"/>
      <c r="BU378" s="173"/>
      <c r="BV378" s="173"/>
      <c r="BW378" s="173"/>
      <c r="BX378" s="173"/>
      <c r="BY378" s="173"/>
    </row>
    <row r="379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3"/>
      <c r="AT379" s="173"/>
      <c r="AU379" s="173"/>
      <c r="AV379" s="173"/>
      <c r="AW379" s="173"/>
      <c r="AX379" s="173"/>
      <c r="AY379" s="173"/>
      <c r="AZ379" s="173"/>
      <c r="BA379" s="173"/>
      <c r="BB379" s="173"/>
      <c r="BC379" s="173"/>
      <c r="BD379" s="173"/>
      <c r="BE379" s="173"/>
      <c r="BF379" s="173"/>
      <c r="BG379" s="173"/>
      <c r="BH379" s="173"/>
      <c r="BI379" s="173"/>
      <c r="BJ379" s="173"/>
      <c r="BK379" s="173"/>
      <c r="BL379" s="173"/>
      <c r="BM379" s="173"/>
      <c r="BN379" s="173"/>
      <c r="BO379" s="173"/>
      <c r="BP379" s="173"/>
      <c r="BQ379" s="173"/>
      <c r="BR379" s="173"/>
      <c r="BS379" s="173"/>
      <c r="BT379" s="173"/>
      <c r="BU379" s="173"/>
      <c r="BV379" s="173"/>
      <c r="BW379" s="173"/>
      <c r="BX379" s="173"/>
      <c r="BY379" s="173"/>
    </row>
    <row r="380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3"/>
      <c r="AT380" s="173"/>
      <c r="AU380" s="173"/>
      <c r="AV380" s="173"/>
      <c r="AW380" s="173"/>
      <c r="AX380" s="173"/>
      <c r="AY380" s="173"/>
      <c r="AZ380" s="173"/>
      <c r="BA380" s="173"/>
      <c r="BB380" s="173"/>
      <c r="BC380" s="173"/>
      <c r="BD380" s="173"/>
      <c r="BE380" s="173"/>
      <c r="BF380" s="173"/>
      <c r="BG380" s="173"/>
      <c r="BH380" s="173"/>
      <c r="BI380" s="173"/>
      <c r="BJ380" s="173"/>
      <c r="BK380" s="173"/>
      <c r="BL380" s="173"/>
      <c r="BM380" s="173"/>
      <c r="BN380" s="173"/>
      <c r="BO380" s="173"/>
      <c r="BP380" s="173"/>
      <c r="BQ380" s="173"/>
      <c r="BR380" s="173"/>
      <c r="BS380" s="173"/>
      <c r="BT380" s="173"/>
      <c r="BU380" s="173"/>
      <c r="BV380" s="173"/>
      <c r="BW380" s="173"/>
      <c r="BX380" s="173"/>
      <c r="BY380" s="173"/>
    </row>
    <row r="381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3"/>
      <c r="AT381" s="173"/>
      <c r="AU381" s="173"/>
      <c r="AV381" s="173"/>
      <c r="AW381" s="173"/>
      <c r="AX381" s="173"/>
      <c r="AY381" s="173"/>
      <c r="AZ381" s="173"/>
      <c r="BA381" s="173"/>
      <c r="BB381" s="173"/>
      <c r="BC381" s="173"/>
      <c r="BD381" s="173"/>
      <c r="BE381" s="173"/>
      <c r="BF381" s="173"/>
      <c r="BG381" s="173"/>
      <c r="BH381" s="173"/>
      <c r="BI381" s="173"/>
      <c r="BJ381" s="173"/>
      <c r="BK381" s="173"/>
      <c r="BL381" s="173"/>
      <c r="BM381" s="173"/>
      <c r="BN381" s="173"/>
      <c r="BO381" s="173"/>
      <c r="BP381" s="173"/>
      <c r="BQ381" s="173"/>
      <c r="BR381" s="173"/>
      <c r="BS381" s="173"/>
      <c r="BT381" s="173"/>
      <c r="BU381" s="173"/>
      <c r="BV381" s="173"/>
      <c r="BW381" s="173"/>
      <c r="BX381" s="173"/>
      <c r="BY381" s="173"/>
    </row>
    <row r="382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  <c r="AQ382" s="173"/>
      <c r="AR382" s="173"/>
      <c r="AS382" s="173"/>
      <c r="AT382" s="173"/>
      <c r="AU382" s="173"/>
      <c r="AV382" s="173"/>
      <c r="AW382" s="173"/>
      <c r="AX382" s="173"/>
      <c r="AY382" s="173"/>
      <c r="AZ382" s="173"/>
      <c r="BA382" s="173"/>
      <c r="BB382" s="173"/>
      <c r="BC382" s="173"/>
      <c r="BD382" s="173"/>
      <c r="BE382" s="173"/>
      <c r="BF382" s="173"/>
      <c r="BG382" s="173"/>
      <c r="BH382" s="173"/>
      <c r="BI382" s="173"/>
      <c r="BJ382" s="173"/>
      <c r="BK382" s="173"/>
      <c r="BL382" s="173"/>
      <c r="BM382" s="173"/>
      <c r="BN382" s="173"/>
      <c r="BO382" s="173"/>
      <c r="BP382" s="173"/>
      <c r="BQ382" s="173"/>
      <c r="BR382" s="173"/>
      <c r="BS382" s="173"/>
      <c r="BT382" s="173"/>
      <c r="BU382" s="173"/>
      <c r="BV382" s="173"/>
      <c r="BW382" s="173"/>
      <c r="BX382" s="173"/>
      <c r="BY382" s="173"/>
    </row>
    <row r="383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  <c r="AQ383" s="173"/>
      <c r="AR383" s="173"/>
      <c r="AS383" s="173"/>
      <c r="AT383" s="173"/>
      <c r="AU383" s="173"/>
      <c r="AV383" s="173"/>
      <c r="AW383" s="173"/>
      <c r="AX383" s="173"/>
      <c r="AY383" s="173"/>
      <c r="AZ383" s="173"/>
      <c r="BA383" s="173"/>
      <c r="BB383" s="173"/>
      <c r="BC383" s="173"/>
      <c r="BD383" s="173"/>
      <c r="BE383" s="173"/>
      <c r="BF383" s="173"/>
      <c r="BG383" s="173"/>
      <c r="BH383" s="173"/>
      <c r="BI383" s="173"/>
      <c r="BJ383" s="173"/>
      <c r="BK383" s="173"/>
      <c r="BL383" s="173"/>
      <c r="BM383" s="173"/>
      <c r="BN383" s="173"/>
      <c r="BO383" s="173"/>
      <c r="BP383" s="173"/>
      <c r="BQ383" s="173"/>
      <c r="BR383" s="173"/>
      <c r="BS383" s="173"/>
      <c r="BT383" s="173"/>
      <c r="BU383" s="173"/>
      <c r="BV383" s="173"/>
      <c r="BW383" s="173"/>
      <c r="BX383" s="173"/>
      <c r="BY383" s="173"/>
    </row>
    <row r="384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  <c r="AQ384" s="173"/>
      <c r="AR384" s="173"/>
      <c r="AS384" s="173"/>
      <c r="AT384" s="173"/>
      <c r="AU384" s="173"/>
      <c r="AV384" s="173"/>
      <c r="AW384" s="173"/>
      <c r="AX384" s="173"/>
      <c r="AY384" s="173"/>
      <c r="AZ384" s="173"/>
      <c r="BA384" s="173"/>
      <c r="BB384" s="173"/>
      <c r="BC384" s="173"/>
      <c r="BD384" s="173"/>
      <c r="BE384" s="173"/>
      <c r="BF384" s="173"/>
      <c r="BG384" s="173"/>
      <c r="BH384" s="173"/>
      <c r="BI384" s="173"/>
      <c r="BJ384" s="173"/>
      <c r="BK384" s="173"/>
      <c r="BL384" s="173"/>
      <c r="BM384" s="173"/>
      <c r="BN384" s="173"/>
      <c r="BO384" s="173"/>
      <c r="BP384" s="173"/>
      <c r="BQ384" s="173"/>
      <c r="BR384" s="173"/>
      <c r="BS384" s="173"/>
      <c r="BT384" s="173"/>
      <c r="BU384" s="173"/>
      <c r="BV384" s="173"/>
      <c r="BW384" s="173"/>
      <c r="BX384" s="173"/>
      <c r="BY384" s="173"/>
    </row>
    <row r="385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  <c r="AQ385" s="173"/>
      <c r="AR385" s="173"/>
      <c r="AS385" s="173"/>
      <c r="AT385" s="173"/>
      <c r="AU385" s="173"/>
      <c r="AV385" s="173"/>
      <c r="AW385" s="173"/>
      <c r="AX385" s="173"/>
      <c r="AY385" s="173"/>
      <c r="AZ385" s="173"/>
      <c r="BA385" s="173"/>
      <c r="BB385" s="173"/>
      <c r="BC385" s="173"/>
      <c r="BD385" s="173"/>
      <c r="BE385" s="173"/>
      <c r="BF385" s="173"/>
      <c r="BG385" s="173"/>
      <c r="BH385" s="173"/>
      <c r="BI385" s="173"/>
      <c r="BJ385" s="173"/>
      <c r="BK385" s="173"/>
      <c r="BL385" s="173"/>
      <c r="BM385" s="173"/>
      <c r="BN385" s="173"/>
      <c r="BO385" s="173"/>
      <c r="BP385" s="173"/>
      <c r="BQ385" s="173"/>
      <c r="BR385" s="173"/>
      <c r="BS385" s="173"/>
      <c r="BT385" s="173"/>
      <c r="BU385" s="173"/>
      <c r="BV385" s="173"/>
      <c r="BW385" s="173"/>
      <c r="BX385" s="173"/>
      <c r="BY385" s="173"/>
    </row>
    <row r="386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  <c r="AQ386" s="173"/>
      <c r="AR386" s="173"/>
      <c r="AS386" s="173"/>
      <c r="AT386" s="173"/>
      <c r="AU386" s="173"/>
      <c r="AV386" s="173"/>
      <c r="AW386" s="173"/>
      <c r="AX386" s="173"/>
      <c r="AY386" s="173"/>
      <c r="AZ386" s="173"/>
      <c r="BA386" s="173"/>
      <c r="BB386" s="173"/>
      <c r="BC386" s="173"/>
      <c r="BD386" s="173"/>
      <c r="BE386" s="173"/>
      <c r="BF386" s="173"/>
      <c r="BG386" s="173"/>
      <c r="BH386" s="173"/>
      <c r="BI386" s="173"/>
      <c r="BJ386" s="173"/>
      <c r="BK386" s="173"/>
      <c r="BL386" s="173"/>
      <c r="BM386" s="173"/>
      <c r="BN386" s="173"/>
      <c r="BO386" s="173"/>
      <c r="BP386" s="173"/>
      <c r="BQ386" s="173"/>
      <c r="BR386" s="173"/>
      <c r="BS386" s="173"/>
      <c r="BT386" s="173"/>
      <c r="BU386" s="173"/>
      <c r="BV386" s="173"/>
      <c r="BW386" s="173"/>
      <c r="BX386" s="173"/>
      <c r="BY386" s="173"/>
    </row>
    <row r="387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  <c r="AQ387" s="173"/>
      <c r="AR387" s="173"/>
      <c r="AS387" s="173"/>
      <c r="AT387" s="173"/>
      <c r="AU387" s="173"/>
      <c r="AV387" s="173"/>
      <c r="AW387" s="173"/>
      <c r="AX387" s="173"/>
      <c r="AY387" s="173"/>
      <c r="AZ387" s="173"/>
      <c r="BA387" s="173"/>
      <c r="BB387" s="173"/>
      <c r="BC387" s="173"/>
      <c r="BD387" s="173"/>
      <c r="BE387" s="173"/>
      <c r="BF387" s="173"/>
      <c r="BG387" s="173"/>
      <c r="BH387" s="173"/>
      <c r="BI387" s="173"/>
      <c r="BJ387" s="173"/>
      <c r="BK387" s="173"/>
      <c r="BL387" s="173"/>
      <c r="BM387" s="173"/>
      <c r="BN387" s="173"/>
      <c r="BO387" s="173"/>
      <c r="BP387" s="173"/>
      <c r="BQ387" s="173"/>
      <c r="BR387" s="173"/>
      <c r="BS387" s="173"/>
      <c r="BT387" s="173"/>
      <c r="BU387" s="173"/>
      <c r="BV387" s="173"/>
      <c r="BW387" s="173"/>
      <c r="BX387" s="173"/>
      <c r="BY387" s="173"/>
    </row>
    <row r="388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  <c r="AR388" s="173"/>
      <c r="AS388" s="173"/>
      <c r="AT388" s="173"/>
      <c r="AU388" s="173"/>
      <c r="AV388" s="173"/>
      <c r="AW388" s="173"/>
      <c r="AX388" s="173"/>
      <c r="AY388" s="173"/>
      <c r="AZ388" s="173"/>
      <c r="BA388" s="173"/>
      <c r="BB388" s="173"/>
      <c r="BC388" s="173"/>
      <c r="BD388" s="173"/>
      <c r="BE388" s="173"/>
      <c r="BF388" s="173"/>
      <c r="BG388" s="173"/>
      <c r="BH388" s="173"/>
      <c r="BI388" s="173"/>
      <c r="BJ388" s="173"/>
      <c r="BK388" s="173"/>
      <c r="BL388" s="173"/>
      <c r="BM388" s="173"/>
      <c r="BN388" s="173"/>
      <c r="BO388" s="173"/>
      <c r="BP388" s="173"/>
      <c r="BQ388" s="173"/>
      <c r="BR388" s="173"/>
      <c r="BS388" s="173"/>
      <c r="BT388" s="173"/>
      <c r="BU388" s="173"/>
      <c r="BV388" s="173"/>
      <c r="BW388" s="173"/>
      <c r="BX388" s="173"/>
      <c r="BY388" s="173"/>
    </row>
    <row r="389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3"/>
      <c r="AT389" s="173"/>
      <c r="AU389" s="173"/>
      <c r="AV389" s="173"/>
      <c r="AW389" s="173"/>
      <c r="AX389" s="173"/>
      <c r="AY389" s="173"/>
      <c r="AZ389" s="173"/>
      <c r="BA389" s="173"/>
      <c r="BB389" s="173"/>
      <c r="BC389" s="173"/>
      <c r="BD389" s="173"/>
      <c r="BE389" s="173"/>
      <c r="BF389" s="173"/>
      <c r="BG389" s="173"/>
      <c r="BH389" s="173"/>
      <c r="BI389" s="173"/>
      <c r="BJ389" s="173"/>
      <c r="BK389" s="173"/>
      <c r="BL389" s="173"/>
      <c r="BM389" s="173"/>
      <c r="BN389" s="173"/>
      <c r="BO389" s="173"/>
      <c r="BP389" s="173"/>
      <c r="BQ389" s="173"/>
      <c r="BR389" s="173"/>
      <c r="BS389" s="173"/>
      <c r="BT389" s="173"/>
      <c r="BU389" s="173"/>
      <c r="BV389" s="173"/>
      <c r="BW389" s="173"/>
      <c r="BX389" s="173"/>
      <c r="BY389" s="173"/>
    </row>
    <row r="390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3"/>
      <c r="AT390" s="173"/>
      <c r="AU390" s="173"/>
      <c r="AV390" s="173"/>
      <c r="AW390" s="173"/>
      <c r="AX390" s="173"/>
      <c r="AY390" s="173"/>
      <c r="AZ390" s="173"/>
      <c r="BA390" s="173"/>
      <c r="BB390" s="173"/>
      <c r="BC390" s="173"/>
      <c r="BD390" s="173"/>
      <c r="BE390" s="173"/>
      <c r="BF390" s="173"/>
      <c r="BG390" s="173"/>
      <c r="BH390" s="173"/>
      <c r="BI390" s="173"/>
      <c r="BJ390" s="173"/>
      <c r="BK390" s="173"/>
      <c r="BL390" s="173"/>
      <c r="BM390" s="173"/>
      <c r="BN390" s="173"/>
      <c r="BO390" s="173"/>
      <c r="BP390" s="173"/>
      <c r="BQ390" s="173"/>
      <c r="BR390" s="173"/>
      <c r="BS390" s="173"/>
      <c r="BT390" s="173"/>
      <c r="BU390" s="173"/>
      <c r="BV390" s="173"/>
      <c r="BW390" s="173"/>
      <c r="BX390" s="173"/>
      <c r="BY390" s="173"/>
    </row>
    <row r="391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3"/>
      <c r="AT391" s="173"/>
      <c r="AU391" s="173"/>
      <c r="AV391" s="173"/>
      <c r="AW391" s="173"/>
      <c r="AX391" s="173"/>
      <c r="AY391" s="173"/>
      <c r="AZ391" s="173"/>
      <c r="BA391" s="173"/>
      <c r="BB391" s="173"/>
      <c r="BC391" s="173"/>
      <c r="BD391" s="173"/>
      <c r="BE391" s="173"/>
      <c r="BF391" s="173"/>
      <c r="BG391" s="173"/>
      <c r="BH391" s="173"/>
      <c r="BI391" s="173"/>
      <c r="BJ391" s="173"/>
      <c r="BK391" s="173"/>
      <c r="BL391" s="173"/>
      <c r="BM391" s="173"/>
      <c r="BN391" s="173"/>
      <c r="BO391" s="173"/>
      <c r="BP391" s="173"/>
      <c r="BQ391" s="173"/>
      <c r="BR391" s="173"/>
      <c r="BS391" s="173"/>
      <c r="BT391" s="173"/>
      <c r="BU391" s="173"/>
      <c r="BV391" s="173"/>
      <c r="BW391" s="173"/>
      <c r="BX391" s="173"/>
      <c r="BY391" s="173"/>
    </row>
    <row r="392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  <c r="AQ392" s="173"/>
      <c r="AR392" s="173"/>
      <c r="AS392" s="173"/>
      <c r="AT392" s="173"/>
      <c r="AU392" s="173"/>
      <c r="AV392" s="173"/>
      <c r="AW392" s="173"/>
      <c r="AX392" s="173"/>
      <c r="AY392" s="173"/>
      <c r="AZ392" s="173"/>
      <c r="BA392" s="173"/>
      <c r="BB392" s="173"/>
      <c r="BC392" s="173"/>
      <c r="BD392" s="173"/>
      <c r="BE392" s="173"/>
      <c r="BF392" s="173"/>
      <c r="BG392" s="173"/>
      <c r="BH392" s="173"/>
      <c r="BI392" s="173"/>
      <c r="BJ392" s="173"/>
      <c r="BK392" s="173"/>
      <c r="BL392" s="173"/>
      <c r="BM392" s="173"/>
      <c r="BN392" s="173"/>
      <c r="BO392" s="173"/>
      <c r="BP392" s="173"/>
      <c r="BQ392" s="173"/>
      <c r="BR392" s="173"/>
      <c r="BS392" s="173"/>
      <c r="BT392" s="173"/>
      <c r="BU392" s="173"/>
      <c r="BV392" s="173"/>
      <c r="BW392" s="173"/>
      <c r="BX392" s="173"/>
      <c r="BY392" s="173"/>
    </row>
    <row r="393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  <c r="AQ393" s="173"/>
      <c r="AR393" s="173"/>
      <c r="AS393" s="173"/>
      <c r="AT393" s="173"/>
      <c r="AU393" s="173"/>
      <c r="AV393" s="173"/>
      <c r="AW393" s="173"/>
      <c r="AX393" s="173"/>
      <c r="AY393" s="173"/>
      <c r="AZ393" s="173"/>
      <c r="BA393" s="173"/>
      <c r="BB393" s="173"/>
      <c r="BC393" s="173"/>
      <c r="BD393" s="173"/>
      <c r="BE393" s="173"/>
      <c r="BF393" s="173"/>
      <c r="BG393" s="173"/>
      <c r="BH393" s="173"/>
      <c r="BI393" s="173"/>
      <c r="BJ393" s="173"/>
      <c r="BK393" s="173"/>
      <c r="BL393" s="173"/>
      <c r="BM393" s="173"/>
      <c r="BN393" s="173"/>
      <c r="BO393" s="173"/>
      <c r="BP393" s="173"/>
      <c r="BQ393" s="173"/>
      <c r="BR393" s="173"/>
      <c r="BS393" s="173"/>
      <c r="BT393" s="173"/>
      <c r="BU393" s="173"/>
      <c r="BV393" s="173"/>
      <c r="BW393" s="173"/>
      <c r="BX393" s="173"/>
      <c r="BY393" s="173"/>
    </row>
    <row r="394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  <c r="AQ394" s="173"/>
      <c r="AR394" s="173"/>
      <c r="AS394" s="173"/>
      <c r="AT394" s="173"/>
      <c r="AU394" s="173"/>
      <c r="AV394" s="173"/>
      <c r="AW394" s="173"/>
      <c r="AX394" s="173"/>
      <c r="AY394" s="173"/>
      <c r="AZ394" s="173"/>
      <c r="BA394" s="173"/>
      <c r="BB394" s="173"/>
      <c r="BC394" s="173"/>
      <c r="BD394" s="173"/>
      <c r="BE394" s="173"/>
      <c r="BF394" s="173"/>
      <c r="BG394" s="173"/>
      <c r="BH394" s="173"/>
      <c r="BI394" s="173"/>
      <c r="BJ394" s="173"/>
      <c r="BK394" s="173"/>
      <c r="BL394" s="173"/>
      <c r="BM394" s="173"/>
      <c r="BN394" s="173"/>
      <c r="BO394" s="173"/>
      <c r="BP394" s="173"/>
      <c r="BQ394" s="173"/>
      <c r="BR394" s="173"/>
      <c r="BS394" s="173"/>
      <c r="BT394" s="173"/>
      <c r="BU394" s="173"/>
      <c r="BV394" s="173"/>
      <c r="BW394" s="173"/>
      <c r="BX394" s="173"/>
      <c r="BY394" s="173"/>
    </row>
    <row r="395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  <c r="AQ395" s="173"/>
      <c r="AR395" s="173"/>
      <c r="AS395" s="173"/>
      <c r="AT395" s="173"/>
      <c r="AU395" s="173"/>
      <c r="AV395" s="173"/>
      <c r="AW395" s="173"/>
      <c r="AX395" s="173"/>
      <c r="AY395" s="173"/>
      <c r="AZ395" s="173"/>
      <c r="BA395" s="173"/>
      <c r="BB395" s="173"/>
      <c r="BC395" s="173"/>
      <c r="BD395" s="173"/>
      <c r="BE395" s="173"/>
      <c r="BF395" s="173"/>
      <c r="BG395" s="173"/>
      <c r="BH395" s="173"/>
      <c r="BI395" s="173"/>
      <c r="BJ395" s="173"/>
      <c r="BK395" s="173"/>
      <c r="BL395" s="173"/>
      <c r="BM395" s="173"/>
      <c r="BN395" s="173"/>
      <c r="BO395" s="173"/>
      <c r="BP395" s="173"/>
      <c r="BQ395" s="173"/>
      <c r="BR395" s="173"/>
      <c r="BS395" s="173"/>
      <c r="BT395" s="173"/>
      <c r="BU395" s="173"/>
      <c r="BV395" s="173"/>
      <c r="BW395" s="173"/>
      <c r="BX395" s="173"/>
      <c r="BY395" s="173"/>
    </row>
    <row r="396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  <c r="AQ396" s="173"/>
      <c r="AR396" s="173"/>
      <c r="AS396" s="173"/>
      <c r="AT396" s="173"/>
      <c r="AU396" s="173"/>
      <c r="AV396" s="173"/>
      <c r="AW396" s="173"/>
      <c r="AX396" s="173"/>
      <c r="AY396" s="173"/>
      <c r="AZ396" s="173"/>
      <c r="BA396" s="173"/>
      <c r="BB396" s="173"/>
      <c r="BC396" s="173"/>
      <c r="BD396" s="173"/>
      <c r="BE396" s="173"/>
      <c r="BF396" s="173"/>
      <c r="BG396" s="173"/>
      <c r="BH396" s="173"/>
      <c r="BI396" s="173"/>
      <c r="BJ396" s="173"/>
      <c r="BK396" s="173"/>
      <c r="BL396" s="173"/>
      <c r="BM396" s="173"/>
      <c r="BN396" s="173"/>
      <c r="BO396" s="173"/>
      <c r="BP396" s="173"/>
      <c r="BQ396" s="173"/>
      <c r="BR396" s="173"/>
      <c r="BS396" s="173"/>
      <c r="BT396" s="173"/>
      <c r="BU396" s="173"/>
      <c r="BV396" s="173"/>
      <c r="BW396" s="173"/>
      <c r="BX396" s="173"/>
      <c r="BY396" s="173"/>
    </row>
    <row r="397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  <c r="AQ397" s="173"/>
      <c r="AR397" s="173"/>
      <c r="AS397" s="173"/>
      <c r="AT397" s="173"/>
      <c r="AU397" s="173"/>
      <c r="AV397" s="173"/>
      <c r="AW397" s="173"/>
      <c r="AX397" s="173"/>
      <c r="AY397" s="173"/>
      <c r="AZ397" s="173"/>
      <c r="BA397" s="173"/>
      <c r="BB397" s="173"/>
      <c r="BC397" s="173"/>
      <c r="BD397" s="173"/>
      <c r="BE397" s="173"/>
      <c r="BF397" s="173"/>
      <c r="BG397" s="173"/>
      <c r="BH397" s="173"/>
      <c r="BI397" s="173"/>
      <c r="BJ397" s="173"/>
      <c r="BK397" s="173"/>
      <c r="BL397" s="173"/>
      <c r="BM397" s="173"/>
      <c r="BN397" s="173"/>
      <c r="BO397" s="173"/>
      <c r="BP397" s="173"/>
      <c r="BQ397" s="173"/>
      <c r="BR397" s="173"/>
      <c r="BS397" s="173"/>
      <c r="BT397" s="173"/>
      <c r="BU397" s="173"/>
      <c r="BV397" s="173"/>
      <c r="BW397" s="173"/>
      <c r="BX397" s="173"/>
      <c r="BY397" s="173"/>
    </row>
    <row r="398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  <c r="AQ398" s="173"/>
      <c r="AR398" s="173"/>
      <c r="AS398" s="173"/>
      <c r="AT398" s="173"/>
      <c r="AU398" s="173"/>
      <c r="AV398" s="173"/>
      <c r="AW398" s="173"/>
      <c r="AX398" s="173"/>
      <c r="AY398" s="173"/>
      <c r="AZ398" s="173"/>
      <c r="BA398" s="173"/>
      <c r="BB398" s="173"/>
      <c r="BC398" s="173"/>
      <c r="BD398" s="173"/>
      <c r="BE398" s="173"/>
      <c r="BF398" s="173"/>
      <c r="BG398" s="173"/>
      <c r="BH398" s="173"/>
      <c r="BI398" s="173"/>
      <c r="BJ398" s="173"/>
      <c r="BK398" s="173"/>
      <c r="BL398" s="173"/>
      <c r="BM398" s="173"/>
      <c r="BN398" s="173"/>
      <c r="BO398" s="173"/>
      <c r="BP398" s="173"/>
      <c r="BQ398" s="173"/>
      <c r="BR398" s="173"/>
      <c r="BS398" s="173"/>
      <c r="BT398" s="173"/>
      <c r="BU398" s="173"/>
      <c r="BV398" s="173"/>
      <c r="BW398" s="173"/>
      <c r="BX398" s="173"/>
      <c r="BY398" s="173"/>
    </row>
    <row r="399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  <c r="AQ399" s="173"/>
      <c r="AR399" s="173"/>
      <c r="AS399" s="173"/>
      <c r="AT399" s="173"/>
      <c r="AU399" s="173"/>
      <c r="AV399" s="173"/>
      <c r="AW399" s="173"/>
      <c r="AX399" s="173"/>
      <c r="AY399" s="173"/>
      <c r="AZ399" s="173"/>
      <c r="BA399" s="173"/>
      <c r="BB399" s="173"/>
      <c r="BC399" s="173"/>
      <c r="BD399" s="173"/>
      <c r="BE399" s="173"/>
      <c r="BF399" s="173"/>
      <c r="BG399" s="173"/>
      <c r="BH399" s="173"/>
      <c r="BI399" s="173"/>
      <c r="BJ399" s="173"/>
      <c r="BK399" s="173"/>
      <c r="BL399" s="173"/>
      <c r="BM399" s="173"/>
      <c r="BN399" s="173"/>
      <c r="BO399" s="173"/>
      <c r="BP399" s="173"/>
      <c r="BQ399" s="173"/>
      <c r="BR399" s="173"/>
      <c r="BS399" s="173"/>
      <c r="BT399" s="173"/>
      <c r="BU399" s="173"/>
      <c r="BV399" s="173"/>
      <c r="BW399" s="173"/>
      <c r="BX399" s="173"/>
      <c r="BY399" s="173"/>
    </row>
    <row r="400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  <c r="AQ400" s="173"/>
      <c r="AR400" s="173"/>
      <c r="AS400" s="173"/>
      <c r="AT400" s="173"/>
      <c r="AU400" s="173"/>
      <c r="AV400" s="173"/>
      <c r="AW400" s="173"/>
      <c r="AX400" s="173"/>
      <c r="AY400" s="173"/>
      <c r="AZ400" s="173"/>
      <c r="BA400" s="173"/>
      <c r="BB400" s="173"/>
      <c r="BC400" s="173"/>
      <c r="BD400" s="173"/>
      <c r="BE400" s="173"/>
      <c r="BF400" s="173"/>
      <c r="BG400" s="173"/>
      <c r="BH400" s="173"/>
      <c r="BI400" s="173"/>
      <c r="BJ400" s="173"/>
      <c r="BK400" s="173"/>
      <c r="BL400" s="173"/>
      <c r="BM400" s="173"/>
      <c r="BN400" s="173"/>
      <c r="BO400" s="173"/>
      <c r="BP400" s="173"/>
      <c r="BQ400" s="173"/>
      <c r="BR400" s="173"/>
      <c r="BS400" s="173"/>
      <c r="BT400" s="173"/>
      <c r="BU400" s="173"/>
      <c r="BV400" s="173"/>
      <c r="BW400" s="173"/>
      <c r="BX400" s="173"/>
      <c r="BY400" s="173"/>
    </row>
    <row r="401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  <c r="AQ401" s="173"/>
      <c r="AR401" s="173"/>
      <c r="AS401" s="173"/>
      <c r="AT401" s="173"/>
      <c r="AU401" s="173"/>
      <c r="AV401" s="173"/>
      <c r="AW401" s="173"/>
      <c r="AX401" s="173"/>
      <c r="AY401" s="173"/>
      <c r="AZ401" s="173"/>
      <c r="BA401" s="173"/>
      <c r="BB401" s="173"/>
      <c r="BC401" s="173"/>
      <c r="BD401" s="173"/>
      <c r="BE401" s="173"/>
      <c r="BF401" s="173"/>
      <c r="BG401" s="173"/>
      <c r="BH401" s="173"/>
      <c r="BI401" s="173"/>
      <c r="BJ401" s="173"/>
      <c r="BK401" s="173"/>
      <c r="BL401" s="173"/>
      <c r="BM401" s="173"/>
      <c r="BN401" s="173"/>
      <c r="BO401" s="173"/>
      <c r="BP401" s="173"/>
      <c r="BQ401" s="173"/>
      <c r="BR401" s="173"/>
      <c r="BS401" s="173"/>
      <c r="BT401" s="173"/>
      <c r="BU401" s="173"/>
      <c r="BV401" s="173"/>
      <c r="BW401" s="173"/>
      <c r="BX401" s="173"/>
      <c r="BY401" s="173"/>
    </row>
    <row r="402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  <c r="AQ402" s="173"/>
      <c r="AR402" s="173"/>
      <c r="AS402" s="173"/>
      <c r="AT402" s="173"/>
      <c r="AU402" s="173"/>
      <c r="AV402" s="173"/>
      <c r="AW402" s="173"/>
      <c r="AX402" s="173"/>
      <c r="AY402" s="173"/>
      <c r="AZ402" s="173"/>
      <c r="BA402" s="173"/>
      <c r="BB402" s="173"/>
      <c r="BC402" s="173"/>
      <c r="BD402" s="173"/>
      <c r="BE402" s="173"/>
      <c r="BF402" s="173"/>
      <c r="BG402" s="173"/>
      <c r="BH402" s="173"/>
      <c r="BI402" s="173"/>
      <c r="BJ402" s="173"/>
      <c r="BK402" s="173"/>
      <c r="BL402" s="173"/>
      <c r="BM402" s="173"/>
      <c r="BN402" s="173"/>
      <c r="BO402" s="173"/>
      <c r="BP402" s="173"/>
      <c r="BQ402" s="173"/>
      <c r="BR402" s="173"/>
      <c r="BS402" s="173"/>
      <c r="BT402" s="173"/>
      <c r="BU402" s="173"/>
      <c r="BV402" s="173"/>
      <c r="BW402" s="173"/>
      <c r="BX402" s="173"/>
      <c r="BY402" s="173"/>
    </row>
    <row r="403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  <c r="AQ403" s="173"/>
      <c r="AR403" s="173"/>
      <c r="AS403" s="173"/>
      <c r="AT403" s="173"/>
      <c r="AU403" s="173"/>
      <c r="AV403" s="173"/>
      <c r="AW403" s="173"/>
      <c r="AX403" s="173"/>
      <c r="AY403" s="173"/>
      <c r="AZ403" s="173"/>
      <c r="BA403" s="173"/>
      <c r="BB403" s="173"/>
      <c r="BC403" s="173"/>
      <c r="BD403" s="173"/>
      <c r="BE403" s="173"/>
      <c r="BF403" s="173"/>
      <c r="BG403" s="173"/>
      <c r="BH403" s="173"/>
      <c r="BI403" s="173"/>
      <c r="BJ403" s="173"/>
      <c r="BK403" s="173"/>
      <c r="BL403" s="173"/>
      <c r="BM403" s="173"/>
      <c r="BN403" s="173"/>
      <c r="BO403" s="173"/>
      <c r="BP403" s="173"/>
      <c r="BQ403" s="173"/>
      <c r="BR403" s="173"/>
      <c r="BS403" s="173"/>
      <c r="BT403" s="173"/>
      <c r="BU403" s="173"/>
      <c r="BV403" s="173"/>
      <c r="BW403" s="173"/>
      <c r="BX403" s="173"/>
      <c r="BY403" s="173"/>
    </row>
    <row r="404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  <c r="AQ404" s="173"/>
      <c r="AR404" s="173"/>
      <c r="AS404" s="173"/>
      <c r="AT404" s="173"/>
      <c r="AU404" s="173"/>
      <c r="AV404" s="173"/>
      <c r="AW404" s="173"/>
      <c r="AX404" s="173"/>
      <c r="AY404" s="173"/>
      <c r="AZ404" s="173"/>
      <c r="BA404" s="173"/>
      <c r="BB404" s="173"/>
      <c r="BC404" s="173"/>
      <c r="BD404" s="173"/>
      <c r="BE404" s="173"/>
      <c r="BF404" s="173"/>
      <c r="BG404" s="173"/>
      <c r="BH404" s="173"/>
      <c r="BI404" s="173"/>
      <c r="BJ404" s="173"/>
      <c r="BK404" s="173"/>
      <c r="BL404" s="173"/>
      <c r="BM404" s="173"/>
      <c r="BN404" s="173"/>
      <c r="BO404" s="173"/>
      <c r="BP404" s="173"/>
      <c r="BQ404" s="173"/>
      <c r="BR404" s="173"/>
      <c r="BS404" s="173"/>
      <c r="BT404" s="173"/>
      <c r="BU404" s="173"/>
      <c r="BV404" s="173"/>
      <c r="BW404" s="173"/>
      <c r="BX404" s="173"/>
      <c r="BY404" s="173"/>
    </row>
    <row r="405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  <c r="AQ405" s="173"/>
      <c r="AR405" s="173"/>
      <c r="AS405" s="173"/>
      <c r="AT405" s="173"/>
      <c r="AU405" s="173"/>
      <c r="AV405" s="173"/>
      <c r="AW405" s="173"/>
      <c r="AX405" s="173"/>
      <c r="AY405" s="173"/>
      <c r="AZ405" s="173"/>
      <c r="BA405" s="173"/>
      <c r="BB405" s="173"/>
      <c r="BC405" s="173"/>
      <c r="BD405" s="173"/>
      <c r="BE405" s="173"/>
      <c r="BF405" s="173"/>
      <c r="BG405" s="173"/>
      <c r="BH405" s="173"/>
      <c r="BI405" s="173"/>
      <c r="BJ405" s="173"/>
      <c r="BK405" s="173"/>
      <c r="BL405" s="173"/>
      <c r="BM405" s="173"/>
      <c r="BN405" s="173"/>
      <c r="BO405" s="173"/>
      <c r="BP405" s="173"/>
      <c r="BQ405" s="173"/>
      <c r="BR405" s="173"/>
      <c r="BS405" s="173"/>
      <c r="BT405" s="173"/>
      <c r="BU405" s="173"/>
      <c r="BV405" s="173"/>
      <c r="BW405" s="173"/>
      <c r="BX405" s="173"/>
      <c r="BY405" s="173"/>
    </row>
    <row r="406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  <c r="AQ406" s="173"/>
      <c r="AR406" s="173"/>
      <c r="AS406" s="173"/>
      <c r="AT406" s="173"/>
      <c r="AU406" s="173"/>
      <c r="AV406" s="173"/>
      <c r="AW406" s="173"/>
      <c r="AX406" s="173"/>
      <c r="AY406" s="173"/>
      <c r="AZ406" s="173"/>
      <c r="BA406" s="173"/>
      <c r="BB406" s="173"/>
      <c r="BC406" s="173"/>
      <c r="BD406" s="173"/>
      <c r="BE406" s="173"/>
      <c r="BF406" s="173"/>
      <c r="BG406" s="173"/>
      <c r="BH406" s="173"/>
      <c r="BI406" s="173"/>
      <c r="BJ406" s="173"/>
      <c r="BK406" s="173"/>
      <c r="BL406" s="173"/>
      <c r="BM406" s="173"/>
      <c r="BN406" s="173"/>
      <c r="BO406" s="173"/>
      <c r="BP406" s="173"/>
      <c r="BQ406" s="173"/>
      <c r="BR406" s="173"/>
      <c r="BS406" s="173"/>
      <c r="BT406" s="173"/>
      <c r="BU406" s="173"/>
      <c r="BV406" s="173"/>
      <c r="BW406" s="173"/>
      <c r="BX406" s="173"/>
      <c r="BY406" s="173"/>
    </row>
    <row r="407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  <c r="AQ407" s="173"/>
      <c r="AR407" s="173"/>
      <c r="AS407" s="173"/>
      <c r="AT407" s="173"/>
      <c r="AU407" s="173"/>
      <c r="AV407" s="173"/>
      <c r="AW407" s="173"/>
      <c r="AX407" s="173"/>
      <c r="AY407" s="173"/>
      <c r="AZ407" s="173"/>
      <c r="BA407" s="173"/>
      <c r="BB407" s="173"/>
      <c r="BC407" s="173"/>
      <c r="BD407" s="173"/>
      <c r="BE407" s="173"/>
      <c r="BF407" s="173"/>
      <c r="BG407" s="173"/>
      <c r="BH407" s="173"/>
      <c r="BI407" s="173"/>
      <c r="BJ407" s="173"/>
      <c r="BK407" s="173"/>
      <c r="BL407" s="173"/>
      <c r="BM407" s="173"/>
      <c r="BN407" s="173"/>
      <c r="BO407" s="173"/>
      <c r="BP407" s="173"/>
      <c r="BQ407" s="173"/>
      <c r="BR407" s="173"/>
      <c r="BS407" s="173"/>
      <c r="BT407" s="173"/>
      <c r="BU407" s="173"/>
      <c r="BV407" s="173"/>
      <c r="BW407" s="173"/>
      <c r="BX407" s="173"/>
      <c r="BY407" s="173"/>
    </row>
    <row r="408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  <c r="AQ408" s="173"/>
      <c r="AR408" s="173"/>
      <c r="AS408" s="173"/>
      <c r="AT408" s="173"/>
      <c r="AU408" s="173"/>
      <c r="AV408" s="173"/>
      <c r="AW408" s="173"/>
      <c r="AX408" s="173"/>
      <c r="AY408" s="173"/>
      <c r="AZ408" s="173"/>
      <c r="BA408" s="173"/>
      <c r="BB408" s="173"/>
      <c r="BC408" s="173"/>
      <c r="BD408" s="173"/>
      <c r="BE408" s="173"/>
      <c r="BF408" s="173"/>
      <c r="BG408" s="173"/>
      <c r="BH408" s="173"/>
      <c r="BI408" s="173"/>
      <c r="BJ408" s="173"/>
      <c r="BK408" s="173"/>
      <c r="BL408" s="173"/>
      <c r="BM408" s="173"/>
      <c r="BN408" s="173"/>
      <c r="BO408" s="173"/>
      <c r="BP408" s="173"/>
      <c r="BQ408" s="173"/>
      <c r="BR408" s="173"/>
      <c r="BS408" s="173"/>
      <c r="BT408" s="173"/>
      <c r="BU408" s="173"/>
      <c r="BV408" s="173"/>
      <c r="BW408" s="173"/>
      <c r="BX408" s="173"/>
      <c r="BY408" s="173"/>
    </row>
    <row r="409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3"/>
      <c r="AT409" s="173"/>
      <c r="AU409" s="173"/>
      <c r="AV409" s="173"/>
      <c r="AW409" s="173"/>
      <c r="AX409" s="173"/>
      <c r="AY409" s="173"/>
      <c r="AZ409" s="173"/>
      <c r="BA409" s="173"/>
      <c r="BB409" s="173"/>
      <c r="BC409" s="173"/>
      <c r="BD409" s="173"/>
      <c r="BE409" s="173"/>
      <c r="BF409" s="173"/>
      <c r="BG409" s="173"/>
      <c r="BH409" s="173"/>
      <c r="BI409" s="173"/>
      <c r="BJ409" s="173"/>
      <c r="BK409" s="173"/>
      <c r="BL409" s="173"/>
      <c r="BM409" s="173"/>
      <c r="BN409" s="173"/>
      <c r="BO409" s="173"/>
      <c r="BP409" s="173"/>
      <c r="BQ409" s="173"/>
      <c r="BR409" s="173"/>
      <c r="BS409" s="173"/>
      <c r="BT409" s="173"/>
      <c r="BU409" s="173"/>
      <c r="BV409" s="173"/>
      <c r="BW409" s="173"/>
      <c r="BX409" s="173"/>
      <c r="BY409" s="173"/>
    </row>
    <row r="410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3"/>
      <c r="AT410" s="173"/>
      <c r="AU410" s="173"/>
      <c r="AV410" s="173"/>
      <c r="AW410" s="173"/>
      <c r="AX410" s="173"/>
      <c r="AY410" s="173"/>
      <c r="AZ410" s="173"/>
      <c r="BA410" s="173"/>
      <c r="BB410" s="173"/>
      <c r="BC410" s="173"/>
      <c r="BD410" s="173"/>
      <c r="BE410" s="173"/>
      <c r="BF410" s="173"/>
      <c r="BG410" s="173"/>
      <c r="BH410" s="173"/>
      <c r="BI410" s="173"/>
      <c r="BJ410" s="173"/>
      <c r="BK410" s="173"/>
      <c r="BL410" s="173"/>
      <c r="BM410" s="173"/>
      <c r="BN410" s="173"/>
      <c r="BO410" s="173"/>
      <c r="BP410" s="173"/>
      <c r="BQ410" s="173"/>
      <c r="BR410" s="173"/>
      <c r="BS410" s="173"/>
      <c r="BT410" s="173"/>
      <c r="BU410" s="173"/>
      <c r="BV410" s="173"/>
      <c r="BW410" s="173"/>
      <c r="BX410" s="173"/>
      <c r="BY410" s="173"/>
    </row>
    <row r="411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3"/>
      <c r="AT411" s="173"/>
      <c r="AU411" s="173"/>
      <c r="AV411" s="173"/>
      <c r="AW411" s="173"/>
      <c r="AX411" s="173"/>
      <c r="AY411" s="173"/>
      <c r="AZ411" s="173"/>
      <c r="BA411" s="173"/>
      <c r="BB411" s="173"/>
      <c r="BC411" s="173"/>
      <c r="BD411" s="173"/>
      <c r="BE411" s="173"/>
      <c r="BF411" s="173"/>
      <c r="BG411" s="173"/>
      <c r="BH411" s="173"/>
      <c r="BI411" s="173"/>
      <c r="BJ411" s="173"/>
      <c r="BK411" s="173"/>
      <c r="BL411" s="173"/>
      <c r="BM411" s="173"/>
      <c r="BN411" s="173"/>
      <c r="BO411" s="173"/>
      <c r="BP411" s="173"/>
      <c r="BQ411" s="173"/>
      <c r="BR411" s="173"/>
      <c r="BS411" s="173"/>
      <c r="BT411" s="173"/>
      <c r="BU411" s="173"/>
      <c r="BV411" s="173"/>
      <c r="BW411" s="173"/>
      <c r="BX411" s="173"/>
      <c r="BY411" s="173"/>
    </row>
    <row r="412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  <c r="AQ412" s="173"/>
      <c r="AR412" s="173"/>
      <c r="AS412" s="173"/>
      <c r="AT412" s="173"/>
      <c r="AU412" s="173"/>
      <c r="AV412" s="173"/>
      <c r="AW412" s="173"/>
      <c r="AX412" s="173"/>
      <c r="AY412" s="173"/>
      <c r="AZ412" s="173"/>
      <c r="BA412" s="173"/>
      <c r="BB412" s="173"/>
      <c r="BC412" s="173"/>
      <c r="BD412" s="173"/>
      <c r="BE412" s="173"/>
      <c r="BF412" s="173"/>
      <c r="BG412" s="173"/>
      <c r="BH412" s="173"/>
      <c r="BI412" s="173"/>
      <c r="BJ412" s="173"/>
      <c r="BK412" s="173"/>
      <c r="BL412" s="173"/>
      <c r="BM412" s="173"/>
      <c r="BN412" s="173"/>
      <c r="BO412" s="173"/>
      <c r="BP412" s="173"/>
      <c r="BQ412" s="173"/>
      <c r="BR412" s="173"/>
      <c r="BS412" s="173"/>
      <c r="BT412" s="173"/>
      <c r="BU412" s="173"/>
      <c r="BV412" s="173"/>
      <c r="BW412" s="173"/>
      <c r="BX412" s="173"/>
      <c r="BY412" s="173"/>
    </row>
    <row r="413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  <c r="AQ413" s="173"/>
      <c r="AR413" s="173"/>
      <c r="AS413" s="173"/>
      <c r="AT413" s="173"/>
      <c r="AU413" s="173"/>
      <c r="AV413" s="173"/>
      <c r="AW413" s="173"/>
      <c r="AX413" s="173"/>
      <c r="AY413" s="173"/>
      <c r="AZ413" s="173"/>
      <c r="BA413" s="173"/>
      <c r="BB413" s="173"/>
      <c r="BC413" s="173"/>
      <c r="BD413" s="173"/>
      <c r="BE413" s="173"/>
      <c r="BF413" s="173"/>
      <c r="BG413" s="173"/>
      <c r="BH413" s="173"/>
      <c r="BI413" s="173"/>
      <c r="BJ413" s="173"/>
      <c r="BK413" s="173"/>
      <c r="BL413" s="173"/>
      <c r="BM413" s="173"/>
      <c r="BN413" s="173"/>
      <c r="BO413" s="173"/>
      <c r="BP413" s="173"/>
      <c r="BQ413" s="173"/>
      <c r="BR413" s="173"/>
      <c r="BS413" s="173"/>
      <c r="BT413" s="173"/>
      <c r="BU413" s="173"/>
      <c r="BV413" s="173"/>
      <c r="BW413" s="173"/>
      <c r="BX413" s="173"/>
      <c r="BY413" s="173"/>
    </row>
    <row r="414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  <c r="AQ414" s="173"/>
      <c r="AR414" s="173"/>
      <c r="AS414" s="173"/>
      <c r="AT414" s="173"/>
      <c r="AU414" s="173"/>
      <c r="AV414" s="173"/>
      <c r="AW414" s="173"/>
      <c r="AX414" s="173"/>
      <c r="AY414" s="173"/>
      <c r="AZ414" s="173"/>
      <c r="BA414" s="173"/>
      <c r="BB414" s="173"/>
      <c r="BC414" s="173"/>
      <c r="BD414" s="173"/>
      <c r="BE414" s="173"/>
      <c r="BF414" s="173"/>
      <c r="BG414" s="173"/>
      <c r="BH414" s="173"/>
      <c r="BI414" s="173"/>
      <c r="BJ414" s="173"/>
      <c r="BK414" s="173"/>
      <c r="BL414" s="173"/>
      <c r="BM414" s="173"/>
      <c r="BN414" s="173"/>
      <c r="BO414" s="173"/>
      <c r="BP414" s="173"/>
      <c r="BQ414" s="173"/>
      <c r="BR414" s="173"/>
      <c r="BS414" s="173"/>
      <c r="BT414" s="173"/>
      <c r="BU414" s="173"/>
      <c r="BV414" s="173"/>
      <c r="BW414" s="173"/>
      <c r="BX414" s="173"/>
      <c r="BY414" s="173"/>
    </row>
    <row r="415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  <c r="AQ415" s="173"/>
      <c r="AR415" s="173"/>
      <c r="AS415" s="173"/>
      <c r="AT415" s="173"/>
      <c r="AU415" s="173"/>
      <c r="AV415" s="173"/>
      <c r="AW415" s="173"/>
      <c r="AX415" s="173"/>
      <c r="AY415" s="173"/>
      <c r="AZ415" s="173"/>
      <c r="BA415" s="173"/>
      <c r="BB415" s="173"/>
      <c r="BC415" s="173"/>
      <c r="BD415" s="173"/>
      <c r="BE415" s="173"/>
      <c r="BF415" s="173"/>
      <c r="BG415" s="173"/>
      <c r="BH415" s="173"/>
      <c r="BI415" s="173"/>
      <c r="BJ415" s="173"/>
      <c r="BK415" s="173"/>
      <c r="BL415" s="173"/>
      <c r="BM415" s="173"/>
      <c r="BN415" s="173"/>
      <c r="BO415" s="173"/>
      <c r="BP415" s="173"/>
      <c r="BQ415" s="173"/>
      <c r="BR415" s="173"/>
      <c r="BS415" s="173"/>
      <c r="BT415" s="173"/>
      <c r="BU415" s="173"/>
      <c r="BV415" s="173"/>
      <c r="BW415" s="173"/>
      <c r="BX415" s="173"/>
      <c r="BY415" s="173"/>
    </row>
    <row r="416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  <c r="AQ416" s="173"/>
      <c r="AR416" s="173"/>
      <c r="AS416" s="173"/>
      <c r="AT416" s="173"/>
      <c r="AU416" s="173"/>
      <c r="AV416" s="173"/>
      <c r="AW416" s="173"/>
      <c r="AX416" s="173"/>
      <c r="AY416" s="173"/>
      <c r="AZ416" s="173"/>
      <c r="BA416" s="173"/>
      <c r="BB416" s="173"/>
      <c r="BC416" s="173"/>
      <c r="BD416" s="173"/>
      <c r="BE416" s="173"/>
      <c r="BF416" s="173"/>
      <c r="BG416" s="173"/>
      <c r="BH416" s="173"/>
      <c r="BI416" s="173"/>
      <c r="BJ416" s="173"/>
      <c r="BK416" s="173"/>
      <c r="BL416" s="173"/>
      <c r="BM416" s="173"/>
      <c r="BN416" s="173"/>
      <c r="BO416" s="173"/>
      <c r="BP416" s="173"/>
      <c r="BQ416" s="173"/>
      <c r="BR416" s="173"/>
      <c r="BS416" s="173"/>
      <c r="BT416" s="173"/>
      <c r="BU416" s="173"/>
      <c r="BV416" s="173"/>
      <c r="BW416" s="173"/>
      <c r="BX416" s="173"/>
      <c r="BY416" s="173"/>
    </row>
    <row r="417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  <c r="AQ417" s="173"/>
      <c r="AR417" s="173"/>
      <c r="AS417" s="173"/>
      <c r="AT417" s="173"/>
      <c r="AU417" s="173"/>
      <c r="AV417" s="173"/>
      <c r="AW417" s="173"/>
      <c r="AX417" s="173"/>
      <c r="AY417" s="173"/>
      <c r="AZ417" s="173"/>
      <c r="BA417" s="173"/>
      <c r="BB417" s="173"/>
      <c r="BC417" s="173"/>
      <c r="BD417" s="173"/>
      <c r="BE417" s="173"/>
      <c r="BF417" s="173"/>
      <c r="BG417" s="173"/>
      <c r="BH417" s="173"/>
      <c r="BI417" s="173"/>
      <c r="BJ417" s="173"/>
      <c r="BK417" s="173"/>
      <c r="BL417" s="173"/>
      <c r="BM417" s="173"/>
      <c r="BN417" s="173"/>
      <c r="BO417" s="173"/>
      <c r="BP417" s="173"/>
      <c r="BQ417" s="173"/>
      <c r="BR417" s="173"/>
      <c r="BS417" s="173"/>
      <c r="BT417" s="173"/>
      <c r="BU417" s="173"/>
      <c r="BV417" s="173"/>
      <c r="BW417" s="173"/>
      <c r="BX417" s="173"/>
      <c r="BY417" s="173"/>
    </row>
    <row r="418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  <c r="AQ418" s="173"/>
      <c r="AR418" s="173"/>
      <c r="AS418" s="173"/>
      <c r="AT418" s="173"/>
      <c r="AU418" s="173"/>
      <c r="AV418" s="173"/>
      <c r="AW418" s="173"/>
      <c r="AX418" s="173"/>
      <c r="AY418" s="173"/>
      <c r="AZ418" s="173"/>
      <c r="BA418" s="173"/>
      <c r="BB418" s="173"/>
      <c r="BC418" s="173"/>
      <c r="BD418" s="173"/>
      <c r="BE418" s="173"/>
      <c r="BF418" s="173"/>
      <c r="BG418" s="173"/>
      <c r="BH418" s="173"/>
      <c r="BI418" s="173"/>
      <c r="BJ418" s="173"/>
      <c r="BK418" s="173"/>
      <c r="BL418" s="173"/>
      <c r="BM418" s="173"/>
      <c r="BN418" s="173"/>
      <c r="BO418" s="173"/>
      <c r="BP418" s="173"/>
      <c r="BQ418" s="173"/>
      <c r="BR418" s="173"/>
      <c r="BS418" s="173"/>
      <c r="BT418" s="173"/>
      <c r="BU418" s="173"/>
      <c r="BV418" s="173"/>
      <c r="BW418" s="173"/>
      <c r="BX418" s="173"/>
      <c r="BY418" s="173"/>
    </row>
    <row r="419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  <c r="AQ419" s="173"/>
      <c r="AR419" s="173"/>
      <c r="AS419" s="173"/>
      <c r="AT419" s="173"/>
      <c r="AU419" s="173"/>
      <c r="AV419" s="173"/>
      <c r="AW419" s="173"/>
      <c r="AX419" s="173"/>
      <c r="AY419" s="173"/>
      <c r="AZ419" s="173"/>
      <c r="BA419" s="173"/>
      <c r="BB419" s="173"/>
      <c r="BC419" s="173"/>
      <c r="BD419" s="173"/>
      <c r="BE419" s="173"/>
      <c r="BF419" s="173"/>
      <c r="BG419" s="173"/>
      <c r="BH419" s="173"/>
      <c r="BI419" s="173"/>
      <c r="BJ419" s="173"/>
      <c r="BK419" s="173"/>
      <c r="BL419" s="173"/>
      <c r="BM419" s="173"/>
      <c r="BN419" s="173"/>
      <c r="BO419" s="173"/>
      <c r="BP419" s="173"/>
      <c r="BQ419" s="173"/>
      <c r="BR419" s="173"/>
      <c r="BS419" s="173"/>
      <c r="BT419" s="173"/>
      <c r="BU419" s="173"/>
      <c r="BV419" s="173"/>
      <c r="BW419" s="173"/>
      <c r="BX419" s="173"/>
      <c r="BY419" s="173"/>
    </row>
    <row r="420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  <c r="AQ420" s="173"/>
      <c r="AR420" s="173"/>
      <c r="AS420" s="173"/>
      <c r="AT420" s="173"/>
      <c r="AU420" s="173"/>
      <c r="AV420" s="173"/>
      <c r="AW420" s="173"/>
      <c r="AX420" s="173"/>
      <c r="AY420" s="173"/>
      <c r="AZ420" s="173"/>
      <c r="BA420" s="173"/>
      <c r="BB420" s="173"/>
      <c r="BC420" s="173"/>
      <c r="BD420" s="173"/>
      <c r="BE420" s="173"/>
      <c r="BF420" s="173"/>
      <c r="BG420" s="173"/>
      <c r="BH420" s="173"/>
      <c r="BI420" s="173"/>
      <c r="BJ420" s="173"/>
      <c r="BK420" s="173"/>
      <c r="BL420" s="173"/>
      <c r="BM420" s="173"/>
      <c r="BN420" s="173"/>
      <c r="BO420" s="173"/>
      <c r="BP420" s="173"/>
      <c r="BQ420" s="173"/>
      <c r="BR420" s="173"/>
      <c r="BS420" s="173"/>
      <c r="BT420" s="173"/>
      <c r="BU420" s="173"/>
      <c r="BV420" s="173"/>
      <c r="BW420" s="173"/>
      <c r="BX420" s="173"/>
      <c r="BY420" s="173"/>
    </row>
    <row r="421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  <c r="AQ421" s="173"/>
      <c r="AR421" s="173"/>
      <c r="AS421" s="173"/>
      <c r="AT421" s="173"/>
      <c r="AU421" s="173"/>
      <c r="AV421" s="173"/>
      <c r="AW421" s="173"/>
      <c r="AX421" s="173"/>
      <c r="AY421" s="173"/>
      <c r="AZ421" s="173"/>
      <c r="BA421" s="173"/>
      <c r="BB421" s="173"/>
      <c r="BC421" s="173"/>
      <c r="BD421" s="173"/>
      <c r="BE421" s="173"/>
      <c r="BF421" s="173"/>
      <c r="BG421" s="173"/>
      <c r="BH421" s="173"/>
      <c r="BI421" s="173"/>
      <c r="BJ421" s="173"/>
      <c r="BK421" s="173"/>
      <c r="BL421" s="173"/>
      <c r="BM421" s="173"/>
      <c r="BN421" s="173"/>
      <c r="BO421" s="173"/>
      <c r="BP421" s="173"/>
      <c r="BQ421" s="173"/>
      <c r="BR421" s="173"/>
      <c r="BS421" s="173"/>
      <c r="BT421" s="173"/>
      <c r="BU421" s="173"/>
      <c r="BV421" s="173"/>
      <c r="BW421" s="173"/>
      <c r="BX421" s="173"/>
      <c r="BY421" s="173"/>
    </row>
    <row r="422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  <c r="AQ422" s="173"/>
      <c r="AR422" s="173"/>
      <c r="AS422" s="173"/>
      <c r="AT422" s="173"/>
      <c r="AU422" s="173"/>
      <c r="AV422" s="173"/>
      <c r="AW422" s="173"/>
      <c r="AX422" s="173"/>
      <c r="AY422" s="173"/>
      <c r="AZ422" s="173"/>
      <c r="BA422" s="173"/>
      <c r="BB422" s="173"/>
      <c r="BC422" s="173"/>
      <c r="BD422" s="173"/>
      <c r="BE422" s="173"/>
      <c r="BF422" s="173"/>
      <c r="BG422" s="173"/>
      <c r="BH422" s="173"/>
      <c r="BI422" s="173"/>
      <c r="BJ422" s="173"/>
      <c r="BK422" s="173"/>
      <c r="BL422" s="173"/>
      <c r="BM422" s="173"/>
      <c r="BN422" s="173"/>
      <c r="BO422" s="173"/>
      <c r="BP422" s="173"/>
      <c r="BQ422" s="173"/>
      <c r="BR422" s="173"/>
      <c r="BS422" s="173"/>
      <c r="BT422" s="173"/>
      <c r="BU422" s="173"/>
      <c r="BV422" s="173"/>
      <c r="BW422" s="173"/>
      <c r="BX422" s="173"/>
      <c r="BY422" s="173"/>
    </row>
    <row r="423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  <c r="AQ423" s="173"/>
      <c r="AR423" s="173"/>
      <c r="AS423" s="173"/>
      <c r="AT423" s="173"/>
      <c r="AU423" s="173"/>
      <c r="AV423" s="173"/>
      <c r="AW423" s="173"/>
      <c r="AX423" s="173"/>
      <c r="AY423" s="173"/>
      <c r="AZ423" s="173"/>
      <c r="BA423" s="173"/>
      <c r="BB423" s="173"/>
      <c r="BC423" s="173"/>
      <c r="BD423" s="173"/>
      <c r="BE423" s="173"/>
      <c r="BF423" s="173"/>
      <c r="BG423" s="173"/>
      <c r="BH423" s="173"/>
      <c r="BI423" s="173"/>
      <c r="BJ423" s="173"/>
      <c r="BK423" s="173"/>
      <c r="BL423" s="173"/>
      <c r="BM423" s="173"/>
      <c r="BN423" s="173"/>
      <c r="BO423" s="173"/>
      <c r="BP423" s="173"/>
      <c r="BQ423" s="173"/>
      <c r="BR423" s="173"/>
      <c r="BS423" s="173"/>
      <c r="BT423" s="173"/>
      <c r="BU423" s="173"/>
      <c r="BV423" s="173"/>
      <c r="BW423" s="173"/>
      <c r="BX423" s="173"/>
      <c r="BY423" s="173"/>
    </row>
    <row r="424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  <c r="AQ424" s="173"/>
      <c r="AR424" s="173"/>
      <c r="AS424" s="173"/>
      <c r="AT424" s="173"/>
      <c r="AU424" s="173"/>
      <c r="AV424" s="173"/>
      <c r="AW424" s="173"/>
      <c r="AX424" s="173"/>
      <c r="AY424" s="173"/>
      <c r="AZ424" s="173"/>
      <c r="BA424" s="173"/>
      <c r="BB424" s="173"/>
      <c r="BC424" s="173"/>
      <c r="BD424" s="173"/>
      <c r="BE424" s="173"/>
      <c r="BF424" s="173"/>
      <c r="BG424" s="173"/>
      <c r="BH424" s="173"/>
      <c r="BI424" s="173"/>
      <c r="BJ424" s="173"/>
      <c r="BK424" s="173"/>
      <c r="BL424" s="173"/>
      <c r="BM424" s="173"/>
      <c r="BN424" s="173"/>
      <c r="BO424" s="173"/>
      <c r="BP424" s="173"/>
      <c r="BQ424" s="173"/>
      <c r="BR424" s="173"/>
      <c r="BS424" s="173"/>
      <c r="BT424" s="173"/>
      <c r="BU424" s="173"/>
      <c r="BV424" s="173"/>
      <c r="BW424" s="173"/>
      <c r="BX424" s="173"/>
      <c r="BY424" s="173"/>
    </row>
    <row r="425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  <c r="AQ425" s="173"/>
      <c r="AR425" s="173"/>
      <c r="AS425" s="173"/>
      <c r="AT425" s="173"/>
      <c r="AU425" s="173"/>
      <c r="AV425" s="173"/>
      <c r="AW425" s="173"/>
      <c r="AX425" s="173"/>
      <c r="AY425" s="173"/>
      <c r="AZ425" s="173"/>
      <c r="BA425" s="173"/>
      <c r="BB425" s="173"/>
      <c r="BC425" s="173"/>
      <c r="BD425" s="173"/>
      <c r="BE425" s="173"/>
      <c r="BF425" s="173"/>
      <c r="BG425" s="173"/>
      <c r="BH425" s="173"/>
      <c r="BI425" s="173"/>
      <c r="BJ425" s="173"/>
      <c r="BK425" s="173"/>
      <c r="BL425" s="173"/>
      <c r="BM425" s="173"/>
      <c r="BN425" s="173"/>
      <c r="BO425" s="173"/>
      <c r="BP425" s="173"/>
      <c r="BQ425" s="173"/>
      <c r="BR425" s="173"/>
      <c r="BS425" s="173"/>
      <c r="BT425" s="173"/>
      <c r="BU425" s="173"/>
      <c r="BV425" s="173"/>
      <c r="BW425" s="173"/>
      <c r="BX425" s="173"/>
      <c r="BY425" s="173"/>
    </row>
    <row r="426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  <c r="AQ426" s="173"/>
      <c r="AR426" s="173"/>
      <c r="AS426" s="173"/>
      <c r="AT426" s="173"/>
      <c r="AU426" s="173"/>
      <c r="AV426" s="173"/>
      <c r="AW426" s="173"/>
      <c r="AX426" s="173"/>
      <c r="AY426" s="173"/>
      <c r="AZ426" s="173"/>
      <c r="BA426" s="173"/>
      <c r="BB426" s="173"/>
      <c r="BC426" s="173"/>
      <c r="BD426" s="173"/>
      <c r="BE426" s="173"/>
      <c r="BF426" s="173"/>
      <c r="BG426" s="173"/>
      <c r="BH426" s="173"/>
      <c r="BI426" s="173"/>
      <c r="BJ426" s="173"/>
      <c r="BK426" s="173"/>
      <c r="BL426" s="173"/>
      <c r="BM426" s="173"/>
      <c r="BN426" s="173"/>
      <c r="BO426" s="173"/>
      <c r="BP426" s="173"/>
      <c r="BQ426" s="173"/>
      <c r="BR426" s="173"/>
      <c r="BS426" s="173"/>
      <c r="BT426" s="173"/>
      <c r="BU426" s="173"/>
      <c r="BV426" s="173"/>
      <c r="BW426" s="173"/>
      <c r="BX426" s="173"/>
      <c r="BY426" s="173"/>
    </row>
    <row r="427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  <c r="AQ427" s="173"/>
      <c r="AR427" s="173"/>
      <c r="AS427" s="173"/>
      <c r="AT427" s="173"/>
      <c r="AU427" s="173"/>
      <c r="AV427" s="173"/>
      <c r="AW427" s="173"/>
      <c r="AX427" s="173"/>
      <c r="AY427" s="173"/>
      <c r="AZ427" s="173"/>
      <c r="BA427" s="173"/>
      <c r="BB427" s="173"/>
      <c r="BC427" s="173"/>
      <c r="BD427" s="173"/>
      <c r="BE427" s="173"/>
      <c r="BF427" s="173"/>
      <c r="BG427" s="173"/>
      <c r="BH427" s="173"/>
      <c r="BI427" s="173"/>
      <c r="BJ427" s="173"/>
      <c r="BK427" s="173"/>
      <c r="BL427" s="173"/>
      <c r="BM427" s="173"/>
      <c r="BN427" s="173"/>
      <c r="BO427" s="173"/>
      <c r="BP427" s="173"/>
      <c r="BQ427" s="173"/>
      <c r="BR427" s="173"/>
      <c r="BS427" s="173"/>
      <c r="BT427" s="173"/>
      <c r="BU427" s="173"/>
      <c r="BV427" s="173"/>
      <c r="BW427" s="173"/>
      <c r="BX427" s="173"/>
      <c r="BY427" s="173"/>
    </row>
    <row r="428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  <c r="AQ428" s="173"/>
      <c r="AR428" s="173"/>
      <c r="AS428" s="173"/>
      <c r="AT428" s="173"/>
      <c r="AU428" s="173"/>
      <c r="AV428" s="173"/>
      <c r="AW428" s="173"/>
      <c r="AX428" s="173"/>
      <c r="AY428" s="173"/>
      <c r="AZ428" s="173"/>
      <c r="BA428" s="173"/>
      <c r="BB428" s="173"/>
      <c r="BC428" s="173"/>
      <c r="BD428" s="173"/>
      <c r="BE428" s="173"/>
      <c r="BF428" s="173"/>
      <c r="BG428" s="173"/>
      <c r="BH428" s="173"/>
      <c r="BI428" s="173"/>
      <c r="BJ428" s="173"/>
      <c r="BK428" s="173"/>
      <c r="BL428" s="173"/>
      <c r="BM428" s="173"/>
      <c r="BN428" s="173"/>
      <c r="BO428" s="173"/>
      <c r="BP428" s="173"/>
      <c r="BQ428" s="173"/>
      <c r="BR428" s="173"/>
      <c r="BS428" s="173"/>
      <c r="BT428" s="173"/>
      <c r="BU428" s="173"/>
      <c r="BV428" s="173"/>
      <c r="BW428" s="173"/>
      <c r="BX428" s="173"/>
      <c r="BY428" s="173"/>
    </row>
    <row r="429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/>
      <c r="AR429" s="173"/>
      <c r="AS429" s="173"/>
      <c r="AT429" s="173"/>
      <c r="AU429" s="173"/>
      <c r="AV429" s="173"/>
      <c r="AW429" s="173"/>
      <c r="AX429" s="173"/>
      <c r="AY429" s="173"/>
      <c r="AZ429" s="173"/>
      <c r="BA429" s="173"/>
      <c r="BB429" s="173"/>
      <c r="BC429" s="173"/>
      <c r="BD429" s="173"/>
      <c r="BE429" s="173"/>
      <c r="BF429" s="173"/>
      <c r="BG429" s="173"/>
      <c r="BH429" s="173"/>
      <c r="BI429" s="173"/>
      <c r="BJ429" s="173"/>
      <c r="BK429" s="173"/>
      <c r="BL429" s="173"/>
      <c r="BM429" s="173"/>
      <c r="BN429" s="173"/>
      <c r="BO429" s="173"/>
      <c r="BP429" s="173"/>
      <c r="BQ429" s="173"/>
      <c r="BR429" s="173"/>
      <c r="BS429" s="173"/>
      <c r="BT429" s="173"/>
      <c r="BU429" s="173"/>
      <c r="BV429" s="173"/>
      <c r="BW429" s="173"/>
      <c r="BX429" s="173"/>
      <c r="BY429" s="173"/>
    </row>
    <row r="430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  <c r="AQ430" s="173"/>
      <c r="AR430" s="173"/>
      <c r="AS430" s="173"/>
      <c r="AT430" s="173"/>
      <c r="AU430" s="173"/>
      <c r="AV430" s="173"/>
      <c r="AW430" s="173"/>
      <c r="AX430" s="173"/>
      <c r="AY430" s="173"/>
      <c r="AZ430" s="173"/>
      <c r="BA430" s="173"/>
      <c r="BB430" s="173"/>
      <c r="BC430" s="173"/>
      <c r="BD430" s="173"/>
      <c r="BE430" s="173"/>
      <c r="BF430" s="173"/>
      <c r="BG430" s="173"/>
      <c r="BH430" s="173"/>
      <c r="BI430" s="173"/>
      <c r="BJ430" s="173"/>
      <c r="BK430" s="173"/>
      <c r="BL430" s="173"/>
      <c r="BM430" s="173"/>
      <c r="BN430" s="173"/>
      <c r="BO430" s="173"/>
      <c r="BP430" s="173"/>
      <c r="BQ430" s="173"/>
      <c r="BR430" s="173"/>
      <c r="BS430" s="173"/>
      <c r="BT430" s="173"/>
      <c r="BU430" s="173"/>
      <c r="BV430" s="173"/>
      <c r="BW430" s="173"/>
      <c r="BX430" s="173"/>
      <c r="BY430" s="173"/>
    </row>
    <row r="43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  <c r="AQ431" s="173"/>
      <c r="AR431" s="173"/>
      <c r="AS431" s="173"/>
      <c r="AT431" s="173"/>
      <c r="AU431" s="173"/>
      <c r="AV431" s="173"/>
      <c r="AW431" s="173"/>
      <c r="AX431" s="173"/>
      <c r="AY431" s="173"/>
      <c r="AZ431" s="173"/>
      <c r="BA431" s="173"/>
      <c r="BB431" s="173"/>
      <c r="BC431" s="173"/>
      <c r="BD431" s="173"/>
      <c r="BE431" s="173"/>
      <c r="BF431" s="173"/>
      <c r="BG431" s="173"/>
      <c r="BH431" s="173"/>
      <c r="BI431" s="173"/>
      <c r="BJ431" s="173"/>
      <c r="BK431" s="173"/>
      <c r="BL431" s="173"/>
      <c r="BM431" s="173"/>
      <c r="BN431" s="173"/>
      <c r="BO431" s="173"/>
      <c r="BP431" s="173"/>
      <c r="BQ431" s="173"/>
      <c r="BR431" s="173"/>
      <c r="BS431" s="173"/>
      <c r="BT431" s="173"/>
      <c r="BU431" s="173"/>
      <c r="BV431" s="173"/>
      <c r="BW431" s="173"/>
      <c r="BX431" s="173"/>
      <c r="BY431" s="173"/>
    </row>
    <row r="432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  <c r="AQ432" s="173"/>
      <c r="AR432" s="173"/>
      <c r="AS432" s="173"/>
      <c r="AT432" s="173"/>
      <c r="AU432" s="173"/>
      <c r="AV432" s="173"/>
      <c r="AW432" s="173"/>
      <c r="AX432" s="173"/>
      <c r="AY432" s="173"/>
      <c r="AZ432" s="173"/>
      <c r="BA432" s="173"/>
      <c r="BB432" s="173"/>
      <c r="BC432" s="173"/>
      <c r="BD432" s="173"/>
      <c r="BE432" s="173"/>
      <c r="BF432" s="173"/>
      <c r="BG432" s="173"/>
      <c r="BH432" s="173"/>
      <c r="BI432" s="173"/>
      <c r="BJ432" s="173"/>
      <c r="BK432" s="173"/>
      <c r="BL432" s="173"/>
      <c r="BM432" s="173"/>
      <c r="BN432" s="173"/>
      <c r="BO432" s="173"/>
      <c r="BP432" s="173"/>
      <c r="BQ432" s="173"/>
      <c r="BR432" s="173"/>
      <c r="BS432" s="173"/>
      <c r="BT432" s="173"/>
      <c r="BU432" s="173"/>
      <c r="BV432" s="173"/>
      <c r="BW432" s="173"/>
      <c r="BX432" s="173"/>
      <c r="BY432" s="173"/>
    </row>
    <row r="433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  <c r="AQ433" s="173"/>
      <c r="AR433" s="173"/>
      <c r="AS433" s="173"/>
      <c r="AT433" s="173"/>
      <c r="AU433" s="173"/>
      <c r="AV433" s="173"/>
      <c r="AW433" s="173"/>
      <c r="AX433" s="173"/>
      <c r="AY433" s="173"/>
      <c r="AZ433" s="173"/>
      <c r="BA433" s="173"/>
      <c r="BB433" s="173"/>
      <c r="BC433" s="173"/>
      <c r="BD433" s="173"/>
      <c r="BE433" s="173"/>
      <c r="BF433" s="173"/>
      <c r="BG433" s="173"/>
      <c r="BH433" s="173"/>
      <c r="BI433" s="173"/>
      <c r="BJ433" s="173"/>
      <c r="BK433" s="173"/>
      <c r="BL433" s="173"/>
      <c r="BM433" s="173"/>
      <c r="BN433" s="173"/>
      <c r="BO433" s="173"/>
      <c r="BP433" s="173"/>
      <c r="BQ433" s="173"/>
      <c r="BR433" s="173"/>
      <c r="BS433" s="173"/>
      <c r="BT433" s="173"/>
      <c r="BU433" s="173"/>
      <c r="BV433" s="173"/>
      <c r="BW433" s="173"/>
      <c r="BX433" s="173"/>
      <c r="BY433" s="173"/>
    </row>
    <row r="434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  <c r="AQ434" s="173"/>
      <c r="AR434" s="173"/>
      <c r="AS434" s="173"/>
      <c r="AT434" s="173"/>
      <c r="AU434" s="173"/>
      <c r="AV434" s="173"/>
      <c r="AW434" s="173"/>
      <c r="AX434" s="173"/>
      <c r="AY434" s="173"/>
      <c r="AZ434" s="173"/>
      <c r="BA434" s="173"/>
      <c r="BB434" s="173"/>
      <c r="BC434" s="173"/>
      <c r="BD434" s="173"/>
      <c r="BE434" s="173"/>
      <c r="BF434" s="173"/>
      <c r="BG434" s="173"/>
      <c r="BH434" s="173"/>
      <c r="BI434" s="173"/>
      <c r="BJ434" s="173"/>
      <c r="BK434" s="173"/>
      <c r="BL434" s="173"/>
      <c r="BM434" s="173"/>
      <c r="BN434" s="173"/>
      <c r="BO434" s="173"/>
      <c r="BP434" s="173"/>
      <c r="BQ434" s="173"/>
      <c r="BR434" s="173"/>
      <c r="BS434" s="173"/>
      <c r="BT434" s="173"/>
      <c r="BU434" s="173"/>
      <c r="BV434" s="173"/>
      <c r="BW434" s="173"/>
      <c r="BX434" s="173"/>
      <c r="BY434" s="173"/>
    </row>
    <row r="435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  <c r="AQ435" s="173"/>
      <c r="AR435" s="173"/>
      <c r="AS435" s="173"/>
      <c r="AT435" s="173"/>
      <c r="AU435" s="173"/>
      <c r="AV435" s="173"/>
      <c r="AW435" s="173"/>
      <c r="AX435" s="173"/>
      <c r="AY435" s="173"/>
      <c r="AZ435" s="173"/>
      <c r="BA435" s="173"/>
      <c r="BB435" s="173"/>
      <c r="BC435" s="173"/>
      <c r="BD435" s="173"/>
      <c r="BE435" s="173"/>
      <c r="BF435" s="173"/>
      <c r="BG435" s="173"/>
      <c r="BH435" s="173"/>
      <c r="BI435" s="173"/>
      <c r="BJ435" s="173"/>
      <c r="BK435" s="173"/>
      <c r="BL435" s="173"/>
      <c r="BM435" s="173"/>
      <c r="BN435" s="173"/>
      <c r="BO435" s="173"/>
      <c r="BP435" s="173"/>
      <c r="BQ435" s="173"/>
      <c r="BR435" s="173"/>
      <c r="BS435" s="173"/>
      <c r="BT435" s="173"/>
      <c r="BU435" s="173"/>
      <c r="BV435" s="173"/>
      <c r="BW435" s="173"/>
      <c r="BX435" s="173"/>
      <c r="BY435" s="173"/>
    </row>
    <row r="436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  <c r="AQ436" s="173"/>
      <c r="AR436" s="173"/>
      <c r="AS436" s="173"/>
      <c r="AT436" s="173"/>
      <c r="AU436" s="173"/>
      <c r="AV436" s="173"/>
      <c r="AW436" s="173"/>
      <c r="AX436" s="173"/>
      <c r="AY436" s="173"/>
      <c r="AZ436" s="173"/>
      <c r="BA436" s="173"/>
      <c r="BB436" s="173"/>
      <c r="BC436" s="173"/>
      <c r="BD436" s="173"/>
      <c r="BE436" s="173"/>
      <c r="BF436" s="173"/>
      <c r="BG436" s="173"/>
      <c r="BH436" s="173"/>
      <c r="BI436" s="173"/>
      <c r="BJ436" s="173"/>
      <c r="BK436" s="173"/>
      <c r="BL436" s="173"/>
      <c r="BM436" s="173"/>
      <c r="BN436" s="173"/>
      <c r="BO436" s="173"/>
      <c r="BP436" s="173"/>
      <c r="BQ436" s="173"/>
      <c r="BR436" s="173"/>
      <c r="BS436" s="173"/>
      <c r="BT436" s="173"/>
      <c r="BU436" s="173"/>
      <c r="BV436" s="173"/>
      <c r="BW436" s="173"/>
      <c r="BX436" s="173"/>
      <c r="BY436" s="173"/>
    </row>
    <row r="437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  <c r="AQ437" s="173"/>
      <c r="AR437" s="173"/>
      <c r="AS437" s="173"/>
      <c r="AT437" s="173"/>
      <c r="AU437" s="173"/>
      <c r="AV437" s="173"/>
      <c r="AW437" s="173"/>
      <c r="AX437" s="173"/>
      <c r="AY437" s="173"/>
      <c r="AZ437" s="173"/>
      <c r="BA437" s="173"/>
      <c r="BB437" s="173"/>
      <c r="BC437" s="173"/>
      <c r="BD437" s="173"/>
      <c r="BE437" s="173"/>
      <c r="BF437" s="173"/>
      <c r="BG437" s="173"/>
      <c r="BH437" s="173"/>
      <c r="BI437" s="173"/>
      <c r="BJ437" s="173"/>
      <c r="BK437" s="173"/>
      <c r="BL437" s="173"/>
      <c r="BM437" s="173"/>
      <c r="BN437" s="173"/>
      <c r="BO437" s="173"/>
      <c r="BP437" s="173"/>
      <c r="BQ437" s="173"/>
      <c r="BR437" s="173"/>
      <c r="BS437" s="173"/>
      <c r="BT437" s="173"/>
      <c r="BU437" s="173"/>
      <c r="BV437" s="173"/>
      <c r="BW437" s="173"/>
      <c r="BX437" s="173"/>
      <c r="BY437" s="173"/>
    </row>
    <row r="438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  <c r="AQ438" s="173"/>
      <c r="AR438" s="173"/>
      <c r="AS438" s="173"/>
      <c r="AT438" s="173"/>
      <c r="AU438" s="173"/>
      <c r="AV438" s="173"/>
      <c r="AW438" s="173"/>
      <c r="AX438" s="173"/>
      <c r="AY438" s="173"/>
      <c r="AZ438" s="173"/>
      <c r="BA438" s="173"/>
      <c r="BB438" s="173"/>
      <c r="BC438" s="173"/>
      <c r="BD438" s="173"/>
      <c r="BE438" s="173"/>
      <c r="BF438" s="173"/>
      <c r="BG438" s="173"/>
      <c r="BH438" s="173"/>
      <c r="BI438" s="173"/>
      <c r="BJ438" s="173"/>
      <c r="BK438" s="173"/>
      <c r="BL438" s="173"/>
      <c r="BM438" s="173"/>
      <c r="BN438" s="173"/>
      <c r="BO438" s="173"/>
      <c r="BP438" s="173"/>
      <c r="BQ438" s="173"/>
      <c r="BR438" s="173"/>
      <c r="BS438" s="173"/>
      <c r="BT438" s="173"/>
      <c r="BU438" s="173"/>
      <c r="BV438" s="173"/>
      <c r="BW438" s="173"/>
      <c r="BX438" s="173"/>
      <c r="BY438" s="173"/>
    </row>
    <row r="439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  <c r="AQ439" s="173"/>
      <c r="AR439" s="173"/>
      <c r="AS439" s="173"/>
      <c r="AT439" s="173"/>
      <c r="AU439" s="173"/>
      <c r="AV439" s="173"/>
      <c r="AW439" s="173"/>
      <c r="AX439" s="173"/>
      <c r="AY439" s="173"/>
      <c r="AZ439" s="173"/>
      <c r="BA439" s="173"/>
      <c r="BB439" s="173"/>
      <c r="BC439" s="173"/>
      <c r="BD439" s="173"/>
      <c r="BE439" s="173"/>
      <c r="BF439" s="173"/>
      <c r="BG439" s="173"/>
      <c r="BH439" s="173"/>
      <c r="BI439" s="173"/>
      <c r="BJ439" s="173"/>
      <c r="BK439" s="173"/>
      <c r="BL439" s="173"/>
      <c r="BM439" s="173"/>
      <c r="BN439" s="173"/>
      <c r="BO439" s="173"/>
      <c r="BP439" s="173"/>
      <c r="BQ439" s="173"/>
      <c r="BR439" s="173"/>
      <c r="BS439" s="173"/>
      <c r="BT439" s="173"/>
      <c r="BU439" s="173"/>
      <c r="BV439" s="173"/>
      <c r="BW439" s="173"/>
      <c r="BX439" s="173"/>
      <c r="BY439" s="173"/>
    </row>
    <row r="440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  <c r="AQ440" s="173"/>
      <c r="AR440" s="173"/>
      <c r="AS440" s="173"/>
      <c r="AT440" s="173"/>
      <c r="AU440" s="173"/>
      <c r="AV440" s="173"/>
      <c r="AW440" s="173"/>
      <c r="AX440" s="173"/>
      <c r="AY440" s="173"/>
      <c r="AZ440" s="173"/>
      <c r="BA440" s="173"/>
      <c r="BB440" s="173"/>
      <c r="BC440" s="173"/>
      <c r="BD440" s="173"/>
      <c r="BE440" s="173"/>
      <c r="BF440" s="173"/>
      <c r="BG440" s="173"/>
      <c r="BH440" s="173"/>
      <c r="BI440" s="173"/>
      <c r="BJ440" s="173"/>
      <c r="BK440" s="173"/>
      <c r="BL440" s="173"/>
      <c r="BM440" s="173"/>
      <c r="BN440" s="173"/>
      <c r="BO440" s="173"/>
      <c r="BP440" s="173"/>
      <c r="BQ440" s="173"/>
      <c r="BR440" s="173"/>
      <c r="BS440" s="173"/>
      <c r="BT440" s="173"/>
      <c r="BU440" s="173"/>
      <c r="BV440" s="173"/>
      <c r="BW440" s="173"/>
      <c r="BX440" s="173"/>
      <c r="BY440" s="173"/>
    </row>
    <row r="44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  <c r="AQ441" s="173"/>
      <c r="AR441" s="173"/>
      <c r="AS441" s="173"/>
      <c r="AT441" s="173"/>
      <c r="AU441" s="173"/>
      <c r="AV441" s="173"/>
      <c r="AW441" s="173"/>
      <c r="AX441" s="173"/>
      <c r="AY441" s="173"/>
      <c r="AZ441" s="173"/>
      <c r="BA441" s="173"/>
      <c r="BB441" s="173"/>
      <c r="BC441" s="173"/>
      <c r="BD441" s="173"/>
      <c r="BE441" s="173"/>
      <c r="BF441" s="173"/>
      <c r="BG441" s="173"/>
      <c r="BH441" s="173"/>
      <c r="BI441" s="173"/>
      <c r="BJ441" s="173"/>
      <c r="BK441" s="173"/>
      <c r="BL441" s="173"/>
      <c r="BM441" s="173"/>
      <c r="BN441" s="173"/>
      <c r="BO441" s="173"/>
      <c r="BP441" s="173"/>
      <c r="BQ441" s="173"/>
      <c r="BR441" s="173"/>
      <c r="BS441" s="173"/>
      <c r="BT441" s="173"/>
      <c r="BU441" s="173"/>
      <c r="BV441" s="173"/>
      <c r="BW441" s="173"/>
      <c r="BX441" s="173"/>
      <c r="BY441" s="173"/>
    </row>
    <row r="442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  <c r="AQ442" s="173"/>
      <c r="AR442" s="173"/>
      <c r="AS442" s="173"/>
      <c r="AT442" s="173"/>
      <c r="AU442" s="173"/>
      <c r="AV442" s="173"/>
      <c r="AW442" s="173"/>
      <c r="AX442" s="173"/>
      <c r="AY442" s="173"/>
      <c r="AZ442" s="173"/>
      <c r="BA442" s="173"/>
      <c r="BB442" s="173"/>
      <c r="BC442" s="173"/>
      <c r="BD442" s="173"/>
      <c r="BE442" s="173"/>
      <c r="BF442" s="173"/>
      <c r="BG442" s="173"/>
      <c r="BH442" s="173"/>
      <c r="BI442" s="173"/>
      <c r="BJ442" s="173"/>
      <c r="BK442" s="173"/>
      <c r="BL442" s="173"/>
      <c r="BM442" s="173"/>
      <c r="BN442" s="173"/>
      <c r="BO442" s="173"/>
      <c r="BP442" s="173"/>
      <c r="BQ442" s="173"/>
      <c r="BR442" s="173"/>
      <c r="BS442" s="173"/>
      <c r="BT442" s="173"/>
      <c r="BU442" s="173"/>
      <c r="BV442" s="173"/>
      <c r="BW442" s="173"/>
      <c r="BX442" s="173"/>
      <c r="BY442" s="173"/>
    </row>
    <row r="443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  <c r="AQ443" s="173"/>
      <c r="AR443" s="173"/>
      <c r="AS443" s="173"/>
      <c r="AT443" s="173"/>
      <c r="AU443" s="173"/>
      <c r="AV443" s="173"/>
      <c r="AW443" s="173"/>
      <c r="AX443" s="173"/>
      <c r="AY443" s="173"/>
      <c r="AZ443" s="173"/>
      <c r="BA443" s="173"/>
      <c r="BB443" s="173"/>
      <c r="BC443" s="173"/>
      <c r="BD443" s="173"/>
      <c r="BE443" s="173"/>
      <c r="BF443" s="173"/>
      <c r="BG443" s="173"/>
      <c r="BH443" s="173"/>
      <c r="BI443" s="173"/>
      <c r="BJ443" s="173"/>
      <c r="BK443" s="173"/>
      <c r="BL443" s="173"/>
      <c r="BM443" s="173"/>
      <c r="BN443" s="173"/>
      <c r="BO443" s="173"/>
      <c r="BP443" s="173"/>
      <c r="BQ443" s="173"/>
      <c r="BR443" s="173"/>
      <c r="BS443" s="173"/>
      <c r="BT443" s="173"/>
      <c r="BU443" s="173"/>
      <c r="BV443" s="173"/>
      <c r="BW443" s="173"/>
      <c r="BX443" s="173"/>
      <c r="BY443" s="173"/>
    </row>
    <row r="444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  <c r="AQ444" s="173"/>
      <c r="AR444" s="173"/>
      <c r="AS444" s="173"/>
      <c r="AT444" s="173"/>
      <c r="AU444" s="173"/>
      <c r="AV444" s="173"/>
      <c r="AW444" s="173"/>
      <c r="AX444" s="173"/>
      <c r="AY444" s="173"/>
      <c r="AZ444" s="173"/>
      <c r="BA444" s="173"/>
      <c r="BB444" s="173"/>
      <c r="BC444" s="173"/>
      <c r="BD444" s="173"/>
      <c r="BE444" s="173"/>
      <c r="BF444" s="173"/>
      <c r="BG444" s="173"/>
      <c r="BH444" s="173"/>
      <c r="BI444" s="173"/>
      <c r="BJ444" s="173"/>
      <c r="BK444" s="173"/>
      <c r="BL444" s="173"/>
      <c r="BM444" s="173"/>
      <c r="BN444" s="173"/>
      <c r="BO444" s="173"/>
      <c r="BP444" s="173"/>
      <c r="BQ444" s="173"/>
      <c r="BR444" s="173"/>
      <c r="BS444" s="173"/>
      <c r="BT444" s="173"/>
      <c r="BU444" s="173"/>
      <c r="BV444" s="173"/>
      <c r="BW444" s="173"/>
      <c r="BX444" s="173"/>
      <c r="BY444" s="173"/>
    </row>
    <row r="445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  <c r="AQ445" s="173"/>
      <c r="AR445" s="173"/>
      <c r="AS445" s="173"/>
      <c r="AT445" s="173"/>
      <c r="AU445" s="173"/>
      <c r="AV445" s="173"/>
      <c r="AW445" s="173"/>
      <c r="AX445" s="173"/>
      <c r="AY445" s="173"/>
      <c r="AZ445" s="173"/>
      <c r="BA445" s="173"/>
      <c r="BB445" s="173"/>
      <c r="BC445" s="173"/>
      <c r="BD445" s="173"/>
      <c r="BE445" s="173"/>
      <c r="BF445" s="173"/>
      <c r="BG445" s="173"/>
      <c r="BH445" s="173"/>
      <c r="BI445" s="173"/>
      <c r="BJ445" s="173"/>
      <c r="BK445" s="173"/>
      <c r="BL445" s="173"/>
      <c r="BM445" s="173"/>
      <c r="BN445" s="173"/>
      <c r="BO445" s="173"/>
      <c r="BP445" s="173"/>
      <c r="BQ445" s="173"/>
      <c r="BR445" s="173"/>
      <c r="BS445" s="173"/>
      <c r="BT445" s="173"/>
      <c r="BU445" s="173"/>
      <c r="BV445" s="173"/>
      <c r="BW445" s="173"/>
      <c r="BX445" s="173"/>
      <c r="BY445" s="173"/>
    </row>
    <row r="446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  <c r="AQ446" s="173"/>
      <c r="AR446" s="173"/>
      <c r="AS446" s="173"/>
      <c r="AT446" s="173"/>
      <c r="AU446" s="173"/>
      <c r="AV446" s="173"/>
      <c r="AW446" s="173"/>
      <c r="AX446" s="173"/>
      <c r="AY446" s="173"/>
      <c r="AZ446" s="173"/>
      <c r="BA446" s="173"/>
      <c r="BB446" s="173"/>
      <c r="BC446" s="173"/>
      <c r="BD446" s="173"/>
      <c r="BE446" s="173"/>
      <c r="BF446" s="173"/>
      <c r="BG446" s="173"/>
      <c r="BH446" s="173"/>
      <c r="BI446" s="173"/>
      <c r="BJ446" s="173"/>
      <c r="BK446" s="173"/>
      <c r="BL446" s="173"/>
      <c r="BM446" s="173"/>
      <c r="BN446" s="173"/>
      <c r="BO446" s="173"/>
      <c r="BP446" s="173"/>
      <c r="BQ446" s="173"/>
      <c r="BR446" s="173"/>
      <c r="BS446" s="173"/>
      <c r="BT446" s="173"/>
      <c r="BU446" s="173"/>
      <c r="BV446" s="173"/>
      <c r="BW446" s="173"/>
      <c r="BX446" s="173"/>
      <c r="BY446" s="173"/>
    </row>
    <row r="447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  <c r="AQ447" s="173"/>
      <c r="AR447" s="173"/>
      <c r="AS447" s="173"/>
      <c r="AT447" s="173"/>
      <c r="AU447" s="173"/>
      <c r="AV447" s="173"/>
      <c r="AW447" s="173"/>
      <c r="AX447" s="173"/>
      <c r="AY447" s="173"/>
      <c r="AZ447" s="173"/>
      <c r="BA447" s="173"/>
      <c r="BB447" s="173"/>
      <c r="BC447" s="173"/>
      <c r="BD447" s="173"/>
      <c r="BE447" s="173"/>
      <c r="BF447" s="173"/>
      <c r="BG447" s="173"/>
      <c r="BH447" s="173"/>
      <c r="BI447" s="173"/>
      <c r="BJ447" s="173"/>
      <c r="BK447" s="173"/>
      <c r="BL447" s="173"/>
      <c r="BM447" s="173"/>
      <c r="BN447" s="173"/>
      <c r="BO447" s="173"/>
      <c r="BP447" s="173"/>
      <c r="BQ447" s="173"/>
      <c r="BR447" s="173"/>
      <c r="BS447" s="173"/>
      <c r="BT447" s="173"/>
      <c r="BU447" s="173"/>
      <c r="BV447" s="173"/>
      <c r="BW447" s="173"/>
      <c r="BX447" s="173"/>
      <c r="BY447" s="173"/>
    </row>
    <row r="448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  <c r="AQ448" s="173"/>
      <c r="AR448" s="173"/>
      <c r="AS448" s="173"/>
      <c r="AT448" s="173"/>
      <c r="AU448" s="173"/>
      <c r="AV448" s="173"/>
      <c r="AW448" s="173"/>
      <c r="AX448" s="173"/>
      <c r="AY448" s="173"/>
      <c r="AZ448" s="173"/>
      <c r="BA448" s="173"/>
      <c r="BB448" s="173"/>
      <c r="BC448" s="173"/>
      <c r="BD448" s="173"/>
      <c r="BE448" s="173"/>
      <c r="BF448" s="173"/>
      <c r="BG448" s="173"/>
      <c r="BH448" s="173"/>
      <c r="BI448" s="173"/>
      <c r="BJ448" s="173"/>
      <c r="BK448" s="173"/>
      <c r="BL448" s="173"/>
      <c r="BM448" s="173"/>
      <c r="BN448" s="173"/>
      <c r="BO448" s="173"/>
      <c r="BP448" s="173"/>
      <c r="BQ448" s="173"/>
      <c r="BR448" s="173"/>
      <c r="BS448" s="173"/>
      <c r="BT448" s="173"/>
      <c r="BU448" s="173"/>
      <c r="BV448" s="173"/>
      <c r="BW448" s="173"/>
      <c r="BX448" s="173"/>
      <c r="BY448" s="173"/>
    </row>
    <row r="449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  <c r="AQ449" s="173"/>
      <c r="AR449" s="173"/>
      <c r="AS449" s="173"/>
      <c r="AT449" s="173"/>
      <c r="AU449" s="173"/>
      <c r="AV449" s="173"/>
      <c r="AW449" s="173"/>
      <c r="AX449" s="173"/>
      <c r="AY449" s="173"/>
      <c r="AZ449" s="173"/>
      <c r="BA449" s="173"/>
      <c r="BB449" s="173"/>
      <c r="BC449" s="173"/>
      <c r="BD449" s="173"/>
      <c r="BE449" s="173"/>
      <c r="BF449" s="173"/>
      <c r="BG449" s="173"/>
      <c r="BH449" s="173"/>
      <c r="BI449" s="173"/>
      <c r="BJ449" s="173"/>
      <c r="BK449" s="173"/>
      <c r="BL449" s="173"/>
      <c r="BM449" s="173"/>
      <c r="BN449" s="173"/>
      <c r="BO449" s="173"/>
      <c r="BP449" s="173"/>
      <c r="BQ449" s="173"/>
      <c r="BR449" s="173"/>
      <c r="BS449" s="173"/>
      <c r="BT449" s="173"/>
      <c r="BU449" s="173"/>
      <c r="BV449" s="173"/>
      <c r="BW449" s="173"/>
      <c r="BX449" s="173"/>
      <c r="BY449" s="173"/>
    </row>
    <row r="450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  <c r="AQ450" s="173"/>
      <c r="AR450" s="173"/>
      <c r="AS450" s="173"/>
      <c r="AT450" s="173"/>
      <c r="AU450" s="173"/>
      <c r="AV450" s="173"/>
      <c r="AW450" s="173"/>
      <c r="AX450" s="173"/>
      <c r="AY450" s="173"/>
      <c r="AZ450" s="173"/>
      <c r="BA450" s="173"/>
      <c r="BB450" s="173"/>
      <c r="BC450" s="173"/>
      <c r="BD450" s="173"/>
      <c r="BE450" s="173"/>
      <c r="BF450" s="173"/>
      <c r="BG450" s="173"/>
      <c r="BH450" s="173"/>
      <c r="BI450" s="173"/>
      <c r="BJ450" s="173"/>
      <c r="BK450" s="173"/>
      <c r="BL450" s="173"/>
      <c r="BM450" s="173"/>
      <c r="BN450" s="173"/>
      <c r="BO450" s="173"/>
      <c r="BP450" s="173"/>
      <c r="BQ450" s="173"/>
      <c r="BR450" s="173"/>
      <c r="BS450" s="173"/>
      <c r="BT450" s="173"/>
      <c r="BU450" s="173"/>
      <c r="BV450" s="173"/>
      <c r="BW450" s="173"/>
      <c r="BX450" s="173"/>
      <c r="BY450" s="173"/>
    </row>
    <row r="45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  <c r="AQ451" s="173"/>
      <c r="AR451" s="173"/>
      <c r="AS451" s="173"/>
      <c r="AT451" s="173"/>
      <c r="AU451" s="173"/>
      <c r="AV451" s="173"/>
      <c r="AW451" s="173"/>
      <c r="AX451" s="173"/>
      <c r="AY451" s="173"/>
      <c r="AZ451" s="173"/>
      <c r="BA451" s="173"/>
      <c r="BB451" s="173"/>
      <c r="BC451" s="173"/>
      <c r="BD451" s="173"/>
      <c r="BE451" s="173"/>
      <c r="BF451" s="173"/>
      <c r="BG451" s="173"/>
      <c r="BH451" s="173"/>
      <c r="BI451" s="173"/>
      <c r="BJ451" s="173"/>
      <c r="BK451" s="173"/>
      <c r="BL451" s="173"/>
      <c r="BM451" s="173"/>
      <c r="BN451" s="173"/>
      <c r="BO451" s="173"/>
      <c r="BP451" s="173"/>
      <c r="BQ451" s="173"/>
      <c r="BR451" s="173"/>
      <c r="BS451" s="173"/>
      <c r="BT451" s="173"/>
      <c r="BU451" s="173"/>
      <c r="BV451" s="173"/>
      <c r="BW451" s="173"/>
      <c r="BX451" s="173"/>
      <c r="BY451" s="173"/>
    </row>
    <row r="452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  <c r="AQ452" s="173"/>
      <c r="AR452" s="173"/>
      <c r="AS452" s="173"/>
      <c r="AT452" s="173"/>
      <c r="AU452" s="173"/>
      <c r="AV452" s="173"/>
      <c r="AW452" s="173"/>
      <c r="AX452" s="173"/>
      <c r="AY452" s="173"/>
      <c r="AZ452" s="173"/>
      <c r="BA452" s="173"/>
      <c r="BB452" s="173"/>
      <c r="BC452" s="173"/>
      <c r="BD452" s="173"/>
      <c r="BE452" s="173"/>
      <c r="BF452" s="173"/>
      <c r="BG452" s="173"/>
      <c r="BH452" s="173"/>
      <c r="BI452" s="173"/>
      <c r="BJ452" s="173"/>
      <c r="BK452" s="173"/>
      <c r="BL452" s="173"/>
      <c r="BM452" s="173"/>
      <c r="BN452" s="173"/>
      <c r="BO452" s="173"/>
      <c r="BP452" s="173"/>
      <c r="BQ452" s="173"/>
      <c r="BR452" s="173"/>
      <c r="BS452" s="173"/>
      <c r="BT452" s="173"/>
      <c r="BU452" s="173"/>
      <c r="BV452" s="173"/>
      <c r="BW452" s="173"/>
      <c r="BX452" s="173"/>
      <c r="BY452" s="173"/>
    </row>
    <row r="453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  <c r="AQ453" s="173"/>
      <c r="AR453" s="173"/>
      <c r="AS453" s="173"/>
      <c r="AT453" s="173"/>
      <c r="AU453" s="173"/>
      <c r="AV453" s="173"/>
      <c r="AW453" s="173"/>
      <c r="AX453" s="173"/>
      <c r="AY453" s="173"/>
      <c r="AZ453" s="173"/>
      <c r="BA453" s="173"/>
      <c r="BB453" s="173"/>
      <c r="BC453" s="173"/>
      <c r="BD453" s="173"/>
      <c r="BE453" s="173"/>
      <c r="BF453" s="173"/>
      <c r="BG453" s="173"/>
      <c r="BH453" s="173"/>
      <c r="BI453" s="173"/>
      <c r="BJ453" s="173"/>
      <c r="BK453" s="173"/>
      <c r="BL453" s="173"/>
      <c r="BM453" s="173"/>
      <c r="BN453" s="173"/>
      <c r="BO453" s="173"/>
      <c r="BP453" s="173"/>
      <c r="BQ453" s="173"/>
      <c r="BR453" s="173"/>
      <c r="BS453" s="173"/>
      <c r="BT453" s="173"/>
      <c r="BU453" s="173"/>
      <c r="BV453" s="173"/>
      <c r="BW453" s="173"/>
      <c r="BX453" s="173"/>
      <c r="BY453" s="173"/>
    </row>
    <row r="454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  <c r="AQ454" s="173"/>
      <c r="AR454" s="173"/>
      <c r="AS454" s="173"/>
      <c r="AT454" s="173"/>
      <c r="AU454" s="173"/>
      <c r="AV454" s="173"/>
      <c r="AW454" s="173"/>
      <c r="AX454" s="173"/>
      <c r="AY454" s="173"/>
      <c r="AZ454" s="173"/>
      <c r="BA454" s="173"/>
      <c r="BB454" s="173"/>
      <c r="BC454" s="173"/>
      <c r="BD454" s="173"/>
      <c r="BE454" s="173"/>
      <c r="BF454" s="173"/>
      <c r="BG454" s="173"/>
      <c r="BH454" s="173"/>
      <c r="BI454" s="173"/>
      <c r="BJ454" s="173"/>
      <c r="BK454" s="173"/>
      <c r="BL454" s="173"/>
      <c r="BM454" s="173"/>
      <c r="BN454" s="173"/>
      <c r="BO454" s="173"/>
      <c r="BP454" s="173"/>
      <c r="BQ454" s="173"/>
      <c r="BR454" s="173"/>
      <c r="BS454" s="173"/>
      <c r="BT454" s="173"/>
      <c r="BU454" s="173"/>
      <c r="BV454" s="173"/>
      <c r="BW454" s="173"/>
      <c r="BX454" s="173"/>
      <c r="BY454" s="173"/>
    </row>
    <row r="455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  <c r="AQ455" s="173"/>
      <c r="AR455" s="173"/>
      <c r="AS455" s="173"/>
      <c r="AT455" s="173"/>
      <c r="AU455" s="173"/>
      <c r="AV455" s="173"/>
      <c r="AW455" s="173"/>
      <c r="AX455" s="173"/>
      <c r="AY455" s="173"/>
      <c r="AZ455" s="173"/>
      <c r="BA455" s="173"/>
      <c r="BB455" s="173"/>
      <c r="BC455" s="173"/>
      <c r="BD455" s="173"/>
      <c r="BE455" s="173"/>
      <c r="BF455" s="173"/>
      <c r="BG455" s="173"/>
      <c r="BH455" s="173"/>
      <c r="BI455" s="173"/>
      <c r="BJ455" s="173"/>
      <c r="BK455" s="173"/>
      <c r="BL455" s="173"/>
      <c r="BM455" s="173"/>
      <c r="BN455" s="173"/>
      <c r="BO455" s="173"/>
      <c r="BP455" s="173"/>
      <c r="BQ455" s="173"/>
      <c r="BR455" s="173"/>
      <c r="BS455" s="173"/>
      <c r="BT455" s="173"/>
      <c r="BU455" s="173"/>
      <c r="BV455" s="173"/>
      <c r="BW455" s="173"/>
      <c r="BX455" s="173"/>
      <c r="BY455" s="173"/>
    </row>
    <row r="456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  <c r="AQ456" s="173"/>
      <c r="AR456" s="173"/>
      <c r="AS456" s="173"/>
      <c r="AT456" s="173"/>
      <c r="AU456" s="173"/>
      <c r="AV456" s="173"/>
      <c r="AW456" s="173"/>
      <c r="AX456" s="173"/>
      <c r="AY456" s="173"/>
      <c r="AZ456" s="173"/>
      <c r="BA456" s="173"/>
      <c r="BB456" s="173"/>
      <c r="BC456" s="173"/>
      <c r="BD456" s="173"/>
      <c r="BE456" s="173"/>
      <c r="BF456" s="173"/>
      <c r="BG456" s="173"/>
      <c r="BH456" s="173"/>
      <c r="BI456" s="173"/>
      <c r="BJ456" s="173"/>
      <c r="BK456" s="173"/>
      <c r="BL456" s="173"/>
      <c r="BM456" s="173"/>
      <c r="BN456" s="173"/>
      <c r="BO456" s="173"/>
      <c r="BP456" s="173"/>
      <c r="BQ456" s="173"/>
      <c r="BR456" s="173"/>
      <c r="BS456" s="173"/>
      <c r="BT456" s="173"/>
      <c r="BU456" s="173"/>
      <c r="BV456" s="173"/>
      <c r="BW456" s="173"/>
      <c r="BX456" s="173"/>
      <c r="BY456" s="173"/>
    </row>
    <row r="457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  <c r="AQ457" s="173"/>
      <c r="AR457" s="173"/>
      <c r="AS457" s="173"/>
      <c r="AT457" s="173"/>
      <c r="AU457" s="173"/>
      <c r="AV457" s="173"/>
      <c r="AW457" s="173"/>
      <c r="AX457" s="173"/>
      <c r="AY457" s="173"/>
      <c r="AZ457" s="173"/>
      <c r="BA457" s="173"/>
      <c r="BB457" s="173"/>
      <c r="BC457" s="173"/>
      <c r="BD457" s="173"/>
      <c r="BE457" s="173"/>
      <c r="BF457" s="173"/>
      <c r="BG457" s="173"/>
      <c r="BH457" s="173"/>
      <c r="BI457" s="173"/>
      <c r="BJ457" s="173"/>
      <c r="BK457" s="173"/>
      <c r="BL457" s="173"/>
      <c r="BM457" s="173"/>
      <c r="BN457" s="173"/>
      <c r="BO457" s="173"/>
      <c r="BP457" s="173"/>
      <c r="BQ457" s="173"/>
      <c r="BR457" s="173"/>
      <c r="BS457" s="173"/>
      <c r="BT457" s="173"/>
      <c r="BU457" s="173"/>
      <c r="BV457" s="173"/>
      <c r="BW457" s="173"/>
      <c r="BX457" s="173"/>
      <c r="BY457" s="173"/>
    </row>
    <row r="458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  <c r="AQ458" s="173"/>
      <c r="AR458" s="173"/>
      <c r="AS458" s="173"/>
      <c r="AT458" s="173"/>
      <c r="AU458" s="173"/>
      <c r="AV458" s="173"/>
      <c r="AW458" s="173"/>
      <c r="AX458" s="173"/>
      <c r="AY458" s="173"/>
      <c r="AZ458" s="173"/>
      <c r="BA458" s="173"/>
      <c r="BB458" s="173"/>
      <c r="BC458" s="173"/>
      <c r="BD458" s="173"/>
      <c r="BE458" s="173"/>
      <c r="BF458" s="173"/>
      <c r="BG458" s="173"/>
      <c r="BH458" s="173"/>
      <c r="BI458" s="173"/>
      <c r="BJ458" s="173"/>
      <c r="BK458" s="173"/>
      <c r="BL458" s="173"/>
      <c r="BM458" s="173"/>
      <c r="BN458" s="173"/>
      <c r="BO458" s="173"/>
      <c r="BP458" s="173"/>
      <c r="BQ458" s="173"/>
      <c r="BR458" s="173"/>
      <c r="BS458" s="173"/>
      <c r="BT458" s="173"/>
      <c r="BU458" s="173"/>
      <c r="BV458" s="173"/>
      <c r="BW458" s="173"/>
      <c r="BX458" s="173"/>
      <c r="BY458" s="173"/>
    </row>
    <row r="459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  <c r="AQ459" s="173"/>
      <c r="AR459" s="173"/>
      <c r="AS459" s="173"/>
      <c r="AT459" s="173"/>
      <c r="AU459" s="173"/>
      <c r="AV459" s="173"/>
      <c r="AW459" s="173"/>
      <c r="AX459" s="173"/>
      <c r="AY459" s="173"/>
      <c r="AZ459" s="173"/>
      <c r="BA459" s="173"/>
      <c r="BB459" s="173"/>
      <c r="BC459" s="173"/>
      <c r="BD459" s="173"/>
      <c r="BE459" s="173"/>
      <c r="BF459" s="173"/>
      <c r="BG459" s="173"/>
      <c r="BH459" s="173"/>
      <c r="BI459" s="173"/>
      <c r="BJ459" s="173"/>
      <c r="BK459" s="173"/>
      <c r="BL459" s="173"/>
      <c r="BM459" s="173"/>
      <c r="BN459" s="173"/>
      <c r="BO459" s="173"/>
      <c r="BP459" s="173"/>
      <c r="BQ459" s="173"/>
      <c r="BR459" s="173"/>
      <c r="BS459" s="173"/>
      <c r="BT459" s="173"/>
      <c r="BU459" s="173"/>
      <c r="BV459" s="173"/>
      <c r="BW459" s="173"/>
      <c r="BX459" s="173"/>
      <c r="BY459" s="173"/>
    </row>
    <row r="460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3"/>
      <c r="AS460" s="173"/>
      <c r="AT460" s="173"/>
      <c r="AU460" s="173"/>
      <c r="AV460" s="173"/>
      <c r="AW460" s="173"/>
      <c r="AX460" s="173"/>
      <c r="AY460" s="173"/>
      <c r="AZ460" s="173"/>
      <c r="BA460" s="173"/>
      <c r="BB460" s="173"/>
      <c r="BC460" s="173"/>
      <c r="BD460" s="173"/>
      <c r="BE460" s="173"/>
      <c r="BF460" s="173"/>
      <c r="BG460" s="173"/>
      <c r="BH460" s="173"/>
      <c r="BI460" s="173"/>
      <c r="BJ460" s="173"/>
      <c r="BK460" s="173"/>
      <c r="BL460" s="173"/>
      <c r="BM460" s="173"/>
      <c r="BN460" s="173"/>
      <c r="BO460" s="173"/>
      <c r="BP460" s="173"/>
      <c r="BQ460" s="173"/>
      <c r="BR460" s="173"/>
      <c r="BS460" s="173"/>
      <c r="BT460" s="173"/>
      <c r="BU460" s="173"/>
      <c r="BV460" s="173"/>
      <c r="BW460" s="173"/>
      <c r="BX460" s="173"/>
      <c r="BY460" s="173"/>
    </row>
    <row r="46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  <c r="AQ461" s="173"/>
      <c r="AR461" s="173"/>
      <c r="AS461" s="173"/>
      <c r="AT461" s="173"/>
      <c r="AU461" s="173"/>
      <c r="AV461" s="173"/>
      <c r="AW461" s="173"/>
      <c r="AX461" s="173"/>
      <c r="AY461" s="173"/>
      <c r="AZ461" s="173"/>
      <c r="BA461" s="173"/>
      <c r="BB461" s="173"/>
      <c r="BC461" s="173"/>
      <c r="BD461" s="173"/>
      <c r="BE461" s="173"/>
      <c r="BF461" s="173"/>
      <c r="BG461" s="173"/>
      <c r="BH461" s="173"/>
      <c r="BI461" s="173"/>
      <c r="BJ461" s="173"/>
      <c r="BK461" s="173"/>
      <c r="BL461" s="173"/>
      <c r="BM461" s="173"/>
      <c r="BN461" s="173"/>
      <c r="BO461" s="173"/>
      <c r="BP461" s="173"/>
      <c r="BQ461" s="173"/>
      <c r="BR461" s="173"/>
      <c r="BS461" s="173"/>
      <c r="BT461" s="173"/>
      <c r="BU461" s="173"/>
      <c r="BV461" s="173"/>
      <c r="BW461" s="173"/>
      <c r="BX461" s="173"/>
      <c r="BY461" s="173"/>
    </row>
    <row r="462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  <c r="AQ462" s="173"/>
      <c r="AR462" s="173"/>
      <c r="AS462" s="173"/>
      <c r="AT462" s="173"/>
      <c r="AU462" s="173"/>
      <c r="AV462" s="173"/>
      <c r="AW462" s="173"/>
      <c r="AX462" s="173"/>
      <c r="AY462" s="173"/>
      <c r="AZ462" s="173"/>
      <c r="BA462" s="173"/>
      <c r="BB462" s="173"/>
      <c r="BC462" s="173"/>
      <c r="BD462" s="173"/>
      <c r="BE462" s="173"/>
      <c r="BF462" s="173"/>
      <c r="BG462" s="173"/>
      <c r="BH462" s="173"/>
      <c r="BI462" s="173"/>
      <c r="BJ462" s="173"/>
      <c r="BK462" s="173"/>
      <c r="BL462" s="173"/>
      <c r="BM462" s="173"/>
      <c r="BN462" s="173"/>
      <c r="BO462" s="173"/>
      <c r="BP462" s="173"/>
      <c r="BQ462" s="173"/>
      <c r="BR462" s="173"/>
      <c r="BS462" s="173"/>
      <c r="BT462" s="173"/>
      <c r="BU462" s="173"/>
      <c r="BV462" s="173"/>
      <c r="BW462" s="173"/>
      <c r="BX462" s="173"/>
      <c r="BY462" s="173"/>
    </row>
    <row r="463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  <c r="AQ463" s="173"/>
      <c r="AR463" s="173"/>
      <c r="AS463" s="173"/>
      <c r="AT463" s="173"/>
      <c r="AU463" s="173"/>
      <c r="AV463" s="173"/>
      <c r="AW463" s="173"/>
      <c r="AX463" s="173"/>
      <c r="AY463" s="173"/>
      <c r="AZ463" s="173"/>
      <c r="BA463" s="173"/>
      <c r="BB463" s="173"/>
      <c r="BC463" s="173"/>
      <c r="BD463" s="173"/>
      <c r="BE463" s="173"/>
      <c r="BF463" s="173"/>
      <c r="BG463" s="173"/>
      <c r="BH463" s="173"/>
      <c r="BI463" s="173"/>
      <c r="BJ463" s="173"/>
      <c r="BK463" s="173"/>
      <c r="BL463" s="173"/>
      <c r="BM463" s="173"/>
      <c r="BN463" s="173"/>
      <c r="BO463" s="173"/>
      <c r="BP463" s="173"/>
      <c r="BQ463" s="173"/>
      <c r="BR463" s="173"/>
      <c r="BS463" s="173"/>
      <c r="BT463" s="173"/>
      <c r="BU463" s="173"/>
      <c r="BV463" s="173"/>
      <c r="BW463" s="173"/>
      <c r="BX463" s="173"/>
      <c r="BY463" s="173"/>
    </row>
    <row r="464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  <c r="AQ464" s="173"/>
      <c r="AR464" s="173"/>
      <c r="AS464" s="173"/>
      <c r="AT464" s="173"/>
      <c r="AU464" s="173"/>
      <c r="AV464" s="173"/>
      <c r="AW464" s="173"/>
      <c r="AX464" s="173"/>
      <c r="AY464" s="173"/>
      <c r="AZ464" s="173"/>
      <c r="BA464" s="173"/>
      <c r="BB464" s="173"/>
      <c r="BC464" s="173"/>
      <c r="BD464" s="173"/>
      <c r="BE464" s="173"/>
      <c r="BF464" s="173"/>
      <c r="BG464" s="173"/>
      <c r="BH464" s="173"/>
      <c r="BI464" s="173"/>
      <c r="BJ464" s="173"/>
      <c r="BK464" s="173"/>
      <c r="BL464" s="173"/>
      <c r="BM464" s="173"/>
      <c r="BN464" s="173"/>
      <c r="BO464" s="173"/>
      <c r="BP464" s="173"/>
      <c r="BQ464" s="173"/>
      <c r="BR464" s="173"/>
      <c r="BS464" s="173"/>
      <c r="BT464" s="173"/>
      <c r="BU464" s="173"/>
      <c r="BV464" s="173"/>
      <c r="BW464" s="173"/>
      <c r="BX464" s="173"/>
      <c r="BY464" s="173"/>
    </row>
    <row r="465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  <c r="AQ465" s="173"/>
      <c r="AR465" s="173"/>
      <c r="AS465" s="173"/>
      <c r="AT465" s="173"/>
      <c r="AU465" s="173"/>
      <c r="AV465" s="173"/>
      <c r="AW465" s="173"/>
      <c r="AX465" s="173"/>
      <c r="AY465" s="173"/>
      <c r="AZ465" s="173"/>
      <c r="BA465" s="173"/>
      <c r="BB465" s="173"/>
      <c r="BC465" s="173"/>
      <c r="BD465" s="173"/>
      <c r="BE465" s="173"/>
      <c r="BF465" s="173"/>
      <c r="BG465" s="173"/>
      <c r="BH465" s="173"/>
      <c r="BI465" s="173"/>
      <c r="BJ465" s="173"/>
      <c r="BK465" s="173"/>
      <c r="BL465" s="173"/>
      <c r="BM465" s="173"/>
      <c r="BN465" s="173"/>
      <c r="BO465" s="173"/>
      <c r="BP465" s="173"/>
      <c r="BQ465" s="173"/>
      <c r="BR465" s="173"/>
      <c r="BS465" s="173"/>
      <c r="BT465" s="173"/>
      <c r="BU465" s="173"/>
      <c r="BV465" s="173"/>
      <c r="BW465" s="173"/>
      <c r="BX465" s="173"/>
      <c r="BY465" s="173"/>
    </row>
    <row r="466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  <c r="AQ466" s="173"/>
      <c r="AR466" s="173"/>
      <c r="AS466" s="173"/>
      <c r="AT466" s="173"/>
      <c r="AU466" s="173"/>
      <c r="AV466" s="173"/>
      <c r="AW466" s="173"/>
      <c r="AX466" s="173"/>
      <c r="AY466" s="173"/>
      <c r="AZ466" s="173"/>
      <c r="BA466" s="173"/>
      <c r="BB466" s="173"/>
      <c r="BC466" s="173"/>
      <c r="BD466" s="173"/>
      <c r="BE466" s="173"/>
      <c r="BF466" s="173"/>
      <c r="BG466" s="173"/>
      <c r="BH466" s="173"/>
      <c r="BI466" s="173"/>
      <c r="BJ466" s="173"/>
      <c r="BK466" s="173"/>
      <c r="BL466" s="173"/>
      <c r="BM466" s="173"/>
      <c r="BN466" s="173"/>
      <c r="BO466" s="173"/>
      <c r="BP466" s="173"/>
      <c r="BQ466" s="173"/>
      <c r="BR466" s="173"/>
      <c r="BS466" s="173"/>
      <c r="BT466" s="173"/>
      <c r="BU466" s="173"/>
      <c r="BV466" s="173"/>
      <c r="BW466" s="173"/>
      <c r="BX466" s="173"/>
      <c r="BY466" s="173"/>
    </row>
    <row r="467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  <c r="AQ467" s="173"/>
      <c r="AR467" s="173"/>
      <c r="AS467" s="173"/>
      <c r="AT467" s="173"/>
      <c r="AU467" s="173"/>
      <c r="AV467" s="173"/>
      <c r="AW467" s="173"/>
      <c r="AX467" s="173"/>
      <c r="AY467" s="173"/>
      <c r="AZ467" s="173"/>
      <c r="BA467" s="173"/>
      <c r="BB467" s="173"/>
      <c r="BC467" s="173"/>
      <c r="BD467" s="173"/>
      <c r="BE467" s="173"/>
      <c r="BF467" s="173"/>
      <c r="BG467" s="173"/>
      <c r="BH467" s="173"/>
      <c r="BI467" s="173"/>
      <c r="BJ467" s="173"/>
      <c r="BK467" s="173"/>
      <c r="BL467" s="173"/>
      <c r="BM467" s="173"/>
      <c r="BN467" s="173"/>
      <c r="BO467" s="173"/>
      <c r="BP467" s="173"/>
      <c r="BQ467" s="173"/>
      <c r="BR467" s="173"/>
      <c r="BS467" s="173"/>
      <c r="BT467" s="173"/>
      <c r="BU467" s="173"/>
      <c r="BV467" s="173"/>
      <c r="BW467" s="173"/>
      <c r="BX467" s="173"/>
      <c r="BY467" s="173"/>
    </row>
    <row r="468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  <c r="AQ468" s="173"/>
      <c r="AR468" s="173"/>
      <c r="AS468" s="173"/>
      <c r="AT468" s="173"/>
      <c r="AU468" s="173"/>
      <c r="AV468" s="173"/>
      <c r="AW468" s="173"/>
      <c r="AX468" s="173"/>
      <c r="AY468" s="173"/>
      <c r="AZ468" s="173"/>
      <c r="BA468" s="173"/>
      <c r="BB468" s="173"/>
      <c r="BC468" s="173"/>
      <c r="BD468" s="173"/>
      <c r="BE468" s="173"/>
      <c r="BF468" s="173"/>
      <c r="BG468" s="173"/>
      <c r="BH468" s="173"/>
      <c r="BI468" s="173"/>
      <c r="BJ468" s="173"/>
      <c r="BK468" s="173"/>
      <c r="BL468" s="173"/>
      <c r="BM468" s="173"/>
      <c r="BN468" s="173"/>
      <c r="BO468" s="173"/>
      <c r="BP468" s="173"/>
      <c r="BQ468" s="173"/>
      <c r="BR468" s="173"/>
      <c r="BS468" s="173"/>
      <c r="BT468" s="173"/>
      <c r="BU468" s="173"/>
      <c r="BV468" s="173"/>
      <c r="BW468" s="173"/>
      <c r="BX468" s="173"/>
      <c r="BY468" s="173"/>
    </row>
    <row r="469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  <c r="AQ469" s="173"/>
      <c r="AR469" s="173"/>
      <c r="AS469" s="173"/>
      <c r="AT469" s="173"/>
      <c r="AU469" s="173"/>
      <c r="AV469" s="173"/>
      <c r="AW469" s="173"/>
      <c r="AX469" s="173"/>
      <c r="AY469" s="173"/>
      <c r="AZ469" s="173"/>
      <c r="BA469" s="173"/>
      <c r="BB469" s="173"/>
      <c r="BC469" s="173"/>
      <c r="BD469" s="173"/>
      <c r="BE469" s="173"/>
      <c r="BF469" s="173"/>
      <c r="BG469" s="173"/>
      <c r="BH469" s="173"/>
      <c r="BI469" s="173"/>
      <c r="BJ469" s="173"/>
      <c r="BK469" s="173"/>
      <c r="BL469" s="173"/>
      <c r="BM469" s="173"/>
      <c r="BN469" s="173"/>
      <c r="BO469" s="173"/>
      <c r="BP469" s="173"/>
      <c r="BQ469" s="173"/>
      <c r="BR469" s="173"/>
      <c r="BS469" s="173"/>
      <c r="BT469" s="173"/>
      <c r="BU469" s="173"/>
      <c r="BV469" s="173"/>
      <c r="BW469" s="173"/>
      <c r="BX469" s="173"/>
      <c r="BY469" s="173"/>
    </row>
    <row r="470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3"/>
      <c r="AS470" s="173"/>
      <c r="AT470" s="173"/>
      <c r="AU470" s="173"/>
      <c r="AV470" s="173"/>
      <c r="AW470" s="173"/>
      <c r="AX470" s="173"/>
      <c r="AY470" s="173"/>
      <c r="AZ470" s="173"/>
      <c r="BA470" s="173"/>
      <c r="BB470" s="173"/>
      <c r="BC470" s="173"/>
      <c r="BD470" s="173"/>
      <c r="BE470" s="173"/>
      <c r="BF470" s="173"/>
      <c r="BG470" s="173"/>
      <c r="BH470" s="173"/>
      <c r="BI470" s="173"/>
      <c r="BJ470" s="173"/>
      <c r="BK470" s="173"/>
      <c r="BL470" s="173"/>
      <c r="BM470" s="173"/>
      <c r="BN470" s="173"/>
      <c r="BO470" s="173"/>
      <c r="BP470" s="173"/>
      <c r="BQ470" s="173"/>
      <c r="BR470" s="173"/>
      <c r="BS470" s="173"/>
      <c r="BT470" s="173"/>
      <c r="BU470" s="173"/>
      <c r="BV470" s="173"/>
      <c r="BW470" s="173"/>
      <c r="BX470" s="173"/>
      <c r="BY470" s="173"/>
    </row>
    <row r="47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  <c r="AQ471" s="173"/>
      <c r="AR471" s="173"/>
      <c r="AS471" s="173"/>
      <c r="AT471" s="173"/>
      <c r="AU471" s="173"/>
      <c r="AV471" s="173"/>
      <c r="AW471" s="173"/>
      <c r="AX471" s="173"/>
      <c r="AY471" s="173"/>
      <c r="AZ471" s="173"/>
      <c r="BA471" s="173"/>
      <c r="BB471" s="173"/>
      <c r="BC471" s="173"/>
      <c r="BD471" s="173"/>
      <c r="BE471" s="173"/>
      <c r="BF471" s="173"/>
      <c r="BG471" s="173"/>
      <c r="BH471" s="173"/>
      <c r="BI471" s="173"/>
      <c r="BJ471" s="173"/>
      <c r="BK471" s="173"/>
      <c r="BL471" s="173"/>
      <c r="BM471" s="173"/>
      <c r="BN471" s="173"/>
      <c r="BO471" s="173"/>
      <c r="BP471" s="173"/>
      <c r="BQ471" s="173"/>
      <c r="BR471" s="173"/>
      <c r="BS471" s="173"/>
      <c r="BT471" s="173"/>
      <c r="BU471" s="173"/>
      <c r="BV471" s="173"/>
      <c r="BW471" s="173"/>
      <c r="BX471" s="173"/>
      <c r="BY471" s="173"/>
    </row>
    <row r="472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  <c r="AQ472" s="173"/>
      <c r="AR472" s="173"/>
      <c r="AS472" s="173"/>
      <c r="AT472" s="173"/>
      <c r="AU472" s="173"/>
      <c r="AV472" s="173"/>
      <c r="AW472" s="173"/>
      <c r="AX472" s="173"/>
      <c r="AY472" s="173"/>
      <c r="AZ472" s="173"/>
      <c r="BA472" s="173"/>
      <c r="BB472" s="173"/>
      <c r="BC472" s="173"/>
      <c r="BD472" s="173"/>
      <c r="BE472" s="173"/>
      <c r="BF472" s="173"/>
      <c r="BG472" s="173"/>
      <c r="BH472" s="173"/>
      <c r="BI472" s="173"/>
      <c r="BJ472" s="173"/>
      <c r="BK472" s="173"/>
      <c r="BL472" s="173"/>
      <c r="BM472" s="173"/>
      <c r="BN472" s="173"/>
      <c r="BO472" s="173"/>
      <c r="BP472" s="173"/>
      <c r="BQ472" s="173"/>
      <c r="BR472" s="173"/>
      <c r="BS472" s="173"/>
      <c r="BT472" s="173"/>
      <c r="BU472" s="173"/>
      <c r="BV472" s="173"/>
      <c r="BW472" s="173"/>
      <c r="BX472" s="173"/>
      <c r="BY472" s="173"/>
    </row>
    <row r="473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  <c r="AQ473" s="173"/>
      <c r="AR473" s="173"/>
      <c r="AS473" s="173"/>
      <c r="AT473" s="173"/>
      <c r="AU473" s="173"/>
      <c r="AV473" s="173"/>
      <c r="AW473" s="173"/>
      <c r="AX473" s="173"/>
      <c r="AY473" s="173"/>
      <c r="AZ473" s="173"/>
      <c r="BA473" s="173"/>
      <c r="BB473" s="173"/>
      <c r="BC473" s="173"/>
      <c r="BD473" s="173"/>
      <c r="BE473" s="173"/>
      <c r="BF473" s="173"/>
      <c r="BG473" s="173"/>
      <c r="BH473" s="173"/>
      <c r="BI473" s="173"/>
      <c r="BJ473" s="173"/>
      <c r="BK473" s="173"/>
      <c r="BL473" s="173"/>
      <c r="BM473" s="173"/>
      <c r="BN473" s="173"/>
      <c r="BO473" s="173"/>
      <c r="BP473" s="173"/>
      <c r="BQ473" s="173"/>
      <c r="BR473" s="173"/>
      <c r="BS473" s="173"/>
      <c r="BT473" s="173"/>
      <c r="BU473" s="173"/>
      <c r="BV473" s="173"/>
      <c r="BW473" s="173"/>
      <c r="BX473" s="173"/>
      <c r="BY473" s="173"/>
    </row>
    <row r="474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  <c r="AQ474" s="173"/>
      <c r="AR474" s="173"/>
      <c r="AS474" s="173"/>
      <c r="AT474" s="173"/>
      <c r="AU474" s="173"/>
      <c r="AV474" s="173"/>
      <c r="AW474" s="173"/>
      <c r="AX474" s="173"/>
      <c r="AY474" s="173"/>
      <c r="AZ474" s="173"/>
      <c r="BA474" s="173"/>
      <c r="BB474" s="173"/>
      <c r="BC474" s="173"/>
      <c r="BD474" s="173"/>
      <c r="BE474" s="173"/>
      <c r="BF474" s="173"/>
      <c r="BG474" s="173"/>
      <c r="BH474" s="173"/>
      <c r="BI474" s="173"/>
      <c r="BJ474" s="173"/>
      <c r="BK474" s="173"/>
      <c r="BL474" s="173"/>
      <c r="BM474" s="173"/>
      <c r="BN474" s="173"/>
      <c r="BO474" s="173"/>
      <c r="BP474" s="173"/>
      <c r="BQ474" s="173"/>
      <c r="BR474" s="173"/>
      <c r="BS474" s="173"/>
      <c r="BT474" s="173"/>
      <c r="BU474" s="173"/>
      <c r="BV474" s="173"/>
      <c r="BW474" s="173"/>
      <c r="BX474" s="173"/>
      <c r="BY474" s="173"/>
    </row>
    <row r="475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  <c r="AQ475" s="173"/>
      <c r="AR475" s="173"/>
      <c r="AS475" s="173"/>
      <c r="AT475" s="173"/>
      <c r="AU475" s="173"/>
      <c r="AV475" s="173"/>
      <c r="AW475" s="173"/>
      <c r="AX475" s="173"/>
      <c r="AY475" s="173"/>
      <c r="AZ475" s="173"/>
      <c r="BA475" s="173"/>
      <c r="BB475" s="173"/>
      <c r="BC475" s="173"/>
      <c r="BD475" s="173"/>
      <c r="BE475" s="173"/>
      <c r="BF475" s="173"/>
      <c r="BG475" s="173"/>
      <c r="BH475" s="173"/>
      <c r="BI475" s="173"/>
      <c r="BJ475" s="173"/>
      <c r="BK475" s="173"/>
      <c r="BL475" s="173"/>
      <c r="BM475" s="173"/>
      <c r="BN475" s="173"/>
      <c r="BO475" s="173"/>
      <c r="BP475" s="173"/>
      <c r="BQ475" s="173"/>
      <c r="BR475" s="173"/>
      <c r="BS475" s="173"/>
      <c r="BT475" s="173"/>
      <c r="BU475" s="173"/>
      <c r="BV475" s="173"/>
      <c r="BW475" s="173"/>
      <c r="BX475" s="173"/>
      <c r="BY475" s="173"/>
    </row>
    <row r="476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  <c r="AQ476" s="173"/>
      <c r="AR476" s="173"/>
      <c r="AS476" s="173"/>
      <c r="AT476" s="173"/>
      <c r="AU476" s="173"/>
      <c r="AV476" s="173"/>
      <c r="AW476" s="173"/>
      <c r="AX476" s="173"/>
      <c r="AY476" s="173"/>
      <c r="AZ476" s="173"/>
      <c r="BA476" s="173"/>
      <c r="BB476" s="173"/>
      <c r="BC476" s="173"/>
      <c r="BD476" s="173"/>
      <c r="BE476" s="173"/>
      <c r="BF476" s="173"/>
      <c r="BG476" s="173"/>
      <c r="BH476" s="173"/>
      <c r="BI476" s="173"/>
      <c r="BJ476" s="173"/>
      <c r="BK476" s="173"/>
      <c r="BL476" s="173"/>
      <c r="BM476" s="173"/>
      <c r="BN476" s="173"/>
      <c r="BO476" s="173"/>
      <c r="BP476" s="173"/>
      <c r="BQ476" s="173"/>
      <c r="BR476" s="173"/>
      <c r="BS476" s="173"/>
      <c r="BT476" s="173"/>
      <c r="BU476" s="173"/>
      <c r="BV476" s="173"/>
      <c r="BW476" s="173"/>
      <c r="BX476" s="173"/>
      <c r="BY476" s="173"/>
    </row>
    <row r="477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3"/>
      <c r="AS477" s="173"/>
      <c r="AT477" s="173"/>
      <c r="AU477" s="173"/>
      <c r="AV477" s="173"/>
      <c r="AW477" s="173"/>
      <c r="AX477" s="173"/>
      <c r="AY477" s="173"/>
      <c r="AZ477" s="173"/>
      <c r="BA477" s="173"/>
      <c r="BB477" s="173"/>
      <c r="BC477" s="173"/>
      <c r="BD477" s="173"/>
      <c r="BE477" s="173"/>
      <c r="BF477" s="173"/>
      <c r="BG477" s="173"/>
      <c r="BH477" s="173"/>
      <c r="BI477" s="173"/>
      <c r="BJ477" s="173"/>
      <c r="BK477" s="173"/>
      <c r="BL477" s="173"/>
      <c r="BM477" s="173"/>
      <c r="BN477" s="173"/>
      <c r="BO477" s="173"/>
      <c r="BP477" s="173"/>
      <c r="BQ477" s="173"/>
      <c r="BR477" s="173"/>
      <c r="BS477" s="173"/>
      <c r="BT477" s="173"/>
      <c r="BU477" s="173"/>
      <c r="BV477" s="173"/>
      <c r="BW477" s="173"/>
      <c r="BX477" s="173"/>
      <c r="BY477" s="173"/>
    </row>
    <row r="478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  <c r="AQ478" s="173"/>
      <c r="AR478" s="173"/>
      <c r="AS478" s="173"/>
      <c r="AT478" s="173"/>
      <c r="AU478" s="173"/>
      <c r="AV478" s="173"/>
      <c r="AW478" s="173"/>
      <c r="AX478" s="173"/>
      <c r="AY478" s="173"/>
      <c r="AZ478" s="173"/>
      <c r="BA478" s="173"/>
      <c r="BB478" s="173"/>
      <c r="BC478" s="173"/>
      <c r="BD478" s="173"/>
      <c r="BE478" s="173"/>
      <c r="BF478" s="173"/>
      <c r="BG478" s="173"/>
      <c r="BH478" s="173"/>
      <c r="BI478" s="173"/>
      <c r="BJ478" s="173"/>
      <c r="BK478" s="173"/>
      <c r="BL478" s="173"/>
      <c r="BM478" s="173"/>
      <c r="BN478" s="173"/>
      <c r="BO478" s="173"/>
      <c r="BP478" s="173"/>
      <c r="BQ478" s="173"/>
      <c r="BR478" s="173"/>
      <c r="BS478" s="173"/>
      <c r="BT478" s="173"/>
      <c r="BU478" s="173"/>
      <c r="BV478" s="173"/>
      <c r="BW478" s="173"/>
      <c r="BX478" s="173"/>
      <c r="BY478" s="173"/>
    </row>
    <row r="479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  <c r="AQ479" s="173"/>
      <c r="AR479" s="173"/>
      <c r="AS479" s="173"/>
      <c r="AT479" s="173"/>
      <c r="AU479" s="173"/>
      <c r="AV479" s="173"/>
      <c r="AW479" s="173"/>
      <c r="AX479" s="173"/>
      <c r="AY479" s="173"/>
      <c r="AZ479" s="173"/>
      <c r="BA479" s="173"/>
      <c r="BB479" s="173"/>
      <c r="BC479" s="173"/>
      <c r="BD479" s="173"/>
      <c r="BE479" s="173"/>
      <c r="BF479" s="173"/>
      <c r="BG479" s="173"/>
      <c r="BH479" s="173"/>
      <c r="BI479" s="173"/>
      <c r="BJ479" s="173"/>
      <c r="BK479" s="173"/>
      <c r="BL479" s="173"/>
      <c r="BM479" s="173"/>
      <c r="BN479" s="173"/>
      <c r="BO479" s="173"/>
      <c r="BP479" s="173"/>
      <c r="BQ479" s="173"/>
      <c r="BR479" s="173"/>
      <c r="BS479" s="173"/>
      <c r="BT479" s="173"/>
      <c r="BU479" s="173"/>
      <c r="BV479" s="173"/>
      <c r="BW479" s="173"/>
      <c r="BX479" s="173"/>
      <c r="BY479" s="173"/>
    </row>
    <row r="480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  <c r="AQ480" s="173"/>
      <c r="AR480" s="173"/>
      <c r="AS480" s="173"/>
      <c r="AT480" s="173"/>
      <c r="AU480" s="173"/>
      <c r="AV480" s="173"/>
      <c r="AW480" s="173"/>
      <c r="AX480" s="173"/>
      <c r="AY480" s="173"/>
      <c r="AZ480" s="173"/>
      <c r="BA480" s="173"/>
      <c r="BB480" s="173"/>
      <c r="BC480" s="173"/>
      <c r="BD480" s="173"/>
      <c r="BE480" s="173"/>
      <c r="BF480" s="173"/>
      <c r="BG480" s="173"/>
      <c r="BH480" s="173"/>
      <c r="BI480" s="173"/>
      <c r="BJ480" s="173"/>
      <c r="BK480" s="173"/>
      <c r="BL480" s="173"/>
      <c r="BM480" s="173"/>
      <c r="BN480" s="173"/>
      <c r="BO480" s="173"/>
      <c r="BP480" s="173"/>
      <c r="BQ480" s="173"/>
      <c r="BR480" s="173"/>
      <c r="BS480" s="173"/>
      <c r="BT480" s="173"/>
      <c r="BU480" s="173"/>
      <c r="BV480" s="173"/>
      <c r="BW480" s="173"/>
      <c r="BX480" s="173"/>
      <c r="BY480" s="173"/>
    </row>
    <row r="48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  <c r="AQ481" s="173"/>
      <c r="AR481" s="173"/>
      <c r="AS481" s="173"/>
      <c r="AT481" s="173"/>
      <c r="AU481" s="173"/>
      <c r="AV481" s="173"/>
      <c r="AW481" s="173"/>
      <c r="AX481" s="173"/>
      <c r="AY481" s="173"/>
      <c r="AZ481" s="173"/>
      <c r="BA481" s="173"/>
      <c r="BB481" s="173"/>
      <c r="BC481" s="173"/>
      <c r="BD481" s="173"/>
      <c r="BE481" s="173"/>
      <c r="BF481" s="173"/>
      <c r="BG481" s="173"/>
      <c r="BH481" s="173"/>
      <c r="BI481" s="173"/>
      <c r="BJ481" s="173"/>
      <c r="BK481" s="173"/>
      <c r="BL481" s="173"/>
      <c r="BM481" s="173"/>
      <c r="BN481" s="173"/>
      <c r="BO481" s="173"/>
      <c r="BP481" s="173"/>
      <c r="BQ481" s="173"/>
      <c r="BR481" s="173"/>
      <c r="BS481" s="173"/>
      <c r="BT481" s="173"/>
      <c r="BU481" s="173"/>
      <c r="BV481" s="173"/>
      <c r="BW481" s="173"/>
      <c r="BX481" s="173"/>
      <c r="BY481" s="173"/>
    </row>
    <row r="482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  <c r="AQ482" s="173"/>
      <c r="AR482" s="173"/>
      <c r="AS482" s="173"/>
      <c r="AT482" s="173"/>
      <c r="AU482" s="173"/>
      <c r="AV482" s="173"/>
      <c r="AW482" s="173"/>
      <c r="AX482" s="173"/>
      <c r="AY482" s="173"/>
      <c r="AZ482" s="173"/>
      <c r="BA482" s="173"/>
      <c r="BB482" s="173"/>
      <c r="BC482" s="173"/>
      <c r="BD482" s="173"/>
      <c r="BE482" s="173"/>
      <c r="BF482" s="173"/>
      <c r="BG482" s="173"/>
      <c r="BH482" s="173"/>
      <c r="BI482" s="173"/>
      <c r="BJ482" s="173"/>
      <c r="BK482" s="173"/>
      <c r="BL482" s="173"/>
      <c r="BM482" s="173"/>
      <c r="BN482" s="173"/>
      <c r="BO482" s="173"/>
      <c r="BP482" s="173"/>
      <c r="BQ482" s="173"/>
      <c r="BR482" s="173"/>
      <c r="BS482" s="173"/>
      <c r="BT482" s="173"/>
      <c r="BU482" s="173"/>
      <c r="BV482" s="173"/>
      <c r="BW482" s="173"/>
      <c r="BX482" s="173"/>
      <c r="BY482" s="173"/>
    </row>
    <row r="483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  <c r="AQ483" s="173"/>
      <c r="AR483" s="173"/>
      <c r="AS483" s="173"/>
      <c r="AT483" s="173"/>
      <c r="AU483" s="173"/>
      <c r="AV483" s="173"/>
      <c r="AW483" s="173"/>
      <c r="AX483" s="173"/>
      <c r="AY483" s="173"/>
      <c r="AZ483" s="173"/>
      <c r="BA483" s="173"/>
      <c r="BB483" s="173"/>
      <c r="BC483" s="173"/>
      <c r="BD483" s="173"/>
      <c r="BE483" s="173"/>
      <c r="BF483" s="173"/>
      <c r="BG483" s="173"/>
      <c r="BH483" s="173"/>
      <c r="BI483" s="173"/>
      <c r="BJ483" s="173"/>
      <c r="BK483" s="173"/>
      <c r="BL483" s="173"/>
      <c r="BM483" s="173"/>
      <c r="BN483" s="173"/>
      <c r="BO483" s="173"/>
      <c r="BP483" s="173"/>
      <c r="BQ483" s="173"/>
      <c r="BR483" s="173"/>
      <c r="BS483" s="173"/>
      <c r="BT483" s="173"/>
      <c r="BU483" s="173"/>
      <c r="BV483" s="173"/>
      <c r="BW483" s="173"/>
      <c r="BX483" s="173"/>
      <c r="BY483" s="173"/>
    </row>
    <row r="484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  <c r="AQ484" s="173"/>
      <c r="AR484" s="173"/>
      <c r="AS484" s="173"/>
      <c r="AT484" s="173"/>
      <c r="AU484" s="173"/>
      <c r="AV484" s="173"/>
      <c r="AW484" s="173"/>
      <c r="AX484" s="173"/>
      <c r="AY484" s="173"/>
      <c r="AZ484" s="173"/>
      <c r="BA484" s="173"/>
      <c r="BB484" s="173"/>
      <c r="BC484" s="173"/>
      <c r="BD484" s="173"/>
      <c r="BE484" s="173"/>
      <c r="BF484" s="173"/>
      <c r="BG484" s="173"/>
      <c r="BH484" s="173"/>
      <c r="BI484" s="173"/>
      <c r="BJ484" s="173"/>
      <c r="BK484" s="173"/>
      <c r="BL484" s="173"/>
      <c r="BM484" s="173"/>
      <c r="BN484" s="173"/>
      <c r="BO484" s="173"/>
      <c r="BP484" s="173"/>
      <c r="BQ484" s="173"/>
      <c r="BR484" s="173"/>
      <c r="BS484" s="173"/>
      <c r="BT484" s="173"/>
      <c r="BU484" s="173"/>
      <c r="BV484" s="173"/>
      <c r="BW484" s="173"/>
      <c r="BX484" s="173"/>
      <c r="BY484" s="173"/>
    </row>
    <row r="485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  <c r="AQ485" s="173"/>
      <c r="AR485" s="173"/>
      <c r="AS485" s="173"/>
      <c r="AT485" s="173"/>
      <c r="AU485" s="173"/>
      <c r="AV485" s="173"/>
      <c r="AW485" s="173"/>
      <c r="AX485" s="173"/>
      <c r="AY485" s="173"/>
      <c r="AZ485" s="173"/>
      <c r="BA485" s="173"/>
      <c r="BB485" s="173"/>
      <c r="BC485" s="173"/>
      <c r="BD485" s="173"/>
      <c r="BE485" s="173"/>
      <c r="BF485" s="173"/>
      <c r="BG485" s="173"/>
      <c r="BH485" s="173"/>
      <c r="BI485" s="173"/>
      <c r="BJ485" s="173"/>
      <c r="BK485" s="173"/>
      <c r="BL485" s="173"/>
      <c r="BM485" s="173"/>
      <c r="BN485" s="173"/>
      <c r="BO485" s="173"/>
      <c r="BP485" s="173"/>
      <c r="BQ485" s="173"/>
      <c r="BR485" s="173"/>
      <c r="BS485" s="173"/>
      <c r="BT485" s="173"/>
      <c r="BU485" s="173"/>
      <c r="BV485" s="173"/>
      <c r="BW485" s="173"/>
      <c r="BX485" s="173"/>
      <c r="BY485" s="173"/>
    </row>
    <row r="486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  <c r="AQ486" s="173"/>
      <c r="AR486" s="173"/>
      <c r="AS486" s="173"/>
      <c r="AT486" s="173"/>
      <c r="AU486" s="173"/>
      <c r="AV486" s="173"/>
      <c r="AW486" s="173"/>
      <c r="AX486" s="173"/>
      <c r="AY486" s="173"/>
      <c r="AZ486" s="173"/>
      <c r="BA486" s="173"/>
      <c r="BB486" s="173"/>
      <c r="BC486" s="173"/>
      <c r="BD486" s="173"/>
      <c r="BE486" s="173"/>
      <c r="BF486" s="173"/>
      <c r="BG486" s="173"/>
      <c r="BH486" s="173"/>
      <c r="BI486" s="173"/>
      <c r="BJ486" s="173"/>
      <c r="BK486" s="173"/>
      <c r="BL486" s="173"/>
      <c r="BM486" s="173"/>
      <c r="BN486" s="173"/>
      <c r="BO486" s="173"/>
      <c r="BP486" s="173"/>
      <c r="BQ486" s="173"/>
      <c r="BR486" s="173"/>
      <c r="BS486" s="173"/>
      <c r="BT486" s="173"/>
      <c r="BU486" s="173"/>
      <c r="BV486" s="173"/>
      <c r="BW486" s="173"/>
      <c r="BX486" s="173"/>
      <c r="BY486" s="173"/>
    </row>
    <row r="487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3"/>
      <c r="AS487" s="173"/>
      <c r="AT487" s="173"/>
      <c r="AU487" s="173"/>
      <c r="AV487" s="173"/>
      <c r="AW487" s="173"/>
      <c r="AX487" s="173"/>
      <c r="AY487" s="173"/>
      <c r="AZ487" s="173"/>
      <c r="BA487" s="173"/>
      <c r="BB487" s="173"/>
      <c r="BC487" s="173"/>
      <c r="BD487" s="173"/>
      <c r="BE487" s="173"/>
      <c r="BF487" s="173"/>
      <c r="BG487" s="173"/>
      <c r="BH487" s="173"/>
      <c r="BI487" s="173"/>
      <c r="BJ487" s="173"/>
      <c r="BK487" s="173"/>
      <c r="BL487" s="173"/>
      <c r="BM487" s="173"/>
      <c r="BN487" s="173"/>
      <c r="BO487" s="173"/>
      <c r="BP487" s="173"/>
      <c r="BQ487" s="173"/>
      <c r="BR487" s="173"/>
      <c r="BS487" s="173"/>
      <c r="BT487" s="173"/>
      <c r="BU487" s="173"/>
      <c r="BV487" s="173"/>
      <c r="BW487" s="173"/>
      <c r="BX487" s="173"/>
      <c r="BY487" s="173"/>
    </row>
    <row r="488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  <c r="AQ488" s="173"/>
      <c r="AR488" s="173"/>
      <c r="AS488" s="173"/>
      <c r="AT488" s="173"/>
      <c r="AU488" s="173"/>
      <c r="AV488" s="173"/>
      <c r="AW488" s="173"/>
      <c r="AX488" s="173"/>
      <c r="AY488" s="173"/>
      <c r="AZ488" s="173"/>
      <c r="BA488" s="173"/>
      <c r="BB488" s="173"/>
      <c r="BC488" s="173"/>
      <c r="BD488" s="173"/>
      <c r="BE488" s="173"/>
      <c r="BF488" s="173"/>
      <c r="BG488" s="173"/>
      <c r="BH488" s="173"/>
      <c r="BI488" s="173"/>
      <c r="BJ488" s="173"/>
      <c r="BK488" s="173"/>
      <c r="BL488" s="173"/>
      <c r="BM488" s="173"/>
      <c r="BN488" s="173"/>
      <c r="BO488" s="173"/>
      <c r="BP488" s="173"/>
      <c r="BQ488" s="173"/>
      <c r="BR488" s="173"/>
      <c r="BS488" s="173"/>
      <c r="BT488" s="173"/>
      <c r="BU488" s="173"/>
      <c r="BV488" s="173"/>
      <c r="BW488" s="173"/>
      <c r="BX488" s="173"/>
      <c r="BY488" s="173"/>
    </row>
    <row r="489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  <c r="AQ489" s="173"/>
      <c r="AR489" s="173"/>
      <c r="AS489" s="173"/>
      <c r="AT489" s="173"/>
      <c r="AU489" s="173"/>
      <c r="AV489" s="173"/>
      <c r="AW489" s="173"/>
      <c r="AX489" s="173"/>
      <c r="AY489" s="173"/>
      <c r="AZ489" s="173"/>
      <c r="BA489" s="173"/>
      <c r="BB489" s="173"/>
      <c r="BC489" s="173"/>
      <c r="BD489" s="173"/>
      <c r="BE489" s="173"/>
      <c r="BF489" s="173"/>
      <c r="BG489" s="173"/>
      <c r="BH489" s="173"/>
      <c r="BI489" s="173"/>
      <c r="BJ489" s="173"/>
      <c r="BK489" s="173"/>
      <c r="BL489" s="173"/>
      <c r="BM489" s="173"/>
      <c r="BN489" s="173"/>
      <c r="BO489" s="173"/>
      <c r="BP489" s="173"/>
      <c r="BQ489" s="173"/>
      <c r="BR489" s="173"/>
      <c r="BS489" s="173"/>
      <c r="BT489" s="173"/>
      <c r="BU489" s="173"/>
      <c r="BV489" s="173"/>
      <c r="BW489" s="173"/>
      <c r="BX489" s="173"/>
      <c r="BY489" s="173"/>
    </row>
    <row r="490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  <c r="AQ490" s="173"/>
      <c r="AR490" s="173"/>
      <c r="AS490" s="173"/>
      <c r="AT490" s="173"/>
      <c r="AU490" s="173"/>
      <c r="AV490" s="173"/>
      <c r="AW490" s="173"/>
      <c r="AX490" s="173"/>
      <c r="AY490" s="173"/>
      <c r="AZ490" s="173"/>
      <c r="BA490" s="173"/>
      <c r="BB490" s="173"/>
      <c r="BC490" s="173"/>
      <c r="BD490" s="173"/>
      <c r="BE490" s="173"/>
      <c r="BF490" s="173"/>
      <c r="BG490" s="173"/>
      <c r="BH490" s="173"/>
      <c r="BI490" s="173"/>
      <c r="BJ490" s="173"/>
      <c r="BK490" s="173"/>
      <c r="BL490" s="173"/>
      <c r="BM490" s="173"/>
      <c r="BN490" s="173"/>
      <c r="BO490" s="173"/>
      <c r="BP490" s="173"/>
      <c r="BQ490" s="173"/>
      <c r="BR490" s="173"/>
      <c r="BS490" s="173"/>
      <c r="BT490" s="173"/>
      <c r="BU490" s="173"/>
      <c r="BV490" s="173"/>
      <c r="BW490" s="173"/>
      <c r="BX490" s="173"/>
      <c r="BY490" s="173"/>
    </row>
    <row r="49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  <c r="AQ491" s="173"/>
      <c r="AR491" s="173"/>
      <c r="AS491" s="173"/>
      <c r="AT491" s="173"/>
      <c r="AU491" s="173"/>
      <c r="AV491" s="173"/>
      <c r="AW491" s="173"/>
      <c r="AX491" s="173"/>
      <c r="AY491" s="173"/>
      <c r="AZ491" s="173"/>
      <c r="BA491" s="173"/>
      <c r="BB491" s="173"/>
      <c r="BC491" s="173"/>
      <c r="BD491" s="173"/>
      <c r="BE491" s="173"/>
      <c r="BF491" s="173"/>
      <c r="BG491" s="173"/>
      <c r="BH491" s="173"/>
      <c r="BI491" s="173"/>
      <c r="BJ491" s="173"/>
      <c r="BK491" s="173"/>
      <c r="BL491" s="173"/>
      <c r="BM491" s="173"/>
      <c r="BN491" s="173"/>
      <c r="BO491" s="173"/>
      <c r="BP491" s="173"/>
      <c r="BQ491" s="173"/>
      <c r="BR491" s="173"/>
      <c r="BS491" s="173"/>
      <c r="BT491" s="173"/>
      <c r="BU491" s="173"/>
      <c r="BV491" s="173"/>
      <c r="BW491" s="173"/>
      <c r="BX491" s="173"/>
      <c r="BY491" s="173"/>
    </row>
    <row r="492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  <c r="AQ492" s="173"/>
      <c r="AR492" s="173"/>
      <c r="AS492" s="173"/>
      <c r="AT492" s="173"/>
      <c r="AU492" s="173"/>
      <c r="AV492" s="173"/>
      <c r="AW492" s="173"/>
      <c r="AX492" s="173"/>
      <c r="AY492" s="173"/>
      <c r="AZ492" s="173"/>
      <c r="BA492" s="173"/>
      <c r="BB492" s="173"/>
      <c r="BC492" s="173"/>
      <c r="BD492" s="173"/>
      <c r="BE492" s="173"/>
      <c r="BF492" s="173"/>
      <c r="BG492" s="173"/>
      <c r="BH492" s="173"/>
      <c r="BI492" s="173"/>
      <c r="BJ492" s="173"/>
      <c r="BK492" s="173"/>
      <c r="BL492" s="173"/>
      <c r="BM492" s="173"/>
      <c r="BN492" s="173"/>
      <c r="BO492" s="173"/>
      <c r="BP492" s="173"/>
      <c r="BQ492" s="173"/>
      <c r="BR492" s="173"/>
      <c r="BS492" s="173"/>
      <c r="BT492" s="173"/>
      <c r="BU492" s="173"/>
      <c r="BV492" s="173"/>
      <c r="BW492" s="173"/>
      <c r="BX492" s="173"/>
      <c r="BY492" s="173"/>
    </row>
    <row r="493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  <c r="AQ493" s="173"/>
      <c r="AR493" s="173"/>
      <c r="AS493" s="173"/>
      <c r="AT493" s="173"/>
      <c r="AU493" s="173"/>
      <c r="AV493" s="173"/>
      <c r="AW493" s="173"/>
      <c r="AX493" s="173"/>
      <c r="AY493" s="173"/>
      <c r="AZ493" s="173"/>
      <c r="BA493" s="173"/>
      <c r="BB493" s="173"/>
      <c r="BC493" s="173"/>
      <c r="BD493" s="173"/>
      <c r="BE493" s="173"/>
      <c r="BF493" s="173"/>
      <c r="BG493" s="173"/>
      <c r="BH493" s="173"/>
      <c r="BI493" s="173"/>
      <c r="BJ493" s="173"/>
      <c r="BK493" s="173"/>
      <c r="BL493" s="173"/>
      <c r="BM493" s="173"/>
      <c r="BN493" s="173"/>
      <c r="BO493" s="173"/>
      <c r="BP493" s="173"/>
      <c r="BQ493" s="173"/>
      <c r="BR493" s="173"/>
      <c r="BS493" s="173"/>
      <c r="BT493" s="173"/>
      <c r="BU493" s="173"/>
      <c r="BV493" s="173"/>
      <c r="BW493" s="173"/>
      <c r="BX493" s="173"/>
      <c r="BY493" s="173"/>
    </row>
    <row r="494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  <c r="AQ494" s="173"/>
      <c r="AR494" s="173"/>
      <c r="AS494" s="173"/>
      <c r="AT494" s="173"/>
      <c r="AU494" s="173"/>
      <c r="AV494" s="173"/>
      <c r="AW494" s="173"/>
      <c r="AX494" s="173"/>
      <c r="AY494" s="173"/>
      <c r="AZ494" s="173"/>
      <c r="BA494" s="173"/>
      <c r="BB494" s="173"/>
      <c r="BC494" s="173"/>
      <c r="BD494" s="173"/>
      <c r="BE494" s="173"/>
      <c r="BF494" s="173"/>
      <c r="BG494" s="173"/>
      <c r="BH494" s="173"/>
      <c r="BI494" s="173"/>
      <c r="BJ494" s="173"/>
      <c r="BK494" s="173"/>
      <c r="BL494" s="173"/>
      <c r="BM494" s="173"/>
      <c r="BN494" s="173"/>
      <c r="BO494" s="173"/>
      <c r="BP494" s="173"/>
      <c r="BQ494" s="173"/>
      <c r="BR494" s="173"/>
      <c r="BS494" s="173"/>
      <c r="BT494" s="173"/>
      <c r="BU494" s="173"/>
      <c r="BV494" s="173"/>
      <c r="BW494" s="173"/>
      <c r="BX494" s="173"/>
      <c r="BY494" s="173"/>
    </row>
    <row r="495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  <c r="AQ495" s="173"/>
      <c r="AR495" s="173"/>
      <c r="AS495" s="173"/>
      <c r="AT495" s="173"/>
      <c r="AU495" s="173"/>
      <c r="AV495" s="173"/>
      <c r="AW495" s="173"/>
      <c r="AX495" s="173"/>
      <c r="AY495" s="173"/>
      <c r="AZ495" s="173"/>
      <c r="BA495" s="173"/>
      <c r="BB495" s="173"/>
      <c r="BC495" s="173"/>
      <c r="BD495" s="173"/>
      <c r="BE495" s="173"/>
      <c r="BF495" s="173"/>
      <c r="BG495" s="173"/>
      <c r="BH495" s="173"/>
      <c r="BI495" s="173"/>
      <c r="BJ495" s="173"/>
      <c r="BK495" s="173"/>
      <c r="BL495" s="173"/>
      <c r="BM495" s="173"/>
      <c r="BN495" s="173"/>
      <c r="BO495" s="173"/>
      <c r="BP495" s="173"/>
      <c r="BQ495" s="173"/>
      <c r="BR495" s="173"/>
      <c r="BS495" s="173"/>
      <c r="BT495" s="173"/>
      <c r="BU495" s="173"/>
      <c r="BV495" s="173"/>
      <c r="BW495" s="173"/>
      <c r="BX495" s="173"/>
      <c r="BY495" s="173"/>
    </row>
    <row r="496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  <c r="AQ496" s="173"/>
      <c r="AR496" s="173"/>
      <c r="AS496" s="173"/>
      <c r="AT496" s="173"/>
      <c r="AU496" s="173"/>
      <c r="AV496" s="173"/>
      <c r="AW496" s="173"/>
      <c r="AX496" s="173"/>
      <c r="AY496" s="173"/>
      <c r="AZ496" s="173"/>
      <c r="BA496" s="173"/>
      <c r="BB496" s="173"/>
      <c r="BC496" s="173"/>
      <c r="BD496" s="173"/>
      <c r="BE496" s="173"/>
      <c r="BF496" s="173"/>
      <c r="BG496" s="173"/>
      <c r="BH496" s="173"/>
      <c r="BI496" s="173"/>
      <c r="BJ496" s="173"/>
      <c r="BK496" s="173"/>
      <c r="BL496" s="173"/>
      <c r="BM496" s="173"/>
      <c r="BN496" s="173"/>
      <c r="BO496" s="173"/>
      <c r="BP496" s="173"/>
      <c r="BQ496" s="173"/>
      <c r="BR496" s="173"/>
      <c r="BS496" s="173"/>
      <c r="BT496" s="173"/>
      <c r="BU496" s="173"/>
      <c r="BV496" s="173"/>
      <c r="BW496" s="173"/>
      <c r="BX496" s="173"/>
      <c r="BY496" s="173"/>
    </row>
    <row r="497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  <c r="AQ497" s="173"/>
      <c r="AR497" s="173"/>
      <c r="AS497" s="173"/>
      <c r="AT497" s="173"/>
      <c r="AU497" s="173"/>
      <c r="AV497" s="173"/>
      <c r="AW497" s="173"/>
      <c r="AX497" s="173"/>
      <c r="AY497" s="173"/>
      <c r="AZ497" s="173"/>
      <c r="BA497" s="173"/>
      <c r="BB497" s="173"/>
      <c r="BC497" s="173"/>
      <c r="BD497" s="173"/>
      <c r="BE497" s="173"/>
      <c r="BF497" s="173"/>
      <c r="BG497" s="173"/>
      <c r="BH497" s="173"/>
      <c r="BI497" s="173"/>
      <c r="BJ497" s="173"/>
      <c r="BK497" s="173"/>
      <c r="BL497" s="173"/>
      <c r="BM497" s="173"/>
      <c r="BN497" s="173"/>
      <c r="BO497" s="173"/>
      <c r="BP497" s="173"/>
      <c r="BQ497" s="173"/>
      <c r="BR497" s="173"/>
      <c r="BS497" s="173"/>
      <c r="BT497" s="173"/>
      <c r="BU497" s="173"/>
      <c r="BV497" s="173"/>
      <c r="BW497" s="173"/>
      <c r="BX497" s="173"/>
      <c r="BY497" s="173"/>
    </row>
    <row r="498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  <c r="AQ498" s="173"/>
      <c r="AR498" s="173"/>
      <c r="AS498" s="173"/>
      <c r="AT498" s="173"/>
      <c r="AU498" s="173"/>
      <c r="AV498" s="173"/>
      <c r="AW498" s="173"/>
      <c r="AX498" s="173"/>
      <c r="AY498" s="173"/>
      <c r="AZ498" s="173"/>
      <c r="BA498" s="173"/>
      <c r="BB498" s="173"/>
      <c r="BC498" s="173"/>
      <c r="BD498" s="173"/>
      <c r="BE498" s="173"/>
      <c r="BF498" s="173"/>
      <c r="BG498" s="173"/>
      <c r="BH498" s="173"/>
      <c r="BI498" s="173"/>
      <c r="BJ498" s="173"/>
      <c r="BK498" s="173"/>
      <c r="BL498" s="173"/>
      <c r="BM498" s="173"/>
      <c r="BN498" s="173"/>
      <c r="BO498" s="173"/>
      <c r="BP498" s="173"/>
      <c r="BQ498" s="173"/>
      <c r="BR498" s="173"/>
      <c r="BS498" s="173"/>
      <c r="BT498" s="173"/>
      <c r="BU498" s="173"/>
      <c r="BV498" s="173"/>
      <c r="BW498" s="173"/>
      <c r="BX498" s="173"/>
      <c r="BY498" s="173"/>
    </row>
    <row r="499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  <c r="AQ499" s="173"/>
      <c r="AR499" s="173"/>
      <c r="AS499" s="173"/>
      <c r="AT499" s="173"/>
      <c r="AU499" s="173"/>
      <c r="AV499" s="173"/>
      <c r="AW499" s="173"/>
      <c r="AX499" s="173"/>
      <c r="AY499" s="173"/>
      <c r="AZ499" s="173"/>
      <c r="BA499" s="173"/>
      <c r="BB499" s="173"/>
      <c r="BC499" s="173"/>
      <c r="BD499" s="173"/>
      <c r="BE499" s="173"/>
      <c r="BF499" s="173"/>
      <c r="BG499" s="173"/>
      <c r="BH499" s="173"/>
      <c r="BI499" s="173"/>
      <c r="BJ499" s="173"/>
      <c r="BK499" s="173"/>
      <c r="BL499" s="173"/>
      <c r="BM499" s="173"/>
      <c r="BN499" s="173"/>
      <c r="BO499" s="173"/>
      <c r="BP499" s="173"/>
      <c r="BQ499" s="173"/>
      <c r="BR499" s="173"/>
      <c r="BS499" s="173"/>
      <c r="BT499" s="173"/>
      <c r="BU499" s="173"/>
      <c r="BV499" s="173"/>
      <c r="BW499" s="173"/>
      <c r="BX499" s="173"/>
      <c r="BY499" s="173"/>
    </row>
    <row r="500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  <c r="AQ500" s="173"/>
      <c r="AR500" s="173"/>
      <c r="AS500" s="173"/>
      <c r="AT500" s="173"/>
      <c r="AU500" s="173"/>
      <c r="AV500" s="173"/>
      <c r="AW500" s="173"/>
      <c r="AX500" s="173"/>
      <c r="AY500" s="173"/>
      <c r="AZ500" s="173"/>
      <c r="BA500" s="173"/>
      <c r="BB500" s="173"/>
      <c r="BC500" s="173"/>
      <c r="BD500" s="173"/>
      <c r="BE500" s="173"/>
      <c r="BF500" s="173"/>
      <c r="BG500" s="173"/>
      <c r="BH500" s="173"/>
      <c r="BI500" s="173"/>
      <c r="BJ500" s="173"/>
      <c r="BK500" s="173"/>
      <c r="BL500" s="173"/>
      <c r="BM500" s="173"/>
      <c r="BN500" s="173"/>
      <c r="BO500" s="173"/>
      <c r="BP500" s="173"/>
      <c r="BQ500" s="173"/>
      <c r="BR500" s="173"/>
      <c r="BS500" s="173"/>
      <c r="BT500" s="173"/>
      <c r="BU500" s="173"/>
      <c r="BV500" s="173"/>
      <c r="BW500" s="173"/>
      <c r="BX500" s="173"/>
      <c r="BY500" s="173"/>
    </row>
    <row r="50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  <c r="AQ501" s="173"/>
      <c r="AR501" s="173"/>
      <c r="AS501" s="173"/>
      <c r="AT501" s="173"/>
      <c r="AU501" s="173"/>
      <c r="AV501" s="173"/>
      <c r="AW501" s="173"/>
      <c r="AX501" s="173"/>
      <c r="AY501" s="173"/>
      <c r="AZ501" s="173"/>
      <c r="BA501" s="173"/>
      <c r="BB501" s="173"/>
      <c r="BC501" s="173"/>
      <c r="BD501" s="173"/>
      <c r="BE501" s="173"/>
      <c r="BF501" s="173"/>
      <c r="BG501" s="173"/>
      <c r="BH501" s="173"/>
      <c r="BI501" s="173"/>
      <c r="BJ501" s="173"/>
      <c r="BK501" s="173"/>
      <c r="BL501" s="173"/>
      <c r="BM501" s="173"/>
      <c r="BN501" s="173"/>
      <c r="BO501" s="173"/>
      <c r="BP501" s="173"/>
      <c r="BQ501" s="173"/>
      <c r="BR501" s="173"/>
      <c r="BS501" s="173"/>
      <c r="BT501" s="173"/>
      <c r="BU501" s="173"/>
      <c r="BV501" s="173"/>
      <c r="BW501" s="173"/>
      <c r="BX501" s="173"/>
      <c r="BY501" s="173"/>
    </row>
    <row r="502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  <c r="AQ502" s="173"/>
      <c r="AR502" s="173"/>
      <c r="AS502" s="173"/>
      <c r="AT502" s="173"/>
      <c r="AU502" s="173"/>
      <c r="AV502" s="173"/>
      <c r="AW502" s="173"/>
      <c r="AX502" s="173"/>
      <c r="AY502" s="173"/>
      <c r="AZ502" s="173"/>
      <c r="BA502" s="173"/>
      <c r="BB502" s="173"/>
      <c r="BC502" s="173"/>
      <c r="BD502" s="173"/>
      <c r="BE502" s="173"/>
      <c r="BF502" s="173"/>
      <c r="BG502" s="173"/>
      <c r="BH502" s="173"/>
      <c r="BI502" s="173"/>
      <c r="BJ502" s="173"/>
      <c r="BK502" s="173"/>
      <c r="BL502" s="173"/>
      <c r="BM502" s="173"/>
      <c r="BN502" s="173"/>
      <c r="BO502" s="173"/>
      <c r="BP502" s="173"/>
      <c r="BQ502" s="173"/>
      <c r="BR502" s="173"/>
      <c r="BS502" s="173"/>
      <c r="BT502" s="173"/>
      <c r="BU502" s="173"/>
      <c r="BV502" s="173"/>
      <c r="BW502" s="173"/>
      <c r="BX502" s="173"/>
      <c r="BY502" s="173"/>
    </row>
    <row r="503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  <c r="AQ503" s="173"/>
      <c r="AR503" s="173"/>
      <c r="AS503" s="173"/>
      <c r="AT503" s="173"/>
      <c r="AU503" s="173"/>
      <c r="AV503" s="173"/>
      <c r="AW503" s="173"/>
      <c r="AX503" s="173"/>
      <c r="AY503" s="173"/>
      <c r="AZ503" s="173"/>
      <c r="BA503" s="173"/>
      <c r="BB503" s="173"/>
      <c r="BC503" s="173"/>
      <c r="BD503" s="173"/>
      <c r="BE503" s="173"/>
      <c r="BF503" s="173"/>
      <c r="BG503" s="173"/>
      <c r="BH503" s="173"/>
      <c r="BI503" s="173"/>
      <c r="BJ503" s="173"/>
      <c r="BK503" s="173"/>
      <c r="BL503" s="173"/>
      <c r="BM503" s="173"/>
      <c r="BN503" s="173"/>
      <c r="BO503" s="173"/>
      <c r="BP503" s="173"/>
      <c r="BQ503" s="173"/>
      <c r="BR503" s="173"/>
      <c r="BS503" s="173"/>
      <c r="BT503" s="173"/>
      <c r="BU503" s="173"/>
      <c r="BV503" s="173"/>
      <c r="BW503" s="173"/>
      <c r="BX503" s="173"/>
      <c r="BY503" s="173"/>
    </row>
    <row r="504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  <c r="AQ504" s="173"/>
      <c r="AR504" s="173"/>
      <c r="AS504" s="173"/>
      <c r="AT504" s="173"/>
      <c r="AU504" s="173"/>
      <c r="AV504" s="173"/>
      <c r="AW504" s="173"/>
      <c r="AX504" s="173"/>
      <c r="AY504" s="173"/>
      <c r="AZ504" s="173"/>
      <c r="BA504" s="173"/>
      <c r="BB504" s="173"/>
      <c r="BC504" s="173"/>
      <c r="BD504" s="173"/>
      <c r="BE504" s="173"/>
      <c r="BF504" s="173"/>
      <c r="BG504" s="173"/>
      <c r="BH504" s="173"/>
      <c r="BI504" s="173"/>
      <c r="BJ504" s="173"/>
      <c r="BK504" s="173"/>
      <c r="BL504" s="173"/>
      <c r="BM504" s="173"/>
      <c r="BN504" s="173"/>
      <c r="BO504" s="173"/>
      <c r="BP504" s="173"/>
      <c r="BQ504" s="173"/>
      <c r="BR504" s="173"/>
      <c r="BS504" s="173"/>
      <c r="BT504" s="173"/>
      <c r="BU504" s="173"/>
      <c r="BV504" s="173"/>
      <c r="BW504" s="173"/>
      <c r="BX504" s="173"/>
      <c r="BY504" s="173"/>
    </row>
    <row r="505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  <c r="AQ505" s="173"/>
      <c r="AR505" s="173"/>
      <c r="AS505" s="173"/>
      <c r="AT505" s="173"/>
      <c r="AU505" s="173"/>
      <c r="AV505" s="173"/>
      <c r="AW505" s="173"/>
      <c r="AX505" s="173"/>
      <c r="AY505" s="173"/>
      <c r="AZ505" s="173"/>
      <c r="BA505" s="173"/>
      <c r="BB505" s="173"/>
      <c r="BC505" s="173"/>
      <c r="BD505" s="173"/>
      <c r="BE505" s="173"/>
      <c r="BF505" s="173"/>
      <c r="BG505" s="173"/>
      <c r="BH505" s="173"/>
      <c r="BI505" s="173"/>
      <c r="BJ505" s="173"/>
      <c r="BK505" s="173"/>
      <c r="BL505" s="173"/>
      <c r="BM505" s="173"/>
      <c r="BN505" s="173"/>
      <c r="BO505" s="173"/>
      <c r="BP505" s="173"/>
      <c r="BQ505" s="173"/>
      <c r="BR505" s="173"/>
      <c r="BS505" s="173"/>
      <c r="BT505" s="173"/>
      <c r="BU505" s="173"/>
      <c r="BV505" s="173"/>
      <c r="BW505" s="173"/>
      <c r="BX505" s="173"/>
      <c r="BY505" s="173"/>
    </row>
    <row r="506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  <c r="AQ506" s="173"/>
      <c r="AR506" s="173"/>
      <c r="AS506" s="173"/>
      <c r="AT506" s="173"/>
      <c r="AU506" s="173"/>
      <c r="AV506" s="173"/>
      <c r="AW506" s="173"/>
      <c r="AX506" s="173"/>
      <c r="AY506" s="173"/>
      <c r="AZ506" s="173"/>
      <c r="BA506" s="173"/>
      <c r="BB506" s="173"/>
      <c r="BC506" s="173"/>
      <c r="BD506" s="173"/>
      <c r="BE506" s="173"/>
      <c r="BF506" s="173"/>
      <c r="BG506" s="173"/>
      <c r="BH506" s="173"/>
      <c r="BI506" s="173"/>
      <c r="BJ506" s="173"/>
      <c r="BK506" s="173"/>
      <c r="BL506" s="173"/>
      <c r="BM506" s="173"/>
      <c r="BN506" s="173"/>
      <c r="BO506" s="173"/>
      <c r="BP506" s="173"/>
      <c r="BQ506" s="173"/>
      <c r="BR506" s="173"/>
      <c r="BS506" s="173"/>
      <c r="BT506" s="173"/>
      <c r="BU506" s="173"/>
      <c r="BV506" s="173"/>
      <c r="BW506" s="173"/>
      <c r="BX506" s="173"/>
      <c r="BY506" s="173"/>
    </row>
    <row r="507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  <c r="AQ507" s="173"/>
      <c r="AR507" s="173"/>
      <c r="AS507" s="173"/>
      <c r="AT507" s="173"/>
      <c r="AU507" s="173"/>
      <c r="AV507" s="173"/>
      <c r="AW507" s="173"/>
      <c r="AX507" s="173"/>
      <c r="AY507" s="173"/>
      <c r="AZ507" s="173"/>
      <c r="BA507" s="173"/>
      <c r="BB507" s="173"/>
      <c r="BC507" s="173"/>
      <c r="BD507" s="173"/>
      <c r="BE507" s="173"/>
      <c r="BF507" s="173"/>
      <c r="BG507" s="173"/>
      <c r="BH507" s="173"/>
      <c r="BI507" s="173"/>
      <c r="BJ507" s="173"/>
      <c r="BK507" s="173"/>
      <c r="BL507" s="173"/>
      <c r="BM507" s="173"/>
      <c r="BN507" s="173"/>
      <c r="BO507" s="173"/>
      <c r="BP507" s="173"/>
      <c r="BQ507" s="173"/>
      <c r="BR507" s="173"/>
      <c r="BS507" s="173"/>
      <c r="BT507" s="173"/>
      <c r="BU507" s="173"/>
      <c r="BV507" s="173"/>
      <c r="BW507" s="173"/>
      <c r="BX507" s="173"/>
      <c r="BY507" s="173"/>
    </row>
    <row r="508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  <c r="AQ508" s="173"/>
      <c r="AR508" s="173"/>
      <c r="AS508" s="173"/>
      <c r="AT508" s="173"/>
      <c r="AU508" s="173"/>
      <c r="AV508" s="173"/>
      <c r="AW508" s="173"/>
      <c r="AX508" s="173"/>
      <c r="AY508" s="173"/>
      <c r="AZ508" s="173"/>
      <c r="BA508" s="173"/>
      <c r="BB508" s="173"/>
      <c r="BC508" s="173"/>
      <c r="BD508" s="173"/>
      <c r="BE508" s="173"/>
      <c r="BF508" s="173"/>
      <c r="BG508" s="173"/>
      <c r="BH508" s="173"/>
      <c r="BI508" s="173"/>
      <c r="BJ508" s="173"/>
      <c r="BK508" s="173"/>
      <c r="BL508" s="173"/>
      <c r="BM508" s="173"/>
      <c r="BN508" s="173"/>
      <c r="BO508" s="173"/>
      <c r="BP508" s="173"/>
      <c r="BQ508" s="173"/>
      <c r="BR508" s="173"/>
      <c r="BS508" s="173"/>
      <c r="BT508" s="173"/>
      <c r="BU508" s="173"/>
      <c r="BV508" s="173"/>
      <c r="BW508" s="173"/>
      <c r="BX508" s="173"/>
      <c r="BY508" s="173"/>
    </row>
    <row r="509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  <c r="AQ509" s="173"/>
      <c r="AR509" s="173"/>
      <c r="AS509" s="173"/>
      <c r="AT509" s="173"/>
      <c r="AU509" s="173"/>
      <c r="AV509" s="173"/>
      <c r="AW509" s="173"/>
      <c r="AX509" s="173"/>
      <c r="AY509" s="173"/>
      <c r="AZ509" s="173"/>
      <c r="BA509" s="173"/>
      <c r="BB509" s="173"/>
      <c r="BC509" s="173"/>
      <c r="BD509" s="173"/>
      <c r="BE509" s="173"/>
      <c r="BF509" s="173"/>
      <c r="BG509" s="173"/>
      <c r="BH509" s="173"/>
      <c r="BI509" s="173"/>
      <c r="BJ509" s="173"/>
      <c r="BK509" s="173"/>
      <c r="BL509" s="173"/>
      <c r="BM509" s="173"/>
      <c r="BN509" s="173"/>
      <c r="BO509" s="173"/>
      <c r="BP509" s="173"/>
      <c r="BQ509" s="173"/>
      <c r="BR509" s="173"/>
      <c r="BS509" s="173"/>
      <c r="BT509" s="173"/>
      <c r="BU509" s="173"/>
      <c r="BV509" s="173"/>
      <c r="BW509" s="173"/>
      <c r="BX509" s="173"/>
      <c r="BY509" s="173"/>
    </row>
    <row r="510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  <c r="AQ510" s="173"/>
      <c r="AR510" s="173"/>
      <c r="AS510" s="173"/>
      <c r="AT510" s="173"/>
      <c r="AU510" s="173"/>
      <c r="AV510" s="173"/>
      <c r="AW510" s="173"/>
      <c r="AX510" s="173"/>
      <c r="AY510" s="173"/>
      <c r="AZ510" s="173"/>
      <c r="BA510" s="173"/>
      <c r="BB510" s="173"/>
      <c r="BC510" s="173"/>
      <c r="BD510" s="173"/>
      <c r="BE510" s="173"/>
      <c r="BF510" s="173"/>
      <c r="BG510" s="173"/>
      <c r="BH510" s="173"/>
      <c r="BI510" s="173"/>
      <c r="BJ510" s="173"/>
      <c r="BK510" s="173"/>
      <c r="BL510" s="173"/>
      <c r="BM510" s="173"/>
      <c r="BN510" s="173"/>
      <c r="BO510" s="173"/>
      <c r="BP510" s="173"/>
      <c r="BQ510" s="173"/>
      <c r="BR510" s="173"/>
      <c r="BS510" s="173"/>
      <c r="BT510" s="173"/>
      <c r="BU510" s="173"/>
      <c r="BV510" s="173"/>
      <c r="BW510" s="173"/>
      <c r="BX510" s="173"/>
      <c r="BY510" s="173"/>
    </row>
    <row r="51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  <c r="AQ511" s="173"/>
      <c r="AR511" s="173"/>
      <c r="AS511" s="173"/>
      <c r="AT511" s="173"/>
      <c r="AU511" s="173"/>
      <c r="AV511" s="173"/>
      <c r="AW511" s="173"/>
      <c r="AX511" s="173"/>
      <c r="AY511" s="173"/>
      <c r="AZ511" s="173"/>
      <c r="BA511" s="173"/>
      <c r="BB511" s="173"/>
      <c r="BC511" s="173"/>
      <c r="BD511" s="173"/>
      <c r="BE511" s="173"/>
      <c r="BF511" s="173"/>
      <c r="BG511" s="173"/>
      <c r="BH511" s="173"/>
      <c r="BI511" s="173"/>
      <c r="BJ511" s="173"/>
      <c r="BK511" s="173"/>
      <c r="BL511" s="173"/>
      <c r="BM511" s="173"/>
      <c r="BN511" s="173"/>
      <c r="BO511" s="173"/>
      <c r="BP511" s="173"/>
      <c r="BQ511" s="173"/>
      <c r="BR511" s="173"/>
      <c r="BS511" s="173"/>
      <c r="BT511" s="173"/>
      <c r="BU511" s="173"/>
      <c r="BV511" s="173"/>
      <c r="BW511" s="173"/>
      <c r="BX511" s="173"/>
      <c r="BY511" s="173"/>
    </row>
    <row r="512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  <c r="AQ512" s="173"/>
      <c r="AR512" s="173"/>
      <c r="AS512" s="173"/>
      <c r="AT512" s="173"/>
      <c r="AU512" s="173"/>
      <c r="AV512" s="173"/>
      <c r="AW512" s="173"/>
      <c r="AX512" s="173"/>
      <c r="AY512" s="173"/>
      <c r="AZ512" s="173"/>
      <c r="BA512" s="173"/>
      <c r="BB512" s="173"/>
      <c r="BC512" s="173"/>
      <c r="BD512" s="173"/>
      <c r="BE512" s="173"/>
      <c r="BF512" s="173"/>
      <c r="BG512" s="173"/>
      <c r="BH512" s="173"/>
      <c r="BI512" s="173"/>
      <c r="BJ512" s="173"/>
      <c r="BK512" s="173"/>
      <c r="BL512" s="173"/>
      <c r="BM512" s="173"/>
      <c r="BN512" s="173"/>
      <c r="BO512" s="173"/>
      <c r="BP512" s="173"/>
      <c r="BQ512" s="173"/>
      <c r="BR512" s="173"/>
      <c r="BS512" s="173"/>
      <c r="BT512" s="173"/>
      <c r="BU512" s="173"/>
      <c r="BV512" s="173"/>
      <c r="BW512" s="173"/>
      <c r="BX512" s="173"/>
      <c r="BY512" s="173"/>
    </row>
    <row r="513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  <c r="AQ513" s="173"/>
      <c r="AR513" s="173"/>
      <c r="AS513" s="173"/>
      <c r="AT513" s="173"/>
      <c r="AU513" s="173"/>
      <c r="AV513" s="173"/>
      <c r="AW513" s="173"/>
      <c r="AX513" s="173"/>
      <c r="AY513" s="173"/>
      <c r="AZ513" s="173"/>
      <c r="BA513" s="173"/>
      <c r="BB513" s="173"/>
      <c r="BC513" s="173"/>
      <c r="BD513" s="173"/>
      <c r="BE513" s="173"/>
      <c r="BF513" s="173"/>
      <c r="BG513" s="173"/>
      <c r="BH513" s="173"/>
      <c r="BI513" s="173"/>
      <c r="BJ513" s="173"/>
      <c r="BK513" s="173"/>
      <c r="BL513" s="173"/>
      <c r="BM513" s="173"/>
      <c r="BN513" s="173"/>
      <c r="BO513" s="173"/>
      <c r="BP513" s="173"/>
      <c r="BQ513" s="173"/>
      <c r="BR513" s="173"/>
      <c r="BS513" s="173"/>
      <c r="BT513" s="173"/>
      <c r="BU513" s="173"/>
      <c r="BV513" s="173"/>
      <c r="BW513" s="173"/>
      <c r="BX513" s="173"/>
      <c r="BY513" s="173"/>
    </row>
    <row r="514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  <c r="AQ514" s="173"/>
      <c r="AR514" s="173"/>
      <c r="AS514" s="173"/>
      <c r="AT514" s="173"/>
      <c r="AU514" s="173"/>
      <c r="AV514" s="173"/>
      <c r="AW514" s="173"/>
      <c r="AX514" s="173"/>
      <c r="AY514" s="173"/>
      <c r="AZ514" s="173"/>
      <c r="BA514" s="173"/>
      <c r="BB514" s="173"/>
      <c r="BC514" s="173"/>
      <c r="BD514" s="173"/>
      <c r="BE514" s="173"/>
      <c r="BF514" s="173"/>
      <c r="BG514" s="173"/>
      <c r="BH514" s="173"/>
      <c r="BI514" s="173"/>
      <c r="BJ514" s="173"/>
      <c r="BK514" s="173"/>
      <c r="BL514" s="173"/>
      <c r="BM514" s="173"/>
      <c r="BN514" s="173"/>
      <c r="BO514" s="173"/>
      <c r="BP514" s="173"/>
      <c r="BQ514" s="173"/>
      <c r="BR514" s="173"/>
      <c r="BS514" s="173"/>
      <c r="BT514" s="173"/>
      <c r="BU514" s="173"/>
      <c r="BV514" s="173"/>
      <c r="BW514" s="173"/>
      <c r="BX514" s="173"/>
      <c r="BY514" s="173"/>
    </row>
    <row r="515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  <c r="AQ515" s="173"/>
      <c r="AR515" s="173"/>
      <c r="AS515" s="173"/>
      <c r="AT515" s="173"/>
      <c r="AU515" s="173"/>
      <c r="AV515" s="173"/>
      <c r="AW515" s="173"/>
      <c r="AX515" s="173"/>
      <c r="AY515" s="173"/>
      <c r="AZ515" s="173"/>
      <c r="BA515" s="173"/>
      <c r="BB515" s="173"/>
      <c r="BC515" s="173"/>
      <c r="BD515" s="173"/>
      <c r="BE515" s="173"/>
      <c r="BF515" s="173"/>
      <c r="BG515" s="173"/>
      <c r="BH515" s="173"/>
      <c r="BI515" s="173"/>
      <c r="BJ515" s="173"/>
      <c r="BK515" s="173"/>
      <c r="BL515" s="173"/>
      <c r="BM515" s="173"/>
      <c r="BN515" s="173"/>
      <c r="BO515" s="173"/>
      <c r="BP515" s="173"/>
      <c r="BQ515" s="173"/>
      <c r="BR515" s="173"/>
      <c r="BS515" s="173"/>
      <c r="BT515" s="173"/>
      <c r="BU515" s="173"/>
      <c r="BV515" s="173"/>
      <c r="BW515" s="173"/>
      <c r="BX515" s="173"/>
      <c r="BY515" s="173"/>
    </row>
    <row r="516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  <c r="AQ516" s="173"/>
      <c r="AR516" s="173"/>
      <c r="AS516" s="173"/>
      <c r="AT516" s="173"/>
      <c r="AU516" s="173"/>
      <c r="AV516" s="173"/>
      <c r="AW516" s="173"/>
      <c r="AX516" s="173"/>
      <c r="AY516" s="173"/>
      <c r="AZ516" s="173"/>
      <c r="BA516" s="173"/>
      <c r="BB516" s="173"/>
      <c r="BC516" s="173"/>
      <c r="BD516" s="173"/>
      <c r="BE516" s="173"/>
      <c r="BF516" s="173"/>
      <c r="BG516" s="173"/>
      <c r="BH516" s="173"/>
      <c r="BI516" s="173"/>
      <c r="BJ516" s="173"/>
      <c r="BK516" s="173"/>
      <c r="BL516" s="173"/>
      <c r="BM516" s="173"/>
      <c r="BN516" s="173"/>
      <c r="BO516" s="173"/>
      <c r="BP516" s="173"/>
      <c r="BQ516" s="173"/>
      <c r="BR516" s="173"/>
      <c r="BS516" s="173"/>
      <c r="BT516" s="173"/>
      <c r="BU516" s="173"/>
      <c r="BV516" s="173"/>
      <c r="BW516" s="173"/>
      <c r="BX516" s="173"/>
      <c r="BY516" s="173"/>
    </row>
    <row r="517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  <c r="AQ517" s="173"/>
      <c r="AR517" s="173"/>
      <c r="AS517" s="173"/>
      <c r="AT517" s="173"/>
      <c r="AU517" s="173"/>
      <c r="AV517" s="173"/>
      <c r="AW517" s="173"/>
      <c r="AX517" s="173"/>
      <c r="AY517" s="173"/>
      <c r="AZ517" s="173"/>
      <c r="BA517" s="173"/>
      <c r="BB517" s="173"/>
      <c r="BC517" s="173"/>
      <c r="BD517" s="173"/>
      <c r="BE517" s="173"/>
      <c r="BF517" s="173"/>
      <c r="BG517" s="173"/>
      <c r="BH517" s="173"/>
      <c r="BI517" s="173"/>
      <c r="BJ517" s="173"/>
      <c r="BK517" s="173"/>
      <c r="BL517" s="173"/>
      <c r="BM517" s="173"/>
      <c r="BN517" s="173"/>
      <c r="BO517" s="173"/>
      <c r="BP517" s="173"/>
      <c r="BQ517" s="173"/>
      <c r="BR517" s="173"/>
      <c r="BS517" s="173"/>
      <c r="BT517" s="173"/>
      <c r="BU517" s="173"/>
      <c r="BV517" s="173"/>
      <c r="BW517" s="173"/>
      <c r="BX517" s="173"/>
      <c r="BY517" s="173"/>
    </row>
    <row r="518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  <c r="AQ518" s="173"/>
      <c r="AR518" s="173"/>
      <c r="AS518" s="173"/>
      <c r="AT518" s="173"/>
      <c r="AU518" s="173"/>
      <c r="AV518" s="173"/>
      <c r="AW518" s="173"/>
      <c r="AX518" s="173"/>
      <c r="AY518" s="173"/>
      <c r="AZ518" s="173"/>
      <c r="BA518" s="173"/>
      <c r="BB518" s="173"/>
      <c r="BC518" s="173"/>
      <c r="BD518" s="173"/>
      <c r="BE518" s="173"/>
      <c r="BF518" s="173"/>
      <c r="BG518" s="173"/>
      <c r="BH518" s="173"/>
      <c r="BI518" s="173"/>
      <c r="BJ518" s="173"/>
      <c r="BK518" s="173"/>
      <c r="BL518" s="173"/>
      <c r="BM518" s="173"/>
      <c r="BN518" s="173"/>
      <c r="BO518" s="173"/>
      <c r="BP518" s="173"/>
      <c r="BQ518" s="173"/>
      <c r="BR518" s="173"/>
      <c r="BS518" s="173"/>
      <c r="BT518" s="173"/>
      <c r="BU518" s="173"/>
      <c r="BV518" s="173"/>
      <c r="BW518" s="173"/>
      <c r="BX518" s="173"/>
      <c r="BY518" s="173"/>
    </row>
    <row r="519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  <c r="AQ519" s="173"/>
      <c r="AR519" s="173"/>
      <c r="AS519" s="173"/>
      <c r="AT519" s="173"/>
      <c r="AU519" s="173"/>
      <c r="AV519" s="173"/>
      <c r="AW519" s="173"/>
      <c r="AX519" s="173"/>
      <c r="AY519" s="173"/>
      <c r="AZ519" s="173"/>
      <c r="BA519" s="173"/>
      <c r="BB519" s="173"/>
      <c r="BC519" s="173"/>
      <c r="BD519" s="173"/>
      <c r="BE519" s="173"/>
      <c r="BF519" s="173"/>
      <c r="BG519" s="173"/>
      <c r="BH519" s="173"/>
      <c r="BI519" s="173"/>
      <c r="BJ519" s="173"/>
      <c r="BK519" s="173"/>
      <c r="BL519" s="173"/>
      <c r="BM519" s="173"/>
      <c r="BN519" s="173"/>
      <c r="BO519" s="173"/>
      <c r="BP519" s="173"/>
      <c r="BQ519" s="173"/>
      <c r="BR519" s="173"/>
      <c r="BS519" s="173"/>
      <c r="BT519" s="173"/>
      <c r="BU519" s="173"/>
      <c r="BV519" s="173"/>
      <c r="BW519" s="173"/>
      <c r="BX519" s="173"/>
      <c r="BY519" s="173"/>
    </row>
    <row r="520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  <c r="AQ520" s="173"/>
      <c r="AR520" s="173"/>
      <c r="AS520" s="173"/>
      <c r="AT520" s="173"/>
      <c r="AU520" s="173"/>
      <c r="AV520" s="173"/>
      <c r="AW520" s="173"/>
      <c r="AX520" s="173"/>
      <c r="AY520" s="173"/>
      <c r="AZ520" s="173"/>
      <c r="BA520" s="173"/>
      <c r="BB520" s="173"/>
      <c r="BC520" s="173"/>
      <c r="BD520" s="173"/>
      <c r="BE520" s="173"/>
      <c r="BF520" s="173"/>
      <c r="BG520" s="173"/>
      <c r="BH520" s="173"/>
      <c r="BI520" s="173"/>
      <c r="BJ520" s="173"/>
      <c r="BK520" s="173"/>
      <c r="BL520" s="173"/>
      <c r="BM520" s="173"/>
      <c r="BN520" s="173"/>
      <c r="BO520" s="173"/>
      <c r="BP520" s="173"/>
      <c r="BQ520" s="173"/>
      <c r="BR520" s="173"/>
      <c r="BS520" s="173"/>
      <c r="BT520" s="173"/>
      <c r="BU520" s="173"/>
      <c r="BV520" s="173"/>
      <c r="BW520" s="173"/>
      <c r="BX520" s="173"/>
      <c r="BY520" s="173"/>
    </row>
    <row r="52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  <c r="AQ521" s="173"/>
      <c r="AR521" s="173"/>
      <c r="AS521" s="173"/>
      <c r="AT521" s="173"/>
      <c r="AU521" s="173"/>
      <c r="AV521" s="173"/>
      <c r="AW521" s="173"/>
      <c r="AX521" s="173"/>
      <c r="AY521" s="173"/>
      <c r="AZ521" s="173"/>
      <c r="BA521" s="173"/>
      <c r="BB521" s="173"/>
      <c r="BC521" s="173"/>
      <c r="BD521" s="173"/>
      <c r="BE521" s="173"/>
      <c r="BF521" s="173"/>
      <c r="BG521" s="173"/>
      <c r="BH521" s="173"/>
      <c r="BI521" s="173"/>
      <c r="BJ521" s="173"/>
      <c r="BK521" s="173"/>
      <c r="BL521" s="173"/>
      <c r="BM521" s="173"/>
      <c r="BN521" s="173"/>
      <c r="BO521" s="173"/>
      <c r="BP521" s="173"/>
      <c r="BQ521" s="173"/>
      <c r="BR521" s="173"/>
      <c r="BS521" s="173"/>
      <c r="BT521" s="173"/>
      <c r="BU521" s="173"/>
      <c r="BV521" s="173"/>
      <c r="BW521" s="173"/>
      <c r="BX521" s="173"/>
      <c r="BY521" s="173"/>
    </row>
    <row r="522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  <c r="AQ522" s="173"/>
      <c r="AR522" s="173"/>
      <c r="AS522" s="173"/>
      <c r="AT522" s="173"/>
      <c r="AU522" s="173"/>
      <c r="AV522" s="173"/>
      <c r="AW522" s="173"/>
      <c r="AX522" s="173"/>
      <c r="AY522" s="173"/>
      <c r="AZ522" s="173"/>
      <c r="BA522" s="173"/>
      <c r="BB522" s="173"/>
      <c r="BC522" s="173"/>
      <c r="BD522" s="173"/>
      <c r="BE522" s="173"/>
      <c r="BF522" s="173"/>
      <c r="BG522" s="173"/>
      <c r="BH522" s="173"/>
      <c r="BI522" s="173"/>
      <c r="BJ522" s="173"/>
      <c r="BK522" s="173"/>
      <c r="BL522" s="173"/>
      <c r="BM522" s="173"/>
      <c r="BN522" s="173"/>
      <c r="BO522" s="173"/>
      <c r="BP522" s="173"/>
      <c r="BQ522" s="173"/>
      <c r="BR522" s="173"/>
      <c r="BS522" s="173"/>
      <c r="BT522" s="173"/>
      <c r="BU522" s="173"/>
      <c r="BV522" s="173"/>
      <c r="BW522" s="173"/>
      <c r="BX522" s="173"/>
      <c r="BY522" s="173"/>
    </row>
    <row r="523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  <c r="AQ523" s="173"/>
      <c r="AR523" s="173"/>
      <c r="AS523" s="173"/>
      <c r="AT523" s="173"/>
      <c r="AU523" s="173"/>
      <c r="AV523" s="173"/>
      <c r="AW523" s="173"/>
      <c r="AX523" s="173"/>
      <c r="AY523" s="173"/>
      <c r="AZ523" s="173"/>
      <c r="BA523" s="173"/>
      <c r="BB523" s="173"/>
      <c r="BC523" s="173"/>
      <c r="BD523" s="173"/>
      <c r="BE523" s="173"/>
      <c r="BF523" s="173"/>
      <c r="BG523" s="173"/>
      <c r="BH523" s="173"/>
      <c r="BI523" s="173"/>
      <c r="BJ523" s="173"/>
      <c r="BK523" s="173"/>
      <c r="BL523" s="173"/>
      <c r="BM523" s="173"/>
      <c r="BN523" s="173"/>
      <c r="BO523" s="173"/>
      <c r="BP523" s="173"/>
      <c r="BQ523" s="173"/>
      <c r="BR523" s="173"/>
      <c r="BS523" s="173"/>
      <c r="BT523" s="173"/>
      <c r="BU523" s="173"/>
      <c r="BV523" s="173"/>
      <c r="BW523" s="173"/>
      <c r="BX523" s="173"/>
      <c r="BY523" s="173"/>
    </row>
    <row r="524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  <c r="AQ524" s="173"/>
      <c r="AR524" s="173"/>
      <c r="AS524" s="173"/>
      <c r="AT524" s="173"/>
      <c r="AU524" s="173"/>
      <c r="AV524" s="173"/>
      <c r="AW524" s="173"/>
      <c r="AX524" s="173"/>
      <c r="AY524" s="173"/>
      <c r="AZ524" s="173"/>
      <c r="BA524" s="173"/>
      <c r="BB524" s="173"/>
      <c r="BC524" s="173"/>
      <c r="BD524" s="173"/>
      <c r="BE524" s="173"/>
      <c r="BF524" s="173"/>
      <c r="BG524" s="173"/>
      <c r="BH524" s="173"/>
      <c r="BI524" s="173"/>
      <c r="BJ524" s="173"/>
      <c r="BK524" s="173"/>
      <c r="BL524" s="173"/>
      <c r="BM524" s="173"/>
      <c r="BN524" s="173"/>
      <c r="BO524" s="173"/>
      <c r="BP524" s="173"/>
      <c r="BQ524" s="173"/>
      <c r="BR524" s="173"/>
      <c r="BS524" s="173"/>
      <c r="BT524" s="173"/>
      <c r="BU524" s="173"/>
      <c r="BV524" s="173"/>
      <c r="BW524" s="173"/>
      <c r="BX524" s="173"/>
      <c r="BY524" s="173"/>
    </row>
    <row r="525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  <c r="AQ525" s="173"/>
      <c r="AR525" s="173"/>
      <c r="AS525" s="173"/>
      <c r="AT525" s="173"/>
      <c r="AU525" s="173"/>
      <c r="AV525" s="173"/>
      <c r="AW525" s="173"/>
      <c r="AX525" s="173"/>
      <c r="AY525" s="173"/>
      <c r="AZ525" s="173"/>
      <c r="BA525" s="173"/>
      <c r="BB525" s="173"/>
      <c r="BC525" s="173"/>
      <c r="BD525" s="173"/>
      <c r="BE525" s="173"/>
      <c r="BF525" s="173"/>
      <c r="BG525" s="173"/>
      <c r="BH525" s="173"/>
      <c r="BI525" s="173"/>
      <c r="BJ525" s="173"/>
      <c r="BK525" s="173"/>
      <c r="BL525" s="173"/>
      <c r="BM525" s="173"/>
      <c r="BN525" s="173"/>
      <c r="BO525" s="173"/>
      <c r="BP525" s="173"/>
      <c r="BQ525" s="173"/>
      <c r="BR525" s="173"/>
      <c r="BS525" s="173"/>
      <c r="BT525" s="173"/>
      <c r="BU525" s="173"/>
      <c r="BV525" s="173"/>
      <c r="BW525" s="173"/>
      <c r="BX525" s="173"/>
      <c r="BY525" s="173"/>
    </row>
    <row r="526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  <c r="AQ526" s="173"/>
      <c r="AR526" s="173"/>
      <c r="AS526" s="173"/>
      <c r="AT526" s="173"/>
      <c r="AU526" s="173"/>
      <c r="AV526" s="173"/>
      <c r="AW526" s="173"/>
      <c r="AX526" s="173"/>
      <c r="AY526" s="173"/>
      <c r="AZ526" s="173"/>
      <c r="BA526" s="173"/>
      <c r="BB526" s="173"/>
      <c r="BC526" s="173"/>
      <c r="BD526" s="173"/>
      <c r="BE526" s="173"/>
      <c r="BF526" s="173"/>
      <c r="BG526" s="173"/>
      <c r="BH526" s="173"/>
      <c r="BI526" s="173"/>
      <c r="BJ526" s="173"/>
      <c r="BK526" s="173"/>
      <c r="BL526" s="173"/>
      <c r="BM526" s="173"/>
      <c r="BN526" s="173"/>
      <c r="BO526" s="173"/>
      <c r="BP526" s="173"/>
      <c r="BQ526" s="173"/>
      <c r="BR526" s="173"/>
      <c r="BS526" s="173"/>
      <c r="BT526" s="173"/>
      <c r="BU526" s="173"/>
      <c r="BV526" s="173"/>
      <c r="BW526" s="173"/>
      <c r="BX526" s="173"/>
      <c r="BY526" s="173"/>
    </row>
    <row r="527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  <c r="AQ527" s="173"/>
      <c r="AR527" s="173"/>
      <c r="AS527" s="173"/>
      <c r="AT527" s="173"/>
      <c r="AU527" s="173"/>
      <c r="AV527" s="173"/>
      <c r="AW527" s="173"/>
      <c r="AX527" s="173"/>
      <c r="AY527" s="173"/>
      <c r="AZ527" s="173"/>
      <c r="BA527" s="173"/>
      <c r="BB527" s="173"/>
      <c r="BC527" s="173"/>
      <c r="BD527" s="173"/>
      <c r="BE527" s="173"/>
      <c r="BF527" s="173"/>
      <c r="BG527" s="173"/>
      <c r="BH527" s="173"/>
      <c r="BI527" s="173"/>
      <c r="BJ527" s="173"/>
      <c r="BK527" s="173"/>
      <c r="BL527" s="173"/>
      <c r="BM527" s="173"/>
      <c r="BN527" s="173"/>
      <c r="BO527" s="173"/>
      <c r="BP527" s="173"/>
      <c r="BQ527" s="173"/>
      <c r="BR527" s="173"/>
      <c r="BS527" s="173"/>
      <c r="BT527" s="173"/>
      <c r="BU527" s="173"/>
      <c r="BV527" s="173"/>
      <c r="BW527" s="173"/>
      <c r="BX527" s="173"/>
      <c r="BY527" s="173"/>
    </row>
    <row r="528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  <c r="AQ528" s="173"/>
      <c r="AR528" s="173"/>
      <c r="AS528" s="173"/>
      <c r="AT528" s="173"/>
      <c r="AU528" s="173"/>
      <c r="AV528" s="173"/>
      <c r="AW528" s="173"/>
      <c r="AX528" s="173"/>
      <c r="AY528" s="173"/>
      <c r="AZ528" s="173"/>
      <c r="BA528" s="173"/>
      <c r="BB528" s="173"/>
      <c r="BC528" s="173"/>
      <c r="BD528" s="173"/>
      <c r="BE528" s="173"/>
      <c r="BF528" s="173"/>
      <c r="BG528" s="173"/>
      <c r="BH528" s="173"/>
      <c r="BI528" s="173"/>
      <c r="BJ528" s="173"/>
      <c r="BK528" s="173"/>
      <c r="BL528" s="173"/>
      <c r="BM528" s="173"/>
      <c r="BN528" s="173"/>
      <c r="BO528" s="173"/>
      <c r="BP528" s="173"/>
      <c r="BQ528" s="173"/>
      <c r="BR528" s="173"/>
      <c r="BS528" s="173"/>
      <c r="BT528" s="173"/>
      <c r="BU528" s="173"/>
      <c r="BV528" s="173"/>
      <c r="BW528" s="173"/>
      <c r="BX528" s="173"/>
      <c r="BY528" s="173"/>
    </row>
    <row r="529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  <c r="AQ529" s="173"/>
      <c r="AR529" s="173"/>
      <c r="AS529" s="173"/>
      <c r="AT529" s="173"/>
      <c r="AU529" s="173"/>
      <c r="AV529" s="173"/>
      <c r="AW529" s="173"/>
      <c r="AX529" s="173"/>
      <c r="AY529" s="173"/>
      <c r="AZ529" s="173"/>
      <c r="BA529" s="173"/>
      <c r="BB529" s="173"/>
      <c r="BC529" s="173"/>
      <c r="BD529" s="173"/>
      <c r="BE529" s="173"/>
      <c r="BF529" s="173"/>
      <c r="BG529" s="173"/>
      <c r="BH529" s="173"/>
      <c r="BI529" s="173"/>
      <c r="BJ529" s="173"/>
      <c r="BK529" s="173"/>
      <c r="BL529" s="173"/>
      <c r="BM529" s="173"/>
      <c r="BN529" s="173"/>
      <c r="BO529" s="173"/>
      <c r="BP529" s="173"/>
      <c r="BQ529" s="173"/>
      <c r="BR529" s="173"/>
      <c r="BS529" s="173"/>
      <c r="BT529" s="173"/>
      <c r="BU529" s="173"/>
      <c r="BV529" s="173"/>
      <c r="BW529" s="173"/>
      <c r="BX529" s="173"/>
      <c r="BY529" s="173"/>
    </row>
    <row r="530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  <c r="AQ530" s="173"/>
      <c r="AR530" s="173"/>
      <c r="AS530" s="173"/>
      <c r="AT530" s="173"/>
      <c r="AU530" s="173"/>
      <c r="AV530" s="173"/>
      <c r="AW530" s="173"/>
      <c r="AX530" s="173"/>
      <c r="AY530" s="173"/>
      <c r="AZ530" s="173"/>
      <c r="BA530" s="173"/>
      <c r="BB530" s="173"/>
      <c r="BC530" s="173"/>
      <c r="BD530" s="173"/>
      <c r="BE530" s="173"/>
      <c r="BF530" s="173"/>
      <c r="BG530" s="173"/>
      <c r="BH530" s="173"/>
      <c r="BI530" s="173"/>
      <c r="BJ530" s="173"/>
      <c r="BK530" s="173"/>
      <c r="BL530" s="173"/>
      <c r="BM530" s="173"/>
      <c r="BN530" s="173"/>
      <c r="BO530" s="173"/>
      <c r="BP530" s="173"/>
      <c r="BQ530" s="173"/>
      <c r="BR530" s="173"/>
      <c r="BS530" s="173"/>
      <c r="BT530" s="173"/>
      <c r="BU530" s="173"/>
      <c r="BV530" s="173"/>
      <c r="BW530" s="173"/>
      <c r="BX530" s="173"/>
      <c r="BY530" s="173"/>
    </row>
    <row r="53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  <c r="AQ531" s="173"/>
      <c r="AR531" s="173"/>
      <c r="AS531" s="173"/>
      <c r="AT531" s="173"/>
      <c r="AU531" s="173"/>
      <c r="AV531" s="173"/>
      <c r="AW531" s="173"/>
      <c r="AX531" s="173"/>
      <c r="AY531" s="173"/>
      <c r="AZ531" s="173"/>
      <c r="BA531" s="173"/>
      <c r="BB531" s="173"/>
      <c r="BC531" s="173"/>
      <c r="BD531" s="173"/>
      <c r="BE531" s="173"/>
      <c r="BF531" s="173"/>
      <c r="BG531" s="173"/>
      <c r="BH531" s="173"/>
      <c r="BI531" s="173"/>
      <c r="BJ531" s="173"/>
      <c r="BK531" s="173"/>
      <c r="BL531" s="173"/>
      <c r="BM531" s="173"/>
      <c r="BN531" s="173"/>
      <c r="BO531" s="173"/>
      <c r="BP531" s="173"/>
      <c r="BQ531" s="173"/>
      <c r="BR531" s="173"/>
      <c r="BS531" s="173"/>
      <c r="BT531" s="173"/>
      <c r="BU531" s="173"/>
      <c r="BV531" s="173"/>
      <c r="BW531" s="173"/>
      <c r="BX531" s="173"/>
      <c r="BY531" s="173"/>
    </row>
    <row r="532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3"/>
      <c r="AT532" s="173"/>
      <c r="AU532" s="173"/>
      <c r="AV532" s="173"/>
      <c r="AW532" s="173"/>
      <c r="AX532" s="173"/>
      <c r="AY532" s="173"/>
      <c r="AZ532" s="173"/>
      <c r="BA532" s="173"/>
      <c r="BB532" s="173"/>
      <c r="BC532" s="173"/>
      <c r="BD532" s="173"/>
      <c r="BE532" s="173"/>
      <c r="BF532" s="173"/>
      <c r="BG532" s="173"/>
      <c r="BH532" s="173"/>
      <c r="BI532" s="173"/>
      <c r="BJ532" s="173"/>
      <c r="BK532" s="173"/>
      <c r="BL532" s="173"/>
      <c r="BM532" s="173"/>
      <c r="BN532" s="173"/>
      <c r="BO532" s="173"/>
      <c r="BP532" s="173"/>
      <c r="BQ532" s="173"/>
      <c r="BR532" s="173"/>
      <c r="BS532" s="173"/>
      <c r="BT532" s="173"/>
      <c r="BU532" s="173"/>
      <c r="BV532" s="173"/>
      <c r="BW532" s="173"/>
      <c r="BX532" s="173"/>
      <c r="BY532" s="173"/>
    </row>
    <row r="533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  <c r="AQ533" s="173"/>
      <c r="AR533" s="173"/>
      <c r="AS533" s="173"/>
      <c r="AT533" s="173"/>
      <c r="AU533" s="173"/>
      <c r="AV533" s="173"/>
      <c r="AW533" s="173"/>
      <c r="AX533" s="173"/>
      <c r="AY533" s="173"/>
      <c r="AZ533" s="173"/>
      <c r="BA533" s="173"/>
      <c r="BB533" s="173"/>
      <c r="BC533" s="173"/>
      <c r="BD533" s="173"/>
      <c r="BE533" s="173"/>
      <c r="BF533" s="173"/>
      <c r="BG533" s="173"/>
      <c r="BH533" s="173"/>
      <c r="BI533" s="173"/>
      <c r="BJ533" s="173"/>
      <c r="BK533" s="173"/>
      <c r="BL533" s="173"/>
      <c r="BM533" s="173"/>
      <c r="BN533" s="173"/>
      <c r="BO533" s="173"/>
      <c r="BP533" s="173"/>
      <c r="BQ533" s="173"/>
      <c r="BR533" s="173"/>
      <c r="BS533" s="173"/>
      <c r="BT533" s="173"/>
      <c r="BU533" s="173"/>
      <c r="BV533" s="173"/>
      <c r="BW533" s="173"/>
      <c r="BX533" s="173"/>
      <c r="BY533" s="173"/>
    </row>
    <row r="534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  <c r="AQ534" s="173"/>
      <c r="AR534" s="173"/>
      <c r="AS534" s="173"/>
      <c r="AT534" s="173"/>
      <c r="AU534" s="173"/>
      <c r="AV534" s="173"/>
      <c r="AW534" s="173"/>
      <c r="AX534" s="173"/>
      <c r="AY534" s="173"/>
      <c r="AZ534" s="173"/>
      <c r="BA534" s="173"/>
      <c r="BB534" s="173"/>
      <c r="BC534" s="173"/>
      <c r="BD534" s="173"/>
      <c r="BE534" s="173"/>
      <c r="BF534" s="173"/>
      <c r="BG534" s="173"/>
      <c r="BH534" s="173"/>
      <c r="BI534" s="173"/>
      <c r="BJ534" s="173"/>
      <c r="BK534" s="173"/>
      <c r="BL534" s="173"/>
      <c r="BM534" s="173"/>
      <c r="BN534" s="173"/>
      <c r="BO534" s="173"/>
      <c r="BP534" s="173"/>
      <c r="BQ534" s="173"/>
      <c r="BR534" s="173"/>
      <c r="BS534" s="173"/>
      <c r="BT534" s="173"/>
      <c r="BU534" s="173"/>
      <c r="BV534" s="173"/>
      <c r="BW534" s="173"/>
      <c r="BX534" s="173"/>
      <c r="BY534" s="173"/>
    </row>
    <row r="535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  <c r="AQ535" s="173"/>
      <c r="AR535" s="173"/>
      <c r="AS535" s="173"/>
      <c r="AT535" s="173"/>
      <c r="AU535" s="173"/>
      <c r="AV535" s="173"/>
      <c r="AW535" s="173"/>
      <c r="AX535" s="173"/>
      <c r="AY535" s="173"/>
      <c r="AZ535" s="173"/>
      <c r="BA535" s="173"/>
      <c r="BB535" s="173"/>
      <c r="BC535" s="173"/>
      <c r="BD535" s="173"/>
      <c r="BE535" s="173"/>
      <c r="BF535" s="173"/>
      <c r="BG535" s="173"/>
      <c r="BH535" s="173"/>
      <c r="BI535" s="173"/>
      <c r="BJ535" s="173"/>
      <c r="BK535" s="173"/>
      <c r="BL535" s="173"/>
      <c r="BM535" s="173"/>
      <c r="BN535" s="173"/>
      <c r="BO535" s="173"/>
      <c r="BP535" s="173"/>
      <c r="BQ535" s="173"/>
      <c r="BR535" s="173"/>
      <c r="BS535" s="173"/>
      <c r="BT535" s="173"/>
      <c r="BU535" s="173"/>
      <c r="BV535" s="173"/>
      <c r="BW535" s="173"/>
      <c r="BX535" s="173"/>
      <c r="BY535" s="173"/>
    </row>
    <row r="536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  <c r="AQ536" s="173"/>
      <c r="AR536" s="173"/>
      <c r="AS536" s="173"/>
      <c r="AT536" s="173"/>
      <c r="AU536" s="173"/>
      <c r="AV536" s="173"/>
      <c r="AW536" s="173"/>
      <c r="AX536" s="173"/>
      <c r="AY536" s="173"/>
      <c r="AZ536" s="173"/>
      <c r="BA536" s="173"/>
      <c r="BB536" s="173"/>
      <c r="BC536" s="173"/>
      <c r="BD536" s="173"/>
      <c r="BE536" s="173"/>
      <c r="BF536" s="173"/>
      <c r="BG536" s="173"/>
      <c r="BH536" s="173"/>
      <c r="BI536" s="173"/>
      <c r="BJ536" s="173"/>
      <c r="BK536" s="173"/>
      <c r="BL536" s="173"/>
      <c r="BM536" s="173"/>
      <c r="BN536" s="173"/>
      <c r="BO536" s="173"/>
      <c r="BP536" s="173"/>
      <c r="BQ536" s="173"/>
      <c r="BR536" s="173"/>
      <c r="BS536" s="173"/>
      <c r="BT536" s="173"/>
      <c r="BU536" s="173"/>
      <c r="BV536" s="173"/>
      <c r="BW536" s="173"/>
      <c r="BX536" s="173"/>
      <c r="BY536" s="173"/>
    </row>
    <row r="537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  <c r="AQ537" s="173"/>
      <c r="AR537" s="173"/>
      <c r="AS537" s="173"/>
      <c r="AT537" s="173"/>
      <c r="AU537" s="173"/>
      <c r="AV537" s="173"/>
      <c r="AW537" s="173"/>
      <c r="AX537" s="173"/>
      <c r="AY537" s="173"/>
      <c r="AZ537" s="173"/>
      <c r="BA537" s="173"/>
      <c r="BB537" s="173"/>
      <c r="BC537" s="173"/>
      <c r="BD537" s="173"/>
      <c r="BE537" s="173"/>
      <c r="BF537" s="173"/>
      <c r="BG537" s="173"/>
      <c r="BH537" s="173"/>
      <c r="BI537" s="173"/>
      <c r="BJ537" s="173"/>
      <c r="BK537" s="173"/>
      <c r="BL537" s="173"/>
      <c r="BM537" s="173"/>
      <c r="BN537" s="173"/>
      <c r="BO537" s="173"/>
      <c r="BP537" s="173"/>
      <c r="BQ537" s="173"/>
      <c r="BR537" s="173"/>
      <c r="BS537" s="173"/>
      <c r="BT537" s="173"/>
      <c r="BU537" s="173"/>
      <c r="BV537" s="173"/>
      <c r="BW537" s="173"/>
      <c r="BX537" s="173"/>
      <c r="BY537" s="173"/>
    </row>
    <row r="538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  <c r="AQ538" s="173"/>
      <c r="AR538" s="173"/>
      <c r="AS538" s="173"/>
      <c r="AT538" s="173"/>
      <c r="AU538" s="173"/>
      <c r="AV538" s="173"/>
      <c r="AW538" s="173"/>
      <c r="AX538" s="173"/>
      <c r="AY538" s="173"/>
      <c r="AZ538" s="173"/>
      <c r="BA538" s="173"/>
      <c r="BB538" s="173"/>
      <c r="BC538" s="173"/>
      <c r="BD538" s="173"/>
      <c r="BE538" s="173"/>
      <c r="BF538" s="173"/>
      <c r="BG538" s="173"/>
      <c r="BH538" s="173"/>
      <c r="BI538" s="173"/>
      <c r="BJ538" s="173"/>
      <c r="BK538" s="173"/>
      <c r="BL538" s="173"/>
      <c r="BM538" s="173"/>
      <c r="BN538" s="173"/>
      <c r="BO538" s="173"/>
      <c r="BP538" s="173"/>
      <c r="BQ538" s="173"/>
      <c r="BR538" s="173"/>
      <c r="BS538" s="173"/>
      <c r="BT538" s="173"/>
      <c r="BU538" s="173"/>
      <c r="BV538" s="173"/>
      <c r="BW538" s="173"/>
      <c r="BX538" s="173"/>
      <c r="BY538" s="173"/>
    </row>
    <row r="539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  <c r="AQ539" s="173"/>
      <c r="AR539" s="173"/>
      <c r="AS539" s="173"/>
      <c r="AT539" s="173"/>
      <c r="AU539" s="173"/>
      <c r="AV539" s="173"/>
      <c r="AW539" s="173"/>
      <c r="AX539" s="173"/>
      <c r="AY539" s="173"/>
      <c r="AZ539" s="173"/>
      <c r="BA539" s="173"/>
      <c r="BB539" s="173"/>
      <c r="BC539" s="173"/>
      <c r="BD539" s="173"/>
      <c r="BE539" s="173"/>
      <c r="BF539" s="173"/>
      <c r="BG539" s="173"/>
      <c r="BH539" s="173"/>
      <c r="BI539" s="173"/>
      <c r="BJ539" s="173"/>
      <c r="BK539" s="173"/>
      <c r="BL539" s="173"/>
      <c r="BM539" s="173"/>
      <c r="BN539" s="173"/>
      <c r="BO539" s="173"/>
      <c r="BP539" s="173"/>
      <c r="BQ539" s="173"/>
      <c r="BR539" s="173"/>
      <c r="BS539" s="173"/>
      <c r="BT539" s="173"/>
      <c r="BU539" s="173"/>
      <c r="BV539" s="173"/>
      <c r="BW539" s="173"/>
      <c r="BX539" s="173"/>
      <c r="BY539" s="173"/>
    </row>
    <row r="540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  <c r="AQ540" s="173"/>
      <c r="AR540" s="173"/>
      <c r="AS540" s="173"/>
      <c r="AT540" s="173"/>
      <c r="AU540" s="173"/>
      <c r="AV540" s="173"/>
      <c r="AW540" s="173"/>
      <c r="AX540" s="173"/>
      <c r="AY540" s="173"/>
      <c r="AZ540" s="173"/>
      <c r="BA540" s="173"/>
      <c r="BB540" s="173"/>
      <c r="BC540" s="173"/>
      <c r="BD540" s="173"/>
      <c r="BE540" s="173"/>
      <c r="BF540" s="173"/>
      <c r="BG540" s="173"/>
      <c r="BH540" s="173"/>
      <c r="BI540" s="173"/>
      <c r="BJ540" s="173"/>
      <c r="BK540" s="173"/>
      <c r="BL540" s="173"/>
      <c r="BM540" s="173"/>
      <c r="BN540" s="173"/>
      <c r="BO540" s="173"/>
      <c r="BP540" s="173"/>
      <c r="BQ540" s="173"/>
      <c r="BR540" s="173"/>
      <c r="BS540" s="173"/>
      <c r="BT540" s="173"/>
      <c r="BU540" s="173"/>
      <c r="BV540" s="173"/>
      <c r="BW540" s="173"/>
      <c r="BX540" s="173"/>
      <c r="BY540" s="173"/>
    </row>
    <row r="54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  <c r="AQ541" s="173"/>
      <c r="AR541" s="173"/>
      <c r="AS541" s="173"/>
      <c r="AT541" s="173"/>
      <c r="AU541" s="173"/>
      <c r="AV541" s="173"/>
      <c r="AW541" s="173"/>
      <c r="AX541" s="173"/>
      <c r="AY541" s="173"/>
      <c r="AZ541" s="173"/>
      <c r="BA541" s="173"/>
      <c r="BB541" s="173"/>
      <c r="BC541" s="173"/>
      <c r="BD541" s="173"/>
      <c r="BE541" s="173"/>
      <c r="BF541" s="173"/>
      <c r="BG541" s="173"/>
      <c r="BH541" s="173"/>
      <c r="BI541" s="173"/>
      <c r="BJ541" s="173"/>
      <c r="BK541" s="173"/>
      <c r="BL541" s="173"/>
      <c r="BM541" s="173"/>
      <c r="BN541" s="173"/>
      <c r="BO541" s="173"/>
      <c r="BP541" s="173"/>
      <c r="BQ541" s="173"/>
      <c r="BR541" s="173"/>
      <c r="BS541" s="173"/>
      <c r="BT541" s="173"/>
      <c r="BU541" s="173"/>
      <c r="BV541" s="173"/>
      <c r="BW541" s="173"/>
      <c r="BX541" s="173"/>
      <c r="BY541" s="173"/>
    </row>
    <row r="542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  <c r="AQ542" s="173"/>
      <c r="AR542" s="173"/>
      <c r="AS542" s="173"/>
      <c r="AT542" s="173"/>
      <c r="AU542" s="173"/>
      <c r="AV542" s="173"/>
      <c r="AW542" s="173"/>
      <c r="AX542" s="173"/>
      <c r="AY542" s="173"/>
      <c r="AZ542" s="173"/>
      <c r="BA542" s="173"/>
      <c r="BB542" s="173"/>
      <c r="BC542" s="173"/>
      <c r="BD542" s="173"/>
      <c r="BE542" s="173"/>
      <c r="BF542" s="173"/>
      <c r="BG542" s="173"/>
      <c r="BH542" s="173"/>
      <c r="BI542" s="173"/>
      <c r="BJ542" s="173"/>
      <c r="BK542" s="173"/>
      <c r="BL542" s="173"/>
      <c r="BM542" s="173"/>
      <c r="BN542" s="173"/>
      <c r="BO542" s="173"/>
      <c r="BP542" s="173"/>
      <c r="BQ542" s="173"/>
      <c r="BR542" s="173"/>
      <c r="BS542" s="173"/>
      <c r="BT542" s="173"/>
      <c r="BU542" s="173"/>
      <c r="BV542" s="173"/>
      <c r="BW542" s="173"/>
      <c r="BX542" s="173"/>
      <c r="BY542" s="173"/>
    </row>
    <row r="543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  <c r="AQ543" s="173"/>
      <c r="AR543" s="173"/>
      <c r="AS543" s="173"/>
      <c r="AT543" s="173"/>
      <c r="AU543" s="173"/>
      <c r="AV543" s="173"/>
      <c r="AW543" s="173"/>
      <c r="AX543" s="173"/>
      <c r="AY543" s="173"/>
      <c r="AZ543" s="173"/>
      <c r="BA543" s="173"/>
      <c r="BB543" s="173"/>
      <c r="BC543" s="173"/>
      <c r="BD543" s="173"/>
      <c r="BE543" s="173"/>
      <c r="BF543" s="173"/>
      <c r="BG543" s="173"/>
      <c r="BH543" s="173"/>
      <c r="BI543" s="173"/>
      <c r="BJ543" s="173"/>
      <c r="BK543" s="173"/>
      <c r="BL543" s="173"/>
      <c r="BM543" s="173"/>
      <c r="BN543" s="173"/>
      <c r="BO543" s="173"/>
      <c r="BP543" s="173"/>
      <c r="BQ543" s="173"/>
      <c r="BR543" s="173"/>
      <c r="BS543" s="173"/>
      <c r="BT543" s="173"/>
      <c r="BU543" s="173"/>
      <c r="BV543" s="173"/>
      <c r="BW543" s="173"/>
      <c r="BX543" s="173"/>
      <c r="BY543" s="173"/>
    </row>
    <row r="544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  <c r="AQ544" s="173"/>
      <c r="AR544" s="173"/>
      <c r="AS544" s="173"/>
      <c r="AT544" s="173"/>
      <c r="AU544" s="173"/>
      <c r="AV544" s="173"/>
      <c r="AW544" s="173"/>
      <c r="AX544" s="173"/>
      <c r="AY544" s="173"/>
      <c r="AZ544" s="173"/>
      <c r="BA544" s="173"/>
      <c r="BB544" s="173"/>
      <c r="BC544" s="173"/>
      <c r="BD544" s="173"/>
      <c r="BE544" s="173"/>
      <c r="BF544" s="173"/>
      <c r="BG544" s="173"/>
      <c r="BH544" s="173"/>
      <c r="BI544" s="173"/>
      <c r="BJ544" s="173"/>
      <c r="BK544" s="173"/>
      <c r="BL544" s="173"/>
      <c r="BM544" s="173"/>
      <c r="BN544" s="173"/>
      <c r="BO544" s="173"/>
      <c r="BP544" s="173"/>
      <c r="BQ544" s="173"/>
      <c r="BR544" s="173"/>
      <c r="BS544" s="173"/>
      <c r="BT544" s="173"/>
      <c r="BU544" s="173"/>
      <c r="BV544" s="173"/>
      <c r="BW544" s="173"/>
      <c r="BX544" s="173"/>
      <c r="BY544" s="173"/>
    </row>
    <row r="545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  <c r="AQ545" s="173"/>
      <c r="AR545" s="173"/>
      <c r="AS545" s="173"/>
      <c r="AT545" s="173"/>
      <c r="AU545" s="173"/>
      <c r="AV545" s="173"/>
      <c r="AW545" s="173"/>
      <c r="AX545" s="173"/>
      <c r="AY545" s="173"/>
      <c r="AZ545" s="173"/>
      <c r="BA545" s="173"/>
      <c r="BB545" s="173"/>
      <c r="BC545" s="173"/>
      <c r="BD545" s="173"/>
      <c r="BE545" s="173"/>
      <c r="BF545" s="173"/>
      <c r="BG545" s="173"/>
      <c r="BH545" s="173"/>
      <c r="BI545" s="173"/>
      <c r="BJ545" s="173"/>
      <c r="BK545" s="173"/>
      <c r="BL545" s="173"/>
      <c r="BM545" s="173"/>
      <c r="BN545" s="173"/>
      <c r="BO545" s="173"/>
      <c r="BP545" s="173"/>
      <c r="BQ545" s="173"/>
      <c r="BR545" s="173"/>
      <c r="BS545" s="173"/>
      <c r="BT545" s="173"/>
      <c r="BU545" s="173"/>
      <c r="BV545" s="173"/>
      <c r="BW545" s="173"/>
      <c r="BX545" s="173"/>
      <c r="BY545" s="173"/>
    </row>
    <row r="546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  <c r="AQ546" s="173"/>
      <c r="AR546" s="173"/>
      <c r="AS546" s="173"/>
      <c r="AT546" s="173"/>
      <c r="AU546" s="173"/>
      <c r="AV546" s="173"/>
      <c r="AW546" s="173"/>
      <c r="AX546" s="173"/>
      <c r="AY546" s="173"/>
      <c r="AZ546" s="173"/>
      <c r="BA546" s="173"/>
      <c r="BB546" s="173"/>
      <c r="BC546" s="173"/>
      <c r="BD546" s="173"/>
      <c r="BE546" s="173"/>
      <c r="BF546" s="173"/>
      <c r="BG546" s="173"/>
      <c r="BH546" s="173"/>
      <c r="BI546" s="173"/>
      <c r="BJ546" s="173"/>
      <c r="BK546" s="173"/>
      <c r="BL546" s="173"/>
      <c r="BM546" s="173"/>
      <c r="BN546" s="173"/>
      <c r="BO546" s="173"/>
      <c r="BP546" s="173"/>
      <c r="BQ546" s="173"/>
      <c r="BR546" s="173"/>
      <c r="BS546" s="173"/>
      <c r="BT546" s="173"/>
      <c r="BU546" s="173"/>
      <c r="BV546" s="173"/>
      <c r="BW546" s="173"/>
      <c r="BX546" s="173"/>
      <c r="BY546" s="173"/>
    </row>
    <row r="547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  <c r="AQ547" s="173"/>
      <c r="AR547" s="173"/>
      <c r="AS547" s="173"/>
      <c r="AT547" s="173"/>
      <c r="AU547" s="173"/>
      <c r="AV547" s="173"/>
      <c r="AW547" s="173"/>
      <c r="AX547" s="173"/>
      <c r="AY547" s="173"/>
      <c r="AZ547" s="173"/>
      <c r="BA547" s="173"/>
      <c r="BB547" s="173"/>
      <c r="BC547" s="173"/>
      <c r="BD547" s="173"/>
      <c r="BE547" s="173"/>
      <c r="BF547" s="173"/>
      <c r="BG547" s="173"/>
      <c r="BH547" s="173"/>
      <c r="BI547" s="173"/>
      <c r="BJ547" s="173"/>
      <c r="BK547" s="173"/>
      <c r="BL547" s="173"/>
      <c r="BM547" s="173"/>
      <c r="BN547" s="173"/>
      <c r="BO547" s="173"/>
      <c r="BP547" s="173"/>
      <c r="BQ547" s="173"/>
      <c r="BR547" s="173"/>
      <c r="BS547" s="173"/>
      <c r="BT547" s="173"/>
      <c r="BU547" s="173"/>
      <c r="BV547" s="173"/>
      <c r="BW547" s="173"/>
      <c r="BX547" s="173"/>
      <c r="BY547" s="173"/>
    </row>
    <row r="548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  <c r="AQ548" s="173"/>
      <c r="AR548" s="173"/>
      <c r="AS548" s="173"/>
      <c r="AT548" s="173"/>
      <c r="AU548" s="173"/>
      <c r="AV548" s="173"/>
      <c r="AW548" s="173"/>
      <c r="AX548" s="173"/>
      <c r="AY548" s="173"/>
      <c r="AZ548" s="173"/>
      <c r="BA548" s="173"/>
      <c r="BB548" s="173"/>
      <c r="BC548" s="173"/>
      <c r="BD548" s="173"/>
      <c r="BE548" s="173"/>
      <c r="BF548" s="173"/>
      <c r="BG548" s="173"/>
      <c r="BH548" s="173"/>
      <c r="BI548" s="173"/>
      <c r="BJ548" s="173"/>
      <c r="BK548" s="173"/>
      <c r="BL548" s="173"/>
      <c r="BM548" s="173"/>
      <c r="BN548" s="173"/>
      <c r="BO548" s="173"/>
      <c r="BP548" s="173"/>
      <c r="BQ548" s="173"/>
      <c r="BR548" s="173"/>
      <c r="BS548" s="173"/>
      <c r="BT548" s="173"/>
      <c r="BU548" s="173"/>
      <c r="BV548" s="173"/>
      <c r="BW548" s="173"/>
      <c r="BX548" s="173"/>
      <c r="BY548" s="173"/>
    </row>
    <row r="549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  <c r="AQ549" s="173"/>
      <c r="AR549" s="173"/>
      <c r="AS549" s="173"/>
      <c r="AT549" s="173"/>
      <c r="AU549" s="173"/>
      <c r="AV549" s="173"/>
      <c r="AW549" s="173"/>
      <c r="AX549" s="173"/>
      <c r="AY549" s="173"/>
      <c r="AZ549" s="173"/>
      <c r="BA549" s="173"/>
      <c r="BB549" s="173"/>
      <c r="BC549" s="173"/>
      <c r="BD549" s="173"/>
      <c r="BE549" s="173"/>
      <c r="BF549" s="173"/>
      <c r="BG549" s="173"/>
      <c r="BH549" s="173"/>
      <c r="BI549" s="173"/>
      <c r="BJ549" s="173"/>
      <c r="BK549" s="173"/>
      <c r="BL549" s="173"/>
      <c r="BM549" s="173"/>
      <c r="BN549" s="173"/>
      <c r="BO549" s="173"/>
      <c r="BP549" s="173"/>
      <c r="BQ549" s="173"/>
      <c r="BR549" s="173"/>
      <c r="BS549" s="173"/>
      <c r="BT549" s="173"/>
      <c r="BU549" s="173"/>
      <c r="BV549" s="173"/>
      <c r="BW549" s="173"/>
      <c r="BX549" s="173"/>
      <c r="BY549" s="173"/>
    </row>
    <row r="550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  <c r="AQ550" s="173"/>
      <c r="AR550" s="173"/>
      <c r="AS550" s="173"/>
      <c r="AT550" s="173"/>
      <c r="AU550" s="173"/>
      <c r="AV550" s="173"/>
      <c r="AW550" s="173"/>
      <c r="AX550" s="173"/>
      <c r="AY550" s="173"/>
      <c r="AZ550" s="173"/>
      <c r="BA550" s="173"/>
      <c r="BB550" s="173"/>
      <c r="BC550" s="173"/>
      <c r="BD550" s="173"/>
      <c r="BE550" s="173"/>
      <c r="BF550" s="173"/>
      <c r="BG550" s="173"/>
      <c r="BH550" s="173"/>
      <c r="BI550" s="173"/>
      <c r="BJ550" s="173"/>
      <c r="BK550" s="173"/>
      <c r="BL550" s="173"/>
      <c r="BM550" s="173"/>
      <c r="BN550" s="173"/>
      <c r="BO550" s="173"/>
      <c r="BP550" s="173"/>
      <c r="BQ550" s="173"/>
      <c r="BR550" s="173"/>
      <c r="BS550" s="173"/>
      <c r="BT550" s="173"/>
      <c r="BU550" s="173"/>
      <c r="BV550" s="173"/>
      <c r="BW550" s="173"/>
      <c r="BX550" s="173"/>
      <c r="BY550" s="173"/>
    </row>
    <row r="55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  <c r="AQ551" s="173"/>
      <c r="AR551" s="173"/>
      <c r="AS551" s="173"/>
      <c r="AT551" s="173"/>
      <c r="AU551" s="173"/>
      <c r="AV551" s="173"/>
      <c r="AW551" s="173"/>
      <c r="AX551" s="173"/>
      <c r="AY551" s="173"/>
      <c r="AZ551" s="173"/>
      <c r="BA551" s="173"/>
      <c r="BB551" s="173"/>
      <c r="BC551" s="173"/>
      <c r="BD551" s="173"/>
      <c r="BE551" s="173"/>
      <c r="BF551" s="173"/>
      <c r="BG551" s="173"/>
      <c r="BH551" s="173"/>
      <c r="BI551" s="173"/>
      <c r="BJ551" s="173"/>
      <c r="BK551" s="173"/>
      <c r="BL551" s="173"/>
      <c r="BM551" s="173"/>
      <c r="BN551" s="173"/>
      <c r="BO551" s="173"/>
      <c r="BP551" s="173"/>
      <c r="BQ551" s="173"/>
      <c r="BR551" s="173"/>
      <c r="BS551" s="173"/>
      <c r="BT551" s="173"/>
      <c r="BU551" s="173"/>
      <c r="BV551" s="173"/>
      <c r="BW551" s="173"/>
      <c r="BX551" s="173"/>
      <c r="BY551" s="173"/>
    </row>
    <row r="552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  <c r="AQ552" s="173"/>
      <c r="AR552" s="173"/>
      <c r="AS552" s="173"/>
      <c r="AT552" s="173"/>
      <c r="AU552" s="173"/>
      <c r="AV552" s="173"/>
      <c r="AW552" s="173"/>
      <c r="AX552" s="173"/>
      <c r="AY552" s="173"/>
      <c r="AZ552" s="173"/>
      <c r="BA552" s="173"/>
      <c r="BB552" s="173"/>
      <c r="BC552" s="173"/>
      <c r="BD552" s="173"/>
      <c r="BE552" s="173"/>
      <c r="BF552" s="173"/>
      <c r="BG552" s="173"/>
      <c r="BH552" s="173"/>
      <c r="BI552" s="173"/>
      <c r="BJ552" s="173"/>
      <c r="BK552" s="173"/>
      <c r="BL552" s="173"/>
      <c r="BM552" s="173"/>
      <c r="BN552" s="173"/>
      <c r="BO552" s="173"/>
      <c r="BP552" s="173"/>
      <c r="BQ552" s="173"/>
      <c r="BR552" s="173"/>
      <c r="BS552" s="173"/>
      <c r="BT552" s="173"/>
      <c r="BU552" s="173"/>
      <c r="BV552" s="173"/>
      <c r="BW552" s="173"/>
      <c r="BX552" s="173"/>
      <c r="BY552" s="173"/>
    </row>
    <row r="553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  <c r="AQ553" s="173"/>
      <c r="AR553" s="173"/>
      <c r="AS553" s="173"/>
      <c r="AT553" s="173"/>
      <c r="AU553" s="173"/>
      <c r="AV553" s="173"/>
      <c r="AW553" s="173"/>
      <c r="AX553" s="173"/>
      <c r="AY553" s="173"/>
      <c r="AZ553" s="173"/>
      <c r="BA553" s="173"/>
      <c r="BB553" s="173"/>
      <c r="BC553" s="173"/>
      <c r="BD553" s="173"/>
      <c r="BE553" s="173"/>
      <c r="BF553" s="173"/>
      <c r="BG553" s="173"/>
      <c r="BH553" s="173"/>
      <c r="BI553" s="173"/>
      <c r="BJ553" s="173"/>
      <c r="BK553" s="173"/>
      <c r="BL553" s="173"/>
      <c r="BM553" s="173"/>
      <c r="BN553" s="173"/>
      <c r="BO553" s="173"/>
      <c r="BP553" s="173"/>
      <c r="BQ553" s="173"/>
      <c r="BR553" s="173"/>
      <c r="BS553" s="173"/>
      <c r="BT553" s="173"/>
      <c r="BU553" s="173"/>
      <c r="BV553" s="173"/>
      <c r="BW553" s="173"/>
      <c r="BX553" s="173"/>
      <c r="BY553" s="173"/>
    </row>
    <row r="554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  <c r="AQ554" s="173"/>
      <c r="AR554" s="173"/>
      <c r="AS554" s="173"/>
      <c r="AT554" s="173"/>
      <c r="AU554" s="173"/>
      <c r="AV554" s="173"/>
      <c r="AW554" s="173"/>
      <c r="AX554" s="173"/>
      <c r="AY554" s="173"/>
      <c r="AZ554" s="173"/>
      <c r="BA554" s="173"/>
      <c r="BB554" s="173"/>
      <c r="BC554" s="173"/>
      <c r="BD554" s="173"/>
      <c r="BE554" s="173"/>
      <c r="BF554" s="173"/>
      <c r="BG554" s="173"/>
      <c r="BH554" s="173"/>
      <c r="BI554" s="173"/>
      <c r="BJ554" s="173"/>
      <c r="BK554" s="173"/>
      <c r="BL554" s="173"/>
      <c r="BM554" s="173"/>
      <c r="BN554" s="173"/>
      <c r="BO554" s="173"/>
      <c r="BP554" s="173"/>
      <c r="BQ554" s="173"/>
      <c r="BR554" s="173"/>
      <c r="BS554" s="173"/>
      <c r="BT554" s="173"/>
      <c r="BU554" s="173"/>
      <c r="BV554" s="173"/>
      <c r="BW554" s="173"/>
      <c r="BX554" s="173"/>
      <c r="BY554" s="173"/>
    </row>
    <row r="555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  <c r="AQ555" s="173"/>
      <c r="AR555" s="173"/>
      <c r="AS555" s="173"/>
      <c r="AT555" s="173"/>
      <c r="AU555" s="173"/>
      <c r="AV555" s="173"/>
      <c r="AW555" s="173"/>
      <c r="AX555" s="173"/>
      <c r="AY555" s="173"/>
      <c r="AZ555" s="173"/>
      <c r="BA555" s="173"/>
      <c r="BB555" s="173"/>
      <c r="BC555" s="173"/>
      <c r="BD555" s="173"/>
      <c r="BE555" s="173"/>
      <c r="BF555" s="173"/>
      <c r="BG555" s="173"/>
      <c r="BH555" s="173"/>
      <c r="BI555" s="173"/>
      <c r="BJ555" s="173"/>
      <c r="BK555" s="173"/>
      <c r="BL555" s="173"/>
      <c r="BM555" s="173"/>
      <c r="BN555" s="173"/>
      <c r="BO555" s="173"/>
      <c r="BP555" s="173"/>
      <c r="BQ555" s="173"/>
      <c r="BR555" s="173"/>
      <c r="BS555" s="173"/>
      <c r="BT555" s="173"/>
      <c r="BU555" s="173"/>
      <c r="BV555" s="173"/>
      <c r="BW555" s="173"/>
      <c r="BX555" s="173"/>
      <c r="BY555" s="173"/>
    </row>
    <row r="556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  <c r="AQ556" s="173"/>
      <c r="AR556" s="173"/>
      <c r="AS556" s="173"/>
      <c r="AT556" s="173"/>
      <c r="AU556" s="173"/>
      <c r="AV556" s="173"/>
      <c r="AW556" s="173"/>
      <c r="AX556" s="173"/>
      <c r="AY556" s="173"/>
      <c r="AZ556" s="173"/>
      <c r="BA556" s="173"/>
      <c r="BB556" s="173"/>
      <c r="BC556" s="173"/>
      <c r="BD556" s="173"/>
      <c r="BE556" s="173"/>
      <c r="BF556" s="173"/>
      <c r="BG556" s="173"/>
      <c r="BH556" s="173"/>
      <c r="BI556" s="173"/>
      <c r="BJ556" s="173"/>
      <c r="BK556" s="173"/>
      <c r="BL556" s="173"/>
      <c r="BM556" s="173"/>
      <c r="BN556" s="173"/>
      <c r="BO556" s="173"/>
      <c r="BP556" s="173"/>
      <c r="BQ556" s="173"/>
      <c r="BR556" s="173"/>
      <c r="BS556" s="173"/>
      <c r="BT556" s="173"/>
      <c r="BU556" s="173"/>
      <c r="BV556" s="173"/>
      <c r="BW556" s="173"/>
      <c r="BX556" s="173"/>
      <c r="BY556" s="173"/>
    </row>
    <row r="557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  <c r="AQ557" s="173"/>
      <c r="AR557" s="173"/>
      <c r="AS557" s="173"/>
      <c r="AT557" s="173"/>
      <c r="AU557" s="173"/>
      <c r="AV557" s="173"/>
      <c r="AW557" s="173"/>
      <c r="AX557" s="173"/>
      <c r="AY557" s="173"/>
      <c r="AZ557" s="173"/>
      <c r="BA557" s="173"/>
      <c r="BB557" s="173"/>
      <c r="BC557" s="173"/>
      <c r="BD557" s="173"/>
      <c r="BE557" s="173"/>
      <c r="BF557" s="173"/>
      <c r="BG557" s="173"/>
      <c r="BH557" s="173"/>
      <c r="BI557" s="173"/>
      <c r="BJ557" s="173"/>
      <c r="BK557" s="173"/>
      <c r="BL557" s="173"/>
      <c r="BM557" s="173"/>
      <c r="BN557" s="173"/>
      <c r="BO557" s="173"/>
      <c r="BP557" s="173"/>
      <c r="BQ557" s="173"/>
      <c r="BR557" s="173"/>
      <c r="BS557" s="173"/>
      <c r="BT557" s="173"/>
      <c r="BU557" s="173"/>
      <c r="BV557" s="173"/>
      <c r="BW557" s="173"/>
      <c r="BX557" s="173"/>
      <c r="BY557" s="173"/>
    </row>
    <row r="558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  <c r="AQ558" s="173"/>
      <c r="AR558" s="173"/>
      <c r="AS558" s="173"/>
      <c r="AT558" s="173"/>
      <c r="AU558" s="173"/>
      <c r="AV558" s="173"/>
      <c r="AW558" s="173"/>
      <c r="AX558" s="173"/>
      <c r="AY558" s="173"/>
      <c r="AZ558" s="173"/>
      <c r="BA558" s="173"/>
      <c r="BB558" s="173"/>
      <c r="BC558" s="173"/>
      <c r="BD558" s="173"/>
      <c r="BE558" s="173"/>
      <c r="BF558" s="173"/>
      <c r="BG558" s="173"/>
      <c r="BH558" s="173"/>
      <c r="BI558" s="173"/>
      <c r="BJ558" s="173"/>
      <c r="BK558" s="173"/>
      <c r="BL558" s="173"/>
      <c r="BM558" s="173"/>
      <c r="BN558" s="173"/>
      <c r="BO558" s="173"/>
      <c r="BP558" s="173"/>
      <c r="BQ558" s="173"/>
      <c r="BR558" s="173"/>
      <c r="BS558" s="173"/>
      <c r="BT558" s="173"/>
      <c r="BU558" s="173"/>
      <c r="BV558" s="173"/>
      <c r="BW558" s="173"/>
      <c r="BX558" s="173"/>
      <c r="BY558" s="173"/>
    </row>
    <row r="559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  <c r="AQ559" s="173"/>
      <c r="AR559" s="173"/>
      <c r="AS559" s="173"/>
      <c r="AT559" s="173"/>
      <c r="AU559" s="173"/>
      <c r="AV559" s="173"/>
      <c r="AW559" s="173"/>
      <c r="AX559" s="173"/>
      <c r="AY559" s="173"/>
      <c r="AZ559" s="173"/>
      <c r="BA559" s="173"/>
      <c r="BB559" s="173"/>
      <c r="BC559" s="173"/>
      <c r="BD559" s="173"/>
      <c r="BE559" s="173"/>
      <c r="BF559" s="173"/>
      <c r="BG559" s="173"/>
      <c r="BH559" s="173"/>
      <c r="BI559" s="173"/>
      <c r="BJ559" s="173"/>
      <c r="BK559" s="173"/>
      <c r="BL559" s="173"/>
      <c r="BM559" s="173"/>
      <c r="BN559" s="173"/>
      <c r="BO559" s="173"/>
      <c r="BP559" s="173"/>
      <c r="BQ559" s="173"/>
      <c r="BR559" s="173"/>
      <c r="BS559" s="173"/>
      <c r="BT559" s="173"/>
      <c r="BU559" s="173"/>
      <c r="BV559" s="173"/>
      <c r="BW559" s="173"/>
      <c r="BX559" s="173"/>
      <c r="BY559" s="173"/>
    </row>
    <row r="560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  <c r="AQ560" s="173"/>
      <c r="AR560" s="173"/>
      <c r="AS560" s="173"/>
      <c r="AT560" s="173"/>
      <c r="AU560" s="173"/>
      <c r="AV560" s="173"/>
      <c r="AW560" s="173"/>
      <c r="AX560" s="173"/>
      <c r="AY560" s="173"/>
      <c r="AZ560" s="173"/>
      <c r="BA560" s="173"/>
      <c r="BB560" s="173"/>
      <c r="BC560" s="173"/>
      <c r="BD560" s="173"/>
      <c r="BE560" s="173"/>
      <c r="BF560" s="173"/>
      <c r="BG560" s="173"/>
      <c r="BH560" s="173"/>
      <c r="BI560" s="173"/>
      <c r="BJ560" s="173"/>
      <c r="BK560" s="173"/>
      <c r="BL560" s="173"/>
      <c r="BM560" s="173"/>
      <c r="BN560" s="173"/>
      <c r="BO560" s="173"/>
      <c r="BP560" s="173"/>
      <c r="BQ560" s="173"/>
      <c r="BR560" s="173"/>
      <c r="BS560" s="173"/>
      <c r="BT560" s="173"/>
      <c r="BU560" s="173"/>
      <c r="BV560" s="173"/>
      <c r="BW560" s="173"/>
      <c r="BX560" s="173"/>
      <c r="BY560" s="173"/>
    </row>
    <row r="56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  <c r="AQ561" s="173"/>
      <c r="AR561" s="173"/>
      <c r="AS561" s="173"/>
      <c r="AT561" s="173"/>
      <c r="AU561" s="173"/>
      <c r="AV561" s="173"/>
      <c r="AW561" s="173"/>
      <c r="AX561" s="173"/>
      <c r="AY561" s="173"/>
      <c r="AZ561" s="173"/>
      <c r="BA561" s="173"/>
      <c r="BB561" s="173"/>
      <c r="BC561" s="173"/>
      <c r="BD561" s="173"/>
      <c r="BE561" s="173"/>
      <c r="BF561" s="173"/>
      <c r="BG561" s="173"/>
      <c r="BH561" s="173"/>
      <c r="BI561" s="173"/>
      <c r="BJ561" s="173"/>
      <c r="BK561" s="173"/>
      <c r="BL561" s="173"/>
      <c r="BM561" s="173"/>
      <c r="BN561" s="173"/>
      <c r="BO561" s="173"/>
      <c r="BP561" s="173"/>
      <c r="BQ561" s="173"/>
      <c r="BR561" s="173"/>
      <c r="BS561" s="173"/>
      <c r="BT561" s="173"/>
      <c r="BU561" s="173"/>
      <c r="BV561" s="173"/>
      <c r="BW561" s="173"/>
      <c r="BX561" s="173"/>
      <c r="BY561" s="173"/>
    </row>
    <row r="562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  <c r="AQ562" s="173"/>
      <c r="AR562" s="173"/>
      <c r="AS562" s="173"/>
      <c r="AT562" s="173"/>
      <c r="AU562" s="173"/>
      <c r="AV562" s="173"/>
      <c r="AW562" s="173"/>
      <c r="AX562" s="173"/>
      <c r="AY562" s="173"/>
      <c r="AZ562" s="173"/>
      <c r="BA562" s="173"/>
      <c r="BB562" s="173"/>
      <c r="BC562" s="173"/>
      <c r="BD562" s="173"/>
      <c r="BE562" s="173"/>
      <c r="BF562" s="173"/>
      <c r="BG562" s="173"/>
      <c r="BH562" s="173"/>
      <c r="BI562" s="173"/>
      <c r="BJ562" s="173"/>
      <c r="BK562" s="173"/>
      <c r="BL562" s="173"/>
      <c r="BM562" s="173"/>
      <c r="BN562" s="173"/>
      <c r="BO562" s="173"/>
      <c r="BP562" s="173"/>
      <c r="BQ562" s="173"/>
      <c r="BR562" s="173"/>
      <c r="BS562" s="173"/>
      <c r="BT562" s="173"/>
      <c r="BU562" s="173"/>
      <c r="BV562" s="173"/>
      <c r="BW562" s="173"/>
      <c r="BX562" s="173"/>
      <c r="BY562" s="173"/>
    </row>
    <row r="563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  <c r="AQ563" s="173"/>
      <c r="AR563" s="173"/>
      <c r="AS563" s="173"/>
      <c r="AT563" s="173"/>
      <c r="AU563" s="173"/>
      <c r="AV563" s="173"/>
      <c r="AW563" s="173"/>
      <c r="AX563" s="173"/>
      <c r="AY563" s="173"/>
      <c r="AZ563" s="173"/>
      <c r="BA563" s="173"/>
      <c r="BB563" s="173"/>
      <c r="BC563" s="173"/>
      <c r="BD563" s="173"/>
      <c r="BE563" s="173"/>
      <c r="BF563" s="173"/>
      <c r="BG563" s="173"/>
      <c r="BH563" s="173"/>
      <c r="BI563" s="173"/>
      <c r="BJ563" s="173"/>
      <c r="BK563" s="173"/>
      <c r="BL563" s="173"/>
      <c r="BM563" s="173"/>
      <c r="BN563" s="173"/>
      <c r="BO563" s="173"/>
      <c r="BP563" s="173"/>
      <c r="BQ563" s="173"/>
      <c r="BR563" s="173"/>
      <c r="BS563" s="173"/>
      <c r="BT563" s="173"/>
      <c r="BU563" s="173"/>
      <c r="BV563" s="173"/>
      <c r="BW563" s="173"/>
      <c r="BX563" s="173"/>
      <c r="BY563" s="173"/>
    </row>
    <row r="564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  <c r="AQ564" s="173"/>
      <c r="AR564" s="173"/>
      <c r="AS564" s="173"/>
      <c r="AT564" s="173"/>
      <c r="AU564" s="173"/>
      <c r="AV564" s="173"/>
      <c r="AW564" s="173"/>
      <c r="AX564" s="173"/>
      <c r="AY564" s="173"/>
      <c r="AZ564" s="173"/>
      <c r="BA564" s="173"/>
      <c r="BB564" s="173"/>
      <c r="BC564" s="173"/>
      <c r="BD564" s="173"/>
      <c r="BE564" s="173"/>
      <c r="BF564" s="173"/>
      <c r="BG564" s="173"/>
      <c r="BH564" s="173"/>
      <c r="BI564" s="173"/>
      <c r="BJ564" s="173"/>
      <c r="BK564" s="173"/>
      <c r="BL564" s="173"/>
      <c r="BM564" s="173"/>
      <c r="BN564" s="173"/>
      <c r="BO564" s="173"/>
      <c r="BP564" s="173"/>
      <c r="BQ564" s="173"/>
      <c r="BR564" s="173"/>
      <c r="BS564" s="173"/>
      <c r="BT564" s="173"/>
      <c r="BU564" s="173"/>
      <c r="BV564" s="173"/>
      <c r="BW564" s="173"/>
      <c r="BX564" s="173"/>
      <c r="BY564" s="173"/>
    </row>
    <row r="565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  <c r="AQ565" s="173"/>
      <c r="AR565" s="173"/>
      <c r="AS565" s="173"/>
      <c r="AT565" s="173"/>
      <c r="AU565" s="173"/>
      <c r="AV565" s="173"/>
      <c r="AW565" s="173"/>
      <c r="AX565" s="173"/>
      <c r="AY565" s="173"/>
      <c r="AZ565" s="173"/>
      <c r="BA565" s="173"/>
      <c r="BB565" s="173"/>
      <c r="BC565" s="173"/>
      <c r="BD565" s="173"/>
      <c r="BE565" s="173"/>
      <c r="BF565" s="173"/>
      <c r="BG565" s="173"/>
      <c r="BH565" s="173"/>
      <c r="BI565" s="173"/>
      <c r="BJ565" s="173"/>
      <c r="BK565" s="173"/>
      <c r="BL565" s="173"/>
      <c r="BM565" s="173"/>
      <c r="BN565" s="173"/>
      <c r="BO565" s="173"/>
      <c r="BP565" s="173"/>
      <c r="BQ565" s="173"/>
      <c r="BR565" s="173"/>
      <c r="BS565" s="173"/>
      <c r="BT565" s="173"/>
      <c r="BU565" s="173"/>
      <c r="BV565" s="173"/>
      <c r="BW565" s="173"/>
      <c r="BX565" s="173"/>
      <c r="BY565" s="173"/>
    </row>
    <row r="566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  <c r="AQ566" s="173"/>
      <c r="AR566" s="173"/>
      <c r="AS566" s="173"/>
      <c r="AT566" s="173"/>
      <c r="AU566" s="173"/>
      <c r="AV566" s="173"/>
      <c r="AW566" s="173"/>
      <c r="AX566" s="173"/>
      <c r="AY566" s="173"/>
      <c r="AZ566" s="173"/>
      <c r="BA566" s="173"/>
      <c r="BB566" s="173"/>
      <c r="BC566" s="173"/>
      <c r="BD566" s="173"/>
      <c r="BE566" s="173"/>
      <c r="BF566" s="173"/>
      <c r="BG566" s="173"/>
      <c r="BH566" s="173"/>
      <c r="BI566" s="173"/>
      <c r="BJ566" s="173"/>
      <c r="BK566" s="173"/>
      <c r="BL566" s="173"/>
      <c r="BM566" s="173"/>
      <c r="BN566" s="173"/>
      <c r="BO566" s="173"/>
      <c r="BP566" s="173"/>
      <c r="BQ566" s="173"/>
      <c r="BR566" s="173"/>
      <c r="BS566" s="173"/>
      <c r="BT566" s="173"/>
      <c r="BU566" s="173"/>
      <c r="BV566" s="173"/>
      <c r="BW566" s="173"/>
      <c r="BX566" s="173"/>
      <c r="BY566" s="173"/>
    </row>
    <row r="567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  <c r="AQ567" s="173"/>
      <c r="AR567" s="173"/>
      <c r="AS567" s="173"/>
      <c r="AT567" s="173"/>
      <c r="AU567" s="173"/>
      <c r="AV567" s="173"/>
      <c r="AW567" s="173"/>
      <c r="AX567" s="173"/>
      <c r="AY567" s="173"/>
      <c r="AZ567" s="173"/>
      <c r="BA567" s="173"/>
      <c r="BB567" s="173"/>
      <c r="BC567" s="173"/>
      <c r="BD567" s="173"/>
      <c r="BE567" s="173"/>
      <c r="BF567" s="173"/>
      <c r="BG567" s="173"/>
      <c r="BH567" s="173"/>
      <c r="BI567" s="173"/>
      <c r="BJ567" s="173"/>
      <c r="BK567" s="173"/>
      <c r="BL567" s="173"/>
      <c r="BM567" s="173"/>
      <c r="BN567" s="173"/>
      <c r="BO567" s="173"/>
      <c r="BP567" s="173"/>
      <c r="BQ567" s="173"/>
      <c r="BR567" s="173"/>
      <c r="BS567" s="173"/>
      <c r="BT567" s="173"/>
      <c r="BU567" s="173"/>
      <c r="BV567" s="173"/>
      <c r="BW567" s="173"/>
      <c r="BX567" s="173"/>
      <c r="BY567" s="173"/>
    </row>
    <row r="568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  <c r="AQ568" s="173"/>
      <c r="AR568" s="173"/>
      <c r="AS568" s="173"/>
      <c r="AT568" s="173"/>
      <c r="AU568" s="173"/>
      <c r="AV568" s="173"/>
      <c r="AW568" s="173"/>
      <c r="AX568" s="173"/>
      <c r="AY568" s="173"/>
      <c r="AZ568" s="173"/>
      <c r="BA568" s="173"/>
      <c r="BB568" s="173"/>
      <c r="BC568" s="173"/>
      <c r="BD568" s="173"/>
      <c r="BE568" s="173"/>
      <c r="BF568" s="173"/>
      <c r="BG568" s="173"/>
      <c r="BH568" s="173"/>
      <c r="BI568" s="173"/>
      <c r="BJ568" s="173"/>
      <c r="BK568" s="173"/>
      <c r="BL568" s="173"/>
      <c r="BM568" s="173"/>
      <c r="BN568" s="173"/>
      <c r="BO568" s="173"/>
      <c r="BP568" s="173"/>
      <c r="BQ568" s="173"/>
      <c r="BR568" s="173"/>
      <c r="BS568" s="173"/>
      <c r="BT568" s="173"/>
      <c r="BU568" s="173"/>
      <c r="BV568" s="173"/>
      <c r="BW568" s="173"/>
      <c r="BX568" s="173"/>
      <c r="BY568" s="173"/>
    </row>
    <row r="569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  <c r="AQ569" s="173"/>
      <c r="AR569" s="173"/>
      <c r="AS569" s="173"/>
      <c r="AT569" s="173"/>
      <c r="AU569" s="173"/>
      <c r="AV569" s="173"/>
      <c r="AW569" s="173"/>
      <c r="AX569" s="173"/>
      <c r="AY569" s="173"/>
      <c r="AZ569" s="173"/>
      <c r="BA569" s="173"/>
      <c r="BB569" s="173"/>
      <c r="BC569" s="173"/>
      <c r="BD569" s="173"/>
      <c r="BE569" s="173"/>
      <c r="BF569" s="173"/>
      <c r="BG569" s="173"/>
      <c r="BH569" s="173"/>
      <c r="BI569" s="173"/>
      <c r="BJ569" s="173"/>
      <c r="BK569" s="173"/>
      <c r="BL569" s="173"/>
      <c r="BM569" s="173"/>
      <c r="BN569" s="173"/>
      <c r="BO569" s="173"/>
      <c r="BP569" s="173"/>
      <c r="BQ569" s="173"/>
      <c r="BR569" s="173"/>
      <c r="BS569" s="173"/>
      <c r="BT569" s="173"/>
      <c r="BU569" s="173"/>
      <c r="BV569" s="173"/>
      <c r="BW569" s="173"/>
      <c r="BX569" s="173"/>
      <c r="BY569" s="173"/>
    </row>
    <row r="570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  <c r="AQ570" s="173"/>
      <c r="AR570" s="173"/>
      <c r="AS570" s="173"/>
      <c r="AT570" s="173"/>
      <c r="AU570" s="173"/>
      <c r="AV570" s="173"/>
      <c r="AW570" s="173"/>
      <c r="AX570" s="173"/>
      <c r="AY570" s="173"/>
      <c r="AZ570" s="173"/>
      <c r="BA570" s="173"/>
      <c r="BB570" s="173"/>
      <c r="BC570" s="173"/>
      <c r="BD570" s="173"/>
      <c r="BE570" s="173"/>
      <c r="BF570" s="173"/>
      <c r="BG570" s="173"/>
      <c r="BH570" s="173"/>
      <c r="BI570" s="173"/>
      <c r="BJ570" s="173"/>
      <c r="BK570" s="173"/>
      <c r="BL570" s="173"/>
      <c r="BM570" s="173"/>
      <c r="BN570" s="173"/>
      <c r="BO570" s="173"/>
      <c r="BP570" s="173"/>
      <c r="BQ570" s="173"/>
      <c r="BR570" s="173"/>
      <c r="BS570" s="173"/>
      <c r="BT570" s="173"/>
      <c r="BU570" s="173"/>
      <c r="BV570" s="173"/>
      <c r="BW570" s="173"/>
      <c r="BX570" s="173"/>
      <c r="BY570" s="173"/>
    </row>
    <row r="57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  <c r="AQ571" s="173"/>
      <c r="AR571" s="173"/>
      <c r="AS571" s="173"/>
      <c r="AT571" s="173"/>
      <c r="AU571" s="173"/>
      <c r="AV571" s="173"/>
      <c r="AW571" s="173"/>
      <c r="AX571" s="173"/>
      <c r="AY571" s="173"/>
      <c r="AZ571" s="173"/>
      <c r="BA571" s="173"/>
      <c r="BB571" s="173"/>
      <c r="BC571" s="173"/>
      <c r="BD571" s="173"/>
      <c r="BE571" s="173"/>
      <c r="BF571" s="173"/>
      <c r="BG571" s="173"/>
      <c r="BH571" s="173"/>
      <c r="BI571" s="173"/>
      <c r="BJ571" s="173"/>
      <c r="BK571" s="173"/>
      <c r="BL571" s="173"/>
      <c r="BM571" s="173"/>
      <c r="BN571" s="173"/>
      <c r="BO571" s="173"/>
      <c r="BP571" s="173"/>
      <c r="BQ571" s="173"/>
      <c r="BR571" s="173"/>
      <c r="BS571" s="173"/>
      <c r="BT571" s="173"/>
      <c r="BU571" s="173"/>
      <c r="BV571" s="173"/>
      <c r="BW571" s="173"/>
      <c r="BX571" s="173"/>
      <c r="BY571" s="173"/>
    </row>
    <row r="572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  <c r="AQ572" s="173"/>
      <c r="AR572" s="173"/>
      <c r="AS572" s="173"/>
      <c r="AT572" s="173"/>
      <c r="AU572" s="173"/>
      <c r="AV572" s="173"/>
      <c r="AW572" s="173"/>
      <c r="AX572" s="173"/>
      <c r="AY572" s="173"/>
      <c r="AZ572" s="173"/>
      <c r="BA572" s="173"/>
      <c r="BB572" s="173"/>
      <c r="BC572" s="173"/>
      <c r="BD572" s="173"/>
      <c r="BE572" s="173"/>
      <c r="BF572" s="173"/>
      <c r="BG572" s="173"/>
      <c r="BH572" s="173"/>
      <c r="BI572" s="173"/>
      <c r="BJ572" s="173"/>
      <c r="BK572" s="173"/>
      <c r="BL572" s="173"/>
      <c r="BM572" s="173"/>
      <c r="BN572" s="173"/>
      <c r="BO572" s="173"/>
      <c r="BP572" s="173"/>
      <c r="BQ572" s="173"/>
      <c r="BR572" s="173"/>
      <c r="BS572" s="173"/>
      <c r="BT572" s="173"/>
      <c r="BU572" s="173"/>
      <c r="BV572" s="173"/>
      <c r="BW572" s="173"/>
      <c r="BX572" s="173"/>
      <c r="BY572" s="173"/>
    </row>
    <row r="573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  <c r="AQ573" s="173"/>
      <c r="AR573" s="173"/>
      <c r="AS573" s="173"/>
      <c r="AT573" s="173"/>
      <c r="AU573" s="173"/>
      <c r="AV573" s="173"/>
      <c r="AW573" s="173"/>
      <c r="AX573" s="173"/>
      <c r="AY573" s="173"/>
      <c r="AZ573" s="173"/>
      <c r="BA573" s="173"/>
      <c r="BB573" s="173"/>
      <c r="BC573" s="173"/>
      <c r="BD573" s="173"/>
      <c r="BE573" s="173"/>
      <c r="BF573" s="173"/>
      <c r="BG573" s="173"/>
      <c r="BH573" s="173"/>
      <c r="BI573" s="173"/>
      <c r="BJ573" s="173"/>
      <c r="BK573" s="173"/>
      <c r="BL573" s="173"/>
      <c r="BM573" s="173"/>
      <c r="BN573" s="173"/>
      <c r="BO573" s="173"/>
      <c r="BP573" s="173"/>
      <c r="BQ573" s="173"/>
      <c r="BR573" s="173"/>
      <c r="BS573" s="173"/>
      <c r="BT573" s="173"/>
      <c r="BU573" s="173"/>
      <c r="BV573" s="173"/>
      <c r="BW573" s="173"/>
      <c r="BX573" s="173"/>
      <c r="BY573" s="173"/>
    </row>
    <row r="574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  <c r="AQ574" s="173"/>
      <c r="AR574" s="173"/>
      <c r="AS574" s="173"/>
      <c r="AT574" s="173"/>
      <c r="AU574" s="173"/>
      <c r="AV574" s="173"/>
      <c r="AW574" s="173"/>
      <c r="AX574" s="173"/>
      <c r="AY574" s="173"/>
      <c r="AZ574" s="173"/>
      <c r="BA574" s="173"/>
      <c r="BB574" s="173"/>
      <c r="BC574" s="173"/>
      <c r="BD574" s="173"/>
      <c r="BE574" s="173"/>
      <c r="BF574" s="173"/>
      <c r="BG574" s="173"/>
      <c r="BH574" s="173"/>
      <c r="BI574" s="173"/>
      <c r="BJ574" s="173"/>
      <c r="BK574" s="173"/>
      <c r="BL574" s="173"/>
      <c r="BM574" s="173"/>
      <c r="BN574" s="173"/>
      <c r="BO574" s="173"/>
      <c r="BP574" s="173"/>
      <c r="BQ574" s="173"/>
      <c r="BR574" s="173"/>
      <c r="BS574" s="173"/>
      <c r="BT574" s="173"/>
      <c r="BU574" s="173"/>
      <c r="BV574" s="173"/>
      <c r="BW574" s="173"/>
      <c r="BX574" s="173"/>
      <c r="BY574" s="173"/>
    </row>
    <row r="575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  <c r="AQ575" s="173"/>
      <c r="AR575" s="173"/>
      <c r="AS575" s="173"/>
      <c r="AT575" s="173"/>
      <c r="AU575" s="173"/>
      <c r="AV575" s="173"/>
      <c r="AW575" s="173"/>
      <c r="AX575" s="173"/>
      <c r="AY575" s="173"/>
      <c r="AZ575" s="173"/>
      <c r="BA575" s="173"/>
      <c r="BB575" s="173"/>
      <c r="BC575" s="173"/>
      <c r="BD575" s="173"/>
      <c r="BE575" s="173"/>
      <c r="BF575" s="173"/>
      <c r="BG575" s="173"/>
      <c r="BH575" s="173"/>
      <c r="BI575" s="173"/>
      <c r="BJ575" s="173"/>
      <c r="BK575" s="173"/>
      <c r="BL575" s="173"/>
      <c r="BM575" s="173"/>
      <c r="BN575" s="173"/>
      <c r="BO575" s="173"/>
      <c r="BP575" s="173"/>
      <c r="BQ575" s="173"/>
      <c r="BR575" s="173"/>
      <c r="BS575" s="173"/>
      <c r="BT575" s="173"/>
      <c r="BU575" s="173"/>
      <c r="BV575" s="173"/>
      <c r="BW575" s="173"/>
      <c r="BX575" s="173"/>
      <c r="BY575" s="173"/>
    </row>
    <row r="576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  <c r="AQ576" s="173"/>
      <c r="AR576" s="173"/>
      <c r="AS576" s="173"/>
      <c r="AT576" s="173"/>
      <c r="AU576" s="173"/>
      <c r="AV576" s="173"/>
      <c r="AW576" s="173"/>
      <c r="AX576" s="173"/>
      <c r="AY576" s="173"/>
      <c r="AZ576" s="173"/>
      <c r="BA576" s="173"/>
      <c r="BB576" s="173"/>
      <c r="BC576" s="173"/>
      <c r="BD576" s="173"/>
      <c r="BE576" s="173"/>
      <c r="BF576" s="173"/>
      <c r="BG576" s="173"/>
      <c r="BH576" s="173"/>
      <c r="BI576" s="173"/>
      <c r="BJ576" s="173"/>
      <c r="BK576" s="173"/>
      <c r="BL576" s="173"/>
      <c r="BM576" s="173"/>
      <c r="BN576" s="173"/>
      <c r="BO576" s="173"/>
      <c r="BP576" s="173"/>
      <c r="BQ576" s="173"/>
      <c r="BR576" s="173"/>
      <c r="BS576" s="173"/>
      <c r="BT576" s="173"/>
      <c r="BU576" s="173"/>
      <c r="BV576" s="173"/>
      <c r="BW576" s="173"/>
      <c r="BX576" s="173"/>
      <c r="BY576" s="173"/>
    </row>
    <row r="577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  <c r="AQ577" s="173"/>
      <c r="AR577" s="173"/>
      <c r="AS577" s="173"/>
      <c r="AT577" s="173"/>
      <c r="AU577" s="173"/>
      <c r="AV577" s="173"/>
      <c r="AW577" s="173"/>
      <c r="AX577" s="173"/>
      <c r="AY577" s="173"/>
      <c r="AZ577" s="173"/>
      <c r="BA577" s="173"/>
      <c r="BB577" s="173"/>
      <c r="BC577" s="173"/>
      <c r="BD577" s="173"/>
      <c r="BE577" s="173"/>
      <c r="BF577" s="173"/>
      <c r="BG577" s="173"/>
      <c r="BH577" s="173"/>
      <c r="BI577" s="173"/>
      <c r="BJ577" s="173"/>
      <c r="BK577" s="173"/>
      <c r="BL577" s="173"/>
      <c r="BM577" s="173"/>
      <c r="BN577" s="173"/>
      <c r="BO577" s="173"/>
      <c r="BP577" s="173"/>
      <c r="BQ577" s="173"/>
      <c r="BR577" s="173"/>
      <c r="BS577" s="173"/>
      <c r="BT577" s="173"/>
      <c r="BU577" s="173"/>
      <c r="BV577" s="173"/>
      <c r="BW577" s="173"/>
      <c r="BX577" s="173"/>
      <c r="BY577" s="173"/>
    </row>
    <row r="578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  <c r="AQ578" s="173"/>
      <c r="AR578" s="173"/>
      <c r="AS578" s="173"/>
      <c r="AT578" s="173"/>
      <c r="AU578" s="173"/>
      <c r="AV578" s="173"/>
      <c r="AW578" s="173"/>
      <c r="AX578" s="173"/>
      <c r="AY578" s="173"/>
      <c r="AZ578" s="173"/>
      <c r="BA578" s="173"/>
      <c r="BB578" s="173"/>
      <c r="BC578" s="173"/>
      <c r="BD578" s="173"/>
      <c r="BE578" s="173"/>
      <c r="BF578" s="173"/>
      <c r="BG578" s="173"/>
      <c r="BH578" s="173"/>
      <c r="BI578" s="173"/>
      <c r="BJ578" s="173"/>
      <c r="BK578" s="173"/>
      <c r="BL578" s="173"/>
      <c r="BM578" s="173"/>
      <c r="BN578" s="173"/>
      <c r="BO578" s="173"/>
      <c r="BP578" s="173"/>
      <c r="BQ578" s="173"/>
      <c r="BR578" s="173"/>
      <c r="BS578" s="173"/>
      <c r="BT578" s="173"/>
      <c r="BU578" s="173"/>
      <c r="BV578" s="173"/>
      <c r="BW578" s="173"/>
      <c r="BX578" s="173"/>
      <c r="BY578" s="173"/>
    </row>
    <row r="579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  <c r="AQ579" s="173"/>
      <c r="AR579" s="173"/>
      <c r="AS579" s="173"/>
      <c r="AT579" s="173"/>
      <c r="AU579" s="173"/>
      <c r="AV579" s="173"/>
      <c r="AW579" s="173"/>
      <c r="AX579" s="173"/>
      <c r="AY579" s="173"/>
      <c r="AZ579" s="173"/>
      <c r="BA579" s="173"/>
      <c r="BB579" s="173"/>
      <c r="BC579" s="173"/>
      <c r="BD579" s="173"/>
      <c r="BE579" s="173"/>
      <c r="BF579" s="173"/>
      <c r="BG579" s="173"/>
      <c r="BH579" s="173"/>
      <c r="BI579" s="173"/>
      <c r="BJ579" s="173"/>
      <c r="BK579" s="173"/>
      <c r="BL579" s="173"/>
      <c r="BM579" s="173"/>
      <c r="BN579" s="173"/>
      <c r="BO579" s="173"/>
      <c r="BP579" s="173"/>
      <c r="BQ579" s="173"/>
      <c r="BR579" s="173"/>
      <c r="BS579" s="173"/>
      <c r="BT579" s="173"/>
      <c r="BU579" s="173"/>
      <c r="BV579" s="173"/>
      <c r="BW579" s="173"/>
      <c r="BX579" s="173"/>
      <c r="BY579" s="173"/>
    </row>
    <row r="580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  <c r="AQ580" s="173"/>
      <c r="AR580" s="173"/>
      <c r="AS580" s="173"/>
      <c r="AT580" s="173"/>
      <c r="AU580" s="173"/>
      <c r="AV580" s="173"/>
      <c r="AW580" s="173"/>
      <c r="AX580" s="173"/>
      <c r="AY580" s="173"/>
      <c r="AZ580" s="173"/>
      <c r="BA580" s="173"/>
      <c r="BB580" s="173"/>
      <c r="BC580" s="173"/>
      <c r="BD580" s="173"/>
      <c r="BE580" s="173"/>
      <c r="BF580" s="173"/>
      <c r="BG580" s="173"/>
      <c r="BH580" s="173"/>
      <c r="BI580" s="173"/>
      <c r="BJ580" s="173"/>
      <c r="BK580" s="173"/>
      <c r="BL580" s="173"/>
      <c r="BM580" s="173"/>
      <c r="BN580" s="173"/>
      <c r="BO580" s="173"/>
      <c r="BP580" s="173"/>
      <c r="BQ580" s="173"/>
      <c r="BR580" s="173"/>
      <c r="BS580" s="173"/>
      <c r="BT580" s="173"/>
      <c r="BU580" s="173"/>
      <c r="BV580" s="173"/>
      <c r="BW580" s="173"/>
      <c r="BX580" s="173"/>
      <c r="BY580" s="173"/>
    </row>
    <row r="58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  <c r="AQ581" s="173"/>
      <c r="AR581" s="173"/>
      <c r="AS581" s="173"/>
      <c r="AT581" s="173"/>
      <c r="AU581" s="173"/>
      <c r="AV581" s="173"/>
      <c r="AW581" s="173"/>
      <c r="AX581" s="173"/>
      <c r="AY581" s="173"/>
      <c r="AZ581" s="173"/>
      <c r="BA581" s="173"/>
      <c r="BB581" s="173"/>
      <c r="BC581" s="173"/>
      <c r="BD581" s="173"/>
      <c r="BE581" s="173"/>
      <c r="BF581" s="173"/>
      <c r="BG581" s="173"/>
      <c r="BH581" s="173"/>
      <c r="BI581" s="173"/>
      <c r="BJ581" s="173"/>
      <c r="BK581" s="173"/>
      <c r="BL581" s="173"/>
      <c r="BM581" s="173"/>
      <c r="BN581" s="173"/>
      <c r="BO581" s="173"/>
      <c r="BP581" s="173"/>
      <c r="BQ581" s="173"/>
      <c r="BR581" s="173"/>
      <c r="BS581" s="173"/>
      <c r="BT581" s="173"/>
      <c r="BU581" s="173"/>
      <c r="BV581" s="173"/>
      <c r="BW581" s="173"/>
      <c r="BX581" s="173"/>
      <c r="BY581" s="173"/>
    </row>
    <row r="582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  <c r="AQ582" s="173"/>
      <c r="AR582" s="173"/>
      <c r="AS582" s="173"/>
      <c r="AT582" s="173"/>
      <c r="AU582" s="173"/>
      <c r="AV582" s="173"/>
      <c r="AW582" s="173"/>
      <c r="AX582" s="173"/>
      <c r="AY582" s="173"/>
      <c r="AZ582" s="173"/>
      <c r="BA582" s="173"/>
      <c r="BB582" s="173"/>
      <c r="BC582" s="173"/>
      <c r="BD582" s="173"/>
      <c r="BE582" s="173"/>
      <c r="BF582" s="173"/>
      <c r="BG582" s="173"/>
      <c r="BH582" s="173"/>
      <c r="BI582" s="173"/>
      <c r="BJ582" s="173"/>
      <c r="BK582" s="173"/>
      <c r="BL582" s="173"/>
      <c r="BM582" s="173"/>
      <c r="BN582" s="173"/>
      <c r="BO582" s="173"/>
      <c r="BP582" s="173"/>
      <c r="BQ582" s="173"/>
      <c r="BR582" s="173"/>
      <c r="BS582" s="173"/>
      <c r="BT582" s="173"/>
      <c r="BU582" s="173"/>
      <c r="BV582" s="173"/>
      <c r="BW582" s="173"/>
      <c r="BX582" s="173"/>
      <c r="BY582" s="173"/>
    </row>
    <row r="583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  <c r="AQ583" s="173"/>
      <c r="AR583" s="173"/>
      <c r="AS583" s="173"/>
      <c r="AT583" s="173"/>
      <c r="AU583" s="173"/>
      <c r="AV583" s="173"/>
      <c r="AW583" s="173"/>
      <c r="AX583" s="173"/>
      <c r="AY583" s="173"/>
      <c r="AZ583" s="173"/>
      <c r="BA583" s="173"/>
      <c r="BB583" s="173"/>
      <c r="BC583" s="173"/>
      <c r="BD583" s="173"/>
      <c r="BE583" s="173"/>
      <c r="BF583" s="173"/>
      <c r="BG583" s="173"/>
      <c r="BH583" s="173"/>
      <c r="BI583" s="173"/>
      <c r="BJ583" s="173"/>
      <c r="BK583" s="173"/>
      <c r="BL583" s="173"/>
      <c r="BM583" s="173"/>
      <c r="BN583" s="173"/>
      <c r="BO583" s="173"/>
      <c r="BP583" s="173"/>
      <c r="BQ583" s="173"/>
      <c r="BR583" s="173"/>
      <c r="BS583" s="173"/>
      <c r="BT583" s="173"/>
      <c r="BU583" s="173"/>
      <c r="BV583" s="173"/>
      <c r="BW583" s="173"/>
      <c r="BX583" s="173"/>
      <c r="BY583" s="173"/>
    </row>
    <row r="584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  <c r="AQ584" s="173"/>
      <c r="AR584" s="173"/>
      <c r="AS584" s="173"/>
      <c r="AT584" s="173"/>
      <c r="AU584" s="173"/>
      <c r="AV584" s="173"/>
      <c r="AW584" s="173"/>
      <c r="AX584" s="173"/>
      <c r="AY584" s="173"/>
      <c r="AZ584" s="173"/>
      <c r="BA584" s="173"/>
      <c r="BB584" s="173"/>
      <c r="BC584" s="173"/>
      <c r="BD584" s="173"/>
      <c r="BE584" s="173"/>
      <c r="BF584" s="173"/>
      <c r="BG584" s="173"/>
      <c r="BH584" s="173"/>
      <c r="BI584" s="173"/>
      <c r="BJ584" s="173"/>
      <c r="BK584" s="173"/>
      <c r="BL584" s="173"/>
      <c r="BM584" s="173"/>
      <c r="BN584" s="173"/>
      <c r="BO584" s="173"/>
      <c r="BP584" s="173"/>
      <c r="BQ584" s="173"/>
      <c r="BR584" s="173"/>
      <c r="BS584" s="173"/>
      <c r="BT584" s="173"/>
      <c r="BU584" s="173"/>
      <c r="BV584" s="173"/>
      <c r="BW584" s="173"/>
      <c r="BX584" s="173"/>
      <c r="BY584" s="173"/>
    </row>
    <row r="585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  <c r="AQ585" s="173"/>
      <c r="AR585" s="173"/>
      <c r="AS585" s="173"/>
      <c r="AT585" s="173"/>
      <c r="AU585" s="173"/>
      <c r="AV585" s="173"/>
      <c r="AW585" s="173"/>
      <c r="AX585" s="173"/>
      <c r="AY585" s="173"/>
      <c r="AZ585" s="173"/>
      <c r="BA585" s="173"/>
      <c r="BB585" s="173"/>
      <c r="BC585" s="173"/>
      <c r="BD585" s="173"/>
      <c r="BE585" s="173"/>
      <c r="BF585" s="173"/>
      <c r="BG585" s="173"/>
      <c r="BH585" s="173"/>
      <c r="BI585" s="173"/>
      <c r="BJ585" s="173"/>
      <c r="BK585" s="173"/>
      <c r="BL585" s="173"/>
      <c r="BM585" s="173"/>
      <c r="BN585" s="173"/>
      <c r="BO585" s="173"/>
      <c r="BP585" s="173"/>
      <c r="BQ585" s="173"/>
      <c r="BR585" s="173"/>
      <c r="BS585" s="173"/>
      <c r="BT585" s="173"/>
      <c r="BU585" s="173"/>
      <c r="BV585" s="173"/>
      <c r="BW585" s="173"/>
      <c r="BX585" s="173"/>
      <c r="BY585" s="173"/>
    </row>
    <row r="586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  <c r="AQ586" s="173"/>
      <c r="AR586" s="173"/>
      <c r="AS586" s="173"/>
      <c r="AT586" s="173"/>
      <c r="AU586" s="173"/>
      <c r="AV586" s="173"/>
      <c r="AW586" s="173"/>
      <c r="AX586" s="173"/>
      <c r="AY586" s="173"/>
      <c r="AZ586" s="173"/>
      <c r="BA586" s="173"/>
      <c r="BB586" s="173"/>
      <c r="BC586" s="173"/>
      <c r="BD586" s="173"/>
      <c r="BE586" s="173"/>
      <c r="BF586" s="173"/>
      <c r="BG586" s="173"/>
      <c r="BH586" s="173"/>
      <c r="BI586" s="173"/>
      <c r="BJ586" s="173"/>
      <c r="BK586" s="173"/>
      <c r="BL586" s="173"/>
      <c r="BM586" s="173"/>
      <c r="BN586" s="173"/>
      <c r="BO586" s="173"/>
      <c r="BP586" s="173"/>
      <c r="BQ586" s="173"/>
      <c r="BR586" s="173"/>
      <c r="BS586" s="173"/>
      <c r="BT586" s="173"/>
      <c r="BU586" s="173"/>
      <c r="BV586" s="173"/>
      <c r="BW586" s="173"/>
      <c r="BX586" s="173"/>
      <c r="BY586" s="173"/>
    </row>
    <row r="587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  <c r="AQ587" s="173"/>
      <c r="AR587" s="173"/>
      <c r="AS587" s="173"/>
      <c r="AT587" s="173"/>
      <c r="AU587" s="173"/>
      <c r="AV587" s="173"/>
      <c r="AW587" s="173"/>
      <c r="AX587" s="173"/>
      <c r="AY587" s="173"/>
      <c r="AZ587" s="173"/>
      <c r="BA587" s="173"/>
      <c r="BB587" s="173"/>
      <c r="BC587" s="173"/>
      <c r="BD587" s="173"/>
      <c r="BE587" s="173"/>
      <c r="BF587" s="173"/>
      <c r="BG587" s="173"/>
      <c r="BH587" s="173"/>
      <c r="BI587" s="173"/>
      <c r="BJ587" s="173"/>
      <c r="BK587" s="173"/>
      <c r="BL587" s="173"/>
      <c r="BM587" s="173"/>
      <c r="BN587" s="173"/>
      <c r="BO587" s="173"/>
      <c r="BP587" s="173"/>
      <c r="BQ587" s="173"/>
      <c r="BR587" s="173"/>
      <c r="BS587" s="173"/>
      <c r="BT587" s="173"/>
      <c r="BU587" s="173"/>
      <c r="BV587" s="173"/>
      <c r="BW587" s="173"/>
      <c r="BX587" s="173"/>
      <c r="BY587" s="173"/>
    </row>
    <row r="588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  <c r="AQ588" s="173"/>
      <c r="AR588" s="173"/>
      <c r="AS588" s="173"/>
      <c r="AT588" s="173"/>
      <c r="AU588" s="173"/>
      <c r="AV588" s="173"/>
      <c r="AW588" s="173"/>
      <c r="AX588" s="173"/>
      <c r="AY588" s="173"/>
      <c r="AZ588" s="173"/>
      <c r="BA588" s="173"/>
      <c r="BB588" s="173"/>
      <c r="BC588" s="173"/>
      <c r="BD588" s="173"/>
      <c r="BE588" s="173"/>
      <c r="BF588" s="173"/>
      <c r="BG588" s="173"/>
      <c r="BH588" s="173"/>
      <c r="BI588" s="173"/>
      <c r="BJ588" s="173"/>
      <c r="BK588" s="173"/>
      <c r="BL588" s="173"/>
      <c r="BM588" s="173"/>
      <c r="BN588" s="173"/>
      <c r="BO588" s="173"/>
      <c r="BP588" s="173"/>
      <c r="BQ588" s="173"/>
      <c r="BR588" s="173"/>
      <c r="BS588" s="173"/>
      <c r="BT588" s="173"/>
      <c r="BU588" s="173"/>
      <c r="BV588" s="173"/>
      <c r="BW588" s="173"/>
      <c r="BX588" s="173"/>
      <c r="BY588" s="173"/>
    </row>
    <row r="589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  <c r="AQ589" s="173"/>
      <c r="AR589" s="173"/>
      <c r="AS589" s="173"/>
      <c r="AT589" s="173"/>
      <c r="AU589" s="173"/>
      <c r="AV589" s="173"/>
      <c r="AW589" s="173"/>
      <c r="AX589" s="173"/>
      <c r="AY589" s="173"/>
      <c r="AZ589" s="173"/>
      <c r="BA589" s="173"/>
      <c r="BB589" s="173"/>
      <c r="BC589" s="173"/>
      <c r="BD589" s="173"/>
      <c r="BE589" s="173"/>
      <c r="BF589" s="173"/>
      <c r="BG589" s="173"/>
      <c r="BH589" s="173"/>
      <c r="BI589" s="173"/>
      <c r="BJ589" s="173"/>
      <c r="BK589" s="173"/>
      <c r="BL589" s="173"/>
      <c r="BM589" s="173"/>
      <c r="BN589" s="173"/>
      <c r="BO589" s="173"/>
      <c r="BP589" s="173"/>
      <c r="BQ589" s="173"/>
      <c r="BR589" s="173"/>
      <c r="BS589" s="173"/>
      <c r="BT589" s="173"/>
      <c r="BU589" s="173"/>
      <c r="BV589" s="173"/>
      <c r="BW589" s="173"/>
      <c r="BX589" s="173"/>
      <c r="BY589" s="173"/>
    </row>
    <row r="590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  <c r="AQ590" s="173"/>
      <c r="AR590" s="173"/>
      <c r="AS590" s="173"/>
      <c r="AT590" s="173"/>
      <c r="AU590" s="173"/>
      <c r="AV590" s="173"/>
      <c r="AW590" s="173"/>
      <c r="AX590" s="173"/>
      <c r="AY590" s="173"/>
      <c r="AZ590" s="173"/>
      <c r="BA590" s="173"/>
      <c r="BB590" s="173"/>
      <c r="BC590" s="173"/>
      <c r="BD590" s="173"/>
      <c r="BE590" s="173"/>
      <c r="BF590" s="173"/>
      <c r="BG590" s="173"/>
      <c r="BH590" s="173"/>
      <c r="BI590" s="173"/>
      <c r="BJ590" s="173"/>
      <c r="BK590" s="173"/>
      <c r="BL590" s="173"/>
      <c r="BM590" s="173"/>
      <c r="BN590" s="173"/>
      <c r="BO590" s="173"/>
      <c r="BP590" s="173"/>
      <c r="BQ590" s="173"/>
      <c r="BR590" s="173"/>
      <c r="BS590" s="173"/>
      <c r="BT590" s="173"/>
      <c r="BU590" s="173"/>
      <c r="BV590" s="173"/>
      <c r="BW590" s="173"/>
      <c r="BX590" s="173"/>
      <c r="BY590" s="173"/>
    </row>
    <row r="59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  <c r="AQ591" s="173"/>
      <c r="AR591" s="173"/>
      <c r="AS591" s="173"/>
      <c r="AT591" s="173"/>
      <c r="AU591" s="173"/>
      <c r="AV591" s="173"/>
      <c r="AW591" s="173"/>
      <c r="AX591" s="173"/>
      <c r="AY591" s="173"/>
      <c r="AZ591" s="173"/>
      <c r="BA591" s="173"/>
      <c r="BB591" s="173"/>
      <c r="BC591" s="173"/>
      <c r="BD591" s="173"/>
      <c r="BE591" s="173"/>
      <c r="BF591" s="173"/>
      <c r="BG591" s="173"/>
      <c r="BH591" s="173"/>
      <c r="BI591" s="173"/>
      <c r="BJ591" s="173"/>
      <c r="BK591" s="173"/>
      <c r="BL591" s="173"/>
      <c r="BM591" s="173"/>
      <c r="BN591" s="173"/>
      <c r="BO591" s="173"/>
      <c r="BP591" s="173"/>
      <c r="BQ591" s="173"/>
      <c r="BR591" s="173"/>
      <c r="BS591" s="173"/>
      <c r="BT591" s="173"/>
      <c r="BU591" s="173"/>
      <c r="BV591" s="173"/>
      <c r="BW591" s="173"/>
      <c r="BX591" s="173"/>
      <c r="BY591" s="173"/>
    </row>
    <row r="592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  <c r="AQ592" s="173"/>
      <c r="AR592" s="173"/>
      <c r="AS592" s="173"/>
      <c r="AT592" s="173"/>
      <c r="AU592" s="173"/>
      <c r="AV592" s="173"/>
      <c r="AW592" s="173"/>
      <c r="AX592" s="173"/>
      <c r="AY592" s="173"/>
      <c r="AZ592" s="173"/>
      <c r="BA592" s="173"/>
      <c r="BB592" s="173"/>
      <c r="BC592" s="173"/>
      <c r="BD592" s="173"/>
      <c r="BE592" s="173"/>
      <c r="BF592" s="173"/>
      <c r="BG592" s="173"/>
      <c r="BH592" s="173"/>
      <c r="BI592" s="173"/>
      <c r="BJ592" s="173"/>
      <c r="BK592" s="173"/>
      <c r="BL592" s="173"/>
      <c r="BM592" s="173"/>
      <c r="BN592" s="173"/>
      <c r="BO592" s="173"/>
      <c r="BP592" s="173"/>
      <c r="BQ592" s="173"/>
      <c r="BR592" s="173"/>
      <c r="BS592" s="173"/>
      <c r="BT592" s="173"/>
      <c r="BU592" s="173"/>
      <c r="BV592" s="173"/>
      <c r="BW592" s="173"/>
      <c r="BX592" s="173"/>
      <c r="BY592" s="173"/>
    </row>
    <row r="593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  <c r="AQ593" s="173"/>
      <c r="AR593" s="173"/>
      <c r="AS593" s="173"/>
      <c r="AT593" s="173"/>
      <c r="AU593" s="173"/>
      <c r="AV593" s="173"/>
      <c r="AW593" s="173"/>
      <c r="AX593" s="173"/>
      <c r="AY593" s="173"/>
      <c r="AZ593" s="173"/>
      <c r="BA593" s="173"/>
      <c r="BB593" s="173"/>
      <c r="BC593" s="173"/>
      <c r="BD593" s="173"/>
      <c r="BE593" s="173"/>
      <c r="BF593" s="173"/>
      <c r="BG593" s="173"/>
      <c r="BH593" s="173"/>
      <c r="BI593" s="173"/>
      <c r="BJ593" s="173"/>
      <c r="BK593" s="173"/>
      <c r="BL593" s="173"/>
      <c r="BM593" s="173"/>
      <c r="BN593" s="173"/>
      <c r="BO593" s="173"/>
      <c r="BP593" s="173"/>
      <c r="BQ593" s="173"/>
      <c r="BR593" s="173"/>
      <c r="BS593" s="173"/>
      <c r="BT593" s="173"/>
      <c r="BU593" s="173"/>
      <c r="BV593" s="173"/>
      <c r="BW593" s="173"/>
      <c r="BX593" s="173"/>
      <c r="BY593" s="173"/>
    </row>
    <row r="594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  <c r="AQ594" s="173"/>
      <c r="AR594" s="173"/>
      <c r="AS594" s="173"/>
      <c r="AT594" s="173"/>
      <c r="AU594" s="173"/>
      <c r="AV594" s="173"/>
      <c r="AW594" s="173"/>
      <c r="AX594" s="173"/>
      <c r="AY594" s="173"/>
      <c r="AZ594" s="173"/>
      <c r="BA594" s="173"/>
      <c r="BB594" s="173"/>
      <c r="BC594" s="173"/>
      <c r="BD594" s="173"/>
      <c r="BE594" s="173"/>
      <c r="BF594" s="173"/>
      <c r="BG594" s="173"/>
      <c r="BH594" s="173"/>
      <c r="BI594" s="173"/>
      <c r="BJ594" s="173"/>
      <c r="BK594" s="173"/>
      <c r="BL594" s="173"/>
      <c r="BM594" s="173"/>
      <c r="BN594" s="173"/>
      <c r="BO594" s="173"/>
      <c r="BP594" s="173"/>
      <c r="BQ594" s="173"/>
      <c r="BR594" s="173"/>
      <c r="BS594" s="173"/>
      <c r="BT594" s="173"/>
      <c r="BU594" s="173"/>
      <c r="BV594" s="173"/>
      <c r="BW594" s="173"/>
      <c r="BX594" s="173"/>
      <c r="BY594" s="173"/>
    </row>
    <row r="595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  <c r="AQ595" s="173"/>
      <c r="AR595" s="173"/>
      <c r="AS595" s="173"/>
      <c r="AT595" s="173"/>
      <c r="AU595" s="173"/>
      <c r="AV595" s="173"/>
      <c r="AW595" s="173"/>
      <c r="AX595" s="173"/>
      <c r="AY595" s="173"/>
      <c r="AZ595" s="173"/>
      <c r="BA595" s="173"/>
      <c r="BB595" s="173"/>
      <c r="BC595" s="173"/>
      <c r="BD595" s="173"/>
      <c r="BE595" s="173"/>
      <c r="BF595" s="173"/>
      <c r="BG595" s="173"/>
      <c r="BH595" s="173"/>
      <c r="BI595" s="173"/>
      <c r="BJ595" s="173"/>
      <c r="BK595" s="173"/>
      <c r="BL595" s="173"/>
      <c r="BM595" s="173"/>
      <c r="BN595" s="173"/>
      <c r="BO595" s="173"/>
      <c r="BP595" s="173"/>
      <c r="BQ595" s="173"/>
      <c r="BR595" s="173"/>
      <c r="BS595" s="173"/>
      <c r="BT595" s="173"/>
      <c r="BU595" s="173"/>
      <c r="BV595" s="173"/>
      <c r="BW595" s="173"/>
      <c r="BX595" s="173"/>
      <c r="BY595" s="173"/>
    </row>
    <row r="596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  <c r="AQ596" s="173"/>
      <c r="AR596" s="173"/>
      <c r="AS596" s="173"/>
      <c r="AT596" s="173"/>
      <c r="AU596" s="173"/>
      <c r="AV596" s="173"/>
      <c r="AW596" s="173"/>
      <c r="AX596" s="173"/>
      <c r="AY596" s="173"/>
      <c r="AZ596" s="173"/>
      <c r="BA596" s="173"/>
      <c r="BB596" s="173"/>
      <c r="BC596" s="173"/>
      <c r="BD596" s="173"/>
      <c r="BE596" s="173"/>
      <c r="BF596" s="173"/>
      <c r="BG596" s="173"/>
      <c r="BH596" s="173"/>
      <c r="BI596" s="173"/>
      <c r="BJ596" s="173"/>
      <c r="BK596" s="173"/>
      <c r="BL596" s="173"/>
      <c r="BM596" s="173"/>
      <c r="BN596" s="173"/>
      <c r="BO596" s="173"/>
      <c r="BP596" s="173"/>
      <c r="BQ596" s="173"/>
      <c r="BR596" s="173"/>
      <c r="BS596" s="173"/>
      <c r="BT596" s="173"/>
      <c r="BU596" s="173"/>
      <c r="BV596" s="173"/>
      <c r="BW596" s="173"/>
      <c r="BX596" s="173"/>
      <c r="BY596" s="173"/>
    </row>
    <row r="597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  <c r="AQ597" s="173"/>
      <c r="AR597" s="173"/>
      <c r="AS597" s="173"/>
      <c r="AT597" s="173"/>
      <c r="AU597" s="173"/>
      <c r="AV597" s="173"/>
      <c r="AW597" s="173"/>
      <c r="AX597" s="173"/>
      <c r="AY597" s="173"/>
      <c r="AZ597" s="173"/>
      <c r="BA597" s="173"/>
      <c r="BB597" s="173"/>
      <c r="BC597" s="173"/>
      <c r="BD597" s="173"/>
      <c r="BE597" s="173"/>
      <c r="BF597" s="173"/>
      <c r="BG597" s="173"/>
      <c r="BH597" s="173"/>
      <c r="BI597" s="173"/>
      <c r="BJ597" s="173"/>
      <c r="BK597" s="173"/>
      <c r="BL597" s="173"/>
      <c r="BM597" s="173"/>
      <c r="BN597" s="173"/>
      <c r="BO597" s="173"/>
      <c r="BP597" s="173"/>
      <c r="BQ597" s="173"/>
      <c r="BR597" s="173"/>
      <c r="BS597" s="173"/>
      <c r="BT597" s="173"/>
      <c r="BU597" s="173"/>
      <c r="BV597" s="173"/>
      <c r="BW597" s="173"/>
      <c r="BX597" s="173"/>
      <c r="BY597" s="173"/>
    </row>
    <row r="598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  <c r="AQ598" s="173"/>
      <c r="AR598" s="173"/>
      <c r="AS598" s="173"/>
      <c r="AT598" s="173"/>
      <c r="AU598" s="173"/>
      <c r="AV598" s="173"/>
      <c r="AW598" s="173"/>
      <c r="AX598" s="173"/>
      <c r="AY598" s="173"/>
      <c r="AZ598" s="173"/>
      <c r="BA598" s="173"/>
      <c r="BB598" s="173"/>
      <c r="BC598" s="173"/>
      <c r="BD598" s="173"/>
      <c r="BE598" s="173"/>
      <c r="BF598" s="173"/>
      <c r="BG598" s="173"/>
      <c r="BH598" s="173"/>
      <c r="BI598" s="173"/>
      <c r="BJ598" s="173"/>
      <c r="BK598" s="173"/>
      <c r="BL598" s="173"/>
      <c r="BM598" s="173"/>
      <c r="BN598" s="173"/>
      <c r="BO598" s="173"/>
      <c r="BP598" s="173"/>
      <c r="BQ598" s="173"/>
      <c r="BR598" s="173"/>
      <c r="BS598" s="173"/>
      <c r="BT598" s="173"/>
      <c r="BU598" s="173"/>
      <c r="BV598" s="173"/>
      <c r="BW598" s="173"/>
      <c r="BX598" s="173"/>
      <c r="BY598" s="173"/>
    </row>
    <row r="599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  <c r="AQ599" s="173"/>
      <c r="AR599" s="173"/>
      <c r="AS599" s="173"/>
      <c r="AT599" s="173"/>
      <c r="AU599" s="173"/>
      <c r="AV599" s="173"/>
      <c r="AW599" s="173"/>
      <c r="AX599" s="173"/>
      <c r="AY599" s="173"/>
      <c r="AZ599" s="173"/>
      <c r="BA599" s="173"/>
      <c r="BB599" s="173"/>
      <c r="BC599" s="173"/>
      <c r="BD599" s="173"/>
      <c r="BE599" s="173"/>
      <c r="BF599" s="173"/>
      <c r="BG599" s="173"/>
      <c r="BH599" s="173"/>
      <c r="BI599" s="173"/>
      <c r="BJ599" s="173"/>
      <c r="BK599" s="173"/>
      <c r="BL599" s="173"/>
      <c r="BM599" s="173"/>
      <c r="BN599" s="173"/>
      <c r="BO599" s="173"/>
      <c r="BP599" s="173"/>
      <c r="BQ599" s="173"/>
      <c r="BR599" s="173"/>
      <c r="BS599" s="173"/>
      <c r="BT599" s="173"/>
      <c r="BU599" s="173"/>
      <c r="BV599" s="173"/>
      <c r="BW599" s="173"/>
      <c r="BX599" s="173"/>
      <c r="BY599" s="173"/>
    </row>
    <row r="600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  <c r="AQ600" s="173"/>
      <c r="AR600" s="173"/>
      <c r="AS600" s="173"/>
      <c r="AT600" s="173"/>
      <c r="AU600" s="173"/>
      <c r="AV600" s="173"/>
      <c r="AW600" s="173"/>
      <c r="AX600" s="173"/>
      <c r="AY600" s="173"/>
      <c r="AZ600" s="173"/>
      <c r="BA600" s="173"/>
      <c r="BB600" s="173"/>
      <c r="BC600" s="173"/>
      <c r="BD600" s="173"/>
      <c r="BE600" s="173"/>
      <c r="BF600" s="173"/>
      <c r="BG600" s="173"/>
      <c r="BH600" s="173"/>
      <c r="BI600" s="173"/>
      <c r="BJ600" s="173"/>
      <c r="BK600" s="173"/>
      <c r="BL600" s="173"/>
      <c r="BM600" s="173"/>
      <c r="BN600" s="173"/>
      <c r="BO600" s="173"/>
      <c r="BP600" s="173"/>
      <c r="BQ600" s="173"/>
      <c r="BR600" s="173"/>
      <c r="BS600" s="173"/>
      <c r="BT600" s="173"/>
      <c r="BU600" s="173"/>
      <c r="BV600" s="173"/>
      <c r="BW600" s="173"/>
      <c r="BX600" s="173"/>
      <c r="BY600" s="173"/>
    </row>
    <row r="60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  <c r="AQ601" s="173"/>
      <c r="AR601" s="173"/>
      <c r="AS601" s="173"/>
      <c r="AT601" s="173"/>
      <c r="AU601" s="173"/>
      <c r="AV601" s="173"/>
      <c r="AW601" s="173"/>
      <c r="AX601" s="173"/>
      <c r="AY601" s="173"/>
      <c r="AZ601" s="173"/>
      <c r="BA601" s="173"/>
      <c r="BB601" s="173"/>
      <c r="BC601" s="173"/>
      <c r="BD601" s="173"/>
      <c r="BE601" s="173"/>
      <c r="BF601" s="173"/>
      <c r="BG601" s="173"/>
      <c r="BH601" s="173"/>
      <c r="BI601" s="173"/>
      <c r="BJ601" s="173"/>
      <c r="BK601" s="173"/>
      <c r="BL601" s="173"/>
      <c r="BM601" s="173"/>
      <c r="BN601" s="173"/>
      <c r="BO601" s="173"/>
      <c r="BP601" s="173"/>
      <c r="BQ601" s="173"/>
      <c r="BR601" s="173"/>
      <c r="BS601" s="173"/>
      <c r="BT601" s="173"/>
      <c r="BU601" s="173"/>
      <c r="BV601" s="173"/>
      <c r="BW601" s="173"/>
      <c r="BX601" s="173"/>
      <c r="BY601" s="173"/>
    </row>
    <row r="602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  <c r="AQ602" s="173"/>
      <c r="AR602" s="173"/>
      <c r="AS602" s="173"/>
      <c r="AT602" s="173"/>
      <c r="AU602" s="173"/>
      <c r="AV602" s="173"/>
      <c r="AW602" s="173"/>
      <c r="AX602" s="173"/>
      <c r="AY602" s="173"/>
      <c r="AZ602" s="173"/>
      <c r="BA602" s="173"/>
      <c r="BB602" s="173"/>
      <c r="BC602" s="173"/>
      <c r="BD602" s="173"/>
      <c r="BE602" s="173"/>
      <c r="BF602" s="173"/>
      <c r="BG602" s="173"/>
      <c r="BH602" s="173"/>
      <c r="BI602" s="173"/>
      <c r="BJ602" s="173"/>
      <c r="BK602" s="173"/>
      <c r="BL602" s="173"/>
      <c r="BM602" s="173"/>
      <c r="BN602" s="173"/>
      <c r="BO602" s="173"/>
      <c r="BP602" s="173"/>
      <c r="BQ602" s="173"/>
      <c r="BR602" s="173"/>
      <c r="BS602" s="173"/>
      <c r="BT602" s="173"/>
      <c r="BU602" s="173"/>
      <c r="BV602" s="173"/>
      <c r="BW602" s="173"/>
      <c r="BX602" s="173"/>
      <c r="BY602" s="173"/>
    </row>
    <row r="603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  <c r="AQ603" s="173"/>
      <c r="AR603" s="173"/>
      <c r="AS603" s="173"/>
      <c r="AT603" s="173"/>
      <c r="AU603" s="173"/>
      <c r="AV603" s="173"/>
      <c r="AW603" s="173"/>
      <c r="AX603" s="173"/>
      <c r="AY603" s="173"/>
      <c r="AZ603" s="173"/>
      <c r="BA603" s="173"/>
      <c r="BB603" s="173"/>
      <c r="BC603" s="173"/>
      <c r="BD603" s="173"/>
      <c r="BE603" s="173"/>
      <c r="BF603" s="173"/>
      <c r="BG603" s="173"/>
      <c r="BH603" s="173"/>
      <c r="BI603" s="173"/>
      <c r="BJ603" s="173"/>
      <c r="BK603" s="173"/>
      <c r="BL603" s="173"/>
      <c r="BM603" s="173"/>
      <c r="BN603" s="173"/>
      <c r="BO603" s="173"/>
      <c r="BP603" s="173"/>
      <c r="BQ603" s="173"/>
      <c r="BR603" s="173"/>
      <c r="BS603" s="173"/>
      <c r="BT603" s="173"/>
      <c r="BU603" s="173"/>
      <c r="BV603" s="173"/>
      <c r="BW603" s="173"/>
      <c r="BX603" s="173"/>
      <c r="BY603" s="173"/>
    </row>
    <row r="604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  <c r="AQ604" s="173"/>
      <c r="AR604" s="173"/>
      <c r="AS604" s="173"/>
      <c r="AT604" s="173"/>
      <c r="AU604" s="173"/>
      <c r="AV604" s="173"/>
      <c r="AW604" s="173"/>
      <c r="AX604" s="173"/>
      <c r="AY604" s="173"/>
      <c r="AZ604" s="173"/>
      <c r="BA604" s="173"/>
      <c r="BB604" s="173"/>
      <c r="BC604" s="173"/>
      <c r="BD604" s="173"/>
      <c r="BE604" s="173"/>
      <c r="BF604" s="173"/>
      <c r="BG604" s="173"/>
      <c r="BH604" s="173"/>
      <c r="BI604" s="173"/>
      <c r="BJ604" s="173"/>
      <c r="BK604" s="173"/>
      <c r="BL604" s="173"/>
      <c r="BM604" s="173"/>
      <c r="BN604" s="173"/>
      <c r="BO604" s="173"/>
      <c r="BP604" s="173"/>
      <c r="BQ604" s="173"/>
      <c r="BR604" s="173"/>
      <c r="BS604" s="173"/>
      <c r="BT604" s="173"/>
      <c r="BU604" s="173"/>
      <c r="BV604" s="173"/>
      <c r="BW604" s="173"/>
      <c r="BX604" s="173"/>
      <c r="BY604" s="173"/>
    </row>
    <row r="605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  <c r="AQ605" s="173"/>
      <c r="AR605" s="173"/>
      <c r="AS605" s="173"/>
      <c r="AT605" s="173"/>
      <c r="AU605" s="173"/>
      <c r="AV605" s="173"/>
      <c r="AW605" s="173"/>
      <c r="AX605" s="173"/>
      <c r="AY605" s="173"/>
      <c r="AZ605" s="173"/>
      <c r="BA605" s="173"/>
      <c r="BB605" s="173"/>
      <c r="BC605" s="173"/>
      <c r="BD605" s="173"/>
      <c r="BE605" s="173"/>
      <c r="BF605" s="173"/>
      <c r="BG605" s="173"/>
      <c r="BH605" s="173"/>
      <c r="BI605" s="173"/>
      <c r="BJ605" s="173"/>
      <c r="BK605" s="173"/>
      <c r="BL605" s="173"/>
      <c r="BM605" s="173"/>
      <c r="BN605" s="173"/>
      <c r="BO605" s="173"/>
      <c r="BP605" s="173"/>
      <c r="BQ605" s="173"/>
      <c r="BR605" s="173"/>
      <c r="BS605" s="173"/>
      <c r="BT605" s="173"/>
      <c r="BU605" s="173"/>
      <c r="BV605" s="173"/>
      <c r="BW605" s="173"/>
      <c r="BX605" s="173"/>
      <c r="BY605" s="173"/>
    </row>
    <row r="606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  <c r="AQ606" s="173"/>
      <c r="AR606" s="173"/>
      <c r="AS606" s="173"/>
      <c r="AT606" s="173"/>
      <c r="AU606" s="173"/>
      <c r="AV606" s="173"/>
      <c r="AW606" s="173"/>
      <c r="AX606" s="173"/>
      <c r="AY606" s="173"/>
      <c r="AZ606" s="173"/>
      <c r="BA606" s="173"/>
      <c r="BB606" s="173"/>
      <c r="BC606" s="173"/>
      <c r="BD606" s="173"/>
      <c r="BE606" s="173"/>
      <c r="BF606" s="173"/>
      <c r="BG606" s="173"/>
      <c r="BH606" s="173"/>
      <c r="BI606" s="173"/>
      <c r="BJ606" s="173"/>
      <c r="BK606" s="173"/>
      <c r="BL606" s="173"/>
      <c r="BM606" s="173"/>
      <c r="BN606" s="173"/>
      <c r="BO606" s="173"/>
      <c r="BP606" s="173"/>
      <c r="BQ606" s="173"/>
      <c r="BR606" s="173"/>
      <c r="BS606" s="173"/>
      <c r="BT606" s="173"/>
      <c r="BU606" s="173"/>
      <c r="BV606" s="173"/>
      <c r="BW606" s="173"/>
      <c r="BX606" s="173"/>
      <c r="BY606" s="173"/>
    </row>
    <row r="607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  <c r="AQ607" s="173"/>
      <c r="AR607" s="173"/>
      <c r="AS607" s="173"/>
      <c r="AT607" s="173"/>
      <c r="AU607" s="173"/>
      <c r="AV607" s="173"/>
      <c r="AW607" s="173"/>
      <c r="AX607" s="173"/>
      <c r="AY607" s="173"/>
      <c r="AZ607" s="173"/>
      <c r="BA607" s="173"/>
      <c r="BB607" s="173"/>
      <c r="BC607" s="173"/>
      <c r="BD607" s="173"/>
      <c r="BE607" s="173"/>
      <c r="BF607" s="173"/>
      <c r="BG607" s="173"/>
      <c r="BH607" s="173"/>
      <c r="BI607" s="173"/>
      <c r="BJ607" s="173"/>
      <c r="BK607" s="173"/>
      <c r="BL607" s="173"/>
      <c r="BM607" s="173"/>
      <c r="BN607" s="173"/>
      <c r="BO607" s="173"/>
      <c r="BP607" s="173"/>
      <c r="BQ607" s="173"/>
      <c r="BR607" s="173"/>
      <c r="BS607" s="173"/>
      <c r="BT607" s="173"/>
      <c r="BU607" s="173"/>
      <c r="BV607" s="173"/>
      <c r="BW607" s="173"/>
      <c r="BX607" s="173"/>
      <c r="BY607" s="173"/>
    </row>
    <row r="608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  <c r="AQ608" s="173"/>
      <c r="AR608" s="173"/>
      <c r="AS608" s="173"/>
      <c r="AT608" s="173"/>
      <c r="AU608" s="173"/>
      <c r="AV608" s="173"/>
      <c r="AW608" s="173"/>
      <c r="AX608" s="173"/>
      <c r="AY608" s="173"/>
      <c r="AZ608" s="173"/>
      <c r="BA608" s="173"/>
      <c r="BB608" s="173"/>
      <c r="BC608" s="173"/>
      <c r="BD608" s="173"/>
      <c r="BE608" s="173"/>
      <c r="BF608" s="173"/>
      <c r="BG608" s="173"/>
      <c r="BH608" s="173"/>
      <c r="BI608" s="173"/>
      <c r="BJ608" s="173"/>
      <c r="BK608" s="173"/>
      <c r="BL608" s="173"/>
      <c r="BM608" s="173"/>
      <c r="BN608" s="173"/>
      <c r="BO608" s="173"/>
      <c r="BP608" s="173"/>
      <c r="BQ608" s="173"/>
      <c r="BR608" s="173"/>
      <c r="BS608" s="173"/>
      <c r="BT608" s="173"/>
      <c r="BU608" s="173"/>
      <c r="BV608" s="173"/>
      <c r="BW608" s="173"/>
      <c r="BX608" s="173"/>
      <c r="BY608" s="173"/>
    </row>
    <row r="609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  <c r="AQ609" s="173"/>
      <c r="AR609" s="173"/>
      <c r="AS609" s="173"/>
      <c r="AT609" s="173"/>
      <c r="AU609" s="173"/>
      <c r="AV609" s="173"/>
      <c r="AW609" s="173"/>
      <c r="AX609" s="173"/>
      <c r="AY609" s="173"/>
      <c r="AZ609" s="173"/>
      <c r="BA609" s="173"/>
      <c r="BB609" s="173"/>
      <c r="BC609" s="173"/>
      <c r="BD609" s="173"/>
      <c r="BE609" s="173"/>
      <c r="BF609" s="173"/>
      <c r="BG609" s="173"/>
      <c r="BH609" s="173"/>
      <c r="BI609" s="173"/>
      <c r="BJ609" s="173"/>
      <c r="BK609" s="173"/>
      <c r="BL609" s="173"/>
      <c r="BM609" s="173"/>
      <c r="BN609" s="173"/>
      <c r="BO609" s="173"/>
      <c r="BP609" s="173"/>
      <c r="BQ609" s="173"/>
      <c r="BR609" s="173"/>
      <c r="BS609" s="173"/>
      <c r="BT609" s="173"/>
      <c r="BU609" s="173"/>
      <c r="BV609" s="173"/>
      <c r="BW609" s="173"/>
      <c r="BX609" s="173"/>
      <c r="BY609" s="173"/>
    </row>
    <row r="610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  <c r="AQ610" s="173"/>
      <c r="AR610" s="173"/>
      <c r="AS610" s="173"/>
      <c r="AT610" s="173"/>
      <c r="AU610" s="173"/>
      <c r="AV610" s="173"/>
      <c r="AW610" s="173"/>
      <c r="AX610" s="173"/>
      <c r="AY610" s="173"/>
      <c r="AZ610" s="173"/>
      <c r="BA610" s="173"/>
      <c r="BB610" s="173"/>
      <c r="BC610" s="173"/>
      <c r="BD610" s="173"/>
      <c r="BE610" s="173"/>
      <c r="BF610" s="173"/>
      <c r="BG610" s="173"/>
      <c r="BH610" s="173"/>
      <c r="BI610" s="173"/>
      <c r="BJ610" s="173"/>
      <c r="BK610" s="173"/>
      <c r="BL610" s="173"/>
      <c r="BM610" s="173"/>
      <c r="BN610" s="173"/>
      <c r="BO610" s="173"/>
      <c r="BP610" s="173"/>
      <c r="BQ610" s="173"/>
      <c r="BR610" s="173"/>
      <c r="BS610" s="173"/>
      <c r="BT610" s="173"/>
      <c r="BU610" s="173"/>
      <c r="BV610" s="173"/>
      <c r="BW610" s="173"/>
      <c r="BX610" s="173"/>
      <c r="BY610" s="173"/>
    </row>
    <row r="61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  <c r="AQ611" s="173"/>
      <c r="AR611" s="173"/>
      <c r="AS611" s="173"/>
      <c r="AT611" s="173"/>
      <c r="AU611" s="173"/>
      <c r="AV611" s="173"/>
      <c r="AW611" s="173"/>
      <c r="AX611" s="173"/>
      <c r="AY611" s="173"/>
      <c r="AZ611" s="173"/>
      <c r="BA611" s="173"/>
      <c r="BB611" s="173"/>
      <c r="BC611" s="173"/>
      <c r="BD611" s="173"/>
      <c r="BE611" s="173"/>
      <c r="BF611" s="173"/>
      <c r="BG611" s="173"/>
      <c r="BH611" s="173"/>
      <c r="BI611" s="173"/>
      <c r="BJ611" s="173"/>
      <c r="BK611" s="173"/>
      <c r="BL611" s="173"/>
      <c r="BM611" s="173"/>
      <c r="BN611" s="173"/>
      <c r="BO611" s="173"/>
      <c r="BP611" s="173"/>
      <c r="BQ611" s="173"/>
      <c r="BR611" s="173"/>
      <c r="BS611" s="173"/>
      <c r="BT611" s="173"/>
      <c r="BU611" s="173"/>
      <c r="BV611" s="173"/>
      <c r="BW611" s="173"/>
      <c r="BX611" s="173"/>
      <c r="BY611" s="173"/>
    </row>
    <row r="612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  <c r="AQ612" s="173"/>
      <c r="AR612" s="173"/>
      <c r="AS612" s="173"/>
      <c r="AT612" s="173"/>
      <c r="AU612" s="173"/>
      <c r="AV612" s="173"/>
      <c r="AW612" s="173"/>
      <c r="AX612" s="173"/>
      <c r="AY612" s="173"/>
      <c r="AZ612" s="173"/>
      <c r="BA612" s="173"/>
      <c r="BB612" s="173"/>
      <c r="BC612" s="173"/>
      <c r="BD612" s="173"/>
      <c r="BE612" s="173"/>
      <c r="BF612" s="173"/>
      <c r="BG612" s="173"/>
      <c r="BH612" s="173"/>
      <c r="BI612" s="173"/>
      <c r="BJ612" s="173"/>
      <c r="BK612" s="173"/>
      <c r="BL612" s="173"/>
      <c r="BM612" s="173"/>
      <c r="BN612" s="173"/>
      <c r="BO612" s="173"/>
      <c r="BP612" s="173"/>
      <c r="BQ612" s="173"/>
      <c r="BR612" s="173"/>
      <c r="BS612" s="173"/>
      <c r="BT612" s="173"/>
      <c r="BU612" s="173"/>
      <c r="BV612" s="173"/>
      <c r="BW612" s="173"/>
      <c r="BX612" s="173"/>
      <c r="BY612" s="173"/>
    </row>
    <row r="613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  <c r="AQ613" s="173"/>
      <c r="AR613" s="173"/>
      <c r="AS613" s="173"/>
      <c r="AT613" s="173"/>
      <c r="AU613" s="173"/>
      <c r="AV613" s="173"/>
      <c r="AW613" s="173"/>
      <c r="AX613" s="173"/>
      <c r="AY613" s="173"/>
      <c r="AZ613" s="173"/>
      <c r="BA613" s="173"/>
      <c r="BB613" s="173"/>
      <c r="BC613" s="173"/>
      <c r="BD613" s="173"/>
      <c r="BE613" s="173"/>
      <c r="BF613" s="173"/>
      <c r="BG613" s="173"/>
      <c r="BH613" s="173"/>
      <c r="BI613" s="173"/>
      <c r="BJ613" s="173"/>
      <c r="BK613" s="173"/>
      <c r="BL613" s="173"/>
      <c r="BM613" s="173"/>
      <c r="BN613" s="173"/>
      <c r="BO613" s="173"/>
      <c r="BP613" s="173"/>
      <c r="BQ613" s="173"/>
      <c r="BR613" s="173"/>
      <c r="BS613" s="173"/>
      <c r="BT613" s="173"/>
      <c r="BU613" s="173"/>
      <c r="BV613" s="173"/>
      <c r="BW613" s="173"/>
      <c r="BX613" s="173"/>
      <c r="BY613" s="173"/>
    </row>
    <row r="614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  <c r="AQ614" s="173"/>
      <c r="AR614" s="173"/>
      <c r="AS614" s="173"/>
      <c r="AT614" s="173"/>
      <c r="AU614" s="173"/>
      <c r="AV614" s="173"/>
      <c r="AW614" s="173"/>
      <c r="AX614" s="173"/>
      <c r="AY614" s="173"/>
      <c r="AZ614" s="173"/>
      <c r="BA614" s="173"/>
      <c r="BB614" s="173"/>
      <c r="BC614" s="173"/>
      <c r="BD614" s="173"/>
      <c r="BE614" s="173"/>
      <c r="BF614" s="173"/>
      <c r="BG614" s="173"/>
      <c r="BH614" s="173"/>
      <c r="BI614" s="173"/>
      <c r="BJ614" s="173"/>
      <c r="BK614" s="173"/>
      <c r="BL614" s="173"/>
      <c r="BM614" s="173"/>
      <c r="BN614" s="173"/>
      <c r="BO614" s="173"/>
      <c r="BP614" s="173"/>
      <c r="BQ614" s="173"/>
      <c r="BR614" s="173"/>
      <c r="BS614" s="173"/>
      <c r="BT614" s="173"/>
      <c r="BU614" s="173"/>
      <c r="BV614" s="173"/>
      <c r="BW614" s="173"/>
      <c r="BX614" s="173"/>
      <c r="BY614" s="173"/>
    </row>
    <row r="615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  <c r="AQ615" s="173"/>
      <c r="AR615" s="173"/>
      <c r="AS615" s="173"/>
      <c r="AT615" s="173"/>
      <c r="AU615" s="173"/>
      <c r="AV615" s="173"/>
      <c r="AW615" s="173"/>
      <c r="AX615" s="173"/>
      <c r="AY615" s="173"/>
      <c r="AZ615" s="173"/>
      <c r="BA615" s="173"/>
      <c r="BB615" s="173"/>
      <c r="BC615" s="173"/>
      <c r="BD615" s="173"/>
      <c r="BE615" s="173"/>
      <c r="BF615" s="173"/>
      <c r="BG615" s="173"/>
      <c r="BH615" s="173"/>
      <c r="BI615" s="173"/>
      <c r="BJ615" s="173"/>
      <c r="BK615" s="173"/>
      <c r="BL615" s="173"/>
      <c r="BM615" s="173"/>
      <c r="BN615" s="173"/>
      <c r="BO615" s="173"/>
      <c r="BP615" s="173"/>
      <c r="BQ615" s="173"/>
      <c r="BR615" s="173"/>
      <c r="BS615" s="173"/>
      <c r="BT615" s="173"/>
      <c r="BU615" s="173"/>
      <c r="BV615" s="173"/>
      <c r="BW615" s="173"/>
      <c r="BX615" s="173"/>
      <c r="BY615" s="173"/>
    </row>
    <row r="616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  <c r="AQ616" s="173"/>
      <c r="AR616" s="173"/>
      <c r="AS616" s="173"/>
      <c r="AT616" s="173"/>
      <c r="AU616" s="173"/>
      <c r="AV616" s="173"/>
      <c r="AW616" s="173"/>
      <c r="AX616" s="173"/>
      <c r="AY616" s="173"/>
      <c r="AZ616" s="173"/>
      <c r="BA616" s="173"/>
      <c r="BB616" s="173"/>
      <c r="BC616" s="173"/>
      <c r="BD616" s="173"/>
      <c r="BE616" s="173"/>
      <c r="BF616" s="173"/>
      <c r="BG616" s="173"/>
      <c r="BH616" s="173"/>
      <c r="BI616" s="173"/>
      <c r="BJ616" s="173"/>
      <c r="BK616" s="173"/>
      <c r="BL616" s="173"/>
      <c r="BM616" s="173"/>
      <c r="BN616" s="173"/>
      <c r="BO616" s="173"/>
      <c r="BP616" s="173"/>
      <c r="BQ616" s="173"/>
      <c r="BR616" s="173"/>
      <c r="BS616" s="173"/>
      <c r="BT616" s="173"/>
      <c r="BU616" s="173"/>
      <c r="BV616" s="173"/>
      <c r="BW616" s="173"/>
      <c r="BX616" s="173"/>
      <c r="BY616" s="173"/>
    </row>
    <row r="617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  <c r="AQ617" s="173"/>
      <c r="AR617" s="173"/>
      <c r="AS617" s="173"/>
      <c r="AT617" s="173"/>
      <c r="AU617" s="173"/>
      <c r="AV617" s="173"/>
      <c r="AW617" s="173"/>
      <c r="AX617" s="173"/>
      <c r="AY617" s="173"/>
      <c r="AZ617" s="173"/>
      <c r="BA617" s="173"/>
      <c r="BB617" s="173"/>
      <c r="BC617" s="173"/>
      <c r="BD617" s="173"/>
      <c r="BE617" s="173"/>
      <c r="BF617" s="173"/>
      <c r="BG617" s="173"/>
      <c r="BH617" s="173"/>
      <c r="BI617" s="173"/>
      <c r="BJ617" s="173"/>
      <c r="BK617" s="173"/>
      <c r="BL617" s="173"/>
      <c r="BM617" s="173"/>
      <c r="BN617" s="173"/>
      <c r="BO617" s="173"/>
      <c r="BP617" s="173"/>
      <c r="BQ617" s="173"/>
      <c r="BR617" s="173"/>
      <c r="BS617" s="173"/>
      <c r="BT617" s="173"/>
      <c r="BU617" s="173"/>
      <c r="BV617" s="173"/>
      <c r="BW617" s="173"/>
      <c r="BX617" s="173"/>
      <c r="BY617" s="173"/>
    </row>
    <row r="618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  <c r="AQ618" s="173"/>
      <c r="AR618" s="173"/>
      <c r="AS618" s="173"/>
      <c r="AT618" s="173"/>
      <c r="AU618" s="173"/>
      <c r="AV618" s="173"/>
      <c r="AW618" s="173"/>
      <c r="AX618" s="173"/>
      <c r="AY618" s="173"/>
      <c r="AZ618" s="173"/>
      <c r="BA618" s="173"/>
      <c r="BB618" s="173"/>
      <c r="BC618" s="173"/>
      <c r="BD618" s="173"/>
      <c r="BE618" s="173"/>
      <c r="BF618" s="173"/>
      <c r="BG618" s="173"/>
      <c r="BH618" s="173"/>
      <c r="BI618" s="173"/>
      <c r="BJ618" s="173"/>
      <c r="BK618" s="173"/>
      <c r="BL618" s="173"/>
      <c r="BM618" s="173"/>
      <c r="BN618" s="173"/>
      <c r="BO618" s="173"/>
      <c r="BP618" s="173"/>
      <c r="BQ618" s="173"/>
      <c r="BR618" s="173"/>
      <c r="BS618" s="173"/>
      <c r="BT618" s="173"/>
      <c r="BU618" s="173"/>
      <c r="BV618" s="173"/>
      <c r="BW618" s="173"/>
      <c r="BX618" s="173"/>
      <c r="BY618" s="173"/>
    </row>
    <row r="619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  <c r="AQ619" s="173"/>
      <c r="AR619" s="173"/>
      <c r="AS619" s="173"/>
      <c r="AT619" s="173"/>
      <c r="AU619" s="173"/>
      <c r="AV619" s="173"/>
      <c r="AW619" s="173"/>
      <c r="AX619" s="173"/>
      <c r="AY619" s="173"/>
      <c r="AZ619" s="173"/>
      <c r="BA619" s="173"/>
      <c r="BB619" s="173"/>
      <c r="BC619" s="173"/>
      <c r="BD619" s="173"/>
      <c r="BE619" s="173"/>
      <c r="BF619" s="173"/>
      <c r="BG619" s="173"/>
      <c r="BH619" s="173"/>
      <c r="BI619" s="173"/>
      <c r="BJ619" s="173"/>
      <c r="BK619" s="173"/>
      <c r="BL619" s="173"/>
      <c r="BM619" s="173"/>
      <c r="BN619" s="173"/>
      <c r="BO619" s="173"/>
      <c r="BP619" s="173"/>
      <c r="BQ619" s="173"/>
      <c r="BR619" s="173"/>
      <c r="BS619" s="173"/>
      <c r="BT619" s="173"/>
      <c r="BU619" s="173"/>
      <c r="BV619" s="173"/>
      <c r="BW619" s="173"/>
      <c r="BX619" s="173"/>
      <c r="BY619" s="173"/>
    </row>
    <row r="620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  <c r="AQ620" s="173"/>
      <c r="AR620" s="173"/>
      <c r="AS620" s="173"/>
      <c r="AT620" s="173"/>
      <c r="AU620" s="173"/>
      <c r="AV620" s="173"/>
      <c r="AW620" s="173"/>
      <c r="AX620" s="173"/>
      <c r="AY620" s="173"/>
      <c r="AZ620" s="173"/>
      <c r="BA620" s="173"/>
      <c r="BB620" s="173"/>
      <c r="BC620" s="173"/>
      <c r="BD620" s="173"/>
      <c r="BE620" s="173"/>
      <c r="BF620" s="173"/>
      <c r="BG620" s="173"/>
      <c r="BH620" s="173"/>
      <c r="BI620" s="173"/>
      <c r="BJ620" s="173"/>
      <c r="BK620" s="173"/>
      <c r="BL620" s="173"/>
      <c r="BM620" s="173"/>
      <c r="BN620" s="173"/>
      <c r="BO620" s="173"/>
      <c r="BP620" s="173"/>
      <c r="BQ620" s="173"/>
      <c r="BR620" s="173"/>
      <c r="BS620" s="173"/>
      <c r="BT620" s="173"/>
      <c r="BU620" s="173"/>
      <c r="BV620" s="173"/>
      <c r="BW620" s="173"/>
      <c r="BX620" s="173"/>
      <c r="BY620" s="173"/>
    </row>
    <row r="62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  <c r="AQ621" s="173"/>
      <c r="AR621" s="173"/>
      <c r="AS621" s="173"/>
      <c r="AT621" s="173"/>
      <c r="AU621" s="173"/>
      <c r="AV621" s="173"/>
      <c r="AW621" s="173"/>
      <c r="AX621" s="173"/>
      <c r="AY621" s="173"/>
      <c r="AZ621" s="173"/>
      <c r="BA621" s="173"/>
      <c r="BB621" s="173"/>
      <c r="BC621" s="173"/>
      <c r="BD621" s="173"/>
      <c r="BE621" s="173"/>
      <c r="BF621" s="173"/>
      <c r="BG621" s="173"/>
      <c r="BH621" s="173"/>
      <c r="BI621" s="173"/>
      <c r="BJ621" s="173"/>
      <c r="BK621" s="173"/>
      <c r="BL621" s="173"/>
      <c r="BM621" s="173"/>
      <c r="BN621" s="173"/>
      <c r="BO621" s="173"/>
      <c r="BP621" s="173"/>
      <c r="BQ621" s="173"/>
      <c r="BR621" s="173"/>
      <c r="BS621" s="173"/>
      <c r="BT621" s="173"/>
      <c r="BU621" s="173"/>
      <c r="BV621" s="173"/>
      <c r="BW621" s="173"/>
      <c r="BX621" s="173"/>
      <c r="BY621" s="173"/>
    </row>
    <row r="622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  <c r="AQ622" s="173"/>
      <c r="AR622" s="173"/>
      <c r="AS622" s="173"/>
      <c r="AT622" s="173"/>
      <c r="AU622" s="173"/>
      <c r="AV622" s="173"/>
      <c r="AW622" s="173"/>
      <c r="AX622" s="173"/>
      <c r="AY622" s="173"/>
      <c r="AZ622" s="173"/>
      <c r="BA622" s="173"/>
      <c r="BB622" s="173"/>
      <c r="BC622" s="173"/>
      <c r="BD622" s="173"/>
      <c r="BE622" s="173"/>
      <c r="BF622" s="173"/>
      <c r="BG622" s="173"/>
      <c r="BH622" s="173"/>
      <c r="BI622" s="173"/>
      <c r="BJ622" s="173"/>
      <c r="BK622" s="173"/>
      <c r="BL622" s="173"/>
      <c r="BM622" s="173"/>
      <c r="BN622" s="173"/>
      <c r="BO622" s="173"/>
      <c r="BP622" s="173"/>
      <c r="BQ622" s="173"/>
      <c r="BR622" s="173"/>
      <c r="BS622" s="173"/>
      <c r="BT622" s="173"/>
      <c r="BU622" s="173"/>
      <c r="BV622" s="173"/>
      <c r="BW622" s="173"/>
      <c r="BX622" s="173"/>
      <c r="BY622" s="173"/>
    </row>
    <row r="623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  <c r="AQ623" s="173"/>
      <c r="AR623" s="173"/>
      <c r="AS623" s="173"/>
      <c r="AT623" s="173"/>
      <c r="AU623" s="173"/>
      <c r="AV623" s="173"/>
      <c r="AW623" s="173"/>
      <c r="AX623" s="173"/>
      <c r="AY623" s="173"/>
      <c r="AZ623" s="173"/>
      <c r="BA623" s="173"/>
      <c r="BB623" s="173"/>
      <c r="BC623" s="173"/>
      <c r="BD623" s="173"/>
      <c r="BE623" s="173"/>
      <c r="BF623" s="173"/>
      <c r="BG623" s="173"/>
      <c r="BH623" s="173"/>
      <c r="BI623" s="173"/>
      <c r="BJ623" s="173"/>
      <c r="BK623" s="173"/>
      <c r="BL623" s="173"/>
      <c r="BM623" s="173"/>
      <c r="BN623" s="173"/>
      <c r="BO623" s="173"/>
      <c r="BP623" s="173"/>
      <c r="BQ623" s="173"/>
      <c r="BR623" s="173"/>
      <c r="BS623" s="173"/>
      <c r="BT623" s="173"/>
      <c r="BU623" s="173"/>
      <c r="BV623" s="173"/>
      <c r="BW623" s="173"/>
      <c r="BX623" s="173"/>
      <c r="BY623" s="173"/>
    </row>
    <row r="624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  <c r="AQ624" s="173"/>
      <c r="AR624" s="173"/>
      <c r="AS624" s="173"/>
      <c r="AT624" s="173"/>
      <c r="AU624" s="173"/>
      <c r="AV624" s="173"/>
      <c r="AW624" s="173"/>
      <c r="AX624" s="173"/>
      <c r="AY624" s="173"/>
      <c r="AZ624" s="173"/>
      <c r="BA624" s="173"/>
      <c r="BB624" s="173"/>
      <c r="BC624" s="173"/>
      <c r="BD624" s="173"/>
      <c r="BE624" s="173"/>
      <c r="BF624" s="173"/>
      <c r="BG624" s="173"/>
      <c r="BH624" s="173"/>
      <c r="BI624" s="173"/>
      <c r="BJ624" s="173"/>
      <c r="BK624" s="173"/>
      <c r="BL624" s="173"/>
      <c r="BM624" s="173"/>
      <c r="BN624" s="173"/>
      <c r="BO624" s="173"/>
      <c r="BP624" s="173"/>
      <c r="BQ624" s="173"/>
      <c r="BR624" s="173"/>
      <c r="BS624" s="173"/>
      <c r="BT624" s="173"/>
      <c r="BU624" s="173"/>
      <c r="BV624" s="173"/>
      <c r="BW624" s="173"/>
      <c r="BX624" s="173"/>
      <c r="BY624" s="173"/>
    </row>
    <row r="625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  <c r="AQ625" s="173"/>
      <c r="AR625" s="173"/>
      <c r="AS625" s="173"/>
      <c r="AT625" s="173"/>
      <c r="AU625" s="173"/>
      <c r="AV625" s="173"/>
      <c r="AW625" s="173"/>
      <c r="AX625" s="173"/>
      <c r="AY625" s="173"/>
      <c r="AZ625" s="173"/>
      <c r="BA625" s="173"/>
      <c r="BB625" s="173"/>
      <c r="BC625" s="173"/>
      <c r="BD625" s="173"/>
      <c r="BE625" s="173"/>
      <c r="BF625" s="173"/>
      <c r="BG625" s="173"/>
      <c r="BH625" s="173"/>
      <c r="BI625" s="173"/>
      <c r="BJ625" s="173"/>
      <c r="BK625" s="173"/>
      <c r="BL625" s="173"/>
      <c r="BM625" s="173"/>
      <c r="BN625" s="173"/>
      <c r="BO625" s="173"/>
      <c r="BP625" s="173"/>
      <c r="BQ625" s="173"/>
      <c r="BR625" s="173"/>
      <c r="BS625" s="173"/>
      <c r="BT625" s="173"/>
      <c r="BU625" s="173"/>
      <c r="BV625" s="173"/>
      <c r="BW625" s="173"/>
      <c r="BX625" s="173"/>
      <c r="BY625" s="173"/>
    </row>
    <row r="626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  <c r="AQ626" s="173"/>
      <c r="AR626" s="173"/>
      <c r="AS626" s="173"/>
      <c r="AT626" s="173"/>
      <c r="AU626" s="173"/>
      <c r="AV626" s="173"/>
      <c r="AW626" s="173"/>
      <c r="AX626" s="173"/>
      <c r="AY626" s="173"/>
      <c r="AZ626" s="173"/>
      <c r="BA626" s="173"/>
      <c r="BB626" s="173"/>
      <c r="BC626" s="173"/>
      <c r="BD626" s="173"/>
      <c r="BE626" s="173"/>
      <c r="BF626" s="173"/>
      <c r="BG626" s="173"/>
      <c r="BH626" s="173"/>
      <c r="BI626" s="173"/>
      <c r="BJ626" s="173"/>
      <c r="BK626" s="173"/>
      <c r="BL626" s="173"/>
      <c r="BM626" s="173"/>
      <c r="BN626" s="173"/>
      <c r="BO626" s="173"/>
      <c r="BP626" s="173"/>
      <c r="BQ626" s="173"/>
      <c r="BR626" s="173"/>
      <c r="BS626" s="173"/>
      <c r="BT626" s="173"/>
      <c r="BU626" s="173"/>
      <c r="BV626" s="173"/>
      <c r="BW626" s="173"/>
      <c r="BX626" s="173"/>
      <c r="BY626" s="173"/>
    </row>
    <row r="627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  <c r="AQ627" s="173"/>
      <c r="AR627" s="173"/>
      <c r="AS627" s="173"/>
      <c r="AT627" s="173"/>
      <c r="AU627" s="173"/>
      <c r="AV627" s="173"/>
      <c r="AW627" s="173"/>
      <c r="AX627" s="173"/>
      <c r="AY627" s="173"/>
      <c r="AZ627" s="173"/>
      <c r="BA627" s="173"/>
      <c r="BB627" s="173"/>
      <c r="BC627" s="173"/>
      <c r="BD627" s="173"/>
      <c r="BE627" s="173"/>
      <c r="BF627" s="173"/>
      <c r="BG627" s="173"/>
      <c r="BH627" s="173"/>
      <c r="BI627" s="173"/>
      <c r="BJ627" s="173"/>
      <c r="BK627" s="173"/>
      <c r="BL627" s="173"/>
      <c r="BM627" s="173"/>
      <c r="BN627" s="173"/>
      <c r="BO627" s="173"/>
      <c r="BP627" s="173"/>
      <c r="BQ627" s="173"/>
      <c r="BR627" s="173"/>
      <c r="BS627" s="173"/>
      <c r="BT627" s="173"/>
      <c r="BU627" s="173"/>
      <c r="BV627" s="173"/>
      <c r="BW627" s="173"/>
      <c r="BX627" s="173"/>
      <c r="BY627" s="173"/>
    </row>
    <row r="628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  <c r="AQ628" s="173"/>
      <c r="AR628" s="173"/>
      <c r="AS628" s="173"/>
      <c r="AT628" s="173"/>
      <c r="AU628" s="173"/>
      <c r="AV628" s="173"/>
      <c r="AW628" s="173"/>
      <c r="AX628" s="173"/>
      <c r="AY628" s="173"/>
      <c r="AZ628" s="173"/>
      <c r="BA628" s="173"/>
      <c r="BB628" s="173"/>
      <c r="BC628" s="173"/>
      <c r="BD628" s="173"/>
      <c r="BE628" s="173"/>
      <c r="BF628" s="173"/>
      <c r="BG628" s="173"/>
      <c r="BH628" s="173"/>
      <c r="BI628" s="173"/>
      <c r="BJ628" s="173"/>
      <c r="BK628" s="173"/>
      <c r="BL628" s="173"/>
      <c r="BM628" s="173"/>
      <c r="BN628" s="173"/>
      <c r="BO628" s="173"/>
      <c r="BP628" s="173"/>
      <c r="BQ628" s="173"/>
      <c r="BR628" s="173"/>
      <c r="BS628" s="173"/>
      <c r="BT628" s="173"/>
      <c r="BU628" s="173"/>
      <c r="BV628" s="173"/>
      <c r="BW628" s="173"/>
      <c r="BX628" s="173"/>
      <c r="BY628" s="173"/>
    </row>
    <row r="629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  <c r="AQ629" s="173"/>
      <c r="AR629" s="173"/>
      <c r="AS629" s="173"/>
      <c r="AT629" s="173"/>
      <c r="AU629" s="173"/>
      <c r="AV629" s="173"/>
      <c r="AW629" s="173"/>
      <c r="AX629" s="173"/>
      <c r="AY629" s="173"/>
      <c r="AZ629" s="173"/>
      <c r="BA629" s="173"/>
      <c r="BB629" s="173"/>
      <c r="BC629" s="173"/>
      <c r="BD629" s="173"/>
      <c r="BE629" s="173"/>
      <c r="BF629" s="173"/>
      <c r="BG629" s="173"/>
      <c r="BH629" s="173"/>
      <c r="BI629" s="173"/>
      <c r="BJ629" s="173"/>
      <c r="BK629" s="173"/>
      <c r="BL629" s="173"/>
      <c r="BM629" s="173"/>
      <c r="BN629" s="173"/>
      <c r="BO629" s="173"/>
      <c r="BP629" s="173"/>
      <c r="BQ629" s="173"/>
      <c r="BR629" s="173"/>
      <c r="BS629" s="173"/>
      <c r="BT629" s="173"/>
      <c r="BU629" s="173"/>
      <c r="BV629" s="173"/>
      <c r="BW629" s="173"/>
      <c r="BX629" s="173"/>
      <c r="BY629" s="173"/>
    </row>
    <row r="630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  <c r="AQ630" s="173"/>
      <c r="AR630" s="173"/>
      <c r="AS630" s="173"/>
      <c r="AT630" s="173"/>
      <c r="AU630" s="173"/>
      <c r="AV630" s="173"/>
      <c r="AW630" s="173"/>
      <c r="AX630" s="173"/>
      <c r="AY630" s="173"/>
      <c r="AZ630" s="173"/>
      <c r="BA630" s="173"/>
      <c r="BB630" s="173"/>
      <c r="BC630" s="173"/>
      <c r="BD630" s="173"/>
      <c r="BE630" s="173"/>
      <c r="BF630" s="173"/>
      <c r="BG630" s="173"/>
      <c r="BH630" s="173"/>
      <c r="BI630" s="173"/>
      <c r="BJ630" s="173"/>
      <c r="BK630" s="173"/>
      <c r="BL630" s="173"/>
      <c r="BM630" s="173"/>
      <c r="BN630" s="173"/>
      <c r="BO630" s="173"/>
      <c r="BP630" s="173"/>
      <c r="BQ630" s="173"/>
      <c r="BR630" s="173"/>
      <c r="BS630" s="173"/>
      <c r="BT630" s="173"/>
      <c r="BU630" s="173"/>
      <c r="BV630" s="173"/>
      <c r="BW630" s="173"/>
      <c r="BX630" s="173"/>
      <c r="BY630" s="173"/>
    </row>
    <row r="63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  <c r="AQ631" s="173"/>
      <c r="AR631" s="173"/>
      <c r="AS631" s="173"/>
      <c r="AT631" s="173"/>
      <c r="AU631" s="173"/>
      <c r="AV631" s="173"/>
      <c r="AW631" s="173"/>
      <c r="AX631" s="173"/>
      <c r="AY631" s="173"/>
      <c r="AZ631" s="173"/>
      <c r="BA631" s="173"/>
      <c r="BB631" s="173"/>
      <c r="BC631" s="173"/>
      <c r="BD631" s="173"/>
      <c r="BE631" s="173"/>
      <c r="BF631" s="173"/>
      <c r="BG631" s="173"/>
      <c r="BH631" s="173"/>
      <c r="BI631" s="173"/>
      <c r="BJ631" s="173"/>
      <c r="BK631" s="173"/>
      <c r="BL631" s="173"/>
      <c r="BM631" s="173"/>
      <c r="BN631" s="173"/>
      <c r="BO631" s="173"/>
      <c r="BP631" s="173"/>
      <c r="BQ631" s="173"/>
      <c r="BR631" s="173"/>
      <c r="BS631" s="173"/>
      <c r="BT631" s="173"/>
      <c r="BU631" s="173"/>
      <c r="BV631" s="173"/>
      <c r="BW631" s="173"/>
      <c r="BX631" s="173"/>
      <c r="BY631" s="173"/>
    </row>
    <row r="632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  <c r="AQ632" s="173"/>
      <c r="AR632" s="173"/>
      <c r="AS632" s="173"/>
      <c r="AT632" s="173"/>
      <c r="AU632" s="173"/>
      <c r="AV632" s="173"/>
      <c r="AW632" s="173"/>
      <c r="AX632" s="173"/>
      <c r="AY632" s="173"/>
      <c r="AZ632" s="173"/>
      <c r="BA632" s="173"/>
      <c r="BB632" s="173"/>
      <c r="BC632" s="173"/>
      <c r="BD632" s="173"/>
      <c r="BE632" s="173"/>
      <c r="BF632" s="173"/>
      <c r="BG632" s="173"/>
      <c r="BH632" s="173"/>
      <c r="BI632" s="173"/>
      <c r="BJ632" s="173"/>
      <c r="BK632" s="173"/>
      <c r="BL632" s="173"/>
      <c r="BM632" s="173"/>
      <c r="BN632" s="173"/>
      <c r="BO632" s="173"/>
      <c r="BP632" s="173"/>
      <c r="BQ632" s="173"/>
      <c r="BR632" s="173"/>
      <c r="BS632" s="173"/>
      <c r="BT632" s="173"/>
      <c r="BU632" s="173"/>
      <c r="BV632" s="173"/>
      <c r="BW632" s="173"/>
      <c r="BX632" s="173"/>
      <c r="BY632" s="173"/>
    </row>
    <row r="633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  <c r="AQ633" s="173"/>
      <c r="AR633" s="173"/>
      <c r="AS633" s="173"/>
      <c r="AT633" s="173"/>
      <c r="AU633" s="173"/>
      <c r="AV633" s="173"/>
      <c r="AW633" s="173"/>
      <c r="AX633" s="173"/>
      <c r="AY633" s="173"/>
      <c r="AZ633" s="173"/>
      <c r="BA633" s="173"/>
      <c r="BB633" s="173"/>
      <c r="BC633" s="173"/>
      <c r="BD633" s="173"/>
      <c r="BE633" s="173"/>
      <c r="BF633" s="173"/>
      <c r="BG633" s="173"/>
      <c r="BH633" s="173"/>
      <c r="BI633" s="173"/>
      <c r="BJ633" s="173"/>
      <c r="BK633" s="173"/>
      <c r="BL633" s="173"/>
      <c r="BM633" s="173"/>
      <c r="BN633" s="173"/>
      <c r="BO633" s="173"/>
      <c r="BP633" s="173"/>
      <c r="BQ633" s="173"/>
      <c r="BR633" s="173"/>
      <c r="BS633" s="173"/>
      <c r="BT633" s="173"/>
      <c r="BU633" s="173"/>
      <c r="BV633" s="173"/>
      <c r="BW633" s="173"/>
      <c r="BX633" s="173"/>
      <c r="BY633" s="173"/>
    </row>
    <row r="634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  <c r="AQ634" s="173"/>
      <c r="AR634" s="173"/>
      <c r="AS634" s="173"/>
      <c r="AT634" s="173"/>
      <c r="AU634" s="173"/>
      <c r="AV634" s="173"/>
      <c r="AW634" s="173"/>
      <c r="AX634" s="173"/>
      <c r="AY634" s="173"/>
      <c r="AZ634" s="173"/>
      <c r="BA634" s="173"/>
      <c r="BB634" s="173"/>
      <c r="BC634" s="173"/>
      <c r="BD634" s="173"/>
      <c r="BE634" s="173"/>
      <c r="BF634" s="173"/>
      <c r="BG634" s="173"/>
      <c r="BH634" s="173"/>
      <c r="BI634" s="173"/>
      <c r="BJ634" s="173"/>
      <c r="BK634" s="173"/>
      <c r="BL634" s="173"/>
      <c r="BM634" s="173"/>
      <c r="BN634" s="173"/>
      <c r="BO634" s="173"/>
      <c r="BP634" s="173"/>
      <c r="BQ634" s="173"/>
      <c r="BR634" s="173"/>
      <c r="BS634" s="173"/>
      <c r="BT634" s="173"/>
      <c r="BU634" s="173"/>
      <c r="BV634" s="173"/>
      <c r="BW634" s="173"/>
      <c r="BX634" s="173"/>
      <c r="BY634" s="173"/>
    </row>
    <row r="635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  <c r="AQ635" s="173"/>
      <c r="AR635" s="173"/>
      <c r="AS635" s="173"/>
      <c r="AT635" s="173"/>
      <c r="AU635" s="173"/>
      <c r="AV635" s="173"/>
      <c r="AW635" s="173"/>
      <c r="AX635" s="173"/>
      <c r="AY635" s="173"/>
      <c r="AZ635" s="173"/>
      <c r="BA635" s="173"/>
      <c r="BB635" s="173"/>
      <c r="BC635" s="173"/>
      <c r="BD635" s="173"/>
      <c r="BE635" s="173"/>
      <c r="BF635" s="173"/>
      <c r="BG635" s="173"/>
      <c r="BH635" s="173"/>
      <c r="BI635" s="173"/>
      <c r="BJ635" s="173"/>
      <c r="BK635" s="173"/>
      <c r="BL635" s="173"/>
      <c r="BM635" s="173"/>
      <c r="BN635" s="173"/>
      <c r="BO635" s="173"/>
      <c r="BP635" s="173"/>
      <c r="BQ635" s="173"/>
      <c r="BR635" s="173"/>
      <c r="BS635" s="173"/>
      <c r="BT635" s="173"/>
      <c r="BU635" s="173"/>
      <c r="BV635" s="173"/>
      <c r="BW635" s="173"/>
      <c r="BX635" s="173"/>
      <c r="BY635" s="173"/>
    </row>
    <row r="636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  <c r="AQ636" s="173"/>
      <c r="AR636" s="173"/>
      <c r="AS636" s="173"/>
      <c r="AT636" s="173"/>
      <c r="AU636" s="173"/>
      <c r="AV636" s="173"/>
      <c r="AW636" s="173"/>
      <c r="AX636" s="173"/>
      <c r="AY636" s="173"/>
      <c r="AZ636" s="173"/>
      <c r="BA636" s="173"/>
      <c r="BB636" s="173"/>
      <c r="BC636" s="173"/>
      <c r="BD636" s="173"/>
      <c r="BE636" s="173"/>
      <c r="BF636" s="173"/>
      <c r="BG636" s="173"/>
      <c r="BH636" s="173"/>
      <c r="BI636" s="173"/>
      <c r="BJ636" s="173"/>
      <c r="BK636" s="173"/>
      <c r="BL636" s="173"/>
      <c r="BM636" s="173"/>
      <c r="BN636" s="173"/>
      <c r="BO636" s="173"/>
      <c r="BP636" s="173"/>
      <c r="BQ636" s="173"/>
      <c r="BR636" s="173"/>
      <c r="BS636" s="173"/>
      <c r="BT636" s="173"/>
      <c r="BU636" s="173"/>
      <c r="BV636" s="173"/>
      <c r="BW636" s="173"/>
      <c r="BX636" s="173"/>
      <c r="BY636" s="173"/>
    </row>
    <row r="637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  <c r="AQ637" s="173"/>
      <c r="AR637" s="173"/>
      <c r="AS637" s="173"/>
      <c r="AT637" s="173"/>
      <c r="AU637" s="173"/>
      <c r="AV637" s="173"/>
      <c r="AW637" s="173"/>
      <c r="AX637" s="173"/>
      <c r="AY637" s="173"/>
      <c r="AZ637" s="173"/>
      <c r="BA637" s="173"/>
      <c r="BB637" s="173"/>
      <c r="BC637" s="173"/>
      <c r="BD637" s="173"/>
      <c r="BE637" s="173"/>
      <c r="BF637" s="173"/>
      <c r="BG637" s="173"/>
      <c r="BH637" s="173"/>
      <c r="BI637" s="173"/>
      <c r="BJ637" s="173"/>
      <c r="BK637" s="173"/>
      <c r="BL637" s="173"/>
      <c r="BM637" s="173"/>
      <c r="BN637" s="173"/>
      <c r="BO637" s="173"/>
      <c r="BP637" s="173"/>
      <c r="BQ637" s="173"/>
      <c r="BR637" s="173"/>
      <c r="BS637" s="173"/>
      <c r="BT637" s="173"/>
      <c r="BU637" s="173"/>
      <c r="BV637" s="173"/>
      <c r="BW637" s="173"/>
      <c r="BX637" s="173"/>
      <c r="BY637" s="173"/>
    </row>
    <row r="638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  <c r="AQ638" s="173"/>
      <c r="AR638" s="173"/>
      <c r="AS638" s="173"/>
      <c r="AT638" s="173"/>
      <c r="AU638" s="173"/>
      <c r="AV638" s="173"/>
      <c r="AW638" s="173"/>
      <c r="AX638" s="173"/>
      <c r="AY638" s="173"/>
      <c r="AZ638" s="173"/>
      <c r="BA638" s="173"/>
      <c r="BB638" s="173"/>
      <c r="BC638" s="173"/>
      <c r="BD638" s="173"/>
      <c r="BE638" s="173"/>
      <c r="BF638" s="173"/>
      <c r="BG638" s="173"/>
      <c r="BH638" s="173"/>
      <c r="BI638" s="173"/>
      <c r="BJ638" s="173"/>
      <c r="BK638" s="173"/>
      <c r="BL638" s="173"/>
      <c r="BM638" s="173"/>
      <c r="BN638" s="173"/>
      <c r="BO638" s="173"/>
      <c r="BP638" s="173"/>
      <c r="BQ638" s="173"/>
      <c r="BR638" s="173"/>
      <c r="BS638" s="173"/>
      <c r="BT638" s="173"/>
      <c r="BU638" s="173"/>
      <c r="BV638" s="173"/>
      <c r="BW638" s="173"/>
      <c r="BX638" s="173"/>
      <c r="BY638" s="173"/>
    </row>
    <row r="639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  <c r="AQ639" s="173"/>
      <c r="AR639" s="173"/>
      <c r="AS639" s="173"/>
      <c r="AT639" s="173"/>
      <c r="AU639" s="173"/>
      <c r="AV639" s="173"/>
      <c r="AW639" s="173"/>
      <c r="AX639" s="173"/>
      <c r="AY639" s="173"/>
      <c r="AZ639" s="173"/>
      <c r="BA639" s="173"/>
      <c r="BB639" s="173"/>
      <c r="BC639" s="173"/>
      <c r="BD639" s="173"/>
      <c r="BE639" s="173"/>
      <c r="BF639" s="173"/>
      <c r="BG639" s="173"/>
      <c r="BH639" s="173"/>
      <c r="BI639" s="173"/>
      <c r="BJ639" s="173"/>
      <c r="BK639" s="173"/>
      <c r="BL639" s="173"/>
      <c r="BM639" s="173"/>
      <c r="BN639" s="173"/>
      <c r="BO639" s="173"/>
      <c r="BP639" s="173"/>
      <c r="BQ639" s="173"/>
      <c r="BR639" s="173"/>
      <c r="BS639" s="173"/>
      <c r="BT639" s="173"/>
      <c r="BU639" s="173"/>
      <c r="BV639" s="173"/>
      <c r="BW639" s="173"/>
      <c r="BX639" s="173"/>
      <c r="BY639" s="173"/>
    </row>
    <row r="640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  <c r="AQ640" s="173"/>
      <c r="AR640" s="173"/>
      <c r="AS640" s="173"/>
      <c r="AT640" s="173"/>
      <c r="AU640" s="173"/>
      <c r="AV640" s="173"/>
      <c r="AW640" s="173"/>
      <c r="AX640" s="173"/>
      <c r="AY640" s="173"/>
      <c r="AZ640" s="173"/>
      <c r="BA640" s="173"/>
      <c r="BB640" s="173"/>
      <c r="BC640" s="173"/>
      <c r="BD640" s="173"/>
      <c r="BE640" s="173"/>
      <c r="BF640" s="173"/>
      <c r="BG640" s="173"/>
      <c r="BH640" s="173"/>
      <c r="BI640" s="173"/>
      <c r="BJ640" s="173"/>
      <c r="BK640" s="173"/>
      <c r="BL640" s="173"/>
      <c r="BM640" s="173"/>
      <c r="BN640" s="173"/>
      <c r="BO640" s="173"/>
      <c r="BP640" s="173"/>
      <c r="BQ640" s="173"/>
      <c r="BR640" s="173"/>
      <c r="BS640" s="173"/>
      <c r="BT640" s="173"/>
      <c r="BU640" s="173"/>
      <c r="BV640" s="173"/>
      <c r="BW640" s="173"/>
      <c r="BX640" s="173"/>
      <c r="BY640" s="173"/>
    </row>
    <row r="64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  <c r="AQ641" s="173"/>
      <c r="AR641" s="173"/>
      <c r="AS641" s="173"/>
      <c r="AT641" s="173"/>
      <c r="AU641" s="173"/>
      <c r="AV641" s="173"/>
      <c r="AW641" s="173"/>
      <c r="AX641" s="173"/>
      <c r="AY641" s="173"/>
      <c r="AZ641" s="173"/>
      <c r="BA641" s="173"/>
      <c r="BB641" s="173"/>
      <c r="BC641" s="173"/>
      <c r="BD641" s="173"/>
      <c r="BE641" s="173"/>
      <c r="BF641" s="173"/>
      <c r="BG641" s="173"/>
      <c r="BH641" s="173"/>
      <c r="BI641" s="173"/>
      <c r="BJ641" s="173"/>
      <c r="BK641" s="173"/>
      <c r="BL641" s="173"/>
      <c r="BM641" s="173"/>
      <c r="BN641" s="173"/>
      <c r="BO641" s="173"/>
      <c r="BP641" s="173"/>
      <c r="BQ641" s="173"/>
      <c r="BR641" s="173"/>
      <c r="BS641" s="173"/>
      <c r="BT641" s="173"/>
      <c r="BU641" s="173"/>
      <c r="BV641" s="173"/>
      <c r="BW641" s="173"/>
      <c r="BX641" s="173"/>
      <c r="BY641" s="173"/>
    </row>
    <row r="642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  <c r="AQ642" s="173"/>
      <c r="AR642" s="173"/>
      <c r="AS642" s="173"/>
      <c r="AT642" s="173"/>
      <c r="AU642" s="173"/>
      <c r="AV642" s="173"/>
      <c r="AW642" s="173"/>
      <c r="AX642" s="173"/>
      <c r="AY642" s="173"/>
      <c r="AZ642" s="173"/>
      <c r="BA642" s="173"/>
      <c r="BB642" s="173"/>
      <c r="BC642" s="173"/>
      <c r="BD642" s="173"/>
      <c r="BE642" s="173"/>
      <c r="BF642" s="173"/>
      <c r="BG642" s="173"/>
      <c r="BH642" s="173"/>
      <c r="BI642" s="173"/>
      <c r="BJ642" s="173"/>
      <c r="BK642" s="173"/>
      <c r="BL642" s="173"/>
      <c r="BM642" s="173"/>
      <c r="BN642" s="173"/>
      <c r="BO642" s="173"/>
      <c r="BP642" s="173"/>
      <c r="BQ642" s="173"/>
      <c r="BR642" s="173"/>
      <c r="BS642" s="173"/>
      <c r="BT642" s="173"/>
      <c r="BU642" s="173"/>
      <c r="BV642" s="173"/>
      <c r="BW642" s="173"/>
      <c r="BX642" s="173"/>
      <c r="BY642" s="173"/>
    </row>
    <row r="643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  <c r="AQ643" s="173"/>
      <c r="AR643" s="173"/>
      <c r="AS643" s="173"/>
      <c r="AT643" s="173"/>
      <c r="AU643" s="173"/>
      <c r="AV643" s="173"/>
      <c r="AW643" s="173"/>
      <c r="AX643" s="173"/>
      <c r="AY643" s="173"/>
      <c r="AZ643" s="173"/>
      <c r="BA643" s="173"/>
      <c r="BB643" s="173"/>
      <c r="BC643" s="173"/>
      <c r="BD643" s="173"/>
      <c r="BE643" s="173"/>
      <c r="BF643" s="173"/>
      <c r="BG643" s="173"/>
      <c r="BH643" s="173"/>
      <c r="BI643" s="173"/>
      <c r="BJ643" s="173"/>
      <c r="BK643" s="173"/>
      <c r="BL643" s="173"/>
      <c r="BM643" s="173"/>
      <c r="BN643" s="173"/>
      <c r="BO643" s="173"/>
      <c r="BP643" s="173"/>
      <c r="BQ643" s="173"/>
      <c r="BR643" s="173"/>
      <c r="BS643" s="173"/>
      <c r="BT643" s="173"/>
      <c r="BU643" s="173"/>
      <c r="BV643" s="173"/>
      <c r="BW643" s="173"/>
      <c r="BX643" s="173"/>
      <c r="BY643" s="173"/>
    </row>
    <row r="644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  <c r="AQ644" s="173"/>
      <c r="AR644" s="173"/>
      <c r="AS644" s="173"/>
      <c r="AT644" s="173"/>
      <c r="AU644" s="173"/>
      <c r="AV644" s="173"/>
      <c r="AW644" s="173"/>
      <c r="AX644" s="173"/>
      <c r="AY644" s="173"/>
      <c r="AZ644" s="173"/>
      <c r="BA644" s="173"/>
      <c r="BB644" s="173"/>
      <c r="BC644" s="173"/>
      <c r="BD644" s="173"/>
      <c r="BE644" s="173"/>
      <c r="BF644" s="173"/>
      <c r="BG644" s="173"/>
      <c r="BH644" s="173"/>
      <c r="BI644" s="173"/>
      <c r="BJ644" s="173"/>
      <c r="BK644" s="173"/>
      <c r="BL644" s="173"/>
      <c r="BM644" s="173"/>
      <c r="BN644" s="173"/>
      <c r="BO644" s="173"/>
      <c r="BP644" s="173"/>
      <c r="BQ644" s="173"/>
      <c r="BR644" s="173"/>
      <c r="BS644" s="173"/>
      <c r="BT644" s="173"/>
      <c r="BU644" s="173"/>
      <c r="BV644" s="173"/>
      <c r="BW644" s="173"/>
      <c r="BX644" s="173"/>
      <c r="BY644" s="173"/>
    </row>
    <row r="645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  <c r="AQ645" s="173"/>
      <c r="AR645" s="173"/>
      <c r="AS645" s="173"/>
      <c r="AT645" s="173"/>
      <c r="AU645" s="173"/>
      <c r="AV645" s="173"/>
      <c r="AW645" s="173"/>
      <c r="AX645" s="173"/>
      <c r="AY645" s="173"/>
      <c r="AZ645" s="173"/>
      <c r="BA645" s="173"/>
      <c r="BB645" s="173"/>
      <c r="BC645" s="173"/>
      <c r="BD645" s="173"/>
      <c r="BE645" s="173"/>
      <c r="BF645" s="173"/>
      <c r="BG645" s="173"/>
      <c r="BH645" s="173"/>
      <c r="BI645" s="173"/>
      <c r="BJ645" s="173"/>
      <c r="BK645" s="173"/>
      <c r="BL645" s="173"/>
      <c r="BM645" s="173"/>
      <c r="BN645" s="173"/>
      <c r="BO645" s="173"/>
      <c r="BP645" s="173"/>
      <c r="BQ645" s="173"/>
      <c r="BR645" s="173"/>
      <c r="BS645" s="173"/>
      <c r="BT645" s="173"/>
      <c r="BU645" s="173"/>
      <c r="BV645" s="173"/>
      <c r="BW645" s="173"/>
      <c r="BX645" s="173"/>
      <c r="BY645" s="173"/>
    </row>
    <row r="646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  <c r="AQ646" s="173"/>
      <c r="AR646" s="173"/>
      <c r="AS646" s="173"/>
      <c r="AT646" s="173"/>
      <c r="AU646" s="173"/>
      <c r="AV646" s="173"/>
      <c r="AW646" s="173"/>
      <c r="AX646" s="173"/>
      <c r="AY646" s="173"/>
      <c r="AZ646" s="173"/>
      <c r="BA646" s="173"/>
      <c r="BB646" s="173"/>
      <c r="BC646" s="173"/>
      <c r="BD646" s="173"/>
      <c r="BE646" s="173"/>
      <c r="BF646" s="173"/>
      <c r="BG646" s="173"/>
      <c r="BH646" s="173"/>
      <c r="BI646" s="173"/>
      <c r="BJ646" s="173"/>
      <c r="BK646" s="173"/>
      <c r="BL646" s="173"/>
      <c r="BM646" s="173"/>
      <c r="BN646" s="173"/>
      <c r="BO646" s="173"/>
      <c r="BP646" s="173"/>
      <c r="BQ646" s="173"/>
      <c r="BR646" s="173"/>
      <c r="BS646" s="173"/>
      <c r="BT646" s="173"/>
      <c r="BU646" s="173"/>
      <c r="BV646" s="173"/>
      <c r="BW646" s="173"/>
      <c r="BX646" s="173"/>
      <c r="BY646" s="173"/>
    </row>
    <row r="647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  <c r="AQ647" s="173"/>
      <c r="AR647" s="173"/>
      <c r="AS647" s="173"/>
      <c r="AT647" s="173"/>
      <c r="AU647" s="173"/>
      <c r="AV647" s="173"/>
      <c r="AW647" s="173"/>
      <c r="AX647" s="173"/>
      <c r="AY647" s="173"/>
      <c r="AZ647" s="173"/>
      <c r="BA647" s="173"/>
      <c r="BB647" s="173"/>
      <c r="BC647" s="173"/>
      <c r="BD647" s="173"/>
      <c r="BE647" s="173"/>
      <c r="BF647" s="173"/>
      <c r="BG647" s="173"/>
      <c r="BH647" s="173"/>
      <c r="BI647" s="173"/>
      <c r="BJ647" s="173"/>
      <c r="BK647" s="173"/>
      <c r="BL647" s="173"/>
      <c r="BM647" s="173"/>
      <c r="BN647" s="173"/>
      <c r="BO647" s="173"/>
      <c r="BP647" s="173"/>
      <c r="BQ647" s="173"/>
      <c r="BR647" s="173"/>
      <c r="BS647" s="173"/>
      <c r="BT647" s="173"/>
      <c r="BU647" s="173"/>
      <c r="BV647" s="173"/>
      <c r="BW647" s="173"/>
      <c r="BX647" s="173"/>
      <c r="BY647" s="173"/>
    </row>
    <row r="648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  <c r="AQ648" s="173"/>
      <c r="AR648" s="173"/>
      <c r="AS648" s="173"/>
      <c r="AT648" s="173"/>
      <c r="AU648" s="173"/>
      <c r="AV648" s="173"/>
      <c r="AW648" s="173"/>
      <c r="AX648" s="173"/>
      <c r="AY648" s="173"/>
      <c r="AZ648" s="173"/>
      <c r="BA648" s="173"/>
      <c r="BB648" s="173"/>
      <c r="BC648" s="173"/>
      <c r="BD648" s="173"/>
      <c r="BE648" s="173"/>
      <c r="BF648" s="173"/>
      <c r="BG648" s="173"/>
      <c r="BH648" s="173"/>
      <c r="BI648" s="173"/>
      <c r="BJ648" s="173"/>
      <c r="BK648" s="173"/>
      <c r="BL648" s="173"/>
      <c r="BM648" s="173"/>
      <c r="BN648" s="173"/>
      <c r="BO648" s="173"/>
      <c r="BP648" s="173"/>
      <c r="BQ648" s="173"/>
      <c r="BR648" s="173"/>
      <c r="BS648" s="173"/>
      <c r="BT648" s="173"/>
      <c r="BU648" s="173"/>
      <c r="BV648" s="173"/>
      <c r="BW648" s="173"/>
      <c r="BX648" s="173"/>
      <c r="BY648" s="173"/>
    </row>
    <row r="649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  <c r="AQ649" s="173"/>
      <c r="AR649" s="173"/>
      <c r="AS649" s="173"/>
      <c r="AT649" s="173"/>
      <c r="AU649" s="173"/>
      <c r="AV649" s="173"/>
      <c r="AW649" s="173"/>
      <c r="AX649" s="173"/>
      <c r="AY649" s="173"/>
      <c r="AZ649" s="173"/>
      <c r="BA649" s="173"/>
      <c r="BB649" s="173"/>
      <c r="BC649" s="173"/>
      <c r="BD649" s="173"/>
      <c r="BE649" s="173"/>
      <c r="BF649" s="173"/>
      <c r="BG649" s="173"/>
      <c r="BH649" s="173"/>
      <c r="BI649" s="173"/>
      <c r="BJ649" s="173"/>
      <c r="BK649" s="173"/>
      <c r="BL649" s="173"/>
      <c r="BM649" s="173"/>
      <c r="BN649" s="173"/>
      <c r="BO649" s="173"/>
      <c r="BP649" s="173"/>
      <c r="BQ649" s="173"/>
      <c r="BR649" s="173"/>
      <c r="BS649" s="173"/>
      <c r="BT649" s="173"/>
      <c r="BU649" s="173"/>
      <c r="BV649" s="173"/>
      <c r="BW649" s="173"/>
      <c r="BX649" s="173"/>
      <c r="BY649" s="173"/>
    </row>
    <row r="650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  <c r="AQ650" s="173"/>
      <c r="AR650" s="173"/>
      <c r="AS650" s="173"/>
      <c r="AT650" s="173"/>
      <c r="AU650" s="173"/>
      <c r="AV650" s="173"/>
      <c r="AW650" s="173"/>
      <c r="AX650" s="173"/>
      <c r="AY650" s="173"/>
      <c r="AZ650" s="173"/>
      <c r="BA650" s="173"/>
      <c r="BB650" s="173"/>
      <c r="BC650" s="173"/>
      <c r="BD650" s="173"/>
      <c r="BE650" s="173"/>
      <c r="BF650" s="173"/>
      <c r="BG650" s="173"/>
      <c r="BH650" s="173"/>
      <c r="BI650" s="173"/>
      <c r="BJ650" s="173"/>
      <c r="BK650" s="173"/>
      <c r="BL650" s="173"/>
      <c r="BM650" s="173"/>
      <c r="BN650" s="173"/>
      <c r="BO650" s="173"/>
      <c r="BP650" s="173"/>
      <c r="BQ650" s="173"/>
      <c r="BR650" s="173"/>
      <c r="BS650" s="173"/>
      <c r="BT650" s="173"/>
      <c r="BU650" s="173"/>
      <c r="BV650" s="173"/>
      <c r="BW650" s="173"/>
      <c r="BX650" s="173"/>
      <c r="BY650" s="173"/>
    </row>
    <row r="65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  <c r="AQ651" s="173"/>
      <c r="AR651" s="173"/>
      <c r="AS651" s="173"/>
      <c r="AT651" s="173"/>
      <c r="AU651" s="173"/>
      <c r="AV651" s="173"/>
      <c r="AW651" s="173"/>
      <c r="AX651" s="173"/>
      <c r="AY651" s="173"/>
      <c r="AZ651" s="173"/>
      <c r="BA651" s="173"/>
      <c r="BB651" s="173"/>
      <c r="BC651" s="173"/>
      <c r="BD651" s="173"/>
      <c r="BE651" s="173"/>
      <c r="BF651" s="173"/>
      <c r="BG651" s="173"/>
      <c r="BH651" s="173"/>
      <c r="BI651" s="173"/>
      <c r="BJ651" s="173"/>
      <c r="BK651" s="173"/>
      <c r="BL651" s="173"/>
      <c r="BM651" s="173"/>
      <c r="BN651" s="173"/>
      <c r="BO651" s="173"/>
      <c r="BP651" s="173"/>
      <c r="BQ651" s="173"/>
      <c r="BR651" s="173"/>
      <c r="BS651" s="173"/>
      <c r="BT651" s="173"/>
      <c r="BU651" s="173"/>
      <c r="BV651" s="173"/>
      <c r="BW651" s="173"/>
      <c r="BX651" s="173"/>
      <c r="BY651" s="173"/>
    </row>
    <row r="652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  <c r="AQ652" s="173"/>
      <c r="AR652" s="173"/>
      <c r="AS652" s="173"/>
      <c r="AT652" s="173"/>
      <c r="AU652" s="173"/>
      <c r="AV652" s="173"/>
      <c r="AW652" s="173"/>
      <c r="AX652" s="173"/>
      <c r="AY652" s="173"/>
      <c r="AZ652" s="173"/>
      <c r="BA652" s="173"/>
      <c r="BB652" s="173"/>
      <c r="BC652" s="173"/>
      <c r="BD652" s="173"/>
      <c r="BE652" s="173"/>
      <c r="BF652" s="173"/>
      <c r="BG652" s="173"/>
      <c r="BH652" s="173"/>
      <c r="BI652" s="173"/>
      <c r="BJ652" s="173"/>
      <c r="BK652" s="173"/>
      <c r="BL652" s="173"/>
      <c r="BM652" s="173"/>
      <c r="BN652" s="173"/>
      <c r="BO652" s="173"/>
      <c r="BP652" s="173"/>
      <c r="BQ652" s="173"/>
      <c r="BR652" s="173"/>
      <c r="BS652" s="173"/>
      <c r="BT652" s="173"/>
      <c r="BU652" s="173"/>
      <c r="BV652" s="173"/>
      <c r="BW652" s="173"/>
      <c r="BX652" s="173"/>
      <c r="BY652" s="173"/>
    </row>
    <row r="653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  <c r="AQ653" s="173"/>
      <c r="AR653" s="173"/>
      <c r="AS653" s="173"/>
      <c r="AT653" s="173"/>
      <c r="AU653" s="173"/>
      <c r="AV653" s="173"/>
      <c r="AW653" s="173"/>
      <c r="AX653" s="173"/>
      <c r="AY653" s="173"/>
      <c r="AZ653" s="173"/>
      <c r="BA653" s="173"/>
      <c r="BB653" s="173"/>
      <c r="BC653" s="173"/>
      <c r="BD653" s="173"/>
      <c r="BE653" s="173"/>
      <c r="BF653" s="173"/>
      <c r="BG653" s="173"/>
      <c r="BH653" s="173"/>
      <c r="BI653" s="173"/>
      <c r="BJ653" s="173"/>
      <c r="BK653" s="173"/>
      <c r="BL653" s="173"/>
      <c r="BM653" s="173"/>
      <c r="BN653" s="173"/>
      <c r="BO653" s="173"/>
      <c r="BP653" s="173"/>
      <c r="BQ653" s="173"/>
      <c r="BR653" s="173"/>
      <c r="BS653" s="173"/>
      <c r="BT653" s="173"/>
      <c r="BU653" s="173"/>
      <c r="BV653" s="173"/>
      <c r="BW653" s="173"/>
      <c r="BX653" s="173"/>
      <c r="BY653" s="173"/>
    </row>
    <row r="654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  <c r="AQ654" s="173"/>
      <c r="AR654" s="173"/>
      <c r="AS654" s="173"/>
      <c r="AT654" s="173"/>
      <c r="AU654" s="173"/>
      <c r="AV654" s="173"/>
      <c r="AW654" s="173"/>
      <c r="AX654" s="173"/>
      <c r="AY654" s="173"/>
      <c r="AZ654" s="173"/>
      <c r="BA654" s="173"/>
      <c r="BB654" s="173"/>
      <c r="BC654" s="173"/>
      <c r="BD654" s="173"/>
      <c r="BE654" s="173"/>
      <c r="BF654" s="173"/>
      <c r="BG654" s="173"/>
      <c r="BH654" s="173"/>
      <c r="BI654" s="173"/>
      <c r="BJ654" s="173"/>
      <c r="BK654" s="173"/>
      <c r="BL654" s="173"/>
      <c r="BM654" s="173"/>
      <c r="BN654" s="173"/>
      <c r="BO654" s="173"/>
      <c r="BP654" s="173"/>
      <c r="BQ654" s="173"/>
      <c r="BR654" s="173"/>
      <c r="BS654" s="173"/>
      <c r="BT654" s="173"/>
      <c r="BU654" s="173"/>
      <c r="BV654" s="173"/>
      <c r="BW654" s="173"/>
      <c r="BX654" s="173"/>
      <c r="BY654" s="173"/>
    </row>
    <row r="655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  <c r="AQ655" s="173"/>
      <c r="AR655" s="173"/>
      <c r="AS655" s="173"/>
      <c r="AT655" s="173"/>
      <c r="AU655" s="173"/>
      <c r="AV655" s="173"/>
      <c r="AW655" s="173"/>
      <c r="AX655" s="173"/>
      <c r="AY655" s="173"/>
      <c r="AZ655" s="173"/>
      <c r="BA655" s="173"/>
      <c r="BB655" s="173"/>
      <c r="BC655" s="173"/>
      <c r="BD655" s="173"/>
      <c r="BE655" s="173"/>
      <c r="BF655" s="173"/>
      <c r="BG655" s="173"/>
      <c r="BH655" s="173"/>
      <c r="BI655" s="173"/>
      <c r="BJ655" s="173"/>
      <c r="BK655" s="173"/>
      <c r="BL655" s="173"/>
      <c r="BM655" s="173"/>
      <c r="BN655" s="173"/>
      <c r="BO655" s="173"/>
      <c r="BP655" s="173"/>
      <c r="BQ655" s="173"/>
      <c r="BR655" s="173"/>
      <c r="BS655" s="173"/>
      <c r="BT655" s="173"/>
      <c r="BU655" s="173"/>
      <c r="BV655" s="173"/>
      <c r="BW655" s="173"/>
      <c r="BX655" s="173"/>
      <c r="BY655" s="173"/>
    </row>
    <row r="656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  <c r="AQ656" s="173"/>
      <c r="AR656" s="173"/>
      <c r="AS656" s="173"/>
      <c r="AT656" s="173"/>
      <c r="AU656" s="173"/>
      <c r="AV656" s="173"/>
      <c r="AW656" s="173"/>
      <c r="AX656" s="173"/>
      <c r="AY656" s="173"/>
      <c r="AZ656" s="173"/>
      <c r="BA656" s="173"/>
      <c r="BB656" s="173"/>
      <c r="BC656" s="173"/>
      <c r="BD656" s="173"/>
      <c r="BE656" s="173"/>
      <c r="BF656" s="173"/>
      <c r="BG656" s="173"/>
      <c r="BH656" s="173"/>
      <c r="BI656" s="173"/>
      <c r="BJ656" s="173"/>
      <c r="BK656" s="173"/>
      <c r="BL656" s="173"/>
      <c r="BM656" s="173"/>
      <c r="BN656" s="173"/>
      <c r="BO656" s="173"/>
      <c r="BP656" s="173"/>
      <c r="BQ656" s="173"/>
      <c r="BR656" s="173"/>
      <c r="BS656" s="173"/>
      <c r="BT656" s="173"/>
      <c r="BU656" s="173"/>
      <c r="BV656" s="173"/>
      <c r="BW656" s="173"/>
      <c r="BX656" s="173"/>
      <c r="BY656" s="173"/>
    </row>
    <row r="657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  <c r="AQ657" s="173"/>
      <c r="AR657" s="173"/>
      <c r="AS657" s="173"/>
      <c r="AT657" s="173"/>
      <c r="AU657" s="173"/>
      <c r="AV657" s="173"/>
      <c r="AW657" s="173"/>
      <c r="AX657" s="173"/>
      <c r="AY657" s="173"/>
      <c r="AZ657" s="173"/>
      <c r="BA657" s="173"/>
      <c r="BB657" s="173"/>
      <c r="BC657" s="173"/>
      <c r="BD657" s="173"/>
      <c r="BE657" s="173"/>
      <c r="BF657" s="173"/>
      <c r="BG657" s="173"/>
      <c r="BH657" s="173"/>
      <c r="BI657" s="173"/>
      <c r="BJ657" s="173"/>
      <c r="BK657" s="173"/>
      <c r="BL657" s="173"/>
      <c r="BM657" s="173"/>
      <c r="BN657" s="173"/>
      <c r="BO657" s="173"/>
      <c r="BP657" s="173"/>
      <c r="BQ657" s="173"/>
      <c r="BR657" s="173"/>
      <c r="BS657" s="173"/>
      <c r="BT657" s="173"/>
      <c r="BU657" s="173"/>
      <c r="BV657" s="173"/>
      <c r="BW657" s="173"/>
      <c r="BX657" s="173"/>
      <c r="BY657" s="173"/>
    </row>
    <row r="658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  <c r="AQ658" s="173"/>
      <c r="AR658" s="173"/>
      <c r="AS658" s="173"/>
      <c r="AT658" s="173"/>
      <c r="AU658" s="173"/>
      <c r="AV658" s="173"/>
      <c r="AW658" s="173"/>
      <c r="AX658" s="173"/>
      <c r="AY658" s="173"/>
      <c r="AZ658" s="173"/>
      <c r="BA658" s="173"/>
      <c r="BB658" s="173"/>
      <c r="BC658" s="173"/>
      <c r="BD658" s="173"/>
      <c r="BE658" s="173"/>
      <c r="BF658" s="173"/>
      <c r="BG658" s="173"/>
      <c r="BH658" s="173"/>
      <c r="BI658" s="173"/>
      <c r="BJ658" s="173"/>
      <c r="BK658" s="173"/>
      <c r="BL658" s="173"/>
      <c r="BM658" s="173"/>
      <c r="BN658" s="173"/>
      <c r="BO658" s="173"/>
      <c r="BP658" s="173"/>
      <c r="BQ658" s="173"/>
      <c r="BR658" s="173"/>
      <c r="BS658" s="173"/>
      <c r="BT658" s="173"/>
      <c r="BU658" s="173"/>
      <c r="BV658" s="173"/>
      <c r="BW658" s="173"/>
      <c r="BX658" s="173"/>
      <c r="BY658" s="173"/>
    </row>
    <row r="659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  <c r="AQ659" s="173"/>
      <c r="AR659" s="173"/>
      <c r="AS659" s="173"/>
      <c r="AT659" s="173"/>
      <c r="AU659" s="173"/>
      <c r="AV659" s="173"/>
      <c r="AW659" s="173"/>
      <c r="AX659" s="173"/>
      <c r="AY659" s="173"/>
      <c r="AZ659" s="173"/>
      <c r="BA659" s="173"/>
      <c r="BB659" s="173"/>
      <c r="BC659" s="173"/>
      <c r="BD659" s="173"/>
      <c r="BE659" s="173"/>
      <c r="BF659" s="173"/>
      <c r="BG659" s="173"/>
      <c r="BH659" s="173"/>
      <c r="BI659" s="173"/>
      <c r="BJ659" s="173"/>
      <c r="BK659" s="173"/>
      <c r="BL659" s="173"/>
      <c r="BM659" s="173"/>
      <c r="BN659" s="173"/>
      <c r="BO659" s="173"/>
      <c r="BP659" s="173"/>
      <c r="BQ659" s="173"/>
      <c r="BR659" s="173"/>
      <c r="BS659" s="173"/>
      <c r="BT659" s="173"/>
      <c r="BU659" s="173"/>
      <c r="BV659" s="173"/>
      <c r="BW659" s="173"/>
      <c r="BX659" s="173"/>
      <c r="BY659" s="173"/>
    </row>
    <row r="660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  <c r="AQ660" s="173"/>
      <c r="AR660" s="173"/>
      <c r="AS660" s="173"/>
      <c r="AT660" s="173"/>
      <c r="AU660" s="173"/>
      <c r="AV660" s="173"/>
      <c r="AW660" s="173"/>
      <c r="AX660" s="173"/>
      <c r="AY660" s="173"/>
      <c r="AZ660" s="173"/>
      <c r="BA660" s="173"/>
      <c r="BB660" s="173"/>
      <c r="BC660" s="173"/>
      <c r="BD660" s="173"/>
      <c r="BE660" s="173"/>
      <c r="BF660" s="173"/>
      <c r="BG660" s="173"/>
      <c r="BH660" s="173"/>
      <c r="BI660" s="173"/>
      <c r="BJ660" s="173"/>
      <c r="BK660" s="173"/>
      <c r="BL660" s="173"/>
      <c r="BM660" s="173"/>
      <c r="BN660" s="173"/>
      <c r="BO660" s="173"/>
      <c r="BP660" s="173"/>
      <c r="BQ660" s="173"/>
      <c r="BR660" s="173"/>
      <c r="BS660" s="173"/>
      <c r="BT660" s="173"/>
      <c r="BU660" s="173"/>
      <c r="BV660" s="173"/>
      <c r="BW660" s="173"/>
      <c r="BX660" s="173"/>
      <c r="BY660" s="173"/>
    </row>
    <row r="66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  <c r="AQ661" s="173"/>
      <c r="AR661" s="173"/>
      <c r="AS661" s="173"/>
      <c r="AT661" s="173"/>
      <c r="AU661" s="173"/>
      <c r="AV661" s="173"/>
      <c r="AW661" s="173"/>
      <c r="AX661" s="173"/>
      <c r="AY661" s="173"/>
      <c r="AZ661" s="173"/>
      <c r="BA661" s="173"/>
      <c r="BB661" s="173"/>
      <c r="BC661" s="173"/>
      <c r="BD661" s="173"/>
      <c r="BE661" s="173"/>
      <c r="BF661" s="173"/>
      <c r="BG661" s="173"/>
      <c r="BH661" s="173"/>
      <c r="BI661" s="173"/>
      <c r="BJ661" s="173"/>
      <c r="BK661" s="173"/>
      <c r="BL661" s="173"/>
      <c r="BM661" s="173"/>
      <c r="BN661" s="173"/>
      <c r="BO661" s="173"/>
      <c r="BP661" s="173"/>
      <c r="BQ661" s="173"/>
      <c r="BR661" s="173"/>
      <c r="BS661" s="173"/>
      <c r="BT661" s="173"/>
      <c r="BU661" s="173"/>
      <c r="BV661" s="173"/>
      <c r="BW661" s="173"/>
      <c r="BX661" s="173"/>
      <c r="BY661" s="173"/>
    </row>
    <row r="662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  <c r="AQ662" s="173"/>
      <c r="AR662" s="173"/>
      <c r="AS662" s="173"/>
      <c r="AT662" s="173"/>
      <c r="AU662" s="173"/>
      <c r="AV662" s="173"/>
      <c r="AW662" s="173"/>
      <c r="AX662" s="173"/>
      <c r="AY662" s="173"/>
      <c r="AZ662" s="173"/>
      <c r="BA662" s="173"/>
      <c r="BB662" s="173"/>
      <c r="BC662" s="173"/>
      <c r="BD662" s="173"/>
      <c r="BE662" s="173"/>
      <c r="BF662" s="173"/>
      <c r="BG662" s="173"/>
      <c r="BH662" s="173"/>
      <c r="BI662" s="173"/>
      <c r="BJ662" s="173"/>
      <c r="BK662" s="173"/>
      <c r="BL662" s="173"/>
      <c r="BM662" s="173"/>
      <c r="BN662" s="173"/>
      <c r="BO662" s="173"/>
      <c r="BP662" s="173"/>
      <c r="BQ662" s="173"/>
      <c r="BR662" s="173"/>
      <c r="BS662" s="173"/>
      <c r="BT662" s="173"/>
      <c r="BU662" s="173"/>
      <c r="BV662" s="173"/>
      <c r="BW662" s="173"/>
      <c r="BX662" s="173"/>
      <c r="BY662" s="173"/>
    </row>
    <row r="663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  <c r="AQ663" s="173"/>
      <c r="AR663" s="173"/>
      <c r="AS663" s="173"/>
      <c r="AT663" s="173"/>
      <c r="AU663" s="173"/>
      <c r="AV663" s="173"/>
      <c r="AW663" s="173"/>
      <c r="AX663" s="173"/>
      <c r="AY663" s="173"/>
      <c r="AZ663" s="173"/>
      <c r="BA663" s="173"/>
      <c r="BB663" s="173"/>
      <c r="BC663" s="173"/>
      <c r="BD663" s="173"/>
      <c r="BE663" s="173"/>
      <c r="BF663" s="173"/>
      <c r="BG663" s="173"/>
      <c r="BH663" s="173"/>
      <c r="BI663" s="173"/>
      <c r="BJ663" s="173"/>
      <c r="BK663" s="173"/>
      <c r="BL663" s="173"/>
      <c r="BM663" s="173"/>
      <c r="BN663" s="173"/>
      <c r="BO663" s="173"/>
      <c r="BP663" s="173"/>
      <c r="BQ663" s="173"/>
      <c r="BR663" s="173"/>
      <c r="BS663" s="173"/>
      <c r="BT663" s="173"/>
      <c r="BU663" s="173"/>
      <c r="BV663" s="173"/>
      <c r="BW663" s="173"/>
      <c r="BX663" s="173"/>
      <c r="BY663" s="173"/>
    </row>
    <row r="664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  <c r="AQ664" s="173"/>
      <c r="AR664" s="173"/>
      <c r="AS664" s="173"/>
      <c r="AT664" s="173"/>
      <c r="AU664" s="173"/>
      <c r="AV664" s="173"/>
      <c r="AW664" s="173"/>
      <c r="AX664" s="173"/>
      <c r="AY664" s="173"/>
      <c r="AZ664" s="173"/>
      <c r="BA664" s="173"/>
      <c r="BB664" s="173"/>
      <c r="BC664" s="173"/>
      <c r="BD664" s="173"/>
      <c r="BE664" s="173"/>
      <c r="BF664" s="173"/>
      <c r="BG664" s="173"/>
      <c r="BH664" s="173"/>
      <c r="BI664" s="173"/>
      <c r="BJ664" s="173"/>
      <c r="BK664" s="173"/>
      <c r="BL664" s="173"/>
      <c r="BM664" s="173"/>
      <c r="BN664" s="173"/>
      <c r="BO664" s="173"/>
      <c r="BP664" s="173"/>
      <c r="BQ664" s="173"/>
      <c r="BR664" s="173"/>
      <c r="BS664" s="173"/>
      <c r="BT664" s="173"/>
      <c r="BU664" s="173"/>
      <c r="BV664" s="173"/>
      <c r="BW664" s="173"/>
      <c r="BX664" s="173"/>
      <c r="BY664" s="173"/>
    </row>
    <row r="665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  <c r="AQ665" s="173"/>
      <c r="AR665" s="173"/>
      <c r="AS665" s="173"/>
      <c r="AT665" s="173"/>
      <c r="AU665" s="173"/>
      <c r="AV665" s="173"/>
      <c r="AW665" s="173"/>
      <c r="AX665" s="173"/>
      <c r="AY665" s="173"/>
      <c r="AZ665" s="173"/>
      <c r="BA665" s="173"/>
      <c r="BB665" s="173"/>
      <c r="BC665" s="173"/>
      <c r="BD665" s="173"/>
      <c r="BE665" s="173"/>
      <c r="BF665" s="173"/>
      <c r="BG665" s="173"/>
      <c r="BH665" s="173"/>
      <c r="BI665" s="173"/>
      <c r="BJ665" s="173"/>
      <c r="BK665" s="173"/>
      <c r="BL665" s="173"/>
      <c r="BM665" s="173"/>
      <c r="BN665" s="173"/>
      <c r="BO665" s="173"/>
      <c r="BP665" s="173"/>
      <c r="BQ665" s="173"/>
      <c r="BR665" s="173"/>
      <c r="BS665" s="173"/>
      <c r="BT665" s="173"/>
      <c r="BU665" s="173"/>
      <c r="BV665" s="173"/>
      <c r="BW665" s="173"/>
      <c r="BX665" s="173"/>
      <c r="BY665" s="173"/>
    </row>
    <row r="666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  <c r="AQ666" s="173"/>
      <c r="AR666" s="173"/>
      <c r="AS666" s="173"/>
      <c r="AT666" s="173"/>
      <c r="AU666" s="173"/>
      <c r="AV666" s="173"/>
      <c r="AW666" s="173"/>
      <c r="AX666" s="173"/>
      <c r="AY666" s="173"/>
      <c r="AZ666" s="173"/>
      <c r="BA666" s="173"/>
      <c r="BB666" s="173"/>
      <c r="BC666" s="173"/>
      <c r="BD666" s="173"/>
      <c r="BE666" s="173"/>
      <c r="BF666" s="173"/>
      <c r="BG666" s="173"/>
      <c r="BH666" s="173"/>
      <c r="BI666" s="173"/>
      <c r="BJ666" s="173"/>
      <c r="BK666" s="173"/>
      <c r="BL666" s="173"/>
      <c r="BM666" s="173"/>
      <c r="BN666" s="173"/>
      <c r="BO666" s="173"/>
      <c r="BP666" s="173"/>
      <c r="BQ666" s="173"/>
      <c r="BR666" s="173"/>
      <c r="BS666" s="173"/>
      <c r="BT666" s="173"/>
      <c r="BU666" s="173"/>
      <c r="BV666" s="173"/>
      <c r="BW666" s="173"/>
      <c r="BX666" s="173"/>
      <c r="BY666" s="173"/>
    </row>
    <row r="667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  <c r="AQ667" s="173"/>
      <c r="AR667" s="173"/>
      <c r="AS667" s="173"/>
      <c r="AT667" s="173"/>
      <c r="AU667" s="173"/>
      <c r="AV667" s="173"/>
      <c r="AW667" s="173"/>
      <c r="AX667" s="173"/>
      <c r="AY667" s="173"/>
      <c r="AZ667" s="173"/>
      <c r="BA667" s="173"/>
      <c r="BB667" s="173"/>
      <c r="BC667" s="173"/>
      <c r="BD667" s="173"/>
      <c r="BE667" s="173"/>
      <c r="BF667" s="173"/>
      <c r="BG667" s="173"/>
      <c r="BH667" s="173"/>
      <c r="BI667" s="173"/>
      <c r="BJ667" s="173"/>
      <c r="BK667" s="173"/>
      <c r="BL667" s="173"/>
      <c r="BM667" s="173"/>
      <c r="BN667" s="173"/>
      <c r="BO667" s="173"/>
      <c r="BP667" s="173"/>
      <c r="BQ667" s="173"/>
      <c r="BR667" s="173"/>
      <c r="BS667" s="173"/>
      <c r="BT667" s="173"/>
      <c r="BU667" s="173"/>
      <c r="BV667" s="173"/>
      <c r="BW667" s="173"/>
      <c r="BX667" s="173"/>
      <c r="BY667" s="173"/>
    </row>
    <row r="668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  <c r="AQ668" s="173"/>
      <c r="AR668" s="173"/>
      <c r="AS668" s="173"/>
      <c r="AT668" s="173"/>
      <c r="AU668" s="173"/>
      <c r="AV668" s="173"/>
      <c r="AW668" s="173"/>
      <c r="AX668" s="173"/>
      <c r="AY668" s="173"/>
      <c r="AZ668" s="173"/>
      <c r="BA668" s="173"/>
      <c r="BB668" s="173"/>
      <c r="BC668" s="173"/>
      <c r="BD668" s="173"/>
      <c r="BE668" s="173"/>
      <c r="BF668" s="173"/>
      <c r="BG668" s="173"/>
      <c r="BH668" s="173"/>
      <c r="BI668" s="173"/>
      <c r="BJ668" s="173"/>
      <c r="BK668" s="173"/>
      <c r="BL668" s="173"/>
      <c r="BM668" s="173"/>
      <c r="BN668" s="173"/>
      <c r="BO668" s="173"/>
      <c r="BP668" s="173"/>
      <c r="BQ668" s="173"/>
      <c r="BR668" s="173"/>
      <c r="BS668" s="173"/>
      <c r="BT668" s="173"/>
      <c r="BU668" s="173"/>
      <c r="BV668" s="173"/>
      <c r="BW668" s="173"/>
      <c r="BX668" s="173"/>
      <c r="BY668" s="173"/>
    </row>
    <row r="669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  <c r="AQ669" s="173"/>
      <c r="AR669" s="173"/>
      <c r="AS669" s="173"/>
      <c r="AT669" s="173"/>
      <c r="AU669" s="173"/>
      <c r="AV669" s="173"/>
      <c r="AW669" s="173"/>
      <c r="AX669" s="173"/>
      <c r="AY669" s="173"/>
      <c r="AZ669" s="173"/>
      <c r="BA669" s="173"/>
      <c r="BB669" s="173"/>
      <c r="BC669" s="173"/>
      <c r="BD669" s="173"/>
      <c r="BE669" s="173"/>
      <c r="BF669" s="173"/>
      <c r="BG669" s="173"/>
      <c r="BH669" s="173"/>
      <c r="BI669" s="173"/>
      <c r="BJ669" s="173"/>
      <c r="BK669" s="173"/>
      <c r="BL669" s="173"/>
      <c r="BM669" s="173"/>
      <c r="BN669" s="173"/>
      <c r="BO669" s="173"/>
      <c r="BP669" s="173"/>
      <c r="BQ669" s="173"/>
      <c r="BR669" s="173"/>
      <c r="BS669" s="173"/>
      <c r="BT669" s="173"/>
      <c r="BU669" s="173"/>
      <c r="BV669" s="173"/>
      <c r="BW669" s="173"/>
      <c r="BX669" s="173"/>
      <c r="BY669" s="173"/>
    </row>
    <row r="670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  <c r="AQ670" s="173"/>
      <c r="AR670" s="173"/>
      <c r="AS670" s="173"/>
      <c r="AT670" s="173"/>
      <c r="AU670" s="173"/>
      <c r="AV670" s="173"/>
      <c r="AW670" s="173"/>
      <c r="AX670" s="173"/>
      <c r="AY670" s="173"/>
      <c r="AZ670" s="173"/>
      <c r="BA670" s="173"/>
      <c r="BB670" s="173"/>
      <c r="BC670" s="173"/>
      <c r="BD670" s="173"/>
      <c r="BE670" s="173"/>
      <c r="BF670" s="173"/>
      <c r="BG670" s="173"/>
      <c r="BH670" s="173"/>
      <c r="BI670" s="173"/>
      <c r="BJ670" s="173"/>
      <c r="BK670" s="173"/>
      <c r="BL670" s="173"/>
      <c r="BM670" s="173"/>
      <c r="BN670" s="173"/>
      <c r="BO670" s="173"/>
      <c r="BP670" s="173"/>
      <c r="BQ670" s="173"/>
      <c r="BR670" s="173"/>
      <c r="BS670" s="173"/>
      <c r="BT670" s="173"/>
      <c r="BU670" s="173"/>
      <c r="BV670" s="173"/>
      <c r="BW670" s="173"/>
      <c r="BX670" s="173"/>
      <c r="BY670" s="173"/>
    </row>
    <row r="67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  <c r="AQ671" s="173"/>
      <c r="AR671" s="173"/>
      <c r="AS671" s="173"/>
      <c r="AT671" s="173"/>
      <c r="AU671" s="173"/>
      <c r="AV671" s="173"/>
      <c r="AW671" s="173"/>
      <c r="AX671" s="173"/>
      <c r="AY671" s="173"/>
      <c r="AZ671" s="173"/>
      <c r="BA671" s="173"/>
      <c r="BB671" s="173"/>
      <c r="BC671" s="173"/>
      <c r="BD671" s="173"/>
      <c r="BE671" s="173"/>
      <c r="BF671" s="173"/>
      <c r="BG671" s="173"/>
      <c r="BH671" s="173"/>
      <c r="BI671" s="173"/>
      <c r="BJ671" s="173"/>
      <c r="BK671" s="173"/>
      <c r="BL671" s="173"/>
      <c r="BM671" s="173"/>
      <c r="BN671" s="173"/>
      <c r="BO671" s="173"/>
      <c r="BP671" s="173"/>
      <c r="BQ671" s="173"/>
      <c r="BR671" s="173"/>
      <c r="BS671" s="173"/>
      <c r="BT671" s="173"/>
      <c r="BU671" s="173"/>
      <c r="BV671" s="173"/>
      <c r="BW671" s="173"/>
      <c r="BX671" s="173"/>
      <c r="BY671" s="173"/>
    </row>
    <row r="672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  <c r="AQ672" s="173"/>
      <c r="AR672" s="173"/>
      <c r="AS672" s="173"/>
      <c r="AT672" s="173"/>
      <c r="AU672" s="173"/>
      <c r="AV672" s="173"/>
      <c r="AW672" s="173"/>
      <c r="AX672" s="173"/>
      <c r="AY672" s="173"/>
      <c r="AZ672" s="173"/>
      <c r="BA672" s="173"/>
      <c r="BB672" s="173"/>
      <c r="BC672" s="173"/>
      <c r="BD672" s="173"/>
      <c r="BE672" s="173"/>
      <c r="BF672" s="173"/>
      <c r="BG672" s="173"/>
      <c r="BH672" s="173"/>
      <c r="BI672" s="173"/>
      <c r="BJ672" s="173"/>
      <c r="BK672" s="173"/>
      <c r="BL672" s="173"/>
      <c r="BM672" s="173"/>
      <c r="BN672" s="173"/>
      <c r="BO672" s="173"/>
      <c r="BP672" s="173"/>
      <c r="BQ672" s="173"/>
      <c r="BR672" s="173"/>
      <c r="BS672" s="173"/>
      <c r="BT672" s="173"/>
      <c r="BU672" s="173"/>
      <c r="BV672" s="173"/>
      <c r="BW672" s="173"/>
      <c r="BX672" s="173"/>
      <c r="BY672" s="173"/>
    </row>
    <row r="673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  <c r="AQ673" s="173"/>
      <c r="AR673" s="173"/>
      <c r="AS673" s="173"/>
      <c r="AT673" s="173"/>
      <c r="AU673" s="173"/>
      <c r="AV673" s="173"/>
      <c r="AW673" s="173"/>
      <c r="AX673" s="173"/>
      <c r="AY673" s="173"/>
      <c r="AZ673" s="173"/>
      <c r="BA673" s="173"/>
      <c r="BB673" s="173"/>
      <c r="BC673" s="173"/>
      <c r="BD673" s="173"/>
      <c r="BE673" s="173"/>
      <c r="BF673" s="173"/>
      <c r="BG673" s="173"/>
      <c r="BH673" s="173"/>
      <c r="BI673" s="173"/>
      <c r="BJ673" s="173"/>
      <c r="BK673" s="173"/>
      <c r="BL673" s="173"/>
      <c r="BM673" s="173"/>
      <c r="BN673" s="173"/>
      <c r="BO673" s="173"/>
      <c r="BP673" s="173"/>
      <c r="BQ673" s="173"/>
      <c r="BR673" s="173"/>
      <c r="BS673" s="173"/>
      <c r="BT673" s="173"/>
      <c r="BU673" s="173"/>
      <c r="BV673" s="173"/>
      <c r="BW673" s="173"/>
      <c r="BX673" s="173"/>
      <c r="BY673" s="173"/>
    </row>
    <row r="674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  <c r="AQ674" s="173"/>
      <c r="AR674" s="173"/>
      <c r="AS674" s="173"/>
      <c r="AT674" s="173"/>
      <c r="AU674" s="173"/>
      <c r="AV674" s="173"/>
      <c r="AW674" s="173"/>
      <c r="AX674" s="173"/>
      <c r="AY674" s="173"/>
      <c r="AZ674" s="173"/>
      <c r="BA674" s="173"/>
      <c r="BB674" s="173"/>
      <c r="BC674" s="173"/>
      <c r="BD674" s="173"/>
      <c r="BE674" s="173"/>
      <c r="BF674" s="173"/>
      <c r="BG674" s="173"/>
      <c r="BH674" s="173"/>
      <c r="BI674" s="173"/>
      <c r="BJ674" s="173"/>
      <c r="BK674" s="173"/>
      <c r="BL674" s="173"/>
      <c r="BM674" s="173"/>
      <c r="BN674" s="173"/>
      <c r="BO674" s="173"/>
      <c r="BP674" s="173"/>
      <c r="BQ674" s="173"/>
      <c r="BR674" s="173"/>
      <c r="BS674" s="173"/>
      <c r="BT674" s="173"/>
      <c r="BU674" s="173"/>
      <c r="BV674" s="173"/>
      <c r="BW674" s="173"/>
      <c r="BX674" s="173"/>
      <c r="BY674" s="173"/>
    </row>
    <row r="675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  <c r="AQ675" s="173"/>
      <c r="AR675" s="173"/>
      <c r="AS675" s="173"/>
      <c r="AT675" s="173"/>
      <c r="AU675" s="173"/>
      <c r="AV675" s="173"/>
      <c r="AW675" s="173"/>
      <c r="AX675" s="173"/>
      <c r="AY675" s="173"/>
      <c r="AZ675" s="173"/>
      <c r="BA675" s="173"/>
      <c r="BB675" s="173"/>
      <c r="BC675" s="173"/>
      <c r="BD675" s="173"/>
      <c r="BE675" s="173"/>
      <c r="BF675" s="173"/>
      <c r="BG675" s="173"/>
      <c r="BH675" s="173"/>
      <c r="BI675" s="173"/>
      <c r="BJ675" s="173"/>
      <c r="BK675" s="173"/>
      <c r="BL675" s="173"/>
      <c r="BM675" s="173"/>
      <c r="BN675" s="173"/>
      <c r="BO675" s="173"/>
      <c r="BP675" s="173"/>
      <c r="BQ675" s="173"/>
      <c r="BR675" s="173"/>
      <c r="BS675" s="173"/>
      <c r="BT675" s="173"/>
      <c r="BU675" s="173"/>
      <c r="BV675" s="173"/>
      <c r="BW675" s="173"/>
      <c r="BX675" s="173"/>
      <c r="BY675" s="173"/>
    </row>
    <row r="676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  <c r="AQ676" s="173"/>
      <c r="AR676" s="173"/>
      <c r="AS676" s="173"/>
      <c r="AT676" s="173"/>
      <c r="AU676" s="173"/>
      <c r="AV676" s="173"/>
      <c r="AW676" s="173"/>
      <c r="AX676" s="173"/>
      <c r="AY676" s="173"/>
      <c r="AZ676" s="173"/>
      <c r="BA676" s="173"/>
      <c r="BB676" s="173"/>
      <c r="BC676" s="173"/>
      <c r="BD676" s="173"/>
      <c r="BE676" s="173"/>
      <c r="BF676" s="173"/>
      <c r="BG676" s="173"/>
      <c r="BH676" s="173"/>
      <c r="BI676" s="173"/>
      <c r="BJ676" s="173"/>
      <c r="BK676" s="173"/>
      <c r="BL676" s="173"/>
      <c r="BM676" s="173"/>
      <c r="BN676" s="173"/>
      <c r="BO676" s="173"/>
      <c r="BP676" s="173"/>
      <c r="BQ676" s="173"/>
      <c r="BR676" s="173"/>
      <c r="BS676" s="173"/>
      <c r="BT676" s="173"/>
      <c r="BU676" s="173"/>
      <c r="BV676" s="173"/>
      <c r="BW676" s="173"/>
      <c r="BX676" s="173"/>
      <c r="BY676" s="173"/>
    </row>
    <row r="677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  <c r="AQ677" s="173"/>
      <c r="AR677" s="173"/>
      <c r="AS677" s="173"/>
      <c r="AT677" s="173"/>
      <c r="AU677" s="173"/>
      <c r="AV677" s="173"/>
      <c r="AW677" s="173"/>
      <c r="AX677" s="173"/>
      <c r="AY677" s="173"/>
      <c r="AZ677" s="173"/>
      <c r="BA677" s="173"/>
      <c r="BB677" s="173"/>
      <c r="BC677" s="173"/>
      <c r="BD677" s="173"/>
      <c r="BE677" s="173"/>
      <c r="BF677" s="173"/>
      <c r="BG677" s="173"/>
      <c r="BH677" s="173"/>
      <c r="BI677" s="173"/>
      <c r="BJ677" s="173"/>
      <c r="BK677" s="173"/>
      <c r="BL677" s="173"/>
      <c r="BM677" s="173"/>
      <c r="BN677" s="173"/>
      <c r="BO677" s="173"/>
      <c r="BP677" s="173"/>
      <c r="BQ677" s="173"/>
      <c r="BR677" s="173"/>
      <c r="BS677" s="173"/>
      <c r="BT677" s="173"/>
      <c r="BU677" s="173"/>
      <c r="BV677" s="173"/>
      <c r="BW677" s="173"/>
      <c r="BX677" s="173"/>
      <c r="BY677" s="173"/>
    </row>
    <row r="678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  <c r="AQ678" s="173"/>
      <c r="AR678" s="173"/>
      <c r="AS678" s="173"/>
      <c r="AT678" s="173"/>
      <c r="AU678" s="173"/>
      <c r="AV678" s="173"/>
      <c r="AW678" s="173"/>
      <c r="AX678" s="173"/>
      <c r="AY678" s="173"/>
      <c r="AZ678" s="173"/>
      <c r="BA678" s="173"/>
      <c r="BB678" s="173"/>
      <c r="BC678" s="173"/>
      <c r="BD678" s="173"/>
      <c r="BE678" s="173"/>
      <c r="BF678" s="173"/>
      <c r="BG678" s="173"/>
      <c r="BH678" s="173"/>
      <c r="BI678" s="173"/>
      <c r="BJ678" s="173"/>
      <c r="BK678" s="173"/>
      <c r="BL678" s="173"/>
      <c r="BM678" s="173"/>
      <c r="BN678" s="173"/>
      <c r="BO678" s="173"/>
      <c r="BP678" s="173"/>
      <c r="BQ678" s="173"/>
      <c r="BR678" s="173"/>
      <c r="BS678" s="173"/>
      <c r="BT678" s="173"/>
      <c r="BU678" s="173"/>
      <c r="BV678" s="173"/>
      <c r="BW678" s="173"/>
      <c r="BX678" s="173"/>
      <c r="BY678" s="173"/>
    </row>
    <row r="679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  <c r="AQ679" s="173"/>
      <c r="AR679" s="173"/>
      <c r="AS679" s="173"/>
      <c r="AT679" s="173"/>
      <c r="AU679" s="173"/>
      <c r="AV679" s="173"/>
      <c r="AW679" s="173"/>
      <c r="AX679" s="173"/>
      <c r="AY679" s="173"/>
      <c r="AZ679" s="173"/>
      <c r="BA679" s="173"/>
      <c r="BB679" s="173"/>
      <c r="BC679" s="173"/>
      <c r="BD679" s="173"/>
      <c r="BE679" s="173"/>
      <c r="BF679" s="173"/>
      <c r="BG679" s="173"/>
      <c r="BH679" s="173"/>
      <c r="BI679" s="173"/>
      <c r="BJ679" s="173"/>
      <c r="BK679" s="173"/>
      <c r="BL679" s="173"/>
      <c r="BM679" s="173"/>
      <c r="BN679" s="173"/>
      <c r="BO679" s="173"/>
      <c r="BP679" s="173"/>
      <c r="BQ679" s="173"/>
      <c r="BR679" s="173"/>
      <c r="BS679" s="173"/>
      <c r="BT679" s="173"/>
      <c r="BU679" s="173"/>
      <c r="BV679" s="173"/>
      <c r="BW679" s="173"/>
      <c r="BX679" s="173"/>
      <c r="BY679" s="173"/>
    </row>
    <row r="680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  <c r="AQ680" s="173"/>
      <c r="AR680" s="173"/>
      <c r="AS680" s="173"/>
      <c r="AT680" s="173"/>
      <c r="AU680" s="173"/>
      <c r="AV680" s="173"/>
      <c r="AW680" s="173"/>
      <c r="AX680" s="173"/>
      <c r="AY680" s="173"/>
      <c r="AZ680" s="173"/>
      <c r="BA680" s="173"/>
      <c r="BB680" s="173"/>
      <c r="BC680" s="173"/>
      <c r="BD680" s="173"/>
      <c r="BE680" s="173"/>
      <c r="BF680" s="173"/>
      <c r="BG680" s="173"/>
      <c r="BH680" s="173"/>
      <c r="BI680" s="173"/>
      <c r="BJ680" s="173"/>
      <c r="BK680" s="173"/>
      <c r="BL680" s="173"/>
      <c r="BM680" s="173"/>
      <c r="BN680" s="173"/>
      <c r="BO680" s="173"/>
      <c r="BP680" s="173"/>
      <c r="BQ680" s="173"/>
      <c r="BR680" s="173"/>
      <c r="BS680" s="173"/>
      <c r="BT680" s="173"/>
      <c r="BU680" s="173"/>
      <c r="BV680" s="173"/>
      <c r="BW680" s="173"/>
      <c r="BX680" s="173"/>
      <c r="BY680" s="173"/>
    </row>
    <row r="68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  <c r="AQ681" s="173"/>
      <c r="AR681" s="173"/>
      <c r="AS681" s="173"/>
      <c r="AT681" s="173"/>
      <c r="AU681" s="173"/>
      <c r="AV681" s="173"/>
      <c r="AW681" s="173"/>
      <c r="AX681" s="173"/>
      <c r="AY681" s="173"/>
      <c r="AZ681" s="173"/>
      <c r="BA681" s="173"/>
      <c r="BB681" s="173"/>
      <c r="BC681" s="173"/>
      <c r="BD681" s="173"/>
      <c r="BE681" s="173"/>
      <c r="BF681" s="173"/>
      <c r="BG681" s="173"/>
      <c r="BH681" s="173"/>
      <c r="BI681" s="173"/>
      <c r="BJ681" s="173"/>
      <c r="BK681" s="173"/>
      <c r="BL681" s="173"/>
      <c r="BM681" s="173"/>
      <c r="BN681" s="173"/>
      <c r="BO681" s="173"/>
      <c r="BP681" s="173"/>
      <c r="BQ681" s="173"/>
      <c r="BR681" s="173"/>
      <c r="BS681" s="173"/>
      <c r="BT681" s="173"/>
      <c r="BU681" s="173"/>
      <c r="BV681" s="173"/>
      <c r="BW681" s="173"/>
      <c r="BX681" s="173"/>
      <c r="BY681" s="173"/>
    </row>
    <row r="682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  <c r="AQ682" s="173"/>
      <c r="AR682" s="173"/>
      <c r="AS682" s="173"/>
      <c r="AT682" s="173"/>
      <c r="AU682" s="173"/>
      <c r="AV682" s="173"/>
      <c r="AW682" s="173"/>
      <c r="AX682" s="173"/>
      <c r="AY682" s="173"/>
      <c r="AZ682" s="173"/>
      <c r="BA682" s="173"/>
      <c r="BB682" s="173"/>
      <c r="BC682" s="173"/>
      <c r="BD682" s="173"/>
      <c r="BE682" s="173"/>
      <c r="BF682" s="173"/>
      <c r="BG682" s="173"/>
      <c r="BH682" s="173"/>
      <c r="BI682" s="173"/>
      <c r="BJ682" s="173"/>
      <c r="BK682" s="173"/>
      <c r="BL682" s="173"/>
      <c r="BM682" s="173"/>
      <c r="BN682" s="173"/>
      <c r="BO682" s="173"/>
      <c r="BP682" s="173"/>
      <c r="BQ682" s="173"/>
      <c r="BR682" s="173"/>
      <c r="BS682" s="173"/>
      <c r="BT682" s="173"/>
      <c r="BU682" s="173"/>
      <c r="BV682" s="173"/>
      <c r="BW682" s="173"/>
      <c r="BX682" s="173"/>
      <c r="BY682" s="173"/>
    </row>
    <row r="683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  <c r="AQ683" s="173"/>
      <c r="AR683" s="173"/>
      <c r="AS683" s="173"/>
      <c r="AT683" s="173"/>
      <c r="AU683" s="173"/>
      <c r="AV683" s="173"/>
      <c r="AW683" s="173"/>
      <c r="AX683" s="173"/>
      <c r="AY683" s="173"/>
      <c r="AZ683" s="173"/>
      <c r="BA683" s="173"/>
      <c r="BB683" s="173"/>
      <c r="BC683" s="173"/>
      <c r="BD683" s="173"/>
      <c r="BE683" s="173"/>
      <c r="BF683" s="173"/>
      <c r="BG683" s="173"/>
      <c r="BH683" s="173"/>
      <c r="BI683" s="173"/>
      <c r="BJ683" s="173"/>
      <c r="BK683" s="173"/>
      <c r="BL683" s="173"/>
      <c r="BM683" s="173"/>
      <c r="BN683" s="173"/>
      <c r="BO683" s="173"/>
      <c r="BP683" s="173"/>
      <c r="BQ683" s="173"/>
      <c r="BR683" s="173"/>
      <c r="BS683" s="173"/>
      <c r="BT683" s="173"/>
      <c r="BU683" s="173"/>
      <c r="BV683" s="173"/>
      <c r="BW683" s="173"/>
      <c r="BX683" s="173"/>
      <c r="BY683" s="173"/>
    </row>
    <row r="684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  <c r="AQ684" s="173"/>
      <c r="AR684" s="173"/>
      <c r="AS684" s="173"/>
      <c r="AT684" s="173"/>
      <c r="AU684" s="173"/>
      <c r="AV684" s="173"/>
      <c r="AW684" s="173"/>
      <c r="AX684" s="173"/>
      <c r="AY684" s="173"/>
      <c r="AZ684" s="173"/>
      <c r="BA684" s="173"/>
      <c r="BB684" s="173"/>
      <c r="BC684" s="173"/>
      <c r="BD684" s="173"/>
      <c r="BE684" s="173"/>
      <c r="BF684" s="173"/>
      <c r="BG684" s="173"/>
      <c r="BH684" s="173"/>
      <c r="BI684" s="173"/>
      <c r="BJ684" s="173"/>
      <c r="BK684" s="173"/>
      <c r="BL684" s="173"/>
      <c r="BM684" s="173"/>
      <c r="BN684" s="173"/>
      <c r="BO684" s="173"/>
      <c r="BP684" s="173"/>
      <c r="BQ684" s="173"/>
      <c r="BR684" s="173"/>
      <c r="BS684" s="173"/>
      <c r="BT684" s="173"/>
      <c r="BU684" s="173"/>
      <c r="BV684" s="173"/>
      <c r="BW684" s="173"/>
      <c r="BX684" s="173"/>
      <c r="BY684" s="173"/>
    </row>
    <row r="685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  <c r="AQ685" s="173"/>
      <c r="AR685" s="173"/>
      <c r="AS685" s="173"/>
      <c r="AT685" s="173"/>
      <c r="AU685" s="173"/>
      <c r="AV685" s="173"/>
      <c r="AW685" s="173"/>
      <c r="AX685" s="173"/>
      <c r="AY685" s="173"/>
      <c r="AZ685" s="173"/>
      <c r="BA685" s="173"/>
      <c r="BB685" s="173"/>
      <c r="BC685" s="173"/>
      <c r="BD685" s="173"/>
      <c r="BE685" s="173"/>
      <c r="BF685" s="173"/>
      <c r="BG685" s="173"/>
      <c r="BH685" s="173"/>
      <c r="BI685" s="173"/>
      <c r="BJ685" s="173"/>
      <c r="BK685" s="173"/>
      <c r="BL685" s="173"/>
      <c r="BM685" s="173"/>
      <c r="BN685" s="173"/>
      <c r="BO685" s="173"/>
      <c r="BP685" s="173"/>
      <c r="BQ685" s="173"/>
      <c r="BR685" s="173"/>
      <c r="BS685" s="173"/>
      <c r="BT685" s="173"/>
      <c r="BU685" s="173"/>
      <c r="BV685" s="173"/>
      <c r="BW685" s="173"/>
      <c r="BX685" s="173"/>
      <c r="BY685" s="173"/>
    </row>
    <row r="686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  <c r="AQ686" s="173"/>
      <c r="AR686" s="173"/>
      <c r="AS686" s="173"/>
      <c r="AT686" s="173"/>
      <c r="AU686" s="173"/>
      <c r="AV686" s="173"/>
      <c r="AW686" s="173"/>
      <c r="AX686" s="173"/>
      <c r="AY686" s="173"/>
      <c r="AZ686" s="173"/>
      <c r="BA686" s="173"/>
      <c r="BB686" s="173"/>
      <c r="BC686" s="173"/>
      <c r="BD686" s="173"/>
      <c r="BE686" s="173"/>
      <c r="BF686" s="173"/>
      <c r="BG686" s="173"/>
      <c r="BH686" s="173"/>
      <c r="BI686" s="173"/>
      <c r="BJ686" s="173"/>
      <c r="BK686" s="173"/>
      <c r="BL686" s="173"/>
      <c r="BM686" s="173"/>
      <c r="BN686" s="173"/>
      <c r="BO686" s="173"/>
      <c r="BP686" s="173"/>
      <c r="BQ686" s="173"/>
      <c r="BR686" s="173"/>
      <c r="BS686" s="173"/>
      <c r="BT686" s="173"/>
      <c r="BU686" s="173"/>
      <c r="BV686" s="173"/>
      <c r="BW686" s="173"/>
      <c r="BX686" s="173"/>
      <c r="BY686" s="173"/>
    </row>
    <row r="687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  <c r="AQ687" s="173"/>
      <c r="AR687" s="173"/>
      <c r="AS687" s="173"/>
      <c r="AT687" s="173"/>
      <c r="AU687" s="173"/>
      <c r="AV687" s="173"/>
      <c r="AW687" s="173"/>
      <c r="AX687" s="173"/>
      <c r="AY687" s="173"/>
      <c r="AZ687" s="173"/>
      <c r="BA687" s="173"/>
      <c r="BB687" s="173"/>
      <c r="BC687" s="173"/>
      <c r="BD687" s="173"/>
      <c r="BE687" s="173"/>
      <c r="BF687" s="173"/>
      <c r="BG687" s="173"/>
      <c r="BH687" s="173"/>
      <c r="BI687" s="173"/>
      <c r="BJ687" s="173"/>
      <c r="BK687" s="173"/>
      <c r="BL687" s="173"/>
      <c r="BM687" s="173"/>
      <c r="BN687" s="173"/>
      <c r="BO687" s="173"/>
      <c r="BP687" s="173"/>
      <c r="BQ687" s="173"/>
      <c r="BR687" s="173"/>
      <c r="BS687" s="173"/>
      <c r="BT687" s="173"/>
      <c r="BU687" s="173"/>
      <c r="BV687" s="173"/>
      <c r="BW687" s="173"/>
      <c r="BX687" s="173"/>
      <c r="BY687" s="173"/>
    </row>
    <row r="688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  <c r="AQ688" s="173"/>
      <c r="AR688" s="173"/>
      <c r="AS688" s="173"/>
      <c r="AT688" s="173"/>
      <c r="AU688" s="173"/>
      <c r="AV688" s="173"/>
      <c r="AW688" s="173"/>
      <c r="AX688" s="173"/>
      <c r="AY688" s="173"/>
      <c r="AZ688" s="173"/>
      <c r="BA688" s="173"/>
      <c r="BB688" s="173"/>
      <c r="BC688" s="173"/>
      <c r="BD688" s="173"/>
      <c r="BE688" s="173"/>
      <c r="BF688" s="173"/>
      <c r="BG688" s="173"/>
      <c r="BH688" s="173"/>
      <c r="BI688" s="173"/>
      <c r="BJ688" s="173"/>
      <c r="BK688" s="173"/>
      <c r="BL688" s="173"/>
      <c r="BM688" s="173"/>
      <c r="BN688" s="173"/>
      <c r="BO688" s="173"/>
      <c r="BP688" s="173"/>
      <c r="BQ688" s="173"/>
      <c r="BR688" s="173"/>
      <c r="BS688" s="173"/>
      <c r="BT688" s="173"/>
      <c r="BU688" s="173"/>
      <c r="BV688" s="173"/>
      <c r="BW688" s="173"/>
      <c r="BX688" s="173"/>
      <c r="BY688" s="173"/>
    </row>
    <row r="689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  <c r="AQ689" s="173"/>
      <c r="AR689" s="173"/>
      <c r="AS689" s="173"/>
      <c r="AT689" s="173"/>
      <c r="AU689" s="173"/>
      <c r="AV689" s="173"/>
      <c r="AW689" s="173"/>
      <c r="AX689" s="173"/>
      <c r="AY689" s="173"/>
      <c r="AZ689" s="173"/>
      <c r="BA689" s="173"/>
      <c r="BB689" s="173"/>
      <c r="BC689" s="173"/>
      <c r="BD689" s="173"/>
      <c r="BE689" s="173"/>
      <c r="BF689" s="173"/>
      <c r="BG689" s="173"/>
      <c r="BH689" s="173"/>
      <c r="BI689" s="173"/>
      <c r="BJ689" s="173"/>
      <c r="BK689" s="173"/>
      <c r="BL689" s="173"/>
      <c r="BM689" s="173"/>
      <c r="BN689" s="173"/>
      <c r="BO689" s="173"/>
      <c r="BP689" s="173"/>
      <c r="BQ689" s="173"/>
      <c r="BR689" s="173"/>
      <c r="BS689" s="173"/>
      <c r="BT689" s="173"/>
      <c r="BU689" s="173"/>
      <c r="BV689" s="173"/>
      <c r="BW689" s="173"/>
      <c r="BX689" s="173"/>
      <c r="BY689" s="173"/>
    </row>
    <row r="690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  <c r="AQ690" s="173"/>
      <c r="AR690" s="173"/>
      <c r="AS690" s="173"/>
      <c r="AT690" s="173"/>
      <c r="AU690" s="173"/>
      <c r="AV690" s="173"/>
      <c r="AW690" s="173"/>
      <c r="AX690" s="173"/>
      <c r="AY690" s="173"/>
      <c r="AZ690" s="173"/>
      <c r="BA690" s="173"/>
      <c r="BB690" s="173"/>
      <c r="BC690" s="173"/>
      <c r="BD690" s="173"/>
      <c r="BE690" s="173"/>
      <c r="BF690" s="173"/>
      <c r="BG690" s="173"/>
      <c r="BH690" s="173"/>
      <c r="BI690" s="173"/>
      <c r="BJ690" s="173"/>
      <c r="BK690" s="173"/>
      <c r="BL690" s="173"/>
      <c r="BM690" s="173"/>
      <c r="BN690" s="173"/>
      <c r="BO690" s="173"/>
      <c r="BP690" s="173"/>
      <c r="BQ690" s="173"/>
      <c r="BR690" s="173"/>
      <c r="BS690" s="173"/>
      <c r="BT690" s="173"/>
      <c r="BU690" s="173"/>
      <c r="BV690" s="173"/>
      <c r="BW690" s="173"/>
      <c r="BX690" s="173"/>
      <c r="BY690" s="173"/>
    </row>
    <row r="69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  <c r="AQ691" s="173"/>
      <c r="AR691" s="173"/>
      <c r="AS691" s="173"/>
      <c r="AT691" s="173"/>
      <c r="AU691" s="173"/>
      <c r="AV691" s="173"/>
      <c r="AW691" s="173"/>
      <c r="AX691" s="173"/>
      <c r="AY691" s="173"/>
      <c r="AZ691" s="173"/>
      <c r="BA691" s="173"/>
      <c r="BB691" s="173"/>
      <c r="BC691" s="173"/>
      <c r="BD691" s="173"/>
      <c r="BE691" s="173"/>
      <c r="BF691" s="173"/>
      <c r="BG691" s="173"/>
      <c r="BH691" s="173"/>
      <c r="BI691" s="173"/>
      <c r="BJ691" s="173"/>
      <c r="BK691" s="173"/>
      <c r="BL691" s="173"/>
      <c r="BM691" s="173"/>
      <c r="BN691" s="173"/>
      <c r="BO691" s="173"/>
      <c r="BP691" s="173"/>
      <c r="BQ691" s="173"/>
      <c r="BR691" s="173"/>
      <c r="BS691" s="173"/>
      <c r="BT691" s="173"/>
      <c r="BU691" s="173"/>
      <c r="BV691" s="173"/>
      <c r="BW691" s="173"/>
      <c r="BX691" s="173"/>
      <c r="BY691" s="173"/>
    </row>
    <row r="692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  <c r="AQ692" s="173"/>
      <c r="AR692" s="173"/>
      <c r="AS692" s="173"/>
      <c r="AT692" s="173"/>
      <c r="AU692" s="173"/>
      <c r="AV692" s="173"/>
      <c r="AW692" s="173"/>
      <c r="AX692" s="173"/>
      <c r="AY692" s="173"/>
      <c r="AZ692" s="173"/>
      <c r="BA692" s="173"/>
      <c r="BB692" s="173"/>
      <c r="BC692" s="173"/>
      <c r="BD692" s="173"/>
      <c r="BE692" s="173"/>
      <c r="BF692" s="173"/>
      <c r="BG692" s="173"/>
      <c r="BH692" s="173"/>
      <c r="BI692" s="173"/>
      <c r="BJ692" s="173"/>
      <c r="BK692" s="173"/>
      <c r="BL692" s="173"/>
      <c r="BM692" s="173"/>
      <c r="BN692" s="173"/>
      <c r="BO692" s="173"/>
      <c r="BP692" s="173"/>
      <c r="BQ692" s="173"/>
      <c r="BR692" s="173"/>
      <c r="BS692" s="173"/>
      <c r="BT692" s="173"/>
      <c r="BU692" s="173"/>
      <c r="BV692" s="173"/>
      <c r="BW692" s="173"/>
      <c r="BX692" s="173"/>
      <c r="BY692" s="173"/>
    </row>
    <row r="693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  <c r="AQ693" s="173"/>
      <c r="AR693" s="173"/>
      <c r="AS693" s="173"/>
      <c r="AT693" s="173"/>
      <c r="AU693" s="173"/>
      <c r="AV693" s="173"/>
      <c r="AW693" s="173"/>
      <c r="AX693" s="173"/>
      <c r="AY693" s="173"/>
      <c r="AZ693" s="173"/>
      <c r="BA693" s="173"/>
      <c r="BB693" s="173"/>
      <c r="BC693" s="173"/>
      <c r="BD693" s="173"/>
      <c r="BE693" s="173"/>
      <c r="BF693" s="173"/>
      <c r="BG693" s="173"/>
      <c r="BH693" s="173"/>
      <c r="BI693" s="173"/>
      <c r="BJ693" s="173"/>
      <c r="BK693" s="173"/>
      <c r="BL693" s="173"/>
      <c r="BM693" s="173"/>
      <c r="BN693" s="173"/>
      <c r="BO693" s="173"/>
      <c r="BP693" s="173"/>
      <c r="BQ693" s="173"/>
      <c r="BR693" s="173"/>
      <c r="BS693" s="173"/>
      <c r="BT693" s="173"/>
      <c r="BU693" s="173"/>
      <c r="BV693" s="173"/>
      <c r="BW693" s="173"/>
      <c r="BX693" s="173"/>
      <c r="BY693" s="173"/>
    </row>
    <row r="694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  <c r="AQ694" s="173"/>
      <c r="AR694" s="173"/>
      <c r="AS694" s="173"/>
      <c r="AT694" s="173"/>
      <c r="AU694" s="173"/>
      <c r="AV694" s="173"/>
      <c r="AW694" s="173"/>
      <c r="AX694" s="173"/>
      <c r="AY694" s="173"/>
      <c r="AZ694" s="173"/>
      <c r="BA694" s="173"/>
      <c r="BB694" s="173"/>
      <c r="BC694" s="173"/>
      <c r="BD694" s="173"/>
      <c r="BE694" s="173"/>
      <c r="BF694" s="173"/>
      <c r="BG694" s="173"/>
      <c r="BH694" s="173"/>
      <c r="BI694" s="173"/>
      <c r="BJ694" s="173"/>
      <c r="BK694" s="173"/>
      <c r="BL694" s="173"/>
      <c r="BM694" s="173"/>
      <c r="BN694" s="173"/>
      <c r="BO694" s="173"/>
      <c r="BP694" s="173"/>
      <c r="BQ694" s="173"/>
      <c r="BR694" s="173"/>
      <c r="BS694" s="173"/>
      <c r="BT694" s="173"/>
      <c r="BU694" s="173"/>
      <c r="BV694" s="173"/>
      <c r="BW694" s="173"/>
      <c r="BX694" s="173"/>
      <c r="BY694" s="173"/>
    </row>
    <row r="695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  <c r="AQ695" s="173"/>
      <c r="AR695" s="173"/>
      <c r="AS695" s="173"/>
      <c r="AT695" s="173"/>
      <c r="AU695" s="173"/>
      <c r="AV695" s="173"/>
      <c r="AW695" s="173"/>
      <c r="AX695" s="173"/>
      <c r="AY695" s="173"/>
      <c r="AZ695" s="173"/>
      <c r="BA695" s="173"/>
      <c r="BB695" s="173"/>
      <c r="BC695" s="173"/>
      <c r="BD695" s="173"/>
      <c r="BE695" s="173"/>
      <c r="BF695" s="173"/>
      <c r="BG695" s="173"/>
      <c r="BH695" s="173"/>
      <c r="BI695" s="173"/>
      <c r="BJ695" s="173"/>
      <c r="BK695" s="173"/>
      <c r="BL695" s="173"/>
      <c r="BM695" s="173"/>
      <c r="BN695" s="173"/>
      <c r="BO695" s="173"/>
      <c r="BP695" s="173"/>
      <c r="BQ695" s="173"/>
      <c r="BR695" s="173"/>
      <c r="BS695" s="173"/>
      <c r="BT695" s="173"/>
      <c r="BU695" s="173"/>
      <c r="BV695" s="173"/>
      <c r="BW695" s="173"/>
      <c r="BX695" s="173"/>
      <c r="BY695" s="173"/>
    </row>
    <row r="696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  <c r="AQ696" s="173"/>
      <c r="AR696" s="173"/>
      <c r="AS696" s="173"/>
      <c r="AT696" s="173"/>
      <c r="AU696" s="173"/>
      <c r="AV696" s="173"/>
      <c r="AW696" s="173"/>
      <c r="AX696" s="173"/>
      <c r="AY696" s="173"/>
      <c r="AZ696" s="173"/>
      <c r="BA696" s="173"/>
      <c r="BB696" s="173"/>
      <c r="BC696" s="173"/>
      <c r="BD696" s="173"/>
      <c r="BE696" s="173"/>
      <c r="BF696" s="173"/>
      <c r="BG696" s="173"/>
      <c r="BH696" s="173"/>
      <c r="BI696" s="173"/>
      <c r="BJ696" s="173"/>
      <c r="BK696" s="173"/>
      <c r="BL696" s="173"/>
      <c r="BM696" s="173"/>
      <c r="BN696" s="173"/>
      <c r="BO696" s="173"/>
      <c r="BP696" s="173"/>
      <c r="BQ696" s="173"/>
      <c r="BR696" s="173"/>
      <c r="BS696" s="173"/>
      <c r="BT696" s="173"/>
      <c r="BU696" s="173"/>
      <c r="BV696" s="173"/>
      <c r="BW696" s="173"/>
      <c r="BX696" s="173"/>
      <c r="BY696" s="173"/>
    </row>
    <row r="697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  <c r="AQ697" s="173"/>
      <c r="AR697" s="173"/>
      <c r="AS697" s="173"/>
      <c r="AT697" s="173"/>
      <c r="AU697" s="173"/>
      <c r="AV697" s="173"/>
      <c r="AW697" s="173"/>
      <c r="AX697" s="173"/>
      <c r="AY697" s="173"/>
      <c r="AZ697" s="173"/>
      <c r="BA697" s="173"/>
      <c r="BB697" s="173"/>
      <c r="BC697" s="173"/>
      <c r="BD697" s="173"/>
      <c r="BE697" s="173"/>
      <c r="BF697" s="173"/>
      <c r="BG697" s="173"/>
      <c r="BH697" s="173"/>
      <c r="BI697" s="173"/>
      <c r="BJ697" s="173"/>
      <c r="BK697" s="173"/>
      <c r="BL697" s="173"/>
      <c r="BM697" s="173"/>
      <c r="BN697" s="173"/>
      <c r="BO697" s="173"/>
      <c r="BP697" s="173"/>
      <c r="BQ697" s="173"/>
      <c r="BR697" s="173"/>
      <c r="BS697" s="173"/>
      <c r="BT697" s="173"/>
      <c r="BU697" s="173"/>
      <c r="BV697" s="173"/>
      <c r="BW697" s="173"/>
      <c r="BX697" s="173"/>
      <c r="BY697" s="173"/>
    </row>
    <row r="698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  <c r="AQ698" s="173"/>
      <c r="AR698" s="173"/>
      <c r="AS698" s="173"/>
      <c r="AT698" s="173"/>
      <c r="AU698" s="173"/>
      <c r="AV698" s="173"/>
      <c r="AW698" s="173"/>
      <c r="AX698" s="173"/>
      <c r="AY698" s="173"/>
      <c r="AZ698" s="173"/>
      <c r="BA698" s="173"/>
      <c r="BB698" s="173"/>
      <c r="BC698" s="173"/>
      <c r="BD698" s="173"/>
      <c r="BE698" s="173"/>
      <c r="BF698" s="173"/>
      <c r="BG698" s="173"/>
      <c r="BH698" s="173"/>
      <c r="BI698" s="173"/>
      <c r="BJ698" s="173"/>
      <c r="BK698" s="173"/>
      <c r="BL698" s="173"/>
      <c r="BM698" s="173"/>
      <c r="BN698" s="173"/>
      <c r="BO698" s="173"/>
      <c r="BP698" s="173"/>
      <c r="BQ698" s="173"/>
      <c r="BR698" s="173"/>
      <c r="BS698" s="173"/>
      <c r="BT698" s="173"/>
      <c r="BU698" s="173"/>
      <c r="BV698" s="173"/>
      <c r="BW698" s="173"/>
      <c r="BX698" s="173"/>
      <c r="BY698" s="173"/>
    </row>
    <row r="699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  <c r="AQ699" s="173"/>
      <c r="AR699" s="173"/>
      <c r="AS699" s="173"/>
      <c r="AT699" s="173"/>
      <c r="AU699" s="173"/>
      <c r="AV699" s="173"/>
      <c r="AW699" s="173"/>
      <c r="AX699" s="173"/>
      <c r="AY699" s="173"/>
      <c r="AZ699" s="173"/>
      <c r="BA699" s="173"/>
      <c r="BB699" s="173"/>
      <c r="BC699" s="173"/>
      <c r="BD699" s="173"/>
      <c r="BE699" s="173"/>
      <c r="BF699" s="173"/>
      <c r="BG699" s="173"/>
      <c r="BH699" s="173"/>
      <c r="BI699" s="173"/>
      <c r="BJ699" s="173"/>
      <c r="BK699" s="173"/>
      <c r="BL699" s="173"/>
      <c r="BM699" s="173"/>
      <c r="BN699" s="173"/>
      <c r="BO699" s="173"/>
      <c r="BP699" s="173"/>
      <c r="BQ699" s="173"/>
      <c r="BR699" s="173"/>
      <c r="BS699" s="173"/>
      <c r="BT699" s="173"/>
      <c r="BU699" s="173"/>
      <c r="BV699" s="173"/>
      <c r="BW699" s="173"/>
      <c r="BX699" s="173"/>
      <c r="BY699" s="173"/>
    </row>
    <row r="700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  <c r="AQ700" s="173"/>
      <c r="AR700" s="173"/>
      <c r="AS700" s="173"/>
      <c r="AT700" s="173"/>
      <c r="AU700" s="173"/>
      <c r="AV700" s="173"/>
      <c r="AW700" s="173"/>
      <c r="AX700" s="173"/>
      <c r="AY700" s="173"/>
      <c r="AZ700" s="173"/>
      <c r="BA700" s="173"/>
      <c r="BB700" s="173"/>
      <c r="BC700" s="173"/>
      <c r="BD700" s="173"/>
      <c r="BE700" s="173"/>
      <c r="BF700" s="173"/>
      <c r="BG700" s="173"/>
      <c r="BH700" s="173"/>
      <c r="BI700" s="173"/>
      <c r="BJ700" s="173"/>
      <c r="BK700" s="173"/>
      <c r="BL700" s="173"/>
      <c r="BM700" s="173"/>
      <c r="BN700" s="173"/>
      <c r="BO700" s="173"/>
      <c r="BP700" s="173"/>
      <c r="BQ700" s="173"/>
      <c r="BR700" s="173"/>
      <c r="BS700" s="173"/>
      <c r="BT700" s="173"/>
      <c r="BU700" s="173"/>
      <c r="BV700" s="173"/>
      <c r="BW700" s="173"/>
      <c r="BX700" s="173"/>
      <c r="BY700" s="173"/>
    </row>
    <row r="70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  <c r="AQ701" s="173"/>
      <c r="AR701" s="173"/>
      <c r="AS701" s="173"/>
      <c r="AT701" s="173"/>
      <c r="AU701" s="173"/>
      <c r="AV701" s="173"/>
      <c r="AW701" s="173"/>
      <c r="AX701" s="173"/>
      <c r="AY701" s="173"/>
      <c r="AZ701" s="173"/>
      <c r="BA701" s="173"/>
      <c r="BB701" s="173"/>
      <c r="BC701" s="173"/>
      <c r="BD701" s="173"/>
      <c r="BE701" s="173"/>
      <c r="BF701" s="173"/>
      <c r="BG701" s="173"/>
      <c r="BH701" s="173"/>
      <c r="BI701" s="173"/>
      <c r="BJ701" s="173"/>
      <c r="BK701" s="173"/>
      <c r="BL701" s="173"/>
      <c r="BM701" s="173"/>
      <c r="BN701" s="173"/>
      <c r="BO701" s="173"/>
      <c r="BP701" s="173"/>
      <c r="BQ701" s="173"/>
      <c r="BR701" s="173"/>
      <c r="BS701" s="173"/>
      <c r="BT701" s="173"/>
      <c r="BU701" s="173"/>
      <c r="BV701" s="173"/>
      <c r="BW701" s="173"/>
      <c r="BX701" s="173"/>
      <c r="BY701" s="173"/>
    </row>
    <row r="702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  <c r="AQ702" s="173"/>
      <c r="AR702" s="173"/>
      <c r="AS702" s="173"/>
      <c r="AT702" s="173"/>
      <c r="AU702" s="173"/>
      <c r="AV702" s="173"/>
      <c r="AW702" s="173"/>
      <c r="AX702" s="173"/>
      <c r="AY702" s="173"/>
      <c r="AZ702" s="173"/>
      <c r="BA702" s="173"/>
      <c r="BB702" s="173"/>
      <c r="BC702" s="173"/>
      <c r="BD702" s="173"/>
      <c r="BE702" s="173"/>
      <c r="BF702" s="173"/>
      <c r="BG702" s="173"/>
      <c r="BH702" s="173"/>
      <c r="BI702" s="173"/>
      <c r="BJ702" s="173"/>
      <c r="BK702" s="173"/>
      <c r="BL702" s="173"/>
      <c r="BM702" s="173"/>
      <c r="BN702" s="173"/>
      <c r="BO702" s="173"/>
      <c r="BP702" s="173"/>
      <c r="BQ702" s="173"/>
      <c r="BR702" s="173"/>
      <c r="BS702" s="173"/>
      <c r="BT702" s="173"/>
      <c r="BU702" s="173"/>
      <c r="BV702" s="173"/>
      <c r="BW702" s="173"/>
      <c r="BX702" s="173"/>
      <c r="BY702" s="173"/>
    </row>
    <row r="703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  <c r="AQ703" s="173"/>
      <c r="AR703" s="173"/>
      <c r="AS703" s="173"/>
      <c r="AT703" s="173"/>
      <c r="AU703" s="173"/>
      <c r="AV703" s="173"/>
      <c r="AW703" s="173"/>
      <c r="AX703" s="173"/>
      <c r="AY703" s="173"/>
      <c r="AZ703" s="173"/>
      <c r="BA703" s="173"/>
      <c r="BB703" s="173"/>
      <c r="BC703" s="173"/>
      <c r="BD703" s="173"/>
      <c r="BE703" s="173"/>
      <c r="BF703" s="173"/>
      <c r="BG703" s="173"/>
      <c r="BH703" s="173"/>
      <c r="BI703" s="173"/>
      <c r="BJ703" s="173"/>
      <c r="BK703" s="173"/>
      <c r="BL703" s="173"/>
      <c r="BM703" s="173"/>
      <c r="BN703" s="173"/>
      <c r="BO703" s="173"/>
      <c r="BP703" s="173"/>
      <c r="BQ703" s="173"/>
      <c r="BR703" s="173"/>
      <c r="BS703" s="173"/>
      <c r="BT703" s="173"/>
      <c r="BU703" s="173"/>
      <c r="BV703" s="173"/>
      <c r="BW703" s="173"/>
      <c r="BX703" s="173"/>
      <c r="BY703" s="173"/>
    </row>
    <row r="704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  <c r="AQ704" s="173"/>
      <c r="AR704" s="173"/>
      <c r="AS704" s="173"/>
      <c r="AT704" s="173"/>
      <c r="AU704" s="173"/>
      <c r="AV704" s="173"/>
      <c r="AW704" s="173"/>
      <c r="AX704" s="173"/>
      <c r="AY704" s="173"/>
      <c r="AZ704" s="173"/>
      <c r="BA704" s="173"/>
      <c r="BB704" s="173"/>
      <c r="BC704" s="173"/>
      <c r="BD704" s="173"/>
      <c r="BE704" s="173"/>
      <c r="BF704" s="173"/>
      <c r="BG704" s="173"/>
      <c r="BH704" s="173"/>
      <c r="BI704" s="173"/>
      <c r="BJ704" s="173"/>
      <c r="BK704" s="173"/>
      <c r="BL704" s="173"/>
      <c r="BM704" s="173"/>
      <c r="BN704" s="173"/>
      <c r="BO704" s="173"/>
      <c r="BP704" s="173"/>
      <c r="BQ704" s="173"/>
      <c r="BR704" s="173"/>
      <c r="BS704" s="173"/>
      <c r="BT704" s="173"/>
      <c r="BU704" s="173"/>
      <c r="BV704" s="173"/>
      <c r="BW704" s="173"/>
      <c r="BX704" s="173"/>
      <c r="BY704" s="173"/>
    </row>
    <row r="705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  <c r="AQ705" s="173"/>
      <c r="AR705" s="173"/>
      <c r="AS705" s="173"/>
      <c r="AT705" s="173"/>
      <c r="AU705" s="173"/>
      <c r="AV705" s="173"/>
      <c r="AW705" s="173"/>
      <c r="AX705" s="173"/>
      <c r="AY705" s="173"/>
      <c r="AZ705" s="173"/>
      <c r="BA705" s="173"/>
      <c r="BB705" s="173"/>
      <c r="BC705" s="173"/>
      <c r="BD705" s="173"/>
      <c r="BE705" s="173"/>
      <c r="BF705" s="173"/>
      <c r="BG705" s="173"/>
      <c r="BH705" s="173"/>
      <c r="BI705" s="173"/>
      <c r="BJ705" s="173"/>
      <c r="BK705" s="173"/>
      <c r="BL705" s="173"/>
      <c r="BM705" s="173"/>
      <c r="BN705" s="173"/>
      <c r="BO705" s="173"/>
      <c r="BP705" s="173"/>
      <c r="BQ705" s="173"/>
      <c r="BR705" s="173"/>
      <c r="BS705" s="173"/>
      <c r="BT705" s="173"/>
      <c r="BU705" s="173"/>
      <c r="BV705" s="173"/>
      <c r="BW705" s="173"/>
      <c r="BX705" s="173"/>
      <c r="BY705" s="173"/>
    </row>
    <row r="706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  <c r="AQ706" s="173"/>
      <c r="AR706" s="173"/>
      <c r="AS706" s="173"/>
      <c r="AT706" s="173"/>
      <c r="AU706" s="173"/>
      <c r="AV706" s="173"/>
      <c r="AW706" s="173"/>
      <c r="AX706" s="173"/>
      <c r="AY706" s="173"/>
      <c r="AZ706" s="173"/>
      <c r="BA706" s="173"/>
      <c r="BB706" s="173"/>
      <c r="BC706" s="173"/>
      <c r="BD706" s="173"/>
      <c r="BE706" s="173"/>
      <c r="BF706" s="173"/>
      <c r="BG706" s="173"/>
      <c r="BH706" s="173"/>
      <c r="BI706" s="173"/>
      <c r="BJ706" s="173"/>
      <c r="BK706" s="173"/>
      <c r="BL706" s="173"/>
      <c r="BM706" s="173"/>
      <c r="BN706" s="173"/>
      <c r="BO706" s="173"/>
      <c r="BP706" s="173"/>
      <c r="BQ706" s="173"/>
      <c r="BR706" s="173"/>
      <c r="BS706" s="173"/>
      <c r="BT706" s="173"/>
      <c r="BU706" s="173"/>
      <c r="BV706" s="173"/>
      <c r="BW706" s="173"/>
      <c r="BX706" s="173"/>
      <c r="BY706" s="173"/>
    </row>
    <row r="707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  <c r="AQ707" s="173"/>
      <c r="AR707" s="173"/>
      <c r="AS707" s="173"/>
      <c r="AT707" s="173"/>
      <c r="AU707" s="173"/>
      <c r="AV707" s="173"/>
      <c r="AW707" s="173"/>
      <c r="AX707" s="173"/>
      <c r="AY707" s="173"/>
      <c r="AZ707" s="173"/>
      <c r="BA707" s="173"/>
      <c r="BB707" s="173"/>
      <c r="BC707" s="173"/>
      <c r="BD707" s="173"/>
      <c r="BE707" s="173"/>
      <c r="BF707" s="173"/>
      <c r="BG707" s="173"/>
      <c r="BH707" s="173"/>
      <c r="BI707" s="173"/>
      <c r="BJ707" s="173"/>
      <c r="BK707" s="173"/>
      <c r="BL707" s="173"/>
      <c r="BM707" s="173"/>
      <c r="BN707" s="173"/>
      <c r="BO707" s="173"/>
      <c r="BP707" s="173"/>
      <c r="BQ707" s="173"/>
      <c r="BR707" s="173"/>
      <c r="BS707" s="173"/>
      <c r="BT707" s="173"/>
      <c r="BU707" s="173"/>
      <c r="BV707" s="173"/>
      <c r="BW707" s="173"/>
      <c r="BX707" s="173"/>
      <c r="BY707" s="173"/>
    </row>
    <row r="708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  <c r="AQ708" s="173"/>
      <c r="AR708" s="173"/>
      <c r="AS708" s="173"/>
      <c r="AT708" s="173"/>
      <c r="AU708" s="173"/>
      <c r="AV708" s="173"/>
      <c r="AW708" s="173"/>
      <c r="AX708" s="173"/>
      <c r="AY708" s="173"/>
      <c r="AZ708" s="173"/>
      <c r="BA708" s="173"/>
      <c r="BB708" s="173"/>
      <c r="BC708" s="173"/>
      <c r="BD708" s="173"/>
      <c r="BE708" s="173"/>
      <c r="BF708" s="173"/>
      <c r="BG708" s="173"/>
      <c r="BH708" s="173"/>
      <c r="BI708" s="173"/>
      <c r="BJ708" s="173"/>
      <c r="BK708" s="173"/>
      <c r="BL708" s="173"/>
      <c r="BM708" s="173"/>
      <c r="BN708" s="173"/>
      <c r="BO708" s="173"/>
      <c r="BP708" s="173"/>
      <c r="BQ708" s="173"/>
      <c r="BR708" s="173"/>
      <c r="BS708" s="173"/>
      <c r="BT708" s="173"/>
      <c r="BU708" s="173"/>
      <c r="BV708" s="173"/>
      <c r="BW708" s="173"/>
      <c r="BX708" s="173"/>
      <c r="BY708" s="173"/>
    </row>
    <row r="709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  <c r="AQ709" s="173"/>
      <c r="AR709" s="173"/>
      <c r="AS709" s="173"/>
      <c r="AT709" s="173"/>
      <c r="AU709" s="173"/>
      <c r="AV709" s="173"/>
      <c r="AW709" s="173"/>
      <c r="AX709" s="173"/>
      <c r="AY709" s="173"/>
      <c r="AZ709" s="173"/>
      <c r="BA709" s="173"/>
      <c r="BB709" s="173"/>
      <c r="BC709" s="173"/>
      <c r="BD709" s="173"/>
      <c r="BE709" s="173"/>
      <c r="BF709" s="173"/>
      <c r="BG709" s="173"/>
      <c r="BH709" s="173"/>
      <c r="BI709" s="173"/>
      <c r="BJ709" s="173"/>
      <c r="BK709" s="173"/>
      <c r="BL709" s="173"/>
      <c r="BM709" s="173"/>
      <c r="BN709" s="173"/>
      <c r="BO709" s="173"/>
      <c r="BP709" s="173"/>
      <c r="BQ709" s="173"/>
      <c r="BR709" s="173"/>
      <c r="BS709" s="173"/>
      <c r="BT709" s="173"/>
      <c r="BU709" s="173"/>
      <c r="BV709" s="173"/>
      <c r="BW709" s="173"/>
      <c r="BX709" s="173"/>
      <c r="BY709" s="173"/>
    </row>
    <row r="710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  <c r="AQ710" s="173"/>
      <c r="AR710" s="173"/>
      <c r="AS710" s="173"/>
      <c r="AT710" s="173"/>
      <c r="AU710" s="173"/>
      <c r="AV710" s="173"/>
      <c r="AW710" s="173"/>
      <c r="AX710" s="173"/>
      <c r="AY710" s="173"/>
      <c r="AZ710" s="173"/>
      <c r="BA710" s="173"/>
      <c r="BB710" s="173"/>
      <c r="BC710" s="173"/>
      <c r="BD710" s="173"/>
      <c r="BE710" s="173"/>
      <c r="BF710" s="173"/>
      <c r="BG710" s="173"/>
      <c r="BH710" s="173"/>
      <c r="BI710" s="173"/>
      <c r="BJ710" s="173"/>
      <c r="BK710" s="173"/>
      <c r="BL710" s="173"/>
      <c r="BM710" s="173"/>
      <c r="BN710" s="173"/>
      <c r="BO710" s="173"/>
      <c r="BP710" s="173"/>
      <c r="BQ710" s="173"/>
      <c r="BR710" s="173"/>
      <c r="BS710" s="173"/>
      <c r="BT710" s="173"/>
      <c r="BU710" s="173"/>
      <c r="BV710" s="173"/>
      <c r="BW710" s="173"/>
      <c r="BX710" s="173"/>
      <c r="BY710" s="173"/>
    </row>
    <row r="71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  <c r="AQ711" s="173"/>
      <c r="AR711" s="173"/>
      <c r="AS711" s="173"/>
      <c r="AT711" s="173"/>
      <c r="AU711" s="173"/>
      <c r="AV711" s="173"/>
      <c r="AW711" s="173"/>
      <c r="AX711" s="173"/>
      <c r="AY711" s="173"/>
      <c r="AZ711" s="173"/>
      <c r="BA711" s="173"/>
      <c r="BB711" s="173"/>
      <c r="BC711" s="173"/>
      <c r="BD711" s="173"/>
      <c r="BE711" s="173"/>
      <c r="BF711" s="173"/>
      <c r="BG711" s="173"/>
      <c r="BH711" s="173"/>
      <c r="BI711" s="173"/>
      <c r="BJ711" s="173"/>
      <c r="BK711" s="173"/>
      <c r="BL711" s="173"/>
      <c r="BM711" s="173"/>
      <c r="BN711" s="173"/>
      <c r="BO711" s="173"/>
      <c r="BP711" s="173"/>
      <c r="BQ711" s="173"/>
      <c r="BR711" s="173"/>
      <c r="BS711" s="173"/>
      <c r="BT711" s="173"/>
      <c r="BU711" s="173"/>
      <c r="BV711" s="173"/>
      <c r="BW711" s="173"/>
      <c r="BX711" s="173"/>
      <c r="BY711" s="173"/>
    </row>
    <row r="712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  <c r="AQ712" s="173"/>
      <c r="AR712" s="173"/>
      <c r="AS712" s="173"/>
      <c r="AT712" s="173"/>
      <c r="AU712" s="173"/>
      <c r="AV712" s="173"/>
      <c r="AW712" s="173"/>
      <c r="AX712" s="173"/>
      <c r="AY712" s="173"/>
      <c r="AZ712" s="173"/>
      <c r="BA712" s="173"/>
      <c r="BB712" s="173"/>
      <c r="BC712" s="173"/>
      <c r="BD712" s="173"/>
      <c r="BE712" s="173"/>
      <c r="BF712" s="173"/>
      <c r="BG712" s="173"/>
      <c r="BH712" s="173"/>
      <c r="BI712" s="173"/>
      <c r="BJ712" s="173"/>
      <c r="BK712" s="173"/>
      <c r="BL712" s="173"/>
      <c r="BM712" s="173"/>
      <c r="BN712" s="173"/>
      <c r="BO712" s="173"/>
      <c r="BP712" s="173"/>
      <c r="BQ712" s="173"/>
      <c r="BR712" s="173"/>
      <c r="BS712" s="173"/>
      <c r="BT712" s="173"/>
      <c r="BU712" s="173"/>
      <c r="BV712" s="173"/>
      <c r="BW712" s="173"/>
      <c r="BX712" s="173"/>
      <c r="BY712" s="173"/>
    </row>
    <row r="713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  <c r="AQ713" s="173"/>
      <c r="AR713" s="173"/>
      <c r="AS713" s="173"/>
      <c r="AT713" s="173"/>
      <c r="AU713" s="173"/>
      <c r="AV713" s="173"/>
      <c r="AW713" s="173"/>
      <c r="AX713" s="173"/>
      <c r="AY713" s="173"/>
      <c r="AZ713" s="173"/>
      <c r="BA713" s="173"/>
      <c r="BB713" s="173"/>
      <c r="BC713" s="173"/>
      <c r="BD713" s="173"/>
      <c r="BE713" s="173"/>
      <c r="BF713" s="173"/>
      <c r="BG713" s="173"/>
      <c r="BH713" s="173"/>
      <c r="BI713" s="173"/>
      <c r="BJ713" s="173"/>
      <c r="BK713" s="173"/>
      <c r="BL713" s="173"/>
      <c r="BM713" s="173"/>
      <c r="BN713" s="173"/>
      <c r="BO713" s="173"/>
      <c r="BP713" s="173"/>
      <c r="BQ713" s="173"/>
      <c r="BR713" s="173"/>
      <c r="BS713" s="173"/>
      <c r="BT713" s="173"/>
      <c r="BU713" s="173"/>
      <c r="BV713" s="173"/>
      <c r="BW713" s="173"/>
      <c r="BX713" s="173"/>
      <c r="BY713" s="173"/>
    </row>
    <row r="714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  <c r="AQ714" s="173"/>
      <c r="AR714" s="173"/>
      <c r="AS714" s="173"/>
      <c r="AT714" s="173"/>
      <c r="AU714" s="173"/>
      <c r="AV714" s="173"/>
      <c r="AW714" s="173"/>
      <c r="AX714" s="173"/>
      <c r="AY714" s="173"/>
      <c r="AZ714" s="173"/>
      <c r="BA714" s="173"/>
      <c r="BB714" s="173"/>
      <c r="BC714" s="173"/>
      <c r="BD714" s="173"/>
      <c r="BE714" s="173"/>
      <c r="BF714" s="173"/>
      <c r="BG714" s="173"/>
      <c r="BH714" s="173"/>
      <c r="BI714" s="173"/>
      <c r="BJ714" s="173"/>
      <c r="BK714" s="173"/>
      <c r="BL714" s="173"/>
      <c r="BM714" s="173"/>
      <c r="BN714" s="173"/>
      <c r="BO714" s="173"/>
      <c r="BP714" s="173"/>
      <c r="BQ714" s="173"/>
      <c r="BR714" s="173"/>
      <c r="BS714" s="173"/>
      <c r="BT714" s="173"/>
      <c r="BU714" s="173"/>
      <c r="BV714" s="173"/>
      <c r="BW714" s="173"/>
      <c r="BX714" s="173"/>
      <c r="BY714" s="173"/>
    </row>
    <row r="715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  <c r="AQ715" s="173"/>
      <c r="AR715" s="173"/>
      <c r="AS715" s="173"/>
      <c r="AT715" s="173"/>
      <c r="AU715" s="173"/>
      <c r="AV715" s="173"/>
      <c r="AW715" s="173"/>
      <c r="AX715" s="173"/>
      <c r="AY715" s="173"/>
      <c r="AZ715" s="173"/>
      <c r="BA715" s="173"/>
      <c r="BB715" s="173"/>
      <c r="BC715" s="173"/>
      <c r="BD715" s="173"/>
      <c r="BE715" s="173"/>
      <c r="BF715" s="173"/>
      <c r="BG715" s="173"/>
      <c r="BH715" s="173"/>
      <c r="BI715" s="173"/>
      <c r="BJ715" s="173"/>
      <c r="BK715" s="173"/>
      <c r="BL715" s="173"/>
      <c r="BM715" s="173"/>
      <c r="BN715" s="173"/>
      <c r="BO715" s="173"/>
      <c r="BP715" s="173"/>
      <c r="BQ715" s="173"/>
      <c r="BR715" s="173"/>
      <c r="BS715" s="173"/>
      <c r="BT715" s="173"/>
      <c r="BU715" s="173"/>
      <c r="BV715" s="173"/>
      <c r="BW715" s="173"/>
      <c r="BX715" s="173"/>
      <c r="BY715" s="173"/>
    </row>
    <row r="716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  <c r="AQ716" s="173"/>
      <c r="AR716" s="173"/>
      <c r="AS716" s="173"/>
      <c r="AT716" s="173"/>
      <c r="AU716" s="173"/>
      <c r="AV716" s="173"/>
      <c r="AW716" s="173"/>
      <c r="AX716" s="173"/>
      <c r="AY716" s="173"/>
      <c r="AZ716" s="173"/>
      <c r="BA716" s="173"/>
      <c r="BB716" s="173"/>
      <c r="BC716" s="173"/>
      <c r="BD716" s="173"/>
      <c r="BE716" s="173"/>
      <c r="BF716" s="173"/>
      <c r="BG716" s="173"/>
      <c r="BH716" s="173"/>
      <c r="BI716" s="173"/>
      <c r="BJ716" s="173"/>
      <c r="BK716" s="173"/>
      <c r="BL716" s="173"/>
      <c r="BM716" s="173"/>
      <c r="BN716" s="173"/>
      <c r="BO716" s="173"/>
      <c r="BP716" s="173"/>
      <c r="BQ716" s="173"/>
      <c r="BR716" s="173"/>
      <c r="BS716" s="173"/>
      <c r="BT716" s="173"/>
      <c r="BU716" s="173"/>
      <c r="BV716" s="173"/>
      <c r="BW716" s="173"/>
      <c r="BX716" s="173"/>
      <c r="BY716" s="173"/>
    </row>
    <row r="717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  <c r="AQ717" s="173"/>
      <c r="AR717" s="173"/>
      <c r="AS717" s="173"/>
      <c r="AT717" s="173"/>
      <c r="AU717" s="173"/>
      <c r="AV717" s="173"/>
      <c r="AW717" s="173"/>
      <c r="AX717" s="173"/>
      <c r="AY717" s="173"/>
      <c r="AZ717" s="173"/>
      <c r="BA717" s="173"/>
      <c r="BB717" s="173"/>
      <c r="BC717" s="173"/>
      <c r="BD717" s="173"/>
      <c r="BE717" s="173"/>
      <c r="BF717" s="173"/>
      <c r="BG717" s="173"/>
      <c r="BH717" s="173"/>
      <c r="BI717" s="173"/>
      <c r="BJ717" s="173"/>
      <c r="BK717" s="173"/>
      <c r="BL717" s="173"/>
      <c r="BM717" s="173"/>
      <c r="BN717" s="173"/>
      <c r="BO717" s="173"/>
      <c r="BP717" s="173"/>
      <c r="BQ717" s="173"/>
      <c r="BR717" s="173"/>
      <c r="BS717" s="173"/>
      <c r="BT717" s="173"/>
      <c r="BU717" s="173"/>
      <c r="BV717" s="173"/>
      <c r="BW717" s="173"/>
      <c r="BX717" s="173"/>
      <c r="BY717" s="173"/>
    </row>
    <row r="718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  <c r="AQ718" s="173"/>
      <c r="AR718" s="173"/>
      <c r="AS718" s="173"/>
      <c r="AT718" s="173"/>
      <c r="AU718" s="173"/>
      <c r="AV718" s="173"/>
      <c r="AW718" s="173"/>
      <c r="AX718" s="173"/>
      <c r="AY718" s="173"/>
      <c r="AZ718" s="173"/>
      <c r="BA718" s="173"/>
      <c r="BB718" s="173"/>
      <c r="BC718" s="173"/>
      <c r="BD718" s="173"/>
      <c r="BE718" s="173"/>
      <c r="BF718" s="173"/>
      <c r="BG718" s="173"/>
      <c r="BH718" s="173"/>
      <c r="BI718" s="173"/>
      <c r="BJ718" s="173"/>
      <c r="BK718" s="173"/>
      <c r="BL718" s="173"/>
      <c r="BM718" s="173"/>
      <c r="BN718" s="173"/>
      <c r="BO718" s="173"/>
      <c r="BP718" s="173"/>
      <c r="BQ718" s="173"/>
      <c r="BR718" s="173"/>
      <c r="BS718" s="173"/>
      <c r="BT718" s="173"/>
      <c r="BU718" s="173"/>
      <c r="BV718" s="173"/>
      <c r="BW718" s="173"/>
      <c r="BX718" s="173"/>
      <c r="BY718" s="173"/>
    </row>
    <row r="719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  <c r="AQ719" s="173"/>
      <c r="AR719" s="173"/>
      <c r="AS719" s="173"/>
      <c r="AT719" s="173"/>
      <c r="AU719" s="173"/>
      <c r="AV719" s="173"/>
      <c r="AW719" s="173"/>
      <c r="AX719" s="173"/>
      <c r="AY719" s="173"/>
      <c r="AZ719" s="173"/>
      <c r="BA719" s="173"/>
      <c r="BB719" s="173"/>
      <c r="BC719" s="173"/>
      <c r="BD719" s="173"/>
      <c r="BE719" s="173"/>
      <c r="BF719" s="173"/>
      <c r="BG719" s="173"/>
      <c r="BH719" s="173"/>
      <c r="BI719" s="173"/>
      <c r="BJ719" s="173"/>
      <c r="BK719" s="173"/>
      <c r="BL719" s="173"/>
      <c r="BM719" s="173"/>
      <c r="BN719" s="173"/>
      <c r="BO719" s="173"/>
      <c r="BP719" s="173"/>
      <c r="BQ719" s="173"/>
      <c r="BR719" s="173"/>
      <c r="BS719" s="173"/>
      <c r="BT719" s="173"/>
      <c r="BU719" s="173"/>
      <c r="BV719" s="173"/>
      <c r="BW719" s="173"/>
      <c r="BX719" s="173"/>
      <c r="BY719" s="173"/>
    </row>
    <row r="720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  <c r="AQ720" s="173"/>
      <c r="AR720" s="173"/>
      <c r="AS720" s="173"/>
      <c r="AT720" s="173"/>
      <c r="AU720" s="173"/>
      <c r="AV720" s="173"/>
      <c r="AW720" s="173"/>
      <c r="AX720" s="173"/>
      <c r="AY720" s="173"/>
      <c r="AZ720" s="173"/>
      <c r="BA720" s="173"/>
      <c r="BB720" s="173"/>
      <c r="BC720" s="173"/>
      <c r="BD720" s="173"/>
      <c r="BE720" s="173"/>
      <c r="BF720" s="173"/>
      <c r="BG720" s="173"/>
      <c r="BH720" s="173"/>
      <c r="BI720" s="173"/>
      <c r="BJ720" s="173"/>
      <c r="BK720" s="173"/>
      <c r="BL720" s="173"/>
      <c r="BM720" s="173"/>
      <c r="BN720" s="173"/>
      <c r="BO720" s="173"/>
      <c r="BP720" s="173"/>
      <c r="BQ720" s="173"/>
      <c r="BR720" s="173"/>
      <c r="BS720" s="173"/>
      <c r="BT720" s="173"/>
      <c r="BU720" s="173"/>
      <c r="BV720" s="173"/>
      <c r="BW720" s="173"/>
      <c r="BX720" s="173"/>
      <c r="BY720" s="173"/>
    </row>
    <row r="72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  <c r="AQ721" s="173"/>
      <c r="AR721" s="173"/>
      <c r="AS721" s="173"/>
      <c r="AT721" s="173"/>
      <c r="AU721" s="173"/>
      <c r="AV721" s="173"/>
      <c r="AW721" s="173"/>
      <c r="AX721" s="173"/>
      <c r="AY721" s="173"/>
      <c r="AZ721" s="173"/>
      <c r="BA721" s="173"/>
      <c r="BB721" s="173"/>
      <c r="BC721" s="173"/>
      <c r="BD721" s="173"/>
      <c r="BE721" s="173"/>
      <c r="BF721" s="173"/>
      <c r="BG721" s="173"/>
      <c r="BH721" s="173"/>
      <c r="BI721" s="173"/>
      <c r="BJ721" s="173"/>
      <c r="BK721" s="173"/>
      <c r="BL721" s="173"/>
      <c r="BM721" s="173"/>
      <c r="BN721" s="173"/>
      <c r="BO721" s="173"/>
      <c r="BP721" s="173"/>
      <c r="BQ721" s="173"/>
      <c r="BR721" s="173"/>
      <c r="BS721" s="173"/>
      <c r="BT721" s="173"/>
      <c r="BU721" s="173"/>
      <c r="BV721" s="173"/>
      <c r="BW721" s="173"/>
      <c r="BX721" s="173"/>
      <c r="BY721" s="173"/>
    </row>
    <row r="722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  <c r="AQ722" s="173"/>
      <c r="AR722" s="173"/>
      <c r="AS722" s="173"/>
      <c r="AT722" s="173"/>
      <c r="AU722" s="173"/>
      <c r="AV722" s="173"/>
      <c r="AW722" s="173"/>
      <c r="AX722" s="173"/>
      <c r="AY722" s="173"/>
      <c r="AZ722" s="173"/>
      <c r="BA722" s="173"/>
      <c r="BB722" s="173"/>
      <c r="BC722" s="173"/>
      <c r="BD722" s="173"/>
      <c r="BE722" s="173"/>
      <c r="BF722" s="173"/>
      <c r="BG722" s="173"/>
      <c r="BH722" s="173"/>
      <c r="BI722" s="173"/>
      <c r="BJ722" s="173"/>
      <c r="BK722" s="173"/>
      <c r="BL722" s="173"/>
      <c r="BM722" s="173"/>
      <c r="BN722" s="173"/>
      <c r="BO722" s="173"/>
      <c r="BP722" s="173"/>
      <c r="BQ722" s="173"/>
      <c r="BR722" s="173"/>
      <c r="BS722" s="173"/>
      <c r="BT722" s="173"/>
      <c r="BU722" s="173"/>
      <c r="BV722" s="173"/>
      <c r="BW722" s="173"/>
      <c r="BX722" s="173"/>
      <c r="BY722" s="173"/>
    </row>
    <row r="723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  <c r="AQ723" s="173"/>
      <c r="AR723" s="173"/>
      <c r="AS723" s="173"/>
      <c r="AT723" s="173"/>
      <c r="AU723" s="173"/>
      <c r="AV723" s="173"/>
      <c r="AW723" s="173"/>
      <c r="AX723" s="173"/>
      <c r="AY723" s="173"/>
      <c r="AZ723" s="173"/>
      <c r="BA723" s="173"/>
      <c r="BB723" s="173"/>
      <c r="BC723" s="173"/>
      <c r="BD723" s="173"/>
      <c r="BE723" s="173"/>
      <c r="BF723" s="173"/>
      <c r="BG723" s="173"/>
      <c r="BH723" s="173"/>
      <c r="BI723" s="173"/>
      <c r="BJ723" s="173"/>
      <c r="BK723" s="173"/>
      <c r="BL723" s="173"/>
      <c r="BM723" s="173"/>
      <c r="BN723" s="173"/>
      <c r="BO723" s="173"/>
      <c r="BP723" s="173"/>
      <c r="BQ723" s="173"/>
      <c r="BR723" s="173"/>
      <c r="BS723" s="173"/>
      <c r="BT723" s="173"/>
      <c r="BU723" s="173"/>
      <c r="BV723" s="173"/>
      <c r="BW723" s="173"/>
      <c r="BX723" s="173"/>
      <c r="BY723" s="173"/>
    </row>
    <row r="724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  <c r="AQ724" s="173"/>
      <c r="AR724" s="173"/>
      <c r="AS724" s="173"/>
      <c r="AT724" s="173"/>
      <c r="AU724" s="173"/>
      <c r="AV724" s="173"/>
      <c r="AW724" s="173"/>
      <c r="AX724" s="173"/>
      <c r="AY724" s="173"/>
      <c r="AZ724" s="173"/>
      <c r="BA724" s="173"/>
      <c r="BB724" s="173"/>
      <c r="BC724" s="173"/>
      <c r="BD724" s="173"/>
      <c r="BE724" s="173"/>
      <c r="BF724" s="173"/>
      <c r="BG724" s="173"/>
      <c r="BH724" s="173"/>
      <c r="BI724" s="173"/>
      <c r="BJ724" s="173"/>
      <c r="BK724" s="173"/>
      <c r="BL724" s="173"/>
      <c r="BM724" s="173"/>
      <c r="BN724" s="173"/>
      <c r="BO724" s="173"/>
      <c r="BP724" s="173"/>
      <c r="BQ724" s="173"/>
      <c r="BR724" s="173"/>
      <c r="BS724" s="173"/>
      <c r="BT724" s="173"/>
      <c r="BU724" s="173"/>
      <c r="BV724" s="173"/>
      <c r="BW724" s="173"/>
      <c r="BX724" s="173"/>
      <c r="BY724" s="173"/>
    </row>
    <row r="725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  <c r="AQ725" s="173"/>
      <c r="AR725" s="173"/>
      <c r="AS725" s="173"/>
      <c r="AT725" s="173"/>
      <c r="AU725" s="173"/>
      <c r="AV725" s="173"/>
      <c r="AW725" s="173"/>
      <c r="AX725" s="173"/>
      <c r="AY725" s="173"/>
      <c r="AZ725" s="173"/>
      <c r="BA725" s="173"/>
      <c r="BB725" s="173"/>
      <c r="BC725" s="173"/>
      <c r="BD725" s="173"/>
      <c r="BE725" s="173"/>
      <c r="BF725" s="173"/>
      <c r="BG725" s="173"/>
      <c r="BH725" s="173"/>
      <c r="BI725" s="173"/>
      <c r="BJ725" s="173"/>
      <c r="BK725" s="173"/>
      <c r="BL725" s="173"/>
      <c r="BM725" s="173"/>
      <c r="BN725" s="173"/>
      <c r="BO725" s="173"/>
      <c r="BP725" s="173"/>
      <c r="BQ725" s="173"/>
      <c r="BR725" s="173"/>
      <c r="BS725" s="173"/>
      <c r="BT725" s="173"/>
      <c r="BU725" s="173"/>
      <c r="BV725" s="173"/>
      <c r="BW725" s="173"/>
      <c r="BX725" s="173"/>
      <c r="BY725" s="173"/>
    </row>
    <row r="726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  <c r="AQ726" s="173"/>
      <c r="AR726" s="173"/>
      <c r="AS726" s="173"/>
      <c r="AT726" s="173"/>
      <c r="AU726" s="173"/>
      <c r="AV726" s="173"/>
      <c r="AW726" s="173"/>
      <c r="AX726" s="173"/>
      <c r="AY726" s="173"/>
      <c r="AZ726" s="173"/>
      <c r="BA726" s="173"/>
      <c r="BB726" s="173"/>
      <c r="BC726" s="173"/>
      <c r="BD726" s="173"/>
      <c r="BE726" s="173"/>
      <c r="BF726" s="173"/>
      <c r="BG726" s="173"/>
      <c r="BH726" s="173"/>
      <c r="BI726" s="173"/>
      <c r="BJ726" s="173"/>
      <c r="BK726" s="173"/>
      <c r="BL726" s="173"/>
      <c r="BM726" s="173"/>
      <c r="BN726" s="173"/>
      <c r="BO726" s="173"/>
      <c r="BP726" s="173"/>
      <c r="BQ726" s="173"/>
      <c r="BR726" s="173"/>
      <c r="BS726" s="173"/>
      <c r="BT726" s="173"/>
      <c r="BU726" s="173"/>
      <c r="BV726" s="173"/>
      <c r="BW726" s="173"/>
      <c r="BX726" s="173"/>
      <c r="BY726" s="173"/>
    </row>
    <row r="727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  <c r="AQ727" s="173"/>
      <c r="AR727" s="173"/>
      <c r="AS727" s="173"/>
      <c r="AT727" s="173"/>
      <c r="AU727" s="173"/>
      <c r="AV727" s="173"/>
      <c r="AW727" s="173"/>
      <c r="AX727" s="173"/>
      <c r="AY727" s="173"/>
      <c r="AZ727" s="173"/>
      <c r="BA727" s="173"/>
      <c r="BB727" s="173"/>
      <c r="BC727" s="173"/>
      <c r="BD727" s="173"/>
      <c r="BE727" s="173"/>
      <c r="BF727" s="173"/>
      <c r="BG727" s="173"/>
      <c r="BH727" s="173"/>
      <c r="BI727" s="173"/>
      <c r="BJ727" s="173"/>
      <c r="BK727" s="173"/>
      <c r="BL727" s="173"/>
      <c r="BM727" s="173"/>
      <c r="BN727" s="173"/>
      <c r="BO727" s="173"/>
      <c r="BP727" s="173"/>
      <c r="BQ727" s="173"/>
      <c r="BR727" s="173"/>
      <c r="BS727" s="173"/>
      <c r="BT727" s="173"/>
      <c r="BU727" s="173"/>
      <c r="BV727" s="173"/>
      <c r="BW727" s="173"/>
      <c r="BX727" s="173"/>
      <c r="BY727" s="173"/>
    </row>
    <row r="728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  <c r="AQ728" s="173"/>
      <c r="AR728" s="173"/>
      <c r="AS728" s="173"/>
      <c r="AT728" s="173"/>
      <c r="AU728" s="173"/>
      <c r="AV728" s="173"/>
      <c r="AW728" s="173"/>
      <c r="AX728" s="173"/>
      <c r="AY728" s="173"/>
      <c r="AZ728" s="173"/>
      <c r="BA728" s="173"/>
      <c r="BB728" s="173"/>
      <c r="BC728" s="173"/>
      <c r="BD728" s="173"/>
      <c r="BE728" s="173"/>
      <c r="BF728" s="173"/>
      <c r="BG728" s="173"/>
      <c r="BH728" s="173"/>
      <c r="BI728" s="173"/>
      <c r="BJ728" s="173"/>
      <c r="BK728" s="173"/>
      <c r="BL728" s="173"/>
      <c r="BM728" s="173"/>
      <c r="BN728" s="173"/>
      <c r="BO728" s="173"/>
      <c r="BP728" s="173"/>
      <c r="BQ728" s="173"/>
      <c r="BR728" s="173"/>
      <c r="BS728" s="173"/>
      <c r="BT728" s="173"/>
      <c r="BU728" s="173"/>
      <c r="BV728" s="173"/>
      <c r="BW728" s="173"/>
      <c r="BX728" s="173"/>
      <c r="BY728" s="173"/>
    </row>
    <row r="729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  <c r="AQ729" s="173"/>
      <c r="AR729" s="173"/>
      <c r="AS729" s="173"/>
      <c r="AT729" s="173"/>
      <c r="AU729" s="173"/>
      <c r="AV729" s="173"/>
      <c r="AW729" s="173"/>
      <c r="AX729" s="173"/>
      <c r="AY729" s="173"/>
      <c r="AZ729" s="173"/>
      <c r="BA729" s="173"/>
      <c r="BB729" s="173"/>
      <c r="BC729" s="173"/>
      <c r="BD729" s="173"/>
      <c r="BE729" s="173"/>
      <c r="BF729" s="173"/>
      <c r="BG729" s="173"/>
      <c r="BH729" s="173"/>
      <c r="BI729" s="173"/>
      <c r="BJ729" s="173"/>
      <c r="BK729" s="173"/>
      <c r="BL729" s="173"/>
      <c r="BM729" s="173"/>
      <c r="BN729" s="173"/>
      <c r="BO729" s="173"/>
      <c r="BP729" s="173"/>
      <c r="BQ729" s="173"/>
      <c r="BR729" s="173"/>
      <c r="BS729" s="173"/>
      <c r="BT729" s="173"/>
      <c r="BU729" s="173"/>
      <c r="BV729" s="173"/>
      <c r="BW729" s="173"/>
      <c r="BX729" s="173"/>
      <c r="BY729" s="173"/>
    </row>
    <row r="730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  <c r="AQ730" s="173"/>
      <c r="AR730" s="173"/>
      <c r="AS730" s="173"/>
      <c r="AT730" s="173"/>
      <c r="AU730" s="173"/>
      <c r="AV730" s="173"/>
      <c r="AW730" s="173"/>
      <c r="AX730" s="173"/>
      <c r="AY730" s="173"/>
      <c r="AZ730" s="173"/>
      <c r="BA730" s="173"/>
      <c r="BB730" s="173"/>
      <c r="BC730" s="173"/>
      <c r="BD730" s="173"/>
      <c r="BE730" s="173"/>
      <c r="BF730" s="173"/>
      <c r="BG730" s="173"/>
      <c r="BH730" s="173"/>
      <c r="BI730" s="173"/>
      <c r="BJ730" s="173"/>
      <c r="BK730" s="173"/>
      <c r="BL730" s="173"/>
      <c r="BM730" s="173"/>
      <c r="BN730" s="173"/>
      <c r="BO730" s="173"/>
      <c r="BP730" s="173"/>
      <c r="BQ730" s="173"/>
      <c r="BR730" s="173"/>
      <c r="BS730" s="173"/>
      <c r="BT730" s="173"/>
      <c r="BU730" s="173"/>
      <c r="BV730" s="173"/>
      <c r="BW730" s="173"/>
      <c r="BX730" s="173"/>
      <c r="BY730" s="173"/>
    </row>
    <row r="73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  <c r="AQ731" s="173"/>
      <c r="AR731" s="173"/>
      <c r="AS731" s="173"/>
      <c r="AT731" s="173"/>
      <c r="AU731" s="173"/>
      <c r="AV731" s="173"/>
      <c r="AW731" s="173"/>
      <c r="AX731" s="173"/>
      <c r="AY731" s="173"/>
      <c r="AZ731" s="173"/>
      <c r="BA731" s="173"/>
      <c r="BB731" s="173"/>
      <c r="BC731" s="173"/>
      <c r="BD731" s="173"/>
      <c r="BE731" s="173"/>
      <c r="BF731" s="173"/>
      <c r="BG731" s="173"/>
      <c r="BH731" s="173"/>
      <c r="BI731" s="173"/>
      <c r="BJ731" s="173"/>
      <c r="BK731" s="173"/>
      <c r="BL731" s="173"/>
      <c r="BM731" s="173"/>
      <c r="BN731" s="173"/>
      <c r="BO731" s="173"/>
      <c r="BP731" s="173"/>
      <c r="BQ731" s="173"/>
      <c r="BR731" s="173"/>
      <c r="BS731" s="173"/>
      <c r="BT731" s="173"/>
      <c r="BU731" s="173"/>
      <c r="BV731" s="173"/>
      <c r="BW731" s="173"/>
      <c r="BX731" s="173"/>
      <c r="BY731" s="173"/>
    </row>
    <row r="732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  <c r="AQ732" s="173"/>
      <c r="AR732" s="173"/>
      <c r="AS732" s="173"/>
      <c r="AT732" s="173"/>
      <c r="AU732" s="173"/>
      <c r="AV732" s="173"/>
      <c r="AW732" s="173"/>
      <c r="AX732" s="173"/>
      <c r="AY732" s="173"/>
      <c r="AZ732" s="173"/>
      <c r="BA732" s="173"/>
      <c r="BB732" s="173"/>
      <c r="BC732" s="173"/>
      <c r="BD732" s="173"/>
      <c r="BE732" s="173"/>
      <c r="BF732" s="173"/>
      <c r="BG732" s="173"/>
      <c r="BH732" s="173"/>
      <c r="BI732" s="173"/>
      <c r="BJ732" s="173"/>
      <c r="BK732" s="173"/>
      <c r="BL732" s="173"/>
      <c r="BM732" s="173"/>
      <c r="BN732" s="173"/>
      <c r="BO732" s="173"/>
      <c r="BP732" s="173"/>
      <c r="BQ732" s="173"/>
      <c r="BR732" s="173"/>
      <c r="BS732" s="173"/>
      <c r="BT732" s="173"/>
      <c r="BU732" s="173"/>
      <c r="BV732" s="173"/>
      <c r="BW732" s="173"/>
      <c r="BX732" s="173"/>
      <c r="BY732" s="173"/>
    </row>
    <row r="733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  <c r="AQ733" s="173"/>
      <c r="AR733" s="173"/>
      <c r="AS733" s="173"/>
      <c r="AT733" s="173"/>
      <c r="AU733" s="173"/>
      <c r="AV733" s="173"/>
      <c r="AW733" s="173"/>
      <c r="AX733" s="173"/>
      <c r="AY733" s="173"/>
      <c r="AZ733" s="173"/>
      <c r="BA733" s="173"/>
      <c r="BB733" s="173"/>
      <c r="BC733" s="173"/>
      <c r="BD733" s="173"/>
      <c r="BE733" s="173"/>
      <c r="BF733" s="173"/>
      <c r="BG733" s="173"/>
      <c r="BH733" s="173"/>
      <c r="BI733" s="173"/>
      <c r="BJ733" s="173"/>
      <c r="BK733" s="173"/>
      <c r="BL733" s="173"/>
      <c r="BM733" s="173"/>
      <c r="BN733" s="173"/>
      <c r="BO733" s="173"/>
      <c r="BP733" s="173"/>
      <c r="BQ733" s="173"/>
      <c r="BR733" s="173"/>
      <c r="BS733" s="173"/>
      <c r="BT733" s="173"/>
      <c r="BU733" s="173"/>
      <c r="BV733" s="173"/>
      <c r="BW733" s="173"/>
      <c r="BX733" s="173"/>
      <c r="BY733" s="173"/>
    </row>
    <row r="734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  <c r="AQ734" s="173"/>
      <c r="AR734" s="173"/>
      <c r="AS734" s="173"/>
      <c r="AT734" s="173"/>
      <c r="AU734" s="173"/>
      <c r="AV734" s="173"/>
      <c r="AW734" s="173"/>
      <c r="AX734" s="173"/>
      <c r="AY734" s="173"/>
      <c r="AZ734" s="173"/>
      <c r="BA734" s="173"/>
      <c r="BB734" s="173"/>
      <c r="BC734" s="173"/>
      <c r="BD734" s="173"/>
      <c r="BE734" s="173"/>
      <c r="BF734" s="173"/>
      <c r="BG734" s="173"/>
      <c r="BH734" s="173"/>
      <c r="BI734" s="173"/>
      <c r="BJ734" s="173"/>
      <c r="BK734" s="173"/>
      <c r="BL734" s="173"/>
      <c r="BM734" s="173"/>
      <c r="BN734" s="173"/>
      <c r="BO734" s="173"/>
      <c r="BP734" s="173"/>
      <c r="BQ734" s="173"/>
      <c r="BR734" s="173"/>
      <c r="BS734" s="173"/>
      <c r="BT734" s="173"/>
      <c r="BU734" s="173"/>
      <c r="BV734" s="173"/>
      <c r="BW734" s="173"/>
      <c r="BX734" s="173"/>
      <c r="BY734" s="173"/>
    </row>
    <row r="735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  <c r="AQ735" s="173"/>
      <c r="AR735" s="173"/>
      <c r="AS735" s="173"/>
      <c r="AT735" s="173"/>
      <c r="AU735" s="173"/>
      <c r="AV735" s="173"/>
      <c r="AW735" s="173"/>
      <c r="AX735" s="173"/>
      <c r="AY735" s="173"/>
      <c r="AZ735" s="173"/>
      <c r="BA735" s="173"/>
      <c r="BB735" s="173"/>
      <c r="BC735" s="173"/>
      <c r="BD735" s="173"/>
      <c r="BE735" s="173"/>
      <c r="BF735" s="173"/>
      <c r="BG735" s="173"/>
      <c r="BH735" s="173"/>
      <c r="BI735" s="173"/>
      <c r="BJ735" s="173"/>
      <c r="BK735" s="173"/>
      <c r="BL735" s="173"/>
      <c r="BM735" s="173"/>
      <c r="BN735" s="173"/>
      <c r="BO735" s="173"/>
      <c r="BP735" s="173"/>
      <c r="BQ735" s="173"/>
      <c r="BR735" s="173"/>
      <c r="BS735" s="173"/>
      <c r="BT735" s="173"/>
      <c r="BU735" s="173"/>
      <c r="BV735" s="173"/>
      <c r="BW735" s="173"/>
      <c r="BX735" s="173"/>
      <c r="BY735" s="173"/>
    </row>
    <row r="736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  <c r="AQ736" s="173"/>
      <c r="AR736" s="173"/>
      <c r="AS736" s="173"/>
      <c r="AT736" s="173"/>
      <c r="AU736" s="173"/>
      <c r="AV736" s="173"/>
      <c r="AW736" s="173"/>
      <c r="AX736" s="173"/>
      <c r="AY736" s="173"/>
      <c r="AZ736" s="173"/>
      <c r="BA736" s="173"/>
      <c r="BB736" s="173"/>
      <c r="BC736" s="173"/>
      <c r="BD736" s="173"/>
      <c r="BE736" s="173"/>
      <c r="BF736" s="173"/>
      <c r="BG736" s="173"/>
      <c r="BH736" s="173"/>
      <c r="BI736" s="173"/>
      <c r="BJ736" s="173"/>
      <c r="BK736" s="173"/>
      <c r="BL736" s="173"/>
      <c r="BM736" s="173"/>
      <c r="BN736" s="173"/>
      <c r="BO736" s="173"/>
      <c r="BP736" s="173"/>
      <c r="BQ736" s="173"/>
      <c r="BR736" s="173"/>
      <c r="BS736" s="173"/>
      <c r="BT736" s="173"/>
      <c r="BU736" s="173"/>
      <c r="BV736" s="173"/>
      <c r="BW736" s="173"/>
      <c r="BX736" s="173"/>
      <c r="BY736" s="173"/>
    </row>
    <row r="737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  <c r="AQ737" s="173"/>
      <c r="AR737" s="173"/>
      <c r="AS737" s="173"/>
      <c r="AT737" s="173"/>
      <c r="AU737" s="173"/>
      <c r="AV737" s="173"/>
      <c r="AW737" s="173"/>
      <c r="AX737" s="173"/>
      <c r="AY737" s="173"/>
      <c r="AZ737" s="173"/>
      <c r="BA737" s="173"/>
      <c r="BB737" s="173"/>
      <c r="BC737" s="173"/>
      <c r="BD737" s="173"/>
      <c r="BE737" s="173"/>
      <c r="BF737" s="173"/>
      <c r="BG737" s="173"/>
      <c r="BH737" s="173"/>
      <c r="BI737" s="173"/>
      <c r="BJ737" s="173"/>
      <c r="BK737" s="173"/>
      <c r="BL737" s="173"/>
      <c r="BM737" s="173"/>
      <c r="BN737" s="173"/>
      <c r="BO737" s="173"/>
      <c r="BP737" s="173"/>
      <c r="BQ737" s="173"/>
      <c r="BR737" s="173"/>
      <c r="BS737" s="173"/>
      <c r="BT737" s="173"/>
      <c r="BU737" s="173"/>
      <c r="BV737" s="173"/>
      <c r="BW737" s="173"/>
      <c r="BX737" s="173"/>
      <c r="BY737" s="173"/>
    </row>
    <row r="738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  <c r="AQ738" s="173"/>
      <c r="AR738" s="173"/>
      <c r="AS738" s="173"/>
      <c r="AT738" s="173"/>
      <c r="AU738" s="173"/>
      <c r="AV738" s="173"/>
      <c r="AW738" s="173"/>
      <c r="AX738" s="173"/>
      <c r="AY738" s="173"/>
      <c r="AZ738" s="173"/>
      <c r="BA738" s="173"/>
      <c r="BB738" s="173"/>
      <c r="BC738" s="173"/>
      <c r="BD738" s="173"/>
      <c r="BE738" s="173"/>
      <c r="BF738" s="173"/>
      <c r="BG738" s="173"/>
      <c r="BH738" s="173"/>
      <c r="BI738" s="173"/>
      <c r="BJ738" s="173"/>
      <c r="BK738" s="173"/>
      <c r="BL738" s="173"/>
      <c r="BM738" s="173"/>
      <c r="BN738" s="173"/>
      <c r="BO738" s="173"/>
      <c r="BP738" s="173"/>
      <c r="BQ738" s="173"/>
      <c r="BR738" s="173"/>
      <c r="BS738" s="173"/>
      <c r="BT738" s="173"/>
      <c r="BU738" s="173"/>
      <c r="BV738" s="173"/>
      <c r="BW738" s="173"/>
      <c r="BX738" s="173"/>
      <c r="BY738" s="173"/>
    </row>
    <row r="739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  <c r="AQ739" s="173"/>
      <c r="AR739" s="173"/>
      <c r="AS739" s="173"/>
      <c r="AT739" s="173"/>
      <c r="AU739" s="173"/>
      <c r="AV739" s="173"/>
      <c r="AW739" s="173"/>
      <c r="AX739" s="173"/>
      <c r="AY739" s="173"/>
      <c r="AZ739" s="173"/>
      <c r="BA739" s="173"/>
      <c r="BB739" s="173"/>
      <c r="BC739" s="173"/>
      <c r="BD739" s="173"/>
      <c r="BE739" s="173"/>
      <c r="BF739" s="173"/>
      <c r="BG739" s="173"/>
      <c r="BH739" s="173"/>
      <c r="BI739" s="173"/>
      <c r="BJ739" s="173"/>
      <c r="BK739" s="173"/>
      <c r="BL739" s="173"/>
      <c r="BM739" s="173"/>
      <c r="BN739" s="173"/>
      <c r="BO739" s="173"/>
      <c r="BP739" s="173"/>
      <c r="BQ739" s="173"/>
      <c r="BR739" s="173"/>
      <c r="BS739" s="173"/>
      <c r="BT739" s="173"/>
      <c r="BU739" s="173"/>
      <c r="BV739" s="173"/>
      <c r="BW739" s="173"/>
      <c r="BX739" s="173"/>
      <c r="BY739" s="173"/>
    </row>
    <row r="740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  <c r="AQ740" s="173"/>
      <c r="AR740" s="173"/>
      <c r="AS740" s="173"/>
      <c r="AT740" s="173"/>
      <c r="AU740" s="173"/>
      <c r="AV740" s="173"/>
      <c r="AW740" s="173"/>
      <c r="AX740" s="173"/>
      <c r="AY740" s="173"/>
      <c r="AZ740" s="173"/>
      <c r="BA740" s="173"/>
      <c r="BB740" s="173"/>
      <c r="BC740" s="173"/>
      <c r="BD740" s="173"/>
      <c r="BE740" s="173"/>
      <c r="BF740" s="173"/>
      <c r="BG740" s="173"/>
      <c r="BH740" s="173"/>
      <c r="BI740" s="173"/>
      <c r="BJ740" s="173"/>
      <c r="BK740" s="173"/>
      <c r="BL740" s="173"/>
      <c r="BM740" s="173"/>
      <c r="BN740" s="173"/>
      <c r="BO740" s="173"/>
      <c r="BP740" s="173"/>
      <c r="BQ740" s="173"/>
      <c r="BR740" s="173"/>
      <c r="BS740" s="173"/>
      <c r="BT740" s="173"/>
      <c r="BU740" s="173"/>
      <c r="BV740" s="173"/>
      <c r="BW740" s="173"/>
      <c r="BX740" s="173"/>
      <c r="BY740" s="173"/>
    </row>
    <row r="74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  <c r="AQ741" s="173"/>
      <c r="AR741" s="173"/>
      <c r="AS741" s="173"/>
      <c r="AT741" s="173"/>
      <c r="AU741" s="173"/>
      <c r="AV741" s="173"/>
      <c r="AW741" s="173"/>
      <c r="AX741" s="173"/>
      <c r="AY741" s="173"/>
      <c r="AZ741" s="173"/>
      <c r="BA741" s="173"/>
      <c r="BB741" s="173"/>
      <c r="BC741" s="173"/>
      <c r="BD741" s="173"/>
      <c r="BE741" s="173"/>
      <c r="BF741" s="173"/>
      <c r="BG741" s="173"/>
      <c r="BH741" s="173"/>
      <c r="BI741" s="173"/>
      <c r="BJ741" s="173"/>
      <c r="BK741" s="173"/>
      <c r="BL741" s="173"/>
      <c r="BM741" s="173"/>
      <c r="BN741" s="173"/>
      <c r="BO741" s="173"/>
      <c r="BP741" s="173"/>
      <c r="BQ741" s="173"/>
      <c r="BR741" s="173"/>
      <c r="BS741" s="173"/>
      <c r="BT741" s="173"/>
      <c r="BU741" s="173"/>
      <c r="BV741" s="173"/>
      <c r="BW741" s="173"/>
      <c r="BX741" s="173"/>
      <c r="BY741" s="173"/>
    </row>
    <row r="742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  <c r="AQ742" s="173"/>
      <c r="AR742" s="173"/>
      <c r="AS742" s="173"/>
      <c r="AT742" s="173"/>
      <c r="AU742" s="173"/>
      <c r="AV742" s="173"/>
      <c r="AW742" s="173"/>
      <c r="AX742" s="173"/>
      <c r="AY742" s="173"/>
      <c r="AZ742" s="173"/>
      <c r="BA742" s="173"/>
      <c r="BB742" s="173"/>
      <c r="BC742" s="173"/>
      <c r="BD742" s="173"/>
      <c r="BE742" s="173"/>
      <c r="BF742" s="173"/>
      <c r="BG742" s="173"/>
      <c r="BH742" s="173"/>
      <c r="BI742" s="173"/>
      <c r="BJ742" s="173"/>
      <c r="BK742" s="173"/>
      <c r="BL742" s="173"/>
      <c r="BM742" s="173"/>
      <c r="BN742" s="173"/>
      <c r="BO742" s="173"/>
      <c r="BP742" s="173"/>
      <c r="BQ742" s="173"/>
      <c r="BR742" s="173"/>
      <c r="BS742" s="173"/>
      <c r="BT742" s="173"/>
      <c r="BU742" s="173"/>
      <c r="BV742" s="173"/>
      <c r="BW742" s="173"/>
      <c r="BX742" s="173"/>
      <c r="BY742" s="173"/>
    </row>
    <row r="743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  <c r="AQ743" s="173"/>
      <c r="AR743" s="173"/>
      <c r="AS743" s="173"/>
      <c r="AT743" s="173"/>
      <c r="AU743" s="173"/>
      <c r="AV743" s="173"/>
      <c r="AW743" s="173"/>
      <c r="AX743" s="173"/>
      <c r="AY743" s="173"/>
      <c r="AZ743" s="173"/>
      <c r="BA743" s="173"/>
      <c r="BB743" s="173"/>
      <c r="BC743" s="173"/>
      <c r="BD743" s="173"/>
      <c r="BE743" s="173"/>
      <c r="BF743" s="173"/>
      <c r="BG743" s="173"/>
      <c r="BH743" s="173"/>
      <c r="BI743" s="173"/>
      <c r="BJ743" s="173"/>
      <c r="BK743" s="173"/>
      <c r="BL743" s="173"/>
      <c r="BM743" s="173"/>
      <c r="BN743" s="173"/>
      <c r="BO743" s="173"/>
      <c r="BP743" s="173"/>
      <c r="BQ743" s="173"/>
      <c r="BR743" s="173"/>
      <c r="BS743" s="173"/>
      <c r="BT743" s="173"/>
      <c r="BU743" s="173"/>
      <c r="BV743" s="173"/>
      <c r="BW743" s="173"/>
      <c r="BX743" s="173"/>
      <c r="BY743" s="173"/>
    </row>
    <row r="744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  <c r="AQ744" s="173"/>
      <c r="AR744" s="173"/>
      <c r="AS744" s="173"/>
      <c r="AT744" s="173"/>
      <c r="AU744" s="173"/>
      <c r="AV744" s="173"/>
      <c r="AW744" s="173"/>
      <c r="AX744" s="173"/>
      <c r="AY744" s="173"/>
      <c r="AZ744" s="173"/>
      <c r="BA744" s="173"/>
      <c r="BB744" s="173"/>
      <c r="BC744" s="173"/>
      <c r="BD744" s="173"/>
      <c r="BE744" s="173"/>
      <c r="BF744" s="173"/>
      <c r="BG744" s="173"/>
      <c r="BH744" s="173"/>
      <c r="BI744" s="173"/>
      <c r="BJ744" s="173"/>
      <c r="BK744" s="173"/>
      <c r="BL744" s="173"/>
      <c r="BM744" s="173"/>
      <c r="BN744" s="173"/>
      <c r="BO744" s="173"/>
      <c r="BP744" s="173"/>
      <c r="BQ744" s="173"/>
      <c r="BR744" s="173"/>
      <c r="BS744" s="173"/>
      <c r="BT744" s="173"/>
      <c r="BU744" s="173"/>
      <c r="BV744" s="173"/>
      <c r="BW744" s="173"/>
      <c r="BX744" s="173"/>
      <c r="BY744" s="173"/>
    </row>
    <row r="745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  <c r="AQ745" s="173"/>
      <c r="AR745" s="173"/>
      <c r="AS745" s="173"/>
      <c r="AT745" s="173"/>
      <c r="AU745" s="173"/>
      <c r="AV745" s="173"/>
      <c r="AW745" s="173"/>
      <c r="AX745" s="173"/>
      <c r="AY745" s="173"/>
      <c r="AZ745" s="173"/>
      <c r="BA745" s="173"/>
      <c r="BB745" s="173"/>
      <c r="BC745" s="173"/>
      <c r="BD745" s="173"/>
      <c r="BE745" s="173"/>
      <c r="BF745" s="173"/>
      <c r="BG745" s="173"/>
      <c r="BH745" s="173"/>
      <c r="BI745" s="173"/>
      <c r="BJ745" s="173"/>
      <c r="BK745" s="173"/>
      <c r="BL745" s="173"/>
      <c r="BM745" s="173"/>
      <c r="BN745" s="173"/>
      <c r="BO745" s="173"/>
      <c r="BP745" s="173"/>
      <c r="BQ745" s="173"/>
      <c r="BR745" s="173"/>
      <c r="BS745" s="173"/>
      <c r="BT745" s="173"/>
      <c r="BU745" s="173"/>
      <c r="BV745" s="173"/>
      <c r="BW745" s="173"/>
      <c r="BX745" s="173"/>
      <c r="BY745" s="173"/>
    </row>
    <row r="746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  <c r="AQ746" s="173"/>
      <c r="AR746" s="173"/>
      <c r="AS746" s="173"/>
      <c r="AT746" s="173"/>
      <c r="AU746" s="173"/>
      <c r="AV746" s="173"/>
      <c r="AW746" s="173"/>
      <c r="AX746" s="173"/>
      <c r="AY746" s="173"/>
      <c r="AZ746" s="173"/>
      <c r="BA746" s="173"/>
      <c r="BB746" s="173"/>
      <c r="BC746" s="173"/>
      <c r="BD746" s="173"/>
      <c r="BE746" s="173"/>
      <c r="BF746" s="173"/>
      <c r="BG746" s="173"/>
      <c r="BH746" s="173"/>
      <c r="BI746" s="173"/>
      <c r="BJ746" s="173"/>
      <c r="BK746" s="173"/>
      <c r="BL746" s="173"/>
      <c r="BM746" s="173"/>
      <c r="BN746" s="173"/>
      <c r="BO746" s="173"/>
      <c r="BP746" s="173"/>
      <c r="BQ746" s="173"/>
      <c r="BR746" s="173"/>
      <c r="BS746" s="173"/>
      <c r="BT746" s="173"/>
      <c r="BU746" s="173"/>
      <c r="BV746" s="173"/>
      <c r="BW746" s="173"/>
      <c r="BX746" s="173"/>
      <c r="BY746" s="173"/>
    </row>
    <row r="747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  <c r="AQ747" s="173"/>
      <c r="AR747" s="173"/>
      <c r="AS747" s="173"/>
      <c r="AT747" s="173"/>
      <c r="AU747" s="173"/>
      <c r="AV747" s="173"/>
      <c r="AW747" s="173"/>
      <c r="AX747" s="173"/>
      <c r="AY747" s="173"/>
      <c r="AZ747" s="173"/>
      <c r="BA747" s="173"/>
      <c r="BB747" s="173"/>
      <c r="BC747" s="173"/>
      <c r="BD747" s="173"/>
      <c r="BE747" s="173"/>
      <c r="BF747" s="173"/>
      <c r="BG747" s="173"/>
      <c r="BH747" s="173"/>
      <c r="BI747" s="173"/>
      <c r="BJ747" s="173"/>
      <c r="BK747" s="173"/>
      <c r="BL747" s="173"/>
      <c r="BM747" s="173"/>
      <c r="BN747" s="173"/>
      <c r="BO747" s="173"/>
      <c r="BP747" s="173"/>
      <c r="BQ747" s="173"/>
      <c r="BR747" s="173"/>
      <c r="BS747" s="173"/>
      <c r="BT747" s="173"/>
      <c r="BU747" s="173"/>
      <c r="BV747" s="173"/>
      <c r="BW747" s="173"/>
      <c r="BX747" s="173"/>
      <c r="BY747" s="173"/>
    </row>
    <row r="748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  <c r="AQ748" s="173"/>
      <c r="AR748" s="173"/>
      <c r="AS748" s="173"/>
      <c r="AT748" s="173"/>
      <c r="AU748" s="173"/>
      <c r="AV748" s="173"/>
      <c r="AW748" s="173"/>
      <c r="AX748" s="173"/>
      <c r="AY748" s="173"/>
      <c r="AZ748" s="173"/>
      <c r="BA748" s="173"/>
      <c r="BB748" s="173"/>
      <c r="BC748" s="173"/>
      <c r="BD748" s="173"/>
      <c r="BE748" s="173"/>
      <c r="BF748" s="173"/>
      <c r="BG748" s="173"/>
      <c r="BH748" s="173"/>
      <c r="BI748" s="173"/>
      <c r="BJ748" s="173"/>
      <c r="BK748" s="173"/>
      <c r="BL748" s="173"/>
      <c r="BM748" s="173"/>
      <c r="BN748" s="173"/>
      <c r="BO748" s="173"/>
      <c r="BP748" s="173"/>
      <c r="BQ748" s="173"/>
      <c r="BR748" s="173"/>
      <c r="BS748" s="173"/>
      <c r="BT748" s="173"/>
      <c r="BU748" s="173"/>
      <c r="BV748" s="173"/>
      <c r="BW748" s="173"/>
      <c r="BX748" s="173"/>
      <c r="BY748" s="173"/>
    </row>
    <row r="749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  <c r="AQ749" s="173"/>
      <c r="AR749" s="173"/>
      <c r="AS749" s="173"/>
      <c r="AT749" s="173"/>
      <c r="AU749" s="173"/>
      <c r="AV749" s="173"/>
      <c r="AW749" s="173"/>
      <c r="AX749" s="173"/>
      <c r="AY749" s="173"/>
      <c r="AZ749" s="173"/>
      <c r="BA749" s="173"/>
      <c r="BB749" s="173"/>
      <c r="BC749" s="173"/>
      <c r="BD749" s="173"/>
      <c r="BE749" s="173"/>
      <c r="BF749" s="173"/>
      <c r="BG749" s="173"/>
      <c r="BH749" s="173"/>
      <c r="BI749" s="173"/>
      <c r="BJ749" s="173"/>
      <c r="BK749" s="173"/>
      <c r="BL749" s="173"/>
      <c r="BM749" s="173"/>
      <c r="BN749" s="173"/>
      <c r="BO749" s="173"/>
      <c r="BP749" s="173"/>
      <c r="BQ749" s="173"/>
      <c r="BR749" s="173"/>
      <c r="BS749" s="173"/>
      <c r="BT749" s="173"/>
      <c r="BU749" s="173"/>
      <c r="BV749" s="173"/>
      <c r="BW749" s="173"/>
      <c r="BX749" s="173"/>
      <c r="BY749" s="173"/>
    </row>
    <row r="750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  <c r="AQ750" s="173"/>
      <c r="AR750" s="173"/>
      <c r="AS750" s="173"/>
      <c r="AT750" s="173"/>
      <c r="AU750" s="173"/>
      <c r="AV750" s="173"/>
      <c r="AW750" s="173"/>
      <c r="AX750" s="173"/>
      <c r="AY750" s="173"/>
      <c r="AZ750" s="173"/>
      <c r="BA750" s="173"/>
      <c r="BB750" s="173"/>
      <c r="BC750" s="173"/>
      <c r="BD750" s="173"/>
      <c r="BE750" s="173"/>
      <c r="BF750" s="173"/>
      <c r="BG750" s="173"/>
      <c r="BH750" s="173"/>
      <c r="BI750" s="173"/>
      <c r="BJ750" s="173"/>
      <c r="BK750" s="173"/>
      <c r="BL750" s="173"/>
      <c r="BM750" s="173"/>
      <c r="BN750" s="173"/>
      <c r="BO750" s="173"/>
      <c r="BP750" s="173"/>
      <c r="BQ750" s="173"/>
      <c r="BR750" s="173"/>
      <c r="BS750" s="173"/>
      <c r="BT750" s="173"/>
      <c r="BU750" s="173"/>
      <c r="BV750" s="173"/>
      <c r="BW750" s="173"/>
      <c r="BX750" s="173"/>
      <c r="BY750" s="173"/>
    </row>
    <row r="75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  <c r="AQ751" s="173"/>
      <c r="AR751" s="173"/>
      <c r="AS751" s="173"/>
      <c r="AT751" s="173"/>
      <c r="AU751" s="173"/>
      <c r="AV751" s="173"/>
      <c r="AW751" s="173"/>
      <c r="AX751" s="173"/>
      <c r="AY751" s="173"/>
      <c r="AZ751" s="173"/>
      <c r="BA751" s="173"/>
      <c r="BB751" s="173"/>
      <c r="BC751" s="173"/>
      <c r="BD751" s="173"/>
      <c r="BE751" s="173"/>
      <c r="BF751" s="173"/>
      <c r="BG751" s="173"/>
      <c r="BH751" s="173"/>
      <c r="BI751" s="173"/>
      <c r="BJ751" s="173"/>
      <c r="BK751" s="173"/>
      <c r="BL751" s="173"/>
      <c r="BM751" s="173"/>
      <c r="BN751" s="173"/>
      <c r="BO751" s="173"/>
      <c r="BP751" s="173"/>
      <c r="BQ751" s="173"/>
      <c r="BR751" s="173"/>
      <c r="BS751" s="173"/>
      <c r="BT751" s="173"/>
      <c r="BU751" s="173"/>
      <c r="BV751" s="173"/>
      <c r="BW751" s="173"/>
      <c r="BX751" s="173"/>
      <c r="BY751" s="173"/>
    </row>
    <row r="752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  <c r="AQ752" s="173"/>
      <c r="AR752" s="173"/>
      <c r="AS752" s="173"/>
      <c r="AT752" s="173"/>
      <c r="AU752" s="173"/>
      <c r="AV752" s="173"/>
      <c r="AW752" s="173"/>
      <c r="AX752" s="173"/>
      <c r="AY752" s="173"/>
      <c r="AZ752" s="173"/>
      <c r="BA752" s="173"/>
      <c r="BB752" s="173"/>
      <c r="BC752" s="173"/>
      <c r="BD752" s="173"/>
      <c r="BE752" s="173"/>
      <c r="BF752" s="173"/>
      <c r="BG752" s="173"/>
      <c r="BH752" s="173"/>
      <c r="BI752" s="173"/>
      <c r="BJ752" s="173"/>
      <c r="BK752" s="173"/>
      <c r="BL752" s="173"/>
      <c r="BM752" s="173"/>
      <c r="BN752" s="173"/>
      <c r="BO752" s="173"/>
      <c r="BP752" s="173"/>
      <c r="BQ752" s="173"/>
      <c r="BR752" s="173"/>
      <c r="BS752" s="173"/>
      <c r="BT752" s="173"/>
      <c r="BU752" s="173"/>
      <c r="BV752" s="173"/>
      <c r="BW752" s="173"/>
      <c r="BX752" s="173"/>
      <c r="BY752" s="173"/>
    </row>
    <row r="753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  <c r="AQ753" s="173"/>
      <c r="AR753" s="173"/>
      <c r="AS753" s="173"/>
      <c r="AT753" s="173"/>
      <c r="AU753" s="173"/>
      <c r="AV753" s="173"/>
      <c r="AW753" s="173"/>
      <c r="AX753" s="173"/>
      <c r="AY753" s="173"/>
      <c r="AZ753" s="173"/>
      <c r="BA753" s="173"/>
      <c r="BB753" s="173"/>
      <c r="BC753" s="173"/>
      <c r="BD753" s="173"/>
      <c r="BE753" s="173"/>
      <c r="BF753" s="173"/>
      <c r="BG753" s="173"/>
      <c r="BH753" s="173"/>
      <c r="BI753" s="173"/>
      <c r="BJ753" s="173"/>
      <c r="BK753" s="173"/>
      <c r="BL753" s="173"/>
      <c r="BM753" s="173"/>
      <c r="BN753" s="173"/>
      <c r="BO753" s="173"/>
      <c r="BP753" s="173"/>
      <c r="BQ753" s="173"/>
      <c r="BR753" s="173"/>
      <c r="BS753" s="173"/>
      <c r="BT753" s="173"/>
      <c r="BU753" s="173"/>
      <c r="BV753" s="173"/>
      <c r="BW753" s="173"/>
      <c r="BX753" s="173"/>
      <c r="BY753" s="173"/>
    </row>
    <row r="754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  <c r="AQ754" s="173"/>
      <c r="AR754" s="173"/>
      <c r="AS754" s="173"/>
      <c r="AT754" s="173"/>
      <c r="AU754" s="173"/>
      <c r="AV754" s="173"/>
      <c r="AW754" s="173"/>
      <c r="AX754" s="173"/>
      <c r="AY754" s="173"/>
      <c r="AZ754" s="173"/>
      <c r="BA754" s="173"/>
      <c r="BB754" s="173"/>
      <c r="BC754" s="173"/>
      <c r="BD754" s="173"/>
      <c r="BE754" s="173"/>
      <c r="BF754" s="173"/>
      <c r="BG754" s="173"/>
      <c r="BH754" s="173"/>
      <c r="BI754" s="173"/>
      <c r="BJ754" s="173"/>
      <c r="BK754" s="173"/>
      <c r="BL754" s="173"/>
      <c r="BM754" s="173"/>
      <c r="BN754" s="173"/>
      <c r="BO754" s="173"/>
      <c r="BP754" s="173"/>
      <c r="BQ754" s="173"/>
      <c r="BR754" s="173"/>
      <c r="BS754" s="173"/>
      <c r="BT754" s="173"/>
      <c r="BU754" s="173"/>
      <c r="BV754" s="173"/>
      <c r="BW754" s="173"/>
      <c r="BX754" s="173"/>
      <c r="BY754" s="173"/>
    </row>
    <row r="755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  <c r="AQ755" s="173"/>
      <c r="AR755" s="173"/>
      <c r="AS755" s="173"/>
      <c r="AT755" s="173"/>
      <c r="AU755" s="173"/>
      <c r="AV755" s="173"/>
      <c r="AW755" s="173"/>
      <c r="AX755" s="173"/>
      <c r="AY755" s="173"/>
      <c r="AZ755" s="173"/>
      <c r="BA755" s="173"/>
      <c r="BB755" s="173"/>
      <c r="BC755" s="173"/>
      <c r="BD755" s="173"/>
      <c r="BE755" s="173"/>
      <c r="BF755" s="173"/>
      <c r="BG755" s="173"/>
      <c r="BH755" s="173"/>
      <c r="BI755" s="173"/>
      <c r="BJ755" s="173"/>
      <c r="BK755" s="173"/>
      <c r="BL755" s="173"/>
      <c r="BM755" s="173"/>
      <c r="BN755" s="173"/>
      <c r="BO755" s="173"/>
      <c r="BP755" s="173"/>
      <c r="BQ755" s="173"/>
      <c r="BR755" s="173"/>
      <c r="BS755" s="173"/>
      <c r="BT755" s="173"/>
      <c r="BU755" s="173"/>
      <c r="BV755" s="173"/>
      <c r="BW755" s="173"/>
      <c r="BX755" s="173"/>
      <c r="BY755" s="173"/>
    </row>
    <row r="756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  <c r="AQ756" s="173"/>
      <c r="AR756" s="173"/>
      <c r="AS756" s="173"/>
      <c r="AT756" s="173"/>
      <c r="AU756" s="173"/>
      <c r="AV756" s="173"/>
      <c r="AW756" s="173"/>
      <c r="AX756" s="173"/>
      <c r="AY756" s="173"/>
      <c r="AZ756" s="173"/>
      <c r="BA756" s="173"/>
      <c r="BB756" s="173"/>
      <c r="BC756" s="173"/>
      <c r="BD756" s="173"/>
      <c r="BE756" s="173"/>
      <c r="BF756" s="173"/>
      <c r="BG756" s="173"/>
      <c r="BH756" s="173"/>
      <c r="BI756" s="173"/>
      <c r="BJ756" s="173"/>
      <c r="BK756" s="173"/>
      <c r="BL756" s="173"/>
      <c r="BM756" s="173"/>
      <c r="BN756" s="173"/>
      <c r="BO756" s="173"/>
      <c r="BP756" s="173"/>
      <c r="BQ756" s="173"/>
      <c r="BR756" s="173"/>
      <c r="BS756" s="173"/>
      <c r="BT756" s="173"/>
      <c r="BU756" s="173"/>
      <c r="BV756" s="173"/>
      <c r="BW756" s="173"/>
      <c r="BX756" s="173"/>
      <c r="BY756" s="173"/>
    </row>
    <row r="757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  <c r="AQ757" s="173"/>
      <c r="AR757" s="173"/>
      <c r="AS757" s="173"/>
      <c r="AT757" s="173"/>
      <c r="AU757" s="173"/>
      <c r="AV757" s="173"/>
      <c r="AW757" s="173"/>
      <c r="AX757" s="173"/>
      <c r="AY757" s="173"/>
      <c r="AZ757" s="173"/>
      <c r="BA757" s="173"/>
      <c r="BB757" s="173"/>
      <c r="BC757" s="173"/>
      <c r="BD757" s="173"/>
      <c r="BE757" s="173"/>
      <c r="BF757" s="173"/>
      <c r="BG757" s="173"/>
      <c r="BH757" s="173"/>
      <c r="BI757" s="173"/>
      <c r="BJ757" s="173"/>
      <c r="BK757" s="173"/>
      <c r="BL757" s="173"/>
      <c r="BM757" s="173"/>
      <c r="BN757" s="173"/>
      <c r="BO757" s="173"/>
      <c r="BP757" s="173"/>
      <c r="BQ757" s="173"/>
      <c r="BR757" s="173"/>
      <c r="BS757" s="173"/>
      <c r="BT757" s="173"/>
      <c r="BU757" s="173"/>
      <c r="BV757" s="173"/>
      <c r="BW757" s="173"/>
      <c r="BX757" s="173"/>
      <c r="BY757" s="173"/>
    </row>
    <row r="758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  <c r="AQ758" s="173"/>
      <c r="AR758" s="173"/>
      <c r="AS758" s="173"/>
      <c r="AT758" s="173"/>
      <c r="AU758" s="173"/>
      <c r="AV758" s="173"/>
      <c r="AW758" s="173"/>
      <c r="AX758" s="173"/>
      <c r="AY758" s="173"/>
      <c r="AZ758" s="173"/>
      <c r="BA758" s="173"/>
      <c r="BB758" s="173"/>
      <c r="BC758" s="173"/>
      <c r="BD758" s="173"/>
      <c r="BE758" s="173"/>
      <c r="BF758" s="173"/>
      <c r="BG758" s="173"/>
      <c r="BH758" s="173"/>
      <c r="BI758" s="173"/>
      <c r="BJ758" s="173"/>
      <c r="BK758" s="173"/>
      <c r="BL758" s="173"/>
      <c r="BM758" s="173"/>
      <c r="BN758" s="173"/>
      <c r="BO758" s="173"/>
      <c r="BP758" s="173"/>
      <c r="BQ758" s="173"/>
      <c r="BR758" s="173"/>
      <c r="BS758" s="173"/>
      <c r="BT758" s="173"/>
      <c r="BU758" s="173"/>
      <c r="BV758" s="173"/>
      <c r="BW758" s="173"/>
      <c r="BX758" s="173"/>
      <c r="BY758" s="173"/>
    </row>
    <row r="759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  <c r="AQ759" s="173"/>
      <c r="AR759" s="173"/>
      <c r="AS759" s="173"/>
      <c r="AT759" s="173"/>
      <c r="AU759" s="173"/>
      <c r="AV759" s="173"/>
      <c r="AW759" s="173"/>
      <c r="AX759" s="173"/>
      <c r="AY759" s="173"/>
      <c r="AZ759" s="173"/>
      <c r="BA759" s="173"/>
      <c r="BB759" s="173"/>
      <c r="BC759" s="173"/>
      <c r="BD759" s="173"/>
      <c r="BE759" s="173"/>
      <c r="BF759" s="173"/>
      <c r="BG759" s="173"/>
      <c r="BH759" s="173"/>
      <c r="BI759" s="173"/>
      <c r="BJ759" s="173"/>
      <c r="BK759" s="173"/>
      <c r="BL759" s="173"/>
      <c r="BM759" s="173"/>
      <c r="BN759" s="173"/>
      <c r="BO759" s="173"/>
      <c r="BP759" s="173"/>
      <c r="BQ759" s="173"/>
      <c r="BR759" s="173"/>
      <c r="BS759" s="173"/>
      <c r="BT759" s="173"/>
      <c r="BU759" s="173"/>
      <c r="BV759" s="173"/>
      <c r="BW759" s="173"/>
      <c r="BX759" s="173"/>
      <c r="BY759" s="173"/>
    </row>
    <row r="760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  <c r="AQ760" s="173"/>
      <c r="AR760" s="173"/>
      <c r="AS760" s="173"/>
      <c r="AT760" s="173"/>
      <c r="AU760" s="173"/>
      <c r="AV760" s="173"/>
      <c r="AW760" s="173"/>
      <c r="AX760" s="173"/>
      <c r="AY760" s="173"/>
      <c r="AZ760" s="173"/>
      <c r="BA760" s="173"/>
      <c r="BB760" s="173"/>
      <c r="BC760" s="173"/>
      <c r="BD760" s="173"/>
      <c r="BE760" s="173"/>
      <c r="BF760" s="173"/>
      <c r="BG760" s="173"/>
      <c r="BH760" s="173"/>
      <c r="BI760" s="173"/>
      <c r="BJ760" s="173"/>
      <c r="BK760" s="173"/>
      <c r="BL760" s="173"/>
      <c r="BM760" s="173"/>
      <c r="BN760" s="173"/>
      <c r="BO760" s="173"/>
      <c r="BP760" s="173"/>
      <c r="BQ760" s="173"/>
      <c r="BR760" s="173"/>
      <c r="BS760" s="173"/>
      <c r="BT760" s="173"/>
      <c r="BU760" s="173"/>
      <c r="BV760" s="173"/>
      <c r="BW760" s="173"/>
      <c r="BX760" s="173"/>
      <c r="BY760" s="173"/>
    </row>
    <row r="76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  <c r="AQ761" s="173"/>
      <c r="AR761" s="173"/>
      <c r="AS761" s="173"/>
      <c r="AT761" s="173"/>
      <c r="AU761" s="173"/>
      <c r="AV761" s="173"/>
      <c r="AW761" s="173"/>
      <c r="AX761" s="173"/>
      <c r="AY761" s="173"/>
      <c r="AZ761" s="173"/>
      <c r="BA761" s="173"/>
      <c r="BB761" s="173"/>
      <c r="BC761" s="173"/>
      <c r="BD761" s="173"/>
      <c r="BE761" s="173"/>
      <c r="BF761" s="173"/>
      <c r="BG761" s="173"/>
      <c r="BH761" s="173"/>
      <c r="BI761" s="173"/>
      <c r="BJ761" s="173"/>
      <c r="BK761" s="173"/>
      <c r="BL761" s="173"/>
      <c r="BM761" s="173"/>
      <c r="BN761" s="173"/>
      <c r="BO761" s="173"/>
      <c r="BP761" s="173"/>
      <c r="BQ761" s="173"/>
      <c r="BR761" s="173"/>
      <c r="BS761" s="173"/>
      <c r="BT761" s="173"/>
      <c r="BU761" s="173"/>
      <c r="BV761" s="173"/>
      <c r="BW761" s="173"/>
      <c r="BX761" s="173"/>
      <c r="BY761" s="173"/>
    </row>
    <row r="762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  <c r="AQ762" s="173"/>
      <c r="AR762" s="173"/>
      <c r="AS762" s="173"/>
      <c r="AT762" s="173"/>
      <c r="AU762" s="173"/>
      <c r="AV762" s="173"/>
      <c r="AW762" s="173"/>
      <c r="AX762" s="173"/>
      <c r="AY762" s="173"/>
      <c r="AZ762" s="173"/>
      <c r="BA762" s="173"/>
      <c r="BB762" s="173"/>
      <c r="BC762" s="173"/>
      <c r="BD762" s="173"/>
      <c r="BE762" s="173"/>
      <c r="BF762" s="173"/>
      <c r="BG762" s="173"/>
      <c r="BH762" s="173"/>
      <c r="BI762" s="173"/>
      <c r="BJ762" s="173"/>
      <c r="BK762" s="173"/>
      <c r="BL762" s="173"/>
      <c r="BM762" s="173"/>
      <c r="BN762" s="173"/>
      <c r="BO762" s="173"/>
      <c r="BP762" s="173"/>
      <c r="BQ762" s="173"/>
      <c r="BR762" s="173"/>
      <c r="BS762" s="173"/>
      <c r="BT762" s="173"/>
      <c r="BU762" s="173"/>
      <c r="BV762" s="173"/>
      <c r="BW762" s="173"/>
      <c r="BX762" s="173"/>
      <c r="BY762" s="173"/>
    </row>
    <row r="763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  <c r="AQ763" s="173"/>
      <c r="AR763" s="173"/>
      <c r="AS763" s="173"/>
      <c r="AT763" s="173"/>
      <c r="AU763" s="173"/>
      <c r="AV763" s="173"/>
      <c r="AW763" s="173"/>
      <c r="AX763" s="173"/>
      <c r="AY763" s="173"/>
      <c r="AZ763" s="173"/>
      <c r="BA763" s="173"/>
      <c r="BB763" s="173"/>
      <c r="BC763" s="173"/>
      <c r="BD763" s="173"/>
      <c r="BE763" s="173"/>
      <c r="BF763" s="173"/>
      <c r="BG763" s="173"/>
      <c r="BH763" s="173"/>
      <c r="BI763" s="173"/>
      <c r="BJ763" s="173"/>
      <c r="BK763" s="173"/>
      <c r="BL763" s="173"/>
      <c r="BM763" s="173"/>
      <c r="BN763" s="173"/>
      <c r="BO763" s="173"/>
      <c r="BP763" s="173"/>
      <c r="BQ763" s="173"/>
      <c r="BR763" s="173"/>
      <c r="BS763" s="173"/>
      <c r="BT763" s="173"/>
      <c r="BU763" s="173"/>
      <c r="BV763" s="173"/>
      <c r="BW763" s="173"/>
      <c r="BX763" s="173"/>
      <c r="BY763" s="173"/>
    </row>
    <row r="764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  <c r="AQ764" s="173"/>
      <c r="AR764" s="173"/>
      <c r="AS764" s="173"/>
      <c r="AT764" s="173"/>
      <c r="AU764" s="173"/>
      <c r="AV764" s="173"/>
      <c r="AW764" s="173"/>
      <c r="AX764" s="173"/>
      <c r="AY764" s="173"/>
      <c r="AZ764" s="173"/>
      <c r="BA764" s="173"/>
      <c r="BB764" s="173"/>
      <c r="BC764" s="173"/>
      <c r="BD764" s="173"/>
      <c r="BE764" s="173"/>
      <c r="BF764" s="173"/>
      <c r="BG764" s="173"/>
      <c r="BH764" s="173"/>
      <c r="BI764" s="173"/>
      <c r="BJ764" s="173"/>
      <c r="BK764" s="173"/>
      <c r="BL764" s="173"/>
      <c r="BM764" s="173"/>
      <c r="BN764" s="173"/>
      <c r="BO764" s="173"/>
      <c r="BP764" s="173"/>
      <c r="BQ764" s="173"/>
      <c r="BR764" s="173"/>
      <c r="BS764" s="173"/>
      <c r="BT764" s="173"/>
      <c r="BU764" s="173"/>
      <c r="BV764" s="173"/>
      <c r="BW764" s="173"/>
      <c r="BX764" s="173"/>
      <c r="BY764" s="173"/>
    </row>
    <row r="765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3"/>
      <c r="AT765" s="173"/>
      <c r="AU765" s="173"/>
      <c r="AV765" s="173"/>
      <c r="AW765" s="173"/>
      <c r="AX765" s="173"/>
      <c r="AY765" s="173"/>
      <c r="AZ765" s="173"/>
      <c r="BA765" s="173"/>
      <c r="BB765" s="173"/>
      <c r="BC765" s="173"/>
      <c r="BD765" s="173"/>
      <c r="BE765" s="173"/>
      <c r="BF765" s="173"/>
      <c r="BG765" s="173"/>
      <c r="BH765" s="173"/>
      <c r="BI765" s="173"/>
      <c r="BJ765" s="173"/>
      <c r="BK765" s="173"/>
      <c r="BL765" s="173"/>
      <c r="BM765" s="173"/>
      <c r="BN765" s="173"/>
      <c r="BO765" s="173"/>
      <c r="BP765" s="173"/>
      <c r="BQ765" s="173"/>
      <c r="BR765" s="173"/>
      <c r="BS765" s="173"/>
      <c r="BT765" s="173"/>
      <c r="BU765" s="173"/>
      <c r="BV765" s="173"/>
      <c r="BW765" s="173"/>
      <c r="BX765" s="173"/>
      <c r="BY765" s="173"/>
    </row>
    <row r="766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3"/>
      <c r="AT766" s="173"/>
      <c r="AU766" s="173"/>
      <c r="AV766" s="173"/>
      <c r="AW766" s="173"/>
      <c r="AX766" s="173"/>
      <c r="AY766" s="173"/>
      <c r="AZ766" s="173"/>
      <c r="BA766" s="173"/>
      <c r="BB766" s="173"/>
      <c r="BC766" s="173"/>
      <c r="BD766" s="173"/>
      <c r="BE766" s="173"/>
      <c r="BF766" s="173"/>
      <c r="BG766" s="173"/>
      <c r="BH766" s="173"/>
      <c r="BI766" s="173"/>
      <c r="BJ766" s="173"/>
      <c r="BK766" s="173"/>
      <c r="BL766" s="173"/>
      <c r="BM766" s="173"/>
      <c r="BN766" s="173"/>
      <c r="BO766" s="173"/>
      <c r="BP766" s="173"/>
      <c r="BQ766" s="173"/>
      <c r="BR766" s="173"/>
      <c r="BS766" s="173"/>
      <c r="BT766" s="173"/>
      <c r="BU766" s="173"/>
      <c r="BV766" s="173"/>
      <c r="BW766" s="173"/>
      <c r="BX766" s="173"/>
      <c r="BY766" s="173"/>
    </row>
    <row r="767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3"/>
      <c r="AT767" s="173"/>
      <c r="AU767" s="173"/>
      <c r="AV767" s="173"/>
      <c r="AW767" s="173"/>
      <c r="AX767" s="173"/>
      <c r="AY767" s="173"/>
      <c r="AZ767" s="173"/>
      <c r="BA767" s="173"/>
      <c r="BB767" s="173"/>
      <c r="BC767" s="173"/>
      <c r="BD767" s="173"/>
      <c r="BE767" s="173"/>
      <c r="BF767" s="173"/>
      <c r="BG767" s="173"/>
      <c r="BH767" s="173"/>
      <c r="BI767" s="173"/>
      <c r="BJ767" s="173"/>
      <c r="BK767" s="173"/>
      <c r="BL767" s="173"/>
      <c r="BM767" s="173"/>
      <c r="BN767" s="173"/>
      <c r="BO767" s="173"/>
      <c r="BP767" s="173"/>
      <c r="BQ767" s="173"/>
      <c r="BR767" s="173"/>
      <c r="BS767" s="173"/>
      <c r="BT767" s="173"/>
      <c r="BU767" s="173"/>
      <c r="BV767" s="173"/>
      <c r="BW767" s="173"/>
      <c r="BX767" s="173"/>
      <c r="BY767" s="173"/>
    </row>
    <row r="768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3"/>
      <c r="AT768" s="173"/>
      <c r="AU768" s="173"/>
      <c r="AV768" s="173"/>
      <c r="AW768" s="173"/>
      <c r="AX768" s="173"/>
      <c r="AY768" s="173"/>
      <c r="AZ768" s="173"/>
      <c r="BA768" s="173"/>
      <c r="BB768" s="173"/>
      <c r="BC768" s="173"/>
      <c r="BD768" s="173"/>
      <c r="BE768" s="173"/>
      <c r="BF768" s="173"/>
      <c r="BG768" s="173"/>
      <c r="BH768" s="173"/>
      <c r="BI768" s="173"/>
      <c r="BJ768" s="173"/>
      <c r="BK768" s="173"/>
      <c r="BL768" s="173"/>
      <c r="BM768" s="173"/>
      <c r="BN768" s="173"/>
      <c r="BO768" s="173"/>
      <c r="BP768" s="173"/>
      <c r="BQ768" s="173"/>
      <c r="BR768" s="173"/>
      <c r="BS768" s="173"/>
      <c r="BT768" s="173"/>
      <c r="BU768" s="173"/>
      <c r="BV768" s="173"/>
      <c r="BW768" s="173"/>
      <c r="BX768" s="173"/>
      <c r="BY768" s="173"/>
    </row>
    <row r="769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3"/>
      <c r="AT769" s="173"/>
      <c r="AU769" s="173"/>
      <c r="AV769" s="173"/>
      <c r="AW769" s="173"/>
      <c r="AX769" s="173"/>
      <c r="AY769" s="173"/>
      <c r="AZ769" s="173"/>
      <c r="BA769" s="173"/>
      <c r="BB769" s="173"/>
      <c r="BC769" s="173"/>
      <c r="BD769" s="173"/>
      <c r="BE769" s="173"/>
      <c r="BF769" s="173"/>
      <c r="BG769" s="173"/>
      <c r="BH769" s="173"/>
      <c r="BI769" s="173"/>
      <c r="BJ769" s="173"/>
      <c r="BK769" s="173"/>
      <c r="BL769" s="173"/>
      <c r="BM769" s="173"/>
      <c r="BN769" s="173"/>
      <c r="BO769" s="173"/>
      <c r="BP769" s="173"/>
      <c r="BQ769" s="173"/>
      <c r="BR769" s="173"/>
      <c r="BS769" s="173"/>
      <c r="BT769" s="173"/>
      <c r="BU769" s="173"/>
      <c r="BV769" s="173"/>
      <c r="BW769" s="173"/>
      <c r="BX769" s="173"/>
      <c r="BY769" s="173"/>
    </row>
    <row r="770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3"/>
      <c r="AT770" s="173"/>
      <c r="AU770" s="173"/>
      <c r="AV770" s="173"/>
      <c r="AW770" s="173"/>
      <c r="AX770" s="173"/>
      <c r="AY770" s="173"/>
      <c r="AZ770" s="173"/>
      <c r="BA770" s="173"/>
      <c r="BB770" s="173"/>
      <c r="BC770" s="173"/>
      <c r="BD770" s="173"/>
      <c r="BE770" s="173"/>
      <c r="BF770" s="173"/>
      <c r="BG770" s="173"/>
      <c r="BH770" s="173"/>
      <c r="BI770" s="173"/>
      <c r="BJ770" s="173"/>
      <c r="BK770" s="173"/>
      <c r="BL770" s="173"/>
      <c r="BM770" s="173"/>
      <c r="BN770" s="173"/>
      <c r="BO770" s="173"/>
      <c r="BP770" s="173"/>
      <c r="BQ770" s="173"/>
      <c r="BR770" s="173"/>
      <c r="BS770" s="173"/>
      <c r="BT770" s="173"/>
      <c r="BU770" s="173"/>
      <c r="BV770" s="173"/>
      <c r="BW770" s="173"/>
      <c r="BX770" s="173"/>
      <c r="BY770" s="173"/>
    </row>
    <row r="77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3"/>
      <c r="AT771" s="173"/>
      <c r="AU771" s="173"/>
      <c r="AV771" s="173"/>
      <c r="AW771" s="173"/>
      <c r="AX771" s="173"/>
      <c r="AY771" s="173"/>
      <c r="AZ771" s="173"/>
      <c r="BA771" s="173"/>
      <c r="BB771" s="173"/>
      <c r="BC771" s="173"/>
      <c r="BD771" s="173"/>
      <c r="BE771" s="173"/>
      <c r="BF771" s="173"/>
      <c r="BG771" s="173"/>
      <c r="BH771" s="173"/>
      <c r="BI771" s="173"/>
      <c r="BJ771" s="173"/>
      <c r="BK771" s="173"/>
      <c r="BL771" s="173"/>
      <c r="BM771" s="173"/>
      <c r="BN771" s="173"/>
      <c r="BO771" s="173"/>
      <c r="BP771" s="173"/>
      <c r="BQ771" s="173"/>
      <c r="BR771" s="173"/>
      <c r="BS771" s="173"/>
      <c r="BT771" s="173"/>
      <c r="BU771" s="173"/>
      <c r="BV771" s="173"/>
      <c r="BW771" s="173"/>
      <c r="BX771" s="173"/>
      <c r="BY771" s="173"/>
    </row>
    <row r="772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  <c r="AQ772" s="173"/>
      <c r="AR772" s="173"/>
      <c r="AS772" s="173"/>
      <c r="AT772" s="173"/>
      <c r="AU772" s="173"/>
      <c r="AV772" s="173"/>
      <c r="AW772" s="173"/>
      <c r="AX772" s="173"/>
      <c r="AY772" s="173"/>
      <c r="AZ772" s="173"/>
      <c r="BA772" s="173"/>
      <c r="BB772" s="173"/>
      <c r="BC772" s="173"/>
      <c r="BD772" s="173"/>
      <c r="BE772" s="173"/>
      <c r="BF772" s="173"/>
      <c r="BG772" s="173"/>
      <c r="BH772" s="173"/>
      <c r="BI772" s="173"/>
      <c r="BJ772" s="173"/>
      <c r="BK772" s="173"/>
      <c r="BL772" s="173"/>
      <c r="BM772" s="173"/>
      <c r="BN772" s="173"/>
      <c r="BO772" s="173"/>
      <c r="BP772" s="173"/>
      <c r="BQ772" s="173"/>
      <c r="BR772" s="173"/>
      <c r="BS772" s="173"/>
      <c r="BT772" s="173"/>
      <c r="BU772" s="173"/>
      <c r="BV772" s="173"/>
      <c r="BW772" s="173"/>
      <c r="BX772" s="173"/>
      <c r="BY772" s="173"/>
    </row>
    <row r="773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  <c r="AQ773" s="173"/>
      <c r="AR773" s="173"/>
      <c r="AS773" s="173"/>
      <c r="AT773" s="173"/>
      <c r="AU773" s="173"/>
      <c r="AV773" s="173"/>
      <c r="AW773" s="173"/>
      <c r="AX773" s="173"/>
      <c r="AY773" s="173"/>
      <c r="AZ773" s="173"/>
      <c r="BA773" s="173"/>
      <c r="BB773" s="173"/>
      <c r="BC773" s="173"/>
      <c r="BD773" s="173"/>
      <c r="BE773" s="173"/>
      <c r="BF773" s="173"/>
      <c r="BG773" s="173"/>
      <c r="BH773" s="173"/>
      <c r="BI773" s="173"/>
      <c r="BJ773" s="173"/>
      <c r="BK773" s="173"/>
      <c r="BL773" s="173"/>
      <c r="BM773" s="173"/>
      <c r="BN773" s="173"/>
      <c r="BO773" s="173"/>
      <c r="BP773" s="173"/>
      <c r="BQ773" s="173"/>
      <c r="BR773" s="173"/>
      <c r="BS773" s="173"/>
      <c r="BT773" s="173"/>
      <c r="BU773" s="173"/>
      <c r="BV773" s="173"/>
      <c r="BW773" s="173"/>
      <c r="BX773" s="173"/>
      <c r="BY773" s="173"/>
    </row>
    <row r="774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  <c r="AQ774" s="173"/>
      <c r="AR774" s="173"/>
      <c r="AS774" s="173"/>
      <c r="AT774" s="173"/>
      <c r="AU774" s="173"/>
      <c r="AV774" s="173"/>
      <c r="AW774" s="173"/>
      <c r="AX774" s="173"/>
      <c r="AY774" s="173"/>
      <c r="AZ774" s="173"/>
      <c r="BA774" s="173"/>
      <c r="BB774" s="173"/>
      <c r="BC774" s="173"/>
      <c r="BD774" s="173"/>
      <c r="BE774" s="173"/>
      <c r="BF774" s="173"/>
      <c r="BG774" s="173"/>
      <c r="BH774" s="173"/>
      <c r="BI774" s="173"/>
      <c r="BJ774" s="173"/>
      <c r="BK774" s="173"/>
      <c r="BL774" s="173"/>
      <c r="BM774" s="173"/>
      <c r="BN774" s="173"/>
      <c r="BO774" s="173"/>
      <c r="BP774" s="173"/>
      <c r="BQ774" s="173"/>
      <c r="BR774" s="173"/>
      <c r="BS774" s="173"/>
      <c r="BT774" s="173"/>
      <c r="BU774" s="173"/>
      <c r="BV774" s="173"/>
      <c r="BW774" s="173"/>
      <c r="BX774" s="173"/>
      <c r="BY774" s="173"/>
    </row>
    <row r="775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  <c r="AQ775" s="173"/>
      <c r="AR775" s="173"/>
      <c r="AS775" s="173"/>
      <c r="AT775" s="173"/>
      <c r="AU775" s="173"/>
      <c r="AV775" s="173"/>
      <c r="AW775" s="173"/>
      <c r="AX775" s="173"/>
      <c r="AY775" s="173"/>
      <c r="AZ775" s="173"/>
      <c r="BA775" s="173"/>
      <c r="BB775" s="173"/>
      <c r="BC775" s="173"/>
      <c r="BD775" s="173"/>
      <c r="BE775" s="173"/>
      <c r="BF775" s="173"/>
      <c r="BG775" s="173"/>
      <c r="BH775" s="173"/>
      <c r="BI775" s="173"/>
      <c r="BJ775" s="173"/>
      <c r="BK775" s="173"/>
      <c r="BL775" s="173"/>
      <c r="BM775" s="173"/>
      <c r="BN775" s="173"/>
      <c r="BO775" s="173"/>
      <c r="BP775" s="173"/>
      <c r="BQ775" s="173"/>
      <c r="BR775" s="173"/>
      <c r="BS775" s="173"/>
      <c r="BT775" s="173"/>
      <c r="BU775" s="173"/>
      <c r="BV775" s="173"/>
      <c r="BW775" s="173"/>
      <c r="BX775" s="173"/>
      <c r="BY775" s="173"/>
    </row>
    <row r="776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  <c r="AQ776" s="173"/>
      <c r="AR776" s="173"/>
      <c r="AS776" s="173"/>
      <c r="AT776" s="173"/>
      <c r="AU776" s="173"/>
      <c r="AV776" s="173"/>
      <c r="AW776" s="173"/>
      <c r="AX776" s="173"/>
      <c r="AY776" s="173"/>
      <c r="AZ776" s="173"/>
      <c r="BA776" s="173"/>
      <c r="BB776" s="173"/>
      <c r="BC776" s="173"/>
      <c r="BD776" s="173"/>
      <c r="BE776" s="173"/>
      <c r="BF776" s="173"/>
      <c r="BG776" s="173"/>
      <c r="BH776" s="173"/>
      <c r="BI776" s="173"/>
      <c r="BJ776" s="173"/>
      <c r="BK776" s="173"/>
      <c r="BL776" s="173"/>
      <c r="BM776" s="173"/>
      <c r="BN776" s="173"/>
      <c r="BO776" s="173"/>
      <c r="BP776" s="173"/>
      <c r="BQ776" s="173"/>
      <c r="BR776" s="173"/>
      <c r="BS776" s="173"/>
      <c r="BT776" s="173"/>
      <c r="BU776" s="173"/>
      <c r="BV776" s="173"/>
      <c r="BW776" s="173"/>
      <c r="BX776" s="173"/>
      <c r="BY776" s="173"/>
    </row>
    <row r="777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  <c r="AQ777" s="173"/>
      <c r="AR777" s="173"/>
      <c r="AS777" s="173"/>
      <c r="AT777" s="173"/>
      <c r="AU777" s="173"/>
      <c r="AV777" s="173"/>
      <c r="AW777" s="173"/>
      <c r="AX777" s="173"/>
      <c r="AY777" s="173"/>
      <c r="AZ777" s="173"/>
      <c r="BA777" s="173"/>
      <c r="BB777" s="173"/>
      <c r="BC777" s="173"/>
      <c r="BD777" s="173"/>
      <c r="BE777" s="173"/>
      <c r="BF777" s="173"/>
      <c r="BG777" s="173"/>
      <c r="BH777" s="173"/>
      <c r="BI777" s="173"/>
      <c r="BJ777" s="173"/>
      <c r="BK777" s="173"/>
      <c r="BL777" s="173"/>
      <c r="BM777" s="173"/>
      <c r="BN777" s="173"/>
      <c r="BO777" s="173"/>
      <c r="BP777" s="173"/>
      <c r="BQ777" s="173"/>
      <c r="BR777" s="173"/>
      <c r="BS777" s="173"/>
      <c r="BT777" s="173"/>
      <c r="BU777" s="173"/>
      <c r="BV777" s="173"/>
      <c r="BW777" s="173"/>
      <c r="BX777" s="173"/>
      <c r="BY777" s="173"/>
    </row>
    <row r="778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  <c r="AQ778" s="173"/>
      <c r="AR778" s="173"/>
      <c r="AS778" s="173"/>
      <c r="AT778" s="173"/>
      <c r="AU778" s="173"/>
      <c r="AV778" s="173"/>
      <c r="AW778" s="173"/>
      <c r="AX778" s="173"/>
      <c r="AY778" s="173"/>
      <c r="AZ778" s="173"/>
      <c r="BA778" s="173"/>
      <c r="BB778" s="173"/>
      <c r="BC778" s="173"/>
      <c r="BD778" s="173"/>
      <c r="BE778" s="173"/>
      <c r="BF778" s="173"/>
      <c r="BG778" s="173"/>
      <c r="BH778" s="173"/>
      <c r="BI778" s="173"/>
      <c r="BJ778" s="173"/>
      <c r="BK778" s="173"/>
      <c r="BL778" s="173"/>
      <c r="BM778" s="173"/>
      <c r="BN778" s="173"/>
      <c r="BO778" s="173"/>
      <c r="BP778" s="173"/>
      <c r="BQ778" s="173"/>
      <c r="BR778" s="173"/>
      <c r="BS778" s="173"/>
      <c r="BT778" s="173"/>
      <c r="BU778" s="173"/>
      <c r="BV778" s="173"/>
      <c r="BW778" s="173"/>
      <c r="BX778" s="173"/>
      <c r="BY778" s="173"/>
    </row>
    <row r="779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  <c r="AQ779" s="173"/>
      <c r="AR779" s="173"/>
      <c r="AS779" s="173"/>
      <c r="AT779" s="173"/>
      <c r="AU779" s="173"/>
      <c r="AV779" s="173"/>
      <c r="AW779" s="173"/>
      <c r="AX779" s="173"/>
      <c r="AY779" s="173"/>
      <c r="AZ779" s="173"/>
      <c r="BA779" s="173"/>
      <c r="BB779" s="173"/>
      <c r="BC779" s="173"/>
      <c r="BD779" s="173"/>
      <c r="BE779" s="173"/>
      <c r="BF779" s="173"/>
      <c r="BG779" s="173"/>
      <c r="BH779" s="173"/>
      <c r="BI779" s="173"/>
      <c r="BJ779" s="173"/>
      <c r="BK779" s="173"/>
      <c r="BL779" s="173"/>
      <c r="BM779" s="173"/>
      <c r="BN779" s="173"/>
      <c r="BO779" s="173"/>
      <c r="BP779" s="173"/>
      <c r="BQ779" s="173"/>
      <c r="BR779" s="173"/>
      <c r="BS779" s="173"/>
      <c r="BT779" s="173"/>
      <c r="BU779" s="173"/>
      <c r="BV779" s="173"/>
      <c r="BW779" s="173"/>
      <c r="BX779" s="173"/>
      <c r="BY779" s="173"/>
    </row>
    <row r="780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  <c r="AQ780" s="173"/>
      <c r="AR780" s="173"/>
      <c r="AS780" s="173"/>
      <c r="AT780" s="173"/>
      <c r="AU780" s="173"/>
      <c r="AV780" s="173"/>
      <c r="AW780" s="173"/>
      <c r="AX780" s="173"/>
      <c r="AY780" s="173"/>
      <c r="AZ780" s="173"/>
      <c r="BA780" s="173"/>
      <c r="BB780" s="173"/>
      <c r="BC780" s="173"/>
      <c r="BD780" s="173"/>
      <c r="BE780" s="173"/>
      <c r="BF780" s="173"/>
      <c r="BG780" s="173"/>
      <c r="BH780" s="173"/>
      <c r="BI780" s="173"/>
      <c r="BJ780" s="173"/>
      <c r="BK780" s="173"/>
      <c r="BL780" s="173"/>
      <c r="BM780" s="173"/>
      <c r="BN780" s="173"/>
      <c r="BO780" s="173"/>
      <c r="BP780" s="173"/>
      <c r="BQ780" s="173"/>
      <c r="BR780" s="173"/>
      <c r="BS780" s="173"/>
      <c r="BT780" s="173"/>
      <c r="BU780" s="173"/>
      <c r="BV780" s="173"/>
      <c r="BW780" s="173"/>
      <c r="BX780" s="173"/>
      <c r="BY780" s="173"/>
    </row>
    <row r="78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  <c r="AQ781" s="173"/>
      <c r="AR781" s="173"/>
      <c r="AS781" s="173"/>
      <c r="AT781" s="173"/>
      <c r="AU781" s="173"/>
      <c r="AV781" s="173"/>
      <c r="AW781" s="173"/>
      <c r="AX781" s="173"/>
      <c r="AY781" s="173"/>
      <c r="AZ781" s="173"/>
      <c r="BA781" s="173"/>
      <c r="BB781" s="173"/>
      <c r="BC781" s="173"/>
      <c r="BD781" s="173"/>
      <c r="BE781" s="173"/>
      <c r="BF781" s="173"/>
      <c r="BG781" s="173"/>
      <c r="BH781" s="173"/>
      <c r="BI781" s="173"/>
      <c r="BJ781" s="173"/>
      <c r="BK781" s="173"/>
      <c r="BL781" s="173"/>
      <c r="BM781" s="173"/>
      <c r="BN781" s="173"/>
      <c r="BO781" s="173"/>
      <c r="BP781" s="173"/>
      <c r="BQ781" s="173"/>
      <c r="BR781" s="173"/>
      <c r="BS781" s="173"/>
      <c r="BT781" s="173"/>
      <c r="BU781" s="173"/>
      <c r="BV781" s="173"/>
      <c r="BW781" s="173"/>
      <c r="BX781" s="173"/>
      <c r="BY781" s="173"/>
    </row>
    <row r="782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  <c r="AQ782" s="173"/>
      <c r="AR782" s="173"/>
      <c r="AS782" s="173"/>
      <c r="AT782" s="173"/>
      <c r="AU782" s="173"/>
      <c r="AV782" s="173"/>
      <c r="AW782" s="173"/>
      <c r="AX782" s="173"/>
      <c r="AY782" s="173"/>
      <c r="AZ782" s="173"/>
      <c r="BA782" s="173"/>
      <c r="BB782" s="173"/>
      <c r="BC782" s="173"/>
      <c r="BD782" s="173"/>
      <c r="BE782" s="173"/>
      <c r="BF782" s="173"/>
      <c r="BG782" s="173"/>
      <c r="BH782" s="173"/>
      <c r="BI782" s="173"/>
      <c r="BJ782" s="173"/>
      <c r="BK782" s="173"/>
      <c r="BL782" s="173"/>
      <c r="BM782" s="173"/>
      <c r="BN782" s="173"/>
      <c r="BO782" s="173"/>
      <c r="BP782" s="173"/>
      <c r="BQ782" s="173"/>
      <c r="BR782" s="173"/>
      <c r="BS782" s="173"/>
      <c r="BT782" s="173"/>
      <c r="BU782" s="173"/>
      <c r="BV782" s="173"/>
      <c r="BW782" s="173"/>
      <c r="BX782" s="173"/>
      <c r="BY782" s="173"/>
    </row>
    <row r="783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  <c r="AQ783" s="173"/>
      <c r="AR783" s="173"/>
      <c r="AS783" s="173"/>
      <c r="AT783" s="173"/>
      <c r="AU783" s="173"/>
      <c r="AV783" s="173"/>
      <c r="AW783" s="173"/>
      <c r="AX783" s="173"/>
      <c r="AY783" s="173"/>
      <c r="AZ783" s="173"/>
      <c r="BA783" s="173"/>
      <c r="BB783" s="173"/>
      <c r="BC783" s="173"/>
      <c r="BD783" s="173"/>
      <c r="BE783" s="173"/>
      <c r="BF783" s="173"/>
      <c r="BG783" s="173"/>
      <c r="BH783" s="173"/>
      <c r="BI783" s="173"/>
      <c r="BJ783" s="173"/>
      <c r="BK783" s="173"/>
      <c r="BL783" s="173"/>
      <c r="BM783" s="173"/>
      <c r="BN783" s="173"/>
      <c r="BO783" s="173"/>
      <c r="BP783" s="173"/>
      <c r="BQ783" s="173"/>
      <c r="BR783" s="173"/>
      <c r="BS783" s="173"/>
      <c r="BT783" s="173"/>
      <c r="BU783" s="173"/>
      <c r="BV783" s="173"/>
      <c r="BW783" s="173"/>
      <c r="BX783" s="173"/>
      <c r="BY783" s="173"/>
    </row>
    <row r="784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  <c r="AQ784" s="173"/>
      <c r="AR784" s="173"/>
      <c r="AS784" s="173"/>
      <c r="AT784" s="173"/>
      <c r="AU784" s="173"/>
      <c r="AV784" s="173"/>
      <c r="AW784" s="173"/>
      <c r="AX784" s="173"/>
      <c r="AY784" s="173"/>
      <c r="AZ784" s="173"/>
      <c r="BA784" s="173"/>
      <c r="BB784" s="173"/>
      <c r="BC784" s="173"/>
      <c r="BD784" s="173"/>
      <c r="BE784" s="173"/>
      <c r="BF784" s="173"/>
      <c r="BG784" s="173"/>
      <c r="BH784" s="173"/>
      <c r="BI784" s="173"/>
      <c r="BJ784" s="173"/>
      <c r="BK784" s="173"/>
      <c r="BL784" s="173"/>
      <c r="BM784" s="173"/>
      <c r="BN784" s="173"/>
      <c r="BO784" s="173"/>
      <c r="BP784" s="173"/>
      <c r="BQ784" s="173"/>
      <c r="BR784" s="173"/>
      <c r="BS784" s="173"/>
      <c r="BT784" s="173"/>
      <c r="BU784" s="173"/>
      <c r="BV784" s="173"/>
      <c r="BW784" s="173"/>
      <c r="BX784" s="173"/>
      <c r="BY784" s="173"/>
    </row>
    <row r="785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  <c r="AQ785" s="173"/>
      <c r="AR785" s="173"/>
      <c r="AS785" s="173"/>
      <c r="AT785" s="173"/>
      <c r="AU785" s="173"/>
      <c r="AV785" s="173"/>
      <c r="AW785" s="173"/>
      <c r="AX785" s="173"/>
      <c r="AY785" s="173"/>
      <c r="AZ785" s="173"/>
      <c r="BA785" s="173"/>
      <c r="BB785" s="173"/>
      <c r="BC785" s="173"/>
      <c r="BD785" s="173"/>
      <c r="BE785" s="173"/>
      <c r="BF785" s="173"/>
      <c r="BG785" s="173"/>
      <c r="BH785" s="173"/>
      <c r="BI785" s="173"/>
      <c r="BJ785" s="173"/>
      <c r="BK785" s="173"/>
      <c r="BL785" s="173"/>
      <c r="BM785" s="173"/>
      <c r="BN785" s="173"/>
      <c r="BO785" s="173"/>
      <c r="BP785" s="173"/>
      <c r="BQ785" s="173"/>
      <c r="BR785" s="173"/>
      <c r="BS785" s="173"/>
      <c r="BT785" s="173"/>
      <c r="BU785" s="173"/>
      <c r="BV785" s="173"/>
      <c r="BW785" s="173"/>
      <c r="BX785" s="173"/>
      <c r="BY785" s="173"/>
    </row>
    <row r="786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  <c r="AQ786" s="173"/>
      <c r="AR786" s="173"/>
      <c r="AS786" s="173"/>
      <c r="AT786" s="173"/>
      <c r="AU786" s="173"/>
      <c r="AV786" s="173"/>
      <c r="AW786" s="173"/>
      <c r="AX786" s="173"/>
      <c r="AY786" s="173"/>
      <c r="AZ786" s="173"/>
      <c r="BA786" s="173"/>
      <c r="BB786" s="173"/>
      <c r="BC786" s="173"/>
      <c r="BD786" s="173"/>
      <c r="BE786" s="173"/>
      <c r="BF786" s="173"/>
      <c r="BG786" s="173"/>
      <c r="BH786" s="173"/>
      <c r="BI786" s="173"/>
      <c r="BJ786" s="173"/>
      <c r="BK786" s="173"/>
      <c r="BL786" s="173"/>
      <c r="BM786" s="173"/>
      <c r="BN786" s="173"/>
      <c r="BO786" s="173"/>
      <c r="BP786" s="173"/>
      <c r="BQ786" s="173"/>
      <c r="BR786" s="173"/>
      <c r="BS786" s="173"/>
      <c r="BT786" s="173"/>
      <c r="BU786" s="173"/>
      <c r="BV786" s="173"/>
      <c r="BW786" s="173"/>
      <c r="BX786" s="173"/>
      <c r="BY786" s="173"/>
    </row>
    <row r="787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  <c r="AQ787" s="173"/>
      <c r="AR787" s="173"/>
      <c r="AS787" s="173"/>
      <c r="AT787" s="173"/>
      <c r="AU787" s="173"/>
      <c r="AV787" s="173"/>
      <c r="AW787" s="173"/>
      <c r="AX787" s="173"/>
      <c r="AY787" s="173"/>
      <c r="AZ787" s="173"/>
      <c r="BA787" s="173"/>
      <c r="BB787" s="173"/>
      <c r="BC787" s="173"/>
      <c r="BD787" s="173"/>
      <c r="BE787" s="173"/>
      <c r="BF787" s="173"/>
      <c r="BG787" s="173"/>
      <c r="BH787" s="173"/>
      <c r="BI787" s="173"/>
      <c r="BJ787" s="173"/>
      <c r="BK787" s="173"/>
      <c r="BL787" s="173"/>
      <c r="BM787" s="173"/>
      <c r="BN787" s="173"/>
      <c r="BO787" s="173"/>
      <c r="BP787" s="173"/>
      <c r="BQ787" s="173"/>
      <c r="BR787" s="173"/>
      <c r="BS787" s="173"/>
      <c r="BT787" s="173"/>
      <c r="BU787" s="173"/>
      <c r="BV787" s="173"/>
      <c r="BW787" s="173"/>
      <c r="BX787" s="173"/>
      <c r="BY787" s="173"/>
    </row>
    <row r="788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  <c r="AQ788" s="173"/>
      <c r="AR788" s="173"/>
      <c r="AS788" s="173"/>
      <c r="AT788" s="173"/>
      <c r="AU788" s="173"/>
      <c r="AV788" s="173"/>
      <c r="AW788" s="173"/>
      <c r="AX788" s="173"/>
      <c r="AY788" s="173"/>
      <c r="AZ788" s="173"/>
      <c r="BA788" s="173"/>
      <c r="BB788" s="173"/>
      <c r="BC788" s="173"/>
      <c r="BD788" s="173"/>
      <c r="BE788" s="173"/>
      <c r="BF788" s="173"/>
      <c r="BG788" s="173"/>
      <c r="BH788" s="173"/>
      <c r="BI788" s="173"/>
      <c r="BJ788" s="173"/>
      <c r="BK788" s="173"/>
      <c r="BL788" s="173"/>
      <c r="BM788" s="173"/>
      <c r="BN788" s="173"/>
      <c r="BO788" s="173"/>
      <c r="BP788" s="173"/>
      <c r="BQ788" s="173"/>
      <c r="BR788" s="173"/>
      <c r="BS788" s="173"/>
      <c r="BT788" s="173"/>
      <c r="BU788" s="173"/>
      <c r="BV788" s="173"/>
      <c r="BW788" s="173"/>
      <c r="BX788" s="173"/>
      <c r="BY788" s="173"/>
    </row>
    <row r="789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  <c r="AQ789" s="173"/>
      <c r="AR789" s="173"/>
      <c r="AS789" s="173"/>
      <c r="AT789" s="173"/>
      <c r="AU789" s="173"/>
      <c r="AV789" s="173"/>
      <c r="AW789" s="173"/>
      <c r="AX789" s="173"/>
      <c r="AY789" s="173"/>
      <c r="AZ789" s="173"/>
      <c r="BA789" s="173"/>
      <c r="BB789" s="173"/>
      <c r="BC789" s="173"/>
      <c r="BD789" s="173"/>
      <c r="BE789" s="173"/>
      <c r="BF789" s="173"/>
      <c r="BG789" s="173"/>
      <c r="BH789" s="173"/>
      <c r="BI789" s="173"/>
      <c r="BJ789" s="173"/>
      <c r="BK789" s="173"/>
      <c r="BL789" s="173"/>
      <c r="BM789" s="173"/>
      <c r="BN789" s="173"/>
      <c r="BO789" s="173"/>
      <c r="BP789" s="173"/>
      <c r="BQ789" s="173"/>
      <c r="BR789" s="173"/>
      <c r="BS789" s="173"/>
      <c r="BT789" s="173"/>
      <c r="BU789" s="173"/>
      <c r="BV789" s="173"/>
      <c r="BW789" s="173"/>
      <c r="BX789" s="173"/>
      <c r="BY789" s="173"/>
    </row>
    <row r="790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  <c r="AQ790" s="173"/>
      <c r="AR790" s="173"/>
      <c r="AS790" s="173"/>
      <c r="AT790" s="173"/>
      <c r="AU790" s="173"/>
      <c r="AV790" s="173"/>
      <c r="AW790" s="173"/>
      <c r="AX790" s="173"/>
      <c r="AY790" s="173"/>
      <c r="AZ790" s="173"/>
      <c r="BA790" s="173"/>
      <c r="BB790" s="173"/>
      <c r="BC790" s="173"/>
      <c r="BD790" s="173"/>
      <c r="BE790" s="173"/>
      <c r="BF790" s="173"/>
      <c r="BG790" s="173"/>
      <c r="BH790" s="173"/>
      <c r="BI790" s="173"/>
      <c r="BJ790" s="173"/>
      <c r="BK790" s="173"/>
      <c r="BL790" s="173"/>
      <c r="BM790" s="173"/>
      <c r="BN790" s="173"/>
      <c r="BO790" s="173"/>
      <c r="BP790" s="173"/>
      <c r="BQ790" s="173"/>
      <c r="BR790" s="173"/>
      <c r="BS790" s="173"/>
      <c r="BT790" s="173"/>
      <c r="BU790" s="173"/>
      <c r="BV790" s="173"/>
      <c r="BW790" s="173"/>
      <c r="BX790" s="173"/>
      <c r="BY790" s="173"/>
    </row>
    <row r="79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  <c r="AQ791" s="173"/>
      <c r="AR791" s="173"/>
      <c r="AS791" s="173"/>
      <c r="AT791" s="173"/>
      <c r="AU791" s="173"/>
      <c r="AV791" s="173"/>
      <c r="AW791" s="173"/>
      <c r="AX791" s="173"/>
      <c r="AY791" s="173"/>
      <c r="AZ791" s="173"/>
      <c r="BA791" s="173"/>
      <c r="BB791" s="173"/>
      <c r="BC791" s="173"/>
      <c r="BD791" s="173"/>
      <c r="BE791" s="173"/>
      <c r="BF791" s="173"/>
      <c r="BG791" s="173"/>
      <c r="BH791" s="173"/>
      <c r="BI791" s="173"/>
      <c r="BJ791" s="173"/>
      <c r="BK791" s="173"/>
      <c r="BL791" s="173"/>
      <c r="BM791" s="173"/>
      <c r="BN791" s="173"/>
      <c r="BO791" s="173"/>
      <c r="BP791" s="173"/>
      <c r="BQ791" s="173"/>
      <c r="BR791" s="173"/>
      <c r="BS791" s="173"/>
      <c r="BT791" s="173"/>
      <c r="BU791" s="173"/>
      <c r="BV791" s="173"/>
      <c r="BW791" s="173"/>
      <c r="BX791" s="173"/>
      <c r="BY791" s="173"/>
    </row>
    <row r="792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  <c r="AQ792" s="173"/>
      <c r="AR792" s="173"/>
      <c r="AS792" s="173"/>
      <c r="AT792" s="173"/>
      <c r="AU792" s="173"/>
      <c r="AV792" s="173"/>
      <c r="AW792" s="173"/>
      <c r="AX792" s="173"/>
      <c r="AY792" s="173"/>
      <c r="AZ792" s="173"/>
      <c r="BA792" s="173"/>
      <c r="BB792" s="173"/>
      <c r="BC792" s="173"/>
      <c r="BD792" s="173"/>
      <c r="BE792" s="173"/>
      <c r="BF792" s="173"/>
      <c r="BG792" s="173"/>
      <c r="BH792" s="173"/>
      <c r="BI792" s="173"/>
      <c r="BJ792" s="173"/>
      <c r="BK792" s="173"/>
      <c r="BL792" s="173"/>
      <c r="BM792" s="173"/>
      <c r="BN792" s="173"/>
      <c r="BO792" s="173"/>
      <c r="BP792" s="173"/>
      <c r="BQ792" s="173"/>
      <c r="BR792" s="173"/>
      <c r="BS792" s="173"/>
      <c r="BT792" s="173"/>
      <c r="BU792" s="173"/>
      <c r="BV792" s="173"/>
      <c r="BW792" s="173"/>
      <c r="BX792" s="173"/>
      <c r="BY792" s="173"/>
    </row>
    <row r="793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  <c r="AQ793" s="173"/>
      <c r="AR793" s="173"/>
      <c r="AS793" s="173"/>
      <c r="AT793" s="173"/>
      <c r="AU793" s="173"/>
      <c r="AV793" s="173"/>
      <c r="AW793" s="173"/>
      <c r="AX793" s="173"/>
      <c r="AY793" s="173"/>
      <c r="AZ793" s="173"/>
      <c r="BA793" s="173"/>
      <c r="BB793" s="173"/>
      <c r="BC793" s="173"/>
      <c r="BD793" s="173"/>
      <c r="BE793" s="173"/>
      <c r="BF793" s="173"/>
      <c r="BG793" s="173"/>
      <c r="BH793" s="173"/>
      <c r="BI793" s="173"/>
      <c r="BJ793" s="173"/>
      <c r="BK793" s="173"/>
      <c r="BL793" s="173"/>
      <c r="BM793" s="173"/>
      <c r="BN793" s="173"/>
      <c r="BO793" s="173"/>
      <c r="BP793" s="173"/>
      <c r="BQ793" s="173"/>
      <c r="BR793" s="173"/>
      <c r="BS793" s="173"/>
      <c r="BT793" s="173"/>
      <c r="BU793" s="173"/>
      <c r="BV793" s="173"/>
      <c r="BW793" s="173"/>
      <c r="BX793" s="173"/>
      <c r="BY793" s="173"/>
    </row>
    <row r="794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  <c r="AQ794" s="173"/>
      <c r="AR794" s="173"/>
      <c r="AS794" s="173"/>
      <c r="AT794" s="173"/>
      <c r="AU794" s="173"/>
      <c r="AV794" s="173"/>
      <c r="AW794" s="173"/>
      <c r="AX794" s="173"/>
      <c r="AY794" s="173"/>
      <c r="AZ794" s="173"/>
      <c r="BA794" s="173"/>
      <c r="BB794" s="173"/>
      <c r="BC794" s="173"/>
      <c r="BD794" s="173"/>
      <c r="BE794" s="173"/>
      <c r="BF794" s="173"/>
      <c r="BG794" s="173"/>
      <c r="BH794" s="173"/>
      <c r="BI794" s="173"/>
      <c r="BJ794" s="173"/>
      <c r="BK794" s="173"/>
      <c r="BL794" s="173"/>
      <c r="BM794" s="173"/>
      <c r="BN794" s="173"/>
      <c r="BO794" s="173"/>
      <c r="BP794" s="173"/>
      <c r="BQ794" s="173"/>
      <c r="BR794" s="173"/>
      <c r="BS794" s="173"/>
      <c r="BT794" s="173"/>
      <c r="BU794" s="173"/>
      <c r="BV794" s="173"/>
      <c r="BW794" s="173"/>
      <c r="BX794" s="173"/>
      <c r="BY794" s="173"/>
    </row>
    <row r="795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  <c r="AQ795" s="173"/>
      <c r="AR795" s="173"/>
      <c r="AS795" s="173"/>
      <c r="AT795" s="173"/>
      <c r="AU795" s="173"/>
      <c r="AV795" s="173"/>
      <c r="AW795" s="173"/>
      <c r="AX795" s="173"/>
      <c r="AY795" s="173"/>
      <c r="AZ795" s="173"/>
      <c r="BA795" s="173"/>
      <c r="BB795" s="173"/>
      <c r="BC795" s="173"/>
      <c r="BD795" s="173"/>
      <c r="BE795" s="173"/>
      <c r="BF795" s="173"/>
      <c r="BG795" s="173"/>
      <c r="BH795" s="173"/>
      <c r="BI795" s="173"/>
      <c r="BJ795" s="173"/>
      <c r="BK795" s="173"/>
      <c r="BL795" s="173"/>
      <c r="BM795" s="173"/>
      <c r="BN795" s="173"/>
      <c r="BO795" s="173"/>
      <c r="BP795" s="173"/>
      <c r="BQ795" s="173"/>
      <c r="BR795" s="173"/>
      <c r="BS795" s="173"/>
      <c r="BT795" s="173"/>
      <c r="BU795" s="173"/>
      <c r="BV795" s="173"/>
      <c r="BW795" s="173"/>
      <c r="BX795" s="173"/>
      <c r="BY795" s="173"/>
    </row>
    <row r="796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  <c r="AQ796" s="173"/>
      <c r="AR796" s="173"/>
      <c r="AS796" s="173"/>
      <c r="AT796" s="173"/>
      <c r="AU796" s="173"/>
      <c r="AV796" s="173"/>
      <c r="AW796" s="173"/>
      <c r="AX796" s="173"/>
      <c r="AY796" s="173"/>
      <c r="AZ796" s="173"/>
      <c r="BA796" s="173"/>
      <c r="BB796" s="173"/>
      <c r="BC796" s="173"/>
      <c r="BD796" s="173"/>
      <c r="BE796" s="173"/>
      <c r="BF796" s="173"/>
      <c r="BG796" s="173"/>
      <c r="BH796" s="173"/>
      <c r="BI796" s="173"/>
      <c r="BJ796" s="173"/>
      <c r="BK796" s="173"/>
      <c r="BL796" s="173"/>
      <c r="BM796" s="173"/>
      <c r="BN796" s="173"/>
      <c r="BO796" s="173"/>
      <c r="BP796" s="173"/>
      <c r="BQ796" s="173"/>
      <c r="BR796" s="173"/>
      <c r="BS796" s="173"/>
      <c r="BT796" s="173"/>
      <c r="BU796" s="173"/>
      <c r="BV796" s="173"/>
      <c r="BW796" s="173"/>
      <c r="BX796" s="173"/>
      <c r="BY796" s="173"/>
    </row>
    <row r="797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  <c r="AQ797" s="173"/>
      <c r="AR797" s="173"/>
      <c r="AS797" s="173"/>
      <c r="AT797" s="173"/>
      <c r="AU797" s="173"/>
      <c r="AV797" s="173"/>
      <c r="AW797" s="173"/>
      <c r="AX797" s="173"/>
      <c r="AY797" s="173"/>
      <c r="AZ797" s="173"/>
      <c r="BA797" s="173"/>
      <c r="BB797" s="173"/>
      <c r="BC797" s="173"/>
      <c r="BD797" s="173"/>
      <c r="BE797" s="173"/>
      <c r="BF797" s="173"/>
      <c r="BG797" s="173"/>
      <c r="BH797" s="173"/>
      <c r="BI797" s="173"/>
      <c r="BJ797" s="173"/>
      <c r="BK797" s="173"/>
      <c r="BL797" s="173"/>
      <c r="BM797" s="173"/>
      <c r="BN797" s="173"/>
      <c r="BO797" s="173"/>
      <c r="BP797" s="173"/>
      <c r="BQ797" s="173"/>
      <c r="BR797" s="173"/>
      <c r="BS797" s="173"/>
      <c r="BT797" s="173"/>
      <c r="BU797" s="173"/>
      <c r="BV797" s="173"/>
      <c r="BW797" s="173"/>
      <c r="BX797" s="173"/>
      <c r="BY797" s="173"/>
    </row>
    <row r="798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  <c r="AQ798" s="173"/>
      <c r="AR798" s="173"/>
      <c r="AS798" s="173"/>
      <c r="AT798" s="173"/>
      <c r="AU798" s="173"/>
      <c r="AV798" s="173"/>
      <c r="AW798" s="173"/>
      <c r="AX798" s="173"/>
      <c r="AY798" s="173"/>
      <c r="AZ798" s="173"/>
      <c r="BA798" s="173"/>
      <c r="BB798" s="173"/>
      <c r="BC798" s="173"/>
      <c r="BD798" s="173"/>
      <c r="BE798" s="173"/>
      <c r="BF798" s="173"/>
      <c r="BG798" s="173"/>
      <c r="BH798" s="173"/>
      <c r="BI798" s="173"/>
      <c r="BJ798" s="173"/>
      <c r="BK798" s="173"/>
      <c r="BL798" s="173"/>
      <c r="BM798" s="173"/>
      <c r="BN798" s="173"/>
      <c r="BO798" s="173"/>
      <c r="BP798" s="173"/>
      <c r="BQ798" s="173"/>
      <c r="BR798" s="173"/>
      <c r="BS798" s="173"/>
      <c r="BT798" s="173"/>
      <c r="BU798" s="173"/>
      <c r="BV798" s="173"/>
      <c r="BW798" s="173"/>
      <c r="BX798" s="173"/>
      <c r="BY798" s="173"/>
    </row>
    <row r="799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  <c r="AQ799" s="173"/>
      <c r="AR799" s="173"/>
      <c r="AS799" s="173"/>
      <c r="AT799" s="173"/>
      <c r="AU799" s="173"/>
      <c r="AV799" s="173"/>
      <c r="AW799" s="173"/>
      <c r="AX799" s="173"/>
      <c r="AY799" s="173"/>
      <c r="AZ799" s="173"/>
      <c r="BA799" s="173"/>
      <c r="BB799" s="173"/>
      <c r="BC799" s="173"/>
      <c r="BD799" s="173"/>
      <c r="BE799" s="173"/>
      <c r="BF799" s="173"/>
      <c r="BG799" s="173"/>
      <c r="BH799" s="173"/>
      <c r="BI799" s="173"/>
      <c r="BJ799" s="173"/>
      <c r="BK799" s="173"/>
      <c r="BL799" s="173"/>
      <c r="BM799" s="173"/>
      <c r="BN799" s="173"/>
      <c r="BO799" s="173"/>
      <c r="BP799" s="173"/>
      <c r="BQ799" s="173"/>
      <c r="BR799" s="173"/>
      <c r="BS799" s="173"/>
      <c r="BT799" s="173"/>
      <c r="BU799" s="173"/>
      <c r="BV799" s="173"/>
      <c r="BW799" s="173"/>
      <c r="BX799" s="173"/>
      <c r="BY799" s="173"/>
    </row>
    <row r="800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3"/>
      <c r="AM800" s="173"/>
      <c r="AN800" s="173"/>
      <c r="AO800" s="173"/>
      <c r="AP800" s="173"/>
      <c r="AQ800" s="173"/>
      <c r="AR800" s="173"/>
      <c r="AS800" s="173"/>
      <c r="AT800" s="173"/>
      <c r="AU800" s="173"/>
      <c r="AV800" s="173"/>
      <c r="AW800" s="173"/>
      <c r="AX800" s="173"/>
      <c r="AY800" s="173"/>
      <c r="AZ800" s="173"/>
      <c r="BA800" s="173"/>
      <c r="BB800" s="173"/>
      <c r="BC800" s="173"/>
      <c r="BD800" s="173"/>
      <c r="BE800" s="173"/>
      <c r="BF800" s="173"/>
      <c r="BG800" s="173"/>
      <c r="BH800" s="173"/>
      <c r="BI800" s="173"/>
      <c r="BJ800" s="173"/>
      <c r="BK800" s="173"/>
      <c r="BL800" s="173"/>
      <c r="BM800" s="173"/>
      <c r="BN800" s="173"/>
      <c r="BO800" s="173"/>
      <c r="BP800" s="173"/>
      <c r="BQ800" s="173"/>
      <c r="BR800" s="173"/>
      <c r="BS800" s="173"/>
      <c r="BT800" s="173"/>
      <c r="BU800" s="173"/>
      <c r="BV800" s="173"/>
      <c r="BW800" s="173"/>
      <c r="BX800" s="173"/>
      <c r="BY800" s="173"/>
    </row>
    <row r="80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3"/>
      <c r="AM801" s="173"/>
      <c r="AN801" s="173"/>
      <c r="AO801" s="173"/>
      <c r="AP801" s="173"/>
      <c r="AQ801" s="173"/>
      <c r="AR801" s="173"/>
      <c r="AS801" s="173"/>
      <c r="AT801" s="173"/>
      <c r="AU801" s="173"/>
      <c r="AV801" s="173"/>
      <c r="AW801" s="173"/>
      <c r="AX801" s="173"/>
      <c r="AY801" s="173"/>
      <c r="AZ801" s="173"/>
      <c r="BA801" s="173"/>
      <c r="BB801" s="173"/>
      <c r="BC801" s="173"/>
      <c r="BD801" s="173"/>
      <c r="BE801" s="173"/>
      <c r="BF801" s="173"/>
      <c r="BG801" s="173"/>
      <c r="BH801" s="173"/>
      <c r="BI801" s="173"/>
      <c r="BJ801" s="173"/>
      <c r="BK801" s="173"/>
      <c r="BL801" s="173"/>
      <c r="BM801" s="173"/>
      <c r="BN801" s="173"/>
      <c r="BO801" s="173"/>
      <c r="BP801" s="173"/>
      <c r="BQ801" s="173"/>
      <c r="BR801" s="173"/>
      <c r="BS801" s="173"/>
      <c r="BT801" s="173"/>
      <c r="BU801" s="173"/>
      <c r="BV801" s="173"/>
      <c r="BW801" s="173"/>
      <c r="BX801" s="173"/>
      <c r="BY801" s="173"/>
    </row>
    <row r="802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  <c r="AD802" s="173"/>
      <c r="AE802" s="173"/>
      <c r="AF802" s="173"/>
      <c r="AG802" s="173"/>
      <c r="AH802" s="173"/>
      <c r="AI802" s="173"/>
      <c r="AJ802" s="173"/>
      <c r="AK802" s="173"/>
      <c r="AL802" s="173"/>
      <c r="AM802" s="173"/>
      <c r="AN802" s="173"/>
      <c r="AO802" s="173"/>
      <c r="AP802" s="173"/>
      <c r="AQ802" s="173"/>
      <c r="AR802" s="173"/>
      <c r="AS802" s="173"/>
      <c r="AT802" s="173"/>
      <c r="AU802" s="173"/>
      <c r="AV802" s="173"/>
      <c r="AW802" s="173"/>
      <c r="AX802" s="173"/>
      <c r="AY802" s="173"/>
      <c r="AZ802" s="173"/>
      <c r="BA802" s="173"/>
      <c r="BB802" s="173"/>
      <c r="BC802" s="173"/>
      <c r="BD802" s="173"/>
      <c r="BE802" s="173"/>
      <c r="BF802" s="173"/>
      <c r="BG802" s="173"/>
      <c r="BH802" s="173"/>
      <c r="BI802" s="173"/>
      <c r="BJ802" s="173"/>
      <c r="BK802" s="173"/>
      <c r="BL802" s="173"/>
      <c r="BM802" s="173"/>
      <c r="BN802" s="173"/>
      <c r="BO802" s="173"/>
      <c r="BP802" s="173"/>
      <c r="BQ802" s="173"/>
      <c r="BR802" s="173"/>
      <c r="BS802" s="173"/>
      <c r="BT802" s="173"/>
      <c r="BU802" s="173"/>
      <c r="BV802" s="173"/>
      <c r="BW802" s="173"/>
      <c r="BX802" s="173"/>
      <c r="BY802" s="173"/>
    </row>
    <row r="803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  <c r="AD803" s="173"/>
      <c r="AE803" s="173"/>
      <c r="AF803" s="173"/>
      <c r="AG803" s="173"/>
      <c r="AH803" s="173"/>
      <c r="AI803" s="173"/>
      <c r="AJ803" s="173"/>
      <c r="AK803" s="173"/>
      <c r="AL803" s="173"/>
      <c r="AM803" s="173"/>
      <c r="AN803" s="173"/>
      <c r="AO803" s="173"/>
      <c r="AP803" s="173"/>
      <c r="AQ803" s="173"/>
      <c r="AR803" s="173"/>
      <c r="AS803" s="173"/>
      <c r="AT803" s="173"/>
      <c r="AU803" s="173"/>
      <c r="AV803" s="173"/>
      <c r="AW803" s="173"/>
      <c r="AX803" s="173"/>
      <c r="AY803" s="173"/>
      <c r="AZ803" s="173"/>
      <c r="BA803" s="173"/>
      <c r="BB803" s="173"/>
      <c r="BC803" s="173"/>
      <c r="BD803" s="173"/>
      <c r="BE803" s="173"/>
      <c r="BF803" s="173"/>
      <c r="BG803" s="173"/>
      <c r="BH803" s="173"/>
      <c r="BI803" s="173"/>
      <c r="BJ803" s="173"/>
      <c r="BK803" s="173"/>
      <c r="BL803" s="173"/>
      <c r="BM803" s="173"/>
      <c r="BN803" s="173"/>
      <c r="BO803" s="173"/>
      <c r="BP803" s="173"/>
      <c r="BQ803" s="173"/>
      <c r="BR803" s="173"/>
      <c r="BS803" s="173"/>
      <c r="BT803" s="173"/>
      <c r="BU803" s="173"/>
      <c r="BV803" s="173"/>
      <c r="BW803" s="173"/>
      <c r="BX803" s="173"/>
      <c r="BY803" s="173"/>
    </row>
    <row r="804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3"/>
      <c r="AM804" s="173"/>
      <c r="AN804" s="173"/>
      <c r="AO804" s="173"/>
      <c r="AP804" s="173"/>
      <c r="AQ804" s="173"/>
      <c r="AR804" s="173"/>
      <c r="AS804" s="173"/>
      <c r="AT804" s="173"/>
      <c r="AU804" s="173"/>
      <c r="AV804" s="173"/>
      <c r="AW804" s="173"/>
      <c r="AX804" s="173"/>
      <c r="AY804" s="173"/>
      <c r="AZ804" s="173"/>
      <c r="BA804" s="173"/>
      <c r="BB804" s="173"/>
      <c r="BC804" s="173"/>
      <c r="BD804" s="173"/>
      <c r="BE804" s="173"/>
      <c r="BF804" s="173"/>
      <c r="BG804" s="173"/>
      <c r="BH804" s="173"/>
      <c r="BI804" s="173"/>
      <c r="BJ804" s="173"/>
      <c r="BK804" s="173"/>
      <c r="BL804" s="173"/>
      <c r="BM804" s="173"/>
      <c r="BN804" s="173"/>
      <c r="BO804" s="173"/>
      <c r="BP804" s="173"/>
      <c r="BQ804" s="173"/>
      <c r="BR804" s="173"/>
      <c r="BS804" s="173"/>
      <c r="BT804" s="173"/>
      <c r="BU804" s="173"/>
      <c r="BV804" s="173"/>
      <c r="BW804" s="173"/>
      <c r="BX804" s="173"/>
      <c r="BY804" s="173"/>
    </row>
    <row r="805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  <c r="AD805" s="173"/>
      <c r="AE805" s="173"/>
      <c r="AF805" s="173"/>
      <c r="AG805" s="173"/>
      <c r="AH805" s="173"/>
      <c r="AI805" s="173"/>
      <c r="AJ805" s="173"/>
      <c r="AK805" s="173"/>
      <c r="AL805" s="173"/>
      <c r="AM805" s="173"/>
      <c r="AN805" s="173"/>
      <c r="AO805" s="173"/>
      <c r="AP805" s="173"/>
      <c r="AQ805" s="173"/>
      <c r="AR805" s="173"/>
      <c r="AS805" s="173"/>
      <c r="AT805" s="173"/>
      <c r="AU805" s="173"/>
      <c r="AV805" s="173"/>
      <c r="AW805" s="173"/>
      <c r="AX805" s="173"/>
      <c r="AY805" s="173"/>
      <c r="AZ805" s="173"/>
      <c r="BA805" s="173"/>
      <c r="BB805" s="173"/>
      <c r="BC805" s="173"/>
      <c r="BD805" s="173"/>
      <c r="BE805" s="173"/>
      <c r="BF805" s="173"/>
      <c r="BG805" s="173"/>
      <c r="BH805" s="173"/>
      <c r="BI805" s="173"/>
      <c r="BJ805" s="173"/>
      <c r="BK805" s="173"/>
      <c r="BL805" s="173"/>
      <c r="BM805" s="173"/>
      <c r="BN805" s="173"/>
      <c r="BO805" s="173"/>
      <c r="BP805" s="173"/>
      <c r="BQ805" s="173"/>
      <c r="BR805" s="173"/>
      <c r="BS805" s="173"/>
      <c r="BT805" s="173"/>
      <c r="BU805" s="173"/>
      <c r="BV805" s="173"/>
      <c r="BW805" s="173"/>
      <c r="BX805" s="173"/>
      <c r="BY805" s="173"/>
    </row>
    <row r="806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3"/>
      <c r="AM806" s="173"/>
      <c r="AN806" s="173"/>
      <c r="AO806" s="173"/>
      <c r="AP806" s="173"/>
      <c r="AQ806" s="173"/>
      <c r="AR806" s="173"/>
      <c r="AS806" s="173"/>
      <c r="AT806" s="173"/>
      <c r="AU806" s="173"/>
      <c r="AV806" s="173"/>
      <c r="AW806" s="173"/>
      <c r="AX806" s="173"/>
      <c r="AY806" s="173"/>
      <c r="AZ806" s="173"/>
      <c r="BA806" s="173"/>
      <c r="BB806" s="173"/>
      <c r="BC806" s="173"/>
      <c r="BD806" s="173"/>
      <c r="BE806" s="173"/>
      <c r="BF806" s="173"/>
      <c r="BG806" s="173"/>
      <c r="BH806" s="173"/>
      <c r="BI806" s="173"/>
      <c r="BJ806" s="173"/>
      <c r="BK806" s="173"/>
      <c r="BL806" s="173"/>
      <c r="BM806" s="173"/>
      <c r="BN806" s="173"/>
      <c r="BO806" s="173"/>
      <c r="BP806" s="173"/>
      <c r="BQ806" s="173"/>
      <c r="BR806" s="173"/>
      <c r="BS806" s="173"/>
      <c r="BT806" s="173"/>
      <c r="BU806" s="173"/>
      <c r="BV806" s="173"/>
      <c r="BW806" s="173"/>
      <c r="BX806" s="173"/>
      <c r="BY806" s="173"/>
    </row>
    <row r="807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  <c r="AD807" s="173"/>
      <c r="AE807" s="173"/>
      <c r="AF807" s="173"/>
      <c r="AG807" s="173"/>
      <c r="AH807" s="173"/>
      <c r="AI807" s="173"/>
      <c r="AJ807" s="173"/>
      <c r="AK807" s="173"/>
      <c r="AL807" s="173"/>
      <c r="AM807" s="173"/>
      <c r="AN807" s="173"/>
      <c r="AO807" s="173"/>
      <c r="AP807" s="173"/>
      <c r="AQ807" s="173"/>
      <c r="AR807" s="173"/>
      <c r="AS807" s="173"/>
      <c r="AT807" s="173"/>
      <c r="AU807" s="173"/>
      <c r="AV807" s="173"/>
      <c r="AW807" s="173"/>
      <c r="AX807" s="173"/>
      <c r="AY807" s="173"/>
      <c r="AZ807" s="173"/>
      <c r="BA807" s="173"/>
      <c r="BB807" s="173"/>
      <c r="BC807" s="173"/>
      <c r="BD807" s="173"/>
      <c r="BE807" s="173"/>
      <c r="BF807" s="173"/>
      <c r="BG807" s="173"/>
      <c r="BH807" s="173"/>
      <c r="BI807" s="173"/>
      <c r="BJ807" s="173"/>
      <c r="BK807" s="173"/>
      <c r="BL807" s="173"/>
      <c r="BM807" s="173"/>
      <c r="BN807" s="173"/>
      <c r="BO807" s="173"/>
      <c r="BP807" s="173"/>
      <c r="BQ807" s="173"/>
      <c r="BR807" s="173"/>
      <c r="BS807" s="173"/>
      <c r="BT807" s="173"/>
      <c r="BU807" s="173"/>
      <c r="BV807" s="173"/>
      <c r="BW807" s="173"/>
      <c r="BX807" s="173"/>
      <c r="BY807" s="173"/>
    </row>
    <row r="808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3"/>
      <c r="AM808" s="173"/>
      <c r="AN808" s="173"/>
      <c r="AO808" s="173"/>
      <c r="AP808" s="173"/>
      <c r="AQ808" s="173"/>
      <c r="AR808" s="173"/>
      <c r="AS808" s="173"/>
      <c r="AT808" s="173"/>
      <c r="AU808" s="173"/>
      <c r="AV808" s="173"/>
      <c r="AW808" s="173"/>
      <c r="AX808" s="173"/>
      <c r="AY808" s="173"/>
      <c r="AZ808" s="173"/>
      <c r="BA808" s="173"/>
      <c r="BB808" s="173"/>
      <c r="BC808" s="173"/>
      <c r="BD808" s="173"/>
      <c r="BE808" s="173"/>
      <c r="BF808" s="173"/>
      <c r="BG808" s="173"/>
      <c r="BH808" s="173"/>
      <c r="BI808" s="173"/>
      <c r="BJ808" s="173"/>
      <c r="BK808" s="173"/>
      <c r="BL808" s="173"/>
      <c r="BM808" s="173"/>
      <c r="BN808" s="173"/>
      <c r="BO808" s="173"/>
      <c r="BP808" s="173"/>
      <c r="BQ808" s="173"/>
      <c r="BR808" s="173"/>
      <c r="BS808" s="173"/>
      <c r="BT808" s="173"/>
      <c r="BU808" s="173"/>
      <c r="BV808" s="173"/>
      <c r="BW808" s="173"/>
      <c r="BX808" s="173"/>
      <c r="BY808" s="173"/>
    </row>
    <row r="809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  <c r="AD809" s="173"/>
      <c r="AE809" s="173"/>
      <c r="AF809" s="173"/>
      <c r="AG809" s="173"/>
      <c r="AH809" s="173"/>
      <c r="AI809" s="173"/>
      <c r="AJ809" s="173"/>
      <c r="AK809" s="173"/>
      <c r="AL809" s="173"/>
      <c r="AM809" s="173"/>
      <c r="AN809" s="173"/>
      <c r="AO809" s="173"/>
      <c r="AP809" s="173"/>
      <c r="AQ809" s="173"/>
      <c r="AR809" s="173"/>
      <c r="AS809" s="173"/>
      <c r="AT809" s="173"/>
      <c r="AU809" s="173"/>
      <c r="AV809" s="173"/>
      <c r="AW809" s="173"/>
      <c r="AX809" s="173"/>
      <c r="AY809" s="173"/>
      <c r="AZ809" s="173"/>
      <c r="BA809" s="173"/>
      <c r="BB809" s="173"/>
      <c r="BC809" s="173"/>
      <c r="BD809" s="173"/>
      <c r="BE809" s="173"/>
      <c r="BF809" s="173"/>
      <c r="BG809" s="173"/>
      <c r="BH809" s="173"/>
      <c r="BI809" s="173"/>
      <c r="BJ809" s="173"/>
      <c r="BK809" s="173"/>
      <c r="BL809" s="173"/>
      <c r="BM809" s="173"/>
      <c r="BN809" s="173"/>
      <c r="BO809" s="173"/>
      <c r="BP809" s="173"/>
      <c r="BQ809" s="173"/>
      <c r="BR809" s="173"/>
      <c r="BS809" s="173"/>
      <c r="BT809" s="173"/>
      <c r="BU809" s="173"/>
      <c r="BV809" s="173"/>
      <c r="BW809" s="173"/>
      <c r="BX809" s="173"/>
      <c r="BY809" s="173"/>
    </row>
    <row r="810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  <c r="AD810" s="173"/>
      <c r="AE810" s="173"/>
      <c r="AF810" s="173"/>
      <c r="AG810" s="173"/>
      <c r="AH810" s="173"/>
      <c r="AI810" s="173"/>
      <c r="AJ810" s="173"/>
      <c r="AK810" s="173"/>
      <c r="AL810" s="173"/>
      <c r="AM810" s="173"/>
      <c r="AN810" s="173"/>
      <c r="AO810" s="173"/>
      <c r="AP810" s="173"/>
      <c r="AQ810" s="173"/>
      <c r="AR810" s="173"/>
      <c r="AS810" s="173"/>
      <c r="AT810" s="173"/>
      <c r="AU810" s="173"/>
      <c r="AV810" s="173"/>
      <c r="AW810" s="173"/>
      <c r="AX810" s="173"/>
      <c r="AY810" s="173"/>
      <c r="AZ810" s="173"/>
      <c r="BA810" s="173"/>
      <c r="BB810" s="173"/>
      <c r="BC810" s="173"/>
      <c r="BD810" s="173"/>
      <c r="BE810" s="173"/>
      <c r="BF810" s="173"/>
      <c r="BG810" s="173"/>
      <c r="BH810" s="173"/>
      <c r="BI810" s="173"/>
      <c r="BJ810" s="173"/>
      <c r="BK810" s="173"/>
      <c r="BL810" s="173"/>
      <c r="BM810" s="173"/>
      <c r="BN810" s="173"/>
      <c r="BO810" s="173"/>
      <c r="BP810" s="173"/>
      <c r="BQ810" s="173"/>
      <c r="BR810" s="173"/>
      <c r="BS810" s="173"/>
      <c r="BT810" s="173"/>
      <c r="BU810" s="173"/>
      <c r="BV810" s="173"/>
      <c r="BW810" s="173"/>
      <c r="BX810" s="173"/>
      <c r="BY810" s="173"/>
    </row>
    <row r="81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  <c r="AD811" s="173"/>
      <c r="AE811" s="173"/>
      <c r="AF811" s="173"/>
      <c r="AG811" s="173"/>
      <c r="AH811" s="173"/>
      <c r="AI811" s="173"/>
      <c r="AJ811" s="173"/>
      <c r="AK811" s="173"/>
      <c r="AL811" s="173"/>
      <c r="AM811" s="173"/>
      <c r="AN811" s="173"/>
      <c r="AO811" s="173"/>
      <c r="AP811" s="173"/>
      <c r="AQ811" s="173"/>
      <c r="AR811" s="173"/>
      <c r="AS811" s="173"/>
      <c r="AT811" s="173"/>
      <c r="AU811" s="173"/>
      <c r="AV811" s="173"/>
      <c r="AW811" s="173"/>
      <c r="AX811" s="173"/>
      <c r="AY811" s="173"/>
      <c r="AZ811" s="173"/>
      <c r="BA811" s="173"/>
      <c r="BB811" s="173"/>
      <c r="BC811" s="173"/>
      <c r="BD811" s="173"/>
      <c r="BE811" s="173"/>
      <c r="BF811" s="173"/>
      <c r="BG811" s="173"/>
      <c r="BH811" s="173"/>
      <c r="BI811" s="173"/>
      <c r="BJ811" s="173"/>
      <c r="BK811" s="173"/>
      <c r="BL811" s="173"/>
      <c r="BM811" s="173"/>
      <c r="BN811" s="173"/>
      <c r="BO811" s="173"/>
      <c r="BP811" s="173"/>
      <c r="BQ811" s="173"/>
      <c r="BR811" s="173"/>
      <c r="BS811" s="173"/>
      <c r="BT811" s="173"/>
      <c r="BU811" s="173"/>
      <c r="BV811" s="173"/>
      <c r="BW811" s="173"/>
      <c r="BX811" s="173"/>
      <c r="BY811" s="173"/>
    </row>
    <row r="812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  <c r="AD812" s="173"/>
      <c r="AE812" s="173"/>
      <c r="AF812" s="173"/>
      <c r="AG812" s="173"/>
      <c r="AH812" s="173"/>
      <c r="AI812" s="173"/>
      <c r="AJ812" s="173"/>
      <c r="AK812" s="173"/>
      <c r="AL812" s="173"/>
      <c r="AM812" s="173"/>
      <c r="AN812" s="173"/>
      <c r="AO812" s="173"/>
      <c r="AP812" s="173"/>
      <c r="AQ812" s="173"/>
      <c r="AR812" s="173"/>
      <c r="AS812" s="173"/>
      <c r="AT812" s="173"/>
      <c r="AU812" s="173"/>
      <c r="AV812" s="173"/>
      <c r="AW812" s="173"/>
      <c r="AX812" s="173"/>
      <c r="AY812" s="173"/>
      <c r="AZ812" s="173"/>
      <c r="BA812" s="173"/>
      <c r="BB812" s="173"/>
      <c r="BC812" s="173"/>
      <c r="BD812" s="173"/>
      <c r="BE812" s="173"/>
      <c r="BF812" s="173"/>
      <c r="BG812" s="173"/>
      <c r="BH812" s="173"/>
      <c r="BI812" s="173"/>
      <c r="BJ812" s="173"/>
      <c r="BK812" s="173"/>
      <c r="BL812" s="173"/>
      <c r="BM812" s="173"/>
      <c r="BN812" s="173"/>
      <c r="BO812" s="173"/>
      <c r="BP812" s="173"/>
      <c r="BQ812" s="173"/>
      <c r="BR812" s="173"/>
      <c r="BS812" s="173"/>
      <c r="BT812" s="173"/>
      <c r="BU812" s="173"/>
      <c r="BV812" s="173"/>
      <c r="BW812" s="173"/>
      <c r="BX812" s="173"/>
      <c r="BY812" s="173"/>
    </row>
    <row r="813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  <c r="AD813" s="173"/>
      <c r="AE813" s="173"/>
      <c r="AF813" s="173"/>
      <c r="AG813" s="173"/>
      <c r="AH813" s="173"/>
      <c r="AI813" s="173"/>
      <c r="AJ813" s="173"/>
      <c r="AK813" s="173"/>
      <c r="AL813" s="173"/>
      <c r="AM813" s="173"/>
      <c r="AN813" s="173"/>
      <c r="AO813" s="173"/>
      <c r="AP813" s="173"/>
      <c r="AQ813" s="173"/>
      <c r="AR813" s="173"/>
      <c r="AS813" s="173"/>
      <c r="AT813" s="173"/>
      <c r="AU813" s="173"/>
      <c r="AV813" s="173"/>
      <c r="AW813" s="173"/>
      <c r="AX813" s="173"/>
      <c r="AY813" s="173"/>
      <c r="AZ813" s="173"/>
      <c r="BA813" s="173"/>
      <c r="BB813" s="173"/>
      <c r="BC813" s="173"/>
      <c r="BD813" s="173"/>
      <c r="BE813" s="173"/>
      <c r="BF813" s="173"/>
      <c r="BG813" s="173"/>
      <c r="BH813" s="173"/>
      <c r="BI813" s="173"/>
      <c r="BJ813" s="173"/>
      <c r="BK813" s="173"/>
      <c r="BL813" s="173"/>
      <c r="BM813" s="173"/>
      <c r="BN813" s="173"/>
      <c r="BO813" s="173"/>
      <c r="BP813" s="173"/>
      <c r="BQ813" s="173"/>
      <c r="BR813" s="173"/>
      <c r="BS813" s="173"/>
      <c r="BT813" s="173"/>
      <c r="BU813" s="173"/>
      <c r="BV813" s="173"/>
      <c r="BW813" s="173"/>
      <c r="BX813" s="173"/>
      <c r="BY813" s="173"/>
    </row>
    <row r="814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  <c r="AD814" s="173"/>
      <c r="AE814" s="173"/>
      <c r="AF814" s="173"/>
      <c r="AG814" s="173"/>
      <c r="AH814" s="173"/>
      <c r="AI814" s="173"/>
      <c r="AJ814" s="173"/>
      <c r="AK814" s="173"/>
      <c r="AL814" s="173"/>
      <c r="AM814" s="173"/>
      <c r="AN814" s="173"/>
      <c r="AO814" s="173"/>
      <c r="AP814" s="173"/>
      <c r="AQ814" s="173"/>
      <c r="AR814" s="173"/>
      <c r="AS814" s="173"/>
      <c r="AT814" s="173"/>
      <c r="AU814" s="173"/>
      <c r="AV814" s="173"/>
      <c r="AW814" s="173"/>
      <c r="AX814" s="173"/>
      <c r="AY814" s="173"/>
      <c r="AZ814" s="173"/>
      <c r="BA814" s="173"/>
      <c r="BB814" s="173"/>
      <c r="BC814" s="173"/>
      <c r="BD814" s="173"/>
      <c r="BE814" s="173"/>
      <c r="BF814" s="173"/>
      <c r="BG814" s="173"/>
      <c r="BH814" s="173"/>
      <c r="BI814" s="173"/>
      <c r="BJ814" s="173"/>
      <c r="BK814" s="173"/>
      <c r="BL814" s="173"/>
      <c r="BM814" s="173"/>
      <c r="BN814" s="173"/>
      <c r="BO814" s="173"/>
      <c r="BP814" s="173"/>
      <c r="BQ814" s="173"/>
      <c r="BR814" s="173"/>
      <c r="BS814" s="173"/>
      <c r="BT814" s="173"/>
      <c r="BU814" s="173"/>
      <c r="BV814" s="173"/>
      <c r="BW814" s="173"/>
      <c r="BX814" s="173"/>
      <c r="BY814" s="173"/>
    </row>
    <row r="815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  <c r="AD815" s="173"/>
      <c r="AE815" s="173"/>
      <c r="AF815" s="173"/>
      <c r="AG815" s="173"/>
      <c r="AH815" s="173"/>
      <c r="AI815" s="173"/>
      <c r="AJ815" s="173"/>
      <c r="AK815" s="173"/>
      <c r="AL815" s="173"/>
      <c r="AM815" s="173"/>
      <c r="AN815" s="173"/>
      <c r="AO815" s="173"/>
      <c r="AP815" s="173"/>
      <c r="AQ815" s="173"/>
      <c r="AR815" s="173"/>
      <c r="AS815" s="173"/>
      <c r="AT815" s="173"/>
      <c r="AU815" s="173"/>
      <c r="AV815" s="173"/>
      <c r="AW815" s="173"/>
      <c r="AX815" s="173"/>
      <c r="AY815" s="173"/>
      <c r="AZ815" s="173"/>
      <c r="BA815" s="173"/>
      <c r="BB815" s="173"/>
      <c r="BC815" s="173"/>
      <c r="BD815" s="173"/>
      <c r="BE815" s="173"/>
      <c r="BF815" s="173"/>
      <c r="BG815" s="173"/>
      <c r="BH815" s="173"/>
      <c r="BI815" s="173"/>
      <c r="BJ815" s="173"/>
      <c r="BK815" s="173"/>
      <c r="BL815" s="173"/>
      <c r="BM815" s="173"/>
      <c r="BN815" s="173"/>
      <c r="BO815" s="173"/>
      <c r="BP815" s="173"/>
      <c r="BQ815" s="173"/>
      <c r="BR815" s="173"/>
      <c r="BS815" s="173"/>
      <c r="BT815" s="173"/>
      <c r="BU815" s="173"/>
      <c r="BV815" s="173"/>
      <c r="BW815" s="173"/>
      <c r="BX815" s="173"/>
      <c r="BY815" s="173"/>
    </row>
    <row r="816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  <c r="AD816" s="173"/>
      <c r="AE816" s="173"/>
      <c r="AF816" s="173"/>
      <c r="AG816" s="173"/>
      <c r="AH816" s="173"/>
      <c r="AI816" s="173"/>
      <c r="AJ816" s="173"/>
      <c r="AK816" s="173"/>
      <c r="AL816" s="173"/>
      <c r="AM816" s="173"/>
      <c r="AN816" s="173"/>
      <c r="AO816" s="173"/>
      <c r="AP816" s="173"/>
      <c r="AQ816" s="173"/>
      <c r="AR816" s="173"/>
      <c r="AS816" s="173"/>
      <c r="AT816" s="173"/>
      <c r="AU816" s="173"/>
      <c r="AV816" s="173"/>
      <c r="AW816" s="173"/>
      <c r="AX816" s="173"/>
      <c r="AY816" s="173"/>
      <c r="AZ816" s="173"/>
      <c r="BA816" s="173"/>
      <c r="BB816" s="173"/>
      <c r="BC816" s="173"/>
      <c r="BD816" s="173"/>
      <c r="BE816" s="173"/>
      <c r="BF816" s="173"/>
      <c r="BG816" s="173"/>
      <c r="BH816" s="173"/>
      <c r="BI816" s="173"/>
      <c r="BJ816" s="173"/>
      <c r="BK816" s="173"/>
      <c r="BL816" s="173"/>
      <c r="BM816" s="173"/>
      <c r="BN816" s="173"/>
      <c r="BO816" s="173"/>
      <c r="BP816" s="173"/>
      <c r="BQ816" s="173"/>
      <c r="BR816" s="173"/>
      <c r="BS816" s="173"/>
      <c r="BT816" s="173"/>
      <c r="BU816" s="173"/>
      <c r="BV816" s="173"/>
      <c r="BW816" s="173"/>
      <c r="BX816" s="173"/>
      <c r="BY816" s="173"/>
    </row>
    <row r="817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  <c r="AD817" s="173"/>
      <c r="AE817" s="173"/>
      <c r="AF817" s="173"/>
      <c r="AG817" s="173"/>
      <c r="AH817" s="173"/>
      <c r="AI817" s="173"/>
      <c r="AJ817" s="173"/>
      <c r="AK817" s="173"/>
      <c r="AL817" s="173"/>
      <c r="AM817" s="173"/>
      <c r="AN817" s="173"/>
      <c r="AO817" s="173"/>
      <c r="AP817" s="173"/>
      <c r="AQ817" s="173"/>
      <c r="AR817" s="173"/>
      <c r="AS817" s="173"/>
      <c r="AT817" s="173"/>
      <c r="AU817" s="173"/>
      <c r="AV817" s="173"/>
      <c r="AW817" s="173"/>
      <c r="AX817" s="173"/>
      <c r="AY817" s="173"/>
      <c r="AZ817" s="173"/>
      <c r="BA817" s="173"/>
      <c r="BB817" s="173"/>
      <c r="BC817" s="173"/>
      <c r="BD817" s="173"/>
      <c r="BE817" s="173"/>
      <c r="BF817" s="173"/>
      <c r="BG817" s="173"/>
      <c r="BH817" s="173"/>
      <c r="BI817" s="173"/>
      <c r="BJ817" s="173"/>
      <c r="BK817" s="173"/>
      <c r="BL817" s="173"/>
      <c r="BM817" s="173"/>
      <c r="BN817" s="173"/>
      <c r="BO817" s="173"/>
      <c r="BP817" s="173"/>
      <c r="BQ817" s="173"/>
      <c r="BR817" s="173"/>
      <c r="BS817" s="173"/>
      <c r="BT817" s="173"/>
      <c r="BU817" s="173"/>
      <c r="BV817" s="173"/>
      <c r="BW817" s="173"/>
      <c r="BX817" s="173"/>
      <c r="BY817" s="173"/>
    </row>
    <row r="818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  <c r="AD818" s="173"/>
      <c r="AE818" s="173"/>
      <c r="AF818" s="173"/>
      <c r="AG818" s="173"/>
      <c r="AH818" s="173"/>
      <c r="AI818" s="173"/>
      <c r="AJ818" s="173"/>
      <c r="AK818" s="173"/>
      <c r="AL818" s="173"/>
      <c r="AM818" s="173"/>
      <c r="AN818" s="173"/>
      <c r="AO818" s="173"/>
      <c r="AP818" s="173"/>
      <c r="AQ818" s="173"/>
      <c r="AR818" s="173"/>
      <c r="AS818" s="173"/>
      <c r="AT818" s="173"/>
      <c r="AU818" s="173"/>
      <c r="AV818" s="173"/>
      <c r="AW818" s="173"/>
      <c r="AX818" s="173"/>
      <c r="AY818" s="173"/>
      <c r="AZ818" s="173"/>
      <c r="BA818" s="173"/>
      <c r="BB818" s="173"/>
      <c r="BC818" s="173"/>
      <c r="BD818" s="173"/>
      <c r="BE818" s="173"/>
      <c r="BF818" s="173"/>
      <c r="BG818" s="173"/>
      <c r="BH818" s="173"/>
      <c r="BI818" s="173"/>
      <c r="BJ818" s="173"/>
      <c r="BK818" s="173"/>
      <c r="BL818" s="173"/>
      <c r="BM818" s="173"/>
      <c r="BN818" s="173"/>
      <c r="BO818" s="173"/>
      <c r="BP818" s="173"/>
      <c r="BQ818" s="173"/>
      <c r="BR818" s="173"/>
      <c r="BS818" s="173"/>
      <c r="BT818" s="173"/>
      <c r="BU818" s="173"/>
      <c r="BV818" s="173"/>
      <c r="BW818" s="173"/>
      <c r="BX818" s="173"/>
      <c r="BY818" s="173"/>
    </row>
    <row r="819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  <c r="AD819" s="173"/>
      <c r="AE819" s="173"/>
      <c r="AF819" s="173"/>
      <c r="AG819" s="173"/>
      <c r="AH819" s="173"/>
      <c r="AI819" s="173"/>
      <c r="AJ819" s="173"/>
      <c r="AK819" s="173"/>
      <c r="AL819" s="173"/>
      <c r="AM819" s="173"/>
      <c r="AN819" s="173"/>
      <c r="AO819" s="173"/>
      <c r="AP819" s="173"/>
      <c r="AQ819" s="173"/>
      <c r="AR819" s="173"/>
      <c r="AS819" s="173"/>
      <c r="AT819" s="173"/>
      <c r="AU819" s="173"/>
      <c r="AV819" s="173"/>
      <c r="AW819" s="173"/>
      <c r="AX819" s="173"/>
      <c r="AY819" s="173"/>
      <c r="AZ819" s="173"/>
      <c r="BA819" s="173"/>
      <c r="BB819" s="173"/>
      <c r="BC819" s="173"/>
      <c r="BD819" s="173"/>
      <c r="BE819" s="173"/>
      <c r="BF819" s="173"/>
      <c r="BG819" s="173"/>
      <c r="BH819" s="173"/>
      <c r="BI819" s="173"/>
      <c r="BJ819" s="173"/>
      <c r="BK819" s="173"/>
      <c r="BL819" s="173"/>
      <c r="BM819" s="173"/>
      <c r="BN819" s="173"/>
      <c r="BO819" s="173"/>
      <c r="BP819" s="173"/>
      <c r="BQ819" s="173"/>
      <c r="BR819" s="173"/>
      <c r="BS819" s="173"/>
      <c r="BT819" s="173"/>
      <c r="BU819" s="173"/>
      <c r="BV819" s="173"/>
      <c r="BW819" s="173"/>
      <c r="BX819" s="173"/>
      <c r="BY819" s="173"/>
    </row>
    <row r="820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  <c r="AD820" s="173"/>
      <c r="AE820" s="173"/>
      <c r="AF820" s="173"/>
      <c r="AG820" s="173"/>
      <c r="AH820" s="173"/>
      <c r="AI820" s="173"/>
      <c r="AJ820" s="173"/>
      <c r="AK820" s="173"/>
      <c r="AL820" s="173"/>
      <c r="AM820" s="173"/>
      <c r="AN820" s="173"/>
      <c r="AO820" s="173"/>
      <c r="AP820" s="173"/>
      <c r="AQ820" s="173"/>
      <c r="AR820" s="173"/>
      <c r="AS820" s="173"/>
      <c r="AT820" s="173"/>
      <c r="AU820" s="173"/>
      <c r="AV820" s="173"/>
      <c r="AW820" s="173"/>
      <c r="AX820" s="173"/>
      <c r="AY820" s="173"/>
      <c r="AZ820" s="173"/>
      <c r="BA820" s="173"/>
      <c r="BB820" s="173"/>
      <c r="BC820" s="173"/>
      <c r="BD820" s="173"/>
      <c r="BE820" s="173"/>
      <c r="BF820" s="173"/>
      <c r="BG820" s="173"/>
      <c r="BH820" s="173"/>
      <c r="BI820" s="173"/>
      <c r="BJ820" s="173"/>
      <c r="BK820" s="173"/>
      <c r="BL820" s="173"/>
      <c r="BM820" s="173"/>
      <c r="BN820" s="173"/>
      <c r="BO820" s="173"/>
      <c r="BP820" s="173"/>
      <c r="BQ820" s="173"/>
      <c r="BR820" s="173"/>
      <c r="BS820" s="173"/>
      <c r="BT820" s="173"/>
      <c r="BU820" s="173"/>
      <c r="BV820" s="173"/>
      <c r="BW820" s="173"/>
      <c r="BX820" s="173"/>
      <c r="BY820" s="173"/>
    </row>
    <row r="82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  <c r="AD821" s="173"/>
      <c r="AE821" s="173"/>
      <c r="AF821" s="173"/>
      <c r="AG821" s="173"/>
      <c r="AH821" s="173"/>
      <c r="AI821" s="173"/>
      <c r="AJ821" s="173"/>
      <c r="AK821" s="173"/>
      <c r="AL821" s="173"/>
      <c r="AM821" s="173"/>
      <c r="AN821" s="173"/>
      <c r="AO821" s="173"/>
      <c r="AP821" s="173"/>
      <c r="AQ821" s="173"/>
      <c r="AR821" s="173"/>
      <c r="AS821" s="173"/>
      <c r="AT821" s="173"/>
      <c r="AU821" s="173"/>
      <c r="AV821" s="173"/>
      <c r="AW821" s="173"/>
      <c r="AX821" s="173"/>
      <c r="AY821" s="173"/>
      <c r="AZ821" s="173"/>
      <c r="BA821" s="173"/>
      <c r="BB821" s="173"/>
      <c r="BC821" s="173"/>
      <c r="BD821" s="173"/>
      <c r="BE821" s="173"/>
      <c r="BF821" s="173"/>
      <c r="BG821" s="173"/>
      <c r="BH821" s="173"/>
      <c r="BI821" s="173"/>
      <c r="BJ821" s="173"/>
      <c r="BK821" s="173"/>
      <c r="BL821" s="173"/>
      <c r="BM821" s="173"/>
      <c r="BN821" s="173"/>
      <c r="BO821" s="173"/>
      <c r="BP821" s="173"/>
      <c r="BQ821" s="173"/>
      <c r="BR821" s="173"/>
      <c r="BS821" s="173"/>
      <c r="BT821" s="173"/>
      <c r="BU821" s="173"/>
      <c r="BV821" s="173"/>
      <c r="BW821" s="173"/>
      <c r="BX821" s="173"/>
      <c r="BY821" s="173"/>
    </row>
    <row r="822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  <c r="AD822" s="173"/>
      <c r="AE822" s="173"/>
      <c r="AF822" s="173"/>
      <c r="AG822" s="173"/>
      <c r="AH822" s="173"/>
      <c r="AI822" s="173"/>
      <c r="AJ822" s="173"/>
      <c r="AK822" s="173"/>
      <c r="AL822" s="173"/>
      <c r="AM822" s="173"/>
      <c r="AN822" s="173"/>
      <c r="AO822" s="173"/>
      <c r="AP822" s="173"/>
      <c r="AQ822" s="173"/>
      <c r="AR822" s="173"/>
      <c r="AS822" s="173"/>
      <c r="AT822" s="173"/>
      <c r="AU822" s="173"/>
      <c r="AV822" s="173"/>
      <c r="AW822" s="173"/>
      <c r="AX822" s="173"/>
      <c r="AY822" s="173"/>
      <c r="AZ822" s="173"/>
      <c r="BA822" s="173"/>
      <c r="BB822" s="173"/>
      <c r="BC822" s="173"/>
      <c r="BD822" s="173"/>
      <c r="BE822" s="173"/>
      <c r="BF822" s="173"/>
      <c r="BG822" s="173"/>
      <c r="BH822" s="173"/>
      <c r="BI822" s="173"/>
      <c r="BJ822" s="173"/>
      <c r="BK822" s="173"/>
      <c r="BL822" s="173"/>
      <c r="BM822" s="173"/>
      <c r="BN822" s="173"/>
      <c r="BO822" s="173"/>
      <c r="BP822" s="173"/>
      <c r="BQ822" s="173"/>
      <c r="BR822" s="173"/>
      <c r="BS822" s="173"/>
      <c r="BT822" s="173"/>
      <c r="BU822" s="173"/>
      <c r="BV822" s="173"/>
      <c r="BW822" s="173"/>
      <c r="BX822" s="173"/>
      <c r="BY822" s="173"/>
    </row>
    <row r="823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  <c r="AD823" s="173"/>
      <c r="AE823" s="173"/>
      <c r="AF823" s="173"/>
      <c r="AG823" s="173"/>
      <c r="AH823" s="173"/>
      <c r="AI823" s="173"/>
      <c r="AJ823" s="173"/>
      <c r="AK823" s="173"/>
      <c r="AL823" s="173"/>
      <c r="AM823" s="173"/>
      <c r="AN823" s="173"/>
      <c r="AO823" s="173"/>
      <c r="AP823" s="173"/>
      <c r="AQ823" s="173"/>
      <c r="AR823" s="173"/>
      <c r="AS823" s="173"/>
      <c r="AT823" s="173"/>
      <c r="AU823" s="173"/>
      <c r="AV823" s="173"/>
      <c r="AW823" s="173"/>
      <c r="AX823" s="173"/>
      <c r="AY823" s="173"/>
      <c r="AZ823" s="173"/>
      <c r="BA823" s="173"/>
      <c r="BB823" s="173"/>
      <c r="BC823" s="173"/>
      <c r="BD823" s="173"/>
      <c r="BE823" s="173"/>
      <c r="BF823" s="173"/>
      <c r="BG823" s="173"/>
      <c r="BH823" s="173"/>
      <c r="BI823" s="173"/>
      <c r="BJ823" s="173"/>
      <c r="BK823" s="173"/>
      <c r="BL823" s="173"/>
      <c r="BM823" s="173"/>
      <c r="BN823" s="173"/>
      <c r="BO823" s="173"/>
      <c r="BP823" s="173"/>
      <c r="BQ823" s="173"/>
      <c r="BR823" s="173"/>
      <c r="BS823" s="173"/>
      <c r="BT823" s="173"/>
      <c r="BU823" s="173"/>
      <c r="BV823" s="173"/>
      <c r="BW823" s="173"/>
      <c r="BX823" s="173"/>
      <c r="BY823" s="173"/>
    </row>
    <row r="824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  <c r="AD824" s="173"/>
      <c r="AE824" s="173"/>
      <c r="AF824" s="173"/>
      <c r="AG824" s="173"/>
      <c r="AH824" s="173"/>
      <c r="AI824" s="173"/>
      <c r="AJ824" s="173"/>
      <c r="AK824" s="173"/>
      <c r="AL824" s="173"/>
      <c r="AM824" s="173"/>
      <c r="AN824" s="173"/>
      <c r="AO824" s="173"/>
      <c r="AP824" s="173"/>
      <c r="AQ824" s="173"/>
      <c r="AR824" s="173"/>
      <c r="AS824" s="173"/>
      <c r="AT824" s="173"/>
      <c r="AU824" s="173"/>
      <c r="AV824" s="173"/>
      <c r="AW824" s="173"/>
      <c r="AX824" s="173"/>
      <c r="AY824" s="173"/>
      <c r="AZ824" s="173"/>
      <c r="BA824" s="173"/>
      <c r="BB824" s="173"/>
      <c r="BC824" s="173"/>
      <c r="BD824" s="173"/>
      <c r="BE824" s="173"/>
      <c r="BF824" s="173"/>
      <c r="BG824" s="173"/>
      <c r="BH824" s="173"/>
      <c r="BI824" s="173"/>
      <c r="BJ824" s="173"/>
      <c r="BK824" s="173"/>
      <c r="BL824" s="173"/>
      <c r="BM824" s="173"/>
      <c r="BN824" s="173"/>
      <c r="BO824" s="173"/>
      <c r="BP824" s="173"/>
      <c r="BQ824" s="173"/>
      <c r="BR824" s="173"/>
      <c r="BS824" s="173"/>
      <c r="BT824" s="173"/>
      <c r="BU824" s="173"/>
      <c r="BV824" s="173"/>
      <c r="BW824" s="173"/>
      <c r="BX824" s="173"/>
      <c r="BY824" s="173"/>
    </row>
    <row r="825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  <c r="AD825" s="173"/>
      <c r="AE825" s="173"/>
      <c r="AF825" s="173"/>
      <c r="AG825" s="173"/>
      <c r="AH825" s="173"/>
      <c r="AI825" s="173"/>
      <c r="AJ825" s="173"/>
      <c r="AK825" s="173"/>
      <c r="AL825" s="173"/>
      <c r="AM825" s="173"/>
      <c r="AN825" s="173"/>
      <c r="AO825" s="173"/>
      <c r="AP825" s="173"/>
      <c r="AQ825" s="173"/>
      <c r="AR825" s="173"/>
      <c r="AS825" s="173"/>
      <c r="AT825" s="173"/>
      <c r="AU825" s="173"/>
      <c r="AV825" s="173"/>
      <c r="AW825" s="173"/>
      <c r="AX825" s="173"/>
      <c r="AY825" s="173"/>
      <c r="AZ825" s="173"/>
      <c r="BA825" s="173"/>
      <c r="BB825" s="173"/>
      <c r="BC825" s="173"/>
      <c r="BD825" s="173"/>
      <c r="BE825" s="173"/>
      <c r="BF825" s="173"/>
      <c r="BG825" s="173"/>
      <c r="BH825" s="173"/>
      <c r="BI825" s="173"/>
      <c r="BJ825" s="173"/>
      <c r="BK825" s="173"/>
      <c r="BL825" s="173"/>
      <c r="BM825" s="173"/>
      <c r="BN825" s="173"/>
      <c r="BO825" s="173"/>
      <c r="BP825" s="173"/>
      <c r="BQ825" s="173"/>
      <c r="BR825" s="173"/>
      <c r="BS825" s="173"/>
      <c r="BT825" s="173"/>
      <c r="BU825" s="173"/>
      <c r="BV825" s="173"/>
      <c r="BW825" s="173"/>
      <c r="BX825" s="173"/>
      <c r="BY825" s="173"/>
    </row>
    <row r="826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  <c r="AD826" s="173"/>
      <c r="AE826" s="173"/>
      <c r="AF826" s="173"/>
      <c r="AG826" s="173"/>
      <c r="AH826" s="173"/>
      <c r="AI826" s="173"/>
      <c r="AJ826" s="173"/>
      <c r="AK826" s="173"/>
      <c r="AL826" s="173"/>
      <c r="AM826" s="173"/>
      <c r="AN826" s="173"/>
      <c r="AO826" s="173"/>
      <c r="AP826" s="173"/>
      <c r="AQ826" s="173"/>
      <c r="AR826" s="173"/>
      <c r="AS826" s="173"/>
      <c r="AT826" s="173"/>
      <c r="AU826" s="173"/>
      <c r="AV826" s="173"/>
      <c r="AW826" s="173"/>
      <c r="AX826" s="173"/>
      <c r="AY826" s="173"/>
      <c r="AZ826" s="173"/>
      <c r="BA826" s="173"/>
      <c r="BB826" s="173"/>
      <c r="BC826" s="173"/>
      <c r="BD826" s="173"/>
      <c r="BE826" s="173"/>
      <c r="BF826" s="173"/>
      <c r="BG826" s="173"/>
      <c r="BH826" s="173"/>
      <c r="BI826" s="173"/>
      <c r="BJ826" s="173"/>
      <c r="BK826" s="173"/>
      <c r="BL826" s="173"/>
      <c r="BM826" s="173"/>
      <c r="BN826" s="173"/>
      <c r="BO826" s="173"/>
      <c r="BP826" s="173"/>
      <c r="BQ826" s="173"/>
      <c r="BR826" s="173"/>
      <c r="BS826" s="173"/>
      <c r="BT826" s="173"/>
      <c r="BU826" s="173"/>
      <c r="BV826" s="173"/>
      <c r="BW826" s="173"/>
      <c r="BX826" s="173"/>
      <c r="BY826" s="173"/>
    </row>
    <row r="827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  <c r="AD827" s="173"/>
      <c r="AE827" s="173"/>
      <c r="AF827" s="173"/>
      <c r="AG827" s="173"/>
      <c r="AH827" s="173"/>
      <c r="AI827" s="173"/>
      <c r="AJ827" s="173"/>
      <c r="AK827" s="173"/>
      <c r="AL827" s="173"/>
      <c r="AM827" s="173"/>
      <c r="AN827" s="173"/>
      <c r="AO827" s="173"/>
      <c r="AP827" s="173"/>
      <c r="AQ827" s="173"/>
      <c r="AR827" s="173"/>
      <c r="AS827" s="173"/>
      <c r="AT827" s="173"/>
      <c r="AU827" s="173"/>
      <c r="AV827" s="173"/>
      <c r="AW827" s="173"/>
      <c r="AX827" s="173"/>
      <c r="AY827" s="173"/>
      <c r="AZ827" s="173"/>
      <c r="BA827" s="173"/>
      <c r="BB827" s="173"/>
      <c r="BC827" s="173"/>
      <c r="BD827" s="173"/>
      <c r="BE827" s="173"/>
      <c r="BF827" s="173"/>
      <c r="BG827" s="173"/>
      <c r="BH827" s="173"/>
      <c r="BI827" s="173"/>
      <c r="BJ827" s="173"/>
      <c r="BK827" s="173"/>
      <c r="BL827" s="173"/>
      <c r="BM827" s="173"/>
      <c r="BN827" s="173"/>
      <c r="BO827" s="173"/>
      <c r="BP827" s="173"/>
      <c r="BQ827" s="173"/>
      <c r="BR827" s="173"/>
      <c r="BS827" s="173"/>
      <c r="BT827" s="173"/>
      <c r="BU827" s="173"/>
      <c r="BV827" s="173"/>
      <c r="BW827" s="173"/>
      <c r="BX827" s="173"/>
      <c r="BY827" s="173"/>
    </row>
    <row r="828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  <c r="AD828" s="173"/>
      <c r="AE828" s="173"/>
      <c r="AF828" s="173"/>
      <c r="AG828" s="173"/>
      <c r="AH828" s="173"/>
      <c r="AI828" s="173"/>
      <c r="AJ828" s="173"/>
      <c r="AK828" s="173"/>
      <c r="AL828" s="173"/>
      <c r="AM828" s="173"/>
      <c r="AN828" s="173"/>
      <c r="AO828" s="173"/>
      <c r="AP828" s="173"/>
      <c r="AQ828" s="173"/>
      <c r="AR828" s="173"/>
      <c r="AS828" s="173"/>
      <c r="AT828" s="173"/>
      <c r="AU828" s="173"/>
      <c r="AV828" s="173"/>
      <c r="AW828" s="173"/>
      <c r="AX828" s="173"/>
      <c r="AY828" s="173"/>
      <c r="AZ828" s="173"/>
      <c r="BA828" s="173"/>
      <c r="BB828" s="173"/>
      <c r="BC828" s="173"/>
      <c r="BD828" s="173"/>
      <c r="BE828" s="173"/>
      <c r="BF828" s="173"/>
      <c r="BG828" s="173"/>
      <c r="BH828" s="173"/>
      <c r="BI828" s="173"/>
      <c r="BJ828" s="173"/>
      <c r="BK828" s="173"/>
      <c r="BL828" s="173"/>
      <c r="BM828" s="173"/>
      <c r="BN828" s="173"/>
      <c r="BO828" s="173"/>
      <c r="BP828" s="173"/>
      <c r="BQ828" s="173"/>
      <c r="BR828" s="173"/>
      <c r="BS828" s="173"/>
      <c r="BT828" s="173"/>
      <c r="BU828" s="173"/>
      <c r="BV828" s="173"/>
      <c r="BW828" s="173"/>
      <c r="BX828" s="173"/>
      <c r="BY828" s="173"/>
    </row>
    <row r="829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  <c r="AD829" s="173"/>
      <c r="AE829" s="173"/>
      <c r="AF829" s="173"/>
      <c r="AG829" s="173"/>
      <c r="AH829" s="173"/>
      <c r="AI829" s="173"/>
      <c r="AJ829" s="173"/>
      <c r="AK829" s="173"/>
      <c r="AL829" s="173"/>
      <c r="AM829" s="173"/>
      <c r="AN829" s="173"/>
      <c r="AO829" s="173"/>
      <c r="AP829" s="173"/>
      <c r="AQ829" s="173"/>
      <c r="AR829" s="173"/>
      <c r="AS829" s="173"/>
      <c r="AT829" s="173"/>
      <c r="AU829" s="173"/>
      <c r="AV829" s="173"/>
      <c r="AW829" s="173"/>
      <c r="AX829" s="173"/>
      <c r="AY829" s="173"/>
      <c r="AZ829" s="173"/>
      <c r="BA829" s="173"/>
      <c r="BB829" s="173"/>
      <c r="BC829" s="173"/>
      <c r="BD829" s="173"/>
      <c r="BE829" s="173"/>
      <c r="BF829" s="173"/>
      <c r="BG829" s="173"/>
      <c r="BH829" s="173"/>
      <c r="BI829" s="173"/>
      <c r="BJ829" s="173"/>
      <c r="BK829" s="173"/>
      <c r="BL829" s="173"/>
      <c r="BM829" s="173"/>
      <c r="BN829" s="173"/>
      <c r="BO829" s="173"/>
      <c r="BP829" s="173"/>
      <c r="BQ829" s="173"/>
      <c r="BR829" s="173"/>
      <c r="BS829" s="173"/>
      <c r="BT829" s="173"/>
      <c r="BU829" s="173"/>
      <c r="BV829" s="173"/>
      <c r="BW829" s="173"/>
      <c r="BX829" s="173"/>
      <c r="BY829" s="173"/>
    </row>
    <row r="830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  <c r="AD830" s="173"/>
      <c r="AE830" s="173"/>
      <c r="AF830" s="173"/>
      <c r="AG830" s="173"/>
      <c r="AH830" s="173"/>
      <c r="AI830" s="173"/>
      <c r="AJ830" s="173"/>
      <c r="AK830" s="173"/>
      <c r="AL830" s="173"/>
      <c r="AM830" s="173"/>
      <c r="AN830" s="173"/>
      <c r="AO830" s="173"/>
      <c r="AP830" s="173"/>
      <c r="AQ830" s="173"/>
      <c r="AR830" s="173"/>
      <c r="AS830" s="173"/>
      <c r="AT830" s="173"/>
      <c r="AU830" s="173"/>
      <c r="AV830" s="173"/>
      <c r="AW830" s="173"/>
      <c r="AX830" s="173"/>
      <c r="AY830" s="173"/>
      <c r="AZ830" s="173"/>
      <c r="BA830" s="173"/>
      <c r="BB830" s="173"/>
      <c r="BC830" s="173"/>
      <c r="BD830" s="173"/>
      <c r="BE830" s="173"/>
      <c r="BF830" s="173"/>
      <c r="BG830" s="173"/>
      <c r="BH830" s="173"/>
      <c r="BI830" s="173"/>
      <c r="BJ830" s="173"/>
      <c r="BK830" s="173"/>
      <c r="BL830" s="173"/>
      <c r="BM830" s="173"/>
      <c r="BN830" s="173"/>
      <c r="BO830" s="173"/>
      <c r="BP830" s="173"/>
      <c r="BQ830" s="173"/>
      <c r="BR830" s="173"/>
      <c r="BS830" s="173"/>
      <c r="BT830" s="173"/>
      <c r="BU830" s="173"/>
      <c r="BV830" s="173"/>
      <c r="BW830" s="173"/>
      <c r="BX830" s="173"/>
      <c r="BY830" s="173"/>
    </row>
    <row r="83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  <c r="AD831" s="173"/>
      <c r="AE831" s="173"/>
      <c r="AF831" s="173"/>
      <c r="AG831" s="173"/>
      <c r="AH831" s="173"/>
      <c r="AI831" s="173"/>
      <c r="AJ831" s="173"/>
      <c r="AK831" s="173"/>
      <c r="AL831" s="173"/>
      <c r="AM831" s="173"/>
      <c r="AN831" s="173"/>
      <c r="AO831" s="173"/>
      <c r="AP831" s="173"/>
      <c r="AQ831" s="173"/>
      <c r="AR831" s="173"/>
      <c r="AS831" s="173"/>
      <c r="AT831" s="173"/>
      <c r="AU831" s="173"/>
      <c r="AV831" s="173"/>
      <c r="AW831" s="173"/>
      <c r="AX831" s="173"/>
      <c r="AY831" s="173"/>
      <c r="AZ831" s="173"/>
      <c r="BA831" s="173"/>
      <c r="BB831" s="173"/>
      <c r="BC831" s="173"/>
      <c r="BD831" s="173"/>
      <c r="BE831" s="173"/>
      <c r="BF831" s="173"/>
      <c r="BG831" s="173"/>
      <c r="BH831" s="173"/>
      <c r="BI831" s="173"/>
      <c r="BJ831" s="173"/>
      <c r="BK831" s="173"/>
      <c r="BL831" s="173"/>
      <c r="BM831" s="173"/>
      <c r="BN831" s="173"/>
      <c r="BO831" s="173"/>
      <c r="BP831" s="173"/>
      <c r="BQ831" s="173"/>
      <c r="BR831" s="173"/>
      <c r="BS831" s="173"/>
      <c r="BT831" s="173"/>
      <c r="BU831" s="173"/>
      <c r="BV831" s="173"/>
      <c r="BW831" s="173"/>
      <c r="BX831" s="173"/>
      <c r="BY831" s="173"/>
    </row>
    <row r="832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  <c r="AD832" s="173"/>
      <c r="AE832" s="173"/>
      <c r="AF832" s="173"/>
      <c r="AG832" s="173"/>
      <c r="AH832" s="173"/>
      <c r="AI832" s="173"/>
      <c r="AJ832" s="173"/>
      <c r="AK832" s="173"/>
      <c r="AL832" s="173"/>
      <c r="AM832" s="173"/>
      <c r="AN832" s="173"/>
      <c r="AO832" s="173"/>
      <c r="AP832" s="173"/>
      <c r="AQ832" s="173"/>
      <c r="AR832" s="173"/>
      <c r="AS832" s="173"/>
      <c r="AT832" s="173"/>
      <c r="AU832" s="173"/>
      <c r="AV832" s="173"/>
      <c r="AW832" s="173"/>
      <c r="AX832" s="173"/>
      <c r="AY832" s="173"/>
      <c r="AZ832" s="173"/>
      <c r="BA832" s="173"/>
      <c r="BB832" s="173"/>
      <c r="BC832" s="173"/>
      <c r="BD832" s="173"/>
      <c r="BE832" s="173"/>
      <c r="BF832" s="173"/>
      <c r="BG832" s="173"/>
      <c r="BH832" s="173"/>
      <c r="BI832" s="173"/>
      <c r="BJ832" s="173"/>
      <c r="BK832" s="173"/>
      <c r="BL832" s="173"/>
      <c r="BM832" s="173"/>
      <c r="BN832" s="173"/>
      <c r="BO832" s="173"/>
      <c r="BP832" s="173"/>
      <c r="BQ832" s="173"/>
      <c r="BR832" s="173"/>
      <c r="BS832" s="173"/>
      <c r="BT832" s="173"/>
      <c r="BU832" s="173"/>
      <c r="BV832" s="173"/>
      <c r="BW832" s="173"/>
      <c r="BX832" s="173"/>
      <c r="BY832" s="173"/>
    </row>
    <row r="833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  <c r="AD833" s="173"/>
      <c r="AE833" s="173"/>
      <c r="AF833" s="173"/>
      <c r="AG833" s="173"/>
      <c r="AH833" s="173"/>
      <c r="AI833" s="173"/>
      <c r="AJ833" s="173"/>
      <c r="AK833" s="173"/>
      <c r="AL833" s="173"/>
      <c r="AM833" s="173"/>
      <c r="AN833" s="173"/>
      <c r="AO833" s="173"/>
      <c r="AP833" s="173"/>
      <c r="AQ833" s="173"/>
      <c r="AR833" s="173"/>
      <c r="AS833" s="173"/>
      <c r="AT833" s="173"/>
      <c r="AU833" s="173"/>
      <c r="AV833" s="173"/>
      <c r="AW833" s="173"/>
      <c r="AX833" s="173"/>
      <c r="AY833" s="173"/>
      <c r="AZ833" s="173"/>
      <c r="BA833" s="173"/>
      <c r="BB833" s="173"/>
      <c r="BC833" s="173"/>
      <c r="BD833" s="173"/>
      <c r="BE833" s="173"/>
      <c r="BF833" s="173"/>
      <c r="BG833" s="173"/>
      <c r="BH833" s="173"/>
      <c r="BI833" s="173"/>
      <c r="BJ833" s="173"/>
      <c r="BK833" s="173"/>
      <c r="BL833" s="173"/>
      <c r="BM833" s="173"/>
      <c r="BN833" s="173"/>
      <c r="BO833" s="173"/>
      <c r="BP833" s="173"/>
      <c r="BQ833" s="173"/>
      <c r="BR833" s="173"/>
      <c r="BS833" s="173"/>
      <c r="BT833" s="173"/>
      <c r="BU833" s="173"/>
      <c r="BV833" s="173"/>
      <c r="BW833" s="173"/>
      <c r="BX833" s="173"/>
      <c r="BY833" s="173"/>
    </row>
    <row r="834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  <c r="AD834" s="173"/>
      <c r="AE834" s="173"/>
      <c r="AF834" s="173"/>
      <c r="AG834" s="173"/>
      <c r="AH834" s="173"/>
      <c r="AI834" s="173"/>
      <c r="AJ834" s="173"/>
      <c r="AK834" s="173"/>
      <c r="AL834" s="173"/>
      <c r="AM834" s="173"/>
      <c r="AN834" s="173"/>
      <c r="AO834" s="173"/>
      <c r="AP834" s="173"/>
      <c r="AQ834" s="173"/>
      <c r="AR834" s="173"/>
      <c r="AS834" s="173"/>
      <c r="AT834" s="173"/>
      <c r="AU834" s="173"/>
      <c r="AV834" s="173"/>
      <c r="AW834" s="173"/>
      <c r="AX834" s="173"/>
      <c r="AY834" s="173"/>
      <c r="AZ834" s="173"/>
      <c r="BA834" s="173"/>
      <c r="BB834" s="173"/>
      <c r="BC834" s="173"/>
      <c r="BD834" s="173"/>
      <c r="BE834" s="173"/>
      <c r="BF834" s="173"/>
      <c r="BG834" s="173"/>
      <c r="BH834" s="173"/>
      <c r="BI834" s="173"/>
      <c r="BJ834" s="173"/>
      <c r="BK834" s="173"/>
      <c r="BL834" s="173"/>
      <c r="BM834" s="173"/>
      <c r="BN834" s="173"/>
      <c r="BO834" s="173"/>
      <c r="BP834" s="173"/>
      <c r="BQ834" s="173"/>
      <c r="BR834" s="173"/>
      <c r="BS834" s="173"/>
      <c r="BT834" s="173"/>
      <c r="BU834" s="173"/>
      <c r="BV834" s="173"/>
      <c r="BW834" s="173"/>
      <c r="BX834" s="173"/>
      <c r="BY834" s="173"/>
    </row>
    <row r="835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  <c r="AD835" s="173"/>
      <c r="AE835" s="173"/>
      <c r="AF835" s="173"/>
      <c r="AG835" s="173"/>
      <c r="AH835" s="173"/>
      <c r="AI835" s="173"/>
      <c r="AJ835" s="173"/>
      <c r="AK835" s="173"/>
      <c r="AL835" s="173"/>
      <c r="AM835" s="173"/>
      <c r="AN835" s="173"/>
      <c r="AO835" s="173"/>
      <c r="AP835" s="173"/>
      <c r="AQ835" s="173"/>
      <c r="AR835" s="173"/>
      <c r="AS835" s="173"/>
      <c r="AT835" s="173"/>
      <c r="AU835" s="173"/>
      <c r="AV835" s="173"/>
      <c r="AW835" s="173"/>
      <c r="AX835" s="173"/>
      <c r="AY835" s="173"/>
      <c r="AZ835" s="173"/>
      <c r="BA835" s="173"/>
      <c r="BB835" s="173"/>
      <c r="BC835" s="173"/>
      <c r="BD835" s="173"/>
      <c r="BE835" s="173"/>
      <c r="BF835" s="173"/>
      <c r="BG835" s="173"/>
      <c r="BH835" s="173"/>
      <c r="BI835" s="173"/>
      <c r="BJ835" s="173"/>
      <c r="BK835" s="173"/>
      <c r="BL835" s="173"/>
      <c r="BM835" s="173"/>
      <c r="BN835" s="173"/>
      <c r="BO835" s="173"/>
      <c r="BP835" s="173"/>
      <c r="BQ835" s="173"/>
      <c r="BR835" s="173"/>
      <c r="BS835" s="173"/>
      <c r="BT835" s="173"/>
      <c r="BU835" s="173"/>
      <c r="BV835" s="173"/>
      <c r="BW835" s="173"/>
      <c r="BX835" s="173"/>
      <c r="BY835" s="173"/>
    </row>
    <row r="836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  <c r="AD836" s="173"/>
      <c r="AE836" s="173"/>
      <c r="AF836" s="173"/>
      <c r="AG836" s="173"/>
      <c r="AH836" s="173"/>
      <c r="AI836" s="173"/>
      <c r="AJ836" s="173"/>
      <c r="AK836" s="173"/>
      <c r="AL836" s="173"/>
      <c r="AM836" s="173"/>
      <c r="AN836" s="173"/>
      <c r="AO836" s="173"/>
      <c r="AP836" s="173"/>
      <c r="AQ836" s="173"/>
      <c r="AR836" s="173"/>
      <c r="AS836" s="173"/>
      <c r="AT836" s="173"/>
      <c r="AU836" s="173"/>
      <c r="AV836" s="173"/>
      <c r="AW836" s="173"/>
      <c r="AX836" s="173"/>
      <c r="AY836" s="173"/>
      <c r="AZ836" s="173"/>
      <c r="BA836" s="173"/>
      <c r="BB836" s="173"/>
      <c r="BC836" s="173"/>
      <c r="BD836" s="173"/>
      <c r="BE836" s="173"/>
      <c r="BF836" s="173"/>
      <c r="BG836" s="173"/>
      <c r="BH836" s="173"/>
      <c r="BI836" s="173"/>
      <c r="BJ836" s="173"/>
      <c r="BK836" s="173"/>
      <c r="BL836" s="173"/>
      <c r="BM836" s="173"/>
      <c r="BN836" s="173"/>
      <c r="BO836" s="173"/>
      <c r="BP836" s="173"/>
      <c r="BQ836" s="173"/>
      <c r="BR836" s="173"/>
      <c r="BS836" s="173"/>
      <c r="BT836" s="173"/>
      <c r="BU836" s="173"/>
      <c r="BV836" s="173"/>
      <c r="BW836" s="173"/>
      <c r="BX836" s="173"/>
      <c r="BY836" s="173"/>
    </row>
    <row r="837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  <c r="AD837" s="173"/>
      <c r="AE837" s="173"/>
      <c r="AF837" s="173"/>
      <c r="AG837" s="173"/>
      <c r="AH837" s="173"/>
      <c r="AI837" s="173"/>
      <c r="AJ837" s="173"/>
      <c r="AK837" s="173"/>
      <c r="AL837" s="173"/>
      <c r="AM837" s="173"/>
      <c r="AN837" s="173"/>
      <c r="AO837" s="173"/>
      <c r="AP837" s="173"/>
      <c r="AQ837" s="173"/>
      <c r="AR837" s="173"/>
      <c r="AS837" s="173"/>
      <c r="AT837" s="173"/>
      <c r="AU837" s="173"/>
      <c r="AV837" s="173"/>
      <c r="AW837" s="173"/>
      <c r="AX837" s="173"/>
      <c r="AY837" s="173"/>
      <c r="AZ837" s="173"/>
      <c r="BA837" s="173"/>
      <c r="BB837" s="173"/>
      <c r="BC837" s="173"/>
      <c r="BD837" s="173"/>
      <c r="BE837" s="173"/>
      <c r="BF837" s="173"/>
      <c r="BG837" s="173"/>
      <c r="BH837" s="173"/>
      <c r="BI837" s="173"/>
      <c r="BJ837" s="173"/>
      <c r="BK837" s="173"/>
      <c r="BL837" s="173"/>
      <c r="BM837" s="173"/>
      <c r="BN837" s="173"/>
      <c r="BO837" s="173"/>
      <c r="BP837" s="173"/>
      <c r="BQ837" s="173"/>
      <c r="BR837" s="173"/>
      <c r="BS837" s="173"/>
      <c r="BT837" s="173"/>
      <c r="BU837" s="173"/>
      <c r="BV837" s="173"/>
      <c r="BW837" s="173"/>
      <c r="BX837" s="173"/>
      <c r="BY837" s="173"/>
    </row>
    <row r="838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  <c r="AD838" s="173"/>
      <c r="AE838" s="173"/>
      <c r="AF838" s="173"/>
      <c r="AG838" s="173"/>
      <c r="AH838" s="173"/>
      <c r="AI838" s="173"/>
      <c r="AJ838" s="173"/>
      <c r="AK838" s="173"/>
      <c r="AL838" s="173"/>
      <c r="AM838" s="173"/>
      <c r="AN838" s="173"/>
      <c r="AO838" s="173"/>
      <c r="AP838" s="173"/>
      <c r="AQ838" s="173"/>
      <c r="AR838" s="173"/>
      <c r="AS838" s="173"/>
      <c r="AT838" s="173"/>
      <c r="AU838" s="173"/>
      <c r="AV838" s="173"/>
      <c r="AW838" s="173"/>
      <c r="AX838" s="173"/>
      <c r="AY838" s="173"/>
      <c r="AZ838" s="173"/>
      <c r="BA838" s="173"/>
      <c r="BB838" s="173"/>
      <c r="BC838" s="173"/>
      <c r="BD838" s="173"/>
      <c r="BE838" s="173"/>
      <c r="BF838" s="173"/>
      <c r="BG838" s="173"/>
      <c r="BH838" s="173"/>
      <c r="BI838" s="173"/>
      <c r="BJ838" s="173"/>
      <c r="BK838" s="173"/>
      <c r="BL838" s="173"/>
      <c r="BM838" s="173"/>
      <c r="BN838" s="173"/>
      <c r="BO838" s="173"/>
      <c r="BP838" s="173"/>
      <c r="BQ838" s="173"/>
      <c r="BR838" s="173"/>
      <c r="BS838" s="173"/>
      <c r="BT838" s="173"/>
      <c r="BU838" s="173"/>
      <c r="BV838" s="173"/>
      <c r="BW838" s="173"/>
      <c r="BX838" s="173"/>
      <c r="BY838" s="173"/>
    </row>
    <row r="839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  <c r="AD839" s="173"/>
      <c r="AE839" s="173"/>
      <c r="AF839" s="173"/>
      <c r="AG839" s="173"/>
      <c r="AH839" s="173"/>
      <c r="AI839" s="173"/>
      <c r="AJ839" s="173"/>
      <c r="AK839" s="173"/>
      <c r="AL839" s="173"/>
      <c r="AM839" s="173"/>
      <c r="AN839" s="173"/>
      <c r="AO839" s="173"/>
      <c r="AP839" s="173"/>
      <c r="AQ839" s="173"/>
      <c r="AR839" s="173"/>
      <c r="AS839" s="173"/>
      <c r="AT839" s="173"/>
      <c r="AU839" s="173"/>
      <c r="AV839" s="173"/>
      <c r="AW839" s="173"/>
      <c r="AX839" s="173"/>
      <c r="AY839" s="173"/>
      <c r="AZ839" s="173"/>
      <c r="BA839" s="173"/>
      <c r="BB839" s="173"/>
      <c r="BC839" s="173"/>
      <c r="BD839" s="173"/>
      <c r="BE839" s="173"/>
      <c r="BF839" s="173"/>
      <c r="BG839" s="173"/>
      <c r="BH839" s="173"/>
      <c r="BI839" s="173"/>
      <c r="BJ839" s="173"/>
      <c r="BK839" s="173"/>
      <c r="BL839" s="173"/>
      <c r="BM839" s="173"/>
      <c r="BN839" s="173"/>
      <c r="BO839" s="173"/>
      <c r="BP839" s="173"/>
      <c r="BQ839" s="173"/>
      <c r="BR839" s="173"/>
      <c r="BS839" s="173"/>
      <c r="BT839" s="173"/>
      <c r="BU839" s="173"/>
      <c r="BV839" s="173"/>
      <c r="BW839" s="173"/>
      <c r="BX839" s="173"/>
      <c r="BY839" s="173"/>
    </row>
    <row r="840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  <c r="AD840" s="173"/>
      <c r="AE840" s="173"/>
      <c r="AF840" s="173"/>
      <c r="AG840" s="173"/>
      <c r="AH840" s="173"/>
      <c r="AI840" s="173"/>
      <c r="AJ840" s="173"/>
      <c r="AK840" s="173"/>
      <c r="AL840" s="173"/>
      <c r="AM840" s="173"/>
      <c r="AN840" s="173"/>
      <c r="AO840" s="173"/>
      <c r="AP840" s="173"/>
      <c r="AQ840" s="173"/>
      <c r="AR840" s="173"/>
      <c r="AS840" s="173"/>
      <c r="AT840" s="173"/>
      <c r="AU840" s="173"/>
      <c r="AV840" s="173"/>
      <c r="AW840" s="173"/>
      <c r="AX840" s="173"/>
      <c r="AY840" s="173"/>
      <c r="AZ840" s="173"/>
      <c r="BA840" s="173"/>
      <c r="BB840" s="173"/>
      <c r="BC840" s="173"/>
      <c r="BD840" s="173"/>
      <c r="BE840" s="173"/>
      <c r="BF840" s="173"/>
      <c r="BG840" s="173"/>
      <c r="BH840" s="173"/>
      <c r="BI840" s="173"/>
      <c r="BJ840" s="173"/>
      <c r="BK840" s="173"/>
      <c r="BL840" s="173"/>
      <c r="BM840" s="173"/>
      <c r="BN840" s="173"/>
      <c r="BO840" s="173"/>
      <c r="BP840" s="173"/>
      <c r="BQ840" s="173"/>
      <c r="BR840" s="173"/>
      <c r="BS840" s="173"/>
      <c r="BT840" s="173"/>
      <c r="BU840" s="173"/>
      <c r="BV840" s="173"/>
      <c r="BW840" s="173"/>
      <c r="BX840" s="173"/>
      <c r="BY840" s="173"/>
    </row>
    <row r="84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  <c r="AD841" s="173"/>
      <c r="AE841" s="173"/>
      <c r="AF841" s="173"/>
      <c r="AG841" s="173"/>
      <c r="AH841" s="173"/>
      <c r="AI841" s="173"/>
      <c r="AJ841" s="173"/>
      <c r="AK841" s="173"/>
      <c r="AL841" s="173"/>
      <c r="AM841" s="173"/>
      <c r="AN841" s="173"/>
      <c r="AO841" s="173"/>
      <c r="AP841" s="173"/>
      <c r="AQ841" s="173"/>
      <c r="AR841" s="173"/>
      <c r="AS841" s="173"/>
      <c r="AT841" s="173"/>
      <c r="AU841" s="173"/>
      <c r="AV841" s="173"/>
      <c r="AW841" s="173"/>
      <c r="AX841" s="173"/>
      <c r="AY841" s="173"/>
      <c r="AZ841" s="173"/>
      <c r="BA841" s="173"/>
      <c r="BB841" s="173"/>
      <c r="BC841" s="173"/>
      <c r="BD841" s="173"/>
      <c r="BE841" s="173"/>
      <c r="BF841" s="173"/>
      <c r="BG841" s="173"/>
      <c r="BH841" s="173"/>
      <c r="BI841" s="173"/>
      <c r="BJ841" s="173"/>
      <c r="BK841" s="173"/>
      <c r="BL841" s="173"/>
      <c r="BM841" s="173"/>
      <c r="BN841" s="173"/>
      <c r="BO841" s="173"/>
      <c r="BP841" s="173"/>
      <c r="BQ841" s="173"/>
      <c r="BR841" s="173"/>
      <c r="BS841" s="173"/>
      <c r="BT841" s="173"/>
      <c r="BU841" s="173"/>
      <c r="BV841" s="173"/>
      <c r="BW841" s="173"/>
      <c r="BX841" s="173"/>
      <c r="BY841" s="173"/>
    </row>
    <row r="842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  <c r="AD842" s="173"/>
      <c r="AE842" s="173"/>
      <c r="AF842" s="173"/>
      <c r="AG842" s="173"/>
      <c r="AH842" s="173"/>
      <c r="AI842" s="173"/>
      <c r="AJ842" s="173"/>
      <c r="AK842" s="173"/>
      <c r="AL842" s="173"/>
      <c r="AM842" s="173"/>
      <c r="AN842" s="173"/>
      <c r="AO842" s="173"/>
      <c r="AP842" s="173"/>
      <c r="AQ842" s="173"/>
      <c r="AR842" s="173"/>
      <c r="AS842" s="173"/>
      <c r="AT842" s="173"/>
      <c r="AU842" s="173"/>
      <c r="AV842" s="173"/>
      <c r="AW842" s="173"/>
      <c r="AX842" s="173"/>
      <c r="AY842" s="173"/>
      <c r="AZ842" s="173"/>
      <c r="BA842" s="173"/>
      <c r="BB842" s="173"/>
      <c r="BC842" s="173"/>
      <c r="BD842" s="173"/>
      <c r="BE842" s="173"/>
      <c r="BF842" s="173"/>
      <c r="BG842" s="173"/>
      <c r="BH842" s="173"/>
      <c r="BI842" s="173"/>
      <c r="BJ842" s="173"/>
      <c r="BK842" s="173"/>
      <c r="BL842" s="173"/>
      <c r="BM842" s="173"/>
      <c r="BN842" s="173"/>
      <c r="BO842" s="173"/>
      <c r="BP842" s="173"/>
      <c r="BQ842" s="173"/>
      <c r="BR842" s="173"/>
      <c r="BS842" s="173"/>
      <c r="BT842" s="173"/>
      <c r="BU842" s="173"/>
      <c r="BV842" s="173"/>
      <c r="BW842" s="173"/>
      <c r="BX842" s="173"/>
      <c r="BY842" s="173"/>
    </row>
    <row r="843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  <c r="AD843" s="173"/>
      <c r="AE843" s="173"/>
      <c r="AF843" s="173"/>
      <c r="AG843" s="173"/>
      <c r="AH843" s="173"/>
      <c r="AI843" s="173"/>
      <c r="AJ843" s="173"/>
      <c r="AK843" s="173"/>
      <c r="AL843" s="173"/>
      <c r="AM843" s="173"/>
      <c r="AN843" s="173"/>
      <c r="AO843" s="173"/>
      <c r="AP843" s="173"/>
      <c r="AQ843" s="173"/>
      <c r="AR843" s="173"/>
      <c r="AS843" s="173"/>
      <c r="AT843" s="173"/>
      <c r="AU843" s="173"/>
      <c r="AV843" s="173"/>
      <c r="AW843" s="173"/>
      <c r="AX843" s="173"/>
      <c r="AY843" s="173"/>
      <c r="AZ843" s="173"/>
      <c r="BA843" s="173"/>
      <c r="BB843" s="173"/>
      <c r="BC843" s="173"/>
      <c r="BD843" s="173"/>
      <c r="BE843" s="173"/>
      <c r="BF843" s="173"/>
      <c r="BG843" s="173"/>
      <c r="BH843" s="173"/>
      <c r="BI843" s="173"/>
      <c r="BJ843" s="173"/>
      <c r="BK843" s="173"/>
      <c r="BL843" s="173"/>
      <c r="BM843" s="173"/>
      <c r="BN843" s="173"/>
      <c r="BO843" s="173"/>
      <c r="BP843" s="173"/>
      <c r="BQ843" s="173"/>
      <c r="BR843" s="173"/>
      <c r="BS843" s="173"/>
      <c r="BT843" s="173"/>
      <c r="BU843" s="173"/>
      <c r="BV843" s="173"/>
      <c r="BW843" s="173"/>
      <c r="BX843" s="173"/>
      <c r="BY843" s="173"/>
    </row>
    <row r="844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  <c r="AD844" s="173"/>
      <c r="AE844" s="173"/>
      <c r="AF844" s="173"/>
      <c r="AG844" s="173"/>
      <c r="AH844" s="173"/>
      <c r="AI844" s="173"/>
      <c r="AJ844" s="173"/>
      <c r="AK844" s="173"/>
      <c r="AL844" s="173"/>
      <c r="AM844" s="173"/>
      <c r="AN844" s="173"/>
      <c r="AO844" s="173"/>
      <c r="AP844" s="173"/>
      <c r="AQ844" s="173"/>
      <c r="AR844" s="173"/>
      <c r="AS844" s="173"/>
      <c r="AT844" s="173"/>
      <c r="AU844" s="173"/>
      <c r="AV844" s="173"/>
      <c r="AW844" s="173"/>
      <c r="AX844" s="173"/>
      <c r="AY844" s="173"/>
      <c r="AZ844" s="173"/>
      <c r="BA844" s="173"/>
      <c r="BB844" s="173"/>
      <c r="BC844" s="173"/>
      <c r="BD844" s="173"/>
      <c r="BE844" s="173"/>
      <c r="BF844" s="173"/>
      <c r="BG844" s="173"/>
      <c r="BH844" s="173"/>
      <c r="BI844" s="173"/>
      <c r="BJ844" s="173"/>
      <c r="BK844" s="173"/>
      <c r="BL844" s="173"/>
      <c r="BM844" s="173"/>
      <c r="BN844" s="173"/>
      <c r="BO844" s="173"/>
      <c r="BP844" s="173"/>
      <c r="BQ844" s="173"/>
      <c r="BR844" s="173"/>
      <c r="BS844" s="173"/>
      <c r="BT844" s="173"/>
      <c r="BU844" s="173"/>
      <c r="BV844" s="173"/>
      <c r="BW844" s="173"/>
      <c r="BX844" s="173"/>
      <c r="BY844" s="173"/>
    </row>
    <row r="845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  <c r="AD845" s="173"/>
      <c r="AE845" s="173"/>
      <c r="AF845" s="173"/>
      <c r="AG845" s="173"/>
      <c r="AH845" s="173"/>
      <c r="AI845" s="173"/>
      <c r="AJ845" s="173"/>
      <c r="AK845" s="173"/>
      <c r="AL845" s="173"/>
      <c r="AM845" s="173"/>
      <c r="AN845" s="173"/>
      <c r="AO845" s="173"/>
      <c r="AP845" s="173"/>
      <c r="AQ845" s="173"/>
      <c r="AR845" s="173"/>
      <c r="AS845" s="173"/>
      <c r="AT845" s="173"/>
      <c r="AU845" s="173"/>
      <c r="AV845" s="173"/>
      <c r="AW845" s="173"/>
      <c r="AX845" s="173"/>
      <c r="AY845" s="173"/>
      <c r="AZ845" s="173"/>
      <c r="BA845" s="173"/>
      <c r="BB845" s="173"/>
      <c r="BC845" s="173"/>
      <c r="BD845" s="173"/>
      <c r="BE845" s="173"/>
      <c r="BF845" s="173"/>
      <c r="BG845" s="173"/>
      <c r="BH845" s="173"/>
      <c r="BI845" s="173"/>
      <c r="BJ845" s="173"/>
      <c r="BK845" s="173"/>
      <c r="BL845" s="173"/>
      <c r="BM845" s="173"/>
      <c r="BN845" s="173"/>
      <c r="BO845" s="173"/>
      <c r="BP845" s="173"/>
      <c r="BQ845" s="173"/>
      <c r="BR845" s="173"/>
      <c r="BS845" s="173"/>
      <c r="BT845" s="173"/>
      <c r="BU845" s="173"/>
      <c r="BV845" s="173"/>
      <c r="BW845" s="173"/>
      <c r="BX845" s="173"/>
      <c r="BY845" s="173"/>
    </row>
    <row r="846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  <c r="AD846" s="173"/>
      <c r="AE846" s="173"/>
      <c r="AF846" s="173"/>
      <c r="AG846" s="173"/>
      <c r="AH846" s="173"/>
      <c r="AI846" s="173"/>
      <c r="AJ846" s="173"/>
      <c r="AK846" s="173"/>
      <c r="AL846" s="173"/>
      <c r="AM846" s="173"/>
      <c r="AN846" s="173"/>
      <c r="AO846" s="173"/>
      <c r="AP846" s="173"/>
      <c r="AQ846" s="173"/>
      <c r="AR846" s="173"/>
      <c r="AS846" s="173"/>
      <c r="AT846" s="173"/>
      <c r="AU846" s="173"/>
      <c r="AV846" s="173"/>
      <c r="AW846" s="173"/>
      <c r="AX846" s="173"/>
      <c r="AY846" s="173"/>
      <c r="AZ846" s="173"/>
      <c r="BA846" s="173"/>
      <c r="BB846" s="173"/>
      <c r="BC846" s="173"/>
      <c r="BD846" s="173"/>
      <c r="BE846" s="173"/>
      <c r="BF846" s="173"/>
      <c r="BG846" s="173"/>
      <c r="BH846" s="173"/>
      <c r="BI846" s="173"/>
      <c r="BJ846" s="173"/>
      <c r="BK846" s="173"/>
      <c r="BL846" s="173"/>
      <c r="BM846" s="173"/>
      <c r="BN846" s="173"/>
      <c r="BO846" s="173"/>
      <c r="BP846" s="173"/>
      <c r="BQ846" s="173"/>
      <c r="BR846" s="173"/>
      <c r="BS846" s="173"/>
      <c r="BT846" s="173"/>
      <c r="BU846" s="173"/>
      <c r="BV846" s="173"/>
      <c r="BW846" s="173"/>
      <c r="BX846" s="173"/>
      <c r="BY846" s="173"/>
    </row>
    <row r="847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  <c r="AQ847" s="173"/>
      <c r="AR847" s="173"/>
      <c r="AS847" s="173"/>
      <c r="AT847" s="173"/>
      <c r="AU847" s="173"/>
      <c r="AV847" s="173"/>
      <c r="AW847" s="173"/>
      <c r="AX847" s="173"/>
      <c r="AY847" s="173"/>
      <c r="AZ847" s="173"/>
      <c r="BA847" s="173"/>
      <c r="BB847" s="173"/>
      <c r="BC847" s="173"/>
      <c r="BD847" s="173"/>
      <c r="BE847" s="173"/>
      <c r="BF847" s="173"/>
      <c r="BG847" s="173"/>
      <c r="BH847" s="173"/>
      <c r="BI847" s="173"/>
      <c r="BJ847" s="173"/>
      <c r="BK847" s="173"/>
      <c r="BL847" s="173"/>
      <c r="BM847" s="173"/>
      <c r="BN847" s="173"/>
      <c r="BO847" s="173"/>
      <c r="BP847" s="173"/>
      <c r="BQ847" s="173"/>
      <c r="BR847" s="173"/>
      <c r="BS847" s="173"/>
      <c r="BT847" s="173"/>
      <c r="BU847" s="173"/>
      <c r="BV847" s="173"/>
      <c r="BW847" s="173"/>
      <c r="BX847" s="173"/>
      <c r="BY847" s="173"/>
    </row>
    <row r="848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  <c r="AQ848" s="173"/>
      <c r="AR848" s="173"/>
      <c r="AS848" s="173"/>
      <c r="AT848" s="173"/>
      <c r="AU848" s="173"/>
      <c r="AV848" s="173"/>
      <c r="AW848" s="173"/>
      <c r="AX848" s="173"/>
      <c r="AY848" s="173"/>
      <c r="AZ848" s="173"/>
      <c r="BA848" s="173"/>
      <c r="BB848" s="173"/>
      <c r="BC848" s="173"/>
      <c r="BD848" s="173"/>
      <c r="BE848" s="173"/>
      <c r="BF848" s="173"/>
      <c r="BG848" s="173"/>
      <c r="BH848" s="173"/>
      <c r="BI848" s="173"/>
      <c r="BJ848" s="173"/>
      <c r="BK848" s="173"/>
      <c r="BL848" s="173"/>
      <c r="BM848" s="173"/>
      <c r="BN848" s="173"/>
      <c r="BO848" s="173"/>
      <c r="BP848" s="173"/>
      <c r="BQ848" s="173"/>
      <c r="BR848" s="173"/>
      <c r="BS848" s="173"/>
      <c r="BT848" s="173"/>
      <c r="BU848" s="173"/>
      <c r="BV848" s="173"/>
      <c r="BW848" s="173"/>
      <c r="BX848" s="173"/>
      <c r="BY848" s="173"/>
    </row>
    <row r="849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  <c r="AQ849" s="173"/>
      <c r="AR849" s="173"/>
      <c r="AS849" s="173"/>
      <c r="AT849" s="173"/>
      <c r="AU849" s="173"/>
      <c r="AV849" s="173"/>
      <c r="AW849" s="173"/>
      <c r="AX849" s="173"/>
      <c r="AY849" s="173"/>
      <c r="AZ849" s="173"/>
      <c r="BA849" s="173"/>
      <c r="BB849" s="173"/>
      <c r="BC849" s="173"/>
      <c r="BD849" s="173"/>
      <c r="BE849" s="173"/>
      <c r="BF849" s="173"/>
      <c r="BG849" s="173"/>
      <c r="BH849" s="173"/>
      <c r="BI849" s="173"/>
      <c r="BJ849" s="173"/>
      <c r="BK849" s="173"/>
      <c r="BL849" s="173"/>
      <c r="BM849" s="173"/>
      <c r="BN849" s="173"/>
      <c r="BO849" s="173"/>
      <c r="BP849" s="173"/>
      <c r="BQ849" s="173"/>
      <c r="BR849" s="173"/>
      <c r="BS849" s="173"/>
      <c r="BT849" s="173"/>
      <c r="BU849" s="173"/>
      <c r="BV849" s="173"/>
      <c r="BW849" s="173"/>
      <c r="BX849" s="173"/>
      <c r="BY849" s="173"/>
    </row>
    <row r="850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  <c r="AQ850" s="173"/>
      <c r="AR850" s="173"/>
      <c r="AS850" s="173"/>
      <c r="AT850" s="173"/>
      <c r="AU850" s="173"/>
      <c r="AV850" s="173"/>
      <c r="AW850" s="173"/>
      <c r="AX850" s="173"/>
      <c r="AY850" s="173"/>
      <c r="AZ850" s="173"/>
      <c r="BA850" s="173"/>
      <c r="BB850" s="173"/>
      <c r="BC850" s="173"/>
      <c r="BD850" s="173"/>
      <c r="BE850" s="173"/>
      <c r="BF850" s="173"/>
      <c r="BG850" s="173"/>
      <c r="BH850" s="173"/>
      <c r="BI850" s="173"/>
      <c r="BJ850" s="173"/>
      <c r="BK850" s="173"/>
      <c r="BL850" s="173"/>
      <c r="BM850" s="173"/>
      <c r="BN850" s="173"/>
      <c r="BO850" s="173"/>
      <c r="BP850" s="173"/>
      <c r="BQ850" s="173"/>
      <c r="BR850" s="173"/>
      <c r="BS850" s="173"/>
      <c r="BT850" s="173"/>
      <c r="BU850" s="173"/>
      <c r="BV850" s="173"/>
      <c r="BW850" s="173"/>
      <c r="BX850" s="173"/>
      <c r="BY850" s="173"/>
    </row>
    <row r="85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  <c r="AQ851" s="173"/>
      <c r="AR851" s="173"/>
      <c r="AS851" s="173"/>
      <c r="AT851" s="173"/>
      <c r="AU851" s="173"/>
      <c r="AV851" s="173"/>
      <c r="AW851" s="173"/>
      <c r="AX851" s="173"/>
      <c r="AY851" s="173"/>
      <c r="AZ851" s="173"/>
      <c r="BA851" s="173"/>
      <c r="BB851" s="173"/>
      <c r="BC851" s="173"/>
      <c r="BD851" s="173"/>
      <c r="BE851" s="173"/>
      <c r="BF851" s="173"/>
      <c r="BG851" s="173"/>
      <c r="BH851" s="173"/>
      <c r="BI851" s="173"/>
      <c r="BJ851" s="173"/>
      <c r="BK851" s="173"/>
      <c r="BL851" s="173"/>
      <c r="BM851" s="173"/>
      <c r="BN851" s="173"/>
      <c r="BO851" s="173"/>
      <c r="BP851" s="173"/>
      <c r="BQ851" s="173"/>
      <c r="BR851" s="173"/>
      <c r="BS851" s="173"/>
      <c r="BT851" s="173"/>
      <c r="BU851" s="173"/>
      <c r="BV851" s="173"/>
      <c r="BW851" s="173"/>
      <c r="BX851" s="173"/>
      <c r="BY851" s="173"/>
    </row>
    <row r="852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  <c r="AQ852" s="173"/>
      <c r="AR852" s="173"/>
      <c r="AS852" s="173"/>
      <c r="AT852" s="173"/>
      <c r="AU852" s="173"/>
      <c r="AV852" s="173"/>
      <c r="AW852" s="173"/>
      <c r="AX852" s="173"/>
      <c r="AY852" s="173"/>
      <c r="AZ852" s="173"/>
      <c r="BA852" s="173"/>
      <c r="BB852" s="173"/>
      <c r="BC852" s="173"/>
      <c r="BD852" s="173"/>
      <c r="BE852" s="173"/>
      <c r="BF852" s="173"/>
      <c r="BG852" s="173"/>
      <c r="BH852" s="173"/>
      <c r="BI852" s="173"/>
      <c r="BJ852" s="173"/>
      <c r="BK852" s="173"/>
      <c r="BL852" s="173"/>
      <c r="BM852" s="173"/>
      <c r="BN852" s="173"/>
      <c r="BO852" s="173"/>
      <c r="BP852" s="173"/>
      <c r="BQ852" s="173"/>
      <c r="BR852" s="173"/>
      <c r="BS852" s="173"/>
      <c r="BT852" s="173"/>
      <c r="BU852" s="173"/>
      <c r="BV852" s="173"/>
      <c r="BW852" s="173"/>
      <c r="BX852" s="173"/>
      <c r="BY852" s="173"/>
    </row>
    <row r="853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  <c r="AD853" s="173"/>
      <c r="AE853" s="173"/>
      <c r="AF853" s="173"/>
      <c r="AG853" s="173"/>
      <c r="AH853" s="173"/>
      <c r="AI853" s="173"/>
      <c r="AJ853" s="173"/>
      <c r="AK853" s="173"/>
      <c r="AL853" s="173"/>
      <c r="AM853" s="173"/>
      <c r="AN853" s="173"/>
      <c r="AO853" s="173"/>
      <c r="AP853" s="173"/>
      <c r="AQ853" s="173"/>
      <c r="AR853" s="173"/>
      <c r="AS853" s="173"/>
      <c r="AT853" s="173"/>
      <c r="AU853" s="173"/>
      <c r="AV853" s="173"/>
      <c r="AW853" s="173"/>
      <c r="AX853" s="173"/>
      <c r="AY853" s="173"/>
      <c r="AZ853" s="173"/>
      <c r="BA853" s="173"/>
      <c r="BB853" s="173"/>
      <c r="BC853" s="173"/>
      <c r="BD853" s="173"/>
      <c r="BE853" s="173"/>
      <c r="BF853" s="173"/>
      <c r="BG853" s="173"/>
      <c r="BH853" s="173"/>
      <c r="BI853" s="173"/>
      <c r="BJ853" s="173"/>
      <c r="BK853" s="173"/>
      <c r="BL853" s="173"/>
      <c r="BM853" s="173"/>
      <c r="BN853" s="173"/>
      <c r="BO853" s="173"/>
      <c r="BP853" s="173"/>
      <c r="BQ853" s="173"/>
      <c r="BR853" s="173"/>
      <c r="BS853" s="173"/>
      <c r="BT853" s="173"/>
      <c r="BU853" s="173"/>
      <c r="BV853" s="173"/>
      <c r="BW853" s="173"/>
      <c r="BX853" s="173"/>
      <c r="BY853" s="173"/>
    </row>
    <row r="854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  <c r="AQ854" s="173"/>
      <c r="AR854" s="173"/>
      <c r="AS854" s="173"/>
      <c r="AT854" s="173"/>
      <c r="AU854" s="173"/>
      <c r="AV854" s="173"/>
      <c r="AW854" s="173"/>
      <c r="AX854" s="173"/>
      <c r="AY854" s="173"/>
      <c r="AZ854" s="173"/>
      <c r="BA854" s="173"/>
      <c r="BB854" s="173"/>
      <c r="BC854" s="173"/>
      <c r="BD854" s="173"/>
      <c r="BE854" s="173"/>
      <c r="BF854" s="173"/>
      <c r="BG854" s="173"/>
      <c r="BH854" s="173"/>
      <c r="BI854" s="173"/>
      <c r="BJ854" s="173"/>
      <c r="BK854" s="173"/>
      <c r="BL854" s="173"/>
      <c r="BM854" s="173"/>
      <c r="BN854" s="173"/>
      <c r="BO854" s="173"/>
      <c r="BP854" s="173"/>
      <c r="BQ854" s="173"/>
      <c r="BR854" s="173"/>
      <c r="BS854" s="173"/>
      <c r="BT854" s="173"/>
      <c r="BU854" s="173"/>
      <c r="BV854" s="173"/>
      <c r="BW854" s="173"/>
      <c r="BX854" s="173"/>
      <c r="BY854" s="173"/>
    </row>
    <row r="855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  <c r="AQ855" s="173"/>
      <c r="AR855" s="173"/>
      <c r="AS855" s="173"/>
      <c r="AT855" s="173"/>
      <c r="AU855" s="173"/>
      <c r="AV855" s="173"/>
      <c r="AW855" s="173"/>
      <c r="AX855" s="173"/>
      <c r="AY855" s="173"/>
      <c r="AZ855" s="173"/>
      <c r="BA855" s="173"/>
      <c r="BB855" s="173"/>
      <c r="BC855" s="173"/>
      <c r="BD855" s="173"/>
      <c r="BE855" s="173"/>
      <c r="BF855" s="173"/>
      <c r="BG855" s="173"/>
      <c r="BH855" s="173"/>
      <c r="BI855" s="173"/>
      <c r="BJ855" s="173"/>
      <c r="BK855" s="173"/>
      <c r="BL855" s="173"/>
      <c r="BM855" s="173"/>
      <c r="BN855" s="173"/>
      <c r="BO855" s="173"/>
      <c r="BP855" s="173"/>
      <c r="BQ855" s="173"/>
      <c r="BR855" s="173"/>
      <c r="BS855" s="173"/>
      <c r="BT855" s="173"/>
      <c r="BU855" s="173"/>
      <c r="BV855" s="173"/>
      <c r="BW855" s="173"/>
      <c r="BX855" s="173"/>
      <c r="BY855" s="173"/>
    </row>
    <row r="856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  <c r="AQ856" s="173"/>
      <c r="AR856" s="173"/>
      <c r="AS856" s="173"/>
      <c r="AT856" s="173"/>
      <c r="AU856" s="173"/>
      <c r="AV856" s="173"/>
      <c r="AW856" s="173"/>
      <c r="AX856" s="173"/>
      <c r="AY856" s="173"/>
      <c r="AZ856" s="173"/>
      <c r="BA856" s="173"/>
      <c r="BB856" s="173"/>
      <c r="BC856" s="173"/>
      <c r="BD856" s="173"/>
      <c r="BE856" s="173"/>
      <c r="BF856" s="173"/>
      <c r="BG856" s="173"/>
      <c r="BH856" s="173"/>
      <c r="BI856" s="173"/>
      <c r="BJ856" s="173"/>
      <c r="BK856" s="173"/>
      <c r="BL856" s="173"/>
      <c r="BM856" s="173"/>
      <c r="BN856" s="173"/>
      <c r="BO856" s="173"/>
      <c r="BP856" s="173"/>
      <c r="BQ856" s="173"/>
      <c r="BR856" s="173"/>
      <c r="BS856" s="173"/>
      <c r="BT856" s="173"/>
      <c r="BU856" s="173"/>
      <c r="BV856" s="173"/>
      <c r="BW856" s="173"/>
      <c r="BX856" s="173"/>
      <c r="BY856" s="173"/>
    </row>
    <row r="857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  <c r="AQ857" s="173"/>
      <c r="AR857" s="173"/>
      <c r="AS857" s="173"/>
      <c r="AT857" s="173"/>
      <c r="AU857" s="173"/>
      <c r="AV857" s="173"/>
      <c r="AW857" s="173"/>
      <c r="AX857" s="173"/>
      <c r="AY857" s="173"/>
      <c r="AZ857" s="173"/>
      <c r="BA857" s="173"/>
      <c r="BB857" s="173"/>
      <c r="BC857" s="173"/>
      <c r="BD857" s="173"/>
      <c r="BE857" s="173"/>
      <c r="BF857" s="173"/>
      <c r="BG857" s="173"/>
      <c r="BH857" s="173"/>
      <c r="BI857" s="173"/>
      <c r="BJ857" s="173"/>
      <c r="BK857" s="173"/>
      <c r="BL857" s="173"/>
      <c r="BM857" s="173"/>
      <c r="BN857" s="173"/>
      <c r="BO857" s="173"/>
      <c r="BP857" s="173"/>
      <c r="BQ857" s="173"/>
      <c r="BR857" s="173"/>
      <c r="BS857" s="173"/>
      <c r="BT857" s="173"/>
      <c r="BU857" s="173"/>
      <c r="BV857" s="173"/>
      <c r="BW857" s="173"/>
      <c r="BX857" s="173"/>
      <c r="BY857" s="173"/>
    </row>
    <row r="858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  <c r="AQ858" s="173"/>
      <c r="AR858" s="173"/>
      <c r="AS858" s="173"/>
      <c r="AT858" s="173"/>
      <c r="AU858" s="173"/>
      <c r="AV858" s="173"/>
      <c r="AW858" s="173"/>
      <c r="AX858" s="173"/>
      <c r="AY858" s="173"/>
      <c r="AZ858" s="173"/>
      <c r="BA858" s="173"/>
      <c r="BB858" s="173"/>
      <c r="BC858" s="173"/>
      <c r="BD858" s="173"/>
      <c r="BE858" s="173"/>
      <c r="BF858" s="173"/>
      <c r="BG858" s="173"/>
      <c r="BH858" s="173"/>
      <c r="BI858" s="173"/>
      <c r="BJ858" s="173"/>
      <c r="BK858" s="173"/>
      <c r="BL858" s="173"/>
      <c r="BM858" s="173"/>
      <c r="BN858" s="173"/>
      <c r="BO858" s="173"/>
      <c r="BP858" s="173"/>
      <c r="BQ858" s="173"/>
      <c r="BR858" s="173"/>
      <c r="BS858" s="173"/>
      <c r="BT858" s="173"/>
      <c r="BU858" s="173"/>
      <c r="BV858" s="173"/>
      <c r="BW858" s="173"/>
      <c r="BX858" s="173"/>
      <c r="BY858" s="173"/>
    </row>
    <row r="859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  <c r="AQ859" s="173"/>
      <c r="AR859" s="173"/>
      <c r="AS859" s="173"/>
      <c r="AT859" s="173"/>
      <c r="AU859" s="173"/>
      <c r="AV859" s="173"/>
      <c r="AW859" s="173"/>
      <c r="AX859" s="173"/>
      <c r="AY859" s="173"/>
      <c r="AZ859" s="173"/>
      <c r="BA859" s="173"/>
      <c r="BB859" s="173"/>
      <c r="BC859" s="173"/>
      <c r="BD859" s="173"/>
      <c r="BE859" s="173"/>
      <c r="BF859" s="173"/>
      <c r="BG859" s="173"/>
      <c r="BH859" s="173"/>
      <c r="BI859" s="173"/>
      <c r="BJ859" s="173"/>
      <c r="BK859" s="173"/>
      <c r="BL859" s="173"/>
      <c r="BM859" s="173"/>
      <c r="BN859" s="173"/>
      <c r="BO859" s="173"/>
      <c r="BP859" s="173"/>
      <c r="BQ859" s="173"/>
      <c r="BR859" s="173"/>
      <c r="BS859" s="173"/>
      <c r="BT859" s="173"/>
      <c r="BU859" s="173"/>
      <c r="BV859" s="173"/>
      <c r="BW859" s="173"/>
      <c r="BX859" s="173"/>
      <c r="BY859" s="173"/>
    </row>
    <row r="860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  <c r="AQ860" s="173"/>
      <c r="AR860" s="173"/>
      <c r="AS860" s="173"/>
      <c r="AT860" s="173"/>
      <c r="AU860" s="173"/>
      <c r="AV860" s="173"/>
      <c r="AW860" s="173"/>
      <c r="AX860" s="173"/>
      <c r="AY860" s="173"/>
      <c r="AZ860" s="173"/>
      <c r="BA860" s="173"/>
      <c r="BB860" s="173"/>
      <c r="BC860" s="173"/>
      <c r="BD860" s="173"/>
      <c r="BE860" s="173"/>
      <c r="BF860" s="173"/>
      <c r="BG860" s="173"/>
      <c r="BH860" s="173"/>
      <c r="BI860" s="173"/>
      <c r="BJ860" s="173"/>
      <c r="BK860" s="173"/>
      <c r="BL860" s="173"/>
      <c r="BM860" s="173"/>
      <c r="BN860" s="173"/>
      <c r="BO860" s="173"/>
      <c r="BP860" s="173"/>
      <c r="BQ860" s="173"/>
      <c r="BR860" s="173"/>
      <c r="BS860" s="173"/>
      <c r="BT860" s="173"/>
      <c r="BU860" s="173"/>
      <c r="BV860" s="173"/>
      <c r="BW860" s="173"/>
      <c r="BX860" s="173"/>
      <c r="BY860" s="173"/>
    </row>
    <row r="86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  <c r="AQ861" s="173"/>
      <c r="AR861" s="173"/>
      <c r="AS861" s="173"/>
      <c r="AT861" s="173"/>
      <c r="AU861" s="173"/>
      <c r="AV861" s="173"/>
      <c r="AW861" s="173"/>
      <c r="AX861" s="173"/>
      <c r="AY861" s="173"/>
      <c r="AZ861" s="173"/>
      <c r="BA861" s="173"/>
      <c r="BB861" s="173"/>
      <c r="BC861" s="173"/>
      <c r="BD861" s="173"/>
      <c r="BE861" s="173"/>
      <c r="BF861" s="173"/>
      <c r="BG861" s="173"/>
      <c r="BH861" s="173"/>
      <c r="BI861" s="173"/>
      <c r="BJ861" s="173"/>
      <c r="BK861" s="173"/>
      <c r="BL861" s="173"/>
      <c r="BM861" s="173"/>
      <c r="BN861" s="173"/>
      <c r="BO861" s="173"/>
      <c r="BP861" s="173"/>
      <c r="BQ861" s="173"/>
      <c r="BR861" s="173"/>
      <c r="BS861" s="173"/>
      <c r="BT861" s="173"/>
      <c r="BU861" s="173"/>
      <c r="BV861" s="173"/>
      <c r="BW861" s="173"/>
      <c r="BX861" s="173"/>
      <c r="BY861" s="173"/>
    </row>
    <row r="862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  <c r="AQ862" s="173"/>
      <c r="AR862" s="173"/>
      <c r="AS862" s="173"/>
      <c r="AT862" s="173"/>
      <c r="AU862" s="173"/>
      <c r="AV862" s="173"/>
      <c r="AW862" s="173"/>
      <c r="AX862" s="173"/>
      <c r="AY862" s="173"/>
      <c r="AZ862" s="173"/>
      <c r="BA862" s="173"/>
      <c r="BB862" s="173"/>
      <c r="BC862" s="173"/>
      <c r="BD862" s="173"/>
      <c r="BE862" s="173"/>
      <c r="BF862" s="173"/>
      <c r="BG862" s="173"/>
      <c r="BH862" s="173"/>
      <c r="BI862" s="173"/>
      <c r="BJ862" s="173"/>
      <c r="BK862" s="173"/>
      <c r="BL862" s="173"/>
      <c r="BM862" s="173"/>
      <c r="BN862" s="173"/>
      <c r="BO862" s="173"/>
      <c r="BP862" s="173"/>
      <c r="BQ862" s="173"/>
      <c r="BR862" s="173"/>
      <c r="BS862" s="173"/>
      <c r="BT862" s="173"/>
      <c r="BU862" s="173"/>
      <c r="BV862" s="173"/>
      <c r="BW862" s="173"/>
      <c r="BX862" s="173"/>
      <c r="BY862" s="173"/>
    </row>
    <row r="863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  <c r="AQ863" s="173"/>
      <c r="AR863" s="173"/>
      <c r="AS863" s="173"/>
      <c r="AT863" s="173"/>
      <c r="AU863" s="173"/>
      <c r="AV863" s="173"/>
      <c r="AW863" s="173"/>
      <c r="AX863" s="173"/>
      <c r="AY863" s="173"/>
      <c r="AZ863" s="173"/>
      <c r="BA863" s="173"/>
      <c r="BB863" s="173"/>
      <c r="BC863" s="173"/>
      <c r="BD863" s="173"/>
      <c r="BE863" s="173"/>
      <c r="BF863" s="173"/>
      <c r="BG863" s="173"/>
      <c r="BH863" s="173"/>
      <c r="BI863" s="173"/>
      <c r="BJ863" s="173"/>
      <c r="BK863" s="173"/>
      <c r="BL863" s="173"/>
      <c r="BM863" s="173"/>
      <c r="BN863" s="173"/>
      <c r="BO863" s="173"/>
      <c r="BP863" s="173"/>
      <c r="BQ863" s="173"/>
      <c r="BR863" s="173"/>
      <c r="BS863" s="173"/>
      <c r="BT863" s="173"/>
      <c r="BU863" s="173"/>
      <c r="BV863" s="173"/>
      <c r="BW863" s="173"/>
      <c r="BX863" s="173"/>
      <c r="BY863" s="173"/>
    </row>
    <row r="864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  <c r="AQ864" s="173"/>
      <c r="AR864" s="173"/>
      <c r="AS864" s="173"/>
      <c r="AT864" s="173"/>
      <c r="AU864" s="173"/>
      <c r="AV864" s="173"/>
      <c r="AW864" s="173"/>
      <c r="AX864" s="173"/>
      <c r="AY864" s="173"/>
      <c r="AZ864" s="173"/>
      <c r="BA864" s="173"/>
      <c r="BB864" s="173"/>
      <c r="BC864" s="173"/>
      <c r="BD864" s="173"/>
      <c r="BE864" s="173"/>
      <c r="BF864" s="173"/>
      <c r="BG864" s="173"/>
      <c r="BH864" s="173"/>
      <c r="BI864" s="173"/>
      <c r="BJ864" s="173"/>
      <c r="BK864" s="173"/>
      <c r="BL864" s="173"/>
      <c r="BM864" s="173"/>
      <c r="BN864" s="173"/>
      <c r="BO864" s="173"/>
      <c r="BP864" s="173"/>
      <c r="BQ864" s="173"/>
      <c r="BR864" s="173"/>
      <c r="BS864" s="173"/>
      <c r="BT864" s="173"/>
      <c r="BU864" s="173"/>
      <c r="BV864" s="173"/>
      <c r="BW864" s="173"/>
      <c r="BX864" s="173"/>
      <c r="BY864" s="173"/>
    </row>
    <row r="865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  <c r="AQ865" s="173"/>
      <c r="AR865" s="173"/>
      <c r="AS865" s="173"/>
      <c r="AT865" s="173"/>
      <c r="AU865" s="173"/>
      <c r="AV865" s="173"/>
      <c r="AW865" s="173"/>
      <c r="AX865" s="173"/>
      <c r="AY865" s="173"/>
      <c r="AZ865" s="173"/>
      <c r="BA865" s="173"/>
      <c r="BB865" s="173"/>
      <c r="BC865" s="173"/>
      <c r="BD865" s="173"/>
      <c r="BE865" s="173"/>
      <c r="BF865" s="173"/>
      <c r="BG865" s="173"/>
      <c r="BH865" s="173"/>
      <c r="BI865" s="173"/>
      <c r="BJ865" s="173"/>
      <c r="BK865" s="173"/>
      <c r="BL865" s="173"/>
      <c r="BM865" s="173"/>
      <c r="BN865" s="173"/>
      <c r="BO865" s="173"/>
      <c r="BP865" s="173"/>
      <c r="BQ865" s="173"/>
      <c r="BR865" s="173"/>
      <c r="BS865" s="173"/>
      <c r="BT865" s="173"/>
      <c r="BU865" s="173"/>
      <c r="BV865" s="173"/>
      <c r="BW865" s="173"/>
      <c r="BX865" s="173"/>
      <c r="BY865" s="173"/>
    </row>
    <row r="866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  <c r="AQ866" s="173"/>
      <c r="AR866" s="173"/>
      <c r="AS866" s="173"/>
      <c r="AT866" s="173"/>
      <c r="AU866" s="173"/>
      <c r="AV866" s="173"/>
      <c r="AW866" s="173"/>
      <c r="AX866" s="173"/>
      <c r="AY866" s="173"/>
      <c r="AZ866" s="173"/>
      <c r="BA866" s="173"/>
      <c r="BB866" s="173"/>
      <c r="BC866" s="173"/>
      <c r="BD866" s="173"/>
      <c r="BE866" s="173"/>
      <c r="BF866" s="173"/>
      <c r="BG866" s="173"/>
      <c r="BH866" s="173"/>
      <c r="BI866" s="173"/>
      <c r="BJ866" s="173"/>
      <c r="BK866" s="173"/>
      <c r="BL866" s="173"/>
      <c r="BM866" s="173"/>
      <c r="BN866" s="173"/>
      <c r="BO866" s="173"/>
      <c r="BP866" s="173"/>
      <c r="BQ866" s="173"/>
      <c r="BR866" s="173"/>
      <c r="BS866" s="173"/>
      <c r="BT866" s="173"/>
      <c r="BU866" s="173"/>
      <c r="BV866" s="173"/>
      <c r="BW866" s="173"/>
      <c r="BX866" s="173"/>
      <c r="BY866" s="173"/>
    </row>
    <row r="867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  <c r="AQ867" s="173"/>
      <c r="AR867" s="173"/>
      <c r="AS867" s="173"/>
      <c r="AT867" s="173"/>
      <c r="AU867" s="173"/>
      <c r="AV867" s="173"/>
      <c r="AW867" s="173"/>
      <c r="AX867" s="173"/>
      <c r="AY867" s="173"/>
      <c r="AZ867" s="173"/>
      <c r="BA867" s="173"/>
      <c r="BB867" s="173"/>
      <c r="BC867" s="173"/>
      <c r="BD867" s="173"/>
      <c r="BE867" s="173"/>
      <c r="BF867" s="173"/>
      <c r="BG867" s="173"/>
      <c r="BH867" s="173"/>
      <c r="BI867" s="173"/>
      <c r="BJ867" s="173"/>
      <c r="BK867" s="173"/>
      <c r="BL867" s="173"/>
      <c r="BM867" s="173"/>
      <c r="BN867" s="173"/>
      <c r="BO867" s="173"/>
      <c r="BP867" s="173"/>
      <c r="BQ867" s="173"/>
      <c r="BR867" s="173"/>
      <c r="BS867" s="173"/>
      <c r="BT867" s="173"/>
      <c r="BU867" s="173"/>
      <c r="BV867" s="173"/>
      <c r="BW867" s="173"/>
      <c r="BX867" s="173"/>
      <c r="BY867" s="173"/>
    </row>
    <row r="868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  <c r="AQ868" s="173"/>
      <c r="AR868" s="173"/>
      <c r="AS868" s="173"/>
      <c r="AT868" s="173"/>
      <c r="AU868" s="173"/>
      <c r="AV868" s="173"/>
      <c r="AW868" s="173"/>
      <c r="AX868" s="173"/>
      <c r="AY868" s="173"/>
      <c r="AZ868" s="173"/>
      <c r="BA868" s="173"/>
      <c r="BB868" s="173"/>
      <c r="BC868" s="173"/>
      <c r="BD868" s="173"/>
      <c r="BE868" s="173"/>
      <c r="BF868" s="173"/>
      <c r="BG868" s="173"/>
      <c r="BH868" s="173"/>
      <c r="BI868" s="173"/>
      <c r="BJ868" s="173"/>
      <c r="BK868" s="173"/>
      <c r="BL868" s="173"/>
      <c r="BM868" s="173"/>
      <c r="BN868" s="173"/>
      <c r="BO868" s="173"/>
      <c r="BP868" s="173"/>
      <c r="BQ868" s="173"/>
      <c r="BR868" s="173"/>
      <c r="BS868" s="173"/>
      <c r="BT868" s="173"/>
      <c r="BU868" s="173"/>
      <c r="BV868" s="173"/>
      <c r="BW868" s="173"/>
      <c r="BX868" s="173"/>
      <c r="BY868" s="173"/>
    </row>
    <row r="869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  <c r="AQ869" s="173"/>
      <c r="AR869" s="173"/>
      <c r="AS869" s="173"/>
      <c r="AT869" s="173"/>
      <c r="AU869" s="173"/>
      <c r="AV869" s="173"/>
      <c r="AW869" s="173"/>
      <c r="AX869" s="173"/>
      <c r="AY869" s="173"/>
      <c r="AZ869" s="173"/>
      <c r="BA869" s="173"/>
      <c r="BB869" s="173"/>
      <c r="BC869" s="173"/>
      <c r="BD869" s="173"/>
      <c r="BE869" s="173"/>
      <c r="BF869" s="173"/>
      <c r="BG869" s="173"/>
      <c r="BH869" s="173"/>
      <c r="BI869" s="173"/>
      <c r="BJ869" s="173"/>
      <c r="BK869" s="173"/>
      <c r="BL869" s="173"/>
      <c r="BM869" s="173"/>
      <c r="BN869" s="173"/>
      <c r="BO869" s="173"/>
      <c r="BP869" s="173"/>
      <c r="BQ869" s="173"/>
      <c r="BR869" s="173"/>
      <c r="BS869" s="173"/>
      <c r="BT869" s="173"/>
      <c r="BU869" s="173"/>
      <c r="BV869" s="173"/>
      <c r="BW869" s="173"/>
      <c r="BX869" s="173"/>
      <c r="BY869" s="173"/>
    </row>
    <row r="870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  <c r="AQ870" s="173"/>
      <c r="AR870" s="173"/>
      <c r="AS870" s="173"/>
      <c r="AT870" s="173"/>
      <c r="AU870" s="173"/>
      <c r="AV870" s="173"/>
      <c r="AW870" s="173"/>
      <c r="AX870" s="173"/>
      <c r="AY870" s="173"/>
      <c r="AZ870" s="173"/>
      <c r="BA870" s="173"/>
      <c r="BB870" s="173"/>
      <c r="BC870" s="173"/>
      <c r="BD870" s="173"/>
      <c r="BE870" s="173"/>
      <c r="BF870" s="173"/>
      <c r="BG870" s="173"/>
      <c r="BH870" s="173"/>
      <c r="BI870" s="173"/>
      <c r="BJ870" s="173"/>
      <c r="BK870" s="173"/>
      <c r="BL870" s="173"/>
      <c r="BM870" s="173"/>
      <c r="BN870" s="173"/>
      <c r="BO870" s="173"/>
      <c r="BP870" s="173"/>
      <c r="BQ870" s="173"/>
      <c r="BR870" s="173"/>
      <c r="BS870" s="173"/>
      <c r="BT870" s="173"/>
      <c r="BU870" s="173"/>
      <c r="BV870" s="173"/>
      <c r="BW870" s="173"/>
      <c r="BX870" s="173"/>
      <c r="BY870" s="173"/>
    </row>
    <row r="87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  <c r="AQ871" s="173"/>
      <c r="AR871" s="173"/>
      <c r="AS871" s="173"/>
      <c r="AT871" s="173"/>
      <c r="AU871" s="173"/>
      <c r="AV871" s="173"/>
      <c r="AW871" s="173"/>
      <c r="AX871" s="173"/>
      <c r="AY871" s="173"/>
      <c r="AZ871" s="173"/>
      <c r="BA871" s="173"/>
      <c r="BB871" s="173"/>
      <c r="BC871" s="173"/>
      <c r="BD871" s="173"/>
      <c r="BE871" s="173"/>
      <c r="BF871" s="173"/>
      <c r="BG871" s="173"/>
      <c r="BH871" s="173"/>
      <c r="BI871" s="173"/>
      <c r="BJ871" s="173"/>
      <c r="BK871" s="173"/>
      <c r="BL871" s="173"/>
      <c r="BM871" s="173"/>
      <c r="BN871" s="173"/>
      <c r="BO871" s="173"/>
      <c r="BP871" s="173"/>
      <c r="BQ871" s="173"/>
      <c r="BR871" s="173"/>
      <c r="BS871" s="173"/>
      <c r="BT871" s="173"/>
      <c r="BU871" s="173"/>
      <c r="BV871" s="173"/>
      <c r="BW871" s="173"/>
      <c r="BX871" s="173"/>
      <c r="BY871" s="173"/>
    </row>
    <row r="872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  <c r="AQ872" s="173"/>
      <c r="AR872" s="173"/>
      <c r="AS872" s="173"/>
      <c r="AT872" s="173"/>
      <c r="AU872" s="173"/>
      <c r="AV872" s="173"/>
      <c r="AW872" s="173"/>
      <c r="AX872" s="173"/>
      <c r="AY872" s="173"/>
      <c r="AZ872" s="173"/>
      <c r="BA872" s="173"/>
      <c r="BB872" s="173"/>
      <c r="BC872" s="173"/>
      <c r="BD872" s="173"/>
      <c r="BE872" s="173"/>
      <c r="BF872" s="173"/>
      <c r="BG872" s="173"/>
      <c r="BH872" s="173"/>
      <c r="BI872" s="173"/>
      <c r="BJ872" s="173"/>
      <c r="BK872" s="173"/>
      <c r="BL872" s="173"/>
      <c r="BM872" s="173"/>
      <c r="BN872" s="173"/>
      <c r="BO872" s="173"/>
      <c r="BP872" s="173"/>
      <c r="BQ872" s="173"/>
      <c r="BR872" s="173"/>
      <c r="BS872" s="173"/>
      <c r="BT872" s="173"/>
      <c r="BU872" s="173"/>
      <c r="BV872" s="173"/>
      <c r="BW872" s="173"/>
      <c r="BX872" s="173"/>
      <c r="BY872" s="173"/>
    </row>
    <row r="873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  <c r="AQ873" s="173"/>
      <c r="AR873" s="173"/>
      <c r="AS873" s="173"/>
      <c r="AT873" s="173"/>
      <c r="AU873" s="173"/>
      <c r="AV873" s="173"/>
      <c r="AW873" s="173"/>
      <c r="AX873" s="173"/>
      <c r="AY873" s="173"/>
      <c r="AZ873" s="173"/>
      <c r="BA873" s="173"/>
      <c r="BB873" s="173"/>
      <c r="BC873" s="173"/>
      <c r="BD873" s="173"/>
      <c r="BE873" s="173"/>
      <c r="BF873" s="173"/>
      <c r="BG873" s="173"/>
      <c r="BH873" s="173"/>
      <c r="BI873" s="173"/>
      <c r="BJ873" s="173"/>
      <c r="BK873" s="173"/>
      <c r="BL873" s="173"/>
      <c r="BM873" s="173"/>
      <c r="BN873" s="173"/>
      <c r="BO873" s="173"/>
      <c r="BP873" s="173"/>
      <c r="BQ873" s="173"/>
      <c r="BR873" s="173"/>
      <c r="BS873" s="173"/>
      <c r="BT873" s="173"/>
      <c r="BU873" s="173"/>
      <c r="BV873" s="173"/>
      <c r="BW873" s="173"/>
      <c r="BX873" s="173"/>
      <c r="BY873" s="173"/>
    </row>
    <row r="874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  <c r="AQ874" s="173"/>
      <c r="AR874" s="173"/>
      <c r="AS874" s="173"/>
      <c r="AT874" s="173"/>
      <c r="AU874" s="173"/>
      <c r="AV874" s="173"/>
      <c r="AW874" s="173"/>
      <c r="AX874" s="173"/>
      <c r="AY874" s="173"/>
      <c r="AZ874" s="173"/>
      <c r="BA874" s="173"/>
      <c r="BB874" s="173"/>
      <c r="BC874" s="173"/>
      <c r="BD874" s="173"/>
      <c r="BE874" s="173"/>
      <c r="BF874" s="173"/>
      <c r="BG874" s="173"/>
      <c r="BH874" s="173"/>
      <c r="BI874" s="173"/>
      <c r="BJ874" s="173"/>
      <c r="BK874" s="173"/>
      <c r="BL874" s="173"/>
      <c r="BM874" s="173"/>
      <c r="BN874" s="173"/>
      <c r="BO874" s="173"/>
      <c r="BP874" s="173"/>
      <c r="BQ874" s="173"/>
      <c r="BR874" s="173"/>
      <c r="BS874" s="173"/>
      <c r="BT874" s="173"/>
      <c r="BU874" s="173"/>
      <c r="BV874" s="173"/>
      <c r="BW874" s="173"/>
      <c r="BX874" s="173"/>
      <c r="BY874" s="173"/>
    </row>
    <row r="875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  <c r="AQ875" s="173"/>
      <c r="AR875" s="173"/>
      <c r="AS875" s="173"/>
      <c r="AT875" s="173"/>
      <c r="AU875" s="173"/>
      <c r="AV875" s="173"/>
      <c r="AW875" s="173"/>
      <c r="AX875" s="173"/>
      <c r="AY875" s="173"/>
      <c r="AZ875" s="173"/>
      <c r="BA875" s="173"/>
      <c r="BB875" s="173"/>
      <c r="BC875" s="173"/>
      <c r="BD875" s="173"/>
      <c r="BE875" s="173"/>
      <c r="BF875" s="173"/>
      <c r="BG875" s="173"/>
      <c r="BH875" s="173"/>
      <c r="BI875" s="173"/>
      <c r="BJ875" s="173"/>
      <c r="BK875" s="173"/>
      <c r="BL875" s="173"/>
      <c r="BM875" s="173"/>
      <c r="BN875" s="173"/>
      <c r="BO875" s="173"/>
      <c r="BP875" s="173"/>
      <c r="BQ875" s="173"/>
      <c r="BR875" s="173"/>
      <c r="BS875" s="173"/>
      <c r="BT875" s="173"/>
      <c r="BU875" s="173"/>
      <c r="BV875" s="173"/>
      <c r="BW875" s="173"/>
      <c r="BX875" s="173"/>
      <c r="BY875" s="173"/>
    </row>
    <row r="876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  <c r="AD876" s="173"/>
      <c r="AE876" s="173"/>
      <c r="AF876" s="173"/>
      <c r="AG876" s="173"/>
      <c r="AH876" s="173"/>
      <c r="AI876" s="173"/>
      <c r="AJ876" s="173"/>
      <c r="AK876" s="173"/>
      <c r="AL876" s="173"/>
      <c r="AM876" s="173"/>
      <c r="AN876" s="173"/>
      <c r="AO876" s="173"/>
      <c r="AP876" s="173"/>
      <c r="AQ876" s="173"/>
      <c r="AR876" s="173"/>
      <c r="AS876" s="173"/>
      <c r="AT876" s="173"/>
      <c r="AU876" s="173"/>
      <c r="AV876" s="173"/>
      <c r="AW876" s="173"/>
      <c r="AX876" s="173"/>
      <c r="AY876" s="173"/>
      <c r="AZ876" s="173"/>
      <c r="BA876" s="173"/>
      <c r="BB876" s="173"/>
      <c r="BC876" s="173"/>
      <c r="BD876" s="173"/>
      <c r="BE876" s="173"/>
      <c r="BF876" s="173"/>
      <c r="BG876" s="173"/>
      <c r="BH876" s="173"/>
      <c r="BI876" s="173"/>
      <c r="BJ876" s="173"/>
      <c r="BK876" s="173"/>
      <c r="BL876" s="173"/>
      <c r="BM876" s="173"/>
      <c r="BN876" s="173"/>
      <c r="BO876" s="173"/>
      <c r="BP876" s="173"/>
      <c r="BQ876" s="173"/>
      <c r="BR876" s="173"/>
      <c r="BS876" s="173"/>
      <c r="BT876" s="173"/>
      <c r="BU876" s="173"/>
      <c r="BV876" s="173"/>
      <c r="BW876" s="173"/>
      <c r="BX876" s="173"/>
      <c r="BY876" s="173"/>
    </row>
    <row r="877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  <c r="AD877" s="173"/>
      <c r="AE877" s="173"/>
      <c r="AF877" s="173"/>
      <c r="AG877" s="173"/>
      <c r="AH877" s="173"/>
      <c r="AI877" s="173"/>
      <c r="AJ877" s="173"/>
      <c r="AK877" s="173"/>
      <c r="AL877" s="173"/>
      <c r="AM877" s="173"/>
      <c r="AN877" s="173"/>
      <c r="AO877" s="173"/>
      <c r="AP877" s="173"/>
      <c r="AQ877" s="173"/>
      <c r="AR877" s="173"/>
      <c r="AS877" s="173"/>
      <c r="AT877" s="173"/>
      <c r="AU877" s="173"/>
      <c r="AV877" s="173"/>
      <c r="AW877" s="173"/>
      <c r="AX877" s="173"/>
      <c r="AY877" s="173"/>
      <c r="AZ877" s="173"/>
      <c r="BA877" s="173"/>
      <c r="BB877" s="173"/>
      <c r="BC877" s="173"/>
      <c r="BD877" s="173"/>
      <c r="BE877" s="173"/>
      <c r="BF877" s="173"/>
      <c r="BG877" s="173"/>
      <c r="BH877" s="173"/>
      <c r="BI877" s="173"/>
      <c r="BJ877" s="173"/>
      <c r="BK877" s="173"/>
      <c r="BL877" s="173"/>
      <c r="BM877" s="173"/>
      <c r="BN877" s="173"/>
      <c r="BO877" s="173"/>
      <c r="BP877" s="173"/>
      <c r="BQ877" s="173"/>
      <c r="BR877" s="173"/>
      <c r="BS877" s="173"/>
      <c r="BT877" s="173"/>
      <c r="BU877" s="173"/>
      <c r="BV877" s="173"/>
      <c r="BW877" s="173"/>
      <c r="BX877" s="173"/>
      <c r="BY877" s="173"/>
    </row>
    <row r="878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  <c r="AD878" s="173"/>
      <c r="AE878" s="173"/>
      <c r="AF878" s="173"/>
      <c r="AG878" s="173"/>
      <c r="AH878" s="173"/>
      <c r="AI878" s="173"/>
      <c r="AJ878" s="173"/>
      <c r="AK878" s="173"/>
      <c r="AL878" s="173"/>
      <c r="AM878" s="173"/>
      <c r="AN878" s="173"/>
      <c r="AO878" s="173"/>
      <c r="AP878" s="173"/>
      <c r="AQ878" s="173"/>
      <c r="AR878" s="173"/>
      <c r="AS878" s="173"/>
      <c r="AT878" s="173"/>
      <c r="AU878" s="173"/>
      <c r="AV878" s="173"/>
      <c r="AW878" s="173"/>
      <c r="AX878" s="173"/>
      <c r="AY878" s="173"/>
      <c r="AZ878" s="173"/>
      <c r="BA878" s="173"/>
      <c r="BB878" s="173"/>
      <c r="BC878" s="173"/>
      <c r="BD878" s="173"/>
      <c r="BE878" s="173"/>
      <c r="BF878" s="173"/>
      <c r="BG878" s="173"/>
      <c r="BH878" s="173"/>
      <c r="BI878" s="173"/>
      <c r="BJ878" s="173"/>
      <c r="BK878" s="173"/>
      <c r="BL878" s="173"/>
      <c r="BM878" s="173"/>
      <c r="BN878" s="173"/>
      <c r="BO878" s="173"/>
      <c r="BP878" s="173"/>
      <c r="BQ878" s="173"/>
      <c r="BR878" s="173"/>
      <c r="BS878" s="173"/>
      <c r="BT878" s="173"/>
      <c r="BU878" s="173"/>
      <c r="BV878" s="173"/>
      <c r="BW878" s="173"/>
      <c r="BX878" s="173"/>
      <c r="BY878" s="173"/>
    </row>
    <row r="879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  <c r="AD879" s="173"/>
      <c r="AE879" s="173"/>
      <c r="AF879" s="173"/>
      <c r="AG879" s="173"/>
      <c r="AH879" s="173"/>
      <c r="AI879" s="173"/>
      <c r="AJ879" s="173"/>
      <c r="AK879" s="173"/>
      <c r="AL879" s="173"/>
      <c r="AM879" s="173"/>
      <c r="AN879" s="173"/>
      <c r="AO879" s="173"/>
      <c r="AP879" s="173"/>
      <c r="AQ879" s="173"/>
      <c r="AR879" s="173"/>
      <c r="AS879" s="173"/>
      <c r="AT879" s="173"/>
      <c r="AU879" s="173"/>
      <c r="AV879" s="173"/>
      <c r="AW879" s="173"/>
      <c r="AX879" s="173"/>
      <c r="AY879" s="173"/>
      <c r="AZ879" s="173"/>
      <c r="BA879" s="173"/>
      <c r="BB879" s="173"/>
      <c r="BC879" s="173"/>
      <c r="BD879" s="173"/>
      <c r="BE879" s="173"/>
      <c r="BF879" s="173"/>
      <c r="BG879" s="173"/>
      <c r="BH879" s="173"/>
      <c r="BI879" s="173"/>
      <c r="BJ879" s="173"/>
      <c r="BK879" s="173"/>
      <c r="BL879" s="173"/>
      <c r="BM879" s="173"/>
      <c r="BN879" s="173"/>
      <c r="BO879" s="173"/>
      <c r="BP879" s="173"/>
      <c r="BQ879" s="173"/>
      <c r="BR879" s="173"/>
      <c r="BS879" s="173"/>
      <c r="BT879" s="173"/>
      <c r="BU879" s="173"/>
      <c r="BV879" s="173"/>
      <c r="BW879" s="173"/>
      <c r="BX879" s="173"/>
      <c r="BY879" s="173"/>
    </row>
    <row r="880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  <c r="AD880" s="173"/>
      <c r="AE880" s="173"/>
      <c r="AF880" s="173"/>
      <c r="AG880" s="173"/>
      <c r="AH880" s="173"/>
      <c r="AI880" s="173"/>
      <c r="AJ880" s="173"/>
      <c r="AK880" s="173"/>
      <c r="AL880" s="173"/>
      <c r="AM880" s="173"/>
      <c r="AN880" s="173"/>
      <c r="AO880" s="173"/>
      <c r="AP880" s="173"/>
      <c r="AQ880" s="173"/>
      <c r="AR880" s="173"/>
      <c r="AS880" s="173"/>
      <c r="AT880" s="173"/>
      <c r="AU880" s="173"/>
      <c r="AV880" s="173"/>
      <c r="AW880" s="173"/>
      <c r="AX880" s="173"/>
      <c r="AY880" s="173"/>
      <c r="AZ880" s="173"/>
      <c r="BA880" s="173"/>
      <c r="BB880" s="173"/>
      <c r="BC880" s="173"/>
      <c r="BD880" s="173"/>
      <c r="BE880" s="173"/>
      <c r="BF880" s="173"/>
      <c r="BG880" s="173"/>
      <c r="BH880" s="173"/>
      <c r="BI880" s="173"/>
      <c r="BJ880" s="173"/>
      <c r="BK880" s="173"/>
      <c r="BL880" s="173"/>
      <c r="BM880" s="173"/>
      <c r="BN880" s="173"/>
      <c r="BO880" s="173"/>
      <c r="BP880" s="173"/>
      <c r="BQ880" s="173"/>
      <c r="BR880" s="173"/>
      <c r="BS880" s="173"/>
      <c r="BT880" s="173"/>
      <c r="BU880" s="173"/>
      <c r="BV880" s="173"/>
      <c r="BW880" s="173"/>
      <c r="BX880" s="173"/>
      <c r="BY880" s="173"/>
    </row>
    <row r="88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  <c r="AD881" s="173"/>
      <c r="AE881" s="173"/>
      <c r="AF881" s="173"/>
      <c r="AG881" s="173"/>
      <c r="AH881" s="173"/>
      <c r="AI881" s="173"/>
      <c r="AJ881" s="173"/>
      <c r="AK881" s="173"/>
      <c r="AL881" s="173"/>
      <c r="AM881" s="173"/>
      <c r="AN881" s="173"/>
      <c r="AO881" s="173"/>
      <c r="AP881" s="173"/>
      <c r="AQ881" s="173"/>
      <c r="AR881" s="173"/>
      <c r="AS881" s="173"/>
      <c r="AT881" s="173"/>
      <c r="AU881" s="173"/>
      <c r="AV881" s="173"/>
      <c r="AW881" s="173"/>
      <c r="AX881" s="173"/>
      <c r="AY881" s="173"/>
      <c r="AZ881" s="173"/>
      <c r="BA881" s="173"/>
      <c r="BB881" s="173"/>
      <c r="BC881" s="173"/>
      <c r="BD881" s="173"/>
      <c r="BE881" s="173"/>
      <c r="BF881" s="173"/>
      <c r="BG881" s="173"/>
      <c r="BH881" s="173"/>
      <c r="BI881" s="173"/>
      <c r="BJ881" s="173"/>
      <c r="BK881" s="173"/>
      <c r="BL881" s="173"/>
      <c r="BM881" s="173"/>
      <c r="BN881" s="173"/>
      <c r="BO881" s="173"/>
      <c r="BP881" s="173"/>
      <c r="BQ881" s="173"/>
      <c r="BR881" s="173"/>
      <c r="BS881" s="173"/>
      <c r="BT881" s="173"/>
      <c r="BU881" s="173"/>
      <c r="BV881" s="173"/>
      <c r="BW881" s="173"/>
      <c r="BX881" s="173"/>
      <c r="BY881" s="173"/>
    </row>
    <row r="882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  <c r="AD882" s="173"/>
      <c r="AE882" s="173"/>
      <c r="AF882" s="173"/>
      <c r="AG882" s="173"/>
      <c r="AH882" s="173"/>
      <c r="AI882" s="173"/>
      <c r="AJ882" s="173"/>
      <c r="AK882" s="173"/>
      <c r="AL882" s="173"/>
      <c r="AM882" s="173"/>
      <c r="AN882" s="173"/>
      <c r="AO882" s="173"/>
      <c r="AP882" s="173"/>
      <c r="AQ882" s="173"/>
      <c r="AR882" s="173"/>
      <c r="AS882" s="173"/>
      <c r="AT882" s="173"/>
      <c r="AU882" s="173"/>
      <c r="AV882" s="173"/>
      <c r="AW882" s="173"/>
      <c r="AX882" s="173"/>
      <c r="AY882" s="173"/>
      <c r="AZ882" s="173"/>
      <c r="BA882" s="173"/>
      <c r="BB882" s="173"/>
      <c r="BC882" s="173"/>
      <c r="BD882" s="173"/>
      <c r="BE882" s="173"/>
      <c r="BF882" s="173"/>
      <c r="BG882" s="173"/>
      <c r="BH882" s="173"/>
      <c r="BI882" s="173"/>
      <c r="BJ882" s="173"/>
      <c r="BK882" s="173"/>
      <c r="BL882" s="173"/>
      <c r="BM882" s="173"/>
      <c r="BN882" s="173"/>
      <c r="BO882" s="173"/>
      <c r="BP882" s="173"/>
      <c r="BQ882" s="173"/>
      <c r="BR882" s="173"/>
      <c r="BS882" s="173"/>
      <c r="BT882" s="173"/>
      <c r="BU882" s="173"/>
      <c r="BV882" s="173"/>
      <c r="BW882" s="173"/>
      <c r="BX882" s="173"/>
      <c r="BY882" s="173"/>
    </row>
    <row r="883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  <c r="AD883" s="173"/>
      <c r="AE883" s="173"/>
      <c r="AF883" s="173"/>
      <c r="AG883" s="173"/>
      <c r="AH883" s="173"/>
      <c r="AI883" s="173"/>
      <c r="AJ883" s="173"/>
      <c r="AK883" s="173"/>
      <c r="AL883" s="173"/>
      <c r="AM883" s="173"/>
      <c r="AN883" s="173"/>
      <c r="AO883" s="173"/>
      <c r="AP883" s="173"/>
      <c r="AQ883" s="173"/>
      <c r="AR883" s="173"/>
      <c r="AS883" s="173"/>
      <c r="AT883" s="173"/>
      <c r="AU883" s="173"/>
      <c r="AV883" s="173"/>
      <c r="AW883" s="173"/>
      <c r="AX883" s="173"/>
      <c r="AY883" s="173"/>
      <c r="AZ883" s="173"/>
      <c r="BA883" s="173"/>
      <c r="BB883" s="173"/>
      <c r="BC883" s="173"/>
      <c r="BD883" s="173"/>
      <c r="BE883" s="173"/>
      <c r="BF883" s="173"/>
      <c r="BG883" s="173"/>
      <c r="BH883" s="173"/>
      <c r="BI883" s="173"/>
      <c r="BJ883" s="173"/>
      <c r="BK883" s="173"/>
      <c r="BL883" s="173"/>
      <c r="BM883" s="173"/>
      <c r="BN883" s="173"/>
      <c r="BO883" s="173"/>
      <c r="BP883" s="173"/>
      <c r="BQ883" s="173"/>
      <c r="BR883" s="173"/>
      <c r="BS883" s="173"/>
      <c r="BT883" s="173"/>
      <c r="BU883" s="173"/>
      <c r="BV883" s="173"/>
      <c r="BW883" s="173"/>
      <c r="BX883" s="173"/>
      <c r="BY883" s="173"/>
    </row>
    <row r="884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  <c r="AD884" s="173"/>
      <c r="AE884" s="173"/>
      <c r="AF884" s="173"/>
      <c r="AG884" s="173"/>
      <c r="AH884" s="173"/>
      <c r="AI884" s="173"/>
      <c r="AJ884" s="173"/>
      <c r="AK884" s="173"/>
      <c r="AL884" s="173"/>
      <c r="AM884" s="173"/>
      <c r="AN884" s="173"/>
      <c r="AO884" s="173"/>
      <c r="AP884" s="173"/>
      <c r="AQ884" s="173"/>
      <c r="AR884" s="173"/>
      <c r="AS884" s="173"/>
      <c r="AT884" s="173"/>
      <c r="AU884" s="173"/>
      <c r="AV884" s="173"/>
      <c r="AW884" s="173"/>
      <c r="AX884" s="173"/>
      <c r="AY884" s="173"/>
      <c r="AZ884" s="173"/>
      <c r="BA884" s="173"/>
      <c r="BB884" s="173"/>
      <c r="BC884" s="173"/>
      <c r="BD884" s="173"/>
      <c r="BE884" s="173"/>
      <c r="BF884" s="173"/>
      <c r="BG884" s="173"/>
      <c r="BH884" s="173"/>
      <c r="BI884" s="173"/>
      <c r="BJ884" s="173"/>
      <c r="BK884" s="173"/>
      <c r="BL884" s="173"/>
      <c r="BM884" s="173"/>
      <c r="BN884" s="173"/>
      <c r="BO884" s="173"/>
      <c r="BP884" s="173"/>
      <c r="BQ884" s="173"/>
      <c r="BR884" s="173"/>
      <c r="BS884" s="173"/>
      <c r="BT884" s="173"/>
      <c r="BU884" s="173"/>
      <c r="BV884" s="173"/>
      <c r="BW884" s="173"/>
      <c r="BX884" s="173"/>
      <c r="BY884" s="173"/>
    </row>
    <row r="885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  <c r="AD885" s="173"/>
      <c r="AE885" s="173"/>
      <c r="AF885" s="173"/>
      <c r="AG885" s="173"/>
      <c r="AH885" s="173"/>
      <c r="AI885" s="173"/>
      <c r="AJ885" s="173"/>
      <c r="AK885" s="173"/>
      <c r="AL885" s="173"/>
      <c r="AM885" s="173"/>
      <c r="AN885" s="173"/>
      <c r="AO885" s="173"/>
      <c r="AP885" s="173"/>
      <c r="AQ885" s="173"/>
      <c r="AR885" s="173"/>
      <c r="AS885" s="173"/>
      <c r="AT885" s="173"/>
      <c r="AU885" s="173"/>
      <c r="AV885" s="173"/>
      <c r="AW885" s="173"/>
      <c r="AX885" s="173"/>
      <c r="AY885" s="173"/>
      <c r="AZ885" s="173"/>
      <c r="BA885" s="173"/>
      <c r="BB885" s="173"/>
      <c r="BC885" s="173"/>
      <c r="BD885" s="173"/>
      <c r="BE885" s="173"/>
      <c r="BF885" s="173"/>
      <c r="BG885" s="173"/>
      <c r="BH885" s="173"/>
      <c r="BI885" s="173"/>
      <c r="BJ885" s="173"/>
      <c r="BK885" s="173"/>
      <c r="BL885" s="173"/>
      <c r="BM885" s="173"/>
      <c r="BN885" s="173"/>
      <c r="BO885" s="173"/>
      <c r="BP885" s="173"/>
      <c r="BQ885" s="173"/>
      <c r="BR885" s="173"/>
      <c r="BS885" s="173"/>
      <c r="BT885" s="173"/>
      <c r="BU885" s="173"/>
      <c r="BV885" s="173"/>
      <c r="BW885" s="173"/>
      <c r="BX885" s="173"/>
      <c r="BY885" s="173"/>
    </row>
    <row r="886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  <c r="AD886" s="173"/>
      <c r="AE886" s="173"/>
      <c r="AF886" s="173"/>
      <c r="AG886" s="173"/>
      <c r="AH886" s="173"/>
      <c r="AI886" s="173"/>
      <c r="AJ886" s="173"/>
      <c r="AK886" s="173"/>
      <c r="AL886" s="173"/>
      <c r="AM886" s="173"/>
      <c r="AN886" s="173"/>
      <c r="AO886" s="173"/>
      <c r="AP886" s="173"/>
      <c r="AQ886" s="173"/>
      <c r="AR886" s="173"/>
      <c r="AS886" s="173"/>
      <c r="AT886" s="173"/>
      <c r="AU886" s="173"/>
      <c r="AV886" s="173"/>
      <c r="AW886" s="173"/>
      <c r="AX886" s="173"/>
      <c r="AY886" s="173"/>
      <c r="AZ886" s="173"/>
      <c r="BA886" s="173"/>
      <c r="BB886" s="173"/>
      <c r="BC886" s="173"/>
      <c r="BD886" s="173"/>
      <c r="BE886" s="173"/>
      <c r="BF886" s="173"/>
      <c r="BG886" s="173"/>
      <c r="BH886" s="173"/>
      <c r="BI886" s="173"/>
      <c r="BJ886" s="173"/>
      <c r="BK886" s="173"/>
      <c r="BL886" s="173"/>
      <c r="BM886" s="173"/>
      <c r="BN886" s="173"/>
      <c r="BO886" s="173"/>
      <c r="BP886" s="173"/>
      <c r="BQ886" s="173"/>
      <c r="BR886" s="173"/>
      <c r="BS886" s="173"/>
      <c r="BT886" s="173"/>
      <c r="BU886" s="173"/>
      <c r="BV886" s="173"/>
      <c r="BW886" s="173"/>
      <c r="BX886" s="173"/>
      <c r="BY886" s="173"/>
    </row>
    <row r="887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  <c r="AD887" s="173"/>
      <c r="AE887" s="173"/>
      <c r="AF887" s="173"/>
      <c r="AG887" s="173"/>
      <c r="AH887" s="173"/>
      <c r="AI887" s="173"/>
      <c r="AJ887" s="173"/>
      <c r="AK887" s="173"/>
      <c r="AL887" s="173"/>
      <c r="AM887" s="173"/>
      <c r="AN887" s="173"/>
      <c r="AO887" s="173"/>
      <c r="AP887" s="173"/>
      <c r="AQ887" s="173"/>
      <c r="AR887" s="173"/>
      <c r="AS887" s="173"/>
      <c r="AT887" s="173"/>
      <c r="AU887" s="173"/>
      <c r="AV887" s="173"/>
      <c r="AW887" s="173"/>
      <c r="AX887" s="173"/>
      <c r="AY887" s="173"/>
      <c r="AZ887" s="173"/>
      <c r="BA887" s="173"/>
      <c r="BB887" s="173"/>
      <c r="BC887" s="173"/>
      <c r="BD887" s="173"/>
      <c r="BE887" s="173"/>
      <c r="BF887" s="173"/>
      <c r="BG887" s="173"/>
      <c r="BH887" s="173"/>
      <c r="BI887" s="173"/>
      <c r="BJ887" s="173"/>
      <c r="BK887" s="173"/>
      <c r="BL887" s="173"/>
      <c r="BM887" s="173"/>
      <c r="BN887" s="173"/>
      <c r="BO887" s="173"/>
      <c r="BP887" s="173"/>
      <c r="BQ887" s="173"/>
      <c r="BR887" s="173"/>
      <c r="BS887" s="173"/>
      <c r="BT887" s="173"/>
      <c r="BU887" s="173"/>
      <c r="BV887" s="173"/>
      <c r="BW887" s="173"/>
      <c r="BX887" s="173"/>
      <c r="BY887" s="173"/>
    </row>
    <row r="888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  <c r="AD888" s="173"/>
      <c r="AE888" s="173"/>
      <c r="AF888" s="173"/>
      <c r="AG888" s="173"/>
      <c r="AH888" s="173"/>
      <c r="AI888" s="173"/>
      <c r="AJ888" s="173"/>
      <c r="AK888" s="173"/>
      <c r="AL888" s="173"/>
      <c r="AM888" s="173"/>
      <c r="AN888" s="173"/>
      <c r="AO888" s="173"/>
      <c r="AP888" s="173"/>
      <c r="AQ888" s="173"/>
      <c r="AR888" s="173"/>
      <c r="AS888" s="173"/>
      <c r="AT888" s="173"/>
      <c r="AU888" s="173"/>
      <c r="AV888" s="173"/>
      <c r="AW888" s="173"/>
      <c r="AX888" s="173"/>
      <c r="AY888" s="173"/>
      <c r="AZ888" s="173"/>
      <c r="BA888" s="173"/>
      <c r="BB888" s="173"/>
      <c r="BC888" s="173"/>
      <c r="BD888" s="173"/>
      <c r="BE888" s="173"/>
      <c r="BF888" s="173"/>
      <c r="BG888" s="173"/>
      <c r="BH888" s="173"/>
      <c r="BI888" s="173"/>
      <c r="BJ888" s="173"/>
      <c r="BK888" s="173"/>
      <c r="BL888" s="173"/>
      <c r="BM888" s="173"/>
      <c r="BN888" s="173"/>
      <c r="BO888" s="173"/>
      <c r="BP888" s="173"/>
      <c r="BQ888" s="173"/>
      <c r="BR888" s="173"/>
      <c r="BS888" s="173"/>
      <c r="BT888" s="173"/>
      <c r="BU888" s="173"/>
      <c r="BV888" s="173"/>
      <c r="BW888" s="173"/>
      <c r="BX888" s="173"/>
      <c r="BY888" s="173"/>
    </row>
    <row r="889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  <c r="AD889" s="173"/>
      <c r="AE889" s="173"/>
      <c r="AF889" s="173"/>
      <c r="AG889" s="173"/>
      <c r="AH889" s="173"/>
      <c r="AI889" s="173"/>
      <c r="AJ889" s="173"/>
      <c r="AK889" s="173"/>
      <c r="AL889" s="173"/>
      <c r="AM889" s="173"/>
      <c r="AN889" s="173"/>
      <c r="AO889" s="173"/>
      <c r="AP889" s="173"/>
      <c r="AQ889" s="173"/>
      <c r="AR889" s="173"/>
      <c r="AS889" s="173"/>
      <c r="AT889" s="173"/>
      <c r="AU889" s="173"/>
      <c r="AV889" s="173"/>
      <c r="AW889" s="173"/>
      <c r="AX889" s="173"/>
      <c r="AY889" s="173"/>
      <c r="AZ889" s="173"/>
      <c r="BA889" s="173"/>
      <c r="BB889" s="173"/>
      <c r="BC889" s="173"/>
      <c r="BD889" s="173"/>
      <c r="BE889" s="173"/>
      <c r="BF889" s="173"/>
      <c r="BG889" s="173"/>
      <c r="BH889" s="173"/>
      <c r="BI889" s="173"/>
      <c r="BJ889" s="173"/>
      <c r="BK889" s="173"/>
      <c r="BL889" s="173"/>
      <c r="BM889" s="173"/>
      <c r="BN889" s="173"/>
      <c r="BO889" s="173"/>
      <c r="BP889" s="173"/>
      <c r="BQ889" s="173"/>
      <c r="BR889" s="173"/>
      <c r="BS889" s="173"/>
      <c r="BT889" s="173"/>
      <c r="BU889" s="173"/>
      <c r="BV889" s="173"/>
      <c r="BW889" s="173"/>
      <c r="BX889" s="173"/>
      <c r="BY889" s="173"/>
    </row>
    <row r="890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  <c r="AD890" s="173"/>
      <c r="AE890" s="173"/>
      <c r="AF890" s="173"/>
      <c r="AG890" s="173"/>
      <c r="AH890" s="173"/>
      <c r="AI890" s="173"/>
      <c r="AJ890" s="173"/>
      <c r="AK890" s="173"/>
      <c r="AL890" s="173"/>
      <c r="AM890" s="173"/>
      <c r="AN890" s="173"/>
      <c r="AO890" s="173"/>
      <c r="AP890" s="173"/>
      <c r="AQ890" s="173"/>
      <c r="AR890" s="173"/>
      <c r="AS890" s="173"/>
      <c r="AT890" s="173"/>
      <c r="AU890" s="173"/>
      <c r="AV890" s="173"/>
      <c r="AW890" s="173"/>
      <c r="AX890" s="173"/>
      <c r="AY890" s="173"/>
      <c r="AZ890" s="173"/>
      <c r="BA890" s="173"/>
      <c r="BB890" s="173"/>
      <c r="BC890" s="173"/>
      <c r="BD890" s="173"/>
      <c r="BE890" s="173"/>
      <c r="BF890" s="173"/>
      <c r="BG890" s="173"/>
      <c r="BH890" s="173"/>
      <c r="BI890" s="173"/>
      <c r="BJ890" s="173"/>
      <c r="BK890" s="173"/>
      <c r="BL890" s="173"/>
      <c r="BM890" s="173"/>
      <c r="BN890" s="173"/>
      <c r="BO890" s="173"/>
      <c r="BP890" s="173"/>
      <c r="BQ890" s="173"/>
      <c r="BR890" s="173"/>
      <c r="BS890" s="173"/>
      <c r="BT890" s="173"/>
      <c r="BU890" s="173"/>
      <c r="BV890" s="173"/>
      <c r="BW890" s="173"/>
      <c r="BX890" s="173"/>
      <c r="BY890" s="173"/>
    </row>
    <row r="89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  <c r="AE891" s="173"/>
      <c r="AF891" s="173"/>
      <c r="AG891" s="173"/>
      <c r="AH891" s="173"/>
      <c r="AI891" s="173"/>
      <c r="AJ891" s="173"/>
      <c r="AK891" s="173"/>
      <c r="AL891" s="173"/>
      <c r="AM891" s="173"/>
      <c r="AN891" s="173"/>
      <c r="AO891" s="173"/>
      <c r="AP891" s="173"/>
      <c r="AQ891" s="173"/>
      <c r="AR891" s="173"/>
      <c r="AS891" s="173"/>
      <c r="AT891" s="173"/>
      <c r="AU891" s="173"/>
      <c r="AV891" s="173"/>
      <c r="AW891" s="173"/>
      <c r="AX891" s="173"/>
      <c r="AY891" s="173"/>
      <c r="AZ891" s="173"/>
      <c r="BA891" s="173"/>
      <c r="BB891" s="173"/>
      <c r="BC891" s="173"/>
      <c r="BD891" s="173"/>
      <c r="BE891" s="173"/>
      <c r="BF891" s="173"/>
      <c r="BG891" s="173"/>
      <c r="BH891" s="173"/>
      <c r="BI891" s="173"/>
      <c r="BJ891" s="173"/>
      <c r="BK891" s="173"/>
      <c r="BL891" s="173"/>
      <c r="BM891" s="173"/>
      <c r="BN891" s="173"/>
      <c r="BO891" s="173"/>
      <c r="BP891" s="173"/>
      <c r="BQ891" s="173"/>
      <c r="BR891" s="173"/>
      <c r="BS891" s="173"/>
      <c r="BT891" s="173"/>
      <c r="BU891" s="173"/>
      <c r="BV891" s="173"/>
      <c r="BW891" s="173"/>
      <c r="BX891" s="173"/>
      <c r="BY891" s="173"/>
    </row>
    <row r="892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  <c r="AE892" s="173"/>
      <c r="AF892" s="173"/>
      <c r="AG892" s="173"/>
      <c r="AH892" s="173"/>
      <c r="AI892" s="173"/>
      <c r="AJ892" s="173"/>
      <c r="AK892" s="173"/>
      <c r="AL892" s="173"/>
      <c r="AM892" s="173"/>
      <c r="AN892" s="173"/>
      <c r="AO892" s="173"/>
      <c r="AP892" s="173"/>
      <c r="AQ892" s="173"/>
      <c r="AR892" s="173"/>
      <c r="AS892" s="173"/>
      <c r="AT892" s="173"/>
      <c r="AU892" s="173"/>
      <c r="AV892" s="173"/>
      <c r="AW892" s="173"/>
      <c r="AX892" s="173"/>
      <c r="AY892" s="173"/>
      <c r="AZ892" s="173"/>
      <c r="BA892" s="173"/>
      <c r="BB892" s="173"/>
      <c r="BC892" s="173"/>
      <c r="BD892" s="173"/>
      <c r="BE892" s="173"/>
      <c r="BF892" s="173"/>
      <c r="BG892" s="173"/>
      <c r="BH892" s="173"/>
      <c r="BI892" s="173"/>
      <c r="BJ892" s="173"/>
      <c r="BK892" s="173"/>
      <c r="BL892" s="173"/>
      <c r="BM892" s="173"/>
      <c r="BN892" s="173"/>
      <c r="BO892" s="173"/>
      <c r="BP892" s="173"/>
      <c r="BQ892" s="173"/>
      <c r="BR892" s="173"/>
      <c r="BS892" s="173"/>
      <c r="BT892" s="173"/>
      <c r="BU892" s="173"/>
      <c r="BV892" s="173"/>
      <c r="BW892" s="173"/>
      <c r="BX892" s="173"/>
      <c r="BY892" s="173"/>
    </row>
    <row r="893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  <c r="AE893" s="173"/>
      <c r="AF893" s="173"/>
      <c r="AG893" s="173"/>
      <c r="AH893" s="173"/>
      <c r="AI893" s="173"/>
      <c r="AJ893" s="173"/>
      <c r="AK893" s="173"/>
      <c r="AL893" s="173"/>
      <c r="AM893" s="173"/>
      <c r="AN893" s="173"/>
      <c r="AO893" s="173"/>
      <c r="AP893" s="173"/>
      <c r="AQ893" s="173"/>
      <c r="AR893" s="173"/>
      <c r="AS893" s="173"/>
      <c r="AT893" s="173"/>
      <c r="AU893" s="173"/>
      <c r="AV893" s="173"/>
      <c r="AW893" s="173"/>
      <c r="AX893" s="173"/>
      <c r="AY893" s="173"/>
      <c r="AZ893" s="173"/>
      <c r="BA893" s="173"/>
      <c r="BB893" s="173"/>
      <c r="BC893" s="173"/>
      <c r="BD893" s="173"/>
      <c r="BE893" s="173"/>
      <c r="BF893" s="173"/>
      <c r="BG893" s="173"/>
      <c r="BH893" s="173"/>
      <c r="BI893" s="173"/>
      <c r="BJ893" s="173"/>
      <c r="BK893" s="173"/>
      <c r="BL893" s="173"/>
      <c r="BM893" s="173"/>
      <c r="BN893" s="173"/>
      <c r="BO893" s="173"/>
      <c r="BP893" s="173"/>
      <c r="BQ893" s="173"/>
      <c r="BR893" s="173"/>
      <c r="BS893" s="173"/>
      <c r="BT893" s="173"/>
      <c r="BU893" s="173"/>
      <c r="BV893" s="173"/>
      <c r="BW893" s="173"/>
      <c r="BX893" s="173"/>
      <c r="BY893" s="173"/>
    </row>
    <row r="894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  <c r="AE894" s="173"/>
      <c r="AF894" s="173"/>
      <c r="AG894" s="173"/>
      <c r="AH894" s="173"/>
      <c r="AI894" s="173"/>
      <c r="AJ894" s="173"/>
      <c r="AK894" s="173"/>
      <c r="AL894" s="173"/>
      <c r="AM894" s="173"/>
      <c r="AN894" s="173"/>
      <c r="AO894" s="173"/>
      <c r="AP894" s="173"/>
      <c r="AQ894" s="173"/>
      <c r="AR894" s="173"/>
      <c r="AS894" s="173"/>
      <c r="AT894" s="173"/>
      <c r="AU894" s="173"/>
      <c r="AV894" s="173"/>
      <c r="AW894" s="173"/>
      <c r="AX894" s="173"/>
      <c r="AY894" s="173"/>
      <c r="AZ894" s="173"/>
      <c r="BA894" s="173"/>
      <c r="BB894" s="173"/>
      <c r="BC894" s="173"/>
      <c r="BD894" s="173"/>
      <c r="BE894" s="173"/>
      <c r="BF894" s="173"/>
      <c r="BG894" s="173"/>
      <c r="BH894" s="173"/>
      <c r="BI894" s="173"/>
      <c r="BJ894" s="173"/>
      <c r="BK894" s="173"/>
      <c r="BL894" s="173"/>
      <c r="BM894" s="173"/>
      <c r="BN894" s="173"/>
      <c r="BO894" s="173"/>
      <c r="BP894" s="173"/>
      <c r="BQ894" s="173"/>
      <c r="BR894" s="173"/>
      <c r="BS894" s="173"/>
      <c r="BT894" s="173"/>
      <c r="BU894" s="173"/>
      <c r="BV894" s="173"/>
      <c r="BW894" s="173"/>
      <c r="BX894" s="173"/>
      <c r="BY894" s="173"/>
    </row>
    <row r="895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  <c r="AE895" s="173"/>
      <c r="AF895" s="173"/>
      <c r="AG895" s="173"/>
      <c r="AH895" s="173"/>
      <c r="AI895" s="173"/>
      <c r="AJ895" s="173"/>
      <c r="AK895" s="173"/>
      <c r="AL895" s="173"/>
      <c r="AM895" s="173"/>
      <c r="AN895" s="173"/>
      <c r="AO895" s="173"/>
      <c r="AP895" s="173"/>
      <c r="AQ895" s="173"/>
      <c r="AR895" s="173"/>
      <c r="AS895" s="173"/>
      <c r="AT895" s="173"/>
      <c r="AU895" s="173"/>
      <c r="AV895" s="173"/>
      <c r="AW895" s="173"/>
      <c r="AX895" s="173"/>
      <c r="AY895" s="173"/>
      <c r="AZ895" s="173"/>
      <c r="BA895" s="173"/>
      <c r="BB895" s="173"/>
      <c r="BC895" s="173"/>
      <c r="BD895" s="173"/>
      <c r="BE895" s="173"/>
      <c r="BF895" s="173"/>
      <c r="BG895" s="173"/>
      <c r="BH895" s="173"/>
      <c r="BI895" s="173"/>
      <c r="BJ895" s="173"/>
      <c r="BK895" s="173"/>
      <c r="BL895" s="173"/>
      <c r="BM895" s="173"/>
      <c r="BN895" s="173"/>
      <c r="BO895" s="173"/>
      <c r="BP895" s="173"/>
      <c r="BQ895" s="173"/>
      <c r="BR895" s="173"/>
      <c r="BS895" s="173"/>
      <c r="BT895" s="173"/>
      <c r="BU895" s="173"/>
      <c r="BV895" s="173"/>
      <c r="BW895" s="173"/>
      <c r="BX895" s="173"/>
      <c r="BY895" s="173"/>
    </row>
    <row r="896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  <c r="AD896" s="173"/>
      <c r="AE896" s="173"/>
      <c r="AF896" s="173"/>
      <c r="AG896" s="173"/>
      <c r="AH896" s="173"/>
      <c r="AI896" s="173"/>
      <c r="AJ896" s="173"/>
      <c r="AK896" s="173"/>
      <c r="AL896" s="173"/>
      <c r="AM896" s="173"/>
      <c r="AN896" s="173"/>
      <c r="AO896" s="173"/>
      <c r="AP896" s="173"/>
      <c r="AQ896" s="173"/>
      <c r="AR896" s="173"/>
      <c r="AS896" s="173"/>
      <c r="AT896" s="173"/>
      <c r="AU896" s="173"/>
      <c r="AV896" s="173"/>
      <c r="AW896" s="173"/>
      <c r="AX896" s="173"/>
      <c r="AY896" s="173"/>
      <c r="AZ896" s="173"/>
      <c r="BA896" s="173"/>
      <c r="BB896" s="173"/>
      <c r="BC896" s="173"/>
      <c r="BD896" s="173"/>
      <c r="BE896" s="173"/>
      <c r="BF896" s="173"/>
      <c r="BG896" s="173"/>
      <c r="BH896" s="173"/>
      <c r="BI896" s="173"/>
      <c r="BJ896" s="173"/>
      <c r="BK896" s="173"/>
      <c r="BL896" s="173"/>
      <c r="BM896" s="173"/>
      <c r="BN896" s="173"/>
      <c r="BO896" s="173"/>
      <c r="BP896" s="173"/>
      <c r="BQ896" s="173"/>
      <c r="BR896" s="173"/>
      <c r="BS896" s="173"/>
      <c r="BT896" s="173"/>
      <c r="BU896" s="173"/>
      <c r="BV896" s="173"/>
      <c r="BW896" s="173"/>
      <c r="BX896" s="173"/>
      <c r="BY896" s="173"/>
    </row>
    <row r="897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  <c r="AD897" s="173"/>
      <c r="AE897" s="173"/>
      <c r="AF897" s="173"/>
      <c r="AG897" s="173"/>
      <c r="AH897" s="173"/>
      <c r="AI897" s="173"/>
      <c r="AJ897" s="173"/>
      <c r="AK897" s="173"/>
      <c r="AL897" s="173"/>
      <c r="AM897" s="173"/>
      <c r="AN897" s="173"/>
      <c r="AO897" s="173"/>
      <c r="AP897" s="173"/>
      <c r="AQ897" s="173"/>
      <c r="AR897" s="173"/>
      <c r="AS897" s="173"/>
      <c r="AT897" s="173"/>
      <c r="AU897" s="173"/>
      <c r="AV897" s="173"/>
      <c r="AW897" s="173"/>
      <c r="AX897" s="173"/>
      <c r="AY897" s="173"/>
      <c r="AZ897" s="173"/>
      <c r="BA897" s="173"/>
      <c r="BB897" s="173"/>
      <c r="BC897" s="173"/>
      <c r="BD897" s="173"/>
      <c r="BE897" s="173"/>
      <c r="BF897" s="173"/>
      <c r="BG897" s="173"/>
      <c r="BH897" s="173"/>
      <c r="BI897" s="173"/>
      <c r="BJ897" s="173"/>
      <c r="BK897" s="173"/>
      <c r="BL897" s="173"/>
      <c r="BM897" s="173"/>
      <c r="BN897" s="173"/>
      <c r="BO897" s="173"/>
      <c r="BP897" s="173"/>
      <c r="BQ897" s="173"/>
      <c r="BR897" s="173"/>
      <c r="BS897" s="173"/>
      <c r="BT897" s="173"/>
      <c r="BU897" s="173"/>
      <c r="BV897" s="173"/>
      <c r="BW897" s="173"/>
      <c r="BX897" s="173"/>
      <c r="BY897" s="173"/>
    </row>
    <row r="898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  <c r="AD898" s="173"/>
      <c r="AE898" s="173"/>
      <c r="AF898" s="173"/>
      <c r="AG898" s="173"/>
      <c r="AH898" s="173"/>
      <c r="AI898" s="173"/>
      <c r="AJ898" s="173"/>
      <c r="AK898" s="173"/>
      <c r="AL898" s="173"/>
      <c r="AM898" s="173"/>
      <c r="AN898" s="173"/>
      <c r="AO898" s="173"/>
      <c r="AP898" s="173"/>
      <c r="AQ898" s="173"/>
      <c r="AR898" s="173"/>
      <c r="AS898" s="173"/>
      <c r="AT898" s="173"/>
      <c r="AU898" s="173"/>
      <c r="AV898" s="173"/>
      <c r="AW898" s="173"/>
      <c r="AX898" s="173"/>
      <c r="AY898" s="173"/>
      <c r="AZ898" s="173"/>
      <c r="BA898" s="173"/>
      <c r="BB898" s="173"/>
      <c r="BC898" s="173"/>
      <c r="BD898" s="173"/>
      <c r="BE898" s="173"/>
      <c r="BF898" s="173"/>
      <c r="BG898" s="173"/>
      <c r="BH898" s="173"/>
      <c r="BI898" s="173"/>
      <c r="BJ898" s="173"/>
      <c r="BK898" s="173"/>
      <c r="BL898" s="173"/>
      <c r="BM898" s="173"/>
      <c r="BN898" s="173"/>
      <c r="BO898" s="173"/>
      <c r="BP898" s="173"/>
      <c r="BQ898" s="173"/>
      <c r="BR898" s="173"/>
      <c r="BS898" s="173"/>
      <c r="BT898" s="173"/>
      <c r="BU898" s="173"/>
      <c r="BV898" s="173"/>
      <c r="BW898" s="173"/>
      <c r="BX898" s="173"/>
      <c r="BY898" s="173"/>
    </row>
    <row r="899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  <c r="AD899" s="173"/>
      <c r="AE899" s="173"/>
      <c r="AF899" s="173"/>
      <c r="AG899" s="173"/>
      <c r="AH899" s="173"/>
      <c r="AI899" s="173"/>
      <c r="AJ899" s="173"/>
      <c r="AK899" s="173"/>
      <c r="AL899" s="173"/>
      <c r="AM899" s="173"/>
      <c r="AN899" s="173"/>
      <c r="AO899" s="173"/>
      <c r="AP899" s="173"/>
      <c r="AQ899" s="173"/>
      <c r="AR899" s="173"/>
      <c r="AS899" s="173"/>
      <c r="AT899" s="173"/>
      <c r="AU899" s="173"/>
      <c r="AV899" s="173"/>
      <c r="AW899" s="173"/>
      <c r="AX899" s="173"/>
      <c r="AY899" s="173"/>
      <c r="AZ899" s="173"/>
      <c r="BA899" s="173"/>
      <c r="BB899" s="173"/>
      <c r="BC899" s="173"/>
      <c r="BD899" s="173"/>
      <c r="BE899" s="173"/>
      <c r="BF899" s="173"/>
      <c r="BG899" s="173"/>
      <c r="BH899" s="173"/>
      <c r="BI899" s="173"/>
      <c r="BJ899" s="173"/>
      <c r="BK899" s="173"/>
      <c r="BL899" s="173"/>
      <c r="BM899" s="173"/>
      <c r="BN899" s="173"/>
      <c r="BO899" s="173"/>
      <c r="BP899" s="173"/>
      <c r="BQ899" s="173"/>
      <c r="BR899" s="173"/>
      <c r="BS899" s="173"/>
      <c r="BT899" s="173"/>
      <c r="BU899" s="173"/>
      <c r="BV899" s="173"/>
      <c r="BW899" s="173"/>
      <c r="BX899" s="173"/>
      <c r="BY899" s="173"/>
    </row>
    <row r="900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  <c r="AD900" s="173"/>
      <c r="AE900" s="173"/>
      <c r="AF900" s="173"/>
      <c r="AG900" s="173"/>
      <c r="AH900" s="173"/>
      <c r="AI900" s="173"/>
      <c r="AJ900" s="173"/>
      <c r="AK900" s="173"/>
      <c r="AL900" s="173"/>
      <c r="AM900" s="173"/>
      <c r="AN900" s="173"/>
      <c r="AO900" s="173"/>
      <c r="AP900" s="173"/>
      <c r="AQ900" s="173"/>
      <c r="AR900" s="173"/>
      <c r="AS900" s="173"/>
      <c r="AT900" s="173"/>
      <c r="AU900" s="173"/>
      <c r="AV900" s="173"/>
      <c r="AW900" s="173"/>
      <c r="AX900" s="173"/>
      <c r="AY900" s="173"/>
      <c r="AZ900" s="173"/>
      <c r="BA900" s="173"/>
      <c r="BB900" s="173"/>
      <c r="BC900" s="173"/>
      <c r="BD900" s="173"/>
      <c r="BE900" s="173"/>
      <c r="BF900" s="173"/>
      <c r="BG900" s="173"/>
      <c r="BH900" s="173"/>
      <c r="BI900" s="173"/>
      <c r="BJ900" s="173"/>
      <c r="BK900" s="173"/>
      <c r="BL900" s="173"/>
      <c r="BM900" s="173"/>
      <c r="BN900" s="173"/>
      <c r="BO900" s="173"/>
      <c r="BP900" s="173"/>
      <c r="BQ900" s="173"/>
      <c r="BR900" s="173"/>
      <c r="BS900" s="173"/>
      <c r="BT900" s="173"/>
      <c r="BU900" s="173"/>
      <c r="BV900" s="173"/>
      <c r="BW900" s="173"/>
      <c r="BX900" s="173"/>
      <c r="BY900" s="173"/>
    </row>
    <row r="90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  <c r="AD901" s="173"/>
      <c r="AE901" s="173"/>
      <c r="AF901" s="173"/>
      <c r="AG901" s="173"/>
      <c r="AH901" s="173"/>
      <c r="AI901" s="173"/>
      <c r="AJ901" s="173"/>
      <c r="AK901" s="173"/>
      <c r="AL901" s="173"/>
      <c r="AM901" s="173"/>
      <c r="AN901" s="173"/>
      <c r="AO901" s="173"/>
      <c r="AP901" s="173"/>
      <c r="AQ901" s="173"/>
      <c r="AR901" s="173"/>
      <c r="AS901" s="173"/>
      <c r="AT901" s="173"/>
      <c r="AU901" s="173"/>
      <c r="AV901" s="173"/>
      <c r="AW901" s="173"/>
      <c r="AX901" s="173"/>
      <c r="AY901" s="173"/>
      <c r="AZ901" s="173"/>
      <c r="BA901" s="173"/>
      <c r="BB901" s="173"/>
      <c r="BC901" s="173"/>
      <c r="BD901" s="173"/>
      <c r="BE901" s="173"/>
      <c r="BF901" s="173"/>
      <c r="BG901" s="173"/>
      <c r="BH901" s="173"/>
      <c r="BI901" s="173"/>
      <c r="BJ901" s="173"/>
      <c r="BK901" s="173"/>
      <c r="BL901" s="173"/>
      <c r="BM901" s="173"/>
      <c r="BN901" s="173"/>
      <c r="BO901" s="173"/>
      <c r="BP901" s="173"/>
      <c r="BQ901" s="173"/>
      <c r="BR901" s="173"/>
      <c r="BS901" s="173"/>
      <c r="BT901" s="173"/>
      <c r="BU901" s="173"/>
      <c r="BV901" s="173"/>
      <c r="BW901" s="173"/>
      <c r="BX901" s="173"/>
      <c r="BY901" s="173"/>
    </row>
    <row r="902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  <c r="AD902" s="173"/>
      <c r="AE902" s="173"/>
      <c r="AF902" s="173"/>
      <c r="AG902" s="173"/>
      <c r="AH902" s="173"/>
      <c r="AI902" s="173"/>
      <c r="AJ902" s="173"/>
      <c r="AK902" s="173"/>
      <c r="AL902" s="173"/>
      <c r="AM902" s="173"/>
      <c r="AN902" s="173"/>
      <c r="AO902" s="173"/>
      <c r="AP902" s="173"/>
      <c r="AQ902" s="173"/>
      <c r="AR902" s="173"/>
      <c r="AS902" s="173"/>
      <c r="AT902" s="173"/>
      <c r="AU902" s="173"/>
      <c r="AV902" s="173"/>
      <c r="AW902" s="173"/>
      <c r="AX902" s="173"/>
      <c r="AY902" s="173"/>
      <c r="AZ902" s="173"/>
      <c r="BA902" s="173"/>
      <c r="BB902" s="173"/>
      <c r="BC902" s="173"/>
      <c r="BD902" s="173"/>
      <c r="BE902" s="173"/>
      <c r="BF902" s="173"/>
      <c r="BG902" s="173"/>
      <c r="BH902" s="173"/>
      <c r="BI902" s="173"/>
      <c r="BJ902" s="173"/>
      <c r="BK902" s="173"/>
      <c r="BL902" s="173"/>
      <c r="BM902" s="173"/>
      <c r="BN902" s="173"/>
      <c r="BO902" s="173"/>
      <c r="BP902" s="173"/>
      <c r="BQ902" s="173"/>
      <c r="BR902" s="173"/>
      <c r="BS902" s="173"/>
      <c r="BT902" s="173"/>
      <c r="BU902" s="173"/>
      <c r="BV902" s="173"/>
      <c r="BW902" s="173"/>
      <c r="BX902" s="173"/>
      <c r="BY902" s="173"/>
    </row>
    <row r="903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  <c r="AD903" s="173"/>
      <c r="AE903" s="173"/>
      <c r="AF903" s="173"/>
      <c r="AG903" s="173"/>
      <c r="AH903" s="173"/>
      <c r="AI903" s="173"/>
      <c r="AJ903" s="173"/>
      <c r="AK903" s="173"/>
      <c r="AL903" s="173"/>
      <c r="AM903" s="173"/>
      <c r="AN903" s="173"/>
      <c r="AO903" s="173"/>
      <c r="AP903" s="173"/>
      <c r="AQ903" s="173"/>
      <c r="AR903" s="173"/>
      <c r="AS903" s="173"/>
      <c r="AT903" s="173"/>
      <c r="AU903" s="173"/>
      <c r="AV903" s="173"/>
      <c r="AW903" s="173"/>
      <c r="AX903" s="173"/>
      <c r="AY903" s="173"/>
      <c r="AZ903" s="173"/>
      <c r="BA903" s="173"/>
      <c r="BB903" s="173"/>
      <c r="BC903" s="173"/>
      <c r="BD903" s="173"/>
      <c r="BE903" s="173"/>
      <c r="BF903" s="173"/>
      <c r="BG903" s="173"/>
      <c r="BH903" s="173"/>
      <c r="BI903" s="173"/>
      <c r="BJ903" s="173"/>
      <c r="BK903" s="173"/>
      <c r="BL903" s="173"/>
      <c r="BM903" s="173"/>
      <c r="BN903" s="173"/>
      <c r="BO903" s="173"/>
      <c r="BP903" s="173"/>
      <c r="BQ903" s="173"/>
      <c r="BR903" s="173"/>
      <c r="BS903" s="173"/>
      <c r="BT903" s="173"/>
      <c r="BU903" s="173"/>
      <c r="BV903" s="173"/>
      <c r="BW903" s="173"/>
      <c r="BX903" s="173"/>
      <c r="BY903" s="173"/>
    </row>
    <row r="904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  <c r="AD904" s="173"/>
      <c r="AE904" s="173"/>
      <c r="AF904" s="173"/>
      <c r="AG904" s="173"/>
      <c r="AH904" s="173"/>
      <c r="AI904" s="173"/>
      <c r="AJ904" s="173"/>
      <c r="AK904" s="173"/>
      <c r="AL904" s="173"/>
      <c r="AM904" s="173"/>
      <c r="AN904" s="173"/>
      <c r="AO904" s="173"/>
      <c r="AP904" s="173"/>
      <c r="AQ904" s="173"/>
      <c r="AR904" s="173"/>
      <c r="AS904" s="173"/>
      <c r="AT904" s="173"/>
      <c r="AU904" s="173"/>
      <c r="AV904" s="173"/>
      <c r="AW904" s="173"/>
      <c r="AX904" s="173"/>
      <c r="AY904" s="173"/>
      <c r="AZ904" s="173"/>
      <c r="BA904" s="173"/>
      <c r="BB904" s="173"/>
      <c r="BC904" s="173"/>
      <c r="BD904" s="173"/>
      <c r="BE904" s="173"/>
      <c r="BF904" s="173"/>
      <c r="BG904" s="173"/>
      <c r="BH904" s="173"/>
      <c r="BI904" s="173"/>
      <c r="BJ904" s="173"/>
      <c r="BK904" s="173"/>
      <c r="BL904" s="173"/>
      <c r="BM904" s="173"/>
      <c r="BN904" s="173"/>
      <c r="BO904" s="173"/>
      <c r="BP904" s="173"/>
      <c r="BQ904" s="173"/>
      <c r="BR904" s="173"/>
      <c r="BS904" s="173"/>
      <c r="BT904" s="173"/>
      <c r="BU904" s="173"/>
      <c r="BV904" s="173"/>
      <c r="BW904" s="173"/>
      <c r="BX904" s="173"/>
      <c r="BY904" s="173"/>
    </row>
    <row r="905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  <c r="AD905" s="173"/>
      <c r="AE905" s="173"/>
      <c r="AF905" s="173"/>
      <c r="AG905" s="173"/>
      <c r="AH905" s="173"/>
      <c r="AI905" s="173"/>
      <c r="AJ905" s="173"/>
      <c r="AK905" s="173"/>
      <c r="AL905" s="173"/>
      <c r="AM905" s="173"/>
      <c r="AN905" s="173"/>
      <c r="AO905" s="173"/>
      <c r="AP905" s="173"/>
      <c r="AQ905" s="173"/>
      <c r="AR905" s="173"/>
      <c r="AS905" s="173"/>
      <c r="AT905" s="173"/>
      <c r="AU905" s="173"/>
      <c r="AV905" s="173"/>
      <c r="AW905" s="173"/>
      <c r="AX905" s="173"/>
      <c r="AY905" s="173"/>
      <c r="AZ905" s="173"/>
      <c r="BA905" s="173"/>
      <c r="BB905" s="173"/>
      <c r="BC905" s="173"/>
      <c r="BD905" s="173"/>
      <c r="BE905" s="173"/>
      <c r="BF905" s="173"/>
      <c r="BG905" s="173"/>
      <c r="BH905" s="173"/>
      <c r="BI905" s="173"/>
      <c r="BJ905" s="173"/>
      <c r="BK905" s="173"/>
      <c r="BL905" s="173"/>
      <c r="BM905" s="173"/>
      <c r="BN905" s="173"/>
      <c r="BO905" s="173"/>
      <c r="BP905" s="173"/>
      <c r="BQ905" s="173"/>
      <c r="BR905" s="173"/>
      <c r="BS905" s="173"/>
      <c r="BT905" s="173"/>
      <c r="BU905" s="173"/>
      <c r="BV905" s="173"/>
      <c r="BW905" s="173"/>
      <c r="BX905" s="173"/>
      <c r="BY905" s="173"/>
    </row>
    <row r="906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  <c r="AD906" s="173"/>
      <c r="AE906" s="173"/>
      <c r="AF906" s="173"/>
      <c r="AG906" s="173"/>
      <c r="AH906" s="173"/>
      <c r="AI906" s="173"/>
      <c r="AJ906" s="173"/>
      <c r="AK906" s="173"/>
      <c r="AL906" s="173"/>
      <c r="AM906" s="173"/>
      <c r="AN906" s="173"/>
      <c r="AO906" s="173"/>
      <c r="AP906" s="173"/>
      <c r="AQ906" s="173"/>
      <c r="AR906" s="173"/>
      <c r="AS906" s="173"/>
      <c r="AT906" s="173"/>
      <c r="AU906" s="173"/>
      <c r="AV906" s="173"/>
      <c r="AW906" s="173"/>
      <c r="AX906" s="173"/>
      <c r="AY906" s="173"/>
      <c r="AZ906" s="173"/>
      <c r="BA906" s="173"/>
      <c r="BB906" s="173"/>
      <c r="BC906" s="173"/>
      <c r="BD906" s="173"/>
      <c r="BE906" s="173"/>
      <c r="BF906" s="173"/>
      <c r="BG906" s="173"/>
      <c r="BH906" s="173"/>
      <c r="BI906" s="173"/>
      <c r="BJ906" s="173"/>
      <c r="BK906" s="173"/>
      <c r="BL906" s="173"/>
      <c r="BM906" s="173"/>
      <c r="BN906" s="173"/>
      <c r="BO906" s="173"/>
      <c r="BP906" s="173"/>
      <c r="BQ906" s="173"/>
      <c r="BR906" s="173"/>
      <c r="BS906" s="173"/>
      <c r="BT906" s="173"/>
      <c r="BU906" s="173"/>
      <c r="BV906" s="173"/>
      <c r="BW906" s="173"/>
      <c r="BX906" s="173"/>
      <c r="BY906" s="173"/>
    </row>
    <row r="907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  <c r="AD907" s="173"/>
      <c r="AE907" s="173"/>
      <c r="AF907" s="173"/>
      <c r="AG907" s="173"/>
      <c r="AH907" s="173"/>
      <c r="AI907" s="173"/>
      <c r="AJ907" s="173"/>
      <c r="AK907" s="173"/>
      <c r="AL907" s="173"/>
      <c r="AM907" s="173"/>
      <c r="AN907" s="173"/>
      <c r="AO907" s="173"/>
      <c r="AP907" s="173"/>
      <c r="AQ907" s="173"/>
      <c r="AR907" s="173"/>
      <c r="AS907" s="173"/>
      <c r="AT907" s="173"/>
      <c r="AU907" s="173"/>
      <c r="AV907" s="173"/>
      <c r="AW907" s="173"/>
      <c r="AX907" s="173"/>
      <c r="AY907" s="173"/>
      <c r="AZ907" s="173"/>
      <c r="BA907" s="173"/>
      <c r="BB907" s="173"/>
      <c r="BC907" s="173"/>
      <c r="BD907" s="173"/>
      <c r="BE907" s="173"/>
      <c r="BF907" s="173"/>
      <c r="BG907" s="173"/>
      <c r="BH907" s="173"/>
      <c r="BI907" s="173"/>
      <c r="BJ907" s="173"/>
      <c r="BK907" s="173"/>
      <c r="BL907" s="173"/>
      <c r="BM907" s="173"/>
      <c r="BN907" s="173"/>
      <c r="BO907" s="173"/>
      <c r="BP907" s="173"/>
      <c r="BQ907" s="173"/>
      <c r="BR907" s="173"/>
      <c r="BS907" s="173"/>
      <c r="BT907" s="173"/>
      <c r="BU907" s="173"/>
      <c r="BV907" s="173"/>
      <c r="BW907" s="173"/>
      <c r="BX907" s="173"/>
      <c r="BY907" s="173"/>
    </row>
    <row r="908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  <c r="AD908" s="173"/>
      <c r="AE908" s="173"/>
      <c r="AF908" s="173"/>
      <c r="AG908" s="173"/>
      <c r="AH908" s="173"/>
      <c r="AI908" s="173"/>
      <c r="AJ908" s="173"/>
      <c r="AK908" s="173"/>
      <c r="AL908" s="173"/>
      <c r="AM908" s="173"/>
      <c r="AN908" s="173"/>
      <c r="AO908" s="173"/>
      <c r="AP908" s="173"/>
      <c r="AQ908" s="173"/>
      <c r="AR908" s="173"/>
      <c r="AS908" s="173"/>
      <c r="AT908" s="173"/>
      <c r="AU908" s="173"/>
      <c r="AV908" s="173"/>
      <c r="AW908" s="173"/>
      <c r="AX908" s="173"/>
      <c r="AY908" s="173"/>
      <c r="AZ908" s="173"/>
      <c r="BA908" s="173"/>
      <c r="BB908" s="173"/>
      <c r="BC908" s="173"/>
      <c r="BD908" s="173"/>
      <c r="BE908" s="173"/>
      <c r="BF908" s="173"/>
      <c r="BG908" s="173"/>
      <c r="BH908" s="173"/>
      <c r="BI908" s="173"/>
      <c r="BJ908" s="173"/>
      <c r="BK908" s="173"/>
      <c r="BL908" s="173"/>
      <c r="BM908" s="173"/>
      <c r="BN908" s="173"/>
      <c r="BO908" s="173"/>
      <c r="BP908" s="173"/>
      <c r="BQ908" s="173"/>
      <c r="BR908" s="173"/>
      <c r="BS908" s="173"/>
      <c r="BT908" s="173"/>
      <c r="BU908" s="173"/>
      <c r="BV908" s="173"/>
      <c r="BW908" s="173"/>
      <c r="BX908" s="173"/>
      <c r="BY908" s="173"/>
    </row>
    <row r="909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  <c r="AD909" s="173"/>
      <c r="AE909" s="173"/>
      <c r="AF909" s="173"/>
      <c r="AG909" s="173"/>
      <c r="AH909" s="173"/>
      <c r="AI909" s="173"/>
      <c r="AJ909" s="173"/>
      <c r="AK909" s="173"/>
      <c r="AL909" s="173"/>
      <c r="AM909" s="173"/>
      <c r="AN909" s="173"/>
      <c r="AO909" s="173"/>
      <c r="AP909" s="173"/>
      <c r="AQ909" s="173"/>
      <c r="AR909" s="173"/>
      <c r="AS909" s="173"/>
      <c r="AT909" s="173"/>
      <c r="AU909" s="173"/>
      <c r="AV909" s="173"/>
      <c r="AW909" s="173"/>
      <c r="AX909" s="173"/>
      <c r="AY909" s="173"/>
      <c r="AZ909" s="173"/>
      <c r="BA909" s="173"/>
      <c r="BB909" s="173"/>
      <c r="BC909" s="173"/>
      <c r="BD909" s="173"/>
      <c r="BE909" s="173"/>
      <c r="BF909" s="173"/>
      <c r="BG909" s="173"/>
      <c r="BH909" s="173"/>
      <c r="BI909" s="173"/>
      <c r="BJ909" s="173"/>
      <c r="BK909" s="173"/>
      <c r="BL909" s="173"/>
      <c r="BM909" s="173"/>
      <c r="BN909" s="173"/>
      <c r="BO909" s="173"/>
      <c r="BP909" s="173"/>
      <c r="BQ909" s="173"/>
      <c r="BR909" s="173"/>
      <c r="BS909" s="173"/>
      <c r="BT909" s="173"/>
      <c r="BU909" s="173"/>
      <c r="BV909" s="173"/>
      <c r="BW909" s="173"/>
      <c r="BX909" s="173"/>
      <c r="BY909" s="173"/>
    </row>
    <row r="910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  <c r="AD910" s="173"/>
      <c r="AE910" s="173"/>
      <c r="AF910" s="173"/>
      <c r="AG910" s="173"/>
      <c r="AH910" s="173"/>
      <c r="AI910" s="173"/>
      <c r="AJ910" s="173"/>
      <c r="AK910" s="173"/>
      <c r="AL910" s="173"/>
      <c r="AM910" s="173"/>
      <c r="AN910" s="173"/>
      <c r="AO910" s="173"/>
      <c r="AP910" s="173"/>
      <c r="AQ910" s="173"/>
      <c r="AR910" s="173"/>
      <c r="AS910" s="173"/>
      <c r="AT910" s="173"/>
      <c r="AU910" s="173"/>
      <c r="AV910" s="173"/>
      <c r="AW910" s="173"/>
      <c r="AX910" s="173"/>
      <c r="AY910" s="173"/>
      <c r="AZ910" s="173"/>
      <c r="BA910" s="173"/>
      <c r="BB910" s="173"/>
      <c r="BC910" s="173"/>
      <c r="BD910" s="173"/>
      <c r="BE910" s="173"/>
      <c r="BF910" s="173"/>
      <c r="BG910" s="173"/>
      <c r="BH910" s="173"/>
      <c r="BI910" s="173"/>
      <c r="BJ910" s="173"/>
      <c r="BK910" s="173"/>
      <c r="BL910" s="173"/>
      <c r="BM910" s="173"/>
      <c r="BN910" s="173"/>
      <c r="BO910" s="173"/>
      <c r="BP910" s="173"/>
      <c r="BQ910" s="173"/>
      <c r="BR910" s="173"/>
      <c r="BS910" s="173"/>
      <c r="BT910" s="173"/>
      <c r="BU910" s="173"/>
      <c r="BV910" s="173"/>
      <c r="BW910" s="173"/>
      <c r="BX910" s="173"/>
      <c r="BY910" s="173"/>
    </row>
    <row r="91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  <c r="AD911" s="173"/>
      <c r="AE911" s="173"/>
      <c r="AF911" s="173"/>
      <c r="AG911" s="173"/>
      <c r="AH911" s="173"/>
      <c r="AI911" s="173"/>
      <c r="AJ911" s="173"/>
      <c r="AK911" s="173"/>
      <c r="AL911" s="173"/>
      <c r="AM911" s="173"/>
      <c r="AN911" s="173"/>
      <c r="AO911" s="173"/>
      <c r="AP911" s="173"/>
      <c r="AQ911" s="173"/>
      <c r="AR911" s="173"/>
      <c r="AS911" s="173"/>
      <c r="AT911" s="173"/>
      <c r="AU911" s="173"/>
      <c r="AV911" s="173"/>
      <c r="AW911" s="173"/>
      <c r="AX911" s="173"/>
      <c r="AY911" s="173"/>
      <c r="AZ911" s="173"/>
      <c r="BA911" s="173"/>
      <c r="BB911" s="173"/>
      <c r="BC911" s="173"/>
      <c r="BD911" s="173"/>
      <c r="BE911" s="173"/>
      <c r="BF911" s="173"/>
      <c r="BG911" s="173"/>
      <c r="BH911" s="173"/>
      <c r="BI911" s="173"/>
      <c r="BJ911" s="173"/>
      <c r="BK911" s="173"/>
      <c r="BL911" s="173"/>
      <c r="BM911" s="173"/>
      <c r="BN911" s="173"/>
      <c r="BO911" s="173"/>
      <c r="BP911" s="173"/>
      <c r="BQ911" s="173"/>
      <c r="BR911" s="173"/>
      <c r="BS911" s="173"/>
      <c r="BT911" s="173"/>
      <c r="BU911" s="173"/>
      <c r="BV911" s="173"/>
      <c r="BW911" s="173"/>
      <c r="BX911" s="173"/>
      <c r="BY911" s="173"/>
    </row>
    <row r="912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  <c r="AD912" s="173"/>
      <c r="AE912" s="173"/>
      <c r="AF912" s="173"/>
      <c r="AG912" s="173"/>
      <c r="AH912" s="173"/>
      <c r="AI912" s="173"/>
      <c r="AJ912" s="173"/>
      <c r="AK912" s="173"/>
      <c r="AL912" s="173"/>
      <c r="AM912" s="173"/>
      <c r="AN912" s="173"/>
      <c r="AO912" s="173"/>
      <c r="AP912" s="173"/>
      <c r="AQ912" s="173"/>
      <c r="AR912" s="173"/>
      <c r="AS912" s="173"/>
      <c r="AT912" s="173"/>
      <c r="AU912" s="173"/>
      <c r="AV912" s="173"/>
      <c r="AW912" s="173"/>
      <c r="AX912" s="173"/>
      <c r="AY912" s="173"/>
      <c r="AZ912" s="173"/>
      <c r="BA912" s="173"/>
      <c r="BB912" s="173"/>
      <c r="BC912" s="173"/>
      <c r="BD912" s="173"/>
      <c r="BE912" s="173"/>
      <c r="BF912" s="173"/>
      <c r="BG912" s="173"/>
      <c r="BH912" s="173"/>
      <c r="BI912" s="173"/>
      <c r="BJ912" s="173"/>
      <c r="BK912" s="173"/>
      <c r="BL912" s="173"/>
      <c r="BM912" s="173"/>
      <c r="BN912" s="173"/>
      <c r="BO912" s="173"/>
      <c r="BP912" s="173"/>
      <c r="BQ912" s="173"/>
      <c r="BR912" s="173"/>
      <c r="BS912" s="173"/>
      <c r="BT912" s="173"/>
      <c r="BU912" s="173"/>
      <c r="BV912" s="173"/>
      <c r="BW912" s="173"/>
      <c r="BX912" s="173"/>
      <c r="BY912" s="173"/>
    </row>
    <row r="913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  <c r="AD913" s="173"/>
      <c r="AE913" s="173"/>
      <c r="AF913" s="173"/>
      <c r="AG913" s="173"/>
      <c r="AH913" s="173"/>
      <c r="AI913" s="173"/>
      <c r="AJ913" s="173"/>
      <c r="AK913" s="173"/>
      <c r="AL913" s="173"/>
      <c r="AM913" s="173"/>
      <c r="AN913" s="173"/>
      <c r="AO913" s="173"/>
      <c r="AP913" s="173"/>
      <c r="AQ913" s="173"/>
      <c r="AR913" s="173"/>
      <c r="AS913" s="173"/>
      <c r="AT913" s="173"/>
      <c r="AU913" s="173"/>
      <c r="AV913" s="173"/>
      <c r="AW913" s="173"/>
      <c r="AX913" s="173"/>
      <c r="AY913" s="173"/>
      <c r="AZ913" s="173"/>
      <c r="BA913" s="173"/>
      <c r="BB913" s="173"/>
      <c r="BC913" s="173"/>
      <c r="BD913" s="173"/>
      <c r="BE913" s="173"/>
      <c r="BF913" s="173"/>
      <c r="BG913" s="173"/>
      <c r="BH913" s="173"/>
      <c r="BI913" s="173"/>
      <c r="BJ913" s="173"/>
      <c r="BK913" s="173"/>
      <c r="BL913" s="173"/>
      <c r="BM913" s="173"/>
      <c r="BN913" s="173"/>
      <c r="BO913" s="173"/>
      <c r="BP913" s="173"/>
      <c r="BQ913" s="173"/>
      <c r="BR913" s="173"/>
      <c r="BS913" s="173"/>
      <c r="BT913" s="173"/>
      <c r="BU913" s="173"/>
      <c r="BV913" s="173"/>
      <c r="BW913" s="173"/>
      <c r="BX913" s="173"/>
      <c r="BY913" s="173"/>
    </row>
    <row r="914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  <c r="AD914" s="173"/>
      <c r="AE914" s="173"/>
      <c r="AF914" s="173"/>
      <c r="AG914" s="173"/>
      <c r="AH914" s="173"/>
      <c r="AI914" s="173"/>
      <c r="AJ914" s="173"/>
      <c r="AK914" s="173"/>
      <c r="AL914" s="173"/>
      <c r="AM914" s="173"/>
      <c r="AN914" s="173"/>
      <c r="AO914" s="173"/>
      <c r="AP914" s="173"/>
      <c r="AQ914" s="173"/>
      <c r="AR914" s="173"/>
      <c r="AS914" s="173"/>
      <c r="AT914" s="173"/>
      <c r="AU914" s="173"/>
      <c r="AV914" s="173"/>
      <c r="AW914" s="173"/>
      <c r="AX914" s="173"/>
      <c r="AY914" s="173"/>
      <c r="AZ914" s="173"/>
      <c r="BA914" s="173"/>
      <c r="BB914" s="173"/>
      <c r="BC914" s="173"/>
      <c r="BD914" s="173"/>
      <c r="BE914" s="173"/>
      <c r="BF914" s="173"/>
      <c r="BG914" s="173"/>
      <c r="BH914" s="173"/>
      <c r="BI914" s="173"/>
      <c r="BJ914" s="173"/>
      <c r="BK914" s="173"/>
      <c r="BL914" s="173"/>
      <c r="BM914" s="173"/>
      <c r="BN914" s="173"/>
      <c r="BO914" s="173"/>
      <c r="BP914" s="173"/>
      <c r="BQ914" s="173"/>
      <c r="BR914" s="173"/>
      <c r="BS914" s="173"/>
      <c r="BT914" s="173"/>
      <c r="BU914" s="173"/>
      <c r="BV914" s="173"/>
      <c r="BW914" s="173"/>
      <c r="BX914" s="173"/>
      <c r="BY914" s="173"/>
    </row>
    <row r="915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  <c r="AD915" s="173"/>
      <c r="AE915" s="173"/>
      <c r="AF915" s="173"/>
      <c r="AG915" s="173"/>
      <c r="AH915" s="173"/>
      <c r="AI915" s="173"/>
      <c r="AJ915" s="173"/>
      <c r="AK915" s="173"/>
      <c r="AL915" s="173"/>
      <c r="AM915" s="173"/>
      <c r="AN915" s="173"/>
      <c r="AO915" s="173"/>
      <c r="AP915" s="173"/>
      <c r="AQ915" s="173"/>
      <c r="AR915" s="173"/>
      <c r="AS915" s="173"/>
      <c r="AT915" s="173"/>
      <c r="AU915" s="173"/>
      <c r="AV915" s="173"/>
      <c r="AW915" s="173"/>
      <c r="AX915" s="173"/>
      <c r="AY915" s="173"/>
      <c r="AZ915" s="173"/>
      <c r="BA915" s="173"/>
      <c r="BB915" s="173"/>
      <c r="BC915" s="173"/>
      <c r="BD915" s="173"/>
      <c r="BE915" s="173"/>
      <c r="BF915" s="173"/>
      <c r="BG915" s="173"/>
      <c r="BH915" s="173"/>
      <c r="BI915" s="173"/>
      <c r="BJ915" s="173"/>
      <c r="BK915" s="173"/>
      <c r="BL915" s="173"/>
      <c r="BM915" s="173"/>
      <c r="BN915" s="173"/>
      <c r="BO915" s="173"/>
      <c r="BP915" s="173"/>
      <c r="BQ915" s="173"/>
      <c r="BR915" s="173"/>
      <c r="BS915" s="173"/>
      <c r="BT915" s="173"/>
      <c r="BU915" s="173"/>
      <c r="BV915" s="173"/>
      <c r="BW915" s="173"/>
      <c r="BX915" s="173"/>
      <c r="BY915" s="173"/>
    </row>
    <row r="916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  <c r="AD916" s="173"/>
      <c r="AE916" s="173"/>
      <c r="AF916" s="173"/>
      <c r="AG916" s="173"/>
      <c r="AH916" s="173"/>
      <c r="AI916" s="173"/>
      <c r="AJ916" s="173"/>
      <c r="AK916" s="173"/>
      <c r="AL916" s="173"/>
      <c r="AM916" s="173"/>
      <c r="AN916" s="173"/>
      <c r="AO916" s="173"/>
      <c r="AP916" s="173"/>
      <c r="AQ916" s="173"/>
      <c r="AR916" s="173"/>
      <c r="AS916" s="173"/>
      <c r="AT916" s="173"/>
      <c r="AU916" s="173"/>
      <c r="AV916" s="173"/>
      <c r="AW916" s="173"/>
      <c r="AX916" s="173"/>
      <c r="AY916" s="173"/>
      <c r="AZ916" s="173"/>
      <c r="BA916" s="173"/>
      <c r="BB916" s="173"/>
      <c r="BC916" s="173"/>
      <c r="BD916" s="173"/>
      <c r="BE916" s="173"/>
      <c r="BF916" s="173"/>
      <c r="BG916" s="173"/>
      <c r="BH916" s="173"/>
      <c r="BI916" s="173"/>
      <c r="BJ916" s="173"/>
      <c r="BK916" s="173"/>
      <c r="BL916" s="173"/>
      <c r="BM916" s="173"/>
      <c r="BN916" s="173"/>
      <c r="BO916" s="173"/>
      <c r="BP916" s="173"/>
      <c r="BQ916" s="173"/>
      <c r="BR916" s="173"/>
      <c r="BS916" s="173"/>
      <c r="BT916" s="173"/>
      <c r="BU916" s="173"/>
      <c r="BV916" s="173"/>
      <c r="BW916" s="173"/>
      <c r="BX916" s="173"/>
      <c r="BY916" s="173"/>
    </row>
    <row r="917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  <c r="AD917" s="173"/>
      <c r="AE917" s="173"/>
      <c r="AF917" s="173"/>
      <c r="AG917" s="173"/>
      <c r="AH917" s="173"/>
      <c r="AI917" s="173"/>
      <c r="AJ917" s="173"/>
      <c r="AK917" s="173"/>
      <c r="AL917" s="173"/>
      <c r="AM917" s="173"/>
      <c r="AN917" s="173"/>
      <c r="AO917" s="173"/>
      <c r="AP917" s="173"/>
      <c r="AQ917" s="173"/>
      <c r="AR917" s="173"/>
      <c r="AS917" s="173"/>
      <c r="AT917" s="173"/>
      <c r="AU917" s="173"/>
      <c r="AV917" s="173"/>
      <c r="AW917" s="173"/>
      <c r="AX917" s="173"/>
      <c r="AY917" s="173"/>
      <c r="AZ917" s="173"/>
      <c r="BA917" s="173"/>
      <c r="BB917" s="173"/>
      <c r="BC917" s="173"/>
      <c r="BD917" s="173"/>
      <c r="BE917" s="173"/>
      <c r="BF917" s="173"/>
      <c r="BG917" s="173"/>
      <c r="BH917" s="173"/>
      <c r="BI917" s="173"/>
      <c r="BJ917" s="173"/>
      <c r="BK917" s="173"/>
      <c r="BL917" s="173"/>
      <c r="BM917" s="173"/>
      <c r="BN917" s="173"/>
      <c r="BO917" s="173"/>
      <c r="BP917" s="173"/>
      <c r="BQ917" s="173"/>
      <c r="BR917" s="173"/>
      <c r="BS917" s="173"/>
      <c r="BT917" s="173"/>
      <c r="BU917" s="173"/>
      <c r="BV917" s="173"/>
      <c r="BW917" s="173"/>
      <c r="BX917" s="173"/>
      <c r="BY917" s="173"/>
    </row>
    <row r="918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  <c r="AD918" s="173"/>
      <c r="AE918" s="173"/>
      <c r="AF918" s="173"/>
      <c r="AG918" s="173"/>
      <c r="AH918" s="173"/>
      <c r="AI918" s="173"/>
      <c r="AJ918" s="173"/>
      <c r="AK918" s="173"/>
      <c r="AL918" s="173"/>
      <c r="AM918" s="173"/>
      <c r="AN918" s="173"/>
      <c r="AO918" s="173"/>
      <c r="AP918" s="173"/>
      <c r="AQ918" s="173"/>
      <c r="AR918" s="173"/>
      <c r="AS918" s="173"/>
      <c r="AT918" s="173"/>
      <c r="AU918" s="173"/>
      <c r="AV918" s="173"/>
      <c r="AW918" s="173"/>
      <c r="AX918" s="173"/>
      <c r="AY918" s="173"/>
      <c r="AZ918" s="173"/>
      <c r="BA918" s="173"/>
      <c r="BB918" s="173"/>
      <c r="BC918" s="173"/>
      <c r="BD918" s="173"/>
      <c r="BE918" s="173"/>
      <c r="BF918" s="173"/>
      <c r="BG918" s="173"/>
      <c r="BH918" s="173"/>
      <c r="BI918" s="173"/>
      <c r="BJ918" s="173"/>
      <c r="BK918" s="173"/>
      <c r="BL918" s="173"/>
      <c r="BM918" s="173"/>
      <c r="BN918" s="173"/>
      <c r="BO918" s="173"/>
      <c r="BP918" s="173"/>
      <c r="BQ918" s="173"/>
      <c r="BR918" s="173"/>
      <c r="BS918" s="173"/>
      <c r="BT918" s="173"/>
      <c r="BU918" s="173"/>
      <c r="BV918" s="173"/>
      <c r="BW918" s="173"/>
      <c r="BX918" s="173"/>
      <c r="BY918" s="173"/>
    </row>
    <row r="919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  <c r="AD919" s="173"/>
      <c r="AE919" s="173"/>
      <c r="AF919" s="173"/>
      <c r="AG919" s="173"/>
      <c r="AH919" s="173"/>
      <c r="AI919" s="173"/>
      <c r="AJ919" s="173"/>
      <c r="AK919" s="173"/>
      <c r="AL919" s="173"/>
      <c r="AM919" s="173"/>
      <c r="AN919" s="173"/>
      <c r="AO919" s="173"/>
      <c r="AP919" s="173"/>
      <c r="AQ919" s="173"/>
      <c r="AR919" s="173"/>
      <c r="AS919" s="173"/>
      <c r="AT919" s="173"/>
      <c r="AU919" s="173"/>
      <c r="AV919" s="173"/>
      <c r="AW919" s="173"/>
      <c r="AX919" s="173"/>
      <c r="AY919" s="173"/>
      <c r="AZ919" s="173"/>
      <c r="BA919" s="173"/>
      <c r="BB919" s="173"/>
      <c r="BC919" s="173"/>
      <c r="BD919" s="173"/>
      <c r="BE919" s="173"/>
      <c r="BF919" s="173"/>
      <c r="BG919" s="173"/>
      <c r="BH919" s="173"/>
      <c r="BI919" s="173"/>
      <c r="BJ919" s="173"/>
      <c r="BK919" s="173"/>
      <c r="BL919" s="173"/>
      <c r="BM919" s="173"/>
      <c r="BN919" s="173"/>
      <c r="BO919" s="173"/>
      <c r="BP919" s="173"/>
      <c r="BQ919" s="173"/>
      <c r="BR919" s="173"/>
      <c r="BS919" s="173"/>
      <c r="BT919" s="173"/>
      <c r="BU919" s="173"/>
      <c r="BV919" s="173"/>
      <c r="BW919" s="173"/>
      <c r="BX919" s="173"/>
      <c r="BY919" s="173"/>
    </row>
    <row r="920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  <c r="AD920" s="173"/>
      <c r="AE920" s="173"/>
      <c r="AF920" s="173"/>
      <c r="AG920" s="173"/>
      <c r="AH920" s="173"/>
      <c r="AI920" s="173"/>
      <c r="AJ920" s="173"/>
      <c r="AK920" s="173"/>
      <c r="AL920" s="173"/>
      <c r="AM920" s="173"/>
      <c r="AN920" s="173"/>
      <c r="AO920" s="173"/>
      <c r="AP920" s="173"/>
      <c r="AQ920" s="173"/>
      <c r="AR920" s="173"/>
      <c r="AS920" s="173"/>
      <c r="AT920" s="173"/>
      <c r="AU920" s="173"/>
      <c r="AV920" s="173"/>
      <c r="AW920" s="173"/>
      <c r="AX920" s="173"/>
      <c r="AY920" s="173"/>
      <c r="AZ920" s="173"/>
      <c r="BA920" s="173"/>
      <c r="BB920" s="173"/>
      <c r="BC920" s="173"/>
      <c r="BD920" s="173"/>
      <c r="BE920" s="173"/>
      <c r="BF920" s="173"/>
      <c r="BG920" s="173"/>
      <c r="BH920" s="173"/>
      <c r="BI920" s="173"/>
      <c r="BJ920" s="173"/>
      <c r="BK920" s="173"/>
      <c r="BL920" s="173"/>
      <c r="BM920" s="173"/>
      <c r="BN920" s="173"/>
      <c r="BO920" s="173"/>
      <c r="BP920" s="173"/>
      <c r="BQ920" s="173"/>
      <c r="BR920" s="173"/>
      <c r="BS920" s="173"/>
      <c r="BT920" s="173"/>
      <c r="BU920" s="173"/>
      <c r="BV920" s="173"/>
      <c r="BW920" s="173"/>
      <c r="BX920" s="173"/>
      <c r="BY920" s="173"/>
    </row>
    <row r="92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  <c r="AD921" s="173"/>
      <c r="AE921" s="173"/>
      <c r="AF921" s="173"/>
      <c r="AG921" s="173"/>
      <c r="AH921" s="173"/>
      <c r="AI921" s="173"/>
      <c r="AJ921" s="173"/>
      <c r="AK921" s="173"/>
      <c r="AL921" s="173"/>
      <c r="AM921" s="173"/>
      <c r="AN921" s="173"/>
      <c r="AO921" s="173"/>
      <c r="AP921" s="173"/>
      <c r="AQ921" s="173"/>
      <c r="AR921" s="173"/>
      <c r="AS921" s="173"/>
      <c r="AT921" s="173"/>
      <c r="AU921" s="173"/>
      <c r="AV921" s="173"/>
      <c r="AW921" s="173"/>
      <c r="AX921" s="173"/>
      <c r="AY921" s="173"/>
      <c r="AZ921" s="173"/>
      <c r="BA921" s="173"/>
      <c r="BB921" s="173"/>
      <c r="BC921" s="173"/>
      <c r="BD921" s="173"/>
      <c r="BE921" s="173"/>
      <c r="BF921" s="173"/>
      <c r="BG921" s="173"/>
      <c r="BH921" s="173"/>
      <c r="BI921" s="173"/>
      <c r="BJ921" s="173"/>
      <c r="BK921" s="173"/>
      <c r="BL921" s="173"/>
      <c r="BM921" s="173"/>
      <c r="BN921" s="173"/>
      <c r="BO921" s="173"/>
      <c r="BP921" s="173"/>
      <c r="BQ921" s="173"/>
      <c r="BR921" s="173"/>
      <c r="BS921" s="173"/>
      <c r="BT921" s="173"/>
      <c r="BU921" s="173"/>
      <c r="BV921" s="173"/>
      <c r="BW921" s="173"/>
      <c r="BX921" s="173"/>
      <c r="BY921" s="173"/>
    </row>
    <row r="922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  <c r="AD922" s="173"/>
      <c r="AE922" s="173"/>
      <c r="AF922" s="173"/>
      <c r="AG922" s="173"/>
      <c r="AH922" s="173"/>
      <c r="AI922" s="173"/>
      <c r="AJ922" s="173"/>
      <c r="AK922" s="173"/>
      <c r="AL922" s="173"/>
      <c r="AM922" s="173"/>
      <c r="AN922" s="173"/>
      <c r="AO922" s="173"/>
      <c r="AP922" s="173"/>
      <c r="AQ922" s="173"/>
      <c r="AR922" s="173"/>
      <c r="AS922" s="173"/>
      <c r="AT922" s="173"/>
      <c r="AU922" s="173"/>
      <c r="AV922" s="173"/>
      <c r="AW922" s="173"/>
      <c r="AX922" s="173"/>
      <c r="AY922" s="173"/>
      <c r="AZ922" s="173"/>
      <c r="BA922" s="173"/>
      <c r="BB922" s="173"/>
      <c r="BC922" s="173"/>
      <c r="BD922" s="173"/>
      <c r="BE922" s="173"/>
      <c r="BF922" s="173"/>
      <c r="BG922" s="173"/>
      <c r="BH922" s="173"/>
      <c r="BI922" s="173"/>
      <c r="BJ922" s="173"/>
      <c r="BK922" s="173"/>
      <c r="BL922" s="173"/>
      <c r="BM922" s="173"/>
      <c r="BN922" s="173"/>
      <c r="BO922" s="173"/>
      <c r="BP922" s="173"/>
      <c r="BQ922" s="173"/>
      <c r="BR922" s="173"/>
      <c r="BS922" s="173"/>
      <c r="BT922" s="173"/>
      <c r="BU922" s="173"/>
      <c r="BV922" s="173"/>
      <c r="BW922" s="173"/>
      <c r="BX922" s="173"/>
      <c r="BY922" s="173"/>
    </row>
    <row r="923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  <c r="AD923" s="173"/>
      <c r="AE923" s="173"/>
      <c r="AF923" s="173"/>
      <c r="AG923" s="173"/>
      <c r="AH923" s="173"/>
      <c r="AI923" s="173"/>
      <c r="AJ923" s="173"/>
      <c r="AK923" s="173"/>
      <c r="AL923" s="173"/>
      <c r="AM923" s="173"/>
      <c r="AN923" s="173"/>
      <c r="AO923" s="173"/>
      <c r="AP923" s="173"/>
      <c r="AQ923" s="173"/>
      <c r="AR923" s="173"/>
      <c r="AS923" s="173"/>
      <c r="AT923" s="173"/>
      <c r="AU923" s="173"/>
      <c r="AV923" s="173"/>
      <c r="AW923" s="173"/>
      <c r="AX923" s="173"/>
      <c r="AY923" s="173"/>
      <c r="AZ923" s="173"/>
      <c r="BA923" s="173"/>
      <c r="BB923" s="173"/>
      <c r="BC923" s="173"/>
      <c r="BD923" s="173"/>
      <c r="BE923" s="173"/>
      <c r="BF923" s="173"/>
      <c r="BG923" s="173"/>
      <c r="BH923" s="173"/>
      <c r="BI923" s="173"/>
      <c r="BJ923" s="173"/>
      <c r="BK923" s="173"/>
      <c r="BL923" s="173"/>
      <c r="BM923" s="173"/>
      <c r="BN923" s="173"/>
      <c r="BO923" s="173"/>
      <c r="BP923" s="173"/>
      <c r="BQ923" s="173"/>
      <c r="BR923" s="173"/>
      <c r="BS923" s="173"/>
      <c r="BT923" s="173"/>
      <c r="BU923" s="173"/>
      <c r="BV923" s="173"/>
      <c r="BW923" s="173"/>
      <c r="BX923" s="173"/>
      <c r="BY923" s="173"/>
    </row>
    <row r="924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  <c r="AD924" s="173"/>
      <c r="AE924" s="173"/>
      <c r="AF924" s="173"/>
      <c r="AG924" s="173"/>
      <c r="AH924" s="173"/>
      <c r="AI924" s="173"/>
      <c r="AJ924" s="173"/>
      <c r="AK924" s="173"/>
      <c r="AL924" s="173"/>
      <c r="AM924" s="173"/>
      <c r="AN924" s="173"/>
      <c r="AO924" s="173"/>
      <c r="AP924" s="173"/>
      <c r="AQ924" s="173"/>
      <c r="AR924" s="173"/>
      <c r="AS924" s="173"/>
      <c r="AT924" s="173"/>
      <c r="AU924" s="173"/>
      <c r="AV924" s="173"/>
      <c r="AW924" s="173"/>
      <c r="AX924" s="173"/>
      <c r="AY924" s="173"/>
      <c r="AZ924" s="173"/>
      <c r="BA924" s="173"/>
      <c r="BB924" s="173"/>
      <c r="BC924" s="173"/>
      <c r="BD924" s="173"/>
      <c r="BE924" s="173"/>
      <c r="BF924" s="173"/>
      <c r="BG924" s="173"/>
      <c r="BH924" s="173"/>
      <c r="BI924" s="173"/>
      <c r="BJ924" s="173"/>
      <c r="BK924" s="173"/>
      <c r="BL924" s="173"/>
      <c r="BM924" s="173"/>
      <c r="BN924" s="173"/>
      <c r="BO924" s="173"/>
      <c r="BP924" s="173"/>
      <c r="BQ924" s="173"/>
      <c r="BR924" s="173"/>
      <c r="BS924" s="173"/>
      <c r="BT924" s="173"/>
      <c r="BU924" s="173"/>
      <c r="BV924" s="173"/>
      <c r="BW924" s="173"/>
      <c r="BX924" s="173"/>
      <c r="BY924" s="173"/>
    </row>
    <row r="925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  <c r="AD925" s="173"/>
      <c r="AE925" s="173"/>
      <c r="AF925" s="173"/>
      <c r="AG925" s="173"/>
      <c r="AH925" s="173"/>
      <c r="AI925" s="173"/>
      <c r="AJ925" s="173"/>
      <c r="AK925" s="173"/>
      <c r="AL925" s="173"/>
      <c r="AM925" s="173"/>
      <c r="AN925" s="173"/>
      <c r="AO925" s="173"/>
      <c r="AP925" s="173"/>
      <c r="AQ925" s="173"/>
      <c r="AR925" s="173"/>
      <c r="AS925" s="173"/>
      <c r="AT925" s="173"/>
      <c r="AU925" s="173"/>
      <c r="AV925" s="173"/>
      <c r="AW925" s="173"/>
      <c r="AX925" s="173"/>
      <c r="AY925" s="173"/>
      <c r="AZ925" s="173"/>
      <c r="BA925" s="173"/>
      <c r="BB925" s="173"/>
      <c r="BC925" s="173"/>
      <c r="BD925" s="173"/>
      <c r="BE925" s="173"/>
      <c r="BF925" s="173"/>
      <c r="BG925" s="173"/>
      <c r="BH925" s="173"/>
      <c r="BI925" s="173"/>
      <c r="BJ925" s="173"/>
      <c r="BK925" s="173"/>
      <c r="BL925" s="173"/>
      <c r="BM925" s="173"/>
      <c r="BN925" s="173"/>
      <c r="BO925" s="173"/>
      <c r="BP925" s="173"/>
      <c r="BQ925" s="173"/>
      <c r="BR925" s="173"/>
      <c r="BS925" s="173"/>
      <c r="BT925" s="173"/>
      <c r="BU925" s="173"/>
      <c r="BV925" s="173"/>
      <c r="BW925" s="173"/>
      <c r="BX925" s="173"/>
      <c r="BY925" s="173"/>
    </row>
    <row r="926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  <c r="AD926" s="173"/>
      <c r="AE926" s="173"/>
      <c r="AF926" s="173"/>
      <c r="AG926" s="173"/>
      <c r="AH926" s="173"/>
      <c r="AI926" s="173"/>
      <c r="AJ926" s="173"/>
      <c r="AK926" s="173"/>
      <c r="AL926" s="173"/>
      <c r="AM926" s="173"/>
      <c r="AN926" s="173"/>
      <c r="AO926" s="173"/>
      <c r="AP926" s="173"/>
      <c r="AQ926" s="173"/>
      <c r="AR926" s="173"/>
      <c r="AS926" s="173"/>
      <c r="AT926" s="173"/>
      <c r="AU926" s="173"/>
      <c r="AV926" s="173"/>
      <c r="AW926" s="173"/>
      <c r="AX926" s="173"/>
      <c r="AY926" s="173"/>
      <c r="AZ926" s="173"/>
      <c r="BA926" s="173"/>
      <c r="BB926" s="173"/>
      <c r="BC926" s="173"/>
      <c r="BD926" s="173"/>
      <c r="BE926" s="173"/>
      <c r="BF926" s="173"/>
      <c r="BG926" s="173"/>
      <c r="BH926" s="173"/>
      <c r="BI926" s="173"/>
      <c r="BJ926" s="173"/>
      <c r="BK926" s="173"/>
      <c r="BL926" s="173"/>
      <c r="BM926" s="173"/>
      <c r="BN926" s="173"/>
      <c r="BO926" s="173"/>
      <c r="BP926" s="173"/>
      <c r="BQ926" s="173"/>
      <c r="BR926" s="173"/>
      <c r="BS926" s="173"/>
      <c r="BT926" s="173"/>
      <c r="BU926" s="173"/>
      <c r="BV926" s="173"/>
      <c r="BW926" s="173"/>
      <c r="BX926" s="173"/>
      <c r="BY926" s="173"/>
    </row>
    <row r="927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  <c r="AD927" s="173"/>
      <c r="AE927" s="173"/>
      <c r="AF927" s="173"/>
      <c r="AG927" s="173"/>
      <c r="AH927" s="173"/>
      <c r="AI927" s="173"/>
      <c r="AJ927" s="173"/>
      <c r="AK927" s="173"/>
      <c r="AL927" s="173"/>
      <c r="AM927" s="173"/>
      <c r="AN927" s="173"/>
      <c r="AO927" s="173"/>
      <c r="AP927" s="173"/>
      <c r="AQ927" s="173"/>
      <c r="AR927" s="173"/>
      <c r="AS927" s="173"/>
      <c r="AT927" s="173"/>
      <c r="AU927" s="173"/>
      <c r="AV927" s="173"/>
      <c r="AW927" s="173"/>
      <c r="AX927" s="173"/>
      <c r="AY927" s="173"/>
      <c r="AZ927" s="173"/>
      <c r="BA927" s="173"/>
      <c r="BB927" s="173"/>
      <c r="BC927" s="173"/>
      <c r="BD927" s="173"/>
      <c r="BE927" s="173"/>
      <c r="BF927" s="173"/>
      <c r="BG927" s="173"/>
      <c r="BH927" s="173"/>
      <c r="BI927" s="173"/>
      <c r="BJ927" s="173"/>
      <c r="BK927" s="173"/>
      <c r="BL927" s="173"/>
      <c r="BM927" s="173"/>
      <c r="BN927" s="173"/>
      <c r="BO927" s="173"/>
      <c r="BP927" s="173"/>
      <c r="BQ927" s="173"/>
      <c r="BR927" s="173"/>
      <c r="BS927" s="173"/>
      <c r="BT927" s="173"/>
      <c r="BU927" s="173"/>
      <c r="BV927" s="173"/>
      <c r="BW927" s="173"/>
      <c r="BX927" s="173"/>
      <c r="BY927" s="173"/>
    </row>
    <row r="928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  <c r="AD928" s="173"/>
      <c r="AE928" s="173"/>
      <c r="AF928" s="173"/>
      <c r="AG928" s="173"/>
      <c r="AH928" s="173"/>
      <c r="AI928" s="173"/>
      <c r="AJ928" s="173"/>
      <c r="AK928" s="173"/>
      <c r="AL928" s="173"/>
      <c r="AM928" s="173"/>
      <c r="AN928" s="173"/>
      <c r="AO928" s="173"/>
      <c r="AP928" s="173"/>
      <c r="AQ928" s="173"/>
      <c r="AR928" s="173"/>
      <c r="AS928" s="173"/>
      <c r="AT928" s="173"/>
      <c r="AU928" s="173"/>
      <c r="AV928" s="173"/>
      <c r="AW928" s="173"/>
      <c r="AX928" s="173"/>
      <c r="AY928" s="173"/>
      <c r="AZ928" s="173"/>
      <c r="BA928" s="173"/>
      <c r="BB928" s="173"/>
      <c r="BC928" s="173"/>
      <c r="BD928" s="173"/>
      <c r="BE928" s="173"/>
      <c r="BF928" s="173"/>
      <c r="BG928" s="173"/>
      <c r="BH928" s="173"/>
      <c r="BI928" s="173"/>
      <c r="BJ928" s="173"/>
      <c r="BK928" s="173"/>
      <c r="BL928" s="173"/>
      <c r="BM928" s="173"/>
      <c r="BN928" s="173"/>
      <c r="BO928" s="173"/>
      <c r="BP928" s="173"/>
      <c r="BQ928" s="173"/>
      <c r="BR928" s="173"/>
      <c r="BS928" s="173"/>
      <c r="BT928" s="173"/>
      <c r="BU928" s="173"/>
      <c r="BV928" s="173"/>
      <c r="BW928" s="173"/>
      <c r="BX928" s="173"/>
      <c r="BY928" s="173"/>
    </row>
    <row r="929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  <c r="AD929" s="173"/>
      <c r="AE929" s="173"/>
      <c r="AF929" s="173"/>
      <c r="AG929" s="173"/>
      <c r="AH929" s="173"/>
      <c r="AI929" s="173"/>
      <c r="AJ929" s="173"/>
      <c r="AK929" s="173"/>
      <c r="AL929" s="173"/>
      <c r="AM929" s="173"/>
      <c r="AN929" s="173"/>
      <c r="AO929" s="173"/>
      <c r="AP929" s="173"/>
      <c r="AQ929" s="173"/>
      <c r="AR929" s="173"/>
      <c r="AS929" s="173"/>
      <c r="AT929" s="173"/>
      <c r="AU929" s="173"/>
      <c r="AV929" s="173"/>
      <c r="AW929" s="173"/>
      <c r="AX929" s="173"/>
      <c r="AY929" s="173"/>
      <c r="AZ929" s="173"/>
      <c r="BA929" s="173"/>
      <c r="BB929" s="173"/>
      <c r="BC929" s="173"/>
      <c r="BD929" s="173"/>
      <c r="BE929" s="173"/>
      <c r="BF929" s="173"/>
      <c r="BG929" s="173"/>
      <c r="BH929" s="173"/>
      <c r="BI929" s="173"/>
      <c r="BJ929" s="173"/>
      <c r="BK929" s="173"/>
      <c r="BL929" s="173"/>
      <c r="BM929" s="173"/>
      <c r="BN929" s="173"/>
      <c r="BO929" s="173"/>
      <c r="BP929" s="173"/>
      <c r="BQ929" s="173"/>
      <c r="BR929" s="173"/>
      <c r="BS929" s="173"/>
      <c r="BT929" s="173"/>
      <c r="BU929" s="173"/>
      <c r="BV929" s="173"/>
      <c r="BW929" s="173"/>
      <c r="BX929" s="173"/>
      <c r="BY929" s="173"/>
    </row>
    <row r="930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  <c r="AD930" s="173"/>
      <c r="AE930" s="173"/>
      <c r="AF930" s="173"/>
      <c r="AG930" s="173"/>
      <c r="AH930" s="173"/>
      <c r="AI930" s="173"/>
      <c r="AJ930" s="173"/>
      <c r="AK930" s="173"/>
      <c r="AL930" s="173"/>
      <c r="AM930" s="173"/>
      <c r="AN930" s="173"/>
      <c r="AO930" s="173"/>
      <c r="AP930" s="173"/>
      <c r="AQ930" s="173"/>
      <c r="AR930" s="173"/>
      <c r="AS930" s="173"/>
      <c r="AT930" s="173"/>
      <c r="AU930" s="173"/>
      <c r="AV930" s="173"/>
      <c r="AW930" s="173"/>
      <c r="AX930" s="173"/>
      <c r="AY930" s="173"/>
      <c r="AZ930" s="173"/>
      <c r="BA930" s="173"/>
      <c r="BB930" s="173"/>
      <c r="BC930" s="173"/>
      <c r="BD930" s="173"/>
      <c r="BE930" s="173"/>
      <c r="BF930" s="173"/>
      <c r="BG930" s="173"/>
      <c r="BH930" s="173"/>
      <c r="BI930" s="173"/>
      <c r="BJ930" s="173"/>
      <c r="BK930" s="173"/>
      <c r="BL930" s="173"/>
      <c r="BM930" s="173"/>
      <c r="BN930" s="173"/>
      <c r="BO930" s="173"/>
      <c r="BP930" s="173"/>
      <c r="BQ930" s="173"/>
      <c r="BR930" s="173"/>
      <c r="BS930" s="173"/>
      <c r="BT930" s="173"/>
      <c r="BU930" s="173"/>
      <c r="BV930" s="173"/>
      <c r="BW930" s="173"/>
      <c r="BX930" s="173"/>
      <c r="BY930" s="173"/>
    </row>
    <row r="93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  <c r="AD931" s="173"/>
      <c r="AE931" s="173"/>
      <c r="AF931" s="173"/>
      <c r="AG931" s="173"/>
      <c r="AH931" s="173"/>
      <c r="AI931" s="173"/>
      <c r="AJ931" s="173"/>
      <c r="AK931" s="173"/>
      <c r="AL931" s="173"/>
      <c r="AM931" s="173"/>
      <c r="AN931" s="173"/>
      <c r="AO931" s="173"/>
      <c r="AP931" s="173"/>
      <c r="AQ931" s="173"/>
      <c r="AR931" s="173"/>
      <c r="AS931" s="173"/>
      <c r="AT931" s="173"/>
      <c r="AU931" s="173"/>
      <c r="AV931" s="173"/>
      <c r="AW931" s="173"/>
      <c r="AX931" s="173"/>
      <c r="AY931" s="173"/>
      <c r="AZ931" s="173"/>
      <c r="BA931" s="173"/>
      <c r="BB931" s="173"/>
      <c r="BC931" s="173"/>
      <c r="BD931" s="173"/>
      <c r="BE931" s="173"/>
      <c r="BF931" s="173"/>
      <c r="BG931" s="173"/>
      <c r="BH931" s="173"/>
      <c r="BI931" s="173"/>
      <c r="BJ931" s="173"/>
      <c r="BK931" s="173"/>
      <c r="BL931" s="173"/>
      <c r="BM931" s="173"/>
      <c r="BN931" s="173"/>
      <c r="BO931" s="173"/>
      <c r="BP931" s="173"/>
      <c r="BQ931" s="173"/>
      <c r="BR931" s="173"/>
      <c r="BS931" s="173"/>
      <c r="BT931" s="173"/>
      <c r="BU931" s="173"/>
      <c r="BV931" s="173"/>
      <c r="BW931" s="173"/>
      <c r="BX931" s="173"/>
      <c r="BY931" s="173"/>
    </row>
    <row r="932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  <c r="AD932" s="173"/>
      <c r="AE932" s="173"/>
      <c r="AF932" s="173"/>
      <c r="AG932" s="173"/>
      <c r="AH932" s="173"/>
      <c r="AI932" s="173"/>
      <c r="AJ932" s="173"/>
      <c r="AK932" s="173"/>
      <c r="AL932" s="173"/>
      <c r="AM932" s="173"/>
      <c r="AN932" s="173"/>
      <c r="AO932" s="173"/>
      <c r="AP932" s="173"/>
      <c r="AQ932" s="173"/>
      <c r="AR932" s="173"/>
      <c r="AS932" s="173"/>
      <c r="AT932" s="173"/>
      <c r="AU932" s="173"/>
      <c r="AV932" s="173"/>
      <c r="AW932" s="173"/>
      <c r="AX932" s="173"/>
      <c r="AY932" s="173"/>
      <c r="AZ932" s="173"/>
      <c r="BA932" s="173"/>
      <c r="BB932" s="173"/>
      <c r="BC932" s="173"/>
      <c r="BD932" s="173"/>
      <c r="BE932" s="173"/>
      <c r="BF932" s="173"/>
      <c r="BG932" s="173"/>
      <c r="BH932" s="173"/>
      <c r="BI932" s="173"/>
      <c r="BJ932" s="173"/>
      <c r="BK932" s="173"/>
      <c r="BL932" s="173"/>
      <c r="BM932" s="173"/>
      <c r="BN932" s="173"/>
      <c r="BO932" s="173"/>
      <c r="BP932" s="173"/>
      <c r="BQ932" s="173"/>
      <c r="BR932" s="173"/>
      <c r="BS932" s="173"/>
      <c r="BT932" s="173"/>
      <c r="BU932" s="173"/>
      <c r="BV932" s="173"/>
      <c r="BW932" s="173"/>
      <c r="BX932" s="173"/>
      <c r="BY932" s="173"/>
    </row>
    <row r="933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  <c r="AD933" s="173"/>
      <c r="AE933" s="173"/>
      <c r="AF933" s="173"/>
      <c r="AG933" s="173"/>
      <c r="AH933" s="173"/>
      <c r="AI933" s="173"/>
      <c r="AJ933" s="173"/>
      <c r="AK933" s="173"/>
      <c r="AL933" s="173"/>
      <c r="AM933" s="173"/>
      <c r="AN933" s="173"/>
      <c r="AO933" s="173"/>
      <c r="AP933" s="173"/>
      <c r="AQ933" s="173"/>
      <c r="AR933" s="173"/>
      <c r="AS933" s="173"/>
      <c r="AT933" s="173"/>
      <c r="AU933" s="173"/>
      <c r="AV933" s="173"/>
      <c r="AW933" s="173"/>
      <c r="AX933" s="173"/>
      <c r="AY933" s="173"/>
      <c r="AZ933" s="173"/>
      <c r="BA933" s="173"/>
      <c r="BB933" s="173"/>
      <c r="BC933" s="173"/>
      <c r="BD933" s="173"/>
      <c r="BE933" s="173"/>
      <c r="BF933" s="173"/>
      <c r="BG933" s="173"/>
      <c r="BH933" s="173"/>
      <c r="BI933" s="173"/>
      <c r="BJ933" s="173"/>
      <c r="BK933" s="173"/>
      <c r="BL933" s="173"/>
      <c r="BM933" s="173"/>
      <c r="BN933" s="173"/>
      <c r="BO933" s="173"/>
      <c r="BP933" s="173"/>
      <c r="BQ933" s="173"/>
      <c r="BR933" s="173"/>
      <c r="BS933" s="173"/>
      <c r="BT933" s="173"/>
      <c r="BU933" s="173"/>
      <c r="BV933" s="173"/>
      <c r="BW933" s="173"/>
      <c r="BX933" s="173"/>
      <c r="BY933" s="173"/>
    </row>
    <row r="934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  <c r="AD934" s="173"/>
      <c r="AE934" s="173"/>
      <c r="AF934" s="173"/>
      <c r="AG934" s="173"/>
      <c r="AH934" s="173"/>
      <c r="AI934" s="173"/>
      <c r="AJ934" s="173"/>
      <c r="AK934" s="173"/>
      <c r="AL934" s="173"/>
      <c r="AM934" s="173"/>
      <c r="AN934" s="173"/>
      <c r="AO934" s="173"/>
      <c r="AP934" s="173"/>
      <c r="AQ934" s="173"/>
      <c r="AR934" s="173"/>
      <c r="AS934" s="173"/>
      <c r="AT934" s="173"/>
      <c r="AU934" s="173"/>
      <c r="AV934" s="173"/>
      <c r="AW934" s="173"/>
      <c r="AX934" s="173"/>
      <c r="AY934" s="173"/>
      <c r="AZ934" s="173"/>
      <c r="BA934" s="173"/>
      <c r="BB934" s="173"/>
      <c r="BC934" s="173"/>
      <c r="BD934" s="173"/>
      <c r="BE934" s="173"/>
      <c r="BF934" s="173"/>
      <c r="BG934" s="173"/>
      <c r="BH934" s="173"/>
      <c r="BI934" s="173"/>
      <c r="BJ934" s="173"/>
      <c r="BK934" s="173"/>
      <c r="BL934" s="173"/>
      <c r="BM934" s="173"/>
      <c r="BN934" s="173"/>
      <c r="BO934" s="173"/>
      <c r="BP934" s="173"/>
      <c r="BQ934" s="173"/>
      <c r="BR934" s="173"/>
      <c r="BS934" s="173"/>
      <c r="BT934" s="173"/>
      <c r="BU934" s="173"/>
      <c r="BV934" s="173"/>
      <c r="BW934" s="173"/>
      <c r="BX934" s="173"/>
      <c r="BY934" s="173"/>
    </row>
    <row r="935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  <c r="AD935" s="173"/>
      <c r="AE935" s="173"/>
      <c r="AF935" s="173"/>
      <c r="AG935" s="173"/>
      <c r="AH935" s="173"/>
      <c r="AI935" s="173"/>
      <c r="AJ935" s="173"/>
      <c r="AK935" s="173"/>
      <c r="AL935" s="173"/>
      <c r="AM935" s="173"/>
      <c r="AN935" s="173"/>
      <c r="AO935" s="173"/>
      <c r="AP935" s="173"/>
      <c r="AQ935" s="173"/>
      <c r="AR935" s="173"/>
      <c r="AS935" s="173"/>
      <c r="AT935" s="173"/>
      <c r="AU935" s="173"/>
      <c r="AV935" s="173"/>
      <c r="AW935" s="173"/>
      <c r="AX935" s="173"/>
      <c r="AY935" s="173"/>
      <c r="AZ935" s="173"/>
      <c r="BA935" s="173"/>
      <c r="BB935" s="173"/>
      <c r="BC935" s="173"/>
      <c r="BD935" s="173"/>
      <c r="BE935" s="173"/>
      <c r="BF935" s="173"/>
      <c r="BG935" s="173"/>
      <c r="BH935" s="173"/>
      <c r="BI935" s="173"/>
      <c r="BJ935" s="173"/>
      <c r="BK935" s="173"/>
      <c r="BL935" s="173"/>
      <c r="BM935" s="173"/>
      <c r="BN935" s="173"/>
      <c r="BO935" s="173"/>
      <c r="BP935" s="173"/>
      <c r="BQ935" s="173"/>
      <c r="BR935" s="173"/>
      <c r="BS935" s="173"/>
      <c r="BT935" s="173"/>
      <c r="BU935" s="173"/>
      <c r="BV935" s="173"/>
      <c r="BW935" s="173"/>
      <c r="BX935" s="173"/>
      <c r="BY935" s="173"/>
    </row>
    <row r="936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  <c r="AD936" s="173"/>
      <c r="AE936" s="173"/>
      <c r="AF936" s="173"/>
      <c r="AG936" s="173"/>
      <c r="AH936" s="173"/>
      <c r="AI936" s="173"/>
      <c r="AJ936" s="173"/>
      <c r="AK936" s="173"/>
      <c r="AL936" s="173"/>
      <c r="AM936" s="173"/>
      <c r="AN936" s="173"/>
      <c r="AO936" s="173"/>
      <c r="AP936" s="173"/>
      <c r="AQ936" s="173"/>
      <c r="AR936" s="173"/>
      <c r="AS936" s="173"/>
      <c r="AT936" s="173"/>
      <c r="AU936" s="173"/>
      <c r="AV936" s="173"/>
      <c r="AW936" s="173"/>
      <c r="AX936" s="173"/>
      <c r="AY936" s="173"/>
      <c r="AZ936" s="173"/>
      <c r="BA936" s="173"/>
      <c r="BB936" s="173"/>
      <c r="BC936" s="173"/>
      <c r="BD936" s="173"/>
      <c r="BE936" s="173"/>
      <c r="BF936" s="173"/>
      <c r="BG936" s="173"/>
      <c r="BH936" s="173"/>
      <c r="BI936" s="173"/>
      <c r="BJ936" s="173"/>
      <c r="BK936" s="173"/>
      <c r="BL936" s="173"/>
      <c r="BM936" s="173"/>
      <c r="BN936" s="173"/>
      <c r="BO936" s="173"/>
      <c r="BP936" s="173"/>
      <c r="BQ936" s="173"/>
      <c r="BR936" s="173"/>
      <c r="BS936" s="173"/>
      <c r="BT936" s="173"/>
      <c r="BU936" s="173"/>
      <c r="BV936" s="173"/>
      <c r="BW936" s="173"/>
      <c r="BX936" s="173"/>
      <c r="BY936" s="173"/>
    </row>
    <row r="937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  <c r="AD937" s="173"/>
      <c r="AE937" s="173"/>
      <c r="AF937" s="173"/>
      <c r="AG937" s="173"/>
      <c r="AH937" s="173"/>
      <c r="AI937" s="173"/>
      <c r="AJ937" s="173"/>
      <c r="AK937" s="173"/>
      <c r="AL937" s="173"/>
      <c r="AM937" s="173"/>
      <c r="AN937" s="173"/>
      <c r="AO937" s="173"/>
      <c r="AP937" s="173"/>
      <c r="AQ937" s="173"/>
      <c r="AR937" s="173"/>
      <c r="AS937" s="173"/>
      <c r="AT937" s="173"/>
      <c r="AU937" s="173"/>
      <c r="AV937" s="173"/>
      <c r="AW937" s="173"/>
      <c r="AX937" s="173"/>
      <c r="AY937" s="173"/>
      <c r="AZ937" s="173"/>
      <c r="BA937" s="173"/>
      <c r="BB937" s="173"/>
      <c r="BC937" s="173"/>
      <c r="BD937" s="173"/>
      <c r="BE937" s="173"/>
      <c r="BF937" s="173"/>
      <c r="BG937" s="173"/>
      <c r="BH937" s="173"/>
      <c r="BI937" s="173"/>
      <c r="BJ937" s="173"/>
      <c r="BK937" s="173"/>
      <c r="BL937" s="173"/>
      <c r="BM937" s="173"/>
      <c r="BN937" s="173"/>
      <c r="BO937" s="173"/>
      <c r="BP937" s="173"/>
      <c r="BQ937" s="173"/>
      <c r="BR937" s="173"/>
      <c r="BS937" s="173"/>
      <c r="BT937" s="173"/>
      <c r="BU937" s="173"/>
      <c r="BV937" s="173"/>
      <c r="BW937" s="173"/>
      <c r="BX937" s="173"/>
      <c r="BY937" s="173"/>
    </row>
    <row r="938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  <c r="AD938" s="173"/>
      <c r="AE938" s="173"/>
      <c r="AF938" s="173"/>
      <c r="AG938" s="173"/>
      <c r="AH938" s="173"/>
      <c r="AI938" s="173"/>
      <c r="AJ938" s="173"/>
      <c r="AK938" s="173"/>
      <c r="AL938" s="173"/>
      <c r="AM938" s="173"/>
      <c r="AN938" s="173"/>
      <c r="AO938" s="173"/>
      <c r="AP938" s="173"/>
      <c r="AQ938" s="173"/>
      <c r="AR938" s="173"/>
      <c r="AS938" s="173"/>
      <c r="AT938" s="173"/>
      <c r="AU938" s="173"/>
      <c r="AV938" s="173"/>
      <c r="AW938" s="173"/>
      <c r="AX938" s="173"/>
      <c r="AY938" s="173"/>
      <c r="AZ938" s="173"/>
      <c r="BA938" s="173"/>
      <c r="BB938" s="173"/>
      <c r="BC938" s="173"/>
      <c r="BD938" s="173"/>
      <c r="BE938" s="173"/>
      <c r="BF938" s="173"/>
      <c r="BG938" s="173"/>
      <c r="BH938" s="173"/>
      <c r="BI938" s="173"/>
      <c r="BJ938" s="173"/>
      <c r="BK938" s="173"/>
      <c r="BL938" s="173"/>
      <c r="BM938" s="173"/>
      <c r="BN938" s="173"/>
      <c r="BO938" s="173"/>
      <c r="BP938" s="173"/>
      <c r="BQ938" s="173"/>
      <c r="BR938" s="173"/>
      <c r="BS938" s="173"/>
      <c r="BT938" s="173"/>
      <c r="BU938" s="173"/>
      <c r="BV938" s="173"/>
      <c r="BW938" s="173"/>
      <c r="BX938" s="173"/>
      <c r="BY938" s="173"/>
    </row>
    <row r="939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  <c r="AD939" s="173"/>
      <c r="AE939" s="173"/>
      <c r="AF939" s="173"/>
      <c r="AG939" s="173"/>
      <c r="AH939" s="173"/>
      <c r="AI939" s="173"/>
      <c r="AJ939" s="173"/>
      <c r="AK939" s="173"/>
      <c r="AL939" s="173"/>
      <c r="AM939" s="173"/>
      <c r="AN939" s="173"/>
      <c r="AO939" s="173"/>
      <c r="AP939" s="173"/>
      <c r="AQ939" s="173"/>
      <c r="AR939" s="173"/>
      <c r="AS939" s="173"/>
      <c r="AT939" s="173"/>
      <c r="AU939" s="173"/>
      <c r="AV939" s="173"/>
      <c r="AW939" s="173"/>
      <c r="AX939" s="173"/>
      <c r="AY939" s="173"/>
      <c r="AZ939" s="173"/>
      <c r="BA939" s="173"/>
      <c r="BB939" s="173"/>
      <c r="BC939" s="173"/>
      <c r="BD939" s="173"/>
      <c r="BE939" s="173"/>
      <c r="BF939" s="173"/>
      <c r="BG939" s="173"/>
      <c r="BH939" s="173"/>
      <c r="BI939" s="173"/>
      <c r="BJ939" s="173"/>
      <c r="BK939" s="173"/>
      <c r="BL939" s="173"/>
      <c r="BM939" s="173"/>
      <c r="BN939" s="173"/>
      <c r="BO939" s="173"/>
      <c r="BP939" s="173"/>
      <c r="BQ939" s="173"/>
      <c r="BR939" s="173"/>
      <c r="BS939" s="173"/>
      <c r="BT939" s="173"/>
      <c r="BU939" s="173"/>
      <c r="BV939" s="173"/>
      <c r="BW939" s="173"/>
      <c r="BX939" s="173"/>
      <c r="BY939" s="173"/>
    </row>
    <row r="940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  <c r="AD940" s="173"/>
      <c r="AE940" s="173"/>
      <c r="AF940" s="173"/>
      <c r="AG940" s="173"/>
      <c r="AH940" s="173"/>
      <c r="AI940" s="173"/>
      <c r="AJ940" s="173"/>
      <c r="AK940" s="173"/>
      <c r="AL940" s="173"/>
      <c r="AM940" s="173"/>
      <c r="AN940" s="173"/>
      <c r="AO940" s="173"/>
      <c r="AP940" s="173"/>
      <c r="AQ940" s="173"/>
      <c r="AR940" s="173"/>
      <c r="AS940" s="173"/>
      <c r="AT940" s="173"/>
      <c r="AU940" s="173"/>
      <c r="AV940" s="173"/>
      <c r="AW940" s="173"/>
      <c r="AX940" s="173"/>
      <c r="AY940" s="173"/>
      <c r="AZ940" s="173"/>
      <c r="BA940" s="173"/>
      <c r="BB940" s="173"/>
      <c r="BC940" s="173"/>
      <c r="BD940" s="173"/>
      <c r="BE940" s="173"/>
      <c r="BF940" s="173"/>
      <c r="BG940" s="173"/>
      <c r="BH940" s="173"/>
      <c r="BI940" s="173"/>
      <c r="BJ940" s="173"/>
      <c r="BK940" s="173"/>
      <c r="BL940" s="173"/>
      <c r="BM940" s="173"/>
      <c r="BN940" s="173"/>
      <c r="BO940" s="173"/>
      <c r="BP940" s="173"/>
      <c r="BQ940" s="173"/>
      <c r="BR940" s="173"/>
      <c r="BS940" s="173"/>
      <c r="BT940" s="173"/>
      <c r="BU940" s="173"/>
      <c r="BV940" s="173"/>
      <c r="BW940" s="173"/>
      <c r="BX940" s="173"/>
      <c r="BY940" s="173"/>
    </row>
    <row r="94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  <c r="AD941" s="173"/>
      <c r="AE941" s="173"/>
      <c r="AF941" s="173"/>
      <c r="AG941" s="173"/>
      <c r="AH941" s="173"/>
      <c r="AI941" s="173"/>
      <c r="AJ941" s="173"/>
      <c r="AK941" s="173"/>
      <c r="AL941" s="173"/>
      <c r="AM941" s="173"/>
      <c r="AN941" s="173"/>
      <c r="AO941" s="173"/>
      <c r="AP941" s="173"/>
      <c r="AQ941" s="173"/>
      <c r="AR941" s="173"/>
      <c r="AS941" s="173"/>
      <c r="AT941" s="173"/>
      <c r="AU941" s="173"/>
      <c r="AV941" s="173"/>
      <c r="AW941" s="173"/>
      <c r="AX941" s="173"/>
      <c r="AY941" s="173"/>
      <c r="AZ941" s="173"/>
      <c r="BA941" s="173"/>
      <c r="BB941" s="173"/>
      <c r="BC941" s="173"/>
      <c r="BD941" s="173"/>
      <c r="BE941" s="173"/>
      <c r="BF941" s="173"/>
      <c r="BG941" s="173"/>
      <c r="BH941" s="173"/>
      <c r="BI941" s="173"/>
      <c r="BJ941" s="173"/>
      <c r="BK941" s="173"/>
      <c r="BL941" s="173"/>
      <c r="BM941" s="173"/>
      <c r="BN941" s="173"/>
      <c r="BO941" s="173"/>
      <c r="BP941" s="173"/>
      <c r="BQ941" s="173"/>
      <c r="BR941" s="173"/>
      <c r="BS941" s="173"/>
      <c r="BT941" s="173"/>
      <c r="BU941" s="173"/>
      <c r="BV941" s="173"/>
      <c r="BW941" s="173"/>
      <c r="BX941" s="173"/>
      <c r="BY941" s="173"/>
    </row>
    <row r="942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  <c r="AD942" s="173"/>
      <c r="AE942" s="173"/>
      <c r="AF942" s="173"/>
      <c r="AG942" s="173"/>
      <c r="AH942" s="173"/>
      <c r="AI942" s="173"/>
      <c r="AJ942" s="173"/>
      <c r="AK942" s="173"/>
      <c r="AL942" s="173"/>
      <c r="AM942" s="173"/>
      <c r="AN942" s="173"/>
      <c r="AO942" s="173"/>
      <c r="AP942" s="173"/>
      <c r="AQ942" s="173"/>
      <c r="AR942" s="173"/>
      <c r="AS942" s="173"/>
      <c r="AT942" s="173"/>
      <c r="AU942" s="173"/>
      <c r="AV942" s="173"/>
      <c r="AW942" s="173"/>
      <c r="AX942" s="173"/>
      <c r="AY942" s="173"/>
      <c r="AZ942" s="173"/>
      <c r="BA942" s="173"/>
      <c r="BB942" s="173"/>
      <c r="BC942" s="173"/>
      <c r="BD942" s="173"/>
      <c r="BE942" s="173"/>
      <c r="BF942" s="173"/>
      <c r="BG942" s="173"/>
      <c r="BH942" s="173"/>
      <c r="BI942" s="173"/>
      <c r="BJ942" s="173"/>
      <c r="BK942" s="173"/>
      <c r="BL942" s="173"/>
      <c r="BM942" s="173"/>
      <c r="BN942" s="173"/>
      <c r="BO942" s="173"/>
      <c r="BP942" s="173"/>
      <c r="BQ942" s="173"/>
      <c r="BR942" s="173"/>
      <c r="BS942" s="173"/>
      <c r="BT942" s="173"/>
      <c r="BU942" s="173"/>
      <c r="BV942" s="173"/>
      <c r="BW942" s="173"/>
      <c r="BX942" s="173"/>
      <c r="BY942" s="173"/>
    </row>
    <row r="943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  <c r="AD943" s="173"/>
      <c r="AE943" s="173"/>
      <c r="AF943" s="173"/>
      <c r="AG943" s="173"/>
      <c r="AH943" s="173"/>
      <c r="AI943" s="173"/>
      <c r="AJ943" s="173"/>
      <c r="AK943" s="173"/>
      <c r="AL943" s="173"/>
      <c r="AM943" s="173"/>
      <c r="AN943" s="173"/>
      <c r="AO943" s="173"/>
      <c r="AP943" s="173"/>
      <c r="AQ943" s="173"/>
      <c r="AR943" s="173"/>
      <c r="AS943" s="173"/>
      <c r="AT943" s="173"/>
      <c r="AU943" s="173"/>
      <c r="AV943" s="173"/>
      <c r="AW943" s="173"/>
      <c r="AX943" s="173"/>
      <c r="AY943" s="173"/>
      <c r="AZ943" s="173"/>
      <c r="BA943" s="173"/>
      <c r="BB943" s="173"/>
      <c r="BC943" s="173"/>
      <c r="BD943" s="173"/>
      <c r="BE943" s="173"/>
      <c r="BF943" s="173"/>
      <c r="BG943" s="173"/>
      <c r="BH943" s="173"/>
      <c r="BI943" s="173"/>
      <c r="BJ943" s="173"/>
      <c r="BK943" s="173"/>
      <c r="BL943" s="173"/>
      <c r="BM943" s="173"/>
      <c r="BN943" s="173"/>
      <c r="BO943" s="173"/>
      <c r="BP943" s="173"/>
      <c r="BQ943" s="173"/>
      <c r="BR943" s="173"/>
      <c r="BS943" s="173"/>
      <c r="BT943" s="173"/>
      <c r="BU943" s="173"/>
      <c r="BV943" s="173"/>
      <c r="BW943" s="173"/>
      <c r="BX943" s="173"/>
      <c r="BY943" s="173"/>
    </row>
    <row r="944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  <c r="AD944" s="173"/>
      <c r="AE944" s="173"/>
      <c r="AF944" s="173"/>
      <c r="AG944" s="173"/>
      <c r="AH944" s="173"/>
      <c r="AI944" s="173"/>
      <c r="AJ944" s="173"/>
      <c r="AK944" s="173"/>
      <c r="AL944" s="173"/>
      <c r="AM944" s="173"/>
      <c r="AN944" s="173"/>
      <c r="AO944" s="173"/>
      <c r="AP944" s="173"/>
      <c r="AQ944" s="173"/>
      <c r="AR944" s="173"/>
      <c r="AS944" s="173"/>
      <c r="AT944" s="173"/>
      <c r="AU944" s="173"/>
      <c r="AV944" s="173"/>
      <c r="AW944" s="173"/>
      <c r="AX944" s="173"/>
      <c r="AY944" s="173"/>
      <c r="AZ944" s="173"/>
      <c r="BA944" s="173"/>
      <c r="BB944" s="173"/>
      <c r="BC944" s="173"/>
      <c r="BD944" s="173"/>
      <c r="BE944" s="173"/>
      <c r="BF944" s="173"/>
      <c r="BG944" s="173"/>
      <c r="BH944" s="173"/>
      <c r="BI944" s="173"/>
      <c r="BJ944" s="173"/>
      <c r="BK944" s="173"/>
      <c r="BL944" s="173"/>
      <c r="BM944" s="173"/>
      <c r="BN944" s="173"/>
      <c r="BO944" s="173"/>
      <c r="BP944" s="173"/>
      <c r="BQ944" s="173"/>
      <c r="BR944" s="173"/>
      <c r="BS944" s="173"/>
      <c r="BT944" s="173"/>
      <c r="BU944" s="173"/>
      <c r="BV944" s="173"/>
      <c r="BW944" s="173"/>
      <c r="BX944" s="173"/>
      <c r="BY944" s="173"/>
    </row>
    <row r="945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  <c r="AD945" s="173"/>
      <c r="AE945" s="173"/>
      <c r="AF945" s="173"/>
      <c r="AG945" s="173"/>
      <c r="AH945" s="173"/>
      <c r="AI945" s="173"/>
      <c r="AJ945" s="173"/>
      <c r="AK945" s="173"/>
      <c r="AL945" s="173"/>
      <c r="AM945" s="173"/>
      <c r="AN945" s="173"/>
      <c r="AO945" s="173"/>
      <c r="AP945" s="173"/>
      <c r="AQ945" s="173"/>
      <c r="AR945" s="173"/>
      <c r="AS945" s="173"/>
      <c r="AT945" s="173"/>
      <c r="AU945" s="173"/>
      <c r="AV945" s="173"/>
      <c r="AW945" s="173"/>
      <c r="AX945" s="173"/>
      <c r="AY945" s="173"/>
      <c r="AZ945" s="173"/>
      <c r="BA945" s="173"/>
      <c r="BB945" s="173"/>
      <c r="BC945" s="173"/>
      <c r="BD945" s="173"/>
      <c r="BE945" s="173"/>
      <c r="BF945" s="173"/>
      <c r="BG945" s="173"/>
      <c r="BH945" s="173"/>
      <c r="BI945" s="173"/>
      <c r="BJ945" s="173"/>
      <c r="BK945" s="173"/>
      <c r="BL945" s="173"/>
      <c r="BM945" s="173"/>
      <c r="BN945" s="173"/>
      <c r="BO945" s="173"/>
      <c r="BP945" s="173"/>
      <c r="BQ945" s="173"/>
      <c r="BR945" s="173"/>
      <c r="BS945" s="173"/>
      <c r="BT945" s="173"/>
      <c r="BU945" s="173"/>
      <c r="BV945" s="173"/>
      <c r="BW945" s="173"/>
      <c r="BX945" s="173"/>
      <c r="BY945" s="173"/>
    </row>
    <row r="946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  <c r="AD946" s="173"/>
      <c r="AE946" s="173"/>
      <c r="AF946" s="173"/>
      <c r="AG946" s="173"/>
      <c r="AH946" s="173"/>
      <c r="AI946" s="173"/>
      <c r="AJ946" s="173"/>
      <c r="AK946" s="173"/>
      <c r="AL946" s="173"/>
      <c r="AM946" s="173"/>
      <c r="AN946" s="173"/>
      <c r="AO946" s="173"/>
      <c r="AP946" s="173"/>
      <c r="AQ946" s="173"/>
      <c r="AR946" s="173"/>
      <c r="AS946" s="173"/>
      <c r="AT946" s="173"/>
      <c r="AU946" s="173"/>
      <c r="AV946" s="173"/>
      <c r="AW946" s="173"/>
      <c r="AX946" s="173"/>
      <c r="AY946" s="173"/>
      <c r="AZ946" s="173"/>
      <c r="BA946" s="173"/>
      <c r="BB946" s="173"/>
      <c r="BC946" s="173"/>
      <c r="BD946" s="173"/>
      <c r="BE946" s="173"/>
      <c r="BF946" s="173"/>
      <c r="BG946" s="173"/>
      <c r="BH946" s="173"/>
      <c r="BI946" s="173"/>
      <c r="BJ946" s="173"/>
      <c r="BK946" s="173"/>
      <c r="BL946" s="173"/>
      <c r="BM946" s="173"/>
      <c r="BN946" s="173"/>
      <c r="BO946" s="173"/>
      <c r="BP946" s="173"/>
      <c r="BQ946" s="173"/>
      <c r="BR946" s="173"/>
      <c r="BS946" s="173"/>
      <c r="BT946" s="173"/>
      <c r="BU946" s="173"/>
      <c r="BV946" s="173"/>
      <c r="BW946" s="173"/>
      <c r="BX946" s="173"/>
      <c r="BY946" s="173"/>
    </row>
    <row r="947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3"/>
      <c r="AM947" s="173"/>
      <c r="AN947" s="173"/>
      <c r="AO947" s="173"/>
      <c r="AP947" s="173"/>
      <c r="AQ947" s="173"/>
      <c r="AR947" s="173"/>
      <c r="AS947" s="173"/>
      <c r="AT947" s="173"/>
      <c r="AU947" s="173"/>
      <c r="AV947" s="173"/>
      <c r="AW947" s="173"/>
      <c r="AX947" s="173"/>
      <c r="AY947" s="173"/>
      <c r="AZ947" s="173"/>
      <c r="BA947" s="173"/>
      <c r="BB947" s="173"/>
      <c r="BC947" s="173"/>
      <c r="BD947" s="173"/>
      <c r="BE947" s="173"/>
      <c r="BF947" s="173"/>
      <c r="BG947" s="173"/>
      <c r="BH947" s="173"/>
      <c r="BI947" s="173"/>
      <c r="BJ947" s="173"/>
      <c r="BK947" s="173"/>
      <c r="BL947" s="173"/>
      <c r="BM947" s="173"/>
      <c r="BN947" s="173"/>
      <c r="BO947" s="173"/>
      <c r="BP947" s="173"/>
      <c r="BQ947" s="173"/>
      <c r="BR947" s="173"/>
      <c r="BS947" s="173"/>
      <c r="BT947" s="173"/>
      <c r="BU947" s="173"/>
      <c r="BV947" s="173"/>
      <c r="BW947" s="173"/>
      <c r="BX947" s="173"/>
      <c r="BY947" s="173"/>
    </row>
    <row r="948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3"/>
      <c r="AM948" s="173"/>
      <c r="AN948" s="173"/>
      <c r="AO948" s="173"/>
      <c r="AP948" s="173"/>
      <c r="AQ948" s="173"/>
      <c r="AR948" s="173"/>
      <c r="AS948" s="173"/>
      <c r="AT948" s="173"/>
      <c r="AU948" s="173"/>
      <c r="AV948" s="173"/>
      <c r="AW948" s="173"/>
      <c r="AX948" s="173"/>
      <c r="AY948" s="173"/>
      <c r="AZ948" s="173"/>
      <c r="BA948" s="173"/>
      <c r="BB948" s="173"/>
      <c r="BC948" s="173"/>
      <c r="BD948" s="173"/>
      <c r="BE948" s="173"/>
      <c r="BF948" s="173"/>
      <c r="BG948" s="173"/>
      <c r="BH948" s="173"/>
      <c r="BI948" s="173"/>
      <c r="BJ948" s="173"/>
      <c r="BK948" s="173"/>
      <c r="BL948" s="173"/>
      <c r="BM948" s="173"/>
      <c r="BN948" s="173"/>
      <c r="BO948" s="173"/>
      <c r="BP948" s="173"/>
      <c r="BQ948" s="173"/>
      <c r="BR948" s="173"/>
      <c r="BS948" s="173"/>
      <c r="BT948" s="173"/>
      <c r="BU948" s="173"/>
      <c r="BV948" s="173"/>
      <c r="BW948" s="173"/>
      <c r="BX948" s="173"/>
      <c r="BY948" s="173"/>
    </row>
    <row r="949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3"/>
      <c r="AM949" s="173"/>
      <c r="AN949" s="173"/>
      <c r="AO949" s="173"/>
      <c r="AP949" s="173"/>
      <c r="AQ949" s="173"/>
      <c r="AR949" s="173"/>
      <c r="AS949" s="173"/>
      <c r="AT949" s="173"/>
      <c r="AU949" s="173"/>
      <c r="AV949" s="173"/>
      <c r="AW949" s="173"/>
      <c r="AX949" s="173"/>
      <c r="AY949" s="173"/>
      <c r="AZ949" s="173"/>
      <c r="BA949" s="173"/>
      <c r="BB949" s="173"/>
      <c r="BC949" s="173"/>
      <c r="BD949" s="173"/>
      <c r="BE949" s="173"/>
      <c r="BF949" s="173"/>
      <c r="BG949" s="173"/>
      <c r="BH949" s="173"/>
      <c r="BI949" s="173"/>
      <c r="BJ949" s="173"/>
      <c r="BK949" s="173"/>
      <c r="BL949" s="173"/>
      <c r="BM949" s="173"/>
      <c r="BN949" s="173"/>
      <c r="BO949" s="173"/>
      <c r="BP949" s="173"/>
      <c r="BQ949" s="173"/>
      <c r="BR949" s="173"/>
      <c r="BS949" s="173"/>
      <c r="BT949" s="173"/>
      <c r="BU949" s="173"/>
      <c r="BV949" s="173"/>
      <c r="BW949" s="173"/>
      <c r="BX949" s="173"/>
      <c r="BY949" s="173"/>
    </row>
    <row r="950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3"/>
      <c r="AM950" s="173"/>
      <c r="AN950" s="173"/>
      <c r="AO950" s="173"/>
      <c r="AP950" s="173"/>
      <c r="AQ950" s="173"/>
      <c r="AR950" s="173"/>
      <c r="AS950" s="173"/>
      <c r="AT950" s="173"/>
      <c r="AU950" s="173"/>
      <c r="AV950" s="173"/>
      <c r="AW950" s="173"/>
      <c r="AX950" s="173"/>
      <c r="AY950" s="173"/>
      <c r="AZ950" s="173"/>
      <c r="BA950" s="173"/>
      <c r="BB950" s="173"/>
      <c r="BC950" s="173"/>
      <c r="BD950" s="173"/>
      <c r="BE950" s="173"/>
      <c r="BF950" s="173"/>
      <c r="BG950" s="173"/>
      <c r="BH950" s="173"/>
      <c r="BI950" s="173"/>
      <c r="BJ950" s="173"/>
      <c r="BK950" s="173"/>
      <c r="BL950" s="173"/>
      <c r="BM950" s="173"/>
      <c r="BN950" s="173"/>
      <c r="BO950" s="173"/>
      <c r="BP950" s="173"/>
      <c r="BQ950" s="173"/>
      <c r="BR950" s="173"/>
      <c r="BS950" s="173"/>
      <c r="BT950" s="173"/>
      <c r="BU950" s="173"/>
      <c r="BV950" s="173"/>
      <c r="BW950" s="173"/>
      <c r="BX950" s="173"/>
      <c r="BY950" s="173"/>
    </row>
    <row r="95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3"/>
      <c r="AM951" s="173"/>
      <c r="AN951" s="173"/>
      <c r="AO951" s="173"/>
      <c r="AP951" s="173"/>
      <c r="AQ951" s="173"/>
      <c r="AR951" s="173"/>
      <c r="AS951" s="173"/>
      <c r="AT951" s="173"/>
      <c r="AU951" s="173"/>
      <c r="AV951" s="173"/>
      <c r="AW951" s="173"/>
      <c r="AX951" s="173"/>
      <c r="AY951" s="173"/>
      <c r="AZ951" s="173"/>
      <c r="BA951" s="173"/>
      <c r="BB951" s="173"/>
      <c r="BC951" s="173"/>
      <c r="BD951" s="173"/>
      <c r="BE951" s="173"/>
      <c r="BF951" s="173"/>
      <c r="BG951" s="173"/>
      <c r="BH951" s="173"/>
      <c r="BI951" s="173"/>
      <c r="BJ951" s="173"/>
      <c r="BK951" s="173"/>
      <c r="BL951" s="173"/>
      <c r="BM951" s="173"/>
      <c r="BN951" s="173"/>
      <c r="BO951" s="173"/>
      <c r="BP951" s="173"/>
      <c r="BQ951" s="173"/>
      <c r="BR951" s="173"/>
      <c r="BS951" s="173"/>
      <c r="BT951" s="173"/>
      <c r="BU951" s="173"/>
      <c r="BV951" s="173"/>
      <c r="BW951" s="173"/>
      <c r="BX951" s="173"/>
      <c r="BY951" s="173"/>
    </row>
    <row r="952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3"/>
      <c r="AM952" s="173"/>
      <c r="AN952" s="173"/>
      <c r="AO952" s="173"/>
      <c r="AP952" s="173"/>
      <c r="AQ952" s="173"/>
      <c r="AR952" s="173"/>
      <c r="AS952" s="173"/>
      <c r="AT952" s="173"/>
      <c r="AU952" s="173"/>
      <c r="AV952" s="173"/>
      <c r="AW952" s="173"/>
      <c r="AX952" s="173"/>
      <c r="AY952" s="173"/>
      <c r="AZ952" s="173"/>
      <c r="BA952" s="173"/>
      <c r="BB952" s="173"/>
      <c r="BC952" s="173"/>
      <c r="BD952" s="173"/>
      <c r="BE952" s="173"/>
      <c r="BF952" s="173"/>
      <c r="BG952" s="173"/>
      <c r="BH952" s="173"/>
      <c r="BI952" s="173"/>
      <c r="BJ952" s="173"/>
      <c r="BK952" s="173"/>
      <c r="BL952" s="173"/>
      <c r="BM952" s="173"/>
      <c r="BN952" s="173"/>
      <c r="BO952" s="173"/>
      <c r="BP952" s="173"/>
      <c r="BQ952" s="173"/>
      <c r="BR952" s="173"/>
      <c r="BS952" s="173"/>
      <c r="BT952" s="173"/>
      <c r="BU952" s="173"/>
      <c r="BV952" s="173"/>
      <c r="BW952" s="173"/>
      <c r="BX952" s="173"/>
      <c r="BY952" s="173"/>
    </row>
    <row r="953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  <c r="AD953" s="173"/>
      <c r="AE953" s="173"/>
      <c r="AF953" s="173"/>
      <c r="AG953" s="173"/>
      <c r="AH953" s="173"/>
      <c r="AI953" s="173"/>
      <c r="AJ953" s="173"/>
      <c r="AK953" s="173"/>
      <c r="AL953" s="173"/>
      <c r="AM953" s="173"/>
      <c r="AN953" s="173"/>
      <c r="AO953" s="173"/>
      <c r="AP953" s="173"/>
      <c r="AQ953" s="173"/>
      <c r="AR953" s="173"/>
      <c r="AS953" s="173"/>
      <c r="AT953" s="173"/>
      <c r="AU953" s="173"/>
      <c r="AV953" s="173"/>
      <c r="AW953" s="173"/>
      <c r="AX953" s="173"/>
      <c r="AY953" s="173"/>
      <c r="AZ953" s="173"/>
      <c r="BA953" s="173"/>
      <c r="BB953" s="173"/>
      <c r="BC953" s="173"/>
      <c r="BD953" s="173"/>
      <c r="BE953" s="173"/>
      <c r="BF953" s="173"/>
      <c r="BG953" s="173"/>
      <c r="BH953" s="173"/>
      <c r="BI953" s="173"/>
      <c r="BJ953" s="173"/>
      <c r="BK953" s="173"/>
      <c r="BL953" s="173"/>
      <c r="BM953" s="173"/>
      <c r="BN953" s="173"/>
      <c r="BO953" s="173"/>
      <c r="BP953" s="173"/>
      <c r="BQ953" s="173"/>
      <c r="BR953" s="173"/>
      <c r="BS953" s="173"/>
      <c r="BT953" s="173"/>
      <c r="BU953" s="173"/>
      <c r="BV953" s="173"/>
      <c r="BW953" s="173"/>
      <c r="BX953" s="173"/>
      <c r="BY953" s="173"/>
    </row>
    <row r="954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  <c r="AD954" s="173"/>
      <c r="AE954" s="173"/>
      <c r="AF954" s="173"/>
      <c r="AG954" s="173"/>
      <c r="AH954" s="173"/>
      <c r="AI954" s="173"/>
      <c r="AJ954" s="173"/>
      <c r="AK954" s="173"/>
      <c r="AL954" s="173"/>
      <c r="AM954" s="173"/>
      <c r="AN954" s="173"/>
      <c r="AO954" s="173"/>
      <c r="AP954" s="173"/>
      <c r="AQ954" s="173"/>
      <c r="AR954" s="173"/>
      <c r="AS954" s="173"/>
      <c r="AT954" s="173"/>
      <c r="AU954" s="173"/>
      <c r="AV954" s="173"/>
      <c r="AW954" s="173"/>
      <c r="AX954" s="173"/>
      <c r="AY954" s="173"/>
      <c r="AZ954" s="173"/>
      <c r="BA954" s="173"/>
      <c r="BB954" s="173"/>
      <c r="BC954" s="173"/>
      <c r="BD954" s="173"/>
      <c r="BE954" s="173"/>
      <c r="BF954" s="173"/>
      <c r="BG954" s="173"/>
      <c r="BH954" s="173"/>
      <c r="BI954" s="173"/>
      <c r="BJ954" s="173"/>
      <c r="BK954" s="173"/>
      <c r="BL954" s="173"/>
      <c r="BM954" s="173"/>
      <c r="BN954" s="173"/>
      <c r="BO954" s="173"/>
      <c r="BP954" s="173"/>
      <c r="BQ954" s="173"/>
      <c r="BR954" s="173"/>
      <c r="BS954" s="173"/>
      <c r="BT954" s="173"/>
      <c r="BU954" s="173"/>
      <c r="BV954" s="173"/>
      <c r="BW954" s="173"/>
      <c r="BX954" s="173"/>
      <c r="BY954" s="173"/>
    </row>
    <row r="955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  <c r="AD955" s="173"/>
      <c r="AE955" s="173"/>
      <c r="AF955" s="173"/>
      <c r="AG955" s="173"/>
      <c r="AH955" s="173"/>
      <c r="AI955" s="173"/>
      <c r="AJ955" s="173"/>
      <c r="AK955" s="173"/>
      <c r="AL955" s="173"/>
      <c r="AM955" s="173"/>
      <c r="AN955" s="173"/>
      <c r="AO955" s="173"/>
      <c r="AP955" s="173"/>
      <c r="AQ955" s="173"/>
      <c r="AR955" s="173"/>
      <c r="AS955" s="173"/>
      <c r="AT955" s="173"/>
      <c r="AU955" s="173"/>
      <c r="AV955" s="173"/>
      <c r="AW955" s="173"/>
      <c r="AX955" s="173"/>
      <c r="AY955" s="173"/>
      <c r="AZ955" s="173"/>
      <c r="BA955" s="173"/>
      <c r="BB955" s="173"/>
      <c r="BC955" s="173"/>
      <c r="BD955" s="173"/>
      <c r="BE955" s="173"/>
      <c r="BF955" s="173"/>
      <c r="BG955" s="173"/>
      <c r="BH955" s="173"/>
      <c r="BI955" s="173"/>
      <c r="BJ955" s="173"/>
      <c r="BK955" s="173"/>
      <c r="BL955" s="173"/>
      <c r="BM955" s="173"/>
      <c r="BN955" s="173"/>
      <c r="BO955" s="173"/>
      <c r="BP955" s="173"/>
      <c r="BQ955" s="173"/>
      <c r="BR955" s="173"/>
      <c r="BS955" s="173"/>
      <c r="BT955" s="173"/>
      <c r="BU955" s="173"/>
      <c r="BV955" s="173"/>
      <c r="BW955" s="173"/>
      <c r="BX955" s="173"/>
      <c r="BY955" s="173"/>
    </row>
    <row r="956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  <c r="AD956" s="173"/>
      <c r="AE956" s="173"/>
      <c r="AF956" s="173"/>
      <c r="AG956" s="173"/>
      <c r="AH956" s="173"/>
      <c r="AI956" s="173"/>
      <c r="AJ956" s="173"/>
      <c r="AK956" s="173"/>
      <c r="AL956" s="173"/>
      <c r="AM956" s="173"/>
      <c r="AN956" s="173"/>
      <c r="AO956" s="173"/>
      <c r="AP956" s="173"/>
      <c r="AQ956" s="173"/>
      <c r="AR956" s="173"/>
      <c r="AS956" s="173"/>
      <c r="AT956" s="173"/>
      <c r="AU956" s="173"/>
      <c r="AV956" s="173"/>
      <c r="AW956" s="173"/>
      <c r="AX956" s="173"/>
      <c r="AY956" s="173"/>
      <c r="AZ956" s="173"/>
      <c r="BA956" s="173"/>
      <c r="BB956" s="173"/>
      <c r="BC956" s="173"/>
      <c r="BD956" s="173"/>
      <c r="BE956" s="173"/>
      <c r="BF956" s="173"/>
      <c r="BG956" s="173"/>
      <c r="BH956" s="173"/>
      <c r="BI956" s="173"/>
      <c r="BJ956" s="173"/>
      <c r="BK956" s="173"/>
      <c r="BL956" s="173"/>
      <c r="BM956" s="173"/>
      <c r="BN956" s="173"/>
      <c r="BO956" s="173"/>
      <c r="BP956" s="173"/>
      <c r="BQ956" s="173"/>
      <c r="BR956" s="173"/>
      <c r="BS956" s="173"/>
      <c r="BT956" s="173"/>
      <c r="BU956" s="173"/>
      <c r="BV956" s="173"/>
      <c r="BW956" s="173"/>
      <c r="BX956" s="173"/>
      <c r="BY956" s="173"/>
    </row>
    <row r="957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  <c r="AD957" s="173"/>
      <c r="AE957" s="173"/>
      <c r="AF957" s="173"/>
      <c r="AG957" s="173"/>
      <c r="AH957" s="173"/>
      <c r="AI957" s="173"/>
      <c r="AJ957" s="173"/>
      <c r="AK957" s="173"/>
      <c r="AL957" s="173"/>
      <c r="AM957" s="173"/>
      <c r="AN957" s="173"/>
      <c r="AO957" s="173"/>
      <c r="AP957" s="173"/>
      <c r="AQ957" s="173"/>
      <c r="AR957" s="173"/>
      <c r="AS957" s="173"/>
      <c r="AT957" s="173"/>
      <c r="AU957" s="173"/>
      <c r="AV957" s="173"/>
      <c r="AW957" s="173"/>
      <c r="AX957" s="173"/>
      <c r="AY957" s="173"/>
      <c r="AZ957" s="173"/>
      <c r="BA957" s="173"/>
      <c r="BB957" s="173"/>
      <c r="BC957" s="173"/>
      <c r="BD957" s="173"/>
      <c r="BE957" s="173"/>
      <c r="BF957" s="173"/>
      <c r="BG957" s="173"/>
      <c r="BH957" s="173"/>
      <c r="BI957" s="173"/>
      <c r="BJ957" s="173"/>
      <c r="BK957" s="173"/>
      <c r="BL957" s="173"/>
      <c r="BM957" s="173"/>
      <c r="BN957" s="173"/>
      <c r="BO957" s="173"/>
      <c r="BP957" s="173"/>
      <c r="BQ957" s="173"/>
      <c r="BR957" s="173"/>
      <c r="BS957" s="173"/>
      <c r="BT957" s="173"/>
      <c r="BU957" s="173"/>
      <c r="BV957" s="173"/>
      <c r="BW957" s="173"/>
      <c r="BX957" s="173"/>
      <c r="BY957" s="173"/>
    </row>
    <row r="958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  <c r="AD958" s="173"/>
      <c r="AE958" s="173"/>
      <c r="AF958" s="173"/>
      <c r="AG958" s="173"/>
      <c r="AH958" s="173"/>
      <c r="AI958" s="173"/>
      <c r="AJ958" s="173"/>
      <c r="AK958" s="173"/>
      <c r="AL958" s="173"/>
      <c r="AM958" s="173"/>
      <c r="AN958" s="173"/>
      <c r="AO958" s="173"/>
      <c r="AP958" s="173"/>
      <c r="AQ958" s="173"/>
      <c r="AR958" s="173"/>
      <c r="AS958" s="173"/>
      <c r="AT958" s="173"/>
      <c r="AU958" s="173"/>
      <c r="AV958" s="173"/>
      <c r="AW958" s="173"/>
      <c r="AX958" s="173"/>
      <c r="AY958" s="173"/>
      <c r="AZ958" s="173"/>
      <c r="BA958" s="173"/>
      <c r="BB958" s="173"/>
      <c r="BC958" s="173"/>
      <c r="BD958" s="173"/>
      <c r="BE958" s="173"/>
      <c r="BF958" s="173"/>
      <c r="BG958" s="173"/>
      <c r="BH958" s="173"/>
      <c r="BI958" s="173"/>
      <c r="BJ958" s="173"/>
      <c r="BK958" s="173"/>
      <c r="BL958" s="173"/>
      <c r="BM958" s="173"/>
      <c r="BN958" s="173"/>
      <c r="BO958" s="173"/>
      <c r="BP958" s="173"/>
      <c r="BQ958" s="173"/>
      <c r="BR958" s="173"/>
      <c r="BS958" s="173"/>
      <c r="BT958" s="173"/>
      <c r="BU958" s="173"/>
      <c r="BV958" s="173"/>
      <c r="BW958" s="173"/>
      <c r="BX958" s="173"/>
      <c r="BY958" s="173"/>
    </row>
    <row r="959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  <c r="AD959" s="173"/>
      <c r="AE959" s="173"/>
      <c r="AF959" s="173"/>
      <c r="AG959" s="173"/>
      <c r="AH959" s="173"/>
      <c r="AI959" s="173"/>
      <c r="AJ959" s="173"/>
      <c r="AK959" s="173"/>
      <c r="AL959" s="173"/>
      <c r="AM959" s="173"/>
      <c r="AN959" s="173"/>
      <c r="AO959" s="173"/>
      <c r="AP959" s="173"/>
      <c r="AQ959" s="173"/>
      <c r="AR959" s="173"/>
      <c r="AS959" s="173"/>
      <c r="AT959" s="173"/>
      <c r="AU959" s="173"/>
      <c r="AV959" s="173"/>
      <c r="AW959" s="173"/>
      <c r="AX959" s="173"/>
      <c r="AY959" s="173"/>
      <c r="AZ959" s="173"/>
      <c r="BA959" s="173"/>
      <c r="BB959" s="173"/>
      <c r="BC959" s="173"/>
      <c r="BD959" s="173"/>
      <c r="BE959" s="173"/>
      <c r="BF959" s="173"/>
      <c r="BG959" s="173"/>
      <c r="BH959" s="173"/>
      <c r="BI959" s="173"/>
      <c r="BJ959" s="173"/>
      <c r="BK959" s="173"/>
      <c r="BL959" s="173"/>
      <c r="BM959" s="173"/>
      <c r="BN959" s="173"/>
      <c r="BO959" s="173"/>
      <c r="BP959" s="173"/>
      <c r="BQ959" s="173"/>
      <c r="BR959" s="173"/>
      <c r="BS959" s="173"/>
      <c r="BT959" s="173"/>
      <c r="BU959" s="173"/>
      <c r="BV959" s="173"/>
      <c r="BW959" s="173"/>
      <c r="BX959" s="173"/>
      <c r="BY959" s="173"/>
    </row>
    <row r="960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  <c r="AD960" s="173"/>
      <c r="AE960" s="173"/>
      <c r="AF960" s="173"/>
      <c r="AG960" s="173"/>
      <c r="AH960" s="173"/>
      <c r="AI960" s="173"/>
      <c r="AJ960" s="173"/>
      <c r="AK960" s="173"/>
      <c r="AL960" s="173"/>
      <c r="AM960" s="173"/>
      <c r="AN960" s="173"/>
      <c r="AO960" s="173"/>
      <c r="AP960" s="173"/>
      <c r="AQ960" s="173"/>
      <c r="AR960" s="173"/>
      <c r="AS960" s="173"/>
      <c r="AT960" s="173"/>
      <c r="AU960" s="173"/>
      <c r="AV960" s="173"/>
      <c r="AW960" s="173"/>
      <c r="AX960" s="173"/>
      <c r="AY960" s="173"/>
      <c r="AZ960" s="173"/>
      <c r="BA960" s="173"/>
      <c r="BB960" s="173"/>
      <c r="BC960" s="173"/>
      <c r="BD960" s="173"/>
      <c r="BE960" s="173"/>
      <c r="BF960" s="173"/>
      <c r="BG960" s="173"/>
      <c r="BH960" s="173"/>
      <c r="BI960" s="173"/>
      <c r="BJ960" s="173"/>
      <c r="BK960" s="173"/>
      <c r="BL960" s="173"/>
      <c r="BM960" s="173"/>
      <c r="BN960" s="173"/>
      <c r="BO960" s="173"/>
      <c r="BP960" s="173"/>
      <c r="BQ960" s="173"/>
      <c r="BR960" s="173"/>
      <c r="BS960" s="173"/>
      <c r="BT960" s="173"/>
      <c r="BU960" s="173"/>
      <c r="BV960" s="173"/>
      <c r="BW960" s="173"/>
      <c r="BX960" s="173"/>
      <c r="BY960" s="173"/>
    </row>
    <row r="96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  <c r="AD961" s="173"/>
      <c r="AE961" s="173"/>
      <c r="AF961" s="173"/>
      <c r="AG961" s="173"/>
      <c r="AH961" s="173"/>
      <c r="AI961" s="173"/>
      <c r="AJ961" s="173"/>
      <c r="AK961" s="173"/>
      <c r="AL961" s="173"/>
      <c r="AM961" s="173"/>
      <c r="AN961" s="173"/>
      <c r="AO961" s="173"/>
      <c r="AP961" s="173"/>
      <c r="AQ961" s="173"/>
      <c r="AR961" s="173"/>
      <c r="AS961" s="173"/>
      <c r="AT961" s="173"/>
      <c r="AU961" s="173"/>
      <c r="AV961" s="173"/>
      <c r="AW961" s="173"/>
      <c r="AX961" s="173"/>
      <c r="AY961" s="173"/>
      <c r="AZ961" s="173"/>
      <c r="BA961" s="173"/>
      <c r="BB961" s="173"/>
      <c r="BC961" s="173"/>
      <c r="BD961" s="173"/>
      <c r="BE961" s="173"/>
      <c r="BF961" s="173"/>
      <c r="BG961" s="173"/>
      <c r="BH961" s="173"/>
      <c r="BI961" s="173"/>
      <c r="BJ961" s="173"/>
      <c r="BK961" s="173"/>
      <c r="BL961" s="173"/>
      <c r="BM961" s="173"/>
      <c r="BN961" s="173"/>
      <c r="BO961" s="173"/>
      <c r="BP961" s="173"/>
      <c r="BQ961" s="173"/>
      <c r="BR961" s="173"/>
      <c r="BS961" s="173"/>
      <c r="BT961" s="173"/>
      <c r="BU961" s="173"/>
      <c r="BV961" s="173"/>
      <c r="BW961" s="173"/>
      <c r="BX961" s="173"/>
      <c r="BY961" s="173"/>
    </row>
    <row r="962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  <c r="AD962" s="173"/>
      <c r="AE962" s="173"/>
      <c r="AF962" s="173"/>
      <c r="AG962" s="173"/>
      <c r="AH962" s="173"/>
      <c r="AI962" s="173"/>
      <c r="AJ962" s="173"/>
      <c r="AK962" s="173"/>
      <c r="AL962" s="173"/>
      <c r="AM962" s="173"/>
      <c r="AN962" s="173"/>
      <c r="AO962" s="173"/>
      <c r="AP962" s="173"/>
      <c r="AQ962" s="173"/>
      <c r="AR962" s="173"/>
      <c r="AS962" s="173"/>
      <c r="AT962" s="173"/>
      <c r="AU962" s="173"/>
      <c r="AV962" s="173"/>
      <c r="AW962" s="173"/>
      <c r="AX962" s="173"/>
      <c r="AY962" s="173"/>
      <c r="AZ962" s="173"/>
      <c r="BA962" s="173"/>
      <c r="BB962" s="173"/>
      <c r="BC962" s="173"/>
      <c r="BD962" s="173"/>
      <c r="BE962" s="173"/>
      <c r="BF962" s="173"/>
      <c r="BG962" s="173"/>
      <c r="BH962" s="173"/>
      <c r="BI962" s="173"/>
      <c r="BJ962" s="173"/>
      <c r="BK962" s="173"/>
      <c r="BL962" s="173"/>
      <c r="BM962" s="173"/>
      <c r="BN962" s="173"/>
      <c r="BO962" s="173"/>
      <c r="BP962" s="173"/>
      <c r="BQ962" s="173"/>
      <c r="BR962" s="173"/>
      <c r="BS962" s="173"/>
      <c r="BT962" s="173"/>
      <c r="BU962" s="173"/>
      <c r="BV962" s="173"/>
      <c r="BW962" s="173"/>
      <c r="BX962" s="173"/>
      <c r="BY962" s="173"/>
    </row>
    <row r="963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  <c r="AB963" s="173"/>
      <c r="AC963" s="173"/>
      <c r="AD963" s="173"/>
      <c r="AE963" s="173"/>
      <c r="AF963" s="173"/>
      <c r="AG963" s="173"/>
      <c r="AH963" s="173"/>
      <c r="AI963" s="173"/>
      <c r="AJ963" s="173"/>
      <c r="AK963" s="173"/>
      <c r="AL963" s="173"/>
      <c r="AM963" s="173"/>
      <c r="AN963" s="173"/>
      <c r="AO963" s="173"/>
      <c r="AP963" s="173"/>
      <c r="AQ963" s="173"/>
      <c r="AR963" s="173"/>
      <c r="AS963" s="173"/>
      <c r="AT963" s="173"/>
      <c r="AU963" s="173"/>
      <c r="AV963" s="173"/>
      <c r="AW963" s="173"/>
      <c r="AX963" s="173"/>
      <c r="AY963" s="173"/>
      <c r="AZ963" s="173"/>
      <c r="BA963" s="173"/>
      <c r="BB963" s="173"/>
      <c r="BC963" s="173"/>
      <c r="BD963" s="173"/>
      <c r="BE963" s="173"/>
      <c r="BF963" s="173"/>
      <c r="BG963" s="173"/>
      <c r="BH963" s="173"/>
      <c r="BI963" s="173"/>
      <c r="BJ963" s="173"/>
      <c r="BK963" s="173"/>
      <c r="BL963" s="173"/>
      <c r="BM963" s="173"/>
      <c r="BN963" s="173"/>
      <c r="BO963" s="173"/>
      <c r="BP963" s="173"/>
      <c r="BQ963" s="173"/>
      <c r="BR963" s="173"/>
      <c r="BS963" s="173"/>
      <c r="BT963" s="173"/>
      <c r="BU963" s="173"/>
      <c r="BV963" s="173"/>
      <c r="BW963" s="173"/>
      <c r="BX963" s="173"/>
      <c r="BY963" s="173"/>
    </row>
    <row r="964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  <c r="AB964" s="173"/>
      <c r="AC964" s="173"/>
      <c r="AD964" s="173"/>
      <c r="AE964" s="173"/>
      <c r="AF964" s="173"/>
      <c r="AG964" s="173"/>
      <c r="AH964" s="173"/>
      <c r="AI964" s="173"/>
      <c r="AJ964" s="173"/>
      <c r="AK964" s="173"/>
      <c r="AL964" s="173"/>
      <c r="AM964" s="173"/>
      <c r="AN964" s="173"/>
      <c r="AO964" s="173"/>
      <c r="AP964" s="173"/>
      <c r="AQ964" s="173"/>
      <c r="AR964" s="173"/>
      <c r="AS964" s="173"/>
      <c r="AT964" s="173"/>
      <c r="AU964" s="173"/>
      <c r="AV964" s="173"/>
      <c r="AW964" s="173"/>
      <c r="AX964" s="173"/>
      <c r="AY964" s="173"/>
      <c r="AZ964" s="173"/>
      <c r="BA964" s="173"/>
      <c r="BB964" s="173"/>
      <c r="BC964" s="173"/>
      <c r="BD964" s="173"/>
      <c r="BE964" s="173"/>
      <c r="BF964" s="173"/>
      <c r="BG964" s="173"/>
      <c r="BH964" s="173"/>
      <c r="BI964" s="173"/>
      <c r="BJ964" s="173"/>
      <c r="BK964" s="173"/>
      <c r="BL964" s="173"/>
      <c r="BM964" s="173"/>
      <c r="BN964" s="173"/>
      <c r="BO964" s="173"/>
      <c r="BP964" s="173"/>
      <c r="BQ964" s="173"/>
      <c r="BR964" s="173"/>
      <c r="BS964" s="173"/>
      <c r="BT964" s="173"/>
      <c r="BU964" s="173"/>
      <c r="BV964" s="173"/>
      <c r="BW964" s="173"/>
      <c r="BX964" s="173"/>
      <c r="BY964" s="173"/>
    </row>
    <row r="965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  <c r="AB965" s="173"/>
      <c r="AC965" s="173"/>
      <c r="AD965" s="173"/>
      <c r="AE965" s="173"/>
      <c r="AF965" s="173"/>
      <c r="AG965" s="173"/>
      <c r="AH965" s="173"/>
      <c r="AI965" s="173"/>
      <c r="AJ965" s="173"/>
      <c r="AK965" s="173"/>
      <c r="AL965" s="173"/>
      <c r="AM965" s="173"/>
      <c r="AN965" s="173"/>
      <c r="AO965" s="173"/>
      <c r="AP965" s="173"/>
      <c r="AQ965" s="173"/>
      <c r="AR965" s="173"/>
      <c r="AS965" s="173"/>
      <c r="AT965" s="173"/>
      <c r="AU965" s="173"/>
      <c r="AV965" s="173"/>
      <c r="AW965" s="173"/>
      <c r="AX965" s="173"/>
      <c r="AY965" s="173"/>
      <c r="AZ965" s="173"/>
      <c r="BA965" s="173"/>
      <c r="BB965" s="173"/>
      <c r="BC965" s="173"/>
      <c r="BD965" s="173"/>
      <c r="BE965" s="173"/>
      <c r="BF965" s="173"/>
      <c r="BG965" s="173"/>
      <c r="BH965" s="173"/>
      <c r="BI965" s="173"/>
      <c r="BJ965" s="173"/>
      <c r="BK965" s="173"/>
      <c r="BL965" s="173"/>
      <c r="BM965" s="173"/>
      <c r="BN965" s="173"/>
      <c r="BO965" s="173"/>
      <c r="BP965" s="173"/>
      <c r="BQ965" s="173"/>
      <c r="BR965" s="173"/>
      <c r="BS965" s="173"/>
      <c r="BT965" s="173"/>
      <c r="BU965" s="173"/>
      <c r="BV965" s="173"/>
      <c r="BW965" s="173"/>
      <c r="BX965" s="173"/>
      <c r="BY965" s="173"/>
    </row>
    <row r="966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  <c r="AB966" s="173"/>
      <c r="AC966" s="173"/>
      <c r="AD966" s="173"/>
      <c r="AE966" s="173"/>
      <c r="AF966" s="173"/>
      <c r="AG966" s="173"/>
      <c r="AH966" s="173"/>
      <c r="AI966" s="173"/>
      <c r="AJ966" s="173"/>
      <c r="AK966" s="173"/>
      <c r="AL966" s="173"/>
      <c r="AM966" s="173"/>
      <c r="AN966" s="173"/>
      <c r="AO966" s="173"/>
      <c r="AP966" s="173"/>
      <c r="AQ966" s="173"/>
      <c r="AR966" s="173"/>
      <c r="AS966" s="173"/>
      <c r="AT966" s="173"/>
      <c r="AU966" s="173"/>
      <c r="AV966" s="173"/>
      <c r="AW966" s="173"/>
      <c r="AX966" s="173"/>
      <c r="AY966" s="173"/>
      <c r="AZ966" s="173"/>
      <c r="BA966" s="173"/>
      <c r="BB966" s="173"/>
      <c r="BC966" s="173"/>
      <c r="BD966" s="173"/>
      <c r="BE966" s="173"/>
      <c r="BF966" s="173"/>
      <c r="BG966" s="173"/>
      <c r="BH966" s="173"/>
      <c r="BI966" s="173"/>
      <c r="BJ966" s="173"/>
      <c r="BK966" s="173"/>
      <c r="BL966" s="173"/>
      <c r="BM966" s="173"/>
      <c r="BN966" s="173"/>
      <c r="BO966" s="173"/>
      <c r="BP966" s="173"/>
      <c r="BQ966" s="173"/>
      <c r="BR966" s="173"/>
      <c r="BS966" s="173"/>
      <c r="BT966" s="173"/>
      <c r="BU966" s="173"/>
      <c r="BV966" s="173"/>
      <c r="BW966" s="173"/>
      <c r="BX966" s="173"/>
      <c r="BY966" s="173"/>
    </row>
    <row r="967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  <c r="AB967" s="173"/>
      <c r="AC967" s="173"/>
      <c r="AD967" s="173"/>
      <c r="AE967" s="173"/>
      <c r="AF967" s="173"/>
      <c r="AG967" s="173"/>
      <c r="AH967" s="173"/>
      <c r="AI967" s="173"/>
      <c r="AJ967" s="173"/>
      <c r="AK967" s="173"/>
      <c r="AL967" s="173"/>
      <c r="AM967" s="173"/>
      <c r="AN967" s="173"/>
      <c r="AO967" s="173"/>
      <c r="AP967" s="173"/>
      <c r="AQ967" s="173"/>
      <c r="AR967" s="173"/>
      <c r="AS967" s="173"/>
      <c r="AT967" s="173"/>
      <c r="AU967" s="173"/>
      <c r="AV967" s="173"/>
      <c r="AW967" s="173"/>
      <c r="AX967" s="173"/>
      <c r="AY967" s="173"/>
      <c r="AZ967" s="173"/>
      <c r="BA967" s="173"/>
      <c r="BB967" s="173"/>
      <c r="BC967" s="173"/>
      <c r="BD967" s="173"/>
      <c r="BE967" s="173"/>
      <c r="BF967" s="173"/>
      <c r="BG967" s="173"/>
      <c r="BH967" s="173"/>
      <c r="BI967" s="173"/>
      <c r="BJ967" s="173"/>
      <c r="BK967" s="173"/>
      <c r="BL967" s="173"/>
      <c r="BM967" s="173"/>
      <c r="BN967" s="173"/>
      <c r="BO967" s="173"/>
      <c r="BP967" s="173"/>
      <c r="BQ967" s="173"/>
      <c r="BR967" s="173"/>
      <c r="BS967" s="173"/>
      <c r="BT967" s="173"/>
      <c r="BU967" s="173"/>
      <c r="BV967" s="173"/>
      <c r="BW967" s="173"/>
      <c r="BX967" s="173"/>
      <c r="BY967" s="173"/>
    </row>
    <row r="968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  <c r="AB968" s="173"/>
      <c r="AC968" s="173"/>
      <c r="AD968" s="173"/>
      <c r="AE968" s="173"/>
      <c r="AF968" s="173"/>
      <c r="AG968" s="173"/>
      <c r="AH968" s="173"/>
      <c r="AI968" s="173"/>
      <c r="AJ968" s="173"/>
      <c r="AK968" s="173"/>
      <c r="AL968" s="173"/>
      <c r="AM968" s="173"/>
      <c r="AN968" s="173"/>
      <c r="AO968" s="173"/>
      <c r="AP968" s="173"/>
      <c r="AQ968" s="173"/>
      <c r="AR968" s="173"/>
      <c r="AS968" s="173"/>
      <c r="AT968" s="173"/>
      <c r="AU968" s="173"/>
      <c r="AV968" s="173"/>
      <c r="AW968" s="173"/>
      <c r="AX968" s="173"/>
      <c r="AY968" s="173"/>
      <c r="AZ968" s="173"/>
      <c r="BA968" s="173"/>
      <c r="BB968" s="173"/>
      <c r="BC968" s="173"/>
      <c r="BD968" s="173"/>
      <c r="BE968" s="173"/>
      <c r="BF968" s="173"/>
      <c r="BG968" s="173"/>
      <c r="BH968" s="173"/>
      <c r="BI968" s="173"/>
      <c r="BJ968" s="173"/>
      <c r="BK968" s="173"/>
      <c r="BL968" s="173"/>
      <c r="BM968" s="173"/>
      <c r="BN968" s="173"/>
      <c r="BO968" s="173"/>
      <c r="BP968" s="173"/>
      <c r="BQ968" s="173"/>
      <c r="BR968" s="173"/>
      <c r="BS968" s="173"/>
      <c r="BT968" s="173"/>
      <c r="BU968" s="173"/>
      <c r="BV968" s="173"/>
      <c r="BW968" s="173"/>
      <c r="BX968" s="173"/>
      <c r="BY968" s="173"/>
    </row>
    <row r="969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  <c r="AD969" s="173"/>
      <c r="AE969" s="173"/>
      <c r="AF969" s="173"/>
      <c r="AG969" s="173"/>
      <c r="AH969" s="173"/>
      <c r="AI969" s="173"/>
      <c r="AJ969" s="173"/>
      <c r="AK969" s="173"/>
      <c r="AL969" s="173"/>
      <c r="AM969" s="173"/>
      <c r="AN969" s="173"/>
      <c r="AO969" s="173"/>
      <c r="AP969" s="173"/>
      <c r="AQ969" s="173"/>
      <c r="AR969" s="173"/>
      <c r="AS969" s="173"/>
      <c r="AT969" s="173"/>
      <c r="AU969" s="173"/>
      <c r="AV969" s="173"/>
      <c r="AW969" s="173"/>
      <c r="AX969" s="173"/>
      <c r="AY969" s="173"/>
      <c r="AZ969" s="173"/>
      <c r="BA969" s="173"/>
      <c r="BB969" s="173"/>
      <c r="BC969" s="173"/>
      <c r="BD969" s="173"/>
      <c r="BE969" s="173"/>
      <c r="BF969" s="173"/>
      <c r="BG969" s="173"/>
      <c r="BH969" s="173"/>
      <c r="BI969" s="173"/>
      <c r="BJ969" s="173"/>
      <c r="BK969" s="173"/>
      <c r="BL969" s="173"/>
      <c r="BM969" s="173"/>
      <c r="BN969" s="173"/>
      <c r="BO969" s="173"/>
      <c r="BP969" s="173"/>
      <c r="BQ969" s="173"/>
      <c r="BR969" s="173"/>
      <c r="BS969" s="173"/>
      <c r="BT969" s="173"/>
      <c r="BU969" s="173"/>
      <c r="BV969" s="173"/>
      <c r="BW969" s="173"/>
      <c r="BX969" s="173"/>
      <c r="BY969" s="173"/>
    </row>
    <row r="970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  <c r="AD970" s="173"/>
      <c r="AE970" s="173"/>
      <c r="AF970" s="173"/>
      <c r="AG970" s="173"/>
      <c r="AH970" s="173"/>
      <c r="AI970" s="173"/>
      <c r="AJ970" s="173"/>
      <c r="AK970" s="173"/>
      <c r="AL970" s="173"/>
      <c r="AM970" s="173"/>
      <c r="AN970" s="173"/>
      <c r="AO970" s="173"/>
      <c r="AP970" s="173"/>
      <c r="AQ970" s="173"/>
      <c r="AR970" s="173"/>
      <c r="AS970" s="173"/>
      <c r="AT970" s="173"/>
      <c r="AU970" s="173"/>
      <c r="AV970" s="173"/>
      <c r="AW970" s="173"/>
      <c r="AX970" s="173"/>
      <c r="AY970" s="173"/>
      <c r="AZ970" s="173"/>
      <c r="BA970" s="173"/>
      <c r="BB970" s="173"/>
      <c r="BC970" s="173"/>
      <c r="BD970" s="173"/>
      <c r="BE970" s="173"/>
      <c r="BF970" s="173"/>
      <c r="BG970" s="173"/>
      <c r="BH970" s="173"/>
      <c r="BI970" s="173"/>
      <c r="BJ970" s="173"/>
      <c r="BK970" s="173"/>
      <c r="BL970" s="173"/>
      <c r="BM970" s="173"/>
      <c r="BN970" s="173"/>
      <c r="BO970" s="173"/>
      <c r="BP970" s="173"/>
      <c r="BQ970" s="173"/>
      <c r="BR970" s="173"/>
      <c r="BS970" s="173"/>
      <c r="BT970" s="173"/>
      <c r="BU970" s="173"/>
      <c r="BV970" s="173"/>
      <c r="BW970" s="173"/>
      <c r="BX970" s="173"/>
      <c r="BY970" s="173"/>
    </row>
    <row r="97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  <c r="AD971" s="173"/>
      <c r="AE971" s="173"/>
      <c r="AF971" s="173"/>
      <c r="AG971" s="173"/>
      <c r="AH971" s="173"/>
      <c r="AI971" s="173"/>
      <c r="AJ971" s="173"/>
      <c r="AK971" s="173"/>
      <c r="AL971" s="173"/>
      <c r="AM971" s="173"/>
      <c r="AN971" s="173"/>
      <c r="AO971" s="173"/>
      <c r="AP971" s="173"/>
      <c r="AQ971" s="173"/>
      <c r="AR971" s="173"/>
      <c r="AS971" s="173"/>
      <c r="AT971" s="173"/>
      <c r="AU971" s="173"/>
      <c r="AV971" s="173"/>
      <c r="AW971" s="173"/>
      <c r="AX971" s="173"/>
      <c r="AY971" s="173"/>
      <c r="AZ971" s="173"/>
      <c r="BA971" s="173"/>
      <c r="BB971" s="173"/>
      <c r="BC971" s="173"/>
      <c r="BD971" s="173"/>
      <c r="BE971" s="173"/>
      <c r="BF971" s="173"/>
      <c r="BG971" s="173"/>
      <c r="BH971" s="173"/>
      <c r="BI971" s="173"/>
      <c r="BJ971" s="173"/>
      <c r="BK971" s="173"/>
      <c r="BL971" s="173"/>
      <c r="BM971" s="173"/>
      <c r="BN971" s="173"/>
      <c r="BO971" s="173"/>
      <c r="BP971" s="173"/>
      <c r="BQ971" s="173"/>
      <c r="BR971" s="173"/>
      <c r="BS971" s="173"/>
      <c r="BT971" s="173"/>
      <c r="BU971" s="173"/>
      <c r="BV971" s="173"/>
      <c r="BW971" s="173"/>
      <c r="BX971" s="173"/>
      <c r="BY971" s="173"/>
    </row>
    <row r="972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  <c r="AD972" s="173"/>
      <c r="AE972" s="173"/>
      <c r="AF972" s="173"/>
      <c r="AG972" s="173"/>
      <c r="AH972" s="173"/>
      <c r="AI972" s="173"/>
      <c r="AJ972" s="173"/>
      <c r="AK972" s="173"/>
      <c r="AL972" s="173"/>
      <c r="AM972" s="173"/>
      <c r="AN972" s="173"/>
      <c r="AO972" s="173"/>
      <c r="AP972" s="173"/>
      <c r="AQ972" s="173"/>
      <c r="AR972" s="173"/>
      <c r="AS972" s="173"/>
      <c r="AT972" s="173"/>
      <c r="AU972" s="173"/>
      <c r="AV972" s="173"/>
      <c r="AW972" s="173"/>
      <c r="AX972" s="173"/>
      <c r="AY972" s="173"/>
      <c r="AZ972" s="173"/>
      <c r="BA972" s="173"/>
      <c r="BB972" s="173"/>
      <c r="BC972" s="173"/>
      <c r="BD972" s="173"/>
      <c r="BE972" s="173"/>
      <c r="BF972" s="173"/>
      <c r="BG972" s="173"/>
      <c r="BH972" s="173"/>
      <c r="BI972" s="173"/>
      <c r="BJ972" s="173"/>
      <c r="BK972" s="173"/>
      <c r="BL972" s="173"/>
      <c r="BM972" s="173"/>
      <c r="BN972" s="173"/>
      <c r="BO972" s="173"/>
      <c r="BP972" s="173"/>
      <c r="BQ972" s="173"/>
      <c r="BR972" s="173"/>
      <c r="BS972" s="173"/>
      <c r="BT972" s="173"/>
      <c r="BU972" s="173"/>
      <c r="BV972" s="173"/>
      <c r="BW972" s="173"/>
      <c r="BX972" s="173"/>
      <c r="BY972" s="173"/>
    </row>
    <row r="973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  <c r="AD973" s="173"/>
      <c r="AE973" s="173"/>
      <c r="AF973" s="173"/>
      <c r="AG973" s="173"/>
      <c r="AH973" s="173"/>
      <c r="AI973" s="173"/>
      <c r="AJ973" s="173"/>
      <c r="AK973" s="173"/>
      <c r="AL973" s="173"/>
      <c r="AM973" s="173"/>
      <c r="AN973" s="173"/>
      <c r="AO973" s="173"/>
      <c r="AP973" s="173"/>
      <c r="AQ973" s="173"/>
      <c r="AR973" s="173"/>
      <c r="AS973" s="173"/>
      <c r="AT973" s="173"/>
      <c r="AU973" s="173"/>
      <c r="AV973" s="173"/>
      <c r="AW973" s="173"/>
      <c r="AX973" s="173"/>
      <c r="AY973" s="173"/>
      <c r="AZ973" s="173"/>
      <c r="BA973" s="173"/>
      <c r="BB973" s="173"/>
      <c r="BC973" s="173"/>
      <c r="BD973" s="173"/>
      <c r="BE973" s="173"/>
      <c r="BF973" s="173"/>
      <c r="BG973" s="173"/>
      <c r="BH973" s="173"/>
      <c r="BI973" s="173"/>
      <c r="BJ973" s="173"/>
      <c r="BK973" s="173"/>
      <c r="BL973" s="173"/>
      <c r="BM973" s="173"/>
      <c r="BN973" s="173"/>
      <c r="BO973" s="173"/>
      <c r="BP973" s="173"/>
      <c r="BQ973" s="173"/>
      <c r="BR973" s="173"/>
      <c r="BS973" s="173"/>
      <c r="BT973" s="173"/>
      <c r="BU973" s="173"/>
      <c r="BV973" s="173"/>
      <c r="BW973" s="173"/>
      <c r="BX973" s="173"/>
      <c r="BY973" s="173"/>
    </row>
    <row r="974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  <c r="AD974" s="173"/>
      <c r="AE974" s="173"/>
      <c r="AF974" s="173"/>
      <c r="AG974" s="173"/>
      <c r="AH974" s="173"/>
      <c r="AI974" s="173"/>
      <c r="AJ974" s="173"/>
      <c r="AK974" s="173"/>
      <c r="AL974" s="173"/>
      <c r="AM974" s="173"/>
      <c r="AN974" s="173"/>
      <c r="AO974" s="173"/>
      <c r="AP974" s="173"/>
      <c r="AQ974" s="173"/>
      <c r="AR974" s="173"/>
      <c r="AS974" s="173"/>
      <c r="AT974" s="173"/>
      <c r="AU974" s="173"/>
      <c r="AV974" s="173"/>
      <c r="AW974" s="173"/>
      <c r="AX974" s="173"/>
      <c r="AY974" s="173"/>
      <c r="AZ974" s="173"/>
      <c r="BA974" s="173"/>
      <c r="BB974" s="173"/>
      <c r="BC974" s="173"/>
      <c r="BD974" s="173"/>
      <c r="BE974" s="173"/>
      <c r="BF974" s="173"/>
      <c r="BG974" s="173"/>
      <c r="BH974" s="173"/>
      <c r="BI974" s="173"/>
      <c r="BJ974" s="173"/>
      <c r="BK974" s="173"/>
      <c r="BL974" s="173"/>
      <c r="BM974" s="173"/>
      <c r="BN974" s="173"/>
      <c r="BO974" s="173"/>
      <c r="BP974" s="173"/>
      <c r="BQ974" s="173"/>
      <c r="BR974" s="173"/>
      <c r="BS974" s="173"/>
      <c r="BT974" s="173"/>
      <c r="BU974" s="173"/>
      <c r="BV974" s="173"/>
      <c r="BW974" s="173"/>
      <c r="BX974" s="173"/>
      <c r="BY974" s="173"/>
    </row>
    <row r="975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  <c r="AD975" s="173"/>
      <c r="AE975" s="173"/>
      <c r="AF975" s="173"/>
      <c r="AG975" s="173"/>
      <c r="AH975" s="173"/>
      <c r="AI975" s="173"/>
      <c r="AJ975" s="173"/>
      <c r="AK975" s="173"/>
      <c r="AL975" s="173"/>
      <c r="AM975" s="173"/>
      <c r="AN975" s="173"/>
      <c r="AO975" s="173"/>
      <c r="AP975" s="173"/>
      <c r="AQ975" s="173"/>
      <c r="AR975" s="173"/>
      <c r="AS975" s="173"/>
      <c r="AT975" s="173"/>
      <c r="AU975" s="173"/>
      <c r="AV975" s="173"/>
      <c r="AW975" s="173"/>
      <c r="AX975" s="173"/>
      <c r="AY975" s="173"/>
      <c r="AZ975" s="173"/>
      <c r="BA975" s="173"/>
      <c r="BB975" s="173"/>
      <c r="BC975" s="173"/>
      <c r="BD975" s="173"/>
      <c r="BE975" s="173"/>
      <c r="BF975" s="173"/>
      <c r="BG975" s="173"/>
      <c r="BH975" s="173"/>
      <c r="BI975" s="173"/>
      <c r="BJ975" s="173"/>
      <c r="BK975" s="173"/>
      <c r="BL975" s="173"/>
      <c r="BM975" s="173"/>
      <c r="BN975" s="173"/>
      <c r="BO975" s="173"/>
      <c r="BP975" s="173"/>
      <c r="BQ975" s="173"/>
      <c r="BR975" s="173"/>
      <c r="BS975" s="173"/>
      <c r="BT975" s="173"/>
      <c r="BU975" s="173"/>
      <c r="BV975" s="173"/>
      <c r="BW975" s="173"/>
      <c r="BX975" s="173"/>
      <c r="BY975" s="173"/>
    </row>
    <row r="976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  <c r="AD976" s="173"/>
      <c r="AE976" s="173"/>
      <c r="AF976" s="173"/>
      <c r="AG976" s="173"/>
      <c r="AH976" s="173"/>
      <c r="AI976" s="173"/>
      <c r="AJ976" s="173"/>
      <c r="AK976" s="173"/>
      <c r="AL976" s="173"/>
      <c r="AM976" s="173"/>
      <c r="AN976" s="173"/>
      <c r="AO976" s="173"/>
      <c r="AP976" s="173"/>
      <c r="AQ976" s="173"/>
      <c r="AR976" s="173"/>
      <c r="AS976" s="173"/>
      <c r="AT976" s="173"/>
      <c r="AU976" s="173"/>
      <c r="AV976" s="173"/>
      <c r="AW976" s="173"/>
      <c r="AX976" s="173"/>
      <c r="AY976" s="173"/>
      <c r="AZ976" s="173"/>
      <c r="BA976" s="173"/>
      <c r="BB976" s="173"/>
      <c r="BC976" s="173"/>
      <c r="BD976" s="173"/>
      <c r="BE976" s="173"/>
      <c r="BF976" s="173"/>
      <c r="BG976" s="173"/>
      <c r="BH976" s="173"/>
      <c r="BI976" s="173"/>
      <c r="BJ976" s="173"/>
      <c r="BK976" s="173"/>
      <c r="BL976" s="173"/>
      <c r="BM976" s="173"/>
      <c r="BN976" s="173"/>
      <c r="BO976" s="173"/>
      <c r="BP976" s="173"/>
      <c r="BQ976" s="173"/>
      <c r="BR976" s="173"/>
      <c r="BS976" s="173"/>
      <c r="BT976" s="173"/>
      <c r="BU976" s="173"/>
      <c r="BV976" s="173"/>
      <c r="BW976" s="173"/>
      <c r="BX976" s="173"/>
      <c r="BY976" s="173"/>
    </row>
    <row r="977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  <c r="AD977" s="173"/>
      <c r="AE977" s="173"/>
      <c r="AF977" s="173"/>
      <c r="AG977" s="173"/>
      <c r="AH977" s="173"/>
      <c r="AI977" s="173"/>
      <c r="AJ977" s="173"/>
      <c r="AK977" s="173"/>
      <c r="AL977" s="173"/>
      <c r="AM977" s="173"/>
      <c r="AN977" s="173"/>
      <c r="AO977" s="173"/>
      <c r="AP977" s="173"/>
      <c r="AQ977" s="173"/>
      <c r="AR977" s="173"/>
      <c r="AS977" s="173"/>
      <c r="AT977" s="173"/>
      <c r="AU977" s="173"/>
      <c r="AV977" s="173"/>
      <c r="AW977" s="173"/>
      <c r="AX977" s="173"/>
      <c r="AY977" s="173"/>
      <c r="AZ977" s="173"/>
      <c r="BA977" s="173"/>
      <c r="BB977" s="173"/>
      <c r="BC977" s="173"/>
      <c r="BD977" s="173"/>
      <c r="BE977" s="173"/>
      <c r="BF977" s="173"/>
      <c r="BG977" s="173"/>
      <c r="BH977" s="173"/>
      <c r="BI977" s="173"/>
      <c r="BJ977" s="173"/>
      <c r="BK977" s="173"/>
      <c r="BL977" s="173"/>
      <c r="BM977" s="173"/>
      <c r="BN977" s="173"/>
      <c r="BO977" s="173"/>
      <c r="BP977" s="173"/>
      <c r="BQ977" s="173"/>
      <c r="BR977" s="173"/>
      <c r="BS977" s="173"/>
      <c r="BT977" s="173"/>
      <c r="BU977" s="173"/>
      <c r="BV977" s="173"/>
      <c r="BW977" s="173"/>
      <c r="BX977" s="173"/>
      <c r="BY977" s="173"/>
    </row>
    <row r="978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  <c r="AB978" s="173"/>
      <c r="AC978" s="173"/>
      <c r="AD978" s="173"/>
      <c r="AE978" s="173"/>
      <c r="AF978" s="173"/>
      <c r="AG978" s="173"/>
      <c r="AH978" s="173"/>
      <c r="AI978" s="173"/>
      <c r="AJ978" s="173"/>
      <c r="AK978" s="173"/>
      <c r="AL978" s="173"/>
      <c r="AM978" s="173"/>
      <c r="AN978" s="173"/>
      <c r="AO978" s="173"/>
      <c r="AP978" s="173"/>
      <c r="AQ978" s="173"/>
      <c r="AR978" s="173"/>
      <c r="AS978" s="173"/>
      <c r="AT978" s="173"/>
      <c r="AU978" s="173"/>
      <c r="AV978" s="173"/>
      <c r="AW978" s="173"/>
      <c r="AX978" s="173"/>
      <c r="AY978" s="173"/>
      <c r="AZ978" s="173"/>
      <c r="BA978" s="173"/>
      <c r="BB978" s="173"/>
      <c r="BC978" s="173"/>
      <c r="BD978" s="173"/>
      <c r="BE978" s="173"/>
      <c r="BF978" s="173"/>
      <c r="BG978" s="173"/>
      <c r="BH978" s="173"/>
      <c r="BI978" s="173"/>
      <c r="BJ978" s="173"/>
      <c r="BK978" s="173"/>
      <c r="BL978" s="173"/>
      <c r="BM978" s="173"/>
      <c r="BN978" s="173"/>
      <c r="BO978" s="173"/>
      <c r="BP978" s="173"/>
      <c r="BQ978" s="173"/>
      <c r="BR978" s="173"/>
      <c r="BS978" s="173"/>
      <c r="BT978" s="173"/>
      <c r="BU978" s="173"/>
      <c r="BV978" s="173"/>
      <c r="BW978" s="173"/>
      <c r="BX978" s="173"/>
      <c r="BY978" s="173"/>
    </row>
    <row r="979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  <c r="AB979" s="173"/>
      <c r="AC979" s="173"/>
      <c r="AD979" s="173"/>
      <c r="AE979" s="173"/>
      <c r="AF979" s="173"/>
      <c r="AG979" s="173"/>
      <c r="AH979" s="173"/>
      <c r="AI979" s="173"/>
      <c r="AJ979" s="173"/>
      <c r="AK979" s="173"/>
      <c r="AL979" s="173"/>
      <c r="AM979" s="173"/>
      <c r="AN979" s="173"/>
      <c r="AO979" s="173"/>
      <c r="AP979" s="173"/>
      <c r="AQ979" s="173"/>
      <c r="AR979" s="173"/>
      <c r="AS979" s="173"/>
      <c r="AT979" s="173"/>
      <c r="AU979" s="173"/>
      <c r="AV979" s="173"/>
      <c r="AW979" s="173"/>
      <c r="AX979" s="173"/>
      <c r="AY979" s="173"/>
      <c r="AZ979" s="173"/>
      <c r="BA979" s="173"/>
      <c r="BB979" s="173"/>
      <c r="BC979" s="173"/>
      <c r="BD979" s="173"/>
      <c r="BE979" s="173"/>
      <c r="BF979" s="173"/>
      <c r="BG979" s="173"/>
      <c r="BH979" s="173"/>
      <c r="BI979" s="173"/>
      <c r="BJ979" s="173"/>
      <c r="BK979" s="173"/>
      <c r="BL979" s="173"/>
      <c r="BM979" s="173"/>
      <c r="BN979" s="173"/>
      <c r="BO979" s="173"/>
      <c r="BP979" s="173"/>
      <c r="BQ979" s="173"/>
      <c r="BR979" s="173"/>
      <c r="BS979" s="173"/>
      <c r="BT979" s="173"/>
      <c r="BU979" s="173"/>
      <c r="BV979" s="173"/>
      <c r="BW979" s="173"/>
      <c r="BX979" s="173"/>
      <c r="BY979" s="173"/>
    </row>
    <row r="980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  <c r="AB980" s="173"/>
      <c r="AC980" s="173"/>
      <c r="AD980" s="173"/>
      <c r="AE980" s="173"/>
      <c r="AF980" s="173"/>
      <c r="AG980" s="173"/>
      <c r="AH980" s="173"/>
      <c r="AI980" s="173"/>
      <c r="AJ980" s="173"/>
      <c r="AK980" s="173"/>
      <c r="AL980" s="173"/>
      <c r="AM980" s="173"/>
      <c r="AN980" s="173"/>
      <c r="AO980" s="173"/>
      <c r="AP980" s="173"/>
      <c r="AQ980" s="173"/>
      <c r="AR980" s="173"/>
      <c r="AS980" s="173"/>
      <c r="AT980" s="173"/>
      <c r="AU980" s="173"/>
      <c r="AV980" s="173"/>
      <c r="AW980" s="173"/>
      <c r="AX980" s="173"/>
      <c r="AY980" s="173"/>
      <c r="AZ980" s="173"/>
      <c r="BA980" s="173"/>
      <c r="BB980" s="173"/>
      <c r="BC980" s="173"/>
      <c r="BD980" s="173"/>
      <c r="BE980" s="173"/>
      <c r="BF980" s="173"/>
      <c r="BG980" s="173"/>
      <c r="BH980" s="173"/>
      <c r="BI980" s="173"/>
      <c r="BJ980" s="173"/>
      <c r="BK980" s="173"/>
      <c r="BL980" s="173"/>
      <c r="BM980" s="173"/>
      <c r="BN980" s="173"/>
      <c r="BO980" s="173"/>
      <c r="BP980" s="173"/>
      <c r="BQ980" s="173"/>
      <c r="BR980" s="173"/>
      <c r="BS980" s="173"/>
      <c r="BT980" s="173"/>
      <c r="BU980" s="173"/>
      <c r="BV980" s="173"/>
      <c r="BW980" s="173"/>
      <c r="BX980" s="173"/>
      <c r="BY980" s="173"/>
    </row>
    <row r="98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  <c r="AA981" s="173"/>
      <c r="AB981" s="173"/>
      <c r="AC981" s="173"/>
      <c r="AD981" s="173"/>
      <c r="AE981" s="173"/>
      <c r="AF981" s="173"/>
      <c r="AG981" s="173"/>
      <c r="AH981" s="173"/>
      <c r="AI981" s="173"/>
      <c r="AJ981" s="173"/>
      <c r="AK981" s="173"/>
      <c r="AL981" s="173"/>
      <c r="AM981" s="173"/>
      <c r="AN981" s="173"/>
      <c r="AO981" s="173"/>
      <c r="AP981" s="173"/>
      <c r="AQ981" s="173"/>
      <c r="AR981" s="173"/>
      <c r="AS981" s="173"/>
      <c r="AT981" s="173"/>
      <c r="AU981" s="173"/>
      <c r="AV981" s="173"/>
      <c r="AW981" s="173"/>
      <c r="AX981" s="173"/>
      <c r="AY981" s="173"/>
      <c r="AZ981" s="173"/>
      <c r="BA981" s="173"/>
      <c r="BB981" s="173"/>
      <c r="BC981" s="173"/>
      <c r="BD981" s="173"/>
      <c r="BE981" s="173"/>
      <c r="BF981" s="173"/>
      <c r="BG981" s="173"/>
      <c r="BH981" s="173"/>
      <c r="BI981" s="173"/>
      <c r="BJ981" s="173"/>
      <c r="BK981" s="173"/>
      <c r="BL981" s="173"/>
      <c r="BM981" s="173"/>
      <c r="BN981" s="173"/>
      <c r="BO981" s="173"/>
      <c r="BP981" s="173"/>
      <c r="BQ981" s="173"/>
      <c r="BR981" s="173"/>
      <c r="BS981" s="173"/>
      <c r="BT981" s="173"/>
      <c r="BU981" s="173"/>
      <c r="BV981" s="173"/>
      <c r="BW981" s="173"/>
      <c r="BX981" s="173"/>
      <c r="BY981" s="173"/>
    </row>
    <row r="982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  <c r="AA982" s="173"/>
      <c r="AB982" s="173"/>
      <c r="AC982" s="173"/>
      <c r="AD982" s="173"/>
      <c r="AE982" s="173"/>
      <c r="AF982" s="173"/>
      <c r="AG982" s="173"/>
      <c r="AH982" s="173"/>
      <c r="AI982" s="173"/>
      <c r="AJ982" s="173"/>
      <c r="AK982" s="173"/>
      <c r="AL982" s="173"/>
      <c r="AM982" s="173"/>
      <c r="AN982" s="173"/>
      <c r="AO982" s="173"/>
      <c r="AP982" s="173"/>
      <c r="AQ982" s="173"/>
      <c r="AR982" s="173"/>
      <c r="AS982" s="173"/>
      <c r="AT982" s="173"/>
      <c r="AU982" s="173"/>
      <c r="AV982" s="173"/>
      <c r="AW982" s="173"/>
      <c r="AX982" s="173"/>
      <c r="AY982" s="173"/>
      <c r="AZ982" s="173"/>
      <c r="BA982" s="173"/>
      <c r="BB982" s="173"/>
      <c r="BC982" s="173"/>
      <c r="BD982" s="173"/>
      <c r="BE982" s="173"/>
      <c r="BF982" s="173"/>
      <c r="BG982" s="173"/>
      <c r="BH982" s="173"/>
      <c r="BI982" s="173"/>
      <c r="BJ982" s="173"/>
      <c r="BK982" s="173"/>
      <c r="BL982" s="173"/>
      <c r="BM982" s="173"/>
      <c r="BN982" s="173"/>
      <c r="BO982" s="173"/>
      <c r="BP982" s="173"/>
      <c r="BQ982" s="173"/>
      <c r="BR982" s="173"/>
      <c r="BS982" s="173"/>
      <c r="BT982" s="173"/>
      <c r="BU982" s="173"/>
      <c r="BV982" s="173"/>
      <c r="BW982" s="173"/>
      <c r="BX982" s="173"/>
      <c r="BY982" s="173"/>
    </row>
    <row r="983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  <c r="AA983" s="173"/>
      <c r="AB983" s="173"/>
      <c r="AC983" s="173"/>
      <c r="AD983" s="173"/>
      <c r="AE983" s="173"/>
      <c r="AF983" s="173"/>
      <c r="AG983" s="173"/>
      <c r="AH983" s="173"/>
      <c r="AI983" s="173"/>
      <c r="AJ983" s="173"/>
      <c r="AK983" s="173"/>
      <c r="AL983" s="173"/>
      <c r="AM983" s="173"/>
      <c r="AN983" s="173"/>
      <c r="AO983" s="173"/>
      <c r="AP983" s="173"/>
      <c r="AQ983" s="173"/>
      <c r="AR983" s="173"/>
      <c r="AS983" s="173"/>
      <c r="AT983" s="173"/>
      <c r="AU983" s="173"/>
      <c r="AV983" s="173"/>
      <c r="AW983" s="173"/>
      <c r="AX983" s="173"/>
      <c r="AY983" s="173"/>
      <c r="AZ983" s="173"/>
      <c r="BA983" s="173"/>
      <c r="BB983" s="173"/>
      <c r="BC983" s="173"/>
      <c r="BD983" s="173"/>
      <c r="BE983" s="173"/>
      <c r="BF983" s="173"/>
      <c r="BG983" s="173"/>
      <c r="BH983" s="173"/>
      <c r="BI983" s="173"/>
      <c r="BJ983" s="173"/>
      <c r="BK983" s="173"/>
      <c r="BL983" s="173"/>
      <c r="BM983" s="173"/>
      <c r="BN983" s="173"/>
      <c r="BO983" s="173"/>
      <c r="BP983" s="173"/>
      <c r="BQ983" s="173"/>
      <c r="BR983" s="173"/>
      <c r="BS983" s="173"/>
      <c r="BT983" s="173"/>
      <c r="BU983" s="173"/>
      <c r="BV983" s="173"/>
      <c r="BW983" s="173"/>
      <c r="BX983" s="173"/>
      <c r="BY983" s="173"/>
    </row>
    <row r="984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  <c r="AA984" s="173"/>
      <c r="AB984" s="173"/>
      <c r="AC984" s="173"/>
      <c r="AD984" s="173"/>
      <c r="AE984" s="173"/>
      <c r="AF984" s="173"/>
      <c r="AG984" s="173"/>
      <c r="AH984" s="173"/>
      <c r="AI984" s="173"/>
      <c r="AJ984" s="173"/>
      <c r="AK984" s="173"/>
      <c r="AL984" s="173"/>
      <c r="AM984" s="173"/>
      <c r="AN984" s="173"/>
      <c r="AO984" s="173"/>
      <c r="AP984" s="173"/>
      <c r="AQ984" s="173"/>
      <c r="AR984" s="173"/>
      <c r="AS984" s="173"/>
      <c r="AT984" s="173"/>
      <c r="AU984" s="173"/>
      <c r="AV984" s="173"/>
      <c r="AW984" s="173"/>
      <c r="AX984" s="173"/>
      <c r="AY984" s="173"/>
      <c r="AZ984" s="173"/>
      <c r="BA984" s="173"/>
      <c r="BB984" s="173"/>
      <c r="BC984" s="173"/>
      <c r="BD984" s="173"/>
      <c r="BE984" s="173"/>
      <c r="BF984" s="173"/>
      <c r="BG984" s="173"/>
      <c r="BH984" s="173"/>
      <c r="BI984" s="173"/>
      <c r="BJ984" s="173"/>
      <c r="BK984" s="173"/>
      <c r="BL984" s="173"/>
      <c r="BM984" s="173"/>
      <c r="BN984" s="173"/>
      <c r="BO984" s="173"/>
      <c r="BP984" s="173"/>
      <c r="BQ984" s="173"/>
      <c r="BR984" s="173"/>
      <c r="BS984" s="173"/>
      <c r="BT984" s="173"/>
      <c r="BU984" s="173"/>
      <c r="BV984" s="173"/>
      <c r="BW984" s="173"/>
      <c r="BX984" s="173"/>
      <c r="BY984" s="173"/>
    </row>
    <row r="985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  <c r="AA985" s="173"/>
      <c r="AB985" s="173"/>
      <c r="AC985" s="173"/>
      <c r="AD985" s="173"/>
      <c r="AE985" s="173"/>
      <c r="AF985" s="173"/>
      <c r="AG985" s="173"/>
      <c r="AH985" s="173"/>
      <c r="AI985" s="173"/>
      <c r="AJ985" s="173"/>
      <c r="AK985" s="173"/>
      <c r="AL985" s="173"/>
      <c r="AM985" s="173"/>
      <c r="AN985" s="173"/>
      <c r="AO985" s="173"/>
      <c r="AP985" s="173"/>
      <c r="AQ985" s="173"/>
      <c r="AR985" s="173"/>
      <c r="AS985" s="173"/>
      <c r="AT985" s="173"/>
      <c r="AU985" s="173"/>
      <c r="AV985" s="173"/>
      <c r="AW985" s="173"/>
      <c r="AX985" s="173"/>
      <c r="AY985" s="173"/>
      <c r="AZ985" s="173"/>
      <c r="BA985" s="173"/>
      <c r="BB985" s="173"/>
      <c r="BC985" s="173"/>
      <c r="BD985" s="173"/>
      <c r="BE985" s="173"/>
      <c r="BF985" s="173"/>
      <c r="BG985" s="173"/>
      <c r="BH985" s="173"/>
      <c r="BI985" s="173"/>
      <c r="BJ985" s="173"/>
      <c r="BK985" s="173"/>
      <c r="BL985" s="173"/>
      <c r="BM985" s="173"/>
      <c r="BN985" s="173"/>
      <c r="BO985" s="173"/>
      <c r="BP985" s="173"/>
      <c r="BQ985" s="173"/>
      <c r="BR985" s="173"/>
      <c r="BS985" s="173"/>
      <c r="BT985" s="173"/>
      <c r="BU985" s="173"/>
      <c r="BV985" s="173"/>
      <c r="BW985" s="173"/>
      <c r="BX985" s="173"/>
      <c r="BY985" s="173"/>
    </row>
    <row r="986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  <c r="AA986" s="173"/>
      <c r="AB986" s="173"/>
      <c r="AC986" s="173"/>
      <c r="AD986" s="173"/>
      <c r="AE986" s="173"/>
      <c r="AF986" s="173"/>
      <c r="AG986" s="173"/>
      <c r="AH986" s="173"/>
      <c r="AI986" s="173"/>
      <c r="AJ986" s="173"/>
      <c r="AK986" s="173"/>
      <c r="AL986" s="173"/>
      <c r="AM986" s="173"/>
      <c r="AN986" s="173"/>
      <c r="AO986" s="173"/>
      <c r="AP986" s="173"/>
      <c r="AQ986" s="173"/>
      <c r="AR986" s="173"/>
      <c r="AS986" s="173"/>
      <c r="AT986" s="173"/>
      <c r="AU986" s="173"/>
      <c r="AV986" s="173"/>
      <c r="AW986" s="173"/>
      <c r="AX986" s="173"/>
      <c r="AY986" s="173"/>
      <c r="AZ986" s="173"/>
      <c r="BA986" s="173"/>
      <c r="BB986" s="173"/>
      <c r="BC986" s="173"/>
      <c r="BD986" s="173"/>
      <c r="BE986" s="173"/>
      <c r="BF986" s="173"/>
      <c r="BG986" s="173"/>
      <c r="BH986" s="173"/>
      <c r="BI986" s="173"/>
      <c r="BJ986" s="173"/>
      <c r="BK986" s="173"/>
      <c r="BL986" s="173"/>
      <c r="BM986" s="173"/>
      <c r="BN986" s="173"/>
      <c r="BO986" s="173"/>
      <c r="BP986" s="173"/>
      <c r="BQ986" s="173"/>
      <c r="BR986" s="173"/>
      <c r="BS986" s="173"/>
      <c r="BT986" s="173"/>
      <c r="BU986" s="173"/>
      <c r="BV986" s="173"/>
      <c r="BW986" s="173"/>
      <c r="BX986" s="173"/>
      <c r="BY986" s="173"/>
    </row>
    <row r="987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  <c r="AA987" s="173"/>
      <c r="AB987" s="173"/>
      <c r="AC987" s="173"/>
      <c r="AD987" s="173"/>
      <c r="AE987" s="173"/>
      <c r="AF987" s="173"/>
      <c r="AG987" s="173"/>
      <c r="AH987" s="173"/>
      <c r="AI987" s="173"/>
      <c r="AJ987" s="173"/>
      <c r="AK987" s="173"/>
      <c r="AL987" s="173"/>
      <c r="AM987" s="173"/>
      <c r="AN987" s="173"/>
      <c r="AO987" s="173"/>
      <c r="AP987" s="173"/>
      <c r="AQ987" s="173"/>
      <c r="AR987" s="173"/>
      <c r="AS987" s="173"/>
      <c r="AT987" s="173"/>
      <c r="AU987" s="173"/>
      <c r="AV987" s="173"/>
      <c r="AW987" s="173"/>
      <c r="AX987" s="173"/>
      <c r="AY987" s="173"/>
      <c r="AZ987" s="173"/>
      <c r="BA987" s="173"/>
      <c r="BB987" s="173"/>
      <c r="BC987" s="173"/>
      <c r="BD987" s="173"/>
      <c r="BE987" s="173"/>
      <c r="BF987" s="173"/>
      <c r="BG987" s="173"/>
      <c r="BH987" s="173"/>
      <c r="BI987" s="173"/>
      <c r="BJ987" s="173"/>
      <c r="BK987" s="173"/>
      <c r="BL987" s="173"/>
      <c r="BM987" s="173"/>
      <c r="BN987" s="173"/>
      <c r="BO987" s="173"/>
      <c r="BP987" s="173"/>
      <c r="BQ987" s="173"/>
      <c r="BR987" s="173"/>
      <c r="BS987" s="173"/>
      <c r="BT987" s="173"/>
      <c r="BU987" s="173"/>
      <c r="BV987" s="173"/>
      <c r="BW987" s="173"/>
      <c r="BX987" s="173"/>
      <c r="BY987" s="173"/>
    </row>
    <row r="988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  <c r="AA988" s="173"/>
      <c r="AB988" s="173"/>
      <c r="AC988" s="173"/>
      <c r="AD988" s="173"/>
      <c r="AE988" s="173"/>
      <c r="AF988" s="173"/>
      <c r="AG988" s="173"/>
      <c r="AH988" s="173"/>
      <c r="AI988" s="173"/>
      <c r="AJ988" s="173"/>
      <c r="AK988" s="173"/>
      <c r="AL988" s="173"/>
      <c r="AM988" s="173"/>
      <c r="AN988" s="173"/>
      <c r="AO988" s="173"/>
      <c r="AP988" s="173"/>
      <c r="AQ988" s="173"/>
      <c r="AR988" s="173"/>
      <c r="AS988" s="173"/>
      <c r="AT988" s="173"/>
      <c r="AU988" s="173"/>
      <c r="AV988" s="173"/>
      <c r="AW988" s="173"/>
      <c r="AX988" s="173"/>
      <c r="AY988" s="173"/>
      <c r="AZ988" s="173"/>
      <c r="BA988" s="173"/>
      <c r="BB988" s="173"/>
      <c r="BC988" s="173"/>
      <c r="BD988" s="173"/>
      <c r="BE988" s="173"/>
      <c r="BF988" s="173"/>
      <c r="BG988" s="173"/>
      <c r="BH988" s="173"/>
      <c r="BI988" s="173"/>
      <c r="BJ988" s="173"/>
      <c r="BK988" s="173"/>
      <c r="BL988" s="173"/>
      <c r="BM988" s="173"/>
      <c r="BN988" s="173"/>
      <c r="BO988" s="173"/>
      <c r="BP988" s="173"/>
      <c r="BQ988" s="173"/>
      <c r="BR988" s="173"/>
      <c r="BS988" s="173"/>
      <c r="BT988" s="173"/>
      <c r="BU988" s="173"/>
      <c r="BV988" s="173"/>
      <c r="BW988" s="173"/>
      <c r="BX988" s="173"/>
      <c r="BY988" s="173"/>
    </row>
    <row r="989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  <c r="AA989" s="173"/>
      <c r="AB989" s="173"/>
      <c r="AC989" s="173"/>
      <c r="AD989" s="173"/>
      <c r="AE989" s="173"/>
      <c r="AF989" s="173"/>
      <c r="AG989" s="173"/>
      <c r="AH989" s="173"/>
      <c r="AI989" s="173"/>
      <c r="AJ989" s="173"/>
      <c r="AK989" s="173"/>
      <c r="AL989" s="173"/>
      <c r="AM989" s="173"/>
      <c r="AN989" s="173"/>
      <c r="AO989" s="173"/>
      <c r="AP989" s="173"/>
      <c r="AQ989" s="173"/>
      <c r="AR989" s="173"/>
      <c r="AS989" s="173"/>
      <c r="AT989" s="173"/>
      <c r="AU989" s="173"/>
      <c r="AV989" s="173"/>
      <c r="AW989" s="173"/>
      <c r="AX989" s="173"/>
      <c r="AY989" s="173"/>
      <c r="AZ989" s="173"/>
      <c r="BA989" s="173"/>
      <c r="BB989" s="173"/>
      <c r="BC989" s="173"/>
      <c r="BD989" s="173"/>
      <c r="BE989" s="173"/>
      <c r="BF989" s="173"/>
      <c r="BG989" s="173"/>
      <c r="BH989" s="173"/>
      <c r="BI989" s="173"/>
      <c r="BJ989" s="173"/>
      <c r="BK989" s="173"/>
      <c r="BL989" s="173"/>
      <c r="BM989" s="173"/>
      <c r="BN989" s="173"/>
      <c r="BO989" s="173"/>
      <c r="BP989" s="173"/>
      <c r="BQ989" s="173"/>
      <c r="BR989" s="173"/>
      <c r="BS989" s="173"/>
      <c r="BT989" s="173"/>
      <c r="BU989" s="173"/>
      <c r="BV989" s="173"/>
      <c r="BW989" s="173"/>
      <c r="BX989" s="173"/>
      <c r="BY989" s="173"/>
    </row>
    <row r="990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  <c r="AA990" s="173"/>
      <c r="AB990" s="173"/>
      <c r="AC990" s="173"/>
      <c r="AD990" s="173"/>
      <c r="AE990" s="173"/>
      <c r="AF990" s="173"/>
      <c r="AG990" s="173"/>
      <c r="AH990" s="173"/>
      <c r="AI990" s="173"/>
      <c r="AJ990" s="173"/>
      <c r="AK990" s="173"/>
      <c r="AL990" s="173"/>
      <c r="AM990" s="173"/>
      <c r="AN990" s="173"/>
      <c r="AO990" s="173"/>
      <c r="AP990" s="173"/>
      <c r="AQ990" s="173"/>
      <c r="AR990" s="173"/>
      <c r="AS990" s="173"/>
      <c r="AT990" s="173"/>
      <c r="AU990" s="173"/>
      <c r="AV990" s="173"/>
      <c r="AW990" s="173"/>
      <c r="AX990" s="173"/>
      <c r="AY990" s="173"/>
      <c r="AZ990" s="173"/>
      <c r="BA990" s="173"/>
      <c r="BB990" s="173"/>
      <c r="BC990" s="173"/>
      <c r="BD990" s="173"/>
      <c r="BE990" s="173"/>
      <c r="BF990" s="173"/>
      <c r="BG990" s="173"/>
      <c r="BH990" s="173"/>
      <c r="BI990" s="173"/>
      <c r="BJ990" s="173"/>
      <c r="BK990" s="173"/>
      <c r="BL990" s="173"/>
      <c r="BM990" s="173"/>
      <c r="BN990" s="173"/>
      <c r="BO990" s="173"/>
      <c r="BP990" s="173"/>
      <c r="BQ990" s="173"/>
      <c r="BR990" s="173"/>
      <c r="BS990" s="173"/>
      <c r="BT990" s="173"/>
      <c r="BU990" s="173"/>
      <c r="BV990" s="173"/>
      <c r="BW990" s="173"/>
      <c r="BX990" s="173"/>
      <c r="BY990" s="173"/>
    </row>
    <row r="99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  <c r="AA991" s="173"/>
      <c r="AB991" s="173"/>
      <c r="AC991" s="173"/>
      <c r="AD991" s="173"/>
      <c r="AE991" s="173"/>
      <c r="AF991" s="173"/>
      <c r="AG991" s="173"/>
      <c r="AH991" s="173"/>
      <c r="AI991" s="173"/>
      <c r="AJ991" s="173"/>
      <c r="AK991" s="173"/>
      <c r="AL991" s="173"/>
      <c r="AM991" s="173"/>
      <c r="AN991" s="173"/>
      <c r="AO991" s="173"/>
      <c r="AP991" s="173"/>
      <c r="AQ991" s="173"/>
      <c r="AR991" s="173"/>
      <c r="AS991" s="173"/>
      <c r="AT991" s="173"/>
      <c r="AU991" s="173"/>
      <c r="AV991" s="173"/>
      <c r="AW991" s="173"/>
      <c r="AX991" s="173"/>
      <c r="AY991" s="173"/>
      <c r="AZ991" s="173"/>
      <c r="BA991" s="173"/>
      <c r="BB991" s="173"/>
      <c r="BC991" s="173"/>
      <c r="BD991" s="173"/>
      <c r="BE991" s="173"/>
      <c r="BF991" s="173"/>
      <c r="BG991" s="173"/>
      <c r="BH991" s="173"/>
      <c r="BI991" s="173"/>
      <c r="BJ991" s="173"/>
      <c r="BK991" s="173"/>
      <c r="BL991" s="173"/>
      <c r="BM991" s="173"/>
      <c r="BN991" s="173"/>
      <c r="BO991" s="173"/>
      <c r="BP991" s="173"/>
      <c r="BQ991" s="173"/>
      <c r="BR991" s="173"/>
      <c r="BS991" s="173"/>
      <c r="BT991" s="173"/>
      <c r="BU991" s="173"/>
      <c r="BV991" s="173"/>
      <c r="BW991" s="173"/>
      <c r="BX991" s="173"/>
      <c r="BY991" s="173"/>
    </row>
    <row r="992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  <c r="AA992" s="173"/>
      <c r="AB992" s="173"/>
      <c r="AC992" s="173"/>
      <c r="AD992" s="173"/>
      <c r="AE992" s="173"/>
      <c r="AF992" s="173"/>
      <c r="AG992" s="173"/>
      <c r="AH992" s="173"/>
      <c r="AI992" s="173"/>
      <c r="AJ992" s="173"/>
      <c r="AK992" s="173"/>
      <c r="AL992" s="173"/>
      <c r="AM992" s="173"/>
      <c r="AN992" s="173"/>
      <c r="AO992" s="173"/>
      <c r="AP992" s="173"/>
      <c r="AQ992" s="173"/>
      <c r="AR992" s="173"/>
      <c r="AS992" s="173"/>
      <c r="AT992" s="173"/>
      <c r="AU992" s="173"/>
      <c r="AV992" s="173"/>
      <c r="AW992" s="173"/>
      <c r="AX992" s="173"/>
      <c r="AY992" s="173"/>
      <c r="AZ992" s="173"/>
      <c r="BA992" s="173"/>
      <c r="BB992" s="173"/>
      <c r="BC992" s="173"/>
      <c r="BD992" s="173"/>
      <c r="BE992" s="173"/>
      <c r="BF992" s="173"/>
      <c r="BG992" s="173"/>
      <c r="BH992" s="173"/>
      <c r="BI992" s="173"/>
      <c r="BJ992" s="173"/>
      <c r="BK992" s="173"/>
      <c r="BL992" s="173"/>
      <c r="BM992" s="173"/>
      <c r="BN992" s="173"/>
      <c r="BO992" s="173"/>
      <c r="BP992" s="173"/>
      <c r="BQ992" s="173"/>
      <c r="BR992" s="173"/>
      <c r="BS992" s="173"/>
      <c r="BT992" s="173"/>
      <c r="BU992" s="173"/>
      <c r="BV992" s="173"/>
      <c r="BW992" s="173"/>
      <c r="BX992" s="173"/>
      <c r="BY992" s="173"/>
    </row>
    <row r="993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  <c r="AA993" s="173"/>
      <c r="AB993" s="173"/>
      <c r="AC993" s="173"/>
      <c r="AD993" s="173"/>
      <c r="AE993" s="173"/>
      <c r="AF993" s="173"/>
      <c r="AG993" s="173"/>
      <c r="AH993" s="173"/>
      <c r="AI993" s="173"/>
      <c r="AJ993" s="173"/>
      <c r="AK993" s="173"/>
      <c r="AL993" s="173"/>
      <c r="AM993" s="173"/>
      <c r="AN993" s="173"/>
      <c r="AO993" s="173"/>
      <c r="AP993" s="173"/>
      <c r="AQ993" s="173"/>
      <c r="AR993" s="173"/>
      <c r="AS993" s="173"/>
      <c r="AT993" s="173"/>
      <c r="AU993" s="173"/>
      <c r="AV993" s="173"/>
      <c r="AW993" s="173"/>
      <c r="AX993" s="173"/>
      <c r="AY993" s="173"/>
      <c r="AZ993" s="173"/>
      <c r="BA993" s="173"/>
      <c r="BB993" s="173"/>
      <c r="BC993" s="173"/>
      <c r="BD993" s="173"/>
      <c r="BE993" s="173"/>
      <c r="BF993" s="173"/>
      <c r="BG993" s="173"/>
      <c r="BH993" s="173"/>
      <c r="BI993" s="173"/>
      <c r="BJ993" s="173"/>
      <c r="BK993" s="173"/>
      <c r="BL993" s="173"/>
      <c r="BM993" s="173"/>
      <c r="BN993" s="173"/>
      <c r="BO993" s="173"/>
      <c r="BP993" s="173"/>
      <c r="BQ993" s="173"/>
      <c r="BR993" s="173"/>
      <c r="BS993" s="173"/>
      <c r="BT993" s="173"/>
      <c r="BU993" s="173"/>
      <c r="BV993" s="173"/>
      <c r="BW993" s="173"/>
      <c r="BX993" s="173"/>
      <c r="BY993" s="173"/>
    </row>
    <row r="994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  <c r="AA994" s="173"/>
      <c r="AB994" s="173"/>
      <c r="AC994" s="173"/>
      <c r="AD994" s="173"/>
      <c r="AE994" s="173"/>
      <c r="AF994" s="173"/>
      <c r="AG994" s="173"/>
      <c r="AH994" s="173"/>
      <c r="AI994" s="173"/>
      <c r="AJ994" s="173"/>
      <c r="AK994" s="173"/>
      <c r="AL994" s="173"/>
      <c r="AM994" s="173"/>
      <c r="AN994" s="173"/>
      <c r="AO994" s="173"/>
      <c r="AP994" s="173"/>
      <c r="AQ994" s="173"/>
      <c r="AR994" s="173"/>
      <c r="AS994" s="173"/>
      <c r="AT994" s="173"/>
      <c r="AU994" s="173"/>
      <c r="AV994" s="173"/>
      <c r="AW994" s="173"/>
      <c r="AX994" s="173"/>
      <c r="AY994" s="173"/>
      <c r="AZ994" s="173"/>
      <c r="BA994" s="173"/>
      <c r="BB994" s="173"/>
      <c r="BC994" s="173"/>
      <c r="BD994" s="173"/>
      <c r="BE994" s="173"/>
      <c r="BF994" s="173"/>
      <c r="BG994" s="173"/>
      <c r="BH994" s="173"/>
      <c r="BI994" s="173"/>
      <c r="BJ994" s="173"/>
      <c r="BK994" s="173"/>
      <c r="BL994" s="173"/>
      <c r="BM994" s="173"/>
      <c r="BN994" s="173"/>
      <c r="BO994" s="173"/>
      <c r="BP994" s="173"/>
      <c r="BQ994" s="173"/>
      <c r="BR994" s="173"/>
      <c r="BS994" s="173"/>
      <c r="BT994" s="173"/>
      <c r="BU994" s="173"/>
      <c r="BV994" s="173"/>
      <c r="BW994" s="173"/>
      <c r="BX994" s="173"/>
      <c r="BY994" s="173"/>
    </row>
    <row r="995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  <c r="AA995" s="173"/>
      <c r="AB995" s="173"/>
      <c r="AC995" s="173"/>
      <c r="AD995" s="173"/>
      <c r="AE995" s="173"/>
      <c r="AF995" s="173"/>
      <c r="AG995" s="173"/>
      <c r="AH995" s="173"/>
      <c r="AI995" s="173"/>
      <c r="AJ995" s="173"/>
      <c r="AK995" s="173"/>
      <c r="AL995" s="173"/>
      <c r="AM995" s="173"/>
      <c r="AN995" s="173"/>
      <c r="AO995" s="173"/>
      <c r="AP995" s="173"/>
      <c r="AQ995" s="173"/>
      <c r="AR995" s="173"/>
      <c r="AS995" s="173"/>
      <c r="AT995" s="173"/>
      <c r="AU995" s="173"/>
      <c r="AV995" s="173"/>
      <c r="AW995" s="173"/>
      <c r="AX995" s="173"/>
      <c r="AY995" s="173"/>
      <c r="AZ995" s="173"/>
      <c r="BA995" s="173"/>
      <c r="BB995" s="173"/>
      <c r="BC995" s="173"/>
      <c r="BD995" s="173"/>
      <c r="BE995" s="173"/>
      <c r="BF995" s="173"/>
      <c r="BG995" s="173"/>
      <c r="BH995" s="173"/>
      <c r="BI995" s="173"/>
      <c r="BJ995" s="173"/>
      <c r="BK995" s="173"/>
      <c r="BL995" s="173"/>
      <c r="BM995" s="173"/>
      <c r="BN995" s="173"/>
      <c r="BO995" s="173"/>
      <c r="BP995" s="173"/>
      <c r="BQ995" s="173"/>
      <c r="BR995" s="173"/>
      <c r="BS995" s="173"/>
      <c r="BT995" s="173"/>
      <c r="BU995" s="173"/>
      <c r="BV995" s="173"/>
      <c r="BW995" s="173"/>
      <c r="BX995" s="173"/>
      <c r="BY995" s="173"/>
    </row>
    <row r="996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  <c r="AA996" s="173"/>
      <c r="AB996" s="173"/>
      <c r="AC996" s="173"/>
      <c r="AD996" s="173"/>
      <c r="AE996" s="173"/>
      <c r="AF996" s="173"/>
      <c r="AG996" s="173"/>
      <c r="AH996" s="173"/>
      <c r="AI996" s="173"/>
      <c r="AJ996" s="173"/>
      <c r="AK996" s="173"/>
      <c r="AL996" s="173"/>
      <c r="AM996" s="173"/>
      <c r="AN996" s="173"/>
      <c r="AO996" s="173"/>
      <c r="AP996" s="173"/>
      <c r="AQ996" s="173"/>
      <c r="AR996" s="173"/>
      <c r="AS996" s="173"/>
      <c r="AT996" s="173"/>
      <c r="AU996" s="173"/>
      <c r="AV996" s="173"/>
      <c r="AW996" s="173"/>
      <c r="AX996" s="173"/>
      <c r="AY996" s="173"/>
      <c r="AZ996" s="173"/>
      <c r="BA996" s="173"/>
      <c r="BB996" s="173"/>
      <c r="BC996" s="173"/>
      <c r="BD996" s="173"/>
      <c r="BE996" s="173"/>
      <c r="BF996" s="173"/>
      <c r="BG996" s="173"/>
      <c r="BH996" s="173"/>
      <c r="BI996" s="173"/>
      <c r="BJ996" s="173"/>
      <c r="BK996" s="173"/>
      <c r="BL996" s="173"/>
      <c r="BM996" s="173"/>
      <c r="BN996" s="173"/>
      <c r="BO996" s="173"/>
      <c r="BP996" s="173"/>
      <c r="BQ996" s="173"/>
      <c r="BR996" s="173"/>
      <c r="BS996" s="173"/>
      <c r="BT996" s="173"/>
      <c r="BU996" s="173"/>
      <c r="BV996" s="173"/>
      <c r="BW996" s="173"/>
      <c r="BX996" s="173"/>
      <c r="BY996" s="173"/>
    </row>
    <row r="997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  <c r="AA997" s="173"/>
      <c r="AB997" s="173"/>
      <c r="AC997" s="173"/>
      <c r="AD997" s="173"/>
      <c r="AE997" s="173"/>
      <c r="AF997" s="173"/>
      <c r="AG997" s="173"/>
      <c r="AH997" s="173"/>
      <c r="AI997" s="173"/>
      <c r="AJ997" s="173"/>
      <c r="AK997" s="173"/>
      <c r="AL997" s="173"/>
      <c r="AM997" s="173"/>
      <c r="AN997" s="173"/>
      <c r="AO997" s="173"/>
      <c r="AP997" s="173"/>
      <c r="AQ997" s="173"/>
      <c r="AR997" s="173"/>
      <c r="AS997" s="173"/>
      <c r="AT997" s="173"/>
      <c r="AU997" s="173"/>
      <c r="AV997" s="173"/>
      <c r="AW997" s="173"/>
      <c r="AX997" s="173"/>
      <c r="AY997" s="173"/>
      <c r="AZ997" s="173"/>
      <c r="BA997" s="173"/>
      <c r="BB997" s="173"/>
      <c r="BC997" s="173"/>
      <c r="BD997" s="173"/>
      <c r="BE997" s="173"/>
      <c r="BF997" s="173"/>
      <c r="BG997" s="173"/>
      <c r="BH997" s="173"/>
      <c r="BI997" s="173"/>
      <c r="BJ997" s="173"/>
      <c r="BK997" s="173"/>
      <c r="BL997" s="173"/>
      <c r="BM997" s="173"/>
      <c r="BN997" s="173"/>
      <c r="BO997" s="173"/>
      <c r="BP997" s="173"/>
      <c r="BQ997" s="173"/>
      <c r="BR997" s="173"/>
      <c r="BS997" s="173"/>
      <c r="BT997" s="173"/>
      <c r="BU997" s="173"/>
      <c r="BV997" s="173"/>
      <c r="BW997" s="173"/>
      <c r="BX997" s="173"/>
      <c r="BY997" s="173"/>
    </row>
    <row r="998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  <c r="AA998" s="173"/>
      <c r="AB998" s="173"/>
      <c r="AC998" s="173"/>
      <c r="AD998" s="173"/>
      <c r="AE998" s="173"/>
      <c r="AF998" s="173"/>
      <c r="AG998" s="173"/>
      <c r="AH998" s="173"/>
      <c r="AI998" s="173"/>
      <c r="AJ998" s="173"/>
      <c r="AK998" s="173"/>
      <c r="AL998" s="173"/>
      <c r="AM998" s="173"/>
      <c r="AN998" s="173"/>
      <c r="AO998" s="173"/>
      <c r="AP998" s="173"/>
      <c r="AQ998" s="173"/>
      <c r="AR998" s="173"/>
      <c r="AS998" s="173"/>
      <c r="AT998" s="173"/>
      <c r="AU998" s="173"/>
      <c r="AV998" s="173"/>
      <c r="AW998" s="173"/>
      <c r="AX998" s="173"/>
      <c r="AY998" s="173"/>
      <c r="AZ998" s="173"/>
      <c r="BA998" s="173"/>
      <c r="BB998" s="173"/>
      <c r="BC998" s="173"/>
      <c r="BD998" s="173"/>
      <c r="BE998" s="173"/>
      <c r="BF998" s="173"/>
      <c r="BG998" s="173"/>
      <c r="BH998" s="173"/>
      <c r="BI998" s="173"/>
      <c r="BJ998" s="173"/>
      <c r="BK998" s="173"/>
      <c r="BL998" s="173"/>
      <c r="BM998" s="173"/>
      <c r="BN998" s="173"/>
      <c r="BO998" s="173"/>
      <c r="BP998" s="173"/>
      <c r="BQ998" s="173"/>
      <c r="BR998" s="173"/>
      <c r="BS998" s="173"/>
      <c r="BT998" s="173"/>
      <c r="BU998" s="173"/>
      <c r="BV998" s="173"/>
      <c r="BW998" s="173"/>
      <c r="BX998" s="173"/>
      <c r="BY998" s="173"/>
    </row>
    <row r="999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  <c r="AA999" s="173"/>
      <c r="AB999" s="173"/>
      <c r="AC999" s="173"/>
      <c r="AD999" s="173"/>
      <c r="AE999" s="173"/>
      <c r="AF999" s="173"/>
      <c r="AG999" s="173"/>
      <c r="AH999" s="173"/>
      <c r="AI999" s="173"/>
      <c r="AJ999" s="173"/>
      <c r="AK999" s="173"/>
      <c r="AL999" s="173"/>
      <c r="AM999" s="173"/>
      <c r="AN999" s="173"/>
      <c r="AO999" s="173"/>
      <c r="AP999" s="173"/>
      <c r="AQ999" s="173"/>
      <c r="AR999" s="173"/>
      <c r="AS999" s="173"/>
      <c r="AT999" s="173"/>
      <c r="AU999" s="173"/>
      <c r="AV999" s="173"/>
      <c r="AW999" s="173"/>
      <c r="AX999" s="173"/>
      <c r="AY999" s="173"/>
      <c r="AZ999" s="173"/>
      <c r="BA999" s="173"/>
      <c r="BB999" s="173"/>
      <c r="BC999" s="173"/>
      <c r="BD999" s="173"/>
      <c r="BE999" s="173"/>
      <c r="BF999" s="173"/>
      <c r="BG999" s="173"/>
      <c r="BH999" s="173"/>
      <c r="BI999" s="173"/>
      <c r="BJ999" s="173"/>
      <c r="BK999" s="173"/>
      <c r="BL999" s="173"/>
      <c r="BM999" s="173"/>
      <c r="BN999" s="173"/>
      <c r="BO999" s="173"/>
      <c r="BP999" s="173"/>
      <c r="BQ999" s="173"/>
      <c r="BR999" s="173"/>
      <c r="BS999" s="173"/>
      <c r="BT999" s="173"/>
      <c r="BU999" s="173"/>
      <c r="BV999" s="173"/>
      <c r="BW999" s="173"/>
      <c r="BX999" s="173"/>
      <c r="BY999" s="173"/>
    </row>
    <row r="1000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  <c r="AA1000" s="173"/>
      <c r="AB1000" s="173"/>
      <c r="AC1000" s="173"/>
      <c r="AD1000" s="173"/>
      <c r="AE1000" s="173"/>
      <c r="AF1000" s="173"/>
      <c r="AG1000" s="173"/>
      <c r="AH1000" s="173"/>
      <c r="AI1000" s="173"/>
      <c r="AJ1000" s="173"/>
      <c r="AK1000" s="173"/>
      <c r="AL1000" s="173"/>
      <c r="AM1000" s="173"/>
      <c r="AN1000" s="173"/>
      <c r="AO1000" s="173"/>
      <c r="AP1000" s="173"/>
      <c r="AQ1000" s="173"/>
      <c r="AR1000" s="173"/>
      <c r="AS1000" s="173"/>
      <c r="AT1000" s="173"/>
      <c r="AU1000" s="173"/>
      <c r="AV1000" s="173"/>
      <c r="AW1000" s="173"/>
      <c r="AX1000" s="173"/>
      <c r="AY1000" s="173"/>
      <c r="AZ1000" s="173"/>
      <c r="BA1000" s="173"/>
      <c r="BB1000" s="173"/>
      <c r="BC1000" s="173"/>
      <c r="BD1000" s="173"/>
      <c r="BE1000" s="173"/>
      <c r="BF1000" s="173"/>
      <c r="BG1000" s="173"/>
      <c r="BH1000" s="173"/>
      <c r="BI1000" s="173"/>
      <c r="BJ1000" s="173"/>
      <c r="BK1000" s="173"/>
      <c r="BL1000" s="173"/>
      <c r="BM1000" s="173"/>
      <c r="BN1000" s="173"/>
      <c r="BO1000" s="173"/>
      <c r="BP1000" s="173"/>
      <c r="BQ1000" s="173"/>
      <c r="BR1000" s="173"/>
      <c r="BS1000" s="173"/>
      <c r="BT1000" s="173"/>
      <c r="BU1000" s="173"/>
      <c r="BV1000" s="173"/>
      <c r="BW1000" s="173"/>
      <c r="BX1000" s="173"/>
      <c r="BY1000" s="173"/>
    </row>
    <row r="1001">
      <c r="A1001" s="173"/>
      <c r="B1001" s="173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  <c r="N1001" s="173"/>
      <c r="O1001" s="173"/>
      <c r="P1001" s="173"/>
      <c r="Q1001" s="173"/>
      <c r="R1001" s="173"/>
      <c r="S1001" s="173"/>
      <c r="T1001" s="173"/>
      <c r="U1001" s="173"/>
      <c r="V1001" s="173"/>
      <c r="W1001" s="173"/>
      <c r="X1001" s="173"/>
      <c r="Y1001" s="173"/>
      <c r="Z1001" s="173"/>
      <c r="AA1001" s="173"/>
      <c r="AB1001" s="173"/>
      <c r="AC1001" s="173"/>
      <c r="AD1001" s="173"/>
      <c r="AE1001" s="173"/>
      <c r="AF1001" s="173"/>
      <c r="AG1001" s="173"/>
      <c r="AH1001" s="173"/>
      <c r="AI1001" s="173"/>
      <c r="AJ1001" s="173"/>
      <c r="AK1001" s="173"/>
      <c r="AL1001" s="173"/>
      <c r="AM1001" s="173"/>
      <c r="AN1001" s="173"/>
      <c r="AO1001" s="173"/>
      <c r="AP1001" s="173"/>
      <c r="AQ1001" s="173"/>
      <c r="AR1001" s="173"/>
      <c r="AS1001" s="173"/>
      <c r="AT1001" s="173"/>
      <c r="AU1001" s="173"/>
      <c r="AV1001" s="173"/>
      <c r="AW1001" s="173"/>
      <c r="AX1001" s="173"/>
      <c r="AY1001" s="173"/>
      <c r="AZ1001" s="173"/>
      <c r="BA1001" s="173"/>
      <c r="BB1001" s="173"/>
      <c r="BC1001" s="173"/>
      <c r="BD1001" s="173"/>
      <c r="BE1001" s="173"/>
      <c r="BF1001" s="173"/>
      <c r="BG1001" s="173"/>
      <c r="BH1001" s="173"/>
      <c r="BI1001" s="173"/>
      <c r="BJ1001" s="173"/>
      <c r="BK1001" s="173"/>
      <c r="BL1001" s="173"/>
      <c r="BM1001" s="173"/>
      <c r="BN1001" s="173"/>
      <c r="BO1001" s="173"/>
      <c r="BP1001" s="173"/>
      <c r="BQ1001" s="173"/>
      <c r="BR1001" s="173"/>
      <c r="BS1001" s="173"/>
      <c r="BT1001" s="173"/>
      <c r="BU1001" s="173"/>
      <c r="BV1001" s="173"/>
      <c r="BW1001" s="173"/>
      <c r="BX1001" s="173"/>
      <c r="BY1001" s="173"/>
    </row>
    <row r="1002">
      <c r="A1002" s="173"/>
      <c r="B1002" s="173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  <c r="O1002" s="173"/>
      <c r="P1002" s="173"/>
      <c r="Q1002" s="173"/>
      <c r="R1002" s="173"/>
      <c r="S1002" s="173"/>
      <c r="T1002" s="173"/>
      <c r="U1002" s="173"/>
      <c r="V1002" s="173"/>
      <c r="W1002" s="173"/>
      <c r="X1002" s="173"/>
      <c r="Y1002" s="173"/>
      <c r="Z1002" s="173"/>
      <c r="AA1002" s="173"/>
      <c r="AB1002" s="173"/>
      <c r="AC1002" s="173"/>
      <c r="AD1002" s="173"/>
      <c r="AE1002" s="173"/>
      <c r="AF1002" s="173"/>
      <c r="AG1002" s="173"/>
      <c r="AH1002" s="173"/>
      <c r="AI1002" s="173"/>
      <c r="AJ1002" s="173"/>
      <c r="AK1002" s="173"/>
      <c r="AL1002" s="173"/>
      <c r="AM1002" s="173"/>
      <c r="AN1002" s="173"/>
      <c r="AO1002" s="173"/>
      <c r="AP1002" s="173"/>
      <c r="AQ1002" s="173"/>
      <c r="AR1002" s="173"/>
      <c r="AS1002" s="173"/>
      <c r="AT1002" s="173"/>
      <c r="AU1002" s="173"/>
      <c r="AV1002" s="173"/>
      <c r="AW1002" s="173"/>
      <c r="AX1002" s="173"/>
      <c r="AY1002" s="173"/>
      <c r="AZ1002" s="173"/>
      <c r="BA1002" s="173"/>
      <c r="BB1002" s="173"/>
      <c r="BC1002" s="173"/>
      <c r="BD1002" s="173"/>
      <c r="BE1002" s="173"/>
      <c r="BF1002" s="173"/>
      <c r="BG1002" s="173"/>
      <c r="BH1002" s="173"/>
      <c r="BI1002" s="173"/>
      <c r="BJ1002" s="173"/>
      <c r="BK1002" s="173"/>
      <c r="BL1002" s="173"/>
      <c r="BM1002" s="173"/>
      <c r="BN1002" s="173"/>
      <c r="BO1002" s="173"/>
      <c r="BP1002" s="173"/>
      <c r="BQ1002" s="173"/>
      <c r="BR1002" s="173"/>
      <c r="BS1002" s="173"/>
      <c r="BT1002" s="173"/>
      <c r="BU1002" s="173"/>
      <c r="BV1002" s="173"/>
      <c r="BW1002" s="173"/>
      <c r="BX1002" s="173"/>
      <c r="BY1002" s="173"/>
    </row>
    <row r="1003">
      <c r="A1003" s="173"/>
      <c r="B1003" s="173"/>
      <c r="C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  <c r="N1003" s="173"/>
      <c r="O1003" s="173"/>
      <c r="P1003" s="173"/>
      <c r="Q1003" s="173"/>
      <c r="R1003" s="173"/>
      <c r="S1003" s="173"/>
      <c r="T1003" s="173"/>
      <c r="U1003" s="173"/>
      <c r="V1003" s="173"/>
      <c r="W1003" s="173"/>
      <c r="X1003" s="173"/>
      <c r="Y1003" s="173"/>
      <c r="Z1003" s="173"/>
      <c r="AA1003" s="173"/>
      <c r="AB1003" s="173"/>
      <c r="AC1003" s="173"/>
      <c r="AD1003" s="173"/>
      <c r="AE1003" s="173"/>
      <c r="AF1003" s="173"/>
      <c r="AG1003" s="173"/>
      <c r="AH1003" s="173"/>
      <c r="AI1003" s="173"/>
      <c r="AJ1003" s="173"/>
      <c r="AK1003" s="173"/>
      <c r="AL1003" s="173"/>
      <c r="AM1003" s="173"/>
      <c r="AN1003" s="173"/>
      <c r="AO1003" s="173"/>
      <c r="AP1003" s="173"/>
      <c r="AQ1003" s="173"/>
      <c r="AR1003" s="173"/>
      <c r="AS1003" s="173"/>
      <c r="AT1003" s="173"/>
      <c r="AU1003" s="173"/>
      <c r="AV1003" s="173"/>
      <c r="AW1003" s="173"/>
      <c r="AX1003" s="173"/>
      <c r="AY1003" s="173"/>
      <c r="AZ1003" s="173"/>
      <c r="BA1003" s="173"/>
      <c r="BB1003" s="173"/>
      <c r="BC1003" s="173"/>
      <c r="BD1003" s="173"/>
      <c r="BE1003" s="173"/>
      <c r="BF1003" s="173"/>
      <c r="BG1003" s="173"/>
      <c r="BH1003" s="173"/>
      <c r="BI1003" s="173"/>
      <c r="BJ1003" s="173"/>
      <c r="BK1003" s="173"/>
      <c r="BL1003" s="173"/>
      <c r="BM1003" s="173"/>
      <c r="BN1003" s="173"/>
      <c r="BO1003" s="173"/>
      <c r="BP1003" s="173"/>
      <c r="BQ1003" s="173"/>
      <c r="BR1003" s="173"/>
      <c r="BS1003" s="173"/>
      <c r="BT1003" s="173"/>
      <c r="BU1003" s="173"/>
      <c r="BV1003" s="173"/>
      <c r="BW1003" s="173"/>
      <c r="BX1003" s="173"/>
      <c r="BY1003" s="173"/>
    </row>
    <row r="1004">
      <c r="A1004" s="173"/>
      <c r="B1004" s="173"/>
      <c r="C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  <c r="N1004" s="173"/>
      <c r="O1004" s="173"/>
      <c r="P1004" s="173"/>
      <c r="Q1004" s="173"/>
      <c r="R1004" s="173"/>
      <c r="S1004" s="173"/>
      <c r="T1004" s="173"/>
      <c r="U1004" s="173"/>
      <c r="V1004" s="173"/>
      <c r="W1004" s="173"/>
      <c r="X1004" s="173"/>
      <c r="Y1004" s="173"/>
      <c r="Z1004" s="173"/>
      <c r="AA1004" s="173"/>
      <c r="AB1004" s="173"/>
      <c r="AC1004" s="173"/>
      <c r="AD1004" s="173"/>
      <c r="AE1004" s="173"/>
      <c r="AF1004" s="173"/>
      <c r="AG1004" s="173"/>
      <c r="AH1004" s="173"/>
      <c r="AI1004" s="173"/>
      <c r="AJ1004" s="173"/>
      <c r="AK1004" s="173"/>
      <c r="AL1004" s="173"/>
      <c r="AM1004" s="173"/>
      <c r="AN1004" s="173"/>
      <c r="AO1004" s="173"/>
      <c r="AP1004" s="173"/>
      <c r="AQ1004" s="173"/>
      <c r="AR1004" s="173"/>
      <c r="AS1004" s="173"/>
      <c r="AT1004" s="173"/>
      <c r="AU1004" s="173"/>
      <c r="AV1004" s="173"/>
      <c r="AW1004" s="173"/>
      <c r="AX1004" s="173"/>
      <c r="AY1004" s="173"/>
      <c r="AZ1004" s="173"/>
      <c r="BA1004" s="173"/>
      <c r="BB1004" s="173"/>
      <c r="BC1004" s="173"/>
      <c r="BD1004" s="173"/>
      <c r="BE1004" s="173"/>
      <c r="BF1004" s="173"/>
      <c r="BG1004" s="173"/>
      <c r="BH1004" s="173"/>
      <c r="BI1004" s="173"/>
      <c r="BJ1004" s="173"/>
      <c r="BK1004" s="173"/>
      <c r="BL1004" s="173"/>
      <c r="BM1004" s="173"/>
      <c r="BN1004" s="173"/>
      <c r="BO1004" s="173"/>
      <c r="BP1004" s="173"/>
      <c r="BQ1004" s="173"/>
      <c r="BR1004" s="173"/>
      <c r="BS1004" s="173"/>
      <c r="BT1004" s="173"/>
      <c r="BU1004" s="173"/>
      <c r="BV1004" s="173"/>
      <c r="BW1004" s="173"/>
      <c r="BX1004" s="173"/>
      <c r="BY1004" s="173"/>
    </row>
    <row r="1005">
      <c r="A1005" s="173"/>
      <c r="B1005" s="173"/>
      <c r="C1005" s="173"/>
      <c r="D1005" s="173"/>
      <c r="E1005" s="173"/>
      <c r="F1005" s="173"/>
      <c r="G1005" s="173"/>
      <c r="H1005" s="173"/>
      <c r="I1005" s="173"/>
      <c r="J1005" s="173"/>
      <c r="K1005" s="173"/>
      <c r="L1005" s="173"/>
      <c r="M1005" s="173"/>
      <c r="N1005" s="173"/>
      <c r="O1005" s="173"/>
      <c r="P1005" s="173"/>
      <c r="Q1005" s="173"/>
      <c r="R1005" s="173"/>
      <c r="S1005" s="173"/>
      <c r="T1005" s="173"/>
      <c r="U1005" s="173"/>
      <c r="V1005" s="173"/>
      <c r="W1005" s="173"/>
      <c r="X1005" s="173"/>
      <c r="Y1005" s="173"/>
      <c r="Z1005" s="173"/>
      <c r="AA1005" s="173"/>
      <c r="AB1005" s="173"/>
      <c r="AC1005" s="173"/>
      <c r="AD1005" s="173"/>
      <c r="AE1005" s="173"/>
      <c r="AF1005" s="173"/>
      <c r="AG1005" s="173"/>
      <c r="AH1005" s="173"/>
      <c r="AI1005" s="173"/>
      <c r="AJ1005" s="173"/>
      <c r="AK1005" s="173"/>
      <c r="AL1005" s="173"/>
      <c r="AM1005" s="173"/>
      <c r="AN1005" s="173"/>
      <c r="AO1005" s="173"/>
      <c r="AP1005" s="173"/>
      <c r="AQ1005" s="173"/>
      <c r="AR1005" s="173"/>
      <c r="AS1005" s="173"/>
      <c r="AT1005" s="173"/>
      <c r="AU1005" s="173"/>
      <c r="AV1005" s="173"/>
      <c r="AW1005" s="173"/>
      <c r="AX1005" s="173"/>
      <c r="AY1005" s="173"/>
      <c r="AZ1005" s="173"/>
      <c r="BA1005" s="173"/>
      <c r="BB1005" s="173"/>
      <c r="BC1005" s="173"/>
      <c r="BD1005" s="173"/>
      <c r="BE1005" s="173"/>
      <c r="BF1005" s="173"/>
      <c r="BG1005" s="173"/>
      <c r="BH1005" s="173"/>
      <c r="BI1005" s="173"/>
      <c r="BJ1005" s="173"/>
      <c r="BK1005" s="173"/>
      <c r="BL1005" s="173"/>
      <c r="BM1005" s="173"/>
      <c r="BN1005" s="173"/>
      <c r="BO1005" s="173"/>
      <c r="BP1005" s="173"/>
      <c r="BQ1005" s="173"/>
      <c r="BR1005" s="173"/>
      <c r="BS1005" s="173"/>
      <c r="BT1005" s="173"/>
      <c r="BU1005" s="173"/>
      <c r="BV1005" s="173"/>
      <c r="BW1005" s="173"/>
      <c r="BX1005" s="173"/>
      <c r="BY1005" s="173"/>
    </row>
    <row r="1006">
      <c r="A1006" s="173"/>
      <c r="B1006" s="173"/>
      <c r="C1006" s="173"/>
      <c r="D1006" s="173"/>
      <c r="E1006" s="173"/>
      <c r="F1006" s="173"/>
      <c r="G1006" s="173"/>
      <c r="H1006" s="173"/>
      <c r="I1006" s="173"/>
      <c r="J1006" s="173"/>
      <c r="K1006" s="173"/>
      <c r="L1006" s="173"/>
      <c r="M1006" s="173"/>
      <c r="N1006" s="173"/>
      <c r="O1006" s="173"/>
      <c r="P1006" s="173"/>
      <c r="Q1006" s="173"/>
      <c r="R1006" s="173"/>
      <c r="S1006" s="173"/>
      <c r="T1006" s="173"/>
      <c r="U1006" s="173"/>
      <c r="V1006" s="173"/>
      <c r="W1006" s="173"/>
      <c r="X1006" s="173"/>
      <c r="Y1006" s="173"/>
      <c r="Z1006" s="173"/>
      <c r="AA1006" s="173"/>
      <c r="AB1006" s="173"/>
      <c r="AC1006" s="173"/>
      <c r="AD1006" s="173"/>
      <c r="AE1006" s="173"/>
      <c r="AF1006" s="173"/>
      <c r="AG1006" s="173"/>
      <c r="AH1006" s="173"/>
      <c r="AI1006" s="173"/>
      <c r="AJ1006" s="173"/>
      <c r="AK1006" s="173"/>
      <c r="AL1006" s="173"/>
      <c r="AM1006" s="173"/>
      <c r="AN1006" s="173"/>
      <c r="AO1006" s="173"/>
      <c r="AP1006" s="173"/>
      <c r="AQ1006" s="173"/>
      <c r="AR1006" s="173"/>
      <c r="AS1006" s="173"/>
      <c r="AT1006" s="173"/>
      <c r="AU1006" s="173"/>
      <c r="AV1006" s="173"/>
      <c r="AW1006" s="173"/>
      <c r="AX1006" s="173"/>
      <c r="AY1006" s="173"/>
      <c r="AZ1006" s="173"/>
      <c r="BA1006" s="173"/>
      <c r="BB1006" s="173"/>
      <c r="BC1006" s="173"/>
      <c r="BD1006" s="173"/>
      <c r="BE1006" s="173"/>
      <c r="BF1006" s="173"/>
      <c r="BG1006" s="173"/>
      <c r="BH1006" s="173"/>
      <c r="BI1006" s="173"/>
      <c r="BJ1006" s="173"/>
      <c r="BK1006" s="173"/>
      <c r="BL1006" s="173"/>
      <c r="BM1006" s="173"/>
      <c r="BN1006" s="173"/>
      <c r="BO1006" s="173"/>
      <c r="BP1006" s="173"/>
      <c r="BQ1006" s="173"/>
      <c r="BR1006" s="173"/>
      <c r="BS1006" s="173"/>
      <c r="BT1006" s="173"/>
      <c r="BU1006" s="173"/>
      <c r="BV1006" s="173"/>
      <c r="BW1006" s="173"/>
      <c r="BX1006" s="173"/>
      <c r="BY1006" s="173"/>
    </row>
    <row r="1007">
      <c r="A1007" s="173"/>
      <c r="B1007" s="173"/>
      <c r="C1007" s="173"/>
      <c r="D1007" s="173"/>
      <c r="E1007" s="173"/>
      <c r="F1007" s="173"/>
      <c r="G1007" s="173"/>
      <c r="H1007" s="173"/>
      <c r="I1007" s="173"/>
      <c r="J1007" s="173"/>
      <c r="K1007" s="173"/>
      <c r="L1007" s="173"/>
      <c r="M1007" s="173"/>
      <c r="N1007" s="173"/>
      <c r="O1007" s="173"/>
      <c r="P1007" s="173"/>
      <c r="Q1007" s="173"/>
      <c r="R1007" s="173"/>
      <c r="S1007" s="173"/>
      <c r="T1007" s="173"/>
      <c r="U1007" s="173"/>
      <c r="V1007" s="173"/>
      <c r="W1007" s="173"/>
      <c r="X1007" s="173"/>
      <c r="Y1007" s="173"/>
      <c r="Z1007" s="173"/>
      <c r="AA1007" s="173"/>
      <c r="AB1007" s="173"/>
      <c r="AC1007" s="173"/>
      <c r="AD1007" s="173"/>
      <c r="AE1007" s="173"/>
      <c r="AF1007" s="173"/>
      <c r="AG1007" s="173"/>
      <c r="AH1007" s="173"/>
      <c r="AI1007" s="173"/>
      <c r="AJ1007" s="173"/>
      <c r="AK1007" s="173"/>
      <c r="AL1007" s="173"/>
      <c r="AM1007" s="173"/>
      <c r="AN1007" s="173"/>
      <c r="AO1007" s="173"/>
      <c r="AP1007" s="173"/>
      <c r="AQ1007" s="173"/>
      <c r="AR1007" s="173"/>
      <c r="AS1007" s="173"/>
      <c r="AT1007" s="173"/>
      <c r="AU1007" s="173"/>
      <c r="AV1007" s="173"/>
      <c r="AW1007" s="173"/>
      <c r="AX1007" s="173"/>
      <c r="AY1007" s="173"/>
      <c r="AZ1007" s="173"/>
      <c r="BA1007" s="173"/>
      <c r="BB1007" s="173"/>
      <c r="BC1007" s="173"/>
      <c r="BD1007" s="173"/>
      <c r="BE1007" s="173"/>
      <c r="BF1007" s="173"/>
      <c r="BG1007" s="173"/>
      <c r="BH1007" s="173"/>
      <c r="BI1007" s="173"/>
      <c r="BJ1007" s="173"/>
      <c r="BK1007" s="173"/>
      <c r="BL1007" s="173"/>
      <c r="BM1007" s="173"/>
      <c r="BN1007" s="173"/>
      <c r="BO1007" s="173"/>
      <c r="BP1007" s="173"/>
      <c r="BQ1007" s="173"/>
      <c r="BR1007" s="173"/>
      <c r="BS1007" s="173"/>
      <c r="BT1007" s="173"/>
      <c r="BU1007" s="173"/>
      <c r="BV1007" s="173"/>
      <c r="BW1007" s="173"/>
      <c r="BX1007" s="173"/>
      <c r="BY1007" s="173"/>
    </row>
    <row r="1008">
      <c r="A1008" s="173"/>
      <c r="B1008" s="173"/>
      <c r="C1008" s="173"/>
      <c r="D1008" s="173"/>
      <c r="E1008" s="173"/>
      <c r="F1008" s="173"/>
      <c r="G1008" s="173"/>
      <c r="H1008" s="173"/>
      <c r="I1008" s="173"/>
      <c r="J1008" s="173"/>
      <c r="K1008" s="173"/>
      <c r="L1008" s="173"/>
      <c r="M1008" s="173"/>
      <c r="N1008" s="173"/>
      <c r="O1008" s="173"/>
      <c r="P1008" s="173"/>
      <c r="Q1008" s="173"/>
      <c r="R1008" s="173"/>
      <c r="S1008" s="173"/>
      <c r="T1008" s="173"/>
      <c r="U1008" s="173"/>
      <c r="V1008" s="173"/>
      <c r="W1008" s="173"/>
      <c r="X1008" s="173"/>
      <c r="Y1008" s="173"/>
      <c r="Z1008" s="173"/>
      <c r="AA1008" s="173"/>
      <c r="AB1008" s="173"/>
      <c r="AC1008" s="173"/>
      <c r="AD1008" s="173"/>
      <c r="AE1008" s="173"/>
      <c r="AF1008" s="173"/>
      <c r="AG1008" s="173"/>
      <c r="AH1008" s="173"/>
      <c r="AI1008" s="173"/>
      <c r="AJ1008" s="173"/>
      <c r="AK1008" s="173"/>
      <c r="AL1008" s="173"/>
      <c r="AM1008" s="173"/>
      <c r="AN1008" s="173"/>
      <c r="AO1008" s="173"/>
      <c r="AP1008" s="173"/>
      <c r="AQ1008" s="173"/>
      <c r="AR1008" s="173"/>
      <c r="AS1008" s="173"/>
      <c r="AT1008" s="173"/>
      <c r="AU1008" s="173"/>
      <c r="AV1008" s="173"/>
      <c r="AW1008" s="173"/>
      <c r="AX1008" s="173"/>
      <c r="AY1008" s="173"/>
      <c r="AZ1008" s="173"/>
      <c r="BA1008" s="173"/>
      <c r="BB1008" s="173"/>
      <c r="BC1008" s="173"/>
      <c r="BD1008" s="173"/>
      <c r="BE1008" s="173"/>
      <c r="BF1008" s="173"/>
      <c r="BG1008" s="173"/>
      <c r="BH1008" s="173"/>
      <c r="BI1008" s="173"/>
      <c r="BJ1008" s="173"/>
      <c r="BK1008" s="173"/>
      <c r="BL1008" s="173"/>
      <c r="BM1008" s="173"/>
      <c r="BN1008" s="173"/>
      <c r="BO1008" s="173"/>
      <c r="BP1008" s="173"/>
      <c r="BQ1008" s="173"/>
      <c r="BR1008" s="173"/>
      <c r="BS1008" s="173"/>
      <c r="BT1008" s="173"/>
      <c r="BU1008" s="173"/>
      <c r="BV1008" s="173"/>
      <c r="BW1008" s="173"/>
      <c r="BX1008" s="173"/>
      <c r="BY1008" s="173"/>
    </row>
    <row r="1009">
      <c r="A1009" s="173"/>
      <c r="B1009" s="173"/>
      <c r="C1009" s="173"/>
      <c r="D1009" s="173"/>
      <c r="E1009" s="173"/>
      <c r="F1009" s="173"/>
      <c r="G1009" s="173"/>
      <c r="H1009" s="173"/>
      <c r="I1009" s="173"/>
      <c r="J1009" s="173"/>
      <c r="K1009" s="173"/>
      <c r="L1009" s="173"/>
      <c r="M1009" s="173"/>
      <c r="N1009" s="173"/>
      <c r="O1009" s="173"/>
      <c r="P1009" s="173"/>
      <c r="Q1009" s="173"/>
      <c r="R1009" s="173"/>
      <c r="S1009" s="173"/>
      <c r="T1009" s="173"/>
      <c r="U1009" s="173"/>
      <c r="V1009" s="173"/>
      <c r="W1009" s="173"/>
      <c r="X1009" s="173"/>
      <c r="Y1009" s="173"/>
      <c r="Z1009" s="173"/>
      <c r="AA1009" s="173"/>
      <c r="AB1009" s="173"/>
      <c r="AC1009" s="173"/>
      <c r="AD1009" s="173"/>
      <c r="AE1009" s="173"/>
      <c r="AF1009" s="173"/>
      <c r="AG1009" s="173"/>
      <c r="AH1009" s="173"/>
      <c r="AI1009" s="173"/>
      <c r="AJ1009" s="173"/>
      <c r="AK1009" s="173"/>
      <c r="AL1009" s="173"/>
      <c r="AM1009" s="173"/>
      <c r="AN1009" s="173"/>
      <c r="AO1009" s="173"/>
      <c r="AP1009" s="173"/>
      <c r="AQ1009" s="173"/>
      <c r="AR1009" s="173"/>
      <c r="AS1009" s="173"/>
      <c r="AT1009" s="173"/>
      <c r="AU1009" s="173"/>
      <c r="AV1009" s="173"/>
      <c r="AW1009" s="173"/>
      <c r="AX1009" s="173"/>
      <c r="AY1009" s="173"/>
      <c r="AZ1009" s="173"/>
      <c r="BA1009" s="173"/>
      <c r="BB1009" s="173"/>
      <c r="BC1009" s="173"/>
      <c r="BD1009" s="173"/>
      <c r="BE1009" s="173"/>
      <c r="BF1009" s="173"/>
      <c r="BG1009" s="173"/>
      <c r="BH1009" s="173"/>
      <c r="BI1009" s="173"/>
      <c r="BJ1009" s="173"/>
      <c r="BK1009" s="173"/>
      <c r="BL1009" s="173"/>
      <c r="BM1009" s="173"/>
      <c r="BN1009" s="173"/>
      <c r="BO1009" s="173"/>
      <c r="BP1009" s="173"/>
      <c r="BQ1009" s="173"/>
      <c r="BR1009" s="173"/>
      <c r="BS1009" s="173"/>
      <c r="BT1009" s="173"/>
      <c r="BU1009" s="173"/>
      <c r="BV1009" s="173"/>
      <c r="BW1009" s="173"/>
      <c r="BX1009" s="173"/>
      <c r="BY1009" s="173"/>
    </row>
    <row r="1010">
      <c r="A1010" s="173"/>
      <c r="B1010" s="173"/>
      <c r="C1010" s="173"/>
      <c r="D1010" s="173"/>
      <c r="E1010" s="173"/>
      <c r="F1010" s="173"/>
      <c r="G1010" s="173"/>
      <c r="H1010" s="173"/>
      <c r="I1010" s="173"/>
      <c r="J1010" s="173"/>
      <c r="K1010" s="173"/>
      <c r="L1010" s="173"/>
      <c r="M1010" s="173"/>
      <c r="N1010" s="173"/>
      <c r="O1010" s="173"/>
      <c r="P1010" s="173"/>
      <c r="Q1010" s="173"/>
      <c r="R1010" s="173"/>
      <c r="S1010" s="173"/>
      <c r="T1010" s="173"/>
      <c r="U1010" s="173"/>
      <c r="V1010" s="173"/>
      <c r="W1010" s="173"/>
      <c r="X1010" s="173"/>
      <c r="Y1010" s="173"/>
      <c r="Z1010" s="173"/>
      <c r="AA1010" s="173"/>
      <c r="AB1010" s="173"/>
      <c r="AC1010" s="173"/>
      <c r="AD1010" s="173"/>
      <c r="AE1010" s="173"/>
      <c r="AF1010" s="173"/>
      <c r="AG1010" s="173"/>
      <c r="AH1010" s="173"/>
      <c r="AI1010" s="173"/>
      <c r="AJ1010" s="173"/>
      <c r="AK1010" s="173"/>
      <c r="AL1010" s="173"/>
      <c r="AM1010" s="173"/>
      <c r="AN1010" s="173"/>
      <c r="AO1010" s="173"/>
      <c r="AP1010" s="173"/>
      <c r="AQ1010" s="173"/>
      <c r="AR1010" s="173"/>
      <c r="AS1010" s="173"/>
      <c r="AT1010" s="173"/>
      <c r="AU1010" s="173"/>
      <c r="AV1010" s="173"/>
      <c r="AW1010" s="173"/>
      <c r="AX1010" s="173"/>
      <c r="AY1010" s="173"/>
      <c r="AZ1010" s="173"/>
      <c r="BA1010" s="173"/>
      <c r="BB1010" s="173"/>
      <c r="BC1010" s="173"/>
      <c r="BD1010" s="173"/>
      <c r="BE1010" s="173"/>
      <c r="BF1010" s="173"/>
      <c r="BG1010" s="173"/>
      <c r="BH1010" s="173"/>
      <c r="BI1010" s="173"/>
      <c r="BJ1010" s="173"/>
      <c r="BK1010" s="173"/>
      <c r="BL1010" s="173"/>
      <c r="BM1010" s="173"/>
      <c r="BN1010" s="173"/>
      <c r="BO1010" s="173"/>
      <c r="BP1010" s="173"/>
      <c r="BQ1010" s="173"/>
      <c r="BR1010" s="173"/>
      <c r="BS1010" s="173"/>
      <c r="BT1010" s="173"/>
      <c r="BU1010" s="173"/>
      <c r="BV1010" s="173"/>
      <c r="BW1010" s="173"/>
      <c r="BX1010" s="173"/>
      <c r="BY1010" s="173"/>
    </row>
    <row r="1011">
      <c r="A1011" s="173"/>
      <c r="B1011" s="173"/>
      <c r="C1011" s="173"/>
      <c r="D1011" s="173"/>
      <c r="E1011" s="173"/>
      <c r="F1011" s="173"/>
      <c r="G1011" s="173"/>
      <c r="H1011" s="173"/>
      <c r="I1011" s="173"/>
      <c r="J1011" s="173"/>
      <c r="K1011" s="173"/>
      <c r="L1011" s="173"/>
      <c r="M1011" s="173"/>
      <c r="N1011" s="173"/>
      <c r="O1011" s="173"/>
      <c r="P1011" s="173"/>
      <c r="Q1011" s="173"/>
      <c r="R1011" s="173"/>
      <c r="S1011" s="173"/>
      <c r="T1011" s="173"/>
      <c r="U1011" s="173"/>
      <c r="V1011" s="173"/>
      <c r="W1011" s="173"/>
      <c r="X1011" s="173"/>
      <c r="Y1011" s="173"/>
      <c r="Z1011" s="173"/>
      <c r="AA1011" s="173"/>
      <c r="AB1011" s="173"/>
      <c r="AC1011" s="173"/>
      <c r="AD1011" s="173"/>
      <c r="AE1011" s="173"/>
      <c r="AF1011" s="173"/>
      <c r="AG1011" s="173"/>
      <c r="AH1011" s="173"/>
      <c r="AI1011" s="173"/>
      <c r="AJ1011" s="173"/>
      <c r="AK1011" s="173"/>
      <c r="AL1011" s="173"/>
      <c r="AM1011" s="173"/>
      <c r="AN1011" s="173"/>
      <c r="AO1011" s="173"/>
      <c r="AP1011" s="173"/>
      <c r="AQ1011" s="173"/>
      <c r="AR1011" s="173"/>
      <c r="AS1011" s="173"/>
      <c r="AT1011" s="173"/>
      <c r="AU1011" s="173"/>
      <c r="AV1011" s="173"/>
      <c r="AW1011" s="173"/>
      <c r="AX1011" s="173"/>
      <c r="AY1011" s="173"/>
      <c r="AZ1011" s="173"/>
      <c r="BA1011" s="173"/>
      <c r="BB1011" s="173"/>
      <c r="BC1011" s="173"/>
      <c r="BD1011" s="173"/>
      <c r="BE1011" s="173"/>
      <c r="BF1011" s="173"/>
      <c r="BG1011" s="173"/>
      <c r="BH1011" s="173"/>
      <c r="BI1011" s="173"/>
      <c r="BJ1011" s="173"/>
      <c r="BK1011" s="173"/>
      <c r="BL1011" s="173"/>
      <c r="BM1011" s="173"/>
      <c r="BN1011" s="173"/>
      <c r="BO1011" s="173"/>
      <c r="BP1011" s="173"/>
      <c r="BQ1011" s="173"/>
      <c r="BR1011" s="173"/>
      <c r="BS1011" s="173"/>
      <c r="BT1011" s="173"/>
      <c r="BU1011" s="173"/>
      <c r="BV1011" s="173"/>
      <c r="BW1011" s="173"/>
      <c r="BX1011" s="173"/>
      <c r="BY1011" s="173"/>
    </row>
    <row r="1012">
      <c r="A1012" s="173"/>
      <c r="B1012" s="173"/>
      <c r="C1012" s="173"/>
      <c r="D1012" s="173"/>
      <c r="E1012" s="173"/>
      <c r="F1012" s="173"/>
      <c r="G1012" s="173"/>
      <c r="H1012" s="173"/>
      <c r="I1012" s="173"/>
      <c r="J1012" s="173"/>
      <c r="K1012" s="173"/>
      <c r="L1012" s="173"/>
      <c r="M1012" s="173"/>
      <c r="N1012" s="173"/>
      <c r="O1012" s="173"/>
      <c r="P1012" s="173"/>
      <c r="Q1012" s="173"/>
      <c r="R1012" s="173"/>
      <c r="S1012" s="173"/>
      <c r="T1012" s="173"/>
      <c r="U1012" s="173"/>
      <c r="V1012" s="173"/>
      <c r="W1012" s="173"/>
      <c r="X1012" s="173"/>
      <c r="Y1012" s="173"/>
      <c r="Z1012" s="173"/>
      <c r="AA1012" s="173"/>
      <c r="AB1012" s="173"/>
      <c r="AC1012" s="173"/>
      <c r="AD1012" s="173"/>
      <c r="AE1012" s="173"/>
      <c r="AF1012" s="173"/>
      <c r="AG1012" s="173"/>
      <c r="AH1012" s="173"/>
      <c r="AI1012" s="173"/>
      <c r="AJ1012" s="173"/>
      <c r="AK1012" s="173"/>
      <c r="AL1012" s="173"/>
      <c r="AM1012" s="173"/>
      <c r="AN1012" s="173"/>
      <c r="AO1012" s="173"/>
      <c r="AP1012" s="173"/>
      <c r="AQ1012" s="173"/>
      <c r="AR1012" s="173"/>
      <c r="AS1012" s="173"/>
      <c r="AT1012" s="173"/>
      <c r="AU1012" s="173"/>
      <c r="AV1012" s="173"/>
      <c r="AW1012" s="173"/>
      <c r="AX1012" s="173"/>
      <c r="AY1012" s="173"/>
      <c r="AZ1012" s="173"/>
      <c r="BA1012" s="173"/>
      <c r="BB1012" s="173"/>
      <c r="BC1012" s="173"/>
      <c r="BD1012" s="173"/>
      <c r="BE1012" s="173"/>
      <c r="BF1012" s="173"/>
      <c r="BG1012" s="173"/>
      <c r="BH1012" s="173"/>
      <c r="BI1012" s="173"/>
      <c r="BJ1012" s="173"/>
      <c r="BK1012" s="173"/>
      <c r="BL1012" s="173"/>
      <c r="BM1012" s="173"/>
      <c r="BN1012" s="173"/>
      <c r="BO1012" s="173"/>
      <c r="BP1012" s="173"/>
      <c r="BQ1012" s="173"/>
      <c r="BR1012" s="173"/>
      <c r="BS1012" s="173"/>
      <c r="BT1012" s="173"/>
      <c r="BU1012" s="173"/>
      <c r="BV1012" s="173"/>
      <c r="BW1012" s="173"/>
      <c r="BX1012" s="173"/>
      <c r="BY1012" s="173"/>
    </row>
    <row r="1013">
      <c r="A1013" s="173"/>
      <c r="B1013" s="173"/>
      <c r="C1013" s="173"/>
      <c r="D1013" s="173"/>
      <c r="E1013" s="173"/>
      <c r="F1013" s="173"/>
      <c r="G1013" s="173"/>
      <c r="H1013" s="173"/>
      <c r="I1013" s="173"/>
      <c r="J1013" s="173"/>
      <c r="K1013" s="173"/>
      <c r="L1013" s="173"/>
      <c r="M1013" s="173"/>
      <c r="N1013" s="173"/>
      <c r="O1013" s="173"/>
      <c r="P1013" s="173"/>
      <c r="Q1013" s="173"/>
      <c r="R1013" s="173"/>
      <c r="S1013" s="173"/>
      <c r="T1013" s="173"/>
      <c r="U1013" s="173"/>
      <c r="V1013" s="173"/>
      <c r="W1013" s="173"/>
      <c r="X1013" s="173"/>
      <c r="Y1013" s="173"/>
      <c r="Z1013" s="173"/>
      <c r="AA1013" s="173"/>
      <c r="AB1013" s="173"/>
      <c r="AC1013" s="173"/>
      <c r="AD1013" s="173"/>
      <c r="AE1013" s="173"/>
      <c r="AF1013" s="173"/>
      <c r="AG1013" s="173"/>
      <c r="AH1013" s="173"/>
      <c r="AI1013" s="173"/>
      <c r="AJ1013" s="173"/>
      <c r="AK1013" s="173"/>
      <c r="AL1013" s="173"/>
      <c r="AM1013" s="173"/>
      <c r="AN1013" s="173"/>
      <c r="AO1013" s="173"/>
      <c r="AP1013" s="173"/>
      <c r="AQ1013" s="173"/>
      <c r="AR1013" s="173"/>
      <c r="AS1013" s="173"/>
      <c r="AT1013" s="173"/>
      <c r="AU1013" s="173"/>
      <c r="AV1013" s="173"/>
      <c r="AW1013" s="173"/>
      <c r="AX1013" s="173"/>
      <c r="AY1013" s="173"/>
      <c r="AZ1013" s="173"/>
      <c r="BA1013" s="173"/>
      <c r="BB1013" s="173"/>
      <c r="BC1013" s="173"/>
      <c r="BD1013" s="173"/>
      <c r="BE1013" s="173"/>
      <c r="BF1013" s="173"/>
      <c r="BG1013" s="173"/>
      <c r="BH1013" s="173"/>
      <c r="BI1013" s="173"/>
      <c r="BJ1013" s="173"/>
      <c r="BK1013" s="173"/>
      <c r="BL1013" s="173"/>
      <c r="BM1013" s="173"/>
      <c r="BN1013" s="173"/>
      <c r="BO1013" s="173"/>
      <c r="BP1013" s="173"/>
      <c r="BQ1013" s="173"/>
      <c r="BR1013" s="173"/>
      <c r="BS1013" s="173"/>
      <c r="BT1013" s="173"/>
      <c r="BU1013" s="173"/>
      <c r="BV1013" s="173"/>
      <c r="BW1013" s="173"/>
      <c r="BX1013" s="173"/>
      <c r="BY1013" s="173"/>
    </row>
    <row r="1014">
      <c r="A1014" s="173"/>
      <c r="B1014" s="173"/>
      <c r="C1014" s="173"/>
      <c r="D1014" s="173"/>
      <c r="E1014" s="173"/>
      <c r="F1014" s="173"/>
      <c r="G1014" s="173"/>
      <c r="H1014" s="173"/>
      <c r="I1014" s="173"/>
      <c r="J1014" s="173"/>
      <c r="K1014" s="173"/>
      <c r="L1014" s="173"/>
      <c r="M1014" s="173"/>
      <c r="N1014" s="173"/>
      <c r="O1014" s="173"/>
      <c r="P1014" s="173"/>
      <c r="Q1014" s="173"/>
      <c r="R1014" s="173"/>
      <c r="S1014" s="173"/>
      <c r="T1014" s="173"/>
      <c r="U1014" s="173"/>
      <c r="V1014" s="173"/>
      <c r="W1014" s="173"/>
      <c r="X1014" s="173"/>
      <c r="Y1014" s="173"/>
      <c r="Z1014" s="173"/>
      <c r="AA1014" s="173"/>
      <c r="AB1014" s="173"/>
      <c r="AC1014" s="173"/>
      <c r="AD1014" s="173"/>
      <c r="AE1014" s="173"/>
      <c r="AF1014" s="173"/>
      <c r="AG1014" s="173"/>
      <c r="AH1014" s="173"/>
      <c r="AI1014" s="173"/>
      <c r="AJ1014" s="173"/>
      <c r="AK1014" s="173"/>
      <c r="AL1014" s="173"/>
      <c r="AM1014" s="173"/>
      <c r="AN1014" s="173"/>
      <c r="AO1014" s="173"/>
      <c r="AP1014" s="173"/>
      <c r="AQ1014" s="173"/>
      <c r="AR1014" s="173"/>
      <c r="AS1014" s="173"/>
      <c r="AT1014" s="173"/>
      <c r="AU1014" s="173"/>
      <c r="AV1014" s="173"/>
      <c r="AW1014" s="173"/>
      <c r="AX1014" s="173"/>
      <c r="AY1014" s="173"/>
      <c r="AZ1014" s="173"/>
      <c r="BA1014" s="173"/>
      <c r="BB1014" s="173"/>
      <c r="BC1014" s="173"/>
      <c r="BD1014" s="173"/>
      <c r="BE1014" s="173"/>
      <c r="BF1014" s="173"/>
      <c r="BG1014" s="173"/>
      <c r="BH1014" s="173"/>
      <c r="BI1014" s="173"/>
      <c r="BJ1014" s="173"/>
      <c r="BK1014" s="173"/>
      <c r="BL1014" s="173"/>
      <c r="BM1014" s="173"/>
      <c r="BN1014" s="173"/>
      <c r="BO1014" s="173"/>
      <c r="BP1014" s="173"/>
      <c r="BQ1014" s="173"/>
      <c r="BR1014" s="173"/>
      <c r="BS1014" s="173"/>
      <c r="BT1014" s="173"/>
      <c r="BU1014" s="173"/>
      <c r="BV1014" s="173"/>
      <c r="BW1014" s="173"/>
      <c r="BX1014" s="173"/>
      <c r="BY1014" s="173"/>
    </row>
    <row r="1015">
      <c r="A1015" s="173"/>
      <c r="B1015" s="173"/>
      <c r="C1015" s="173"/>
      <c r="D1015" s="173"/>
      <c r="E1015" s="173"/>
      <c r="F1015" s="173"/>
      <c r="G1015" s="173"/>
      <c r="H1015" s="173"/>
      <c r="I1015" s="173"/>
      <c r="J1015" s="173"/>
      <c r="K1015" s="173"/>
      <c r="L1015" s="173"/>
      <c r="M1015" s="173"/>
      <c r="N1015" s="173"/>
      <c r="O1015" s="173"/>
      <c r="P1015" s="173"/>
      <c r="Q1015" s="173"/>
      <c r="R1015" s="173"/>
      <c r="S1015" s="173"/>
      <c r="T1015" s="173"/>
      <c r="U1015" s="173"/>
      <c r="V1015" s="173"/>
      <c r="W1015" s="173"/>
      <c r="X1015" s="173"/>
      <c r="Y1015" s="173"/>
      <c r="Z1015" s="173"/>
      <c r="AA1015" s="173"/>
      <c r="AB1015" s="173"/>
      <c r="AC1015" s="173"/>
      <c r="AD1015" s="173"/>
      <c r="AE1015" s="173"/>
      <c r="AF1015" s="173"/>
      <c r="AG1015" s="173"/>
      <c r="AH1015" s="173"/>
      <c r="AI1015" s="173"/>
      <c r="AJ1015" s="173"/>
      <c r="AK1015" s="173"/>
      <c r="AL1015" s="173"/>
      <c r="AM1015" s="173"/>
      <c r="AN1015" s="173"/>
      <c r="AO1015" s="173"/>
      <c r="AP1015" s="173"/>
      <c r="AQ1015" s="173"/>
      <c r="AR1015" s="173"/>
      <c r="AS1015" s="173"/>
      <c r="AT1015" s="173"/>
      <c r="AU1015" s="173"/>
      <c r="AV1015" s="173"/>
      <c r="AW1015" s="173"/>
      <c r="AX1015" s="173"/>
      <c r="AY1015" s="173"/>
      <c r="AZ1015" s="173"/>
      <c r="BA1015" s="173"/>
      <c r="BB1015" s="173"/>
      <c r="BC1015" s="173"/>
      <c r="BD1015" s="173"/>
      <c r="BE1015" s="173"/>
      <c r="BF1015" s="173"/>
      <c r="BG1015" s="173"/>
      <c r="BH1015" s="173"/>
      <c r="BI1015" s="173"/>
      <c r="BJ1015" s="173"/>
      <c r="BK1015" s="173"/>
      <c r="BL1015" s="173"/>
      <c r="BM1015" s="173"/>
      <c r="BN1015" s="173"/>
      <c r="BO1015" s="173"/>
      <c r="BP1015" s="173"/>
      <c r="BQ1015" s="173"/>
      <c r="BR1015" s="173"/>
      <c r="BS1015" s="173"/>
      <c r="BT1015" s="173"/>
      <c r="BU1015" s="173"/>
      <c r="BV1015" s="173"/>
      <c r="BW1015" s="173"/>
      <c r="BX1015" s="173"/>
      <c r="BY1015" s="173"/>
    </row>
    <row r="1016">
      <c r="A1016" s="173"/>
      <c r="B1016" s="173"/>
      <c r="C1016" s="173"/>
      <c r="D1016" s="173"/>
      <c r="E1016" s="173"/>
      <c r="F1016" s="173"/>
      <c r="G1016" s="173"/>
      <c r="H1016" s="173"/>
      <c r="I1016" s="173"/>
      <c r="J1016" s="173"/>
      <c r="K1016" s="173"/>
      <c r="L1016" s="173"/>
      <c r="M1016" s="173"/>
      <c r="N1016" s="173"/>
      <c r="O1016" s="173"/>
      <c r="P1016" s="173"/>
      <c r="Q1016" s="173"/>
      <c r="R1016" s="173"/>
      <c r="S1016" s="173"/>
      <c r="T1016" s="173"/>
      <c r="U1016" s="173"/>
      <c r="V1016" s="173"/>
      <c r="W1016" s="173"/>
      <c r="X1016" s="173"/>
      <c r="Y1016" s="173"/>
      <c r="Z1016" s="173"/>
      <c r="AA1016" s="173"/>
      <c r="AB1016" s="173"/>
      <c r="AC1016" s="173"/>
      <c r="AD1016" s="173"/>
      <c r="AE1016" s="173"/>
      <c r="AF1016" s="173"/>
      <c r="AG1016" s="173"/>
      <c r="AH1016" s="173"/>
      <c r="AI1016" s="173"/>
      <c r="AJ1016" s="173"/>
      <c r="AK1016" s="173"/>
      <c r="AL1016" s="173"/>
      <c r="AM1016" s="173"/>
      <c r="AN1016" s="173"/>
      <c r="AO1016" s="173"/>
      <c r="AP1016" s="173"/>
      <c r="AQ1016" s="173"/>
      <c r="AR1016" s="173"/>
      <c r="AS1016" s="173"/>
      <c r="AT1016" s="173"/>
      <c r="AU1016" s="173"/>
      <c r="AV1016" s="173"/>
      <c r="AW1016" s="173"/>
      <c r="AX1016" s="173"/>
      <c r="AY1016" s="173"/>
      <c r="AZ1016" s="173"/>
      <c r="BA1016" s="173"/>
      <c r="BB1016" s="173"/>
      <c r="BC1016" s="173"/>
      <c r="BD1016" s="173"/>
      <c r="BE1016" s="173"/>
      <c r="BF1016" s="173"/>
      <c r="BG1016" s="173"/>
      <c r="BH1016" s="173"/>
      <c r="BI1016" s="173"/>
      <c r="BJ1016" s="173"/>
      <c r="BK1016" s="173"/>
      <c r="BL1016" s="173"/>
      <c r="BM1016" s="173"/>
      <c r="BN1016" s="173"/>
      <c r="BO1016" s="173"/>
      <c r="BP1016" s="173"/>
      <c r="BQ1016" s="173"/>
      <c r="BR1016" s="173"/>
      <c r="BS1016" s="173"/>
      <c r="BT1016" s="173"/>
      <c r="BU1016" s="173"/>
      <c r="BV1016" s="173"/>
      <c r="BW1016" s="173"/>
      <c r="BX1016" s="173"/>
      <c r="BY1016" s="173"/>
    </row>
    <row r="1017">
      <c r="A1017" s="173"/>
      <c r="B1017" s="173"/>
      <c r="C1017" s="173"/>
      <c r="D1017" s="173"/>
      <c r="E1017" s="173"/>
      <c r="F1017" s="173"/>
      <c r="G1017" s="173"/>
      <c r="H1017" s="173"/>
      <c r="I1017" s="173"/>
      <c r="J1017" s="173"/>
      <c r="K1017" s="173"/>
      <c r="L1017" s="173"/>
      <c r="M1017" s="173"/>
      <c r="N1017" s="173"/>
      <c r="O1017" s="173"/>
      <c r="P1017" s="173"/>
      <c r="Q1017" s="173"/>
      <c r="R1017" s="173"/>
      <c r="S1017" s="173"/>
      <c r="T1017" s="173"/>
      <c r="U1017" s="173"/>
      <c r="V1017" s="173"/>
      <c r="W1017" s="173"/>
      <c r="X1017" s="173"/>
      <c r="Y1017" s="173"/>
      <c r="Z1017" s="173"/>
      <c r="AA1017" s="173"/>
      <c r="AB1017" s="173"/>
      <c r="AC1017" s="173"/>
      <c r="AD1017" s="173"/>
      <c r="AE1017" s="173"/>
      <c r="AF1017" s="173"/>
      <c r="AG1017" s="173"/>
      <c r="AH1017" s="173"/>
      <c r="AI1017" s="173"/>
      <c r="AJ1017" s="173"/>
      <c r="AK1017" s="173"/>
      <c r="AL1017" s="173"/>
      <c r="AM1017" s="173"/>
      <c r="AN1017" s="173"/>
      <c r="AO1017" s="173"/>
      <c r="AP1017" s="173"/>
      <c r="AQ1017" s="173"/>
      <c r="AR1017" s="173"/>
      <c r="AS1017" s="173"/>
      <c r="AT1017" s="173"/>
      <c r="AU1017" s="173"/>
      <c r="AV1017" s="173"/>
      <c r="AW1017" s="173"/>
      <c r="AX1017" s="173"/>
      <c r="AY1017" s="173"/>
      <c r="AZ1017" s="173"/>
      <c r="BA1017" s="173"/>
      <c r="BB1017" s="173"/>
      <c r="BC1017" s="173"/>
      <c r="BD1017" s="173"/>
      <c r="BE1017" s="173"/>
      <c r="BF1017" s="173"/>
      <c r="BG1017" s="173"/>
      <c r="BH1017" s="173"/>
      <c r="BI1017" s="173"/>
      <c r="BJ1017" s="173"/>
      <c r="BK1017" s="173"/>
      <c r="BL1017" s="173"/>
      <c r="BM1017" s="173"/>
      <c r="BN1017" s="173"/>
      <c r="BO1017" s="173"/>
      <c r="BP1017" s="173"/>
      <c r="BQ1017" s="173"/>
      <c r="BR1017" s="173"/>
      <c r="BS1017" s="173"/>
      <c r="BT1017" s="173"/>
      <c r="BU1017" s="173"/>
      <c r="BV1017" s="173"/>
      <c r="BW1017" s="173"/>
      <c r="BX1017" s="173"/>
      <c r="BY1017" s="173"/>
    </row>
    <row r="1018">
      <c r="A1018" s="173"/>
      <c r="B1018" s="173"/>
      <c r="C1018" s="173"/>
      <c r="D1018" s="173"/>
      <c r="E1018" s="173"/>
      <c r="F1018" s="173"/>
      <c r="G1018" s="173"/>
      <c r="H1018" s="173"/>
      <c r="I1018" s="173"/>
      <c r="J1018" s="173"/>
      <c r="K1018" s="173"/>
      <c r="L1018" s="173"/>
      <c r="M1018" s="173"/>
      <c r="N1018" s="173"/>
      <c r="O1018" s="173"/>
      <c r="P1018" s="173"/>
      <c r="Q1018" s="173"/>
      <c r="R1018" s="173"/>
      <c r="S1018" s="173"/>
      <c r="T1018" s="173"/>
      <c r="U1018" s="173"/>
      <c r="V1018" s="173"/>
      <c r="W1018" s="173"/>
      <c r="X1018" s="173"/>
      <c r="Y1018" s="173"/>
      <c r="Z1018" s="173"/>
      <c r="AA1018" s="173"/>
      <c r="AB1018" s="173"/>
      <c r="AC1018" s="173"/>
      <c r="AD1018" s="173"/>
      <c r="AE1018" s="173"/>
      <c r="AF1018" s="173"/>
      <c r="AG1018" s="173"/>
      <c r="AH1018" s="173"/>
      <c r="AI1018" s="173"/>
      <c r="AJ1018" s="173"/>
      <c r="AK1018" s="173"/>
      <c r="AL1018" s="173"/>
      <c r="AM1018" s="173"/>
      <c r="AN1018" s="173"/>
      <c r="AO1018" s="173"/>
      <c r="AP1018" s="173"/>
      <c r="AQ1018" s="173"/>
      <c r="AR1018" s="173"/>
      <c r="AS1018" s="173"/>
      <c r="AT1018" s="173"/>
      <c r="AU1018" s="173"/>
      <c r="AV1018" s="173"/>
      <c r="AW1018" s="173"/>
      <c r="AX1018" s="173"/>
      <c r="AY1018" s="173"/>
      <c r="AZ1018" s="173"/>
      <c r="BA1018" s="173"/>
      <c r="BB1018" s="173"/>
      <c r="BC1018" s="173"/>
      <c r="BD1018" s="173"/>
      <c r="BE1018" s="173"/>
      <c r="BF1018" s="173"/>
      <c r="BG1018" s="173"/>
      <c r="BH1018" s="173"/>
      <c r="BI1018" s="173"/>
      <c r="BJ1018" s="173"/>
      <c r="BK1018" s="173"/>
      <c r="BL1018" s="173"/>
      <c r="BM1018" s="173"/>
      <c r="BN1018" s="173"/>
      <c r="BO1018" s="173"/>
      <c r="BP1018" s="173"/>
      <c r="BQ1018" s="173"/>
      <c r="BR1018" s="173"/>
      <c r="BS1018" s="173"/>
      <c r="BT1018" s="173"/>
      <c r="BU1018" s="173"/>
      <c r="BV1018" s="173"/>
      <c r="BW1018" s="173"/>
      <c r="BX1018" s="173"/>
      <c r="BY1018" s="173"/>
    </row>
    <row r="1019">
      <c r="A1019" s="173"/>
      <c r="B1019" s="173"/>
      <c r="C1019" s="173"/>
      <c r="D1019" s="173"/>
      <c r="E1019" s="173"/>
      <c r="F1019" s="173"/>
      <c r="G1019" s="173"/>
      <c r="H1019" s="173"/>
      <c r="I1019" s="173"/>
      <c r="J1019" s="173"/>
      <c r="K1019" s="173"/>
      <c r="L1019" s="173"/>
      <c r="M1019" s="173"/>
      <c r="N1019" s="173"/>
      <c r="O1019" s="173"/>
      <c r="P1019" s="173"/>
      <c r="Q1019" s="173"/>
      <c r="R1019" s="173"/>
      <c r="S1019" s="173"/>
      <c r="T1019" s="173"/>
      <c r="U1019" s="173"/>
      <c r="V1019" s="173"/>
      <c r="W1019" s="173"/>
      <c r="X1019" s="173"/>
      <c r="Y1019" s="173"/>
      <c r="Z1019" s="173"/>
      <c r="AA1019" s="173"/>
      <c r="AB1019" s="173"/>
      <c r="AC1019" s="173"/>
      <c r="AD1019" s="173"/>
      <c r="AE1019" s="173"/>
      <c r="AF1019" s="173"/>
      <c r="AG1019" s="173"/>
      <c r="AH1019" s="173"/>
      <c r="AI1019" s="173"/>
      <c r="AJ1019" s="173"/>
      <c r="AK1019" s="173"/>
      <c r="AL1019" s="173"/>
      <c r="AM1019" s="173"/>
      <c r="AN1019" s="173"/>
      <c r="AO1019" s="173"/>
      <c r="AP1019" s="173"/>
      <c r="AQ1019" s="173"/>
      <c r="AR1019" s="173"/>
      <c r="AS1019" s="173"/>
      <c r="AT1019" s="173"/>
      <c r="AU1019" s="173"/>
      <c r="AV1019" s="173"/>
      <c r="AW1019" s="173"/>
      <c r="AX1019" s="173"/>
      <c r="AY1019" s="173"/>
      <c r="AZ1019" s="173"/>
      <c r="BA1019" s="173"/>
      <c r="BB1019" s="173"/>
      <c r="BC1019" s="173"/>
      <c r="BD1019" s="173"/>
      <c r="BE1019" s="173"/>
      <c r="BF1019" s="173"/>
      <c r="BG1019" s="173"/>
      <c r="BH1019" s="173"/>
      <c r="BI1019" s="173"/>
      <c r="BJ1019" s="173"/>
      <c r="BK1019" s="173"/>
      <c r="BL1019" s="173"/>
      <c r="BM1019" s="173"/>
      <c r="BN1019" s="173"/>
      <c r="BO1019" s="173"/>
      <c r="BP1019" s="173"/>
      <c r="BQ1019" s="173"/>
      <c r="BR1019" s="173"/>
      <c r="BS1019" s="173"/>
      <c r="BT1019" s="173"/>
      <c r="BU1019" s="173"/>
      <c r="BV1019" s="173"/>
      <c r="BW1019" s="173"/>
      <c r="BX1019" s="173"/>
      <c r="BY1019" s="173"/>
    </row>
    <row r="1020">
      <c r="A1020" s="173"/>
      <c r="B1020" s="173"/>
      <c r="C1020" s="173"/>
      <c r="D1020" s="173"/>
      <c r="E1020" s="173"/>
      <c r="F1020" s="173"/>
      <c r="G1020" s="173"/>
      <c r="H1020" s="173"/>
      <c r="I1020" s="173"/>
      <c r="J1020" s="173"/>
      <c r="K1020" s="173"/>
      <c r="L1020" s="173"/>
      <c r="M1020" s="173"/>
      <c r="N1020" s="173"/>
      <c r="O1020" s="173"/>
      <c r="P1020" s="173"/>
      <c r="Q1020" s="173"/>
      <c r="R1020" s="173"/>
      <c r="S1020" s="173"/>
      <c r="T1020" s="173"/>
      <c r="U1020" s="173"/>
      <c r="V1020" s="173"/>
      <c r="W1020" s="173"/>
      <c r="X1020" s="173"/>
      <c r="Y1020" s="173"/>
      <c r="Z1020" s="173"/>
      <c r="AA1020" s="173"/>
      <c r="AB1020" s="173"/>
      <c r="AC1020" s="173"/>
      <c r="AD1020" s="173"/>
      <c r="AE1020" s="173"/>
      <c r="AF1020" s="173"/>
      <c r="AG1020" s="173"/>
      <c r="AH1020" s="173"/>
      <c r="AI1020" s="173"/>
      <c r="AJ1020" s="173"/>
      <c r="AK1020" s="173"/>
      <c r="AL1020" s="173"/>
      <c r="AM1020" s="173"/>
      <c r="AN1020" s="173"/>
      <c r="AO1020" s="173"/>
      <c r="AP1020" s="173"/>
      <c r="AQ1020" s="173"/>
      <c r="AR1020" s="173"/>
      <c r="AS1020" s="173"/>
      <c r="AT1020" s="173"/>
      <c r="AU1020" s="173"/>
      <c r="AV1020" s="173"/>
      <c r="AW1020" s="173"/>
      <c r="AX1020" s="173"/>
      <c r="AY1020" s="173"/>
      <c r="AZ1020" s="173"/>
      <c r="BA1020" s="173"/>
      <c r="BB1020" s="173"/>
      <c r="BC1020" s="173"/>
      <c r="BD1020" s="173"/>
      <c r="BE1020" s="173"/>
      <c r="BF1020" s="173"/>
      <c r="BG1020" s="173"/>
      <c r="BH1020" s="173"/>
      <c r="BI1020" s="173"/>
      <c r="BJ1020" s="173"/>
      <c r="BK1020" s="173"/>
      <c r="BL1020" s="173"/>
      <c r="BM1020" s="173"/>
      <c r="BN1020" s="173"/>
      <c r="BO1020" s="173"/>
      <c r="BP1020" s="173"/>
      <c r="BQ1020" s="173"/>
      <c r="BR1020" s="173"/>
      <c r="BS1020" s="173"/>
      <c r="BT1020" s="173"/>
      <c r="BU1020" s="173"/>
      <c r="BV1020" s="173"/>
      <c r="BW1020" s="173"/>
      <c r="BX1020" s="173"/>
      <c r="BY1020" s="173"/>
    </row>
    <row r="1021">
      <c r="A1021" s="173"/>
      <c r="B1021" s="173"/>
      <c r="C1021" s="173"/>
      <c r="D1021" s="173"/>
      <c r="E1021" s="173"/>
      <c r="F1021" s="173"/>
      <c r="G1021" s="173"/>
      <c r="H1021" s="173"/>
      <c r="I1021" s="173"/>
      <c r="J1021" s="173"/>
      <c r="K1021" s="173"/>
      <c r="L1021" s="173"/>
      <c r="M1021" s="173"/>
      <c r="N1021" s="173"/>
      <c r="O1021" s="173"/>
      <c r="P1021" s="173"/>
      <c r="Q1021" s="173"/>
      <c r="R1021" s="173"/>
      <c r="S1021" s="173"/>
      <c r="T1021" s="173"/>
      <c r="U1021" s="173"/>
      <c r="V1021" s="173"/>
      <c r="W1021" s="173"/>
      <c r="X1021" s="173"/>
      <c r="Y1021" s="173"/>
      <c r="Z1021" s="173"/>
      <c r="AA1021" s="173"/>
      <c r="AB1021" s="173"/>
      <c r="AC1021" s="173"/>
      <c r="AD1021" s="173"/>
      <c r="AE1021" s="173"/>
      <c r="AF1021" s="173"/>
      <c r="AG1021" s="173"/>
      <c r="AH1021" s="173"/>
      <c r="AI1021" s="173"/>
      <c r="AJ1021" s="173"/>
      <c r="AK1021" s="173"/>
      <c r="AL1021" s="173"/>
      <c r="AM1021" s="173"/>
      <c r="AN1021" s="173"/>
      <c r="AO1021" s="173"/>
      <c r="AP1021" s="173"/>
      <c r="AQ1021" s="173"/>
      <c r="AR1021" s="173"/>
      <c r="AS1021" s="173"/>
      <c r="AT1021" s="173"/>
      <c r="AU1021" s="173"/>
      <c r="AV1021" s="173"/>
      <c r="AW1021" s="173"/>
      <c r="AX1021" s="173"/>
      <c r="AY1021" s="173"/>
      <c r="AZ1021" s="173"/>
      <c r="BA1021" s="173"/>
      <c r="BB1021" s="173"/>
      <c r="BC1021" s="173"/>
      <c r="BD1021" s="173"/>
      <c r="BE1021" s="173"/>
      <c r="BF1021" s="173"/>
      <c r="BG1021" s="173"/>
      <c r="BH1021" s="173"/>
      <c r="BI1021" s="173"/>
      <c r="BJ1021" s="173"/>
      <c r="BK1021" s="173"/>
      <c r="BL1021" s="173"/>
      <c r="BM1021" s="173"/>
      <c r="BN1021" s="173"/>
      <c r="BO1021" s="173"/>
      <c r="BP1021" s="173"/>
      <c r="BQ1021" s="173"/>
      <c r="BR1021" s="173"/>
      <c r="BS1021" s="173"/>
      <c r="BT1021" s="173"/>
      <c r="BU1021" s="173"/>
      <c r="BV1021" s="173"/>
      <c r="BW1021" s="173"/>
      <c r="BX1021" s="173"/>
      <c r="BY1021" s="173"/>
    </row>
    <row r="1022">
      <c r="A1022" s="173"/>
      <c r="B1022" s="173"/>
      <c r="C1022" s="173"/>
      <c r="D1022" s="173"/>
      <c r="E1022" s="173"/>
      <c r="F1022" s="173"/>
      <c r="G1022" s="173"/>
      <c r="H1022" s="173"/>
      <c r="I1022" s="173"/>
      <c r="J1022" s="173"/>
      <c r="K1022" s="173"/>
      <c r="L1022" s="173"/>
      <c r="M1022" s="173"/>
      <c r="N1022" s="173"/>
      <c r="O1022" s="173"/>
      <c r="P1022" s="173"/>
      <c r="Q1022" s="173"/>
      <c r="R1022" s="173"/>
      <c r="S1022" s="173"/>
      <c r="T1022" s="173"/>
      <c r="U1022" s="173"/>
      <c r="V1022" s="173"/>
      <c r="W1022" s="173"/>
      <c r="X1022" s="173"/>
      <c r="Y1022" s="173"/>
      <c r="Z1022" s="173"/>
      <c r="AA1022" s="173"/>
      <c r="AB1022" s="173"/>
      <c r="AC1022" s="173"/>
      <c r="AD1022" s="173"/>
      <c r="AE1022" s="173"/>
      <c r="AF1022" s="173"/>
      <c r="AG1022" s="173"/>
      <c r="AH1022" s="173"/>
      <c r="AI1022" s="173"/>
      <c r="AJ1022" s="173"/>
      <c r="AK1022" s="173"/>
      <c r="AL1022" s="173"/>
      <c r="AM1022" s="173"/>
      <c r="AN1022" s="173"/>
      <c r="AO1022" s="173"/>
      <c r="AP1022" s="173"/>
      <c r="AQ1022" s="173"/>
      <c r="AR1022" s="173"/>
      <c r="AS1022" s="173"/>
      <c r="AT1022" s="173"/>
      <c r="AU1022" s="173"/>
      <c r="AV1022" s="173"/>
      <c r="AW1022" s="173"/>
      <c r="AX1022" s="173"/>
      <c r="AY1022" s="173"/>
      <c r="AZ1022" s="173"/>
      <c r="BA1022" s="173"/>
      <c r="BB1022" s="173"/>
      <c r="BC1022" s="173"/>
      <c r="BD1022" s="173"/>
      <c r="BE1022" s="173"/>
      <c r="BF1022" s="173"/>
      <c r="BG1022" s="173"/>
      <c r="BH1022" s="173"/>
      <c r="BI1022" s="173"/>
      <c r="BJ1022" s="173"/>
      <c r="BK1022" s="173"/>
      <c r="BL1022" s="173"/>
      <c r="BM1022" s="173"/>
      <c r="BN1022" s="173"/>
      <c r="BO1022" s="173"/>
      <c r="BP1022" s="173"/>
      <c r="BQ1022" s="173"/>
      <c r="BR1022" s="173"/>
      <c r="BS1022" s="173"/>
      <c r="BT1022" s="173"/>
      <c r="BU1022" s="173"/>
      <c r="BV1022" s="173"/>
      <c r="BW1022" s="173"/>
      <c r="BX1022" s="173"/>
      <c r="BY1022" s="173"/>
    </row>
    <row r="1023">
      <c r="A1023" s="173"/>
      <c r="B1023" s="173"/>
      <c r="C1023" s="173"/>
      <c r="D1023" s="173"/>
      <c r="E1023" s="173"/>
      <c r="F1023" s="173"/>
      <c r="G1023" s="173"/>
      <c r="H1023" s="173"/>
      <c r="I1023" s="173"/>
      <c r="J1023" s="173"/>
      <c r="K1023" s="173"/>
      <c r="L1023" s="173"/>
      <c r="M1023" s="173"/>
      <c r="N1023" s="173"/>
      <c r="O1023" s="173"/>
      <c r="P1023" s="173"/>
      <c r="Q1023" s="173"/>
      <c r="R1023" s="173"/>
      <c r="S1023" s="173"/>
      <c r="T1023" s="173"/>
      <c r="U1023" s="173"/>
      <c r="V1023" s="173"/>
      <c r="W1023" s="173"/>
      <c r="X1023" s="173"/>
      <c r="Y1023" s="173"/>
      <c r="Z1023" s="173"/>
      <c r="AA1023" s="173"/>
      <c r="AB1023" s="173"/>
      <c r="AC1023" s="173"/>
      <c r="AD1023" s="173"/>
      <c r="AE1023" s="173"/>
      <c r="AF1023" s="173"/>
      <c r="AG1023" s="173"/>
      <c r="AH1023" s="173"/>
      <c r="AI1023" s="173"/>
      <c r="AJ1023" s="173"/>
      <c r="AK1023" s="173"/>
      <c r="AL1023" s="173"/>
      <c r="AM1023" s="173"/>
      <c r="AN1023" s="173"/>
      <c r="AO1023" s="173"/>
      <c r="AP1023" s="173"/>
      <c r="AQ1023" s="173"/>
      <c r="AR1023" s="173"/>
      <c r="AS1023" s="173"/>
      <c r="AT1023" s="173"/>
      <c r="AU1023" s="173"/>
      <c r="AV1023" s="173"/>
      <c r="AW1023" s="173"/>
      <c r="AX1023" s="173"/>
      <c r="AY1023" s="173"/>
      <c r="AZ1023" s="173"/>
      <c r="BA1023" s="173"/>
      <c r="BB1023" s="173"/>
      <c r="BC1023" s="173"/>
      <c r="BD1023" s="173"/>
      <c r="BE1023" s="173"/>
      <c r="BF1023" s="173"/>
      <c r="BG1023" s="173"/>
      <c r="BH1023" s="173"/>
      <c r="BI1023" s="173"/>
      <c r="BJ1023" s="173"/>
      <c r="BK1023" s="173"/>
      <c r="BL1023" s="173"/>
      <c r="BM1023" s="173"/>
      <c r="BN1023" s="173"/>
      <c r="BO1023" s="173"/>
      <c r="BP1023" s="173"/>
      <c r="BQ1023" s="173"/>
      <c r="BR1023" s="173"/>
      <c r="BS1023" s="173"/>
      <c r="BT1023" s="173"/>
      <c r="BU1023" s="173"/>
      <c r="BV1023" s="173"/>
      <c r="BW1023" s="173"/>
      <c r="BX1023" s="173"/>
      <c r="BY1023" s="173"/>
    </row>
    <row r="1024">
      <c r="A1024" s="173"/>
      <c r="B1024" s="173"/>
      <c r="C1024" s="173"/>
      <c r="D1024" s="173"/>
      <c r="E1024" s="173"/>
      <c r="F1024" s="173"/>
      <c r="G1024" s="173"/>
      <c r="H1024" s="173"/>
      <c r="I1024" s="173"/>
      <c r="J1024" s="173"/>
      <c r="K1024" s="173"/>
      <c r="L1024" s="173"/>
      <c r="M1024" s="173"/>
      <c r="N1024" s="173"/>
      <c r="O1024" s="173"/>
      <c r="P1024" s="173"/>
      <c r="Q1024" s="173"/>
      <c r="R1024" s="173"/>
      <c r="S1024" s="173"/>
      <c r="T1024" s="173"/>
      <c r="U1024" s="173"/>
      <c r="V1024" s="173"/>
      <c r="W1024" s="173"/>
      <c r="X1024" s="173"/>
      <c r="Y1024" s="173"/>
      <c r="Z1024" s="173"/>
      <c r="AA1024" s="173"/>
      <c r="AB1024" s="173"/>
      <c r="AC1024" s="173"/>
      <c r="AD1024" s="173"/>
      <c r="AE1024" s="173"/>
      <c r="AF1024" s="173"/>
      <c r="AG1024" s="173"/>
      <c r="AH1024" s="173"/>
      <c r="AI1024" s="173"/>
      <c r="AJ1024" s="173"/>
      <c r="AK1024" s="173"/>
      <c r="AL1024" s="173"/>
      <c r="AM1024" s="173"/>
      <c r="AN1024" s="173"/>
      <c r="AO1024" s="173"/>
      <c r="AP1024" s="173"/>
      <c r="AQ1024" s="173"/>
      <c r="AR1024" s="173"/>
      <c r="AS1024" s="173"/>
      <c r="AT1024" s="173"/>
      <c r="AU1024" s="173"/>
      <c r="AV1024" s="173"/>
      <c r="AW1024" s="173"/>
      <c r="AX1024" s="173"/>
      <c r="AY1024" s="173"/>
      <c r="AZ1024" s="173"/>
      <c r="BA1024" s="173"/>
      <c r="BB1024" s="173"/>
      <c r="BC1024" s="173"/>
      <c r="BD1024" s="173"/>
      <c r="BE1024" s="173"/>
      <c r="BF1024" s="173"/>
      <c r="BG1024" s="173"/>
      <c r="BH1024" s="173"/>
      <c r="BI1024" s="173"/>
      <c r="BJ1024" s="173"/>
      <c r="BK1024" s="173"/>
      <c r="BL1024" s="173"/>
      <c r="BM1024" s="173"/>
      <c r="BN1024" s="173"/>
      <c r="BO1024" s="173"/>
      <c r="BP1024" s="173"/>
      <c r="BQ1024" s="173"/>
      <c r="BR1024" s="173"/>
      <c r="BS1024" s="173"/>
      <c r="BT1024" s="173"/>
      <c r="BU1024" s="173"/>
      <c r="BV1024" s="173"/>
      <c r="BW1024" s="173"/>
      <c r="BX1024" s="173"/>
      <c r="BY1024" s="173"/>
    </row>
    <row r="1025">
      <c r="A1025" s="173"/>
      <c r="B1025" s="173"/>
      <c r="C1025" s="173"/>
      <c r="D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  <c r="N1025" s="173"/>
      <c r="O1025" s="173"/>
      <c r="P1025" s="173"/>
      <c r="Q1025" s="173"/>
      <c r="R1025" s="173"/>
      <c r="S1025" s="173"/>
      <c r="T1025" s="173"/>
      <c r="U1025" s="173"/>
      <c r="V1025" s="173"/>
      <c r="W1025" s="173"/>
      <c r="X1025" s="173"/>
      <c r="Y1025" s="173"/>
      <c r="Z1025" s="173"/>
      <c r="AA1025" s="173"/>
      <c r="AB1025" s="173"/>
      <c r="AC1025" s="173"/>
      <c r="AD1025" s="173"/>
      <c r="AE1025" s="173"/>
      <c r="AF1025" s="173"/>
      <c r="AG1025" s="173"/>
      <c r="AH1025" s="173"/>
      <c r="AI1025" s="173"/>
      <c r="AJ1025" s="173"/>
      <c r="AK1025" s="173"/>
      <c r="AL1025" s="173"/>
      <c r="AM1025" s="173"/>
      <c r="AN1025" s="173"/>
      <c r="AO1025" s="173"/>
      <c r="AP1025" s="173"/>
      <c r="AQ1025" s="173"/>
      <c r="AR1025" s="173"/>
      <c r="AS1025" s="173"/>
      <c r="AT1025" s="173"/>
      <c r="AU1025" s="173"/>
      <c r="AV1025" s="173"/>
      <c r="AW1025" s="173"/>
      <c r="AX1025" s="173"/>
      <c r="AY1025" s="173"/>
      <c r="AZ1025" s="173"/>
      <c r="BA1025" s="173"/>
      <c r="BB1025" s="173"/>
      <c r="BC1025" s="173"/>
      <c r="BD1025" s="173"/>
      <c r="BE1025" s="173"/>
      <c r="BF1025" s="173"/>
      <c r="BG1025" s="173"/>
      <c r="BH1025" s="173"/>
      <c r="BI1025" s="173"/>
      <c r="BJ1025" s="173"/>
      <c r="BK1025" s="173"/>
      <c r="BL1025" s="173"/>
      <c r="BM1025" s="173"/>
      <c r="BN1025" s="173"/>
      <c r="BO1025" s="173"/>
      <c r="BP1025" s="173"/>
      <c r="BQ1025" s="173"/>
      <c r="BR1025" s="173"/>
      <c r="BS1025" s="173"/>
      <c r="BT1025" s="173"/>
      <c r="BU1025" s="173"/>
      <c r="BV1025" s="173"/>
      <c r="BW1025" s="173"/>
      <c r="BX1025" s="173"/>
      <c r="BY1025" s="173"/>
    </row>
    <row r="1026">
      <c r="A1026" s="173"/>
      <c r="B1026" s="173"/>
      <c r="C1026" s="173"/>
      <c r="D1026" s="173"/>
      <c r="E1026" s="173"/>
      <c r="F1026" s="173"/>
      <c r="G1026" s="173"/>
      <c r="H1026" s="173"/>
      <c r="I1026" s="173"/>
      <c r="J1026" s="173"/>
      <c r="K1026" s="173"/>
      <c r="L1026" s="173"/>
      <c r="M1026" s="173"/>
      <c r="N1026" s="173"/>
      <c r="O1026" s="173"/>
      <c r="P1026" s="173"/>
      <c r="Q1026" s="173"/>
      <c r="R1026" s="173"/>
      <c r="S1026" s="173"/>
      <c r="T1026" s="173"/>
      <c r="U1026" s="173"/>
      <c r="V1026" s="173"/>
      <c r="W1026" s="173"/>
      <c r="X1026" s="173"/>
      <c r="Y1026" s="173"/>
      <c r="Z1026" s="173"/>
      <c r="AA1026" s="173"/>
      <c r="AB1026" s="173"/>
      <c r="AC1026" s="173"/>
      <c r="AD1026" s="173"/>
      <c r="AE1026" s="173"/>
      <c r="AF1026" s="173"/>
      <c r="AG1026" s="173"/>
      <c r="AH1026" s="173"/>
      <c r="AI1026" s="173"/>
      <c r="AJ1026" s="173"/>
      <c r="AK1026" s="173"/>
      <c r="AL1026" s="173"/>
      <c r="AM1026" s="173"/>
      <c r="AN1026" s="173"/>
      <c r="AO1026" s="173"/>
      <c r="AP1026" s="173"/>
      <c r="AQ1026" s="173"/>
      <c r="AR1026" s="173"/>
      <c r="AS1026" s="173"/>
      <c r="AT1026" s="173"/>
      <c r="AU1026" s="173"/>
      <c r="AV1026" s="173"/>
      <c r="AW1026" s="173"/>
      <c r="AX1026" s="173"/>
      <c r="AY1026" s="173"/>
      <c r="AZ1026" s="173"/>
      <c r="BA1026" s="173"/>
      <c r="BB1026" s="173"/>
      <c r="BC1026" s="173"/>
      <c r="BD1026" s="173"/>
      <c r="BE1026" s="173"/>
      <c r="BF1026" s="173"/>
      <c r="BG1026" s="173"/>
      <c r="BH1026" s="173"/>
      <c r="BI1026" s="173"/>
      <c r="BJ1026" s="173"/>
      <c r="BK1026" s="173"/>
      <c r="BL1026" s="173"/>
      <c r="BM1026" s="173"/>
      <c r="BN1026" s="173"/>
      <c r="BO1026" s="173"/>
      <c r="BP1026" s="173"/>
      <c r="BQ1026" s="173"/>
      <c r="BR1026" s="173"/>
      <c r="BS1026" s="173"/>
      <c r="BT1026" s="173"/>
      <c r="BU1026" s="173"/>
      <c r="BV1026" s="173"/>
      <c r="BW1026" s="173"/>
      <c r="BX1026" s="173"/>
      <c r="BY1026" s="173"/>
    </row>
    <row r="1027">
      <c r="A1027" s="173"/>
      <c r="B1027" s="173"/>
      <c r="C1027" s="173"/>
      <c r="D1027" s="173"/>
      <c r="E1027" s="173"/>
      <c r="F1027" s="173"/>
      <c r="G1027" s="173"/>
      <c r="H1027" s="173"/>
      <c r="I1027" s="173"/>
      <c r="J1027" s="173"/>
      <c r="K1027" s="173"/>
      <c r="L1027" s="173"/>
      <c r="M1027" s="173"/>
      <c r="N1027" s="173"/>
      <c r="O1027" s="173"/>
      <c r="P1027" s="173"/>
      <c r="Q1027" s="173"/>
      <c r="R1027" s="173"/>
      <c r="S1027" s="173"/>
      <c r="T1027" s="173"/>
      <c r="U1027" s="173"/>
      <c r="V1027" s="173"/>
      <c r="W1027" s="173"/>
      <c r="X1027" s="173"/>
      <c r="Y1027" s="173"/>
      <c r="Z1027" s="173"/>
      <c r="AA1027" s="173"/>
      <c r="AB1027" s="173"/>
      <c r="AC1027" s="173"/>
      <c r="AD1027" s="173"/>
      <c r="AE1027" s="173"/>
      <c r="AF1027" s="173"/>
      <c r="AG1027" s="173"/>
      <c r="AH1027" s="173"/>
      <c r="AI1027" s="173"/>
      <c r="AJ1027" s="173"/>
      <c r="AK1027" s="173"/>
      <c r="AL1027" s="173"/>
      <c r="AM1027" s="173"/>
      <c r="AN1027" s="173"/>
      <c r="AO1027" s="173"/>
      <c r="AP1027" s="173"/>
      <c r="AQ1027" s="173"/>
      <c r="AR1027" s="173"/>
      <c r="AS1027" s="173"/>
      <c r="AT1027" s="173"/>
      <c r="AU1027" s="173"/>
      <c r="AV1027" s="173"/>
      <c r="AW1027" s="173"/>
      <c r="AX1027" s="173"/>
      <c r="AY1027" s="173"/>
      <c r="AZ1027" s="173"/>
      <c r="BA1027" s="173"/>
      <c r="BB1027" s="173"/>
      <c r="BC1027" s="173"/>
      <c r="BD1027" s="173"/>
      <c r="BE1027" s="173"/>
      <c r="BF1027" s="173"/>
      <c r="BG1027" s="173"/>
      <c r="BH1027" s="173"/>
      <c r="BI1027" s="173"/>
      <c r="BJ1027" s="173"/>
      <c r="BK1027" s="173"/>
      <c r="BL1027" s="173"/>
      <c r="BM1027" s="173"/>
      <c r="BN1027" s="173"/>
      <c r="BO1027" s="173"/>
      <c r="BP1027" s="173"/>
      <c r="BQ1027" s="173"/>
      <c r="BR1027" s="173"/>
      <c r="BS1027" s="173"/>
      <c r="BT1027" s="173"/>
      <c r="BU1027" s="173"/>
      <c r="BV1027" s="173"/>
      <c r="BW1027" s="173"/>
      <c r="BX1027" s="173"/>
      <c r="BY1027" s="173"/>
    </row>
    <row r="1028">
      <c r="A1028" s="173"/>
      <c r="B1028" s="173"/>
      <c r="C1028" s="173"/>
      <c r="D1028" s="173"/>
      <c r="E1028" s="173"/>
      <c r="F1028" s="173"/>
      <c r="G1028" s="173"/>
      <c r="H1028" s="173"/>
      <c r="I1028" s="173"/>
      <c r="J1028" s="173"/>
      <c r="K1028" s="173"/>
      <c r="L1028" s="173"/>
      <c r="M1028" s="173"/>
      <c r="N1028" s="173"/>
      <c r="O1028" s="173"/>
      <c r="P1028" s="173"/>
      <c r="Q1028" s="173"/>
      <c r="R1028" s="173"/>
      <c r="S1028" s="173"/>
      <c r="T1028" s="173"/>
      <c r="U1028" s="173"/>
      <c r="V1028" s="173"/>
      <c r="W1028" s="173"/>
      <c r="X1028" s="173"/>
      <c r="Y1028" s="173"/>
      <c r="Z1028" s="173"/>
      <c r="AA1028" s="173"/>
      <c r="AB1028" s="173"/>
      <c r="AC1028" s="173"/>
      <c r="AD1028" s="173"/>
      <c r="AE1028" s="173"/>
      <c r="AF1028" s="173"/>
      <c r="AG1028" s="173"/>
      <c r="AH1028" s="173"/>
      <c r="AI1028" s="173"/>
      <c r="AJ1028" s="173"/>
      <c r="AK1028" s="173"/>
      <c r="AL1028" s="173"/>
      <c r="AM1028" s="173"/>
      <c r="AN1028" s="173"/>
      <c r="AO1028" s="173"/>
      <c r="AP1028" s="173"/>
      <c r="AQ1028" s="173"/>
      <c r="AR1028" s="173"/>
      <c r="AS1028" s="173"/>
      <c r="AT1028" s="173"/>
      <c r="AU1028" s="173"/>
      <c r="AV1028" s="173"/>
      <c r="AW1028" s="173"/>
      <c r="AX1028" s="173"/>
      <c r="AY1028" s="173"/>
      <c r="AZ1028" s="173"/>
      <c r="BA1028" s="173"/>
      <c r="BB1028" s="173"/>
      <c r="BC1028" s="173"/>
      <c r="BD1028" s="173"/>
      <c r="BE1028" s="173"/>
      <c r="BF1028" s="173"/>
      <c r="BG1028" s="173"/>
      <c r="BH1028" s="173"/>
      <c r="BI1028" s="173"/>
      <c r="BJ1028" s="173"/>
      <c r="BK1028" s="173"/>
      <c r="BL1028" s="173"/>
      <c r="BM1028" s="173"/>
      <c r="BN1028" s="173"/>
      <c r="BO1028" s="173"/>
      <c r="BP1028" s="173"/>
      <c r="BQ1028" s="173"/>
      <c r="BR1028" s="173"/>
      <c r="BS1028" s="173"/>
      <c r="BT1028" s="173"/>
      <c r="BU1028" s="173"/>
      <c r="BV1028" s="173"/>
      <c r="BW1028" s="173"/>
      <c r="BX1028" s="173"/>
      <c r="BY1028" s="173"/>
    </row>
    <row r="1029">
      <c r="A1029" s="173"/>
      <c r="B1029" s="173"/>
      <c r="C1029" s="173"/>
      <c r="D1029" s="173"/>
      <c r="E1029" s="173"/>
      <c r="F1029" s="173"/>
      <c r="G1029" s="173"/>
      <c r="H1029" s="173"/>
      <c r="I1029" s="173"/>
      <c r="J1029" s="173"/>
      <c r="K1029" s="173"/>
      <c r="L1029" s="173"/>
      <c r="M1029" s="173"/>
      <c r="N1029" s="173"/>
      <c r="O1029" s="173"/>
      <c r="P1029" s="173"/>
      <c r="Q1029" s="173"/>
      <c r="R1029" s="173"/>
      <c r="S1029" s="173"/>
      <c r="T1029" s="173"/>
      <c r="U1029" s="173"/>
      <c r="V1029" s="173"/>
      <c r="W1029" s="173"/>
      <c r="X1029" s="173"/>
      <c r="Y1029" s="173"/>
      <c r="Z1029" s="173"/>
      <c r="AA1029" s="173"/>
      <c r="AB1029" s="173"/>
      <c r="AC1029" s="173"/>
      <c r="AD1029" s="173"/>
      <c r="AE1029" s="173"/>
      <c r="AF1029" s="173"/>
      <c r="AG1029" s="173"/>
      <c r="AH1029" s="173"/>
      <c r="AI1029" s="173"/>
      <c r="AJ1029" s="173"/>
      <c r="AK1029" s="173"/>
      <c r="AL1029" s="173"/>
      <c r="AM1029" s="173"/>
      <c r="AN1029" s="173"/>
      <c r="AO1029" s="173"/>
      <c r="AP1029" s="173"/>
      <c r="AQ1029" s="173"/>
      <c r="AR1029" s="173"/>
      <c r="AS1029" s="173"/>
      <c r="AT1029" s="173"/>
      <c r="AU1029" s="173"/>
      <c r="AV1029" s="173"/>
      <c r="AW1029" s="173"/>
      <c r="AX1029" s="173"/>
      <c r="AY1029" s="173"/>
      <c r="AZ1029" s="173"/>
      <c r="BA1029" s="173"/>
      <c r="BB1029" s="173"/>
      <c r="BC1029" s="173"/>
      <c r="BD1029" s="173"/>
      <c r="BE1029" s="173"/>
      <c r="BF1029" s="173"/>
      <c r="BG1029" s="173"/>
      <c r="BH1029" s="173"/>
      <c r="BI1029" s="173"/>
      <c r="BJ1029" s="173"/>
      <c r="BK1029" s="173"/>
      <c r="BL1029" s="173"/>
      <c r="BM1029" s="173"/>
      <c r="BN1029" s="173"/>
      <c r="BO1029" s="173"/>
      <c r="BP1029" s="173"/>
      <c r="BQ1029" s="173"/>
      <c r="BR1029" s="173"/>
      <c r="BS1029" s="173"/>
      <c r="BT1029" s="173"/>
      <c r="BU1029" s="173"/>
      <c r="BV1029" s="173"/>
      <c r="BW1029" s="173"/>
      <c r="BX1029" s="173"/>
      <c r="BY1029" s="173"/>
    </row>
    <row r="1030">
      <c r="A1030" s="173"/>
      <c r="B1030" s="173"/>
      <c r="C1030" s="173"/>
      <c r="D1030" s="173"/>
      <c r="E1030" s="173"/>
      <c r="F1030" s="173"/>
      <c r="G1030" s="173"/>
      <c r="H1030" s="173"/>
      <c r="I1030" s="173"/>
      <c r="J1030" s="173"/>
      <c r="K1030" s="173"/>
      <c r="L1030" s="173"/>
      <c r="M1030" s="173"/>
      <c r="N1030" s="173"/>
      <c r="O1030" s="173"/>
      <c r="P1030" s="173"/>
      <c r="Q1030" s="173"/>
      <c r="R1030" s="173"/>
      <c r="S1030" s="173"/>
      <c r="T1030" s="173"/>
      <c r="U1030" s="173"/>
      <c r="V1030" s="173"/>
      <c r="W1030" s="173"/>
      <c r="X1030" s="173"/>
      <c r="Y1030" s="173"/>
      <c r="Z1030" s="173"/>
      <c r="AA1030" s="173"/>
      <c r="AB1030" s="173"/>
      <c r="AC1030" s="173"/>
      <c r="AD1030" s="173"/>
      <c r="AE1030" s="173"/>
      <c r="AF1030" s="173"/>
      <c r="AG1030" s="173"/>
      <c r="AH1030" s="173"/>
      <c r="AI1030" s="173"/>
      <c r="AJ1030" s="173"/>
      <c r="AK1030" s="173"/>
      <c r="AL1030" s="173"/>
      <c r="AM1030" s="173"/>
      <c r="AN1030" s="173"/>
      <c r="AO1030" s="173"/>
      <c r="AP1030" s="173"/>
      <c r="AQ1030" s="173"/>
      <c r="AR1030" s="173"/>
      <c r="AS1030" s="173"/>
      <c r="AT1030" s="173"/>
      <c r="AU1030" s="173"/>
      <c r="AV1030" s="173"/>
      <c r="AW1030" s="173"/>
      <c r="AX1030" s="173"/>
      <c r="AY1030" s="173"/>
      <c r="AZ1030" s="173"/>
      <c r="BA1030" s="173"/>
      <c r="BB1030" s="173"/>
      <c r="BC1030" s="173"/>
      <c r="BD1030" s="173"/>
      <c r="BE1030" s="173"/>
      <c r="BF1030" s="173"/>
      <c r="BG1030" s="173"/>
      <c r="BH1030" s="173"/>
      <c r="BI1030" s="173"/>
      <c r="BJ1030" s="173"/>
      <c r="BK1030" s="173"/>
      <c r="BL1030" s="173"/>
      <c r="BM1030" s="173"/>
      <c r="BN1030" s="173"/>
      <c r="BO1030" s="173"/>
      <c r="BP1030" s="173"/>
      <c r="BQ1030" s="173"/>
      <c r="BR1030" s="173"/>
      <c r="BS1030" s="173"/>
      <c r="BT1030" s="173"/>
      <c r="BU1030" s="173"/>
      <c r="BV1030" s="173"/>
      <c r="BW1030" s="173"/>
      <c r="BX1030" s="173"/>
      <c r="BY1030" s="173"/>
    </row>
    <row r="1031">
      <c r="A1031" s="173"/>
      <c r="B1031" s="173"/>
      <c r="C1031" s="173"/>
      <c r="D1031" s="173"/>
      <c r="E1031" s="173"/>
      <c r="F1031" s="173"/>
      <c r="G1031" s="173"/>
      <c r="H1031" s="173"/>
      <c r="I1031" s="173"/>
      <c r="J1031" s="173"/>
      <c r="K1031" s="173"/>
      <c r="L1031" s="173"/>
      <c r="M1031" s="173"/>
      <c r="N1031" s="173"/>
      <c r="O1031" s="173"/>
      <c r="P1031" s="173"/>
      <c r="Q1031" s="173"/>
      <c r="R1031" s="173"/>
      <c r="S1031" s="173"/>
      <c r="T1031" s="173"/>
      <c r="U1031" s="173"/>
      <c r="V1031" s="173"/>
      <c r="W1031" s="173"/>
      <c r="X1031" s="173"/>
      <c r="Y1031" s="173"/>
      <c r="Z1031" s="173"/>
      <c r="AA1031" s="173"/>
      <c r="AB1031" s="173"/>
      <c r="AC1031" s="173"/>
      <c r="AD1031" s="173"/>
      <c r="AE1031" s="173"/>
      <c r="AF1031" s="173"/>
      <c r="AG1031" s="173"/>
      <c r="AH1031" s="173"/>
      <c r="AI1031" s="173"/>
      <c r="AJ1031" s="173"/>
      <c r="AK1031" s="173"/>
      <c r="AL1031" s="173"/>
      <c r="AM1031" s="173"/>
      <c r="AN1031" s="173"/>
      <c r="AO1031" s="173"/>
      <c r="AP1031" s="173"/>
      <c r="AQ1031" s="173"/>
      <c r="AR1031" s="173"/>
      <c r="AS1031" s="173"/>
      <c r="AT1031" s="173"/>
      <c r="AU1031" s="173"/>
      <c r="AV1031" s="173"/>
      <c r="AW1031" s="173"/>
      <c r="AX1031" s="173"/>
      <c r="AY1031" s="173"/>
      <c r="AZ1031" s="173"/>
      <c r="BA1031" s="173"/>
      <c r="BB1031" s="173"/>
      <c r="BC1031" s="173"/>
      <c r="BD1031" s="173"/>
      <c r="BE1031" s="173"/>
      <c r="BF1031" s="173"/>
      <c r="BG1031" s="173"/>
      <c r="BH1031" s="173"/>
      <c r="BI1031" s="173"/>
      <c r="BJ1031" s="173"/>
      <c r="BK1031" s="173"/>
      <c r="BL1031" s="173"/>
      <c r="BM1031" s="173"/>
      <c r="BN1031" s="173"/>
      <c r="BO1031" s="173"/>
      <c r="BP1031" s="173"/>
      <c r="BQ1031" s="173"/>
      <c r="BR1031" s="173"/>
      <c r="BS1031" s="173"/>
      <c r="BT1031" s="173"/>
      <c r="BU1031" s="173"/>
      <c r="BV1031" s="173"/>
      <c r="BW1031" s="173"/>
      <c r="BX1031" s="173"/>
      <c r="BY1031" s="173"/>
    </row>
    <row r="1032">
      <c r="A1032" s="173"/>
      <c r="B1032" s="173"/>
      <c r="C1032" s="173"/>
      <c r="D1032" s="173"/>
      <c r="E1032" s="173"/>
      <c r="F1032" s="173"/>
      <c r="G1032" s="173"/>
      <c r="H1032" s="173"/>
      <c r="I1032" s="173"/>
      <c r="J1032" s="173"/>
      <c r="K1032" s="173"/>
      <c r="L1032" s="173"/>
      <c r="M1032" s="173"/>
      <c r="N1032" s="173"/>
      <c r="O1032" s="173"/>
      <c r="P1032" s="173"/>
      <c r="Q1032" s="173"/>
      <c r="R1032" s="173"/>
      <c r="S1032" s="173"/>
      <c r="T1032" s="173"/>
      <c r="U1032" s="173"/>
      <c r="V1032" s="173"/>
      <c r="W1032" s="173"/>
      <c r="X1032" s="173"/>
      <c r="Y1032" s="173"/>
      <c r="Z1032" s="173"/>
      <c r="AA1032" s="173"/>
      <c r="AB1032" s="173"/>
      <c r="AC1032" s="173"/>
      <c r="AD1032" s="173"/>
      <c r="AE1032" s="173"/>
      <c r="AF1032" s="173"/>
      <c r="AG1032" s="173"/>
      <c r="AH1032" s="173"/>
      <c r="AI1032" s="173"/>
      <c r="AJ1032" s="173"/>
      <c r="AK1032" s="173"/>
      <c r="AL1032" s="173"/>
      <c r="AM1032" s="173"/>
      <c r="AN1032" s="173"/>
      <c r="AO1032" s="173"/>
      <c r="AP1032" s="173"/>
      <c r="AQ1032" s="173"/>
      <c r="AR1032" s="173"/>
      <c r="AS1032" s="173"/>
      <c r="AT1032" s="173"/>
      <c r="AU1032" s="173"/>
      <c r="AV1032" s="173"/>
      <c r="AW1032" s="173"/>
      <c r="AX1032" s="173"/>
      <c r="AY1032" s="173"/>
      <c r="AZ1032" s="173"/>
      <c r="BA1032" s="173"/>
      <c r="BB1032" s="173"/>
      <c r="BC1032" s="173"/>
      <c r="BD1032" s="173"/>
      <c r="BE1032" s="173"/>
      <c r="BF1032" s="173"/>
      <c r="BG1032" s="173"/>
      <c r="BH1032" s="173"/>
      <c r="BI1032" s="173"/>
      <c r="BJ1032" s="173"/>
      <c r="BK1032" s="173"/>
      <c r="BL1032" s="173"/>
      <c r="BM1032" s="173"/>
      <c r="BN1032" s="173"/>
      <c r="BO1032" s="173"/>
      <c r="BP1032" s="173"/>
      <c r="BQ1032" s="173"/>
      <c r="BR1032" s="173"/>
      <c r="BS1032" s="173"/>
      <c r="BT1032" s="173"/>
      <c r="BU1032" s="173"/>
      <c r="BV1032" s="173"/>
      <c r="BW1032" s="173"/>
      <c r="BX1032" s="173"/>
      <c r="BY1032" s="173"/>
    </row>
    <row r="1033">
      <c r="A1033" s="173"/>
      <c r="B1033" s="173"/>
      <c r="C1033" s="173"/>
      <c r="D1033" s="173"/>
      <c r="E1033" s="173"/>
      <c r="F1033" s="173"/>
      <c r="G1033" s="173"/>
      <c r="H1033" s="173"/>
      <c r="I1033" s="173"/>
      <c r="J1033" s="173"/>
      <c r="K1033" s="173"/>
      <c r="L1033" s="173"/>
      <c r="M1033" s="173"/>
      <c r="N1033" s="173"/>
      <c r="O1033" s="173"/>
      <c r="P1033" s="173"/>
      <c r="Q1033" s="173"/>
      <c r="R1033" s="173"/>
      <c r="S1033" s="173"/>
      <c r="T1033" s="173"/>
      <c r="U1033" s="173"/>
      <c r="V1033" s="173"/>
      <c r="W1033" s="173"/>
      <c r="X1033" s="173"/>
      <c r="Y1033" s="173"/>
      <c r="Z1033" s="173"/>
      <c r="AA1033" s="173"/>
      <c r="AB1033" s="173"/>
      <c r="AC1033" s="173"/>
      <c r="AD1033" s="173"/>
      <c r="AE1033" s="173"/>
      <c r="AF1033" s="173"/>
      <c r="AG1033" s="173"/>
      <c r="AH1033" s="173"/>
      <c r="AI1033" s="173"/>
      <c r="AJ1033" s="173"/>
      <c r="AK1033" s="173"/>
      <c r="AL1033" s="173"/>
      <c r="AM1033" s="173"/>
      <c r="AN1033" s="173"/>
      <c r="AO1033" s="173"/>
      <c r="AP1033" s="173"/>
      <c r="AQ1033" s="173"/>
      <c r="AR1033" s="173"/>
      <c r="AS1033" s="173"/>
      <c r="AT1033" s="173"/>
      <c r="AU1033" s="173"/>
      <c r="AV1033" s="173"/>
      <c r="AW1033" s="173"/>
      <c r="AX1033" s="173"/>
      <c r="AY1033" s="173"/>
      <c r="AZ1033" s="173"/>
      <c r="BA1033" s="173"/>
      <c r="BB1033" s="173"/>
      <c r="BC1033" s="173"/>
      <c r="BD1033" s="173"/>
      <c r="BE1033" s="173"/>
      <c r="BF1033" s="173"/>
      <c r="BG1033" s="173"/>
      <c r="BH1033" s="173"/>
      <c r="BI1033" s="173"/>
      <c r="BJ1033" s="173"/>
      <c r="BK1033" s="173"/>
      <c r="BL1033" s="173"/>
      <c r="BM1033" s="173"/>
      <c r="BN1033" s="173"/>
      <c r="BO1033" s="173"/>
      <c r="BP1033" s="173"/>
      <c r="BQ1033" s="173"/>
      <c r="BR1033" s="173"/>
      <c r="BS1033" s="173"/>
      <c r="BT1033" s="173"/>
      <c r="BU1033" s="173"/>
      <c r="BV1033" s="173"/>
      <c r="BW1033" s="173"/>
      <c r="BX1033" s="173"/>
      <c r="BY1033" s="173"/>
    </row>
    <row r="1034">
      <c r="A1034" s="173"/>
      <c r="B1034" s="173"/>
      <c r="C1034" s="173"/>
      <c r="D1034" s="173"/>
      <c r="E1034" s="173"/>
      <c r="F1034" s="173"/>
      <c r="G1034" s="173"/>
      <c r="H1034" s="173"/>
      <c r="I1034" s="173"/>
      <c r="J1034" s="173"/>
      <c r="K1034" s="173"/>
      <c r="L1034" s="173"/>
      <c r="M1034" s="173"/>
      <c r="N1034" s="173"/>
      <c r="O1034" s="173"/>
      <c r="P1034" s="173"/>
      <c r="Q1034" s="173"/>
      <c r="R1034" s="173"/>
      <c r="S1034" s="173"/>
      <c r="T1034" s="173"/>
      <c r="U1034" s="173"/>
      <c r="V1034" s="173"/>
      <c r="W1034" s="173"/>
      <c r="X1034" s="173"/>
      <c r="Y1034" s="173"/>
      <c r="Z1034" s="173"/>
      <c r="AA1034" s="173"/>
      <c r="AB1034" s="173"/>
      <c r="AC1034" s="173"/>
      <c r="AD1034" s="173"/>
      <c r="AE1034" s="173"/>
      <c r="AF1034" s="173"/>
      <c r="AG1034" s="173"/>
      <c r="AH1034" s="173"/>
      <c r="AI1034" s="173"/>
      <c r="AJ1034" s="173"/>
      <c r="AK1034" s="173"/>
      <c r="AL1034" s="173"/>
      <c r="AM1034" s="173"/>
      <c r="AN1034" s="173"/>
      <c r="AO1034" s="173"/>
      <c r="AP1034" s="173"/>
      <c r="AQ1034" s="173"/>
      <c r="AR1034" s="173"/>
      <c r="AS1034" s="173"/>
      <c r="AT1034" s="173"/>
      <c r="AU1034" s="173"/>
      <c r="AV1034" s="173"/>
      <c r="AW1034" s="173"/>
      <c r="AX1034" s="173"/>
      <c r="AY1034" s="173"/>
      <c r="AZ1034" s="173"/>
      <c r="BA1034" s="173"/>
      <c r="BB1034" s="173"/>
      <c r="BC1034" s="173"/>
      <c r="BD1034" s="173"/>
      <c r="BE1034" s="173"/>
      <c r="BF1034" s="173"/>
      <c r="BG1034" s="173"/>
      <c r="BH1034" s="173"/>
      <c r="BI1034" s="173"/>
      <c r="BJ1034" s="173"/>
      <c r="BK1034" s="173"/>
      <c r="BL1034" s="173"/>
      <c r="BM1034" s="173"/>
      <c r="BN1034" s="173"/>
      <c r="BO1034" s="173"/>
      <c r="BP1034" s="173"/>
      <c r="BQ1034" s="173"/>
      <c r="BR1034" s="173"/>
      <c r="BS1034" s="173"/>
      <c r="BT1034" s="173"/>
      <c r="BU1034" s="173"/>
      <c r="BV1034" s="173"/>
      <c r="BW1034" s="173"/>
      <c r="BX1034" s="173"/>
      <c r="BY1034" s="173"/>
    </row>
    <row r="1035">
      <c r="A1035" s="173"/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  <c r="O1035" s="173"/>
      <c r="P1035" s="173"/>
      <c r="Q1035" s="173"/>
      <c r="R1035" s="173"/>
      <c r="S1035" s="173"/>
      <c r="T1035" s="173"/>
      <c r="U1035" s="173"/>
      <c r="V1035" s="173"/>
      <c r="W1035" s="173"/>
      <c r="X1035" s="173"/>
      <c r="Y1035" s="173"/>
      <c r="Z1035" s="173"/>
      <c r="AA1035" s="173"/>
      <c r="AB1035" s="173"/>
      <c r="AC1035" s="173"/>
      <c r="AD1035" s="173"/>
      <c r="AE1035" s="173"/>
      <c r="AF1035" s="173"/>
      <c r="AG1035" s="173"/>
      <c r="AH1035" s="173"/>
      <c r="AI1035" s="173"/>
      <c r="AJ1035" s="173"/>
      <c r="AK1035" s="173"/>
      <c r="AL1035" s="173"/>
      <c r="AM1035" s="173"/>
      <c r="AN1035" s="173"/>
      <c r="AO1035" s="173"/>
      <c r="AP1035" s="173"/>
      <c r="AQ1035" s="173"/>
      <c r="AR1035" s="173"/>
      <c r="AS1035" s="173"/>
      <c r="AT1035" s="173"/>
      <c r="AU1035" s="173"/>
      <c r="AV1035" s="173"/>
      <c r="AW1035" s="173"/>
      <c r="AX1035" s="173"/>
      <c r="AY1035" s="173"/>
      <c r="AZ1035" s="173"/>
      <c r="BA1035" s="173"/>
      <c r="BB1035" s="173"/>
      <c r="BC1035" s="173"/>
      <c r="BD1035" s="173"/>
      <c r="BE1035" s="173"/>
      <c r="BF1035" s="173"/>
      <c r="BG1035" s="173"/>
      <c r="BH1035" s="173"/>
      <c r="BI1035" s="173"/>
      <c r="BJ1035" s="173"/>
      <c r="BK1035" s="173"/>
      <c r="BL1035" s="173"/>
      <c r="BM1035" s="173"/>
      <c r="BN1035" s="173"/>
      <c r="BO1035" s="173"/>
      <c r="BP1035" s="173"/>
      <c r="BQ1035" s="173"/>
      <c r="BR1035" s="173"/>
      <c r="BS1035" s="173"/>
      <c r="BT1035" s="173"/>
      <c r="BU1035" s="173"/>
      <c r="BV1035" s="173"/>
      <c r="BW1035" s="173"/>
      <c r="BX1035" s="173"/>
      <c r="BY1035" s="173"/>
    </row>
    <row r="1036">
      <c r="A1036" s="173"/>
      <c r="B1036" s="173"/>
      <c r="C1036" s="173"/>
      <c r="D1036" s="173"/>
      <c r="E1036" s="173"/>
      <c r="F1036" s="173"/>
      <c r="G1036" s="173"/>
      <c r="H1036" s="173"/>
      <c r="I1036" s="173"/>
      <c r="J1036" s="173"/>
      <c r="K1036" s="173"/>
      <c r="L1036" s="173"/>
      <c r="M1036" s="173"/>
      <c r="N1036" s="173"/>
      <c r="O1036" s="173"/>
      <c r="P1036" s="173"/>
      <c r="Q1036" s="173"/>
      <c r="R1036" s="173"/>
      <c r="S1036" s="173"/>
      <c r="T1036" s="173"/>
      <c r="U1036" s="173"/>
      <c r="V1036" s="173"/>
      <c r="W1036" s="173"/>
      <c r="X1036" s="173"/>
      <c r="Y1036" s="173"/>
      <c r="Z1036" s="173"/>
      <c r="AA1036" s="173"/>
      <c r="AB1036" s="173"/>
      <c r="AC1036" s="173"/>
      <c r="AD1036" s="173"/>
      <c r="AE1036" s="173"/>
      <c r="AF1036" s="173"/>
      <c r="AG1036" s="173"/>
      <c r="AH1036" s="173"/>
      <c r="AI1036" s="173"/>
      <c r="AJ1036" s="173"/>
      <c r="AK1036" s="173"/>
      <c r="AL1036" s="173"/>
      <c r="AM1036" s="173"/>
      <c r="AN1036" s="173"/>
      <c r="AO1036" s="173"/>
      <c r="AP1036" s="173"/>
      <c r="AQ1036" s="173"/>
      <c r="AR1036" s="173"/>
      <c r="AS1036" s="173"/>
      <c r="AT1036" s="173"/>
      <c r="AU1036" s="173"/>
      <c r="AV1036" s="173"/>
      <c r="AW1036" s="173"/>
      <c r="AX1036" s="173"/>
      <c r="AY1036" s="173"/>
      <c r="AZ1036" s="173"/>
      <c r="BA1036" s="173"/>
      <c r="BB1036" s="173"/>
      <c r="BC1036" s="173"/>
      <c r="BD1036" s="173"/>
      <c r="BE1036" s="173"/>
      <c r="BF1036" s="173"/>
      <c r="BG1036" s="173"/>
      <c r="BH1036" s="173"/>
      <c r="BI1036" s="173"/>
      <c r="BJ1036" s="173"/>
      <c r="BK1036" s="173"/>
      <c r="BL1036" s="173"/>
      <c r="BM1036" s="173"/>
      <c r="BN1036" s="173"/>
      <c r="BO1036" s="173"/>
      <c r="BP1036" s="173"/>
      <c r="BQ1036" s="173"/>
      <c r="BR1036" s="173"/>
      <c r="BS1036" s="173"/>
      <c r="BT1036" s="173"/>
      <c r="BU1036" s="173"/>
      <c r="BV1036" s="173"/>
      <c r="BW1036" s="173"/>
      <c r="BX1036" s="173"/>
      <c r="BY1036" s="173"/>
    </row>
    <row r="1037">
      <c r="A1037" s="173"/>
      <c r="B1037" s="173"/>
      <c r="C1037" s="173"/>
      <c r="D1037" s="173"/>
      <c r="E1037" s="173"/>
      <c r="F1037" s="173"/>
      <c r="G1037" s="173"/>
      <c r="H1037" s="173"/>
      <c r="I1037" s="173"/>
      <c r="J1037" s="173"/>
      <c r="K1037" s="173"/>
      <c r="L1037" s="173"/>
      <c r="M1037" s="173"/>
      <c r="N1037" s="173"/>
      <c r="O1037" s="173"/>
      <c r="P1037" s="173"/>
      <c r="Q1037" s="173"/>
      <c r="R1037" s="173"/>
      <c r="S1037" s="173"/>
      <c r="T1037" s="173"/>
      <c r="U1037" s="173"/>
      <c r="V1037" s="173"/>
      <c r="W1037" s="173"/>
      <c r="X1037" s="173"/>
      <c r="Y1037" s="173"/>
      <c r="Z1037" s="173"/>
      <c r="AA1037" s="173"/>
      <c r="AB1037" s="173"/>
      <c r="AC1037" s="173"/>
      <c r="AD1037" s="173"/>
      <c r="AE1037" s="173"/>
      <c r="AF1037" s="173"/>
      <c r="AG1037" s="173"/>
      <c r="AH1037" s="173"/>
      <c r="AI1037" s="173"/>
      <c r="AJ1037" s="173"/>
      <c r="AK1037" s="173"/>
      <c r="AL1037" s="173"/>
      <c r="AM1037" s="173"/>
      <c r="AN1037" s="173"/>
      <c r="AO1037" s="173"/>
      <c r="AP1037" s="173"/>
      <c r="AQ1037" s="173"/>
      <c r="AR1037" s="173"/>
      <c r="AS1037" s="173"/>
      <c r="AT1037" s="173"/>
      <c r="AU1037" s="173"/>
      <c r="AV1037" s="173"/>
      <c r="AW1037" s="173"/>
      <c r="AX1037" s="173"/>
      <c r="AY1037" s="173"/>
      <c r="AZ1037" s="173"/>
      <c r="BA1037" s="173"/>
      <c r="BB1037" s="173"/>
      <c r="BC1037" s="173"/>
      <c r="BD1037" s="173"/>
      <c r="BE1037" s="173"/>
      <c r="BF1037" s="173"/>
      <c r="BG1037" s="173"/>
      <c r="BH1037" s="173"/>
      <c r="BI1037" s="173"/>
      <c r="BJ1037" s="173"/>
      <c r="BK1037" s="173"/>
      <c r="BL1037" s="173"/>
      <c r="BM1037" s="173"/>
      <c r="BN1037" s="173"/>
      <c r="BO1037" s="173"/>
      <c r="BP1037" s="173"/>
      <c r="BQ1037" s="173"/>
      <c r="BR1037" s="173"/>
      <c r="BS1037" s="173"/>
      <c r="BT1037" s="173"/>
      <c r="BU1037" s="173"/>
      <c r="BV1037" s="173"/>
      <c r="BW1037" s="173"/>
      <c r="BX1037" s="173"/>
      <c r="BY1037" s="173"/>
    </row>
    <row r="1038">
      <c r="A1038" s="173"/>
      <c r="B1038" s="173"/>
      <c r="C1038" s="173"/>
      <c r="D1038" s="173"/>
      <c r="E1038" s="173"/>
      <c r="F1038" s="173"/>
      <c r="G1038" s="173"/>
      <c r="H1038" s="173"/>
      <c r="I1038" s="173"/>
      <c r="J1038" s="173"/>
      <c r="K1038" s="173"/>
      <c r="L1038" s="173"/>
      <c r="M1038" s="173"/>
      <c r="N1038" s="173"/>
      <c r="O1038" s="173"/>
      <c r="P1038" s="173"/>
      <c r="Q1038" s="173"/>
      <c r="R1038" s="173"/>
      <c r="S1038" s="173"/>
      <c r="T1038" s="173"/>
      <c r="U1038" s="173"/>
      <c r="V1038" s="173"/>
      <c r="W1038" s="173"/>
      <c r="X1038" s="173"/>
      <c r="Y1038" s="173"/>
      <c r="Z1038" s="173"/>
      <c r="AA1038" s="173"/>
      <c r="AB1038" s="173"/>
      <c r="AC1038" s="173"/>
      <c r="AD1038" s="173"/>
      <c r="AE1038" s="173"/>
      <c r="AF1038" s="173"/>
      <c r="AG1038" s="173"/>
      <c r="AH1038" s="173"/>
      <c r="AI1038" s="173"/>
      <c r="AJ1038" s="173"/>
      <c r="AK1038" s="173"/>
      <c r="AL1038" s="173"/>
      <c r="AM1038" s="173"/>
      <c r="AN1038" s="173"/>
      <c r="AO1038" s="173"/>
      <c r="AP1038" s="173"/>
      <c r="AQ1038" s="173"/>
      <c r="AR1038" s="173"/>
      <c r="AS1038" s="173"/>
      <c r="AT1038" s="173"/>
      <c r="AU1038" s="173"/>
      <c r="AV1038" s="173"/>
      <c r="AW1038" s="173"/>
      <c r="AX1038" s="173"/>
      <c r="AY1038" s="173"/>
      <c r="AZ1038" s="173"/>
      <c r="BA1038" s="173"/>
      <c r="BB1038" s="173"/>
      <c r="BC1038" s="173"/>
      <c r="BD1038" s="173"/>
      <c r="BE1038" s="173"/>
      <c r="BF1038" s="173"/>
      <c r="BG1038" s="173"/>
      <c r="BH1038" s="173"/>
      <c r="BI1038" s="173"/>
      <c r="BJ1038" s="173"/>
      <c r="BK1038" s="173"/>
      <c r="BL1038" s="173"/>
      <c r="BM1038" s="173"/>
      <c r="BN1038" s="173"/>
      <c r="BO1038" s="173"/>
      <c r="BP1038" s="173"/>
      <c r="BQ1038" s="173"/>
      <c r="BR1038" s="173"/>
      <c r="BS1038" s="173"/>
      <c r="BT1038" s="173"/>
      <c r="BU1038" s="173"/>
      <c r="BV1038" s="173"/>
      <c r="BW1038" s="173"/>
      <c r="BX1038" s="173"/>
      <c r="BY1038" s="173"/>
    </row>
    <row r="1039">
      <c r="A1039" s="173"/>
      <c r="B1039" s="173"/>
      <c r="C1039" s="173"/>
      <c r="D1039" s="173"/>
      <c r="E1039" s="173"/>
      <c r="F1039" s="173"/>
      <c r="G1039" s="173"/>
      <c r="H1039" s="173"/>
      <c r="I1039" s="173"/>
      <c r="J1039" s="173"/>
      <c r="K1039" s="173"/>
      <c r="L1039" s="173"/>
      <c r="M1039" s="173"/>
      <c r="N1039" s="173"/>
      <c r="O1039" s="173"/>
      <c r="P1039" s="173"/>
      <c r="Q1039" s="173"/>
      <c r="R1039" s="173"/>
      <c r="S1039" s="173"/>
      <c r="T1039" s="173"/>
      <c r="U1039" s="173"/>
      <c r="V1039" s="173"/>
      <c r="W1039" s="173"/>
      <c r="X1039" s="173"/>
      <c r="Y1039" s="173"/>
      <c r="Z1039" s="173"/>
      <c r="AA1039" s="173"/>
      <c r="AB1039" s="173"/>
      <c r="AC1039" s="173"/>
      <c r="AD1039" s="173"/>
      <c r="AE1039" s="173"/>
      <c r="AF1039" s="173"/>
      <c r="AG1039" s="173"/>
      <c r="AH1039" s="173"/>
      <c r="AI1039" s="173"/>
      <c r="AJ1039" s="173"/>
      <c r="AK1039" s="173"/>
      <c r="AL1039" s="173"/>
      <c r="AM1039" s="173"/>
      <c r="AN1039" s="173"/>
      <c r="AO1039" s="173"/>
      <c r="AP1039" s="173"/>
      <c r="AQ1039" s="173"/>
      <c r="AR1039" s="173"/>
      <c r="AS1039" s="173"/>
      <c r="AT1039" s="173"/>
      <c r="AU1039" s="173"/>
      <c r="AV1039" s="173"/>
      <c r="AW1039" s="173"/>
      <c r="AX1039" s="173"/>
      <c r="AY1039" s="173"/>
      <c r="AZ1039" s="173"/>
      <c r="BA1039" s="173"/>
      <c r="BB1039" s="173"/>
      <c r="BC1039" s="173"/>
      <c r="BD1039" s="173"/>
      <c r="BE1039" s="173"/>
      <c r="BF1039" s="173"/>
      <c r="BG1039" s="173"/>
      <c r="BH1039" s="173"/>
      <c r="BI1039" s="173"/>
      <c r="BJ1039" s="173"/>
      <c r="BK1039" s="173"/>
      <c r="BL1039" s="173"/>
      <c r="BM1039" s="173"/>
      <c r="BN1039" s="173"/>
      <c r="BO1039" s="173"/>
      <c r="BP1039" s="173"/>
      <c r="BQ1039" s="173"/>
      <c r="BR1039" s="173"/>
      <c r="BS1039" s="173"/>
      <c r="BT1039" s="173"/>
      <c r="BU1039" s="173"/>
      <c r="BV1039" s="173"/>
      <c r="BW1039" s="173"/>
      <c r="BX1039" s="173"/>
      <c r="BY1039" s="173"/>
    </row>
    <row r="1040">
      <c r="A1040" s="173"/>
      <c r="B1040" s="173"/>
      <c r="C1040" s="173"/>
      <c r="D1040" s="173"/>
      <c r="E1040" s="173"/>
      <c r="F1040" s="173"/>
      <c r="G1040" s="173"/>
      <c r="H1040" s="173"/>
      <c r="I1040" s="173"/>
      <c r="J1040" s="173"/>
      <c r="K1040" s="173"/>
      <c r="L1040" s="173"/>
      <c r="M1040" s="173"/>
      <c r="N1040" s="173"/>
      <c r="O1040" s="173"/>
      <c r="P1040" s="173"/>
      <c r="Q1040" s="173"/>
      <c r="R1040" s="173"/>
      <c r="S1040" s="173"/>
      <c r="T1040" s="173"/>
      <c r="U1040" s="173"/>
      <c r="V1040" s="173"/>
      <c r="W1040" s="173"/>
      <c r="X1040" s="173"/>
      <c r="Y1040" s="173"/>
      <c r="Z1040" s="173"/>
      <c r="AA1040" s="173"/>
      <c r="AB1040" s="173"/>
      <c r="AC1040" s="173"/>
      <c r="AD1040" s="173"/>
      <c r="AE1040" s="173"/>
      <c r="AF1040" s="173"/>
      <c r="AG1040" s="173"/>
      <c r="AH1040" s="173"/>
      <c r="AI1040" s="173"/>
      <c r="AJ1040" s="173"/>
      <c r="AK1040" s="173"/>
      <c r="AL1040" s="173"/>
      <c r="AM1040" s="173"/>
      <c r="AN1040" s="173"/>
      <c r="AO1040" s="173"/>
      <c r="AP1040" s="173"/>
      <c r="AQ1040" s="173"/>
      <c r="AR1040" s="173"/>
      <c r="AS1040" s="173"/>
      <c r="AT1040" s="173"/>
      <c r="AU1040" s="173"/>
      <c r="AV1040" s="173"/>
      <c r="AW1040" s="173"/>
      <c r="AX1040" s="173"/>
      <c r="AY1040" s="173"/>
      <c r="AZ1040" s="173"/>
      <c r="BA1040" s="173"/>
      <c r="BB1040" s="173"/>
      <c r="BC1040" s="173"/>
      <c r="BD1040" s="173"/>
      <c r="BE1040" s="173"/>
      <c r="BF1040" s="173"/>
      <c r="BG1040" s="173"/>
      <c r="BH1040" s="173"/>
      <c r="BI1040" s="173"/>
      <c r="BJ1040" s="173"/>
      <c r="BK1040" s="173"/>
      <c r="BL1040" s="173"/>
      <c r="BM1040" s="173"/>
      <c r="BN1040" s="173"/>
      <c r="BO1040" s="173"/>
      <c r="BP1040" s="173"/>
      <c r="BQ1040" s="173"/>
      <c r="BR1040" s="173"/>
      <c r="BS1040" s="173"/>
      <c r="BT1040" s="173"/>
      <c r="BU1040" s="173"/>
      <c r="BV1040" s="173"/>
      <c r="BW1040" s="173"/>
      <c r="BX1040" s="173"/>
      <c r="BY1040" s="173"/>
    </row>
    <row r="1041">
      <c r="A1041" s="173"/>
      <c r="B1041" s="173"/>
      <c r="C1041" s="173"/>
      <c r="D1041" s="173"/>
      <c r="E1041" s="173"/>
      <c r="F1041" s="173"/>
      <c r="G1041" s="173"/>
      <c r="H1041" s="173"/>
      <c r="I1041" s="173"/>
      <c r="J1041" s="173"/>
      <c r="K1041" s="173"/>
      <c r="L1041" s="173"/>
      <c r="M1041" s="173"/>
      <c r="N1041" s="173"/>
      <c r="O1041" s="173"/>
      <c r="P1041" s="173"/>
      <c r="Q1041" s="173"/>
      <c r="R1041" s="173"/>
      <c r="S1041" s="173"/>
      <c r="T1041" s="173"/>
      <c r="U1041" s="173"/>
      <c r="V1041" s="173"/>
      <c r="W1041" s="173"/>
      <c r="X1041" s="173"/>
      <c r="Y1041" s="173"/>
      <c r="Z1041" s="173"/>
      <c r="AA1041" s="173"/>
      <c r="AB1041" s="173"/>
      <c r="AC1041" s="173"/>
      <c r="AD1041" s="173"/>
      <c r="AE1041" s="173"/>
      <c r="AF1041" s="173"/>
      <c r="AG1041" s="173"/>
      <c r="AH1041" s="173"/>
      <c r="AI1041" s="173"/>
      <c r="AJ1041" s="173"/>
      <c r="AK1041" s="173"/>
      <c r="AL1041" s="173"/>
      <c r="AM1041" s="173"/>
      <c r="AN1041" s="173"/>
      <c r="AO1041" s="173"/>
      <c r="AP1041" s="173"/>
      <c r="AQ1041" s="173"/>
      <c r="AR1041" s="173"/>
      <c r="AS1041" s="173"/>
      <c r="AT1041" s="173"/>
      <c r="AU1041" s="173"/>
      <c r="AV1041" s="173"/>
      <c r="AW1041" s="173"/>
      <c r="AX1041" s="173"/>
      <c r="AY1041" s="173"/>
      <c r="AZ1041" s="173"/>
      <c r="BA1041" s="173"/>
      <c r="BB1041" s="173"/>
      <c r="BC1041" s="173"/>
      <c r="BD1041" s="173"/>
      <c r="BE1041" s="173"/>
      <c r="BF1041" s="173"/>
      <c r="BG1041" s="173"/>
      <c r="BH1041" s="173"/>
      <c r="BI1041" s="173"/>
      <c r="BJ1041" s="173"/>
      <c r="BK1041" s="173"/>
      <c r="BL1041" s="173"/>
      <c r="BM1041" s="173"/>
      <c r="BN1041" s="173"/>
      <c r="BO1041" s="173"/>
      <c r="BP1041" s="173"/>
      <c r="BQ1041" s="173"/>
      <c r="BR1041" s="173"/>
      <c r="BS1041" s="173"/>
      <c r="BT1041" s="173"/>
      <c r="BU1041" s="173"/>
      <c r="BV1041" s="173"/>
      <c r="BW1041" s="173"/>
      <c r="BX1041" s="173"/>
      <c r="BY1041" s="173"/>
    </row>
    <row r="1042">
      <c r="A1042" s="173"/>
      <c r="B1042" s="173"/>
      <c r="C1042" s="173"/>
      <c r="D1042" s="173"/>
      <c r="E1042" s="173"/>
      <c r="F1042" s="173"/>
      <c r="G1042" s="173"/>
      <c r="H1042" s="173"/>
      <c r="I1042" s="173"/>
      <c r="J1042" s="173"/>
      <c r="K1042" s="173"/>
      <c r="L1042" s="173"/>
      <c r="M1042" s="173"/>
      <c r="N1042" s="173"/>
      <c r="O1042" s="173"/>
      <c r="P1042" s="173"/>
      <c r="Q1042" s="173"/>
      <c r="R1042" s="173"/>
      <c r="S1042" s="173"/>
      <c r="T1042" s="173"/>
      <c r="U1042" s="173"/>
      <c r="V1042" s="173"/>
      <c r="W1042" s="173"/>
      <c r="X1042" s="173"/>
      <c r="Y1042" s="173"/>
      <c r="Z1042" s="173"/>
      <c r="AA1042" s="173"/>
      <c r="AB1042" s="173"/>
      <c r="AC1042" s="173"/>
      <c r="AD1042" s="173"/>
      <c r="AE1042" s="173"/>
      <c r="AF1042" s="173"/>
      <c r="AG1042" s="173"/>
      <c r="AH1042" s="173"/>
      <c r="AI1042" s="173"/>
      <c r="AJ1042" s="173"/>
      <c r="AK1042" s="173"/>
      <c r="AL1042" s="173"/>
      <c r="AM1042" s="173"/>
      <c r="AN1042" s="173"/>
      <c r="AO1042" s="173"/>
      <c r="AP1042" s="173"/>
      <c r="AQ1042" s="173"/>
      <c r="AR1042" s="173"/>
      <c r="AS1042" s="173"/>
      <c r="AT1042" s="173"/>
      <c r="AU1042" s="173"/>
      <c r="AV1042" s="173"/>
      <c r="AW1042" s="173"/>
      <c r="AX1042" s="173"/>
      <c r="AY1042" s="173"/>
      <c r="AZ1042" s="173"/>
      <c r="BA1042" s="173"/>
      <c r="BB1042" s="173"/>
      <c r="BC1042" s="173"/>
      <c r="BD1042" s="173"/>
      <c r="BE1042" s="173"/>
      <c r="BF1042" s="173"/>
      <c r="BG1042" s="173"/>
      <c r="BH1042" s="173"/>
      <c r="BI1042" s="173"/>
      <c r="BJ1042" s="173"/>
      <c r="BK1042" s="173"/>
      <c r="BL1042" s="173"/>
      <c r="BM1042" s="173"/>
      <c r="BN1042" s="173"/>
      <c r="BO1042" s="173"/>
      <c r="BP1042" s="173"/>
      <c r="BQ1042" s="173"/>
      <c r="BR1042" s="173"/>
      <c r="BS1042" s="173"/>
      <c r="BT1042" s="173"/>
      <c r="BU1042" s="173"/>
      <c r="BV1042" s="173"/>
      <c r="BW1042" s="173"/>
      <c r="BX1042" s="173"/>
      <c r="BY1042" s="173"/>
    </row>
  </sheetData>
  <mergeCells count="18">
    <mergeCell ref="T17:AD17"/>
    <mergeCell ref="AE17:AO17"/>
    <mergeCell ref="B88:C88"/>
    <mergeCell ref="B93:C93"/>
    <mergeCell ref="B94:C94"/>
    <mergeCell ref="B95:C95"/>
    <mergeCell ref="AP17:AZ17"/>
    <mergeCell ref="BB17:BM17"/>
    <mergeCell ref="AP19:AZ19"/>
    <mergeCell ref="BN19:BY19"/>
    <mergeCell ref="C1:L1"/>
    <mergeCell ref="BB1:BN1"/>
    <mergeCell ref="A16:C18"/>
    <mergeCell ref="T16:AZ16"/>
    <mergeCell ref="BB16:BY16"/>
    <mergeCell ref="D17:L17"/>
    <mergeCell ref="M17:R17"/>
    <mergeCell ref="BN17:BY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12.25"/>
    <col customWidth="1" min="3" max="3" width="16.88"/>
    <col customWidth="1" min="4" max="4" width="24.5"/>
  </cols>
  <sheetData>
    <row r="1">
      <c r="A1" s="174" t="s">
        <v>165</v>
      </c>
      <c r="B1" s="107"/>
      <c r="C1" s="107"/>
      <c r="D1" s="10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175" t="s">
        <v>166</v>
      </c>
      <c r="B2" s="176" t="s">
        <v>167</v>
      </c>
      <c r="C2" s="176" t="s">
        <v>168</v>
      </c>
      <c r="D2" s="177">
        <v>1.0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175" t="s">
        <v>169</v>
      </c>
      <c r="B3" s="176" t="s">
        <v>170</v>
      </c>
      <c r="C3" s="178" t="s">
        <v>171</v>
      </c>
      <c r="D3" s="179" t="s">
        <v>2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175" t="s">
        <v>172</v>
      </c>
      <c r="B4" s="180">
        <v>1.0</v>
      </c>
      <c r="C4" s="181" t="s">
        <v>173</v>
      </c>
      <c r="D4" s="182">
        <f>CSE4098B_Spring2026_Grade!$H$89</f>
        <v>68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183" t="s">
        <v>174</v>
      </c>
      <c r="B6" s="184"/>
      <c r="C6" s="185" t="s">
        <v>175</v>
      </c>
      <c r="D6" s="186" t="s">
        <v>159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187" t="s">
        <v>126</v>
      </c>
      <c r="B7" s="188"/>
      <c r="C7" s="189" t="s">
        <v>176</v>
      </c>
      <c r="D7" s="190">
        <f>'CO-PO Attainment Analysis'!AP88/(D4-0-0)</f>
        <v>0.8823529412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183" t="s">
        <v>127</v>
      </c>
      <c r="B8" s="107"/>
      <c r="C8" s="191"/>
      <c r="D8" s="190">
        <f>'CO-PO Attainment Analysis'!AQ88/(D4-0-0)</f>
        <v>0.8382352941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187" t="s">
        <v>128</v>
      </c>
      <c r="B9" s="188"/>
      <c r="C9" s="191"/>
      <c r="D9" s="190">
        <f>'CO-PO Attainment Analysis'!AR88/(D4-0-0)</f>
        <v>0.8382352941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187" t="s">
        <v>129</v>
      </c>
      <c r="B10" s="188"/>
      <c r="C10" s="191"/>
      <c r="D10" s="190">
        <f>'CO-PO Attainment Analysis'!AS88/(D4-0-0)</f>
        <v>0.8088235294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192" t="s">
        <v>130</v>
      </c>
      <c r="B11" s="78"/>
      <c r="C11" s="191"/>
      <c r="D11" s="190">
        <f>'CO-PO Attainment Analysis'!AT88/(D4-0-0)</f>
        <v>0.8823529412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192" t="s">
        <v>131</v>
      </c>
      <c r="B12" s="78"/>
      <c r="C12" s="191"/>
      <c r="D12" s="190">
        <f>'CO-PO Attainment Analysis'!AU88/(D4-0-0)</f>
        <v>0.7058823529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192" t="s">
        <v>132</v>
      </c>
      <c r="B13" s="78"/>
      <c r="C13" s="191"/>
      <c r="D13" s="190">
        <f>'CO-PO Attainment Analysis'!AV88/(D4-0-0)</f>
        <v>0.7794117647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192" t="s">
        <v>133</v>
      </c>
      <c r="B14" s="78"/>
      <c r="C14" s="191"/>
      <c r="D14" s="190">
        <f>'CO-PO Attainment Analysis'!AW88/(D4-0-0)</f>
        <v>0.8235294118</v>
      </c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192" t="s">
        <v>134</v>
      </c>
      <c r="B15" s="78"/>
      <c r="C15" s="191"/>
      <c r="D15" s="190">
        <f>'CO-PO Attainment Analysis'!AX88/(D4-0-0)</f>
        <v>0.8088235294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192" t="s">
        <v>137</v>
      </c>
      <c r="B16" s="78"/>
      <c r="C16" s="191"/>
      <c r="D16" s="190">
        <f>'CO-PO Attainment Analysis'!AY88/(D4-0-0)</f>
        <v>0.8382352941</v>
      </c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192" t="s">
        <v>138</v>
      </c>
      <c r="B17" s="78"/>
      <c r="C17" s="193"/>
      <c r="D17" s="190">
        <f>'CO-PO Attainment Analysis'!AZ88/(D4-0-0)</f>
        <v>0.8823529412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194" t="s">
        <v>177</v>
      </c>
      <c r="B19" s="195"/>
      <c r="C19" s="195"/>
      <c r="D19" s="195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196" t="s">
        <v>178</v>
      </c>
      <c r="B20" s="197"/>
      <c r="C20" s="197"/>
      <c r="D20" s="4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198"/>
      <c r="B21" s="197"/>
      <c r="C21" s="197"/>
      <c r="D21" s="4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>
      <c r="A22" s="199"/>
      <c r="B22" s="200"/>
      <c r="C22" s="200"/>
      <c r="D22" s="201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>
      <c r="A23" s="198"/>
      <c r="B23" s="197"/>
      <c r="C23" s="197"/>
      <c r="D23" s="4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202"/>
      <c r="B24" s="200"/>
      <c r="C24" s="200"/>
      <c r="D24" s="201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198"/>
      <c r="B25" s="197"/>
      <c r="C25" s="197"/>
      <c r="D25" s="4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202"/>
      <c r="B26" s="200"/>
      <c r="C26" s="200"/>
      <c r="D26" s="201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198"/>
      <c r="B27" s="197"/>
      <c r="C27" s="197"/>
      <c r="D27" s="4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198"/>
      <c r="B28" s="197"/>
      <c r="C28" s="197"/>
      <c r="D28" s="4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198"/>
      <c r="B29" s="197"/>
      <c r="C29" s="197"/>
      <c r="D29" s="4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198"/>
      <c r="B30" s="197"/>
      <c r="C30" s="197"/>
      <c r="D30" s="4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>
      <c r="A31" s="76"/>
      <c r="B31" s="76"/>
      <c r="C31" s="76"/>
      <c r="D31" s="203" t="s">
        <v>179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204" t="s">
        <v>180</v>
      </c>
      <c r="B38" s="205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>
      <c r="A39" s="204" t="s">
        <v>181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204" t="s">
        <v>182</v>
      </c>
      <c r="B40" s="20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>
      <c r="A41" s="76"/>
      <c r="B41" s="20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</row>
    <row r="1004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</row>
  </sheetData>
  <mergeCells count="23">
    <mergeCell ref="A11:B11"/>
    <mergeCell ref="A12:B12"/>
    <mergeCell ref="A13:B13"/>
    <mergeCell ref="A14:B14"/>
    <mergeCell ref="A15:B15"/>
    <mergeCell ref="A16:B16"/>
    <mergeCell ref="A1:D1"/>
    <mergeCell ref="A6:B6"/>
    <mergeCell ref="A7:B7"/>
    <mergeCell ref="C7:C17"/>
    <mergeCell ref="A8:B8"/>
    <mergeCell ref="A9:B9"/>
    <mergeCell ref="A10:B10"/>
    <mergeCell ref="A28:D28"/>
    <mergeCell ref="A29:D29"/>
    <mergeCell ref="A30:D30"/>
    <mergeCell ref="A17:B17"/>
    <mergeCell ref="A19:D19"/>
    <mergeCell ref="A20:D20"/>
    <mergeCell ref="A21:D21"/>
    <mergeCell ref="A23:D23"/>
    <mergeCell ref="A25:D25"/>
    <mergeCell ref="A27:D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2.0"/>
    <col customWidth="1" min="3" max="3" width="23.38"/>
    <col customWidth="1" min="4" max="4" width="11.13"/>
    <col customWidth="1" min="5" max="5" width="13.63"/>
    <col customWidth="1" min="6" max="8" width="8.0"/>
    <col customWidth="1" min="9" max="9" width="7.88"/>
    <col customWidth="1" min="10" max="11" width="8.63"/>
    <col customWidth="1" min="12" max="12" width="8.0"/>
    <col customWidth="1" min="13" max="13" width="7.88"/>
    <col customWidth="1" min="14" max="15" width="8.38"/>
    <col customWidth="1" min="16" max="16" width="6.63"/>
    <col customWidth="1" min="17" max="24" width="8.5"/>
    <col customWidth="1" min="25" max="26" width="9.13"/>
    <col customWidth="1" min="27" max="27" width="12.13"/>
    <col customWidth="1" min="28" max="28" width="19.63"/>
    <col customWidth="1" min="29" max="29" width="8.13"/>
    <col customWidth="1" min="30" max="30" width="16.38"/>
    <col customWidth="1" min="31" max="48" width="14.38"/>
  </cols>
  <sheetData>
    <row r="1" ht="24.75" customHeight="1">
      <c r="A1" s="3" t="s">
        <v>183</v>
      </c>
    </row>
    <row r="2" ht="22.5" customHeight="1">
      <c r="A2" s="207" t="s">
        <v>1</v>
      </c>
    </row>
    <row r="3" ht="15.0" customHeight="1">
      <c r="A3" s="49"/>
      <c r="B3" s="208"/>
      <c r="C3" s="209" t="s">
        <v>2</v>
      </c>
      <c r="D3" s="210" t="s">
        <v>12</v>
      </c>
      <c r="E3" s="46"/>
      <c r="F3" s="211"/>
      <c r="G3" s="212" t="s">
        <v>184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13"/>
    </row>
    <row r="4" ht="41.25" customHeight="1">
      <c r="A4" s="5" t="s">
        <v>3</v>
      </c>
      <c r="B4" s="5" t="s">
        <v>4</v>
      </c>
      <c r="C4" s="6" t="s">
        <v>5</v>
      </c>
      <c r="D4" s="7" t="s">
        <v>185</v>
      </c>
      <c r="E4" s="7" t="s">
        <v>186</v>
      </c>
      <c r="F4" s="214" t="s">
        <v>15</v>
      </c>
      <c r="G4" s="215" t="s">
        <v>74</v>
      </c>
      <c r="H4" s="215" t="s">
        <v>44</v>
      </c>
      <c r="I4" s="215" t="s">
        <v>187</v>
      </c>
      <c r="J4" s="216" t="s">
        <v>188</v>
      </c>
      <c r="K4" s="217" t="s">
        <v>28</v>
      </c>
      <c r="L4" s="215" t="s">
        <v>22</v>
      </c>
      <c r="M4" s="218" t="s">
        <v>39</v>
      </c>
      <c r="N4" s="218" t="s">
        <v>189</v>
      </c>
      <c r="O4" s="215" t="s">
        <v>67</v>
      </c>
      <c r="P4" s="215" t="s">
        <v>190</v>
      </c>
      <c r="Q4" s="215" t="s">
        <v>191</v>
      </c>
      <c r="R4" s="215" t="s">
        <v>192</v>
      </c>
      <c r="S4" s="215" t="s">
        <v>80</v>
      </c>
      <c r="T4" s="215" t="s">
        <v>57</v>
      </c>
      <c r="U4" s="214" t="s">
        <v>193</v>
      </c>
      <c r="V4" s="214" t="s">
        <v>194</v>
      </c>
      <c r="W4" s="215" t="s">
        <v>92</v>
      </c>
      <c r="X4" s="215" t="s">
        <v>62</v>
      </c>
      <c r="Y4" s="214" t="s">
        <v>195</v>
      </c>
      <c r="Z4" s="214" t="s">
        <v>196</v>
      </c>
      <c r="AA4" s="9" t="s">
        <v>197</v>
      </c>
      <c r="AB4" s="7" t="s">
        <v>198</v>
      </c>
      <c r="AC4" s="10" t="s">
        <v>199</v>
      </c>
      <c r="AD4" s="10" t="s">
        <v>13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ht="18.75" customHeight="1">
      <c r="A5" s="11">
        <v>1.0</v>
      </c>
      <c r="B5" s="219">
        <f>CSE4098B_Spring2026_Grade!B5</f>
        <v>223014152</v>
      </c>
      <c r="C5" s="219" t="str">
        <f>CSE4098B_Spring2026_Grade!C5</f>
        <v>Ahadul Islam Rahul</v>
      </c>
      <c r="D5" s="220">
        <v>37.0</v>
      </c>
      <c r="E5" s="221">
        <f t="shared" ref="E5:E72" si="1">ROUND((40*D5)/42,2)</f>
        <v>35.24</v>
      </c>
      <c r="F5" s="11"/>
      <c r="G5" s="11"/>
      <c r="H5" s="11"/>
      <c r="I5" s="11"/>
      <c r="J5" s="11"/>
      <c r="K5" s="11"/>
      <c r="L5" s="15">
        <v>27.0</v>
      </c>
      <c r="M5" s="222"/>
      <c r="N5" s="222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3">
        <f t="shared" ref="AA5:AA72" si="2">ROUND((40*AVERAGE(G5:Z5))/42,2)</f>
        <v>25.71</v>
      </c>
      <c r="AB5" s="224">
        <f t="shared" ref="AB5:AB72" si="3">ROUND((E5*60%+AA5*40%),2)</f>
        <v>31.43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8.75" customHeight="1">
      <c r="A6" s="11">
        <v>2.0</v>
      </c>
      <c r="B6" s="219">
        <f>CSE4098B_Spring2026_Grade!B6</f>
        <v>223014049</v>
      </c>
      <c r="C6" s="219" t="str">
        <f>CSE4098B_Spring2026_Grade!C6</f>
        <v>Md. Sojib Al Hasan</v>
      </c>
      <c r="D6" s="220">
        <v>37.0</v>
      </c>
      <c r="E6" s="221">
        <f t="shared" si="1"/>
        <v>35.24</v>
      </c>
      <c r="F6" s="11"/>
      <c r="G6" s="11"/>
      <c r="H6" s="11"/>
      <c r="I6" s="11"/>
      <c r="J6" s="11"/>
      <c r="K6" s="11"/>
      <c r="L6" s="15">
        <v>27.0</v>
      </c>
      <c r="M6" s="222"/>
      <c r="N6" s="222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3">
        <f t="shared" si="2"/>
        <v>25.71</v>
      </c>
      <c r="AB6" s="224">
        <f t="shared" si="3"/>
        <v>31.43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ht="18.75" customHeight="1">
      <c r="A7" s="11">
        <v>3.0</v>
      </c>
      <c r="B7" s="219">
        <f>CSE4098B_Spring2026_Grade!B7</f>
        <v>222014039</v>
      </c>
      <c r="C7" s="219" t="str">
        <f>CSE4098B_Spring2026_Grade!C7</f>
        <v>Nadia Akter Jui</v>
      </c>
      <c r="D7" s="220">
        <v>37.0</v>
      </c>
      <c r="E7" s="221">
        <f t="shared" si="1"/>
        <v>35.24</v>
      </c>
      <c r="F7" s="11"/>
      <c r="G7" s="11"/>
      <c r="H7" s="11"/>
      <c r="I7" s="11"/>
      <c r="J7" s="11"/>
      <c r="K7" s="11"/>
      <c r="L7" s="15">
        <v>27.0</v>
      </c>
      <c r="M7" s="222"/>
      <c r="N7" s="222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223">
        <f t="shared" si="2"/>
        <v>25.71</v>
      </c>
      <c r="AB7" s="224">
        <f t="shared" si="3"/>
        <v>31.43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</row>
    <row r="8" ht="18.75" customHeight="1">
      <c r="A8" s="11">
        <v>4.0</v>
      </c>
      <c r="B8" s="219">
        <f>CSE4098B_Spring2026_Grade!B8</f>
        <v>222014012</v>
      </c>
      <c r="C8" s="219" t="str">
        <f>CSE4098B_Spring2026_Grade!C8</f>
        <v>Md. Minhazul Islam</v>
      </c>
      <c r="D8" s="220">
        <v>37.0</v>
      </c>
      <c r="E8" s="221">
        <f t="shared" si="1"/>
        <v>35.24</v>
      </c>
      <c r="F8" s="11"/>
      <c r="G8" s="11"/>
      <c r="H8" s="11"/>
      <c r="I8" s="11"/>
      <c r="J8" s="11"/>
      <c r="K8" s="11"/>
      <c r="L8" s="15">
        <v>27.0</v>
      </c>
      <c r="M8" s="222"/>
      <c r="N8" s="222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223">
        <f t="shared" si="2"/>
        <v>25.71</v>
      </c>
      <c r="AB8" s="224">
        <f t="shared" si="3"/>
        <v>31.43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</row>
    <row r="9" ht="18.75" customHeight="1">
      <c r="A9" s="11">
        <v>5.0</v>
      </c>
      <c r="B9" s="219">
        <f>CSE4098B_Spring2026_Grade!B9</f>
        <v>222014096</v>
      </c>
      <c r="C9" s="219" t="str">
        <f>CSE4098B_Spring2026_Grade!C9</f>
        <v>Md. Shams Arefin</v>
      </c>
      <c r="D9" s="220">
        <v>37.0</v>
      </c>
      <c r="E9" s="221">
        <f t="shared" si="1"/>
        <v>35.24</v>
      </c>
      <c r="F9" s="11"/>
      <c r="G9" s="11"/>
      <c r="H9" s="11"/>
      <c r="I9" s="11"/>
      <c r="J9" s="11"/>
      <c r="K9" s="11"/>
      <c r="L9" s="15">
        <v>27.0</v>
      </c>
      <c r="M9" s="222"/>
      <c r="N9" s="222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223">
        <f t="shared" si="2"/>
        <v>25.71</v>
      </c>
      <c r="AB9" s="224">
        <f t="shared" si="3"/>
        <v>31.43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</row>
    <row r="10" ht="18.75" customHeight="1">
      <c r="A10" s="11">
        <v>6.0</v>
      </c>
      <c r="B10" s="219">
        <f>CSE4098B_Spring2026_Grade!B10</f>
        <v>222014052</v>
      </c>
      <c r="C10" s="219" t="str">
        <f>CSE4098B_Spring2026_Grade!C10</f>
        <v>Redwan Ahamad Samir</v>
      </c>
      <c r="D10" s="220">
        <v>28.0</v>
      </c>
      <c r="E10" s="221">
        <f t="shared" si="1"/>
        <v>26.67</v>
      </c>
      <c r="F10" s="15">
        <v>36.0</v>
      </c>
      <c r="G10" s="11"/>
      <c r="H10" s="11"/>
      <c r="I10" s="11"/>
      <c r="J10" s="11"/>
      <c r="K10" s="11"/>
      <c r="L10" s="47"/>
      <c r="M10" s="222"/>
      <c r="N10" s="222"/>
      <c r="O10" s="11"/>
      <c r="P10" s="11"/>
      <c r="Q10" s="11"/>
      <c r="R10" s="11"/>
      <c r="S10" s="11"/>
      <c r="T10" s="11"/>
      <c r="U10" s="15">
        <v>28.0</v>
      </c>
      <c r="V10" s="11"/>
      <c r="W10" s="11"/>
      <c r="X10" s="11"/>
      <c r="Y10" s="11"/>
      <c r="Z10" s="11"/>
      <c r="AA10" s="223">
        <f t="shared" si="2"/>
        <v>26.67</v>
      </c>
      <c r="AB10" s="224">
        <f t="shared" si="3"/>
        <v>26.67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</row>
    <row r="11" ht="18.75" customHeight="1">
      <c r="A11" s="11">
        <v>7.0</v>
      </c>
      <c r="B11" s="219">
        <f>CSE4098B_Spring2026_Grade!B11</f>
        <v>222014009</v>
      </c>
      <c r="C11" s="219" t="str">
        <f>CSE4098B_Spring2026_Grade!C11</f>
        <v>Samia Rahman</v>
      </c>
      <c r="D11" s="220">
        <v>28.0</v>
      </c>
      <c r="E11" s="221">
        <f t="shared" si="1"/>
        <v>26.67</v>
      </c>
      <c r="F11" s="15">
        <v>36.0</v>
      </c>
      <c r="G11" s="11"/>
      <c r="H11" s="11"/>
      <c r="I11" s="11"/>
      <c r="J11" s="11"/>
      <c r="K11" s="11"/>
      <c r="L11" s="47"/>
      <c r="M11" s="222"/>
      <c r="N11" s="222"/>
      <c r="O11" s="11"/>
      <c r="P11" s="11"/>
      <c r="Q11" s="11"/>
      <c r="R11" s="11"/>
      <c r="S11" s="11"/>
      <c r="T11" s="11"/>
      <c r="U11" s="15">
        <v>28.0</v>
      </c>
      <c r="V11" s="11"/>
      <c r="W11" s="11"/>
      <c r="X11" s="11"/>
      <c r="Y11" s="11"/>
      <c r="Z11" s="11"/>
      <c r="AA11" s="223">
        <f t="shared" si="2"/>
        <v>26.67</v>
      </c>
      <c r="AB11" s="224">
        <f t="shared" si="3"/>
        <v>26.67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</row>
    <row r="12" ht="18.75" customHeight="1">
      <c r="A12" s="11">
        <v>8.0</v>
      </c>
      <c r="B12" s="219">
        <f>CSE4098B_Spring2026_Grade!B12</f>
        <v>222014088</v>
      </c>
      <c r="C12" s="219" t="str">
        <f>CSE4098B_Spring2026_Grade!C12</f>
        <v>Md. Omur Faruk</v>
      </c>
      <c r="D12" s="220">
        <v>28.0</v>
      </c>
      <c r="E12" s="221">
        <f t="shared" si="1"/>
        <v>26.67</v>
      </c>
      <c r="F12" s="15">
        <v>36.0</v>
      </c>
      <c r="G12" s="11"/>
      <c r="H12" s="11"/>
      <c r="I12" s="11"/>
      <c r="J12" s="11"/>
      <c r="K12" s="11"/>
      <c r="L12" s="47"/>
      <c r="M12" s="222"/>
      <c r="N12" s="222"/>
      <c r="O12" s="11"/>
      <c r="P12" s="11"/>
      <c r="Q12" s="11"/>
      <c r="R12" s="11"/>
      <c r="S12" s="11"/>
      <c r="T12" s="11"/>
      <c r="U12" s="15">
        <v>28.0</v>
      </c>
      <c r="V12" s="15"/>
      <c r="W12" s="11"/>
      <c r="X12" s="11"/>
      <c r="Y12" s="11"/>
      <c r="Z12" s="11"/>
      <c r="AA12" s="223">
        <f t="shared" si="2"/>
        <v>26.67</v>
      </c>
      <c r="AB12" s="224">
        <f t="shared" si="3"/>
        <v>26.67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</row>
    <row r="13" ht="18.75" customHeight="1">
      <c r="A13" s="11">
        <v>9.0</v>
      </c>
      <c r="B13" s="219">
        <f>CSE4098B_Spring2026_Grade!B13</f>
        <v>231014021</v>
      </c>
      <c r="C13" s="219" t="str">
        <f>CSE4098B_Spring2026_Grade!C13</f>
        <v>Raiyan Islam</v>
      </c>
      <c r="D13" s="220">
        <v>28.0</v>
      </c>
      <c r="E13" s="221">
        <f t="shared" si="1"/>
        <v>26.67</v>
      </c>
      <c r="F13" s="15">
        <v>36.0</v>
      </c>
      <c r="G13" s="11"/>
      <c r="H13" s="11"/>
      <c r="I13" s="11"/>
      <c r="J13" s="11"/>
      <c r="K13" s="11"/>
      <c r="L13" s="11"/>
      <c r="M13" s="222"/>
      <c r="N13" s="222"/>
      <c r="O13" s="11"/>
      <c r="P13" s="11"/>
      <c r="Q13" s="11"/>
      <c r="R13" s="11"/>
      <c r="S13" s="11"/>
      <c r="T13" s="11"/>
      <c r="U13" s="15">
        <v>28.0</v>
      </c>
      <c r="V13" s="11"/>
      <c r="W13" s="11"/>
      <c r="X13" s="11"/>
      <c r="Y13" s="11"/>
      <c r="Z13" s="11"/>
      <c r="AA13" s="223">
        <f t="shared" si="2"/>
        <v>26.67</v>
      </c>
      <c r="AB13" s="224">
        <f t="shared" si="3"/>
        <v>26.67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</row>
    <row r="14" ht="18.75" customHeight="1">
      <c r="A14" s="11">
        <v>10.0</v>
      </c>
      <c r="B14" s="219">
        <f>CSE4098B_Spring2026_Grade!B14</f>
        <v>223014142</v>
      </c>
      <c r="C14" s="219" t="str">
        <f>CSE4098B_Spring2026_Grade!C14</f>
        <v>Tamanna Akter</v>
      </c>
      <c r="D14" s="220">
        <v>32.0</v>
      </c>
      <c r="E14" s="221">
        <f t="shared" si="1"/>
        <v>30.48</v>
      </c>
      <c r="F14" s="11"/>
      <c r="G14" s="11"/>
      <c r="H14" s="11"/>
      <c r="I14" s="11"/>
      <c r="J14" s="11"/>
      <c r="K14" s="11"/>
      <c r="L14" s="11"/>
      <c r="M14" s="222"/>
      <c r="N14" s="222"/>
      <c r="O14" s="11"/>
      <c r="P14" s="11"/>
      <c r="Q14" s="15">
        <v>36.0</v>
      </c>
      <c r="R14" s="15">
        <v>36.0</v>
      </c>
      <c r="S14" s="11"/>
      <c r="T14" s="11"/>
      <c r="U14" s="11"/>
      <c r="V14" s="11"/>
      <c r="W14" s="11"/>
      <c r="X14" s="11"/>
      <c r="Y14" s="11"/>
      <c r="Z14" s="11"/>
      <c r="AA14" s="223">
        <f t="shared" si="2"/>
        <v>34.29</v>
      </c>
      <c r="AB14" s="224">
        <f t="shared" si="3"/>
        <v>32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</row>
    <row r="15" ht="18.75" customHeight="1">
      <c r="A15" s="11">
        <v>11.0</v>
      </c>
      <c r="B15" s="219">
        <f>CSE4098B_Spring2026_Grade!B15</f>
        <v>223014204</v>
      </c>
      <c r="C15" s="219" t="str">
        <f>CSE4098B_Spring2026_Grade!C15</f>
        <v>Ashrafun Nahar Rahi</v>
      </c>
      <c r="D15" s="220">
        <v>32.0</v>
      </c>
      <c r="E15" s="221">
        <f t="shared" si="1"/>
        <v>30.48</v>
      </c>
      <c r="F15" s="11"/>
      <c r="G15" s="11"/>
      <c r="H15" s="11"/>
      <c r="I15" s="11"/>
      <c r="J15" s="11"/>
      <c r="K15" s="11"/>
      <c r="L15" s="11"/>
      <c r="M15" s="222"/>
      <c r="N15" s="222"/>
      <c r="O15" s="11"/>
      <c r="P15" s="11"/>
      <c r="Q15" s="15">
        <v>36.0</v>
      </c>
      <c r="R15" s="15">
        <v>36.0</v>
      </c>
      <c r="S15" s="11"/>
      <c r="T15" s="11"/>
      <c r="U15" s="11"/>
      <c r="V15" s="11"/>
      <c r="W15" s="11"/>
      <c r="X15" s="11"/>
      <c r="Y15" s="11"/>
      <c r="Z15" s="11"/>
      <c r="AA15" s="223">
        <f t="shared" si="2"/>
        <v>34.29</v>
      </c>
      <c r="AB15" s="224">
        <f t="shared" si="3"/>
        <v>32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</row>
    <row r="16" ht="18.75" customHeight="1">
      <c r="A16" s="11">
        <v>12.0</v>
      </c>
      <c r="B16" s="219">
        <f>CSE4098B_Spring2026_Grade!B16</f>
        <v>213014052</v>
      </c>
      <c r="C16" s="219" t="str">
        <f>CSE4098B_Spring2026_Grade!C16</f>
        <v>Khuslima Fardush Mony</v>
      </c>
      <c r="D16" s="220">
        <v>32.0</v>
      </c>
      <c r="E16" s="221">
        <f t="shared" si="1"/>
        <v>30.48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5">
        <v>36.0</v>
      </c>
      <c r="R16" s="15">
        <v>36.0</v>
      </c>
      <c r="S16" s="11"/>
      <c r="T16" s="11"/>
      <c r="U16" s="11"/>
      <c r="V16" s="11"/>
      <c r="W16" s="11"/>
      <c r="X16" s="11"/>
      <c r="Y16" s="11"/>
      <c r="Z16" s="11"/>
      <c r="AA16" s="223">
        <f t="shared" si="2"/>
        <v>34.29</v>
      </c>
      <c r="AB16" s="224">
        <f t="shared" si="3"/>
        <v>32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</row>
    <row r="17" ht="18.75" customHeight="1">
      <c r="A17" s="11">
        <v>13.0</v>
      </c>
      <c r="B17" s="219">
        <f>CSE4098B_Spring2026_Grade!B17</f>
        <v>221014035</v>
      </c>
      <c r="C17" s="219" t="str">
        <f>CSE4098B_Spring2026_Grade!C17</f>
        <v>Md. Alif Hossain</v>
      </c>
      <c r="D17" s="220">
        <v>32.0</v>
      </c>
      <c r="E17" s="221">
        <f t="shared" si="1"/>
        <v>30.48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5">
        <v>36.0</v>
      </c>
      <c r="R17" s="15">
        <v>36.0</v>
      </c>
      <c r="S17" s="11"/>
      <c r="T17" s="11"/>
      <c r="U17" s="11"/>
      <c r="V17" s="11"/>
      <c r="W17" s="11"/>
      <c r="X17" s="11"/>
      <c r="Y17" s="11"/>
      <c r="Z17" s="11"/>
      <c r="AA17" s="223">
        <f t="shared" si="2"/>
        <v>34.29</v>
      </c>
      <c r="AB17" s="224">
        <f t="shared" si="3"/>
        <v>32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</row>
    <row r="18" ht="12.75" customHeight="1">
      <c r="A18" s="11">
        <v>14.0</v>
      </c>
      <c r="B18" s="219">
        <f>CSE4098B_Spring2026_Grade!B18</f>
        <v>223014074</v>
      </c>
      <c r="C18" s="219" t="str">
        <f>CSE4098B_Spring2026_Grade!C18</f>
        <v>Salvir Rahman Ratul</v>
      </c>
      <c r="D18" s="220">
        <v>36.0</v>
      </c>
      <c r="E18" s="221">
        <f t="shared" si="1"/>
        <v>34.29</v>
      </c>
      <c r="F18" s="11"/>
      <c r="G18" s="11"/>
      <c r="H18" s="11"/>
      <c r="I18" s="11"/>
      <c r="J18" s="11"/>
      <c r="K18" s="11"/>
      <c r="L18" s="11"/>
      <c r="M18" s="15">
        <v>39.0</v>
      </c>
      <c r="N18" s="11"/>
      <c r="O18" s="11"/>
      <c r="P18" s="11"/>
      <c r="Q18" s="11"/>
      <c r="R18" s="11"/>
      <c r="S18" s="11"/>
      <c r="T18" s="11"/>
      <c r="U18" s="15">
        <v>35.0</v>
      </c>
      <c r="V18" s="11"/>
      <c r="W18" s="11"/>
      <c r="X18" s="11"/>
      <c r="Y18" s="11"/>
      <c r="Z18" s="11"/>
      <c r="AA18" s="223">
        <f t="shared" si="2"/>
        <v>35.24</v>
      </c>
      <c r="AB18" s="224">
        <f t="shared" si="3"/>
        <v>34.67</v>
      </c>
      <c r="AC18" s="225"/>
      <c r="AD18" s="225"/>
    </row>
    <row r="19" ht="12.75" customHeight="1">
      <c r="A19" s="11">
        <v>15.0</v>
      </c>
      <c r="B19" s="219">
        <f>CSE4098B_Spring2026_Grade!B19</f>
        <v>223014133</v>
      </c>
      <c r="C19" s="219" t="str">
        <f>CSE4098B_Spring2026_Grade!C19</f>
        <v>Nancy Drong</v>
      </c>
      <c r="D19" s="220">
        <v>36.0</v>
      </c>
      <c r="E19" s="221">
        <f t="shared" si="1"/>
        <v>34.29</v>
      </c>
      <c r="F19" s="11"/>
      <c r="G19" s="11"/>
      <c r="H19" s="11"/>
      <c r="I19" s="11"/>
      <c r="J19" s="226"/>
      <c r="K19" s="226"/>
      <c r="L19" s="11"/>
      <c r="M19" s="15">
        <v>39.0</v>
      </c>
      <c r="N19" s="11"/>
      <c r="O19" s="11"/>
      <c r="P19" s="11"/>
      <c r="Q19" s="11"/>
      <c r="R19" s="11"/>
      <c r="S19" s="11"/>
      <c r="T19" s="11"/>
      <c r="U19" s="15">
        <v>35.0</v>
      </c>
      <c r="V19" s="11"/>
      <c r="W19" s="11"/>
      <c r="X19" s="11"/>
      <c r="Y19" s="11"/>
      <c r="Z19" s="11"/>
      <c r="AA19" s="223">
        <f t="shared" si="2"/>
        <v>35.24</v>
      </c>
      <c r="AB19" s="224">
        <f t="shared" si="3"/>
        <v>34.67</v>
      </c>
      <c r="AC19" s="20"/>
      <c r="AD19" s="20"/>
    </row>
    <row r="20" ht="12.75" customHeight="1">
      <c r="A20" s="11">
        <v>16.0</v>
      </c>
      <c r="B20" s="219">
        <f>CSE4098B_Spring2026_Grade!B20</f>
        <v>223014052</v>
      </c>
      <c r="C20" s="219" t="str">
        <f>CSE4098B_Spring2026_Grade!C20</f>
        <v>Argho Das </v>
      </c>
      <c r="D20" s="220">
        <v>36.0</v>
      </c>
      <c r="E20" s="221">
        <f t="shared" si="1"/>
        <v>34.29</v>
      </c>
      <c r="F20" s="11"/>
      <c r="G20" s="11"/>
      <c r="H20" s="11"/>
      <c r="I20" s="11"/>
      <c r="J20" s="226"/>
      <c r="K20" s="226"/>
      <c r="L20" s="11"/>
      <c r="M20" s="15">
        <v>39.0</v>
      </c>
      <c r="N20" s="11"/>
      <c r="O20" s="11"/>
      <c r="P20" s="11"/>
      <c r="Q20" s="11"/>
      <c r="R20" s="11"/>
      <c r="S20" s="11"/>
      <c r="T20" s="11"/>
      <c r="U20" s="15">
        <v>35.0</v>
      </c>
      <c r="V20" s="11"/>
      <c r="W20" s="11"/>
      <c r="X20" s="11"/>
      <c r="Y20" s="11"/>
      <c r="Z20" s="11"/>
      <c r="AA20" s="223">
        <f t="shared" si="2"/>
        <v>35.24</v>
      </c>
      <c r="AB20" s="224">
        <f t="shared" si="3"/>
        <v>34.67</v>
      </c>
      <c r="AC20" s="20"/>
      <c r="AD20" s="20"/>
    </row>
    <row r="21" ht="12.75" customHeight="1">
      <c r="A21" s="11">
        <v>17.0</v>
      </c>
      <c r="B21" s="219">
        <f>CSE4098B_Spring2026_Grade!B21</f>
        <v>223014105</v>
      </c>
      <c r="C21" s="219" t="str">
        <f>CSE4098B_Spring2026_Grade!C21</f>
        <v>Navid Rahman</v>
      </c>
      <c r="D21" s="220">
        <v>36.0</v>
      </c>
      <c r="E21" s="221">
        <f t="shared" si="1"/>
        <v>34.29</v>
      </c>
      <c r="F21" s="11"/>
      <c r="G21" s="11"/>
      <c r="H21" s="11"/>
      <c r="I21" s="11"/>
      <c r="J21" s="226"/>
      <c r="K21" s="226"/>
      <c r="L21" s="11"/>
      <c r="M21" s="15">
        <v>39.0</v>
      </c>
      <c r="N21" s="11"/>
      <c r="O21" s="11"/>
      <c r="P21" s="11"/>
      <c r="Q21" s="11"/>
      <c r="R21" s="11"/>
      <c r="S21" s="11"/>
      <c r="T21" s="11"/>
      <c r="U21" s="15">
        <v>35.0</v>
      </c>
      <c r="V21" s="11"/>
      <c r="W21" s="11"/>
      <c r="X21" s="11"/>
      <c r="Y21" s="11"/>
      <c r="Z21" s="11"/>
      <c r="AA21" s="223">
        <f t="shared" si="2"/>
        <v>35.24</v>
      </c>
      <c r="AB21" s="224">
        <f t="shared" si="3"/>
        <v>34.67</v>
      </c>
      <c r="AC21" s="20"/>
      <c r="AD21" s="20"/>
    </row>
    <row r="22" ht="12.75" customHeight="1">
      <c r="A22" s="11">
        <v>18.0</v>
      </c>
      <c r="B22" s="219">
        <f>CSE4098B_Spring2026_Grade!B22</f>
        <v>223014196</v>
      </c>
      <c r="C22" s="219" t="str">
        <f>CSE4098B_Spring2026_Grade!C22</f>
        <v>Shafwan Shadid Khan</v>
      </c>
      <c r="D22" s="220">
        <v>36.0</v>
      </c>
      <c r="E22" s="221">
        <f t="shared" si="1"/>
        <v>34.29</v>
      </c>
      <c r="F22" s="11"/>
      <c r="G22" s="11"/>
      <c r="H22" s="11"/>
      <c r="I22" s="11"/>
      <c r="J22" s="11"/>
      <c r="K22" s="11"/>
      <c r="L22" s="11"/>
      <c r="M22" s="15">
        <v>39.0</v>
      </c>
      <c r="N22" s="11"/>
      <c r="O22" s="11"/>
      <c r="P22" s="11"/>
      <c r="Q22" s="11"/>
      <c r="R22" s="11"/>
      <c r="S22" s="11"/>
      <c r="T22" s="11"/>
      <c r="U22" s="15">
        <v>35.0</v>
      </c>
      <c r="V22" s="11"/>
      <c r="W22" s="11"/>
      <c r="X22" s="11"/>
      <c r="Y22" s="11"/>
      <c r="Z22" s="11"/>
      <c r="AA22" s="223">
        <f t="shared" si="2"/>
        <v>35.24</v>
      </c>
      <c r="AB22" s="224">
        <f t="shared" si="3"/>
        <v>34.67</v>
      </c>
      <c r="AC22" s="225"/>
      <c r="AD22" s="225"/>
    </row>
    <row r="23" ht="12.75" customHeight="1">
      <c r="A23" s="11">
        <v>19.0</v>
      </c>
      <c r="B23" s="219">
        <f>CSE4098B_Spring2026_Grade!B23</f>
        <v>223014213</v>
      </c>
      <c r="C23" s="219" t="str">
        <f>CSE4098B_Spring2026_Grade!C23</f>
        <v>Md. Minhazul Islam</v>
      </c>
      <c r="D23" s="220">
        <v>39.0</v>
      </c>
      <c r="E23" s="221">
        <f t="shared" si="1"/>
        <v>37.14</v>
      </c>
      <c r="F23" s="11"/>
      <c r="G23" s="11"/>
      <c r="H23" s="11"/>
      <c r="I23" s="11"/>
      <c r="J23" s="11"/>
      <c r="K23" s="15">
        <v>31.0</v>
      </c>
      <c r="L23" s="11"/>
      <c r="M23" s="11"/>
      <c r="N23" s="11"/>
      <c r="O23" s="11"/>
      <c r="P23" s="11"/>
      <c r="Q23" s="11"/>
      <c r="R23" s="15">
        <v>35.0</v>
      </c>
      <c r="S23" s="11"/>
      <c r="T23" s="11"/>
      <c r="U23" s="11"/>
      <c r="V23" s="11"/>
      <c r="W23" s="11"/>
      <c r="X23" s="11"/>
      <c r="Y23" s="11"/>
      <c r="Z23" s="11"/>
      <c r="AA23" s="223">
        <f t="shared" si="2"/>
        <v>31.43</v>
      </c>
      <c r="AB23" s="224">
        <f t="shared" si="3"/>
        <v>34.86</v>
      </c>
      <c r="AC23" s="20"/>
      <c r="AD23" s="20"/>
    </row>
    <row r="24" ht="12.75" customHeight="1">
      <c r="A24" s="11">
        <v>20.0</v>
      </c>
      <c r="B24" s="219">
        <f>CSE4098B_Spring2026_Grade!B24</f>
        <v>223014078</v>
      </c>
      <c r="C24" s="219" t="str">
        <f>CSE4098B_Spring2026_Grade!C24</f>
        <v>Shakhar Das Rony</v>
      </c>
      <c r="D24" s="220">
        <v>39.0</v>
      </c>
      <c r="E24" s="221">
        <f t="shared" si="1"/>
        <v>37.14</v>
      </c>
      <c r="F24" s="11"/>
      <c r="G24" s="11"/>
      <c r="H24" s="11"/>
      <c r="I24" s="11"/>
      <c r="J24" s="11"/>
      <c r="K24" s="15">
        <v>31.0</v>
      </c>
      <c r="L24" s="11"/>
      <c r="M24" s="11"/>
      <c r="N24" s="11"/>
      <c r="O24" s="11"/>
      <c r="P24" s="11"/>
      <c r="Q24" s="11"/>
      <c r="R24" s="15">
        <v>35.0</v>
      </c>
      <c r="S24" s="11"/>
      <c r="T24" s="11"/>
      <c r="U24" s="11"/>
      <c r="V24" s="11"/>
      <c r="W24" s="11"/>
      <c r="X24" s="11"/>
      <c r="Y24" s="11"/>
      <c r="Z24" s="11"/>
      <c r="AA24" s="223">
        <f t="shared" si="2"/>
        <v>31.43</v>
      </c>
      <c r="AB24" s="224">
        <f t="shared" si="3"/>
        <v>34.86</v>
      </c>
      <c r="AC24" s="20"/>
      <c r="AD24" s="20"/>
    </row>
    <row r="25" ht="12.75" customHeight="1">
      <c r="A25" s="11">
        <v>21.0</v>
      </c>
      <c r="B25" s="219">
        <f>CSE4098B_Spring2026_Grade!B25</f>
        <v>223014212</v>
      </c>
      <c r="C25" s="219" t="str">
        <f>CSE4098B_Spring2026_Grade!C25</f>
        <v>Md. Tamim Hasan</v>
      </c>
      <c r="D25" s="220">
        <v>39.0</v>
      </c>
      <c r="E25" s="221">
        <f t="shared" si="1"/>
        <v>37.14</v>
      </c>
      <c r="F25" s="11"/>
      <c r="G25" s="11"/>
      <c r="H25" s="11"/>
      <c r="I25" s="11"/>
      <c r="J25" s="11"/>
      <c r="K25" s="15">
        <v>31.0</v>
      </c>
      <c r="L25" s="11"/>
      <c r="M25" s="11"/>
      <c r="N25" s="11"/>
      <c r="O25" s="11"/>
      <c r="P25" s="11"/>
      <c r="Q25" s="11"/>
      <c r="R25" s="15">
        <v>35.0</v>
      </c>
      <c r="S25" s="11"/>
      <c r="T25" s="11"/>
      <c r="U25" s="11"/>
      <c r="V25" s="11"/>
      <c r="W25" s="11"/>
      <c r="X25" s="11"/>
      <c r="Y25" s="11"/>
      <c r="Z25" s="11"/>
      <c r="AA25" s="223">
        <f t="shared" si="2"/>
        <v>31.43</v>
      </c>
      <c r="AB25" s="224">
        <f t="shared" si="3"/>
        <v>34.86</v>
      </c>
      <c r="AC25" s="20"/>
      <c r="AD25" s="20"/>
    </row>
    <row r="26" ht="12.75" customHeight="1">
      <c r="A26" s="11">
        <v>22.0</v>
      </c>
      <c r="B26" s="219">
        <f>CSE4098B_Spring2026_Grade!B26</f>
        <v>231014049</v>
      </c>
      <c r="C26" s="219" t="str">
        <f>CSE4098B_Spring2026_Grade!C26</f>
        <v>Kazi Noor E Saba </v>
      </c>
      <c r="D26" s="227">
        <v>39.0</v>
      </c>
      <c r="E26" s="221">
        <f t="shared" si="1"/>
        <v>37.14</v>
      </c>
      <c r="F26" s="11"/>
      <c r="G26" s="11"/>
      <c r="H26" s="11"/>
      <c r="I26" s="11"/>
      <c r="J26" s="11"/>
      <c r="K26" s="11"/>
      <c r="L26" s="11"/>
      <c r="M26" s="11"/>
      <c r="N26" s="11"/>
      <c r="O26" s="15">
        <v>39.0</v>
      </c>
      <c r="P26" s="11"/>
      <c r="Q26" s="11"/>
      <c r="R26" s="11"/>
      <c r="S26" s="11"/>
      <c r="T26" s="15">
        <v>35.0</v>
      </c>
      <c r="U26" s="11"/>
      <c r="V26" s="11"/>
      <c r="W26" s="11"/>
      <c r="X26" s="11"/>
      <c r="Y26" s="11"/>
      <c r="Z26" s="11"/>
      <c r="AA26" s="223">
        <f t="shared" si="2"/>
        <v>35.24</v>
      </c>
      <c r="AB26" s="224">
        <f t="shared" si="3"/>
        <v>36.38</v>
      </c>
      <c r="AC26" s="20"/>
      <c r="AD26" s="20"/>
    </row>
    <row r="27" ht="12.75" customHeight="1">
      <c r="A27" s="11">
        <v>23.0</v>
      </c>
      <c r="B27" s="219">
        <f>CSE4098B_Spring2026_Grade!B27</f>
        <v>231014016</v>
      </c>
      <c r="C27" s="219" t="str">
        <f>CSE4098B_Spring2026_Grade!C27</f>
        <v>Md. Akib Al Mahmud Dihan</v>
      </c>
      <c r="D27" s="227">
        <v>39.0</v>
      </c>
      <c r="E27" s="221">
        <f t="shared" si="1"/>
        <v>37.14</v>
      </c>
      <c r="F27" s="11"/>
      <c r="G27" s="11"/>
      <c r="H27" s="11"/>
      <c r="I27" s="11"/>
      <c r="J27" s="11"/>
      <c r="K27" s="11"/>
      <c r="L27" s="11"/>
      <c r="M27" s="11"/>
      <c r="N27" s="11"/>
      <c r="O27" s="15">
        <v>39.0</v>
      </c>
      <c r="P27" s="11"/>
      <c r="Q27" s="11"/>
      <c r="R27" s="11"/>
      <c r="S27" s="11"/>
      <c r="T27" s="15">
        <v>35.0</v>
      </c>
      <c r="U27" s="11"/>
      <c r="V27" s="11"/>
      <c r="W27" s="11"/>
      <c r="X27" s="11"/>
      <c r="Y27" s="11"/>
      <c r="Z27" s="11"/>
      <c r="AA27" s="223">
        <f t="shared" si="2"/>
        <v>35.24</v>
      </c>
      <c r="AB27" s="224">
        <f t="shared" si="3"/>
        <v>36.38</v>
      </c>
      <c r="AC27" s="225"/>
      <c r="AD27" s="225"/>
    </row>
    <row r="28" ht="12.75" customHeight="1">
      <c r="A28" s="11">
        <v>24.0</v>
      </c>
      <c r="B28" s="219">
        <f>CSE4098B_Spring2026_Grade!B28</f>
        <v>231014125</v>
      </c>
      <c r="C28" s="219" t="str">
        <f>CSE4098B_Spring2026_Grade!C28</f>
        <v>Jumana Muntaha</v>
      </c>
      <c r="D28" s="227">
        <v>39.0</v>
      </c>
      <c r="E28" s="221">
        <f t="shared" si="1"/>
        <v>37.14</v>
      </c>
      <c r="F28" s="11"/>
      <c r="G28" s="11"/>
      <c r="H28" s="11"/>
      <c r="I28" s="11"/>
      <c r="J28" s="11"/>
      <c r="K28" s="11"/>
      <c r="L28" s="11"/>
      <c r="M28" s="11"/>
      <c r="N28" s="11"/>
      <c r="O28" s="15">
        <v>39.0</v>
      </c>
      <c r="P28" s="11"/>
      <c r="Q28" s="11"/>
      <c r="R28" s="11"/>
      <c r="S28" s="11"/>
      <c r="T28" s="15">
        <v>35.0</v>
      </c>
      <c r="U28" s="11"/>
      <c r="V28" s="11"/>
      <c r="W28" s="11"/>
      <c r="X28" s="11"/>
      <c r="Y28" s="11"/>
      <c r="Z28" s="11"/>
      <c r="AA28" s="223">
        <f t="shared" si="2"/>
        <v>35.24</v>
      </c>
      <c r="AB28" s="224">
        <f t="shared" si="3"/>
        <v>36.38</v>
      </c>
      <c r="AC28" s="20"/>
      <c r="AD28" s="20"/>
    </row>
    <row r="29" ht="12.75" customHeight="1">
      <c r="A29" s="11">
        <v>25.0</v>
      </c>
      <c r="B29" s="219">
        <f>CSE4098B_Spring2026_Grade!B29</f>
        <v>231014142</v>
      </c>
      <c r="C29" s="219" t="str">
        <f>CSE4098B_Spring2026_Grade!C29</f>
        <v>Abida Binte Asif</v>
      </c>
      <c r="D29" s="227">
        <v>39.0</v>
      </c>
      <c r="E29" s="221">
        <f t="shared" si="1"/>
        <v>37.14</v>
      </c>
      <c r="F29" s="228"/>
      <c r="G29" s="228"/>
      <c r="H29" s="228"/>
      <c r="I29" s="228"/>
      <c r="J29" s="228"/>
      <c r="K29" s="228"/>
      <c r="L29" s="228"/>
      <c r="M29" s="11"/>
      <c r="N29" s="11"/>
      <c r="O29" s="15">
        <v>39.0</v>
      </c>
      <c r="P29" s="11"/>
      <c r="Q29" s="228"/>
      <c r="R29" s="228"/>
      <c r="S29" s="228"/>
      <c r="T29" s="22">
        <v>35.0</v>
      </c>
      <c r="U29" s="228"/>
      <c r="V29" s="228"/>
      <c r="W29" s="228"/>
      <c r="X29" s="228"/>
      <c r="Y29" s="228"/>
      <c r="Z29" s="228"/>
      <c r="AA29" s="223">
        <f t="shared" si="2"/>
        <v>35.24</v>
      </c>
      <c r="AB29" s="224">
        <f t="shared" si="3"/>
        <v>36.38</v>
      </c>
      <c r="AC29" s="20"/>
      <c r="AD29" s="20"/>
    </row>
    <row r="30" ht="12.75" customHeight="1">
      <c r="A30" s="11">
        <v>26.0</v>
      </c>
      <c r="B30" s="219">
        <f>CSE4098B_Spring2026_Grade!B30</f>
        <v>223014146</v>
      </c>
      <c r="C30" s="219" t="str">
        <f>CSE4098B_Spring2026_Grade!C30</f>
        <v>Sami Hossain</v>
      </c>
      <c r="D30" s="227">
        <v>39.0</v>
      </c>
      <c r="E30" s="221">
        <f t="shared" si="1"/>
        <v>37.14</v>
      </c>
      <c r="F30" s="229"/>
      <c r="G30" s="229"/>
      <c r="H30" s="229"/>
      <c r="I30" s="229"/>
      <c r="J30" s="229"/>
      <c r="K30" s="229"/>
      <c r="L30" s="229"/>
      <c r="M30" s="11"/>
      <c r="N30" s="11"/>
      <c r="O30" s="15">
        <v>39.0</v>
      </c>
      <c r="P30" s="11"/>
      <c r="Q30" s="11"/>
      <c r="R30" s="229"/>
      <c r="S30" s="229"/>
      <c r="T30" s="230">
        <v>35.0</v>
      </c>
      <c r="U30" s="229"/>
      <c r="V30" s="229"/>
      <c r="W30" s="229"/>
      <c r="X30" s="229"/>
      <c r="Y30" s="229"/>
      <c r="Z30" s="229"/>
      <c r="AA30" s="223">
        <f t="shared" si="2"/>
        <v>35.24</v>
      </c>
      <c r="AB30" s="224">
        <f t="shared" si="3"/>
        <v>36.38</v>
      </c>
    </row>
    <row r="31" ht="12.75" customHeight="1">
      <c r="A31" s="11">
        <v>27.0</v>
      </c>
      <c r="B31" s="219">
        <f>CSE4098B_Spring2026_Grade!B31</f>
        <v>231014024</v>
      </c>
      <c r="C31" s="219" t="str">
        <f>CSE4098B_Spring2026_Grade!C31</f>
        <v>Md. Shohanoor Rahman</v>
      </c>
      <c r="D31" s="227">
        <v>37.0</v>
      </c>
      <c r="E31" s="221">
        <f t="shared" si="1"/>
        <v>35.24</v>
      </c>
      <c r="F31" s="229"/>
      <c r="G31" s="229"/>
      <c r="H31" s="229"/>
      <c r="I31" s="229"/>
      <c r="J31" s="47"/>
      <c r="K31" s="47"/>
      <c r="L31" s="47"/>
      <c r="M31" s="11"/>
      <c r="N31" s="15">
        <v>34.0</v>
      </c>
      <c r="O31" s="11"/>
      <c r="P31" s="11"/>
      <c r="Q31" s="229"/>
      <c r="R31" s="229"/>
      <c r="S31" s="229"/>
      <c r="T31" s="220">
        <v>37.0</v>
      </c>
      <c r="U31" s="231"/>
      <c r="V31" s="231"/>
      <c r="W31" s="231"/>
      <c r="X31" s="47"/>
      <c r="Y31" s="229"/>
      <c r="Z31" s="229"/>
      <c r="AA31" s="223">
        <f t="shared" si="2"/>
        <v>33.81</v>
      </c>
      <c r="AB31" s="224">
        <f t="shared" si="3"/>
        <v>34.67</v>
      </c>
    </row>
    <row r="32" ht="12.75" customHeight="1">
      <c r="A32" s="11">
        <v>28.0</v>
      </c>
      <c r="B32" s="219">
        <f>CSE4098B_Spring2026_Grade!B32</f>
        <v>231014064</v>
      </c>
      <c r="C32" s="219" t="str">
        <f>CSE4098B_Spring2026_Grade!C32</f>
        <v>Pranto Sikder</v>
      </c>
      <c r="D32" s="227">
        <v>37.0</v>
      </c>
      <c r="E32" s="221">
        <f t="shared" si="1"/>
        <v>35.24</v>
      </c>
      <c r="F32" s="229"/>
      <c r="G32" s="229"/>
      <c r="H32" s="229"/>
      <c r="I32" s="229"/>
      <c r="J32" s="47"/>
      <c r="K32" s="47"/>
      <c r="L32" s="47"/>
      <c r="M32" s="11"/>
      <c r="N32" s="15">
        <v>34.0</v>
      </c>
      <c r="O32" s="11"/>
      <c r="P32" s="11"/>
      <c r="Q32" s="229"/>
      <c r="R32" s="229"/>
      <c r="S32" s="229"/>
      <c r="T32" s="220">
        <v>37.0</v>
      </c>
      <c r="U32" s="231"/>
      <c r="V32" s="231"/>
      <c r="W32" s="231"/>
      <c r="X32" s="47"/>
      <c r="Y32" s="229"/>
      <c r="Z32" s="229"/>
      <c r="AA32" s="223">
        <f t="shared" si="2"/>
        <v>33.81</v>
      </c>
      <c r="AB32" s="224">
        <f t="shared" si="3"/>
        <v>34.67</v>
      </c>
    </row>
    <row r="33" ht="12.75" customHeight="1">
      <c r="A33" s="11">
        <v>29.0</v>
      </c>
      <c r="B33" s="219">
        <f>CSE4098B_Spring2026_Grade!B33</f>
        <v>231014050</v>
      </c>
      <c r="C33" s="219" t="str">
        <f>CSE4098B_Spring2026_Grade!C33</f>
        <v>Mahmudul Hasan Zeshan </v>
      </c>
      <c r="D33" s="227">
        <v>37.0</v>
      </c>
      <c r="E33" s="221">
        <f t="shared" si="1"/>
        <v>35.24</v>
      </c>
      <c r="F33" s="229"/>
      <c r="G33" s="229"/>
      <c r="H33" s="229"/>
      <c r="I33" s="229"/>
      <c r="J33" s="47"/>
      <c r="K33" s="47"/>
      <c r="L33" s="47"/>
      <c r="M33" s="11"/>
      <c r="N33" s="15">
        <v>34.0</v>
      </c>
      <c r="O33" s="11"/>
      <c r="P33" s="11"/>
      <c r="Q33" s="229"/>
      <c r="R33" s="229"/>
      <c r="S33" s="229"/>
      <c r="T33" s="220">
        <v>37.0</v>
      </c>
      <c r="U33" s="231"/>
      <c r="V33" s="231"/>
      <c r="W33" s="231"/>
      <c r="X33" s="47"/>
      <c r="Y33" s="229"/>
      <c r="Z33" s="229"/>
      <c r="AA33" s="223">
        <f t="shared" si="2"/>
        <v>33.81</v>
      </c>
      <c r="AB33" s="224">
        <f t="shared" si="3"/>
        <v>34.67</v>
      </c>
    </row>
    <row r="34" ht="12.75" customHeight="1">
      <c r="A34" s="11">
        <v>30.0</v>
      </c>
      <c r="B34" s="219">
        <f>CSE4098B_Spring2026_Grade!B34</f>
        <v>231014160</v>
      </c>
      <c r="C34" s="219" t="str">
        <f>CSE4098B_Spring2026_Grade!C34</f>
        <v>Aysha Siddika Methila</v>
      </c>
      <c r="D34" s="227">
        <v>37.0</v>
      </c>
      <c r="E34" s="221">
        <f t="shared" si="1"/>
        <v>35.24</v>
      </c>
      <c r="F34" s="229"/>
      <c r="G34" s="229"/>
      <c r="H34" s="229"/>
      <c r="I34" s="229"/>
      <c r="J34" s="47"/>
      <c r="K34" s="47"/>
      <c r="L34" s="47"/>
      <c r="M34" s="11"/>
      <c r="N34" s="15">
        <v>34.0</v>
      </c>
      <c r="O34" s="11"/>
      <c r="P34" s="11"/>
      <c r="Q34" s="229"/>
      <c r="R34" s="229"/>
      <c r="S34" s="229"/>
      <c r="T34" s="220">
        <v>37.0</v>
      </c>
      <c r="U34" s="231"/>
      <c r="V34" s="231"/>
      <c r="W34" s="231"/>
      <c r="X34" s="47"/>
      <c r="Y34" s="229"/>
      <c r="Z34" s="229"/>
      <c r="AA34" s="223">
        <f t="shared" si="2"/>
        <v>33.81</v>
      </c>
      <c r="AB34" s="224">
        <f t="shared" si="3"/>
        <v>34.67</v>
      </c>
    </row>
    <row r="35" ht="12.75" customHeight="1">
      <c r="A35" s="11">
        <v>31.0</v>
      </c>
      <c r="B35" s="219">
        <f>CSE4098B_Spring2026_Grade!B35</f>
        <v>231014116</v>
      </c>
      <c r="C35" s="219" t="str">
        <f>CSE4098B_Spring2026_Grade!C35</f>
        <v>Sukanta Majumder</v>
      </c>
      <c r="D35" s="227">
        <v>37.0</v>
      </c>
      <c r="E35" s="221">
        <f t="shared" si="1"/>
        <v>35.24</v>
      </c>
      <c r="F35" s="229"/>
      <c r="G35" s="229"/>
      <c r="H35" s="229"/>
      <c r="I35" s="229"/>
      <c r="J35" s="47"/>
      <c r="K35" s="47"/>
      <c r="L35" s="47"/>
      <c r="M35" s="11"/>
      <c r="N35" s="15">
        <v>34.0</v>
      </c>
      <c r="O35" s="11"/>
      <c r="P35" s="11"/>
      <c r="Q35" s="229"/>
      <c r="R35" s="229"/>
      <c r="S35" s="229"/>
      <c r="T35" s="220">
        <v>37.0</v>
      </c>
      <c r="U35" s="231"/>
      <c r="V35" s="231"/>
      <c r="W35" s="231"/>
      <c r="X35" s="47"/>
      <c r="Y35" s="229"/>
      <c r="Z35" s="229"/>
      <c r="AA35" s="223">
        <f t="shared" si="2"/>
        <v>33.81</v>
      </c>
      <c r="AB35" s="224">
        <f t="shared" si="3"/>
        <v>34.67</v>
      </c>
    </row>
    <row r="36" ht="12.75" customHeight="1">
      <c r="A36" s="11">
        <v>32.0</v>
      </c>
      <c r="B36" s="219">
        <f>CSE4098B_Spring2026_Grade!B36</f>
        <v>212014015</v>
      </c>
      <c r="C36" s="219" t="str">
        <f>CSE4098B_Spring2026_Grade!C36</f>
        <v>Md. Arif Hossain Mir</v>
      </c>
      <c r="D36" s="230">
        <v>38.0</v>
      </c>
      <c r="E36" s="221">
        <f t="shared" si="1"/>
        <v>36.19</v>
      </c>
      <c r="F36" s="229"/>
      <c r="G36" s="229"/>
      <c r="H36" s="227">
        <v>32.0</v>
      </c>
      <c r="I36" s="229"/>
      <c r="J36" s="47"/>
      <c r="K36" s="47"/>
      <c r="L36" s="47"/>
      <c r="M36" s="11"/>
      <c r="N36" s="11"/>
      <c r="O36" s="11"/>
      <c r="P36" s="15">
        <v>35.0</v>
      </c>
      <c r="Q36" s="229"/>
      <c r="R36" s="229"/>
      <c r="S36" s="229"/>
      <c r="T36" s="47"/>
      <c r="U36" s="231"/>
      <c r="V36" s="231"/>
      <c r="W36" s="231"/>
      <c r="X36" s="47"/>
      <c r="Y36" s="229"/>
      <c r="Z36" s="229"/>
      <c r="AA36" s="223">
        <f t="shared" si="2"/>
        <v>31.9</v>
      </c>
      <c r="AB36" s="224">
        <f t="shared" si="3"/>
        <v>34.47</v>
      </c>
    </row>
    <row r="37" ht="12.75" customHeight="1">
      <c r="A37" s="11">
        <v>33.0</v>
      </c>
      <c r="B37" s="219">
        <f>CSE4098B_Spring2026_Grade!B37</f>
        <v>223014050</v>
      </c>
      <c r="C37" s="219" t="str">
        <f>CSE4098B_Spring2026_Grade!C37</f>
        <v>Isnat Jahan Ome</v>
      </c>
      <c r="D37" s="230">
        <v>38.0</v>
      </c>
      <c r="E37" s="221">
        <f t="shared" si="1"/>
        <v>36.19</v>
      </c>
      <c r="F37" s="229"/>
      <c r="G37" s="229"/>
      <c r="H37" s="227">
        <v>32.0</v>
      </c>
      <c r="I37" s="229"/>
      <c r="J37" s="47"/>
      <c r="K37" s="47"/>
      <c r="L37" s="47"/>
      <c r="M37" s="11"/>
      <c r="N37" s="11"/>
      <c r="O37" s="11"/>
      <c r="P37" s="15">
        <v>35.0</v>
      </c>
      <c r="Q37" s="229"/>
      <c r="R37" s="229"/>
      <c r="S37" s="229"/>
      <c r="T37" s="47"/>
      <c r="U37" s="231"/>
      <c r="V37" s="231"/>
      <c r="W37" s="231"/>
      <c r="X37" s="47"/>
      <c r="Y37" s="229"/>
      <c r="Z37" s="229"/>
      <c r="AA37" s="223">
        <f t="shared" si="2"/>
        <v>31.9</v>
      </c>
      <c r="AB37" s="224">
        <f t="shared" si="3"/>
        <v>34.47</v>
      </c>
    </row>
    <row r="38" ht="12.75" customHeight="1">
      <c r="A38" s="11">
        <v>34.0</v>
      </c>
      <c r="B38" s="219">
        <f>CSE4098B_Spring2026_Grade!B38</f>
        <v>231014075</v>
      </c>
      <c r="C38" s="219" t="str">
        <f>CSE4098B_Spring2026_Grade!C38</f>
        <v>Hasib Mahmud</v>
      </c>
      <c r="D38" s="230">
        <v>38.0</v>
      </c>
      <c r="E38" s="221">
        <f t="shared" si="1"/>
        <v>36.19</v>
      </c>
      <c r="F38" s="229"/>
      <c r="G38" s="229"/>
      <c r="H38" s="227">
        <v>32.0</v>
      </c>
      <c r="I38" s="229"/>
      <c r="J38" s="47"/>
      <c r="K38" s="47"/>
      <c r="L38" s="47"/>
      <c r="M38" s="11"/>
      <c r="N38" s="11"/>
      <c r="O38" s="11"/>
      <c r="P38" s="15">
        <v>35.0</v>
      </c>
      <c r="Q38" s="229"/>
      <c r="R38" s="229"/>
      <c r="S38" s="229"/>
      <c r="T38" s="47"/>
      <c r="U38" s="231"/>
      <c r="V38" s="231"/>
      <c r="W38" s="231"/>
      <c r="X38" s="47"/>
      <c r="Y38" s="229"/>
      <c r="Z38" s="229"/>
      <c r="AA38" s="223">
        <f t="shared" si="2"/>
        <v>31.9</v>
      </c>
      <c r="AB38" s="224">
        <f t="shared" si="3"/>
        <v>34.47</v>
      </c>
    </row>
    <row r="39" ht="12.75" customHeight="1">
      <c r="A39" s="11">
        <v>35.0</v>
      </c>
      <c r="B39" s="219">
        <f>CSE4098B_Spring2026_Grade!B39</f>
        <v>221014135</v>
      </c>
      <c r="C39" s="219" t="str">
        <f>CSE4098B_Spring2026_Grade!C39</f>
        <v>Aminul Islam</v>
      </c>
      <c r="D39" s="230">
        <v>34.0</v>
      </c>
      <c r="E39" s="221">
        <f t="shared" si="1"/>
        <v>32.38</v>
      </c>
      <c r="F39" s="229"/>
      <c r="G39" s="229"/>
      <c r="H39" s="229"/>
      <c r="I39" s="229"/>
      <c r="J39" s="47"/>
      <c r="K39" s="47"/>
      <c r="L39" s="47"/>
      <c r="M39" s="11"/>
      <c r="N39" s="11"/>
      <c r="O39" s="15">
        <v>28.0</v>
      </c>
      <c r="P39" s="15">
        <v>32.0</v>
      </c>
      <c r="Q39" s="229"/>
      <c r="R39" s="229"/>
      <c r="S39" s="229"/>
      <c r="T39" s="47"/>
      <c r="U39" s="231"/>
      <c r="V39" s="231"/>
      <c r="W39" s="231"/>
      <c r="X39" s="47"/>
      <c r="Y39" s="229"/>
      <c r="Z39" s="229"/>
      <c r="AA39" s="223">
        <f t="shared" si="2"/>
        <v>28.57</v>
      </c>
      <c r="AB39" s="224">
        <f t="shared" si="3"/>
        <v>30.86</v>
      </c>
    </row>
    <row r="40" ht="12.75" customHeight="1">
      <c r="A40" s="11">
        <v>36.0</v>
      </c>
      <c r="B40" s="219">
        <f>CSE4098B_Spring2026_Grade!B40</f>
        <v>221014018</v>
      </c>
      <c r="C40" s="219" t="str">
        <f>CSE4098B_Spring2026_Grade!C40</f>
        <v>Israfill Hossain Mehedi</v>
      </c>
      <c r="D40" s="230">
        <v>34.0</v>
      </c>
      <c r="E40" s="221">
        <f t="shared" si="1"/>
        <v>32.38</v>
      </c>
      <c r="F40" s="229"/>
      <c r="G40" s="229"/>
      <c r="H40" s="229"/>
      <c r="I40" s="229"/>
      <c r="J40" s="47"/>
      <c r="K40" s="47"/>
      <c r="L40" s="47"/>
      <c r="M40" s="11"/>
      <c r="N40" s="11"/>
      <c r="O40" s="15">
        <v>28.0</v>
      </c>
      <c r="P40" s="15">
        <v>32.0</v>
      </c>
      <c r="Q40" s="229"/>
      <c r="R40" s="229"/>
      <c r="S40" s="229"/>
      <c r="T40" s="47"/>
      <c r="U40" s="231"/>
      <c r="V40" s="231"/>
      <c r="W40" s="231"/>
      <c r="X40" s="47"/>
      <c r="Y40" s="229"/>
      <c r="Z40" s="229"/>
      <c r="AA40" s="223">
        <f t="shared" si="2"/>
        <v>28.57</v>
      </c>
      <c r="AB40" s="224">
        <f t="shared" si="3"/>
        <v>30.86</v>
      </c>
    </row>
    <row r="41" ht="12.75" customHeight="1">
      <c r="A41" s="11">
        <v>37.0</v>
      </c>
      <c r="B41" s="219">
        <f>CSE4098B_Spring2026_Grade!B41</f>
        <v>221014008</v>
      </c>
      <c r="C41" s="219" t="str">
        <f>CSE4098B_Spring2026_Grade!C41</f>
        <v>Mahmudul Hasan Dipto</v>
      </c>
      <c r="D41" s="230">
        <v>34.0</v>
      </c>
      <c r="E41" s="221">
        <f t="shared" si="1"/>
        <v>32.38</v>
      </c>
      <c r="F41" s="229"/>
      <c r="G41" s="229"/>
      <c r="H41" s="229"/>
      <c r="I41" s="229"/>
      <c r="J41" s="47"/>
      <c r="K41" s="47"/>
      <c r="L41" s="47"/>
      <c r="M41" s="11"/>
      <c r="N41" s="11"/>
      <c r="O41" s="15">
        <v>28.0</v>
      </c>
      <c r="P41" s="15">
        <v>32.0</v>
      </c>
      <c r="Q41" s="229"/>
      <c r="R41" s="229"/>
      <c r="S41" s="229"/>
      <c r="T41" s="47"/>
      <c r="U41" s="231"/>
      <c r="V41" s="231"/>
      <c r="W41" s="231"/>
      <c r="X41" s="47"/>
      <c r="Y41" s="229"/>
      <c r="Z41" s="229"/>
      <c r="AA41" s="223">
        <f t="shared" si="2"/>
        <v>28.57</v>
      </c>
      <c r="AB41" s="224">
        <f t="shared" si="3"/>
        <v>30.86</v>
      </c>
    </row>
    <row r="42" ht="12.75" customHeight="1">
      <c r="A42" s="11">
        <v>38.0</v>
      </c>
      <c r="B42" s="219">
        <f>CSE4098B_Spring2026_Grade!B42</f>
        <v>223014086</v>
      </c>
      <c r="C42" s="219" t="str">
        <f>CSE4098B_Spring2026_Grade!C42</f>
        <v>Talat Mahmud Lam</v>
      </c>
      <c r="D42" s="230">
        <v>40.0</v>
      </c>
      <c r="E42" s="221">
        <f t="shared" si="1"/>
        <v>38.1</v>
      </c>
      <c r="F42" s="229"/>
      <c r="G42" s="229"/>
      <c r="H42" s="229"/>
      <c r="I42" s="229"/>
      <c r="J42" s="220">
        <v>35.0</v>
      </c>
      <c r="K42" s="47"/>
      <c r="L42" s="47"/>
      <c r="M42" s="11"/>
      <c r="N42" s="15">
        <v>31.0</v>
      </c>
      <c r="O42" s="11"/>
      <c r="P42" s="11"/>
      <c r="Q42" s="229"/>
      <c r="R42" s="229"/>
      <c r="S42" s="229"/>
      <c r="T42" s="47"/>
      <c r="U42" s="231"/>
      <c r="V42" s="231"/>
      <c r="W42" s="231"/>
      <c r="X42" s="47"/>
      <c r="Y42" s="229"/>
      <c r="Z42" s="229"/>
      <c r="AA42" s="223">
        <f t="shared" si="2"/>
        <v>31.43</v>
      </c>
      <c r="AB42" s="224">
        <f t="shared" si="3"/>
        <v>35.43</v>
      </c>
    </row>
    <row r="43" ht="12.75" customHeight="1">
      <c r="A43" s="11">
        <v>39.0</v>
      </c>
      <c r="B43" s="219">
        <f>CSE4098B_Spring2026_Grade!B43</f>
        <v>223014033</v>
      </c>
      <c r="C43" s="219" t="str">
        <f>CSE4098B_Spring2026_Grade!C43</f>
        <v>Sadia Nuzat Prova</v>
      </c>
      <c r="D43" s="230">
        <v>40.0</v>
      </c>
      <c r="E43" s="221">
        <f t="shared" si="1"/>
        <v>38.1</v>
      </c>
      <c r="F43" s="229"/>
      <c r="G43" s="229"/>
      <c r="H43" s="229"/>
      <c r="I43" s="229"/>
      <c r="J43" s="220">
        <v>35.0</v>
      </c>
      <c r="K43" s="47"/>
      <c r="L43" s="47"/>
      <c r="M43" s="11"/>
      <c r="N43" s="15">
        <v>31.0</v>
      </c>
      <c r="O43" s="11"/>
      <c r="P43" s="11"/>
      <c r="Q43" s="229"/>
      <c r="R43" s="229"/>
      <c r="S43" s="229"/>
      <c r="T43" s="47"/>
      <c r="U43" s="231"/>
      <c r="V43" s="231"/>
      <c r="W43" s="231"/>
      <c r="X43" s="47"/>
      <c r="Y43" s="229"/>
      <c r="Z43" s="229"/>
      <c r="AA43" s="223">
        <f t="shared" si="2"/>
        <v>31.43</v>
      </c>
      <c r="AB43" s="224">
        <f t="shared" si="3"/>
        <v>35.43</v>
      </c>
    </row>
    <row r="44" ht="12.75" customHeight="1">
      <c r="A44" s="11">
        <v>40.0</v>
      </c>
      <c r="B44" s="219">
        <f>CSE4098B_Spring2026_Grade!B44</f>
        <v>223014042</v>
      </c>
      <c r="C44" s="219" t="str">
        <f>CSE4098B_Spring2026_Grade!C44</f>
        <v>Shahin Alam</v>
      </c>
      <c r="D44" s="230">
        <v>40.0</v>
      </c>
      <c r="E44" s="221">
        <f t="shared" si="1"/>
        <v>38.1</v>
      </c>
      <c r="F44" s="229"/>
      <c r="G44" s="229"/>
      <c r="H44" s="229"/>
      <c r="I44" s="229"/>
      <c r="J44" s="220">
        <v>35.0</v>
      </c>
      <c r="K44" s="47"/>
      <c r="L44" s="47"/>
      <c r="M44" s="11"/>
      <c r="N44" s="15">
        <v>31.0</v>
      </c>
      <c r="O44" s="11"/>
      <c r="P44" s="11"/>
      <c r="Q44" s="229"/>
      <c r="R44" s="229"/>
      <c r="S44" s="229"/>
      <c r="T44" s="47"/>
      <c r="U44" s="231"/>
      <c r="V44" s="231"/>
      <c r="W44" s="231"/>
      <c r="X44" s="47"/>
      <c r="Y44" s="229"/>
      <c r="Z44" s="229"/>
      <c r="AA44" s="223">
        <f t="shared" si="2"/>
        <v>31.43</v>
      </c>
      <c r="AB44" s="224">
        <f t="shared" si="3"/>
        <v>35.43</v>
      </c>
    </row>
    <row r="45" ht="12.75" customHeight="1">
      <c r="A45" s="11">
        <v>41.0</v>
      </c>
      <c r="B45" s="219">
        <f>CSE4098B_Spring2026_Grade!B45</f>
        <v>223014040</v>
      </c>
      <c r="C45" s="219" t="str">
        <f>CSE4098B_Spring2026_Grade!C45</f>
        <v>Umme Asma Busra</v>
      </c>
      <c r="D45" s="230">
        <v>40.0</v>
      </c>
      <c r="E45" s="221">
        <f t="shared" si="1"/>
        <v>38.1</v>
      </c>
      <c r="F45" s="229"/>
      <c r="G45" s="229"/>
      <c r="H45" s="229"/>
      <c r="I45" s="229"/>
      <c r="J45" s="220">
        <v>35.0</v>
      </c>
      <c r="K45" s="47"/>
      <c r="L45" s="47"/>
      <c r="M45" s="11"/>
      <c r="N45" s="15">
        <v>31.0</v>
      </c>
      <c r="O45" s="11"/>
      <c r="P45" s="11"/>
      <c r="Q45" s="229"/>
      <c r="R45" s="229"/>
      <c r="S45" s="229"/>
      <c r="T45" s="47"/>
      <c r="U45" s="231"/>
      <c r="V45" s="231"/>
      <c r="W45" s="231"/>
      <c r="X45" s="47"/>
      <c r="Y45" s="229"/>
      <c r="Z45" s="229"/>
      <c r="AA45" s="223">
        <f t="shared" si="2"/>
        <v>31.43</v>
      </c>
      <c r="AB45" s="224">
        <f t="shared" si="3"/>
        <v>35.43</v>
      </c>
    </row>
    <row r="46" ht="12.75" customHeight="1">
      <c r="A46" s="11">
        <v>42.0</v>
      </c>
      <c r="B46" s="219">
        <f>CSE4098B_Spring2026_Grade!B46</f>
        <v>223014054</v>
      </c>
      <c r="C46" s="219" t="str">
        <f>CSE4098B_Spring2026_Grade!C46</f>
        <v>Golam Munem Zarif</v>
      </c>
      <c r="D46" s="230">
        <v>40.0</v>
      </c>
      <c r="E46" s="221">
        <f t="shared" si="1"/>
        <v>38.1</v>
      </c>
      <c r="F46" s="229"/>
      <c r="G46" s="229"/>
      <c r="H46" s="229"/>
      <c r="I46" s="229"/>
      <c r="J46" s="220">
        <v>35.0</v>
      </c>
      <c r="K46" s="47"/>
      <c r="L46" s="47"/>
      <c r="M46" s="11"/>
      <c r="N46" s="15">
        <v>31.0</v>
      </c>
      <c r="O46" s="11"/>
      <c r="P46" s="11"/>
      <c r="Q46" s="229"/>
      <c r="R46" s="229"/>
      <c r="S46" s="229"/>
      <c r="T46" s="47"/>
      <c r="U46" s="231"/>
      <c r="V46" s="231"/>
      <c r="W46" s="231"/>
      <c r="X46" s="47"/>
      <c r="Y46" s="229"/>
      <c r="Z46" s="229"/>
      <c r="AA46" s="223">
        <f t="shared" si="2"/>
        <v>31.43</v>
      </c>
      <c r="AB46" s="224">
        <f t="shared" si="3"/>
        <v>35.43</v>
      </c>
    </row>
    <row r="47" ht="12.75" customHeight="1">
      <c r="A47" s="11">
        <v>43.0</v>
      </c>
      <c r="B47" s="219">
        <f>CSE4098B_Spring2026_Grade!B47</f>
        <v>223014176</v>
      </c>
      <c r="C47" s="219" t="str">
        <f>CSE4098B_Spring2026_Grade!C47</f>
        <v>MD.Samiul Alam</v>
      </c>
      <c r="D47" s="230">
        <v>15.0</v>
      </c>
      <c r="E47" s="221">
        <f t="shared" si="1"/>
        <v>14.29</v>
      </c>
      <c r="F47" s="229"/>
      <c r="G47" s="229"/>
      <c r="H47" s="229"/>
      <c r="I47" s="229"/>
      <c r="J47" s="47"/>
      <c r="K47" s="47"/>
      <c r="L47" s="47"/>
      <c r="M47" s="11"/>
      <c r="N47" s="11"/>
      <c r="O47" s="11"/>
      <c r="P47" s="11"/>
      <c r="Q47" s="229"/>
      <c r="R47" s="229"/>
      <c r="S47" s="229"/>
      <c r="T47" s="47"/>
      <c r="U47" s="231"/>
      <c r="V47" s="231"/>
      <c r="W47" s="231"/>
      <c r="X47" s="47"/>
      <c r="Y47" s="230">
        <v>14.0</v>
      </c>
      <c r="Z47" s="230">
        <v>26.0</v>
      </c>
      <c r="AA47" s="223">
        <f t="shared" si="2"/>
        <v>19.05</v>
      </c>
      <c r="AB47" s="224">
        <f t="shared" si="3"/>
        <v>16.19</v>
      </c>
    </row>
    <row r="48" ht="12.75" customHeight="1">
      <c r="A48" s="11">
        <v>44.0</v>
      </c>
      <c r="B48" s="219">
        <f>CSE4098B_Spring2026_Grade!B48</f>
        <v>223014199</v>
      </c>
      <c r="C48" s="219" t="str">
        <f>CSE4098B_Spring2026_Grade!C48</f>
        <v>MD.Hafiz Ullah</v>
      </c>
      <c r="D48" s="230">
        <v>15.0</v>
      </c>
      <c r="E48" s="221">
        <f t="shared" si="1"/>
        <v>14.29</v>
      </c>
      <c r="F48" s="229"/>
      <c r="G48" s="229"/>
      <c r="H48" s="229"/>
      <c r="I48" s="229"/>
      <c r="J48" s="47"/>
      <c r="K48" s="47"/>
      <c r="L48" s="47"/>
      <c r="M48" s="11"/>
      <c r="N48" s="11"/>
      <c r="O48" s="11"/>
      <c r="P48" s="11"/>
      <c r="Q48" s="229"/>
      <c r="R48" s="229"/>
      <c r="S48" s="229"/>
      <c r="T48" s="47"/>
      <c r="U48" s="231"/>
      <c r="V48" s="231"/>
      <c r="W48" s="231"/>
      <c r="X48" s="47"/>
      <c r="Y48" s="230">
        <v>14.0</v>
      </c>
      <c r="Z48" s="230">
        <v>26.0</v>
      </c>
      <c r="AA48" s="223">
        <f t="shared" si="2"/>
        <v>19.05</v>
      </c>
      <c r="AB48" s="224">
        <f t="shared" si="3"/>
        <v>16.19</v>
      </c>
    </row>
    <row r="49" ht="12.75" customHeight="1">
      <c r="A49" s="11">
        <v>45.0</v>
      </c>
      <c r="B49" s="219">
        <f>CSE4098B_Spring2026_Grade!B49</f>
        <v>223014012</v>
      </c>
      <c r="C49" s="219" t="str">
        <f>CSE4098B_Spring2026_Grade!C49</f>
        <v>MD.Yusuf</v>
      </c>
      <c r="D49" s="230">
        <v>15.0</v>
      </c>
      <c r="E49" s="221">
        <f t="shared" si="1"/>
        <v>14.29</v>
      </c>
      <c r="F49" s="229"/>
      <c r="G49" s="229"/>
      <c r="H49" s="229"/>
      <c r="I49" s="229"/>
      <c r="J49" s="47"/>
      <c r="K49" s="47"/>
      <c r="L49" s="47"/>
      <c r="M49" s="11"/>
      <c r="N49" s="11"/>
      <c r="O49" s="11"/>
      <c r="P49" s="11"/>
      <c r="Q49" s="229"/>
      <c r="R49" s="229"/>
      <c r="S49" s="229"/>
      <c r="T49" s="47"/>
      <c r="U49" s="231"/>
      <c r="V49" s="231"/>
      <c r="W49" s="231"/>
      <c r="X49" s="47"/>
      <c r="Y49" s="230">
        <v>14.0</v>
      </c>
      <c r="Z49" s="230">
        <v>26.0</v>
      </c>
      <c r="AA49" s="223">
        <f t="shared" si="2"/>
        <v>19.05</v>
      </c>
      <c r="AB49" s="224">
        <f t="shared" si="3"/>
        <v>16.19</v>
      </c>
    </row>
    <row r="50" ht="12.75" customHeight="1">
      <c r="A50" s="11">
        <v>46.0</v>
      </c>
      <c r="B50" s="219">
        <f>CSE4098B_Spring2026_Grade!B50</f>
        <v>211014030</v>
      </c>
      <c r="C50" s="219" t="str">
        <f>CSE4098B_Spring2026_Grade!C50</f>
        <v>Mahfuzur Rahman</v>
      </c>
      <c r="D50" s="230">
        <v>15.0</v>
      </c>
      <c r="E50" s="221">
        <f t="shared" si="1"/>
        <v>14.29</v>
      </c>
      <c r="F50" s="229"/>
      <c r="G50" s="229"/>
      <c r="H50" s="229"/>
      <c r="I50" s="229"/>
      <c r="J50" s="47"/>
      <c r="K50" s="47"/>
      <c r="L50" s="47"/>
      <c r="M50" s="11"/>
      <c r="N50" s="11"/>
      <c r="O50" s="11"/>
      <c r="P50" s="11"/>
      <c r="Q50" s="229"/>
      <c r="R50" s="229"/>
      <c r="S50" s="229"/>
      <c r="T50" s="47"/>
      <c r="U50" s="231"/>
      <c r="V50" s="231"/>
      <c r="W50" s="231"/>
      <c r="X50" s="47"/>
      <c r="Y50" s="230">
        <v>14.0</v>
      </c>
      <c r="Z50" s="230">
        <v>26.0</v>
      </c>
      <c r="AA50" s="223">
        <f t="shared" si="2"/>
        <v>19.05</v>
      </c>
      <c r="AB50" s="224">
        <f t="shared" si="3"/>
        <v>16.19</v>
      </c>
    </row>
    <row r="51" ht="12.75" customHeight="1">
      <c r="A51" s="11">
        <v>47.0</v>
      </c>
      <c r="B51" s="219">
        <f>CSE4098B_Spring2026_Grade!B51</f>
        <v>223014143</v>
      </c>
      <c r="C51" s="219" t="str">
        <f>CSE4098B_Spring2026_Grade!C51</f>
        <v>Upoma Paul</v>
      </c>
      <c r="D51" s="230">
        <v>36.0</v>
      </c>
      <c r="E51" s="221">
        <f t="shared" si="1"/>
        <v>34.29</v>
      </c>
      <c r="F51" s="229"/>
      <c r="G51" s="229"/>
      <c r="H51" s="229"/>
      <c r="I51" s="229"/>
      <c r="J51" s="47"/>
      <c r="K51" s="47"/>
      <c r="L51" s="47"/>
      <c r="M51" s="11"/>
      <c r="N51" s="11"/>
      <c r="O51" s="11"/>
      <c r="P51" s="11"/>
      <c r="Q51" s="229"/>
      <c r="R51" s="229"/>
      <c r="S51" s="229"/>
      <c r="T51" s="47"/>
      <c r="U51" s="231"/>
      <c r="V51" s="231"/>
      <c r="W51" s="232">
        <v>36.0</v>
      </c>
      <c r="X51" s="47"/>
      <c r="Y51" s="230">
        <v>18.0</v>
      </c>
      <c r="Z51" s="230"/>
      <c r="AA51" s="223">
        <f t="shared" si="2"/>
        <v>25.71</v>
      </c>
      <c r="AB51" s="224">
        <f t="shared" si="3"/>
        <v>30.86</v>
      </c>
    </row>
    <row r="52" ht="12.75" customHeight="1">
      <c r="A52" s="11">
        <v>48.0</v>
      </c>
      <c r="B52" s="219">
        <f>CSE4098B_Spring2026_Grade!B52</f>
        <v>231014167</v>
      </c>
      <c r="C52" s="219" t="str">
        <f>CSE4098B_Spring2026_Grade!C52</f>
        <v>Fariha Ahmed</v>
      </c>
      <c r="D52" s="230">
        <v>36.0</v>
      </c>
      <c r="E52" s="221">
        <f t="shared" si="1"/>
        <v>34.29</v>
      </c>
      <c r="F52" s="229"/>
      <c r="G52" s="229"/>
      <c r="H52" s="229"/>
      <c r="I52" s="229"/>
      <c r="J52" s="47"/>
      <c r="K52" s="47"/>
      <c r="L52" s="47"/>
      <c r="M52" s="11"/>
      <c r="N52" s="11"/>
      <c r="O52" s="11"/>
      <c r="P52" s="11"/>
      <c r="Q52" s="229"/>
      <c r="R52" s="229"/>
      <c r="S52" s="229"/>
      <c r="T52" s="47"/>
      <c r="U52" s="231"/>
      <c r="V52" s="231"/>
      <c r="W52" s="232">
        <v>36.0</v>
      </c>
      <c r="X52" s="47"/>
      <c r="Y52" s="230">
        <v>18.0</v>
      </c>
      <c r="Z52" s="229"/>
      <c r="AA52" s="223">
        <f t="shared" si="2"/>
        <v>25.71</v>
      </c>
      <c r="AB52" s="224">
        <f t="shared" si="3"/>
        <v>30.86</v>
      </c>
    </row>
    <row r="53" ht="12.75" customHeight="1">
      <c r="A53" s="11">
        <v>49.0</v>
      </c>
      <c r="B53" s="219">
        <f>CSE4098B_Spring2026_Grade!B53</f>
        <v>231014073</v>
      </c>
      <c r="C53" s="219" t="str">
        <f>CSE4098B_Spring2026_Grade!C53</f>
        <v>Amifat Juhad Pranto</v>
      </c>
      <c r="D53" s="230">
        <v>36.0</v>
      </c>
      <c r="E53" s="221">
        <f t="shared" si="1"/>
        <v>34.29</v>
      </c>
      <c r="F53" s="229"/>
      <c r="G53" s="229"/>
      <c r="H53" s="229"/>
      <c r="I53" s="229"/>
      <c r="J53" s="47"/>
      <c r="K53" s="47"/>
      <c r="L53" s="47"/>
      <c r="M53" s="11"/>
      <c r="N53" s="229"/>
      <c r="O53" s="229"/>
      <c r="P53" s="11"/>
      <c r="Q53" s="229"/>
      <c r="R53" s="229"/>
      <c r="S53" s="229"/>
      <c r="T53" s="47"/>
      <c r="U53" s="231"/>
      <c r="V53" s="231"/>
      <c r="W53" s="232">
        <v>36.0</v>
      </c>
      <c r="X53" s="47"/>
      <c r="Y53" s="230">
        <v>18.0</v>
      </c>
      <c r="Z53" s="229"/>
      <c r="AA53" s="223">
        <f t="shared" si="2"/>
        <v>25.71</v>
      </c>
      <c r="AB53" s="224">
        <f t="shared" si="3"/>
        <v>30.86</v>
      </c>
    </row>
    <row r="54" ht="12.75" customHeight="1">
      <c r="A54" s="11">
        <v>50.0</v>
      </c>
      <c r="B54" s="219">
        <f>CSE4098B_Spring2026_Grade!B54</f>
        <v>232014058</v>
      </c>
      <c r="C54" s="219" t="str">
        <f>CSE4098B_Spring2026_Grade!C54</f>
        <v>Tasnia Kabir Mahia</v>
      </c>
      <c r="D54" s="230">
        <v>36.0</v>
      </c>
      <c r="E54" s="221">
        <f t="shared" si="1"/>
        <v>34.29</v>
      </c>
      <c r="F54" s="229"/>
      <c r="G54" s="229"/>
      <c r="H54" s="229"/>
      <c r="I54" s="229"/>
      <c r="J54" s="47"/>
      <c r="K54" s="47"/>
      <c r="L54" s="47"/>
      <c r="M54" s="229"/>
      <c r="N54" s="229"/>
      <c r="O54" s="229"/>
      <c r="P54" s="229"/>
      <c r="Q54" s="229"/>
      <c r="R54" s="229"/>
      <c r="S54" s="229"/>
      <c r="T54" s="47"/>
      <c r="U54" s="231"/>
      <c r="V54" s="231"/>
      <c r="W54" s="232">
        <v>36.0</v>
      </c>
      <c r="X54" s="47"/>
      <c r="Y54" s="230">
        <v>18.0</v>
      </c>
      <c r="Z54" s="229"/>
      <c r="AA54" s="223">
        <f t="shared" si="2"/>
        <v>25.71</v>
      </c>
      <c r="AB54" s="224">
        <f t="shared" si="3"/>
        <v>30.86</v>
      </c>
    </row>
    <row r="55" ht="12.75" customHeight="1">
      <c r="A55" s="11">
        <v>51.0</v>
      </c>
      <c r="B55" s="219">
        <f>CSE4098B_Spring2026_Grade!B55</f>
        <v>223014183</v>
      </c>
      <c r="C55" s="219" t="str">
        <f>CSE4098B_Spring2026_Grade!C55</f>
        <v>Mahbuba Akter Chowdhury</v>
      </c>
      <c r="D55" s="230">
        <v>39.0</v>
      </c>
      <c r="E55" s="221">
        <f t="shared" si="1"/>
        <v>37.14</v>
      </c>
      <c r="F55" s="229"/>
      <c r="G55" s="230">
        <v>31.0</v>
      </c>
      <c r="H55" s="229"/>
      <c r="I55" s="229"/>
      <c r="J55" s="47"/>
      <c r="K55" s="47"/>
      <c r="L55" s="47"/>
      <c r="M55" s="229"/>
      <c r="N55" s="229"/>
      <c r="O55" s="229"/>
      <c r="P55" s="229"/>
      <c r="Q55" s="229"/>
      <c r="R55" s="229"/>
      <c r="S55" s="229"/>
      <c r="T55" s="47"/>
      <c r="U55" s="232"/>
      <c r="V55" s="232">
        <v>22.0</v>
      </c>
      <c r="W55" s="231"/>
      <c r="X55" s="47"/>
      <c r="Y55" s="229"/>
      <c r="Z55" s="229"/>
      <c r="AA55" s="223">
        <f t="shared" si="2"/>
        <v>25.24</v>
      </c>
      <c r="AB55" s="224">
        <f t="shared" si="3"/>
        <v>32.38</v>
      </c>
    </row>
    <row r="56" ht="12.75" customHeight="1">
      <c r="A56" s="11">
        <v>52.0</v>
      </c>
      <c r="B56" s="219">
        <f>CSE4098B_Spring2026_Grade!B56</f>
        <v>223014182</v>
      </c>
      <c r="C56" s="219" t="str">
        <f>CSE4098B_Spring2026_Grade!C56</f>
        <v>Divya Jyoti Bagchi</v>
      </c>
      <c r="D56" s="220">
        <v>39.0</v>
      </c>
      <c r="E56" s="221">
        <f t="shared" si="1"/>
        <v>37.14</v>
      </c>
      <c r="F56" s="47"/>
      <c r="G56" s="220">
        <v>31.0</v>
      </c>
      <c r="H56" s="229"/>
      <c r="I56" s="229"/>
      <c r="J56" s="47"/>
      <c r="K56" s="47"/>
      <c r="L56" s="47"/>
      <c r="M56" s="229"/>
      <c r="N56" s="229"/>
      <c r="O56" s="229"/>
      <c r="P56" s="229"/>
      <c r="Q56" s="47"/>
      <c r="R56" s="229"/>
      <c r="S56" s="229"/>
      <c r="T56" s="47"/>
      <c r="U56" s="232"/>
      <c r="V56" s="232">
        <v>22.0</v>
      </c>
      <c r="W56" s="231"/>
      <c r="X56" s="47"/>
      <c r="Y56" s="229"/>
      <c r="Z56" s="229"/>
      <c r="AA56" s="223">
        <f t="shared" si="2"/>
        <v>25.24</v>
      </c>
      <c r="AB56" s="224">
        <f t="shared" si="3"/>
        <v>32.38</v>
      </c>
    </row>
    <row r="57" ht="12.75" customHeight="1">
      <c r="A57" s="11">
        <v>53.0</v>
      </c>
      <c r="B57" s="219">
        <f>CSE4098B_Spring2026_Grade!B57</f>
        <v>223014127</v>
      </c>
      <c r="C57" s="219" t="str">
        <f>CSE4098B_Spring2026_Grade!C57</f>
        <v>Naznine Sultana Nitu</v>
      </c>
      <c r="D57" s="220">
        <v>39.0</v>
      </c>
      <c r="E57" s="221">
        <f t="shared" si="1"/>
        <v>37.14</v>
      </c>
      <c r="F57" s="47"/>
      <c r="G57" s="220">
        <v>31.0</v>
      </c>
      <c r="H57" s="229"/>
      <c r="I57" s="47"/>
      <c r="J57" s="47"/>
      <c r="K57" s="47"/>
      <c r="L57" s="47"/>
      <c r="M57" s="229"/>
      <c r="N57" s="229"/>
      <c r="O57" s="229"/>
      <c r="P57" s="229"/>
      <c r="Q57" s="47"/>
      <c r="R57" s="229"/>
      <c r="S57" s="229"/>
      <c r="T57" s="47"/>
      <c r="U57" s="232"/>
      <c r="V57" s="232">
        <v>22.0</v>
      </c>
      <c r="W57" s="231"/>
      <c r="X57" s="47"/>
      <c r="Y57" s="229"/>
      <c r="Z57" s="229"/>
      <c r="AA57" s="223">
        <f t="shared" si="2"/>
        <v>25.24</v>
      </c>
      <c r="AB57" s="224">
        <f t="shared" si="3"/>
        <v>32.38</v>
      </c>
    </row>
    <row r="58" ht="12.75" customHeight="1">
      <c r="A58" s="11">
        <v>54.0</v>
      </c>
      <c r="B58" s="219">
        <f>CSE4098B_Spring2026_Grade!B58</f>
        <v>223014011</v>
      </c>
      <c r="C58" s="219" t="str">
        <f>CSE4098B_Spring2026_Grade!C58</f>
        <v>Fabiha Fayruj</v>
      </c>
      <c r="D58" s="220">
        <v>39.0</v>
      </c>
      <c r="E58" s="221">
        <f t="shared" si="1"/>
        <v>37.14</v>
      </c>
      <c r="F58" s="47"/>
      <c r="G58" s="220">
        <v>31.0</v>
      </c>
      <c r="H58" s="229"/>
      <c r="I58" s="229"/>
      <c r="J58" s="47"/>
      <c r="K58" s="47"/>
      <c r="L58" s="47"/>
      <c r="M58" s="229"/>
      <c r="N58" s="229"/>
      <c r="O58" s="229"/>
      <c r="P58" s="229"/>
      <c r="Q58" s="47"/>
      <c r="R58" s="229"/>
      <c r="S58" s="229"/>
      <c r="T58" s="47"/>
      <c r="U58" s="232"/>
      <c r="V58" s="232">
        <v>22.0</v>
      </c>
      <c r="W58" s="231"/>
      <c r="X58" s="47"/>
      <c r="Y58" s="229"/>
      <c r="Z58" s="229"/>
      <c r="AA58" s="223">
        <f t="shared" si="2"/>
        <v>25.24</v>
      </c>
      <c r="AB58" s="224">
        <f t="shared" si="3"/>
        <v>32.38</v>
      </c>
    </row>
    <row r="59" ht="12.75" customHeight="1">
      <c r="A59" s="11">
        <v>55.0</v>
      </c>
      <c r="B59" s="219">
        <f>CSE4098B_Spring2026_Grade!B59</f>
        <v>231014007</v>
      </c>
      <c r="C59" s="219" t="str">
        <f>CSE4098B_Spring2026_Grade!C59</f>
        <v>Abdullah Al Baki</v>
      </c>
      <c r="D59" s="220">
        <v>39.0</v>
      </c>
      <c r="E59" s="221">
        <f t="shared" si="1"/>
        <v>37.14</v>
      </c>
      <c r="F59" s="47"/>
      <c r="G59" s="220">
        <v>31.0</v>
      </c>
      <c r="H59" s="229"/>
      <c r="I59" s="229"/>
      <c r="J59" s="47"/>
      <c r="K59" s="47"/>
      <c r="L59" s="47"/>
      <c r="M59" s="229"/>
      <c r="N59" s="229"/>
      <c r="O59" s="229"/>
      <c r="P59" s="229"/>
      <c r="Q59" s="47"/>
      <c r="R59" s="229"/>
      <c r="S59" s="229"/>
      <c r="T59" s="47"/>
      <c r="U59" s="220"/>
      <c r="V59" s="220">
        <v>22.0</v>
      </c>
      <c r="W59" s="47"/>
      <c r="X59" s="233"/>
      <c r="Y59" s="233"/>
      <c r="Z59" s="47"/>
      <c r="AA59" s="223">
        <f t="shared" si="2"/>
        <v>25.24</v>
      </c>
      <c r="AB59" s="224">
        <f t="shared" si="3"/>
        <v>32.38</v>
      </c>
    </row>
    <row r="60" ht="12.75" customHeight="1">
      <c r="A60" s="11">
        <v>56.0</v>
      </c>
      <c r="B60" s="219">
        <f>CSE4098B_Spring2026_Grade!B60</f>
        <v>222014072</v>
      </c>
      <c r="C60" s="219" t="str">
        <f>CSE4098B_Spring2026_Grade!C60</f>
        <v>Md. Rahat Pervez</v>
      </c>
      <c r="D60" s="220">
        <v>30.0</v>
      </c>
      <c r="E60" s="221">
        <f t="shared" si="1"/>
        <v>28.57</v>
      </c>
      <c r="F60" s="229"/>
      <c r="G60" s="229"/>
      <c r="H60" s="229"/>
      <c r="I60" s="229"/>
      <c r="J60" s="47"/>
      <c r="K60" s="47"/>
      <c r="L60" s="47"/>
      <c r="M60" s="229"/>
      <c r="N60" s="47"/>
      <c r="O60" s="47"/>
      <c r="P60" s="47"/>
      <c r="Q60" s="229"/>
      <c r="R60" s="47"/>
      <c r="S60" s="220">
        <v>30.0</v>
      </c>
      <c r="T60" s="47"/>
      <c r="U60" s="47"/>
      <c r="V60" s="47"/>
      <c r="W60" s="47"/>
      <c r="X60" s="47"/>
      <c r="Y60" s="220"/>
      <c r="Z60" s="220">
        <v>30.0</v>
      </c>
      <c r="AA60" s="223">
        <f t="shared" si="2"/>
        <v>28.57</v>
      </c>
      <c r="AB60" s="224">
        <f t="shared" si="3"/>
        <v>28.57</v>
      </c>
    </row>
    <row r="61" ht="12.75" customHeight="1">
      <c r="A61" s="11">
        <v>57.0</v>
      </c>
      <c r="B61" s="219">
        <f>CSE4098B_Spring2026_Grade!B61</f>
        <v>222014097</v>
      </c>
      <c r="C61" s="219" t="str">
        <f>CSE4098B_Spring2026_Grade!C61</f>
        <v>Md. Abul Hashem</v>
      </c>
      <c r="D61" s="220">
        <v>30.0</v>
      </c>
      <c r="E61" s="221">
        <f t="shared" si="1"/>
        <v>28.57</v>
      </c>
      <c r="F61" s="229"/>
      <c r="G61" s="229"/>
      <c r="H61" s="229"/>
      <c r="I61" s="229"/>
      <c r="J61" s="47"/>
      <c r="K61" s="47"/>
      <c r="L61" s="47"/>
      <c r="M61" s="229"/>
      <c r="N61" s="47"/>
      <c r="O61" s="47"/>
      <c r="P61" s="47"/>
      <c r="Q61" s="47"/>
      <c r="R61" s="47"/>
      <c r="S61" s="220">
        <v>30.0</v>
      </c>
      <c r="T61" s="47"/>
      <c r="U61" s="47"/>
      <c r="V61" s="47"/>
      <c r="W61" s="47"/>
      <c r="X61" s="47"/>
      <c r="Y61" s="220"/>
      <c r="Z61" s="220">
        <v>30.0</v>
      </c>
      <c r="AA61" s="223">
        <f t="shared" si="2"/>
        <v>28.57</v>
      </c>
      <c r="AB61" s="224">
        <f t="shared" si="3"/>
        <v>28.57</v>
      </c>
    </row>
    <row r="62" ht="12.75" customHeight="1">
      <c r="A62" s="11">
        <v>58.0</v>
      </c>
      <c r="B62" s="219">
        <f>CSE4098B_Spring2026_Grade!B62</f>
        <v>222014040</v>
      </c>
      <c r="C62" s="219" t="str">
        <f>CSE4098B_Spring2026_Grade!C62</f>
        <v>Md. Fiaz Anam Tasfi</v>
      </c>
      <c r="D62" s="220">
        <v>30.0</v>
      </c>
      <c r="E62" s="221">
        <f t="shared" si="1"/>
        <v>28.57</v>
      </c>
      <c r="F62" s="229"/>
      <c r="G62" s="229"/>
      <c r="H62" s="229"/>
      <c r="I62" s="229"/>
      <c r="J62" s="47"/>
      <c r="K62" s="47"/>
      <c r="L62" s="47"/>
      <c r="M62" s="229"/>
      <c r="N62" s="47"/>
      <c r="O62" s="47"/>
      <c r="P62" s="47"/>
      <c r="Q62" s="229"/>
      <c r="R62" s="229"/>
      <c r="S62" s="230">
        <v>30.0</v>
      </c>
      <c r="T62" s="47"/>
      <c r="U62" s="47"/>
      <c r="V62" s="47"/>
      <c r="W62" s="47"/>
      <c r="X62" s="47"/>
      <c r="Y62" s="220"/>
      <c r="Z62" s="220">
        <v>30.0</v>
      </c>
      <c r="AA62" s="223">
        <f t="shared" si="2"/>
        <v>28.57</v>
      </c>
      <c r="AB62" s="224">
        <f t="shared" si="3"/>
        <v>28.57</v>
      </c>
    </row>
    <row r="63" ht="12.75" customHeight="1">
      <c r="A63" s="11">
        <v>59.0</v>
      </c>
      <c r="B63" s="219">
        <f>CSE4098B_Spring2026_Grade!B63</f>
        <v>222014071</v>
      </c>
      <c r="C63" s="219" t="str">
        <f>CSE4098B_Spring2026_Grade!C63</f>
        <v>Kasfia Hossain</v>
      </c>
      <c r="D63" s="220">
        <v>30.0</v>
      </c>
      <c r="E63" s="221">
        <f t="shared" si="1"/>
        <v>28.57</v>
      </c>
      <c r="F63" s="229"/>
      <c r="G63" s="229"/>
      <c r="H63" s="47"/>
      <c r="I63" s="47"/>
      <c r="J63" s="47"/>
      <c r="K63" s="47"/>
      <c r="L63" s="47"/>
      <c r="M63" s="229"/>
      <c r="N63" s="47"/>
      <c r="O63" s="47"/>
      <c r="P63" s="47"/>
      <c r="Q63" s="229"/>
      <c r="R63" s="229"/>
      <c r="S63" s="230">
        <v>30.0</v>
      </c>
      <c r="T63" s="47"/>
      <c r="U63" s="47"/>
      <c r="V63" s="47"/>
      <c r="W63" s="47"/>
      <c r="X63" s="234"/>
      <c r="Y63" s="235"/>
      <c r="Z63" s="220">
        <v>30.0</v>
      </c>
      <c r="AA63" s="223">
        <f t="shared" si="2"/>
        <v>28.57</v>
      </c>
      <c r="AB63" s="224">
        <f t="shared" si="3"/>
        <v>28.57</v>
      </c>
    </row>
    <row r="64" ht="12.75" customHeight="1">
      <c r="A64" s="11">
        <v>60.0</v>
      </c>
      <c r="B64" s="219">
        <f>CSE4098B_Spring2026_Grade!B64</f>
        <v>223014195</v>
      </c>
      <c r="C64" s="219" t="str">
        <f>CSE4098B_Spring2026_Grade!C64</f>
        <v>Md. Rashedul Islam</v>
      </c>
      <c r="D64" s="220">
        <v>30.0</v>
      </c>
      <c r="E64" s="221">
        <f t="shared" si="1"/>
        <v>28.57</v>
      </c>
      <c r="F64" s="229"/>
      <c r="G64" s="229"/>
      <c r="H64" s="47"/>
      <c r="I64" s="47"/>
      <c r="J64" s="47"/>
      <c r="K64" s="47"/>
      <c r="L64" s="47"/>
      <c r="M64" s="229"/>
      <c r="N64" s="229"/>
      <c r="O64" s="229"/>
      <c r="P64" s="229"/>
      <c r="Q64" s="229"/>
      <c r="R64" s="229"/>
      <c r="S64" s="230">
        <v>30.0</v>
      </c>
      <c r="T64" s="47"/>
      <c r="U64" s="231"/>
      <c r="V64" s="231"/>
      <c r="W64" s="231"/>
      <c r="X64" s="47"/>
      <c r="Y64" s="230"/>
      <c r="Z64" s="230">
        <v>30.0</v>
      </c>
      <c r="AA64" s="223">
        <f t="shared" si="2"/>
        <v>28.57</v>
      </c>
      <c r="AB64" s="224">
        <f t="shared" si="3"/>
        <v>28.57</v>
      </c>
    </row>
    <row r="65" ht="12.75" customHeight="1">
      <c r="A65" s="11">
        <v>61.0</v>
      </c>
      <c r="B65" s="219">
        <f>CSE4098B_Spring2026_Grade!B65</f>
        <v>223014110</v>
      </c>
      <c r="C65" s="219" t="str">
        <f>CSE4098B_Spring2026_Grade!C65</f>
        <v>Md. Maruf Hossain</v>
      </c>
      <c r="D65" s="220">
        <v>40.0</v>
      </c>
      <c r="E65" s="221">
        <f t="shared" si="1"/>
        <v>38.1</v>
      </c>
      <c r="F65" s="229"/>
      <c r="G65" s="229"/>
      <c r="H65" s="47"/>
      <c r="I65" s="47"/>
      <c r="J65" s="47"/>
      <c r="K65" s="47"/>
      <c r="L65" s="47"/>
      <c r="M65" s="229"/>
      <c r="N65" s="229"/>
      <c r="O65" s="229"/>
      <c r="P65" s="229"/>
      <c r="Q65" s="229"/>
      <c r="R65" s="229"/>
      <c r="S65" s="229"/>
      <c r="T65" s="47"/>
      <c r="U65" s="232"/>
      <c r="V65" s="232">
        <v>19.0</v>
      </c>
      <c r="W65" s="231"/>
      <c r="X65" s="47"/>
      <c r="Y65" s="229"/>
      <c r="Z65" s="230">
        <v>28.0</v>
      </c>
      <c r="AA65" s="223">
        <f t="shared" si="2"/>
        <v>22.38</v>
      </c>
      <c r="AB65" s="224">
        <f t="shared" si="3"/>
        <v>31.81</v>
      </c>
    </row>
    <row r="66" ht="12.75" customHeight="1">
      <c r="A66" s="11">
        <v>62.0</v>
      </c>
      <c r="B66" s="219">
        <f>CSE4098B_Spring2026_Grade!B66</f>
        <v>223014135</v>
      </c>
      <c r="C66" s="219" t="str">
        <f>CSE4098B_Spring2026_Grade!C66</f>
        <v>Rakibul Hasan</v>
      </c>
      <c r="D66" s="220">
        <v>40.0</v>
      </c>
      <c r="E66" s="221">
        <f t="shared" si="1"/>
        <v>38.1</v>
      </c>
      <c r="F66" s="229"/>
      <c r="G66" s="229"/>
      <c r="H66" s="47"/>
      <c r="I66" s="47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47"/>
      <c r="U66" s="220"/>
      <c r="V66" s="220">
        <v>19.0</v>
      </c>
      <c r="W66" s="47"/>
      <c r="X66" s="47"/>
      <c r="Y66" s="229"/>
      <c r="Z66" s="230">
        <v>28.0</v>
      </c>
      <c r="AA66" s="223">
        <f t="shared" si="2"/>
        <v>22.38</v>
      </c>
      <c r="AB66" s="224">
        <f t="shared" si="3"/>
        <v>31.81</v>
      </c>
    </row>
    <row r="67" ht="12.75" customHeight="1">
      <c r="A67" s="11">
        <v>63.0</v>
      </c>
      <c r="B67" s="219">
        <f>CSE4098B_Spring2026_Grade!B67</f>
        <v>223014122</v>
      </c>
      <c r="C67" s="219" t="str">
        <f>CSE4098B_Spring2026_Grade!C67</f>
        <v>Rabbi Sadnan Khan</v>
      </c>
      <c r="D67" s="230">
        <v>40.0</v>
      </c>
      <c r="E67" s="221">
        <f t="shared" si="1"/>
        <v>38.1</v>
      </c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30"/>
      <c r="V67" s="230">
        <v>19.0</v>
      </c>
      <c r="W67" s="229"/>
      <c r="X67" s="229"/>
      <c r="Y67" s="229"/>
      <c r="Z67" s="230">
        <v>28.0</v>
      </c>
      <c r="AA67" s="223">
        <f t="shared" si="2"/>
        <v>22.38</v>
      </c>
      <c r="AB67" s="224">
        <f t="shared" si="3"/>
        <v>31.81</v>
      </c>
    </row>
    <row r="68" ht="12.75" customHeight="1">
      <c r="A68" s="11">
        <v>64.0</v>
      </c>
      <c r="B68" s="219">
        <f>CSE4098B_Spring2026_Grade!B68</f>
        <v>212014030</v>
      </c>
      <c r="C68" s="219" t="str">
        <f>CSE4098B_Spring2026_Grade!C68</f>
        <v>Faria Islam Sara</v>
      </c>
      <c r="D68" s="230">
        <v>40.0</v>
      </c>
      <c r="E68" s="221">
        <f t="shared" si="1"/>
        <v>38.1</v>
      </c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30"/>
      <c r="V68" s="230">
        <v>19.0</v>
      </c>
      <c r="W68" s="229"/>
      <c r="X68" s="229"/>
      <c r="Y68" s="229"/>
      <c r="Z68" s="230">
        <v>28.0</v>
      </c>
      <c r="AA68" s="223">
        <f t="shared" si="2"/>
        <v>22.38</v>
      </c>
      <c r="AB68" s="224">
        <f t="shared" si="3"/>
        <v>31.81</v>
      </c>
    </row>
    <row r="69" ht="12.75" customHeight="1">
      <c r="A69" s="11">
        <v>65.0</v>
      </c>
      <c r="B69" s="219">
        <f>CSE4098B_Spring2026_Grade!B69</f>
        <v>221014083</v>
      </c>
      <c r="C69" s="219" t="str">
        <f>CSE4098B_Spring2026_Grade!C69</f>
        <v>Salina Akhter</v>
      </c>
      <c r="D69" s="227">
        <v>0.0</v>
      </c>
      <c r="E69" s="221">
        <f t="shared" si="1"/>
        <v>0</v>
      </c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30">
        <v>14.0</v>
      </c>
      <c r="Q69" s="229"/>
      <c r="R69" s="229"/>
      <c r="S69" s="229"/>
      <c r="T69" s="230">
        <v>14.0</v>
      </c>
      <c r="U69" s="229"/>
      <c r="V69" s="229"/>
      <c r="W69" s="229"/>
      <c r="X69" s="229"/>
      <c r="Y69" s="229"/>
      <c r="Z69" s="229"/>
      <c r="AA69" s="223">
        <f t="shared" si="2"/>
        <v>13.33</v>
      </c>
      <c r="AB69" s="224">
        <f t="shared" si="3"/>
        <v>5.33</v>
      </c>
    </row>
    <row r="70" ht="12.75" customHeight="1">
      <c r="A70" s="11">
        <v>66.0</v>
      </c>
      <c r="B70" s="219">
        <f>CSE4098B_Spring2026_Grade!B70</f>
        <v>221014104</v>
      </c>
      <c r="C70" s="219" t="str">
        <f>CSE4098B_Spring2026_Grade!C70</f>
        <v>Rownak Salsabil</v>
      </c>
      <c r="D70" s="236">
        <v>0.0</v>
      </c>
      <c r="E70" s="221">
        <f t="shared" si="1"/>
        <v>0</v>
      </c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30">
        <v>14.0</v>
      </c>
      <c r="Q70" s="229"/>
      <c r="R70" s="229"/>
      <c r="S70" s="229"/>
      <c r="T70" s="230">
        <v>14.0</v>
      </c>
      <c r="U70" s="229"/>
      <c r="V70" s="229"/>
      <c r="W70" s="229"/>
      <c r="X70" s="229"/>
      <c r="Y70" s="229"/>
      <c r="Z70" s="229"/>
      <c r="AA70" s="223">
        <f t="shared" si="2"/>
        <v>13.33</v>
      </c>
      <c r="AB70" s="224">
        <f t="shared" si="3"/>
        <v>5.33</v>
      </c>
    </row>
    <row r="71" ht="12.75" customHeight="1">
      <c r="A71" s="11">
        <v>67.0</v>
      </c>
      <c r="B71" s="219">
        <f>CSE4098B_Spring2026_Grade!B71</f>
        <v>221014077</v>
      </c>
      <c r="C71" s="219" t="str">
        <f>CSE4098B_Spring2026_Grade!C71</f>
        <v>Adnan Chowdhury</v>
      </c>
      <c r="D71" s="236">
        <v>0.0</v>
      </c>
      <c r="E71" s="221">
        <f t="shared" si="1"/>
        <v>0</v>
      </c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>
        <v>14.0</v>
      </c>
      <c r="Q71" s="229"/>
      <c r="R71" s="229"/>
      <c r="S71" s="229"/>
      <c r="T71" s="230">
        <v>14.0</v>
      </c>
      <c r="U71" s="229"/>
      <c r="V71" s="229"/>
      <c r="W71" s="229"/>
      <c r="X71" s="229"/>
      <c r="Y71" s="229"/>
      <c r="Z71" s="229"/>
      <c r="AA71" s="223">
        <f t="shared" si="2"/>
        <v>13.33</v>
      </c>
      <c r="AB71" s="224">
        <f t="shared" si="3"/>
        <v>5.33</v>
      </c>
    </row>
    <row r="72" ht="12.75" customHeight="1">
      <c r="A72" s="11">
        <v>68.0</v>
      </c>
      <c r="B72" s="219">
        <f>CSE4098B_Spring2026_Grade!B72</f>
        <v>221014085</v>
      </c>
      <c r="C72" s="219" t="str">
        <f>CSE4098B_Spring2026_Grade!C72</f>
        <v>Sheikh Nusaibah Noor</v>
      </c>
      <c r="D72" s="236">
        <v>0.0</v>
      </c>
      <c r="E72" s="221">
        <f t="shared" si="1"/>
        <v>0</v>
      </c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30">
        <v>14.0</v>
      </c>
      <c r="Q72" s="229"/>
      <c r="R72" s="229"/>
      <c r="S72" s="229"/>
      <c r="T72" s="230">
        <v>14.0</v>
      </c>
      <c r="U72" s="229"/>
      <c r="V72" s="229"/>
      <c r="W72" s="229"/>
      <c r="X72" s="229"/>
      <c r="Y72" s="229"/>
      <c r="Z72" s="229"/>
      <c r="AA72" s="223">
        <f t="shared" si="2"/>
        <v>13.33</v>
      </c>
      <c r="AB72" s="224">
        <f t="shared" si="3"/>
        <v>5.33</v>
      </c>
    </row>
    <row r="73" ht="12.75" customHeight="1">
      <c r="A73" s="42"/>
      <c r="B73" s="43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 ht="12.75" customHeight="1">
      <c r="A74" s="42"/>
      <c r="B74" s="43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 ht="12.75" customHeight="1">
      <c r="A75" s="42"/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 ht="12.75" customHeight="1">
      <c r="A76" s="42"/>
      <c r="B76" s="43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 ht="12.75" customHeight="1">
      <c r="A77" s="42"/>
      <c r="B77" s="43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 ht="12.75" customHeight="1">
      <c r="A78" s="42"/>
      <c r="B78" s="43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 ht="12.75" customHeight="1">
      <c r="A79" s="42"/>
      <c r="B79" s="43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 ht="12.75" customHeight="1">
      <c r="A80" s="42"/>
      <c r="B80" s="43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 ht="12.75" customHeight="1">
      <c r="A81" s="42"/>
      <c r="B81" s="43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 ht="12.75" customHeight="1">
      <c r="A82" s="42"/>
      <c r="B82" s="43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 ht="12.75" customHeight="1">
      <c r="A83" s="42"/>
      <c r="B83" s="43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 ht="12.75" customHeight="1">
      <c r="A84" s="42"/>
      <c r="B84" s="43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 ht="12.75" customHeight="1">
      <c r="A85" s="42"/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 ht="12.75" customHeight="1">
      <c r="A86" s="42"/>
      <c r="B86" s="43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 ht="12.75" customHeight="1">
      <c r="A87" s="42"/>
      <c r="B87" s="43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 ht="12.75" customHeight="1">
      <c r="A88" s="42"/>
      <c r="B88" s="43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 ht="12.75" customHeight="1">
      <c r="A89" s="42"/>
      <c r="B89" s="43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 ht="12.75" customHeight="1">
      <c r="A90" s="42"/>
      <c r="B90" s="43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 ht="12.75" customHeight="1">
      <c r="A91" s="42"/>
      <c r="B91" s="43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 ht="12.75" customHeight="1">
      <c r="A92" s="42"/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 ht="12.75" customHeight="1">
      <c r="A93" s="42"/>
      <c r="B93" s="43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 ht="12.75" customHeight="1">
      <c r="A94" s="42"/>
      <c r="B94" s="43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 ht="12.75" customHeight="1">
      <c r="A95" s="42"/>
      <c r="B95" s="43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 ht="12.75" customHeight="1">
      <c r="A96" s="42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 ht="12.75" customHeight="1">
      <c r="A97" s="42"/>
      <c r="B97" s="43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 ht="12.75" customHeight="1">
      <c r="A98" s="42"/>
      <c r="B98" s="43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 ht="12.75" customHeight="1">
      <c r="A99" s="42"/>
      <c r="B99" s="43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 ht="12.75" customHeight="1">
      <c r="A100" s="42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 ht="12.75" customHeight="1">
      <c r="A101" s="42"/>
      <c r="B101" s="43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2" ht="12.75" customHeight="1">
      <c r="A102" s="42"/>
      <c r="B102" s="43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 ht="12.75" customHeight="1">
      <c r="A103" s="42"/>
      <c r="B103" s="43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</row>
    <row r="104" ht="12.75" customHeight="1">
      <c r="A104" s="42"/>
      <c r="B104" s="43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 ht="12.75" customHeight="1">
      <c r="A105" s="42"/>
      <c r="B105" s="43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</row>
    <row r="106" ht="12.75" customHeight="1">
      <c r="A106" s="42"/>
      <c r="B106" s="43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 ht="12.75" customHeight="1">
      <c r="A107" s="42"/>
      <c r="B107" s="43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 ht="12.75" customHeight="1">
      <c r="A108" s="42"/>
      <c r="B108" s="43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 ht="12.75" customHeight="1">
      <c r="A109" s="42"/>
      <c r="B109" s="43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 ht="12.75" customHeight="1">
      <c r="A110" s="42"/>
      <c r="B110" s="43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 ht="12.75" customHeight="1">
      <c r="A111" s="42"/>
      <c r="B111" s="43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 ht="12.75" customHeight="1">
      <c r="A112" s="42"/>
      <c r="B112" s="43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 ht="12.75" customHeight="1">
      <c r="A113" s="42"/>
      <c r="B113" s="43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</row>
    <row r="114" ht="12.75" customHeight="1">
      <c r="A114" s="42"/>
      <c r="B114" s="43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 ht="12.75" customHeight="1">
      <c r="A115" s="42"/>
      <c r="B115" s="43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</row>
    <row r="116" ht="12.75" customHeight="1">
      <c r="A116" s="42"/>
      <c r="B116" s="43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 ht="12.75" customHeight="1">
      <c r="A117" s="42"/>
      <c r="B117" s="43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</row>
    <row r="118" ht="12.75" customHeight="1">
      <c r="A118" s="42"/>
      <c r="B118" s="43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 ht="12.75" customHeight="1">
      <c r="A119" s="42"/>
      <c r="B119" s="43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</row>
    <row r="120" ht="12.75" customHeight="1">
      <c r="A120" s="42"/>
      <c r="B120" s="43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 ht="12.75" customHeight="1">
      <c r="A121" s="42"/>
      <c r="B121" s="43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 ht="12.75" customHeight="1">
      <c r="A122" s="42"/>
      <c r="B122" s="43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 ht="12.75" customHeight="1">
      <c r="A123" s="42"/>
      <c r="B123" s="43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</row>
    <row r="124" ht="12.75" customHeight="1">
      <c r="A124" s="42"/>
      <c r="B124" s="43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 ht="12.75" customHeight="1">
      <c r="A125" s="42"/>
      <c r="B125" s="43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</row>
    <row r="126" ht="12.75" customHeight="1">
      <c r="A126" s="42"/>
      <c r="B126" s="43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 ht="12.75" customHeight="1">
      <c r="A127" s="42"/>
      <c r="B127" s="43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  <row r="128" ht="12.75" customHeight="1">
      <c r="A128" s="42"/>
      <c r="B128" s="43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 ht="12.75" customHeight="1">
      <c r="A129" s="42"/>
      <c r="B129" s="43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</row>
    <row r="130" ht="12.75" customHeight="1">
      <c r="A130" s="42"/>
      <c r="B130" s="43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 ht="12.75" customHeight="1">
      <c r="A131" s="42"/>
      <c r="B131" s="43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 ht="12.75" customHeight="1">
      <c r="A132" s="42"/>
      <c r="B132" s="43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 ht="12.75" customHeight="1">
      <c r="A133" s="42"/>
      <c r="B133" s="43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 ht="12.75" customHeight="1">
      <c r="A134" s="42"/>
      <c r="B134" s="43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 ht="12.75" customHeight="1">
      <c r="A135" s="42"/>
      <c r="B135" s="43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</row>
    <row r="136" ht="12.75" customHeight="1">
      <c r="A136" s="42"/>
      <c r="B136" s="43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 ht="12.75" customHeight="1">
      <c r="A137" s="42"/>
      <c r="B137" s="43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</row>
    <row r="138" ht="12.75" customHeight="1">
      <c r="A138" s="42"/>
      <c r="B138" s="43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 ht="12.75" customHeight="1">
      <c r="A139" s="42"/>
      <c r="B139" s="43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</row>
    <row r="140" ht="12.75" customHeight="1">
      <c r="A140" s="42"/>
      <c r="B140" s="43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 ht="12.75" customHeight="1">
      <c r="A141" s="42"/>
      <c r="B141" s="43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</row>
    <row r="142" ht="12.75" customHeight="1">
      <c r="A142" s="42"/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 ht="12.75" customHeight="1">
      <c r="A143" s="42"/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 ht="12.75" customHeight="1">
      <c r="A144" s="42"/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 ht="12.75" customHeight="1">
      <c r="A145" s="42"/>
      <c r="B145" s="43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6" ht="12.75" customHeight="1">
      <c r="A146" s="42"/>
      <c r="B146" s="43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 ht="12.75" customHeight="1">
      <c r="A147" s="42"/>
      <c r="B147" s="43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</row>
    <row r="148" ht="12.75" customHeight="1">
      <c r="A148" s="42"/>
      <c r="B148" s="43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 ht="12.75" customHeight="1">
      <c r="A149" s="42"/>
      <c r="B149" s="43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</row>
    <row r="150" ht="12.75" customHeight="1">
      <c r="A150" s="42"/>
      <c r="B150" s="43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 ht="12.75" customHeight="1">
      <c r="A151" s="42"/>
      <c r="B151" s="43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</row>
    <row r="152" ht="12.75" customHeight="1">
      <c r="A152" s="42"/>
      <c r="B152" s="43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 ht="12.75" customHeight="1">
      <c r="A153" s="42"/>
      <c r="B153" s="43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</row>
    <row r="154" ht="12.75" customHeight="1">
      <c r="A154" s="42"/>
      <c r="B154" s="43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 ht="12.75" customHeight="1">
      <c r="A155" s="42"/>
      <c r="B155" s="43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</row>
    <row r="156" ht="12.75" customHeight="1">
      <c r="A156" s="42"/>
      <c r="B156" s="43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 ht="12.75" customHeight="1">
      <c r="A157" s="42"/>
      <c r="B157" s="43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</row>
    <row r="158" ht="12.75" customHeight="1">
      <c r="A158" s="42"/>
      <c r="B158" s="43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 ht="12.75" customHeight="1">
      <c r="A159" s="42"/>
      <c r="B159" s="43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</row>
    <row r="160" ht="12.75" customHeight="1">
      <c r="A160" s="42"/>
      <c r="B160" s="43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 ht="12.75" customHeight="1">
      <c r="A161" s="42"/>
      <c r="B161" s="43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</row>
    <row r="162" ht="12.75" customHeight="1">
      <c r="A162" s="42"/>
      <c r="B162" s="43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 ht="12.75" customHeight="1">
      <c r="A163" s="42"/>
      <c r="B163" s="43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</row>
    <row r="164" ht="12.75" customHeight="1">
      <c r="A164" s="42"/>
      <c r="B164" s="43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 ht="12.75" customHeight="1">
      <c r="A165" s="42"/>
      <c r="B165" s="43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</row>
    <row r="166" ht="12.75" customHeight="1">
      <c r="A166" s="42"/>
      <c r="B166" s="43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 ht="12.75" customHeight="1">
      <c r="A167" s="42"/>
      <c r="B167" s="43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</row>
    <row r="168" ht="12.75" customHeight="1">
      <c r="A168" s="42"/>
      <c r="B168" s="43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 ht="12.75" customHeight="1">
      <c r="A169" s="42"/>
      <c r="B169" s="43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</row>
    <row r="170" ht="12.75" customHeight="1">
      <c r="A170" s="42"/>
      <c r="B170" s="43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 ht="12.75" customHeight="1">
      <c r="A171" s="42"/>
      <c r="B171" s="43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</row>
    <row r="172" ht="12.75" customHeight="1">
      <c r="A172" s="42"/>
      <c r="B172" s="43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 ht="12.75" customHeight="1">
      <c r="A173" s="42"/>
      <c r="B173" s="43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 ht="12.75" customHeight="1">
      <c r="A174" s="42"/>
      <c r="B174" s="43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 ht="12.75" customHeight="1">
      <c r="A175" s="42"/>
      <c r="B175" s="43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</row>
    <row r="176" ht="12.75" customHeight="1">
      <c r="A176" s="42"/>
      <c r="B176" s="43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 ht="12.75" customHeight="1">
      <c r="A177" s="42"/>
      <c r="B177" s="43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</row>
    <row r="178" ht="12.75" customHeight="1">
      <c r="A178" s="42"/>
      <c r="B178" s="43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 ht="12.75" customHeight="1">
      <c r="A179" s="42"/>
      <c r="B179" s="43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 ht="12.75" customHeight="1">
      <c r="A180" s="42"/>
      <c r="B180" s="43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 ht="12.75" customHeight="1">
      <c r="A181" s="42"/>
      <c r="B181" s="43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 ht="12.75" customHeight="1">
      <c r="A182" s="42"/>
      <c r="B182" s="43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 ht="12.75" customHeight="1">
      <c r="A183" s="42"/>
      <c r="B183" s="43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 ht="12.75" customHeight="1">
      <c r="A184" s="42"/>
      <c r="B184" s="43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 ht="12.75" customHeight="1">
      <c r="A185" s="42"/>
      <c r="B185" s="43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 ht="12.75" customHeight="1">
      <c r="A186" s="42"/>
      <c r="B186" s="43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 ht="12.75" customHeight="1">
      <c r="A187" s="42"/>
      <c r="B187" s="43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 ht="12.75" customHeight="1">
      <c r="A188" s="42"/>
      <c r="B188" s="43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 ht="12.75" customHeight="1">
      <c r="A189" s="42"/>
      <c r="B189" s="43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 ht="12.75" customHeight="1">
      <c r="A190" s="42"/>
      <c r="B190" s="43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 ht="12.75" customHeight="1">
      <c r="A191" s="42"/>
      <c r="B191" s="43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 ht="12.75" customHeight="1">
      <c r="A192" s="42"/>
      <c r="B192" s="43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 ht="12.75" customHeight="1">
      <c r="A193" s="42"/>
      <c r="B193" s="43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 ht="12.75" customHeight="1">
      <c r="A194" s="42"/>
      <c r="B194" s="43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 ht="12.75" customHeight="1">
      <c r="A195" s="42"/>
      <c r="B195" s="43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 ht="12.75" customHeight="1">
      <c r="A196" s="42"/>
      <c r="B196" s="43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 ht="12.75" customHeight="1">
      <c r="A197" s="42"/>
      <c r="B197" s="43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 ht="12.75" customHeight="1">
      <c r="A198" s="42"/>
      <c r="B198" s="43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 ht="12.75" customHeight="1">
      <c r="A199" s="42"/>
      <c r="B199" s="43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 ht="12.75" customHeight="1">
      <c r="A200" s="42"/>
      <c r="B200" s="43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 ht="12.75" customHeight="1">
      <c r="A201" s="42"/>
      <c r="B201" s="43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 ht="12.75" customHeight="1">
      <c r="A202" s="42"/>
      <c r="B202" s="43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 ht="12.75" customHeight="1">
      <c r="A203" s="42"/>
      <c r="B203" s="43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 ht="12.75" customHeight="1">
      <c r="A204" s="42"/>
      <c r="B204" s="43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 ht="12.75" customHeight="1">
      <c r="A205" s="42"/>
      <c r="B205" s="43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 ht="12.75" customHeight="1">
      <c r="A206" s="42"/>
      <c r="B206" s="43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 ht="12.75" customHeight="1">
      <c r="A207" s="42"/>
      <c r="B207" s="43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 ht="12.75" customHeight="1">
      <c r="A208" s="42"/>
      <c r="B208" s="43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 ht="12.75" customHeight="1">
      <c r="A209" s="42"/>
      <c r="B209" s="43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 ht="12.75" customHeight="1">
      <c r="A210" s="42"/>
      <c r="B210" s="43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 ht="12.75" customHeight="1">
      <c r="A211" s="42"/>
      <c r="B211" s="43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 ht="12.75" customHeight="1">
      <c r="A212" s="42"/>
      <c r="B212" s="43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 ht="12.75" customHeight="1">
      <c r="A213" s="42"/>
      <c r="B213" s="43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 ht="12.75" customHeight="1">
      <c r="A214" s="42"/>
      <c r="B214" s="43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 ht="12.75" customHeight="1">
      <c r="A215" s="42"/>
      <c r="B215" s="43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 ht="12.75" customHeight="1">
      <c r="A216" s="42"/>
      <c r="B216" s="43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 ht="12.75" customHeight="1">
      <c r="A217" s="42"/>
      <c r="B217" s="43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 ht="12.75" customHeight="1">
      <c r="A218" s="42"/>
      <c r="B218" s="43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 ht="12.75" customHeight="1">
      <c r="A219" s="42"/>
      <c r="B219" s="43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 ht="12.75" customHeight="1">
      <c r="A220" s="42"/>
      <c r="B220" s="43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 ht="12.75" customHeight="1">
      <c r="A221" s="42"/>
      <c r="B221" s="43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</row>
    <row r="222" ht="12.75" customHeight="1">
      <c r="A222" s="42"/>
      <c r="B222" s="43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 ht="12.75" customHeight="1">
      <c r="A223" s="42"/>
      <c r="B223" s="43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</row>
    <row r="224" ht="12.75" customHeight="1">
      <c r="A224" s="42"/>
      <c r="B224" s="43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 ht="12.75" customHeight="1">
      <c r="A225" s="42"/>
      <c r="B225" s="42"/>
      <c r="C225" s="44"/>
      <c r="D225" s="44"/>
      <c r="E225" s="44"/>
      <c r="F225" s="42"/>
      <c r="G225" s="42"/>
      <c r="H225" s="42"/>
      <c r="I225" s="42"/>
      <c r="J225" s="42"/>
      <c r="K225" s="42"/>
      <c r="L225" s="44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2.75" customHeight="1">
      <c r="A226" s="42"/>
      <c r="B226" s="42"/>
      <c r="C226" s="44"/>
      <c r="D226" s="44"/>
      <c r="E226" s="44"/>
      <c r="F226" s="42"/>
      <c r="G226" s="42"/>
      <c r="H226" s="42"/>
      <c r="I226" s="42"/>
      <c r="J226" s="42"/>
      <c r="K226" s="42"/>
      <c r="L226" s="44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2.75" customHeight="1">
      <c r="A227" s="42"/>
      <c r="B227" s="42"/>
      <c r="C227" s="44"/>
      <c r="D227" s="44"/>
      <c r="E227" s="44"/>
      <c r="F227" s="42"/>
      <c r="G227" s="42"/>
      <c r="H227" s="42"/>
      <c r="I227" s="42"/>
      <c r="J227" s="42"/>
      <c r="K227" s="42"/>
      <c r="L227" s="44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2.75" customHeight="1">
      <c r="A228" s="42"/>
      <c r="B228" s="42"/>
      <c r="C228" s="44"/>
      <c r="D228" s="44"/>
      <c r="E228" s="44"/>
      <c r="F228" s="42"/>
      <c r="G228" s="42"/>
      <c r="H228" s="42"/>
      <c r="I228" s="42"/>
      <c r="J228" s="42"/>
      <c r="K228" s="42"/>
      <c r="L228" s="44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2.75" customHeight="1">
      <c r="A229" s="42"/>
      <c r="B229" s="42"/>
      <c r="C229" s="44"/>
      <c r="D229" s="44"/>
      <c r="E229" s="44"/>
      <c r="F229" s="42"/>
      <c r="G229" s="42"/>
      <c r="H229" s="42"/>
      <c r="I229" s="42"/>
      <c r="J229" s="42"/>
      <c r="K229" s="42"/>
      <c r="L229" s="44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5.75" customHeight="1">
      <c r="A230" s="42"/>
      <c r="B230" s="42"/>
      <c r="C230" s="44"/>
      <c r="D230" s="44"/>
      <c r="E230" s="44"/>
      <c r="F230" s="42"/>
      <c r="G230" s="42"/>
      <c r="H230" s="42"/>
      <c r="I230" s="42"/>
      <c r="J230" s="42"/>
      <c r="K230" s="42"/>
      <c r="L230" s="44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5.75" customHeight="1">
      <c r="A231" s="42"/>
      <c r="B231" s="42"/>
      <c r="C231" s="44"/>
      <c r="D231" s="44"/>
      <c r="E231" s="44"/>
      <c r="F231" s="42"/>
      <c r="G231" s="42"/>
      <c r="H231" s="42"/>
      <c r="I231" s="42"/>
      <c r="J231" s="42"/>
      <c r="K231" s="42"/>
      <c r="L231" s="44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5.75" customHeight="1">
      <c r="A232" s="42"/>
      <c r="B232" s="42"/>
      <c r="C232" s="44"/>
      <c r="D232" s="44"/>
      <c r="E232" s="44"/>
      <c r="F232" s="42"/>
      <c r="G232" s="42"/>
      <c r="H232" s="42"/>
      <c r="I232" s="42"/>
      <c r="J232" s="42"/>
      <c r="K232" s="42"/>
      <c r="L232" s="44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5.75" customHeight="1">
      <c r="A233" s="42"/>
      <c r="B233" s="42"/>
      <c r="C233" s="44"/>
      <c r="D233" s="44"/>
      <c r="E233" s="44"/>
      <c r="F233" s="42"/>
      <c r="G233" s="42"/>
      <c r="H233" s="42"/>
      <c r="I233" s="42"/>
      <c r="J233" s="42"/>
      <c r="K233" s="42"/>
      <c r="L233" s="44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5.75" customHeight="1">
      <c r="A234" s="42"/>
      <c r="B234" s="42"/>
      <c r="C234" s="44"/>
      <c r="D234" s="44"/>
      <c r="E234" s="44"/>
      <c r="F234" s="42"/>
      <c r="G234" s="42"/>
      <c r="H234" s="42"/>
      <c r="I234" s="42"/>
      <c r="J234" s="42"/>
      <c r="K234" s="42"/>
      <c r="L234" s="44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5.75" customHeight="1">
      <c r="A235" s="42"/>
      <c r="B235" s="42"/>
      <c r="C235" s="44"/>
      <c r="D235" s="44"/>
      <c r="E235" s="44"/>
      <c r="F235" s="42"/>
      <c r="G235" s="42"/>
      <c r="H235" s="42"/>
      <c r="I235" s="42"/>
      <c r="J235" s="42"/>
      <c r="K235" s="42"/>
      <c r="L235" s="44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5.75" customHeight="1">
      <c r="A236" s="42"/>
      <c r="B236" s="42"/>
      <c r="C236" s="44"/>
      <c r="D236" s="44"/>
      <c r="E236" s="44"/>
      <c r="F236" s="42"/>
      <c r="G236" s="42"/>
      <c r="H236" s="42"/>
      <c r="I236" s="42"/>
      <c r="J236" s="42"/>
      <c r="K236" s="42"/>
      <c r="L236" s="44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5.75" customHeight="1">
      <c r="A237" s="42"/>
      <c r="B237" s="42"/>
      <c r="C237" s="44"/>
      <c r="D237" s="44"/>
      <c r="E237" s="44"/>
      <c r="F237" s="42"/>
      <c r="G237" s="42"/>
      <c r="H237" s="42"/>
      <c r="I237" s="42"/>
      <c r="J237" s="42"/>
      <c r="K237" s="42"/>
      <c r="L237" s="44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5.75" customHeight="1">
      <c r="A238" s="42"/>
      <c r="B238" s="42"/>
      <c r="C238" s="44"/>
      <c r="D238" s="44"/>
      <c r="E238" s="44"/>
      <c r="F238" s="42"/>
      <c r="G238" s="42"/>
      <c r="H238" s="42"/>
      <c r="I238" s="42"/>
      <c r="J238" s="42"/>
      <c r="K238" s="42"/>
      <c r="L238" s="44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5.75" customHeight="1">
      <c r="A239" s="42"/>
      <c r="B239" s="42"/>
      <c r="C239" s="44"/>
      <c r="D239" s="44"/>
      <c r="E239" s="44"/>
      <c r="F239" s="42"/>
      <c r="G239" s="42"/>
      <c r="H239" s="42"/>
      <c r="I239" s="42"/>
      <c r="J239" s="42"/>
      <c r="K239" s="42"/>
      <c r="L239" s="44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5.75" customHeight="1">
      <c r="A240" s="42"/>
      <c r="B240" s="42"/>
      <c r="C240" s="44"/>
      <c r="D240" s="44"/>
      <c r="E240" s="44"/>
      <c r="F240" s="42"/>
      <c r="G240" s="42"/>
      <c r="H240" s="42"/>
      <c r="I240" s="42"/>
      <c r="J240" s="42"/>
      <c r="K240" s="42"/>
      <c r="L240" s="44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5.75" customHeight="1">
      <c r="A241" s="42"/>
      <c r="B241" s="42"/>
      <c r="C241" s="44"/>
      <c r="D241" s="44"/>
      <c r="E241" s="44"/>
      <c r="F241" s="42"/>
      <c r="G241" s="42"/>
      <c r="H241" s="42"/>
      <c r="I241" s="42"/>
      <c r="J241" s="42"/>
      <c r="K241" s="42"/>
      <c r="L241" s="44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5.75" customHeight="1">
      <c r="A242" s="42"/>
      <c r="B242" s="42"/>
      <c r="C242" s="44"/>
      <c r="D242" s="44"/>
      <c r="E242" s="44"/>
      <c r="F242" s="42"/>
      <c r="G242" s="42"/>
      <c r="H242" s="42"/>
      <c r="I242" s="42"/>
      <c r="J242" s="42"/>
      <c r="K242" s="42"/>
      <c r="L242" s="44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5.75" customHeight="1">
      <c r="A243" s="42"/>
      <c r="B243" s="42"/>
      <c r="C243" s="44"/>
      <c r="D243" s="44"/>
      <c r="E243" s="44"/>
      <c r="F243" s="42"/>
      <c r="G243" s="42"/>
      <c r="H243" s="42"/>
      <c r="I243" s="42"/>
      <c r="J243" s="42"/>
      <c r="K243" s="42"/>
      <c r="L243" s="44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5.75" customHeight="1">
      <c r="A244" s="42"/>
      <c r="B244" s="42"/>
      <c r="C244" s="44"/>
      <c r="D244" s="44"/>
      <c r="E244" s="44"/>
      <c r="F244" s="42"/>
      <c r="G244" s="42"/>
      <c r="H244" s="42"/>
      <c r="I244" s="42"/>
      <c r="J244" s="42"/>
      <c r="K244" s="42"/>
      <c r="L244" s="44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5.75" customHeight="1">
      <c r="A245" s="42"/>
      <c r="B245" s="42"/>
      <c r="C245" s="44"/>
      <c r="D245" s="44"/>
      <c r="E245" s="44"/>
      <c r="F245" s="42"/>
      <c r="G245" s="42"/>
      <c r="H245" s="42"/>
      <c r="I245" s="42"/>
      <c r="J245" s="42"/>
      <c r="K245" s="42"/>
      <c r="L245" s="44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5.75" customHeight="1">
      <c r="A246" s="42"/>
      <c r="B246" s="42"/>
      <c r="C246" s="44"/>
      <c r="D246" s="44"/>
      <c r="E246" s="44"/>
      <c r="F246" s="42"/>
      <c r="G246" s="42"/>
      <c r="H246" s="42"/>
      <c r="I246" s="42"/>
      <c r="J246" s="42"/>
      <c r="K246" s="42"/>
      <c r="L246" s="44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5.75" customHeight="1">
      <c r="R247" s="20"/>
      <c r="S247" s="20"/>
      <c r="T247" s="20"/>
      <c r="U247" s="20"/>
      <c r="V247" s="20"/>
      <c r="W247" s="20"/>
      <c r="X247" s="20"/>
    </row>
    <row r="248" ht="15.75" customHeight="1">
      <c r="R248" s="20"/>
      <c r="S248" s="20"/>
      <c r="T248" s="20"/>
      <c r="U248" s="20"/>
      <c r="V248" s="20"/>
      <c r="W248" s="20"/>
      <c r="X248" s="20"/>
    </row>
    <row r="249" ht="15.75" customHeight="1">
      <c r="R249" s="20"/>
      <c r="S249" s="20"/>
      <c r="T249" s="20"/>
      <c r="U249" s="20"/>
      <c r="V249" s="20"/>
      <c r="W249" s="20"/>
      <c r="X249" s="20"/>
    </row>
    <row r="250" ht="15.75" customHeight="1">
      <c r="R250" s="20"/>
      <c r="S250" s="20"/>
      <c r="T250" s="20"/>
      <c r="U250" s="20"/>
      <c r="V250" s="20"/>
      <c r="W250" s="20"/>
      <c r="X250" s="20"/>
    </row>
    <row r="251" ht="15.75" customHeight="1">
      <c r="R251" s="20"/>
      <c r="S251" s="20"/>
      <c r="T251" s="20"/>
      <c r="U251" s="20"/>
      <c r="V251" s="20"/>
      <c r="W251" s="20"/>
      <c r="X251" s="20"/>
    </row>
    <row r="252" ht="15.75" customHeight="1">
      <c r="R252" s="20"/>
      <c r="S252" s="20"/>
      <c r="T252" s="20"/>
      <c r="U252" s="20"/>
      <c r="V252" s="20"/>
      <c r="W252" s="20"/>
      <c r="X252" s="20"/>
    </row>
    <row r="253" ht="15.75" customHeight="1">
      <c r="R253" s="20"/>
      <c r="S253" s="20"/>
      <c r="T253" s="20"/>
      <c r="U253" s="20"/>
      <c r="V253" s="20"/>
      <c r="W253" s="20"/>
      <c r="X253" s="20"/>
    </row>
    <row r="254" ht="15.75" customHeight="1">
      <c r="R254" s="20"/>
      <c r="S254" s="20"/>
      <c r="T254" s="20"/>
      <c r="U254" s="20"/>
      <c r="V254" s="20"/>
      <c r="W254" s="20"/>
      <c r="X254" s="20"/>
    </row>
    <row r="255" ht="15.75" customHeight="1">
      <c r="R255" s="20"/>
      <c r="S255" s="20"/>
      <c r="T255" s="20"/>
      <c r="U255" s="20"/>
      <c r="V255" s="20"/>
      <c r="W255" s="20"/>
      <c r="X255" s="20"/>
    </row>
    <row r="256" ht="15.75" customHeight="1">
      <c r="R256" s="20"/>
      <c r="S256" s="20"/>
      <c r="T256" s="20"/>
      <c r="U256" s="20"/>
      <c r="V256" s="20"/>
      <c r="W256" s="20"/>
      <c r="X256" s="20"/>
    </row>
    <row r="257" ht="15.75" customHeight="1">
      <c r="R257" s="20"/>
      <c r="S257" s="20"/>
      <c r="T257" s="20"/>
      <c r="U257" s="20"/>
      <c r="V257" s="20"/>
      <c r="W257" s="20"/>
      <c r="X257" s="20"/>
    </row>
    <row r="258" ht="15.75" customHeight="1">
      <c r="R258" s="20"/>
      <c r="S258" s="20"/>
      <c r="T258" s="20"/>
      <c r="U258" s="20"/>
      <c r="V258" s="20"/>
      <c r="W258" s="20"/>
      <c r="X258" s="20"/>
    </row>
    <row r="259" ht="15.75" customHeight="1">
      <c r="R259" s="20"/>
      <c r="S259" s="20"/>
      <c r="T259" s="20"/>
      <c r="U259" s="20"/>
      <c r="V259" s="20"/>
      <c r="W259" s="20"/>
      <c r="X259" s="20"/>
    </row>
    <row r="260" ht="15.75" customHeight="1">
      <c r="R260" s="20"/>
      <c r="S260" s="20"/>
      <c r="T260" s="20"/>
      <c r="U260" s="20"/>
      <c r="V260" s="20"/>
      <c r="W260" s="20"/>
      <c r="X260" s="20"/>
    </row>
    <row r="261" ht="15.75" customHeight="1">
      <c r="R261" s="20"/>
      <c r="S261" s="20"/>
      <c r="T261" s="20"/>
      <c r="U261" s="20"/>
      <c r="V261" s="20"/>
      <c r="W261" s="20"/>
      <c r="X261" s="20"/>
    </row>
    <row r="262" ht="15.75" customHeight="1">
      <c r="R262" s="20"/>
      <c r="S262" s="20"/>
      <c r="T262" s="20"/>
      <c r="U262" s="20"/>
      <c r="V262" s="20"/>
      <c r="W262" s="20"/>
      <c r="X262" s="20"/>
    </row>
    <row r="263" ht="15.75" customHeight="1">
      <c r="R263" s="20"/>
      <c r="S263" s="20"/>
      <c r="T263" s="20"/>
      <c r="U263" s="20"/>
      <c r="V263" s="20"/>
      <c r="W263" s="20"/>
      <c r="X263" s="20"/>
    </row>
    <row r="264" ht="15.75" customHeight="1">
      <c r="R264" s="20"/>
      <c r="S264" s="20"/>
      <c r="T264" s="20"/>
      <c r="U264" s="20"/>
      <c r="V264" s="20"/>
      <c r="W264" s="20"/>
      <c r="X264" s="20"/>
    </row>
    <row r="265" ht="15.75" customHeight="1">
      <c r="R265" s="20"/>
      <c r="S265" s="20"/>
      <c r="T265" s="20"/>
      <c r="U265" s="20"/>
      <c r="V265" s="20"/>
      <c r="W265" s="20"/>
      <c r="X265" s="20"/>
    </row>
    <row r="266" ht="15.75" customHeight="1">
      <c r="R266" s="20"/>
      <c r="S266" s="20"/>
      <c r="T266" s="20"/>
      <c r="U266" s="20"/>
      <c r="V266" s="20"/>
      <c r="W266" s="20"/>
      <c r="X266" s="20"/>
    </row>
    <row r="267" ht="15.75" customHeight="1">
      <c r="R267" s="20"/>
      <c r="S267" s="20"/>
      <c r="T267" s="20"/>
      <c r="U267" s="20"/>
      <c r="V267" s="20"/>
      <c r="W267" s="20"/>
      <c r="X267" s="20"/>
    </row>
    <row r="268" ht="15.75" customHeight="1">
      <c r="R268" s="20"/>
      <c r="S268" s="20"/>
      <c r="T268" s="20"/>
      <c r="U268" s="20"/>
      <c r="V268" s="20"/>
      <c r="W268" s="20"/>
      <c r="X268" s="20"/>
    </row>
    <row r="269" ht="15.75" customHeight="1">
      <c r="R269" s="20"/>
      <c r="S269" s="20"/>
      <c r="T269" s="20"/>
      <c r="U269" s="20"/>
      <c r="V269" s="20"/>
      <c r="W269" s="20"/>
      <c r="X269" s="20"/>
    </row>
    <row r="270" ht="15.75" customHeight="1">
      <c r="R270" s="20"/>
      <c r="S270" s="20"/>
      <c r="T270" s="20"/>
      <c r="U270" s="20"/>
      <c r="V270" s="20"/>
      <c r="W270" s="20"/>
      <c r="X270" s="20"/>
    </row>
    <row r="271" ht="15.75" customHeight="1">
      <c r="R271" s="20"/>
      <c r="S271" s="20"/>
      <c r="T271" s="20"/>
      <c r="U271" s="20"/>
      <c r="V271" s="20"/>
      <c r="W271" s="20"/>
      <c r="X271" s="20"/>
    </row>
    <row r="272" ht="15.75" customHeight="1">
      <c r="R272" s="20"/>
      <c r="S272" s="20"/>
      <c r="T272" s="20"/>
      <c r="U272" s="20"/>
      <c r="V272" s="20"/>
      <c r="W272" s="20"/>
      <c r="X272" s="20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4">
    <mergeCell ref="A1:AB1"/>
    <mergeCell ref="A2:AB2"/>
    <mergeCell ref="D3:E3"/>
    <mergeCell ref="G3:AA3"/>
  </mergeCells>
  <printOptions/>
  <pageMargins bottom="0.75" footer="0.0" header="0.0" left="0.7" right="0.7" top="0.75"/>
  <pageSetup paperSize="9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2.0"/>
    <col customWidth="1" min="3" max="3" width="31.88"/>
    <col customWidth="1" min="4" max="4" width="16.38"/>
    <col customWidth="1" min="5" max="5" width="13.63"/>
    <col customWidth="1" min="6" max="6" width="8.0"/>
    <col customWidth="1" min="7" max="7" width="7.88"/>
    <col customWidth="1" min="8" max="8" width="8.63"/>
    <col customWidth="1" min="9" max="9" width="8.0"/>
    <col customWidth="1" min="10" max="11" width="7.88"/>
    <col customWidth="1" min="12" max="20" width="8.38"/>
    <col customWidth="1" min="21" max="23" width="6.63"/>
    <col customWidth="1" min="24" max="24" width="8.5"/>
    <col customWidth="1" min="25" max="25" width="12.13"/>
    <col customWidth="1" min="26" max="26" width="19.63"/>
    <col customWidth="1" min="27" max="27" width="12.5"/>
    <col customWidth="1" min="28" max="28" width="18.88"/>
    <col customWidth="1" min="29" max="46" width="14.38"/>
  </cols>
  <sheetData>
    <row r="1" ht="23.25" customHeight="1">
      <c r="A1" s="3" t="s">
        <v>200</v>
      </c>
    </row>
    <row r="2" ht="26.25" customHeight="1">
      <c r="A2" s="207" t="s">
        <v>1</v>
      </c>
    </row>
    <row r="3" ht="32.25" customHeight="1">
      <c r="A3" s="217"/>
      <c r="B3" s="237"/>
      <c r="C3" s="238" t="s">
        <v>2</v>
      </c>
      <c r="D3" s="210" t="s">
        <v>12</v>
      </c>
      <c r="E3" s="46"/>
      <c r="F3" s="239" t="s">
        <v>201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46"/>
      <c r="Z3" s="240"/>
    </row>
    <row r="4" ht="63.0" customHeight="1">
      <c r="A4" s="241" t="s">
        <v>3</v>
      </c>
      <c r="B4" s="241" t="s">
        <v>4</v>
      </c>
      <c r="C4" s="242" t="s">
        <v>5</v>
      </c>
      <c r="D4" s="8" t="s">
        <v>202</v>
      </c>
      <c r="E4" s="8" t="s">
        <v>203</v>
      </c>
      <c r="F4" s="217" t="s">
        <v>15</v>
      </c>
      <c r="G4" s="217" t="s">
        <v>44</v>
      </c>
      <c r="H4" s="217" t="s">
        <v>28</v>
      </c>
      <c r="I4" s="217" t="s">
        <v>22</v>
      </c>
      <c r="J4" s="216" t="s">
        <v>192</v>
      </c>
      <c r="K4" s="217" t="s">
        <v>67</v>
      </c>
      <c r="L4" s="217" t="s">
        <v>187</v>
      </c>
      <c r="M4" s="217" t="s">
        <v>39</v>
      </c>
      <c r="N4" s="216" t="s">
        <v>188</v>
      </c>
      <c r="O4" s="216" t="s">
        <v>191</v>
      </c>
      <c r="P4" s="217" t="s">
        <v>74</v>
      </c>
      <c r="Q4" s="217" t="s">
        <v>62</v>
      </c>
      <c r="R4" s="216" t="s">
        <v>194</v>
      </c>
      <c r="S4" s="217" t="s">
        <v>57</v>
      </c>
      <c r="T4" s="217" t="s">
        <v>189</v>
      </c>
      <c r="U4" s="217" t="s">
        <v>92</v>
      </c>
      <c r="V4" s="217" t="s">
        <v>190</v>
      </c>
      <c r="W4" s="216" t="s">
        <v>196</v>
      </c>
      <c r="X4" s="217" t="s">
        <v>80</v>
      </c>
      <c r="Y4" s="243" t="s">
        <v>204</v>
      </c>
      <c r="Z4" s="8" t="s">
        <v>198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</row>
    <row r="5" ht="11.25" customHeight="1">
      <c r="A5" s="11">
        <v>1.0</v>
      </c>
      <c r="B5" s="219">
        <f>CSE4098B_Spring2026_Grade!B5</f>
        <v>223014152</v>
      </c>
      <c r="C5" s="219" t="str">
        <f>CSE4098B_Spring2026_Grade!C5</f>
        <v>Ahadul Islam Rahul</v>
      </c>
      <c r="D5" s="220">
        <v>33.0</v>
      </c>
      <c r="E5" s="221">
        <f t="shared" ref="E5:E72" si="1">(50*D5)/45</f>
        <v>36.66666667</v>
      </c>
      <c r="F5" s="47"/>
      <c r="G5" s="47"/>
      <c r="H5" s="47"/>
      <c r="I5" s="220">
        <v>38.0</v>
      </c>
      <c r="J5" s="220">
        <v>36.0</v>
      </c>
      <c r="K5" s="47"/>
      <c r="L5" s="47"/>
      <c r="M5" s="220">
        <v>36.0</v>
      </c>
      <c r="N5" s="220"/>
      <c r="O5" s="220">
        <v>24.0</v>
      </c>
      <c r="P5" s="47"/>
      <c r="Q5" s="47"/>
      <c r="R5" s="47"/>
      <c r="S5" s="47"/>
      <c r="T5" s="47"/>
      <c r="U5" s="47"/>
      <c r="V5" s="47"/>
      <c r="W5" s="47"/>
      <c r="X5" s="47"/>
      <c r="Y5" s="244">
        <f t="shared" ref="Y5:Y72" si="2">(50*AVERAGE(F5:X5))/45</f>
        <v>37.22222222</v>
      </c>
      <c r="Z5" s="245">
        <f t="shared" ref="Z5:Z72" si="3">ROUND((E5*60%+Y5*40%),2)</f>
        <v>36.89</v>
      </c>
      <c r="AA5" s="246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</row>
    <row r="6" ht="11.25" customHeight="1">
      <c r="A6" s="11">
        <v>2.0</v>
      </c>
      <c r="B6" s="219">
        <f>CSE4098B_Spring2026_Grade!B6</f>
        <v>223014049</v>
      </c>
      <c r="C6" s="219" t="str">
        <f>CSE4098B_Spring2026_Grade!C6</f>
        <v>Md. Sojib Al Hasan</v>
      </c>
      <c r="D6" s="220">
        <v>39.0</v>
      </c>
      <c r="E6" s="221">
        <f t="shared" si="1"/>
        <v>43.33333333</v>
      </c>
      <c r="F6" s="47"/>
      <c r="G6" s="47"/>
      <c r="H6" s="47"/>
      <c r="I6" s="220">
        <v>37.0</v>
      </c>
      <c r="J6" s="220">
        <v>36.0</v>
      </c>
      <c r="K6" s="47"/>
      <c r="L6" s="47"/>
      <c r="M6" s="220">
        <v>36.0</v>
      </c>
      <c r="N6" s="220"/>
      <c r="O6" s="220">
        <v>14.0</v>
      </c>
      <c r="P6" s="47"/>
      <c r="Q6" s="47"/>
      <c r="R6" s="47"/>
      <c r="S6" s="47"/>
      <c r="T6" s="47"/>
      <c r="U6" s="47"/>
      <c r="V6" s="47"/>
      <c r="W6" s="47"/>
      <c r="X6" s="47"/>
      <c r="Y6" s="244">
        <f t="shared" si="2"/>
        <v>34.16666667</v>
      </c>
      <c r="Z6" s="245">
        <f t="shared" si="3"/>
        <v>39.67</v>
      </c>
      <c r="AA6" s="24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</row>
    <row r="7" ht="11.25" customHeight="1">
      <c r="A7" s="11">
        <v>3.0</v>
      </c>
      <c r="B7" s="219">
        <f>CSE4098B_Spring2026_Grade!B7</f>
        <v>222014039</v>
      </c>
      <c r="C7" s="219" t="str">
        <f>CSE4098B_Spring2026_Grade!C7</f>
        <v>Nadia Akter Jui</v>
      </c>
      <c r="D7" s="220">
        <v>27.0</v>
      </c>
      <c r="E7" s="221">
        <f t="shared" si="1"/>
        <v>30</v>
      </c>
      <c r="F7" s="47"/>
      <c r="G7" s="47"/>
      <c r="H7" s="47"/>
      <c r="I7" s="220">
        <v>37.0</v>
      </c>
      <c r="J7" s="220">
        <v>36.0</v>
      </c>
      <c r="K7" s="47"/>
      <c r="L7" s="47"/>
      <c r="M7" s="220">
        <v>36.0</v>
      </c>
      <c r="N7" s="220"/>
      <c r="O7" s="220">
        <v>21.0</v>
      </c>
      <c r="P7" s="47"/>
      <c r="Q7" s="47"/>
      <c r="R7" s="47"/>
      <c r="S7" s="47"/>
      <c r="T7" s="47"/>
      <c r="U7" s="47"/>
      <c r="V7" s="47"/>
      <c r="W7" s="47"/>
      <c r="X7" s="47"/>
      <c r="Y7" s="244">
        <f t="shared" si="2"/>
        <v>36.11111111</v>
      </c>
      <c r="Z7" s="245">
        <f t="shared" si="3"/>
        <v>32.44</v>
      </c>
      <c r="AA7" s="24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ht="11.25" customHeight="1">
      <c r="A8" s="11">
        <v>4.0</v>
      </c>
      <c r="B8" s="219">
        <f>CSE4098B_Spring2026_Grade!B8</f>
        <v>222014012</v>
      </c>
      <c r="C8" s="219" t="str">
        <f>CSE4098B_Spring2026_Grade!C8</f>
        <v>Md. Minhazul Islam</v>
      </c>
      <c r="D8" s="220">
        <v>27.0</v>
      </c>
      <c r="E8" s="221">
        <f t="shared" si="1"/>
        <v>30</v>
      </c>
      <c r="F8" s="47"/>
      <c r="G8" s="47"/>
      <c r="H8" s="47"/>
      <c r="I8" s="220">
        <v>38.0</v>
      </c>
      <c r="J8" s="220">
        <v>36.0</v>
      </c>
      <c r="K8" s="47"/>
      <c r="L8" s="47"/>
      <c r="M8" s="220">
        <v>36.0</v>
      </c>
      <c r="N8" s="220"/>
      <c r="O8" s="220">
        <v>24.0</v>
      </c>
      <c r="P8" s="47"/>
      <c r="Q8" s="47"/>
      <c r="R8" s="47"/>
      <c r="S8" s="47"/>
      <c r="T8" s="47"/>
      <c r="U8" s="47"/>
      <c r="V8" s="47"/>
      <c r="W8" s="47"/>
      <c r="X8" s="47"/>
      <c r="Y8" s="244">
        <f t="shared" si="2"/>
        <v>37.22222222</v>
      </c>
      <c r="Z8" s="245">
        <f t="shared" si="3"/>
        <v>32.89</v>
      </c>
      <c r="AA8" s="247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</row>
    <row r="9" ht="11.25" customHeight="1">
      <c r="A9" s="11">
        <v>5.0</v>
      </c>
      <c r="B9" s="219">
        <f>CSE4098B_Spring2026_Grade!B9</f>
        <v>222014096</v>
      </c>
      <c r="C9" s="219" t="str">
        <f>CSE4098B_Spring2026_Grade!C9</f>
        <v>Md. Shams Arefin</v>
      </c>
      <c r="D9" s="220">
        <v>39.0</v>
      </c>
      <c r="E9" s="221">
        <f t="shared" si="1"/>
        <v>43.33333333</v>
      </c>
      <c r="F9" s="47"/>
      <c r="G9" s="47"/>
      <c r="H9" s="47"/>
      <c r="I9" s="220">
        <v>37.0</v>
      </c>
      <c r="J9" s="220">
        <v>39.0</v>
      </c>
      <c r="K9" s="47"/>
      <c r="L9" s="47"/>
      <c r="M9" s="220">
        <v>36.0</v>
      </c>
      <c r="N9" s="220"/>
      <c r="O9" s="220">
        <v>27.0</v>
      </c>
      <c r="P9" s="47"/>
      <c r="Q9" s="47"/>
      <c r="R9" s="47"/>
      <c r="S9" s="47"/>
      <c r="T9" s="47"/>
      <c r="U9" s="47"/>
      <c r="V9" s="47"/>
      <c r="W9" s="47"/>
      <c r="X9" s="47"/>
      <c r="Y9" s="244">
        <f t="shared" si="2"/>
        <v>38.61111111</v>
      </c>
      <c r="Z9" s="245">
        <f t="shared" si="3"/>
        <v>41.44</v>
      </c>
      <c r="AA9" s="247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</row>
    <row r="10" ht="11.25" customHeight="1">
      <c r="A10" s="11">
        <v>6.0</v>
      </c>
      <c r="B10" s="219">
        <f>CSE4098B_Spring2026_Grade!B10</f>
        <v>222014052</v>
      </c>
      <c r="C10" s="219" t="str">
        <f>CSE4098B_Spring2026_Grade!C10</f>
        <v>Redwan Ahamad Samir</v>
      </c>
      <c r="D10" s="220">
        <v>41.0</v>
      </c>
      <c r="E10" s="221">
        <f t="shared" si="1"/>
        <v>45.55555556</v>
      </c>
      <c r="F10" s="220">
        <v>33.0</v>
      </c>
      <c r="G10" s="47"/>
      <c r="H10" s="47"/>
      <c r="I10" s="47"/>
      <c r="J10" s="220">
        <v>36.0</v>
      </c>
      <c r="K10" s="47"/>
      <c r="L10" s="47"/>
      <c r="M10" s="220">
        <v>42.0</v>
      </c>
      <c r="N10" s="220"/>
      <c r="O10" s="220">
        <v>27.0</v>
      </c>
      <c r="P10" s="47"/>
      <c r="Q10" s="47"/>
      <c r="R10" s="47"/>
      <c r="S10" s="47"/>
      <c r="T10" s="47"/>
      <c r="U10" s="47"/>
      <c r="V10" s="47"/>
      <c r="W10" s="47"/>
      <c r="X10" s="47"/>
      <c r="Y10" s="244">
        <f t="shared" si="2"/>
        <v>38.33333333</v>
      </c>
      <c r="Z10" s="245">
        <f t="shared" si="3"/>
        <v>42.67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</row>
    <row r="11" ht="11.25" customHeight="1">
      <c r="A11" s="11">
        <v>7.0</v>
      </c>
      <c r="B11" s="219">
        <f>CSE4098B_Spring2026_Grade!B11</f>
        <v>222014009</v>
      </c>
      <c r="C11" s="219" t="str">
        <f>CSE4098B_Spring2026_Grade!C11</f>
        <v>Samia Rahman</v>
      </c>
      <c r="D11" s="220">
        <v>40.0</v>
      </c>
      <c r="E11" s="221">
        <f t="shared" si="1"/>
        <v>44.44444444</v>
      </c>
      <c r="F11" s="220">
        <v>30.0</v>
      </c>
      <c r="G11" s="47"/>
      <c r="H11" s="47"/>
      <c r="I11" s="47"/>
      <c r="J11" s="220">
        <v>36.0</v>
      </c>
      <c r="K11" s="47"/>
      <c r="L11" s="47"/>
      <c r="M11" s="220">
        <v>36.0</v>
      </c>
      <c r="N11" s="220"/>
      <c r="O11" s="220">
        <v>24.0</v>
      </c>
      <c r="P11" s="47"/>
      <c r="Q11" s="47"/>
      <c r="R11" s="47"/>
      <c r="S11" s="47"/>
      <c r="T11" s="47"/>
      <c r="U11" s="47"/>
      <c r="V11" s="47"/>
      <c r="W11" s="47"/>
      <c r="X11" s="47"/>
      <c r="Y11" s="244">
        <f t="shared" si="2"/>
        <v>35</v>
      </c>
      <c r="Z11" s="245">
        <f t="shared" si="3"/>
        <v>40.67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 ht="11.25" customHeight="1">
      <c r="A12" s="11">
        <v>8.0</v>
      </c>
      <c r="B12" s="219">
        <f>CSE4098B_Spring2026_Grade!B12</f>
        <v>222014088</v>
      </c>
      <c r="C12" s="219" t="str">
        <f>CSE4098B_Spring2026_Grade!C12</f>
        <v>Md. Omur Faruk</v>
      </c>
      <c r="D12" s="220">
        <v>38.0</v>
      </c>
      <c r="E12" s="221">
        <f t="shared" si="1"/>
        <v>42.22222222</v>
      </c>
      <c r="F12" s="220">
        <v>30.0</v>
      </c>
      <c r="G12" s="47"/>
      <c r="H12" s="47"/>
      <c r="I12" s="47"/>
      <c r="J12" s="220">
        <v>36.0</v>
      </c>
      <c r="K12" s="47"/>
      <c r="L12" s="47"/>
      <c r="M12" s="220">
        <v>36.0</v>
      </c>
      <c r="N12" s="220"/>
      <c r="O12" s="220">
        <v>24.0</v>
      </c>
      <c r="P12" s="47"/>
      <c r="Q12" s="47"/>
      <c r="R12" s="47"/>
      <c r="S12" s="47"/>
      <c r="T12" s="47"/>
      <c r="U12" s="47"/>
      <c r="V12" s="47"/>
      <c r="W12" s="47"/>
      <c r="X12" s="47"/>
      <c r="Y12" s="244">
        <f t="shared" si="2"/>
        <v>35</v>
      </c>
      <c r="Z12" s="245">
        <f t="shared" si="3"/>
        <v>39.33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</row>
    <row r="13" ht="11.25" customHeight="1">
      <c r="A13" s="11">
        <v>9.0</v>
      </c>
      <c r="B13" s="219">
        <f>CSE4098B_Spring2026_Grade!B13</f>
        <v>231014021</v>
      </c>
      <c r="C13" s="219" t="str">
        <f>CSE4098B_Spring2026_Grade!C13</f>
        <v>Raiyan Islam</v>
      </c>
      <c r="D13" s="220">
        <v>38.0</v>
      </c>
      <c r="E13" s="221">
        <f t="shared" si="1"/>
        <v>42.22222222</v>
      </c>
      <c r="F13" s="220">
        <v>30.0</v>
      </c>
      <c r="G13" s="47"/>
      <c r="H13" s="47"/>
      <c r="I13" s="47"/>
      <c r="J13" s="220">
        <v>36.0</v>
      </c>
      <c r="K13" s="47"/>
      <c r="L13" s="47"/>
      <c r="M13" s="220">
        <v>36.0</v>
      </c>
      <c r="N13" s="220"/>
      <c r="O13" s="220">
        <v>21.0</v>
      </c>
      <c r="P13" s="47"/>
      <c r="Q13" s="47"/>
      <c r="R13" s="47"/>
      <c r="S13" s="47"/>
      <c r="T13" s="47"/>
      <c r="U13" s="47"/>
      <c r="V13" s="47"/>
      <c r="W13" s="47"/>
      <c r="X13" s="47"/>
      <c r="Y13" s="244">
        <f t="shared" si="2"/>
        <v>34.16666667</v>
      </c>
      <c r="Z13" s="245">
        <f t="shared" si="3"/>
        <v>39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</row>
    <row r="14" ht="11.25" customHeight="1">
      <c r="A14" s="11">
        <v>10.0</v>
      </c>
      <c r="B14" s="219">
        <f>CSE4098B_Spring2026_Grade!B14</f>
        <v>223014142</v>
      </c>
      <c r="C14" s="219" t="str">
        <f>CSE4098B_Spring2026_Grade!C14</f>
        <v>Tamanna Akter</v>
      </c>
      <c r="D14" s="220">
        <v>40.0</v>
      </c>
      <c r="E14" s="221">
        <f t="shared" si="1"/>
        <v>44.44444444</v>
      </c>
      <c r="F14" s="47"/>
      <c r="G14" s="47"/>
      <c r="H14" s="47"/>
      <c r="I14" s="220">
        <v>41.0</v>
      </c>
      <c r="J14" s="220">
        <v>33.0</v>
      </c>
      <c r="K14" s="47"/>
      <c r="L14" s="47"/>
      <c r="M14" s="47"/>
      <c r="N14" s="220"/>
      <c r="O14" s="220">
        <v>39.0</v>
      </c>
      <c r="P14" s="47"/>
      <c r="Q14" s="47"/>
      <c r="R14" s="47"/>
      <c r="S14" s="47"/>
      <c r="T14" s="47"/>
      <c r="U14" s="47"/>
      <c r="V14" s="47"/>
      <c r="W14" s="47"/>
      <c r="X14" s="47"/>
      <c r="Y14" s="244">
        <f t="shared" si="2"/>
        <v>41.85185185</v>
      </c>
      <c r="Z14" s="245">
        <f t="shared" si="3"/>
        <v>43.41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</row>
    <row r="15" ht="11.25" customHeight="1">
      <c r="A15" s="11">
        <v>11.0</v>
      </c>
      <c r="B15" s="219">
        <f>CSE4098B_Spring2026_Grade!B15</f>
        <v>223014204</v>
      </c>
      <c r="C15" s="219" t="str">
        <f>CSE4098B_Spring2026_Grade!C15</f>
        <v>Ashrafun Nahar Rahi</v>
      </c>
      <c r="D15" s="220">
        <v>40.0</v>
      </c>
      <c r="E15" s="221">
        <f t="shared" si="1"/>
        <v>44.44444444</v>
      </c>
      <c r="F15" s="47"/>
      <c r="G15" s="47"/>
      <c r="H15" s="47"/>
      <c r="I15" s="220">
        <v>41.0</v>
      </c>
      <c r="J15" s="220">
        <v>33.0</v>
      </c>
      <c r="K15" s="47"/>
      <c r="L15" s="47"/>
      <c r="M15" s="47"/>
      <c r="N15" s="220"/>
      <c r="O15" s="220">
        <v>39.0</v>
      </c>
      <c r="P15" s="47"/>
      <c r="Q15" s="47"/>
      <c r="R15" s="47"/>
      <c r="S15" s="47"/>
      <c r="T15" s="47"/>
      <c r="U15" s="47"/>
      <c r="V15" s="47"/>
      <c r="W15" s="47"/>
      <c r="X15" s="47"/>
      <c r="Y15" s="244">
        <f t="shared" si="2"/>
        <v>41.85185185</v>
      </c>
      <c r="Z15" s="245">
        <f t="shared" si="3"/>
        <v>43.41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</row>
    <row r="16" ht="11.25" customHeight="1">
      <c r="A16" s="11">
        <v>12.0</v>
      </c>
      <c r="B16" s="219">
        <f>CSE4098B_Spring2026_Grade!B16</f>
        <v>213014052</v>
      </c>
      <c r="C16" s="219" t="str">
        <f>CSE4098B_Spring2026_Grade!C16</f>
        <v>Khuslima Fardush Mony</v>
      </c>
      <c r="D16" s="220">
        <v>38.0</v>
      </c>
      <c r="E16" s="221">
        <f t="shared" si="1"/>
        <v>42.22222222</v>
      </c>
      <c r="F16" s="47"/>
      <c r="G16" s="47"/>
      <c r="H16" s="47"/>
      <c r="I16" s="220">
        <v>41.0</v>
      </c>
      <c r="J16" s="220">
        <v>33.0</v>
      </c>
      <c r="K16" s="47"/>
      <c r="L16" s="47"/>
      <c r="M16" s="47"/>
      <c r="N16" s="220"/>
      <c r="O16" s="220">
        <v>30.0</v>
      </c>
      <c r="P16" s="47"/>
      <c r="Q16" s="47"/>
      <c r="R16" s="47"/>
      <c r="S16" s="47"/>
      <c r="T16" s="47"/>
      <c r="U16" s="47"/>
      <c r="V16" s="47"/>
      <c r="W16" s="47"/>
      <c r="X16" s="47"/>
      <c r="Y16" s="244">
        <f t="shared" si="2"/>
        <v>38.51851852</v>
      </c>
      <c r="Z16" s="245">
        <f t="shared" si="3"/>
        <v>40.74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</row>
    <row r="17" ht="11.25" customHeight="1">
      <c r="A17" s="11">
        <v>13.0</v>
      </c>
      <c r="B17" s="219">
        <f>CSE4098B_Spring2026_Grade!B17</f>
        <v>221014035</v>
      </c>
      <c r="C17" s="219" t="str">
        <f>CSE4098B_Spring2026_Grade!C17</f>
        <v>Md. Alif Hossain</v>
      </c>
      <c r="D17" s="220">
        <v>37.0</v>
      </c>
      <c r="E17" s="221">
        <f t="shared" si="1"/>
        <v>41.11111111</v>
      </c>
      <c r="F17" s="47"/>
      <c r="G17" s="47"/>
      <c r="H17" s="47"/>
      <c r="I17" s="220">
        <v>41.0</v>
      </c>
      <c r="J17" s="220">
        <v>33.0</v>
      </c>
      <c r="K17" s="47"/>
      <c r="L17" s="47"/>
      <c r="M17" s="47"/>
      <c r="N17" s="220"/>
      <c r="O17" s="220">
        <v>27.0</v>
      </c>
      <c r="P17" s="47"/>
      <c r="Q17" s="47"/>
      <c r="R17" s="47"/>
      <c r="S17" s="47"/>
      <c r="T17" s="47"/>
      <c r="U17" s="47"/>
      <c r="V17" s="47"/>
      <c r="W17" s="47"/>
      <c r="X17" s="47"/>
      <c r="Y17" s="244">
        <f t="shared" si="2"/>
        <v>37.40740741</v>
      </c>
      <c r="Z17" s="245">
        <f t="shared" si="3"/>
        <v>39.63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 ht="11.25" customHeight="1">
      <c r="A18" s="11">
        <v>14.0</v>
      </c>
      <c r="B18" s="219">
        <f>CSE4098B_Spring2026_Grade!B18</f>
        <v>223014074</v>
      </c>
      <c r="C18" s="219" t="str">
        <f>CSE4098B_Spring2026_Grade!C18</f>
        <v>Salvir Rahman Ratul</v>
      </c>
      <c r="D18" s="220">
        <v>41.0</v>
      </c>
      <c r="E18" s="221">
        <f t="shared" si="1"/>
        <v>45.55555556</v>
      </c>
      <c r="F18" s="220">
        <v>39.0</v>
      </c>
      <c r="G18" s="47"/>
      <c r="H18" s="47"/>
      <c r="I18" s="220">
        <v>42.0</v>
      </c>
      <c r="J18" s="220">
        <v>36.0</v>
      </c>
      <c r="K18" s="47"/>
      <c r="L18" s="47"/>
      <c r="M18" s="220">
        <v>36.0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244">
        <f t="shared" si="2"/>
        <v>42.5</v>
      </c>
      <c r="Z18" s="245">
        <f t="shared" si="3"/>
        <v>44.33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</row>
    <row r="19" ht="11.25" customHeight="1">
      <c r="A19" s="11">
        <v>15.0</v>
      </c>
      <c r="B19" s="219">
        <f>CSE4098B_Spring2026_Grade!B19</f>
        <v>223014133</v>
      </c>
      <c r="C19" s="219" t="str">
        <f>CSE4098B_Spring2026_Grade!C19</f>
        <v>Nancy Drong</v>
      </c>
      <c r="D19" s="220">
        <v>40.0</v>
      </c>
      <c r="E19" s="221">
        <f t="shared" si="1"/>
        <v>44.44444444</v>
      </c>
      <c r="F19" s="220">
        <v>33.0</v>
      </c>
      <c r="G19" s="47"/>
      <c r="H19" s="47"/>
      <c r="I19" s="220">
        <v>40.0</v>
      </c>
      <c r="J19" s="220">
        <v>36.0</v>
      </c>
      <c r="K19" s="47"/>
      <c r="L19" s="47"/>
      <c r="M19" s="220">
        <v>36.0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244">
        <f t="shared" si="2"/>
        <v>40.27777778</v>
      </c>
      <c r="Z19" s="245">
        <f t="shared" si="3"/>
        <v>42.78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ht="11.25" customHeight="1">
      <c r="A20" s="11">
        <v>16.0</v>
      </c>
      <c r="B20" s="219">
        <f>CSE4098B_Spring2026_Grade!B20</f>
        <v>223014052</v>
      </c>
      <c r="C20" s="219" t="str">
        <f>CSE4098B_Spring2026_Grade!C20</f>
        <v>Argho Das </v>
      </c>
      <c r="D20" s="220">
        <v>40.0</v>
      </c>
      <c r="E20" s="221">
        <f t="shared" si="1"/>
        <v>44.44444444</v>
      </c>
      <c r="F20" s="220">
        <v>33.0</v>
      </c>
      <c r="G20" s="47"/>
      <c r="H20" s="47"/>
      <c r="I20" s="220">
        <v>40.0</v>
      </c>
      <c r="J20" s="220">
        <v>36.0</v>
      </c>
      <c r="K20" s="47"/>
      <c r="L20" s="47"/>
      <c r="M20" s="220">
        <v>36.0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244">
        <f t="shared" si="2"/>
        <v>40.27777778</v>
      </c>
      <c r="Z20" s="245">
        <f t="shared" si="3"/>
        <v>42.78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</row>
    <row r="21" ht="11.25" customHeight="1">
      <c r="A21" s="11">
        <v>17.0</v>
      </c>
      <c r="B21" s="219">
        <f>CSE4098B_Spring2026_Grade!B21</f>
        <v>223014105</v>
      </c>
      <c r="C21" s="219" t="str">
        <f>CSE4098B_Spring2026_Grade!C21</f>
        <v>Navid Rahman</v>
      </c>
      <c r="D21" s="220">
        <v>42.0</v>
      </c>
      <c r="E21" s="221">
        <f t="shared" si="1"/>
        <v>46.66666667</v>
      </c>
      <c r="F21" s="220">
        <v>39.0</v>
      </c>
      <c r="G21" s="47"/>
      <c r="H21" s="47"/>
      <c r="I21" s="220">
        <v>43.0</v>
      </c>
      <c r="J21" s="220">
        <v>36.0</v>
      </c>
      <c r="K21" s="47"/>
      <c r="L21" s="47"/>
      <c r="M21" s="220">
        <v>36.0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244">
        <f t="shared" si="2"/>
        <v>42.77777778</v>
      </c>
      <c r="Z21" s="245">
        <f t="shared" si="3"/>
        <v>45.11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ht="11.25" customHeight="1">
      <c r="A22" s="11">
        <v>18.0</v>
      </c>
      <c r="B22" s="219">
        <f>CSE4098B_Spring2026_Grade!B22</f>
        <v>223014196</v>
      </c>
      <c r="C22" s="219" t="str">
        <f>CSE4098B_Spring2026_Grade!C22</f>
        <v>Shafwan Shadid Khan</v>
      </c>
      <c r="D22" s="220">
        <v>40.0</v>
      </c>
      <c r="E22" s="221">
        <f t="shared" si="1"/>
        <v>44.44444444</v>
      </c>
      <c r="F22" s="220">
        <v>33.0</v>
      </c>
      <c r="G22" s="47"/>
      <c r="H22" s="47"/>
      <c r="I22" s="220">
        <v>40.0</v>
      </c>
      <c r="J22" s="220">
        <v>36.0</v>
      </c>
      <c r="K22" s="47"/>
      <c r="L22" s="47"/>
      <c r="M22" s="220">
        <v>36.0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244">
        <f t="shared" si="2"/>
        <v>40.27777778</v>
      </c>
      <c r="Z22" s="245">
        <f t="shared" si="3"/>
        <v>42.78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</row>
    <row r="23" ht="11.25" customHeight="1">
      <c r="A23" s="11">
        <v>19.0</v>
      </c>
      <c r="B23" s="219">
        <f>CSE4098B_Spring2026_Grade!B23</f>
        <v>223014213</v>
      </c>
      <c r="C23" s="219" t="str">
        <f>CSE4098B_Spring2026_Grade!C23</f>
        <v>Md. Minhazul Islam</v>
      </c>
      <c r="D23" s="220">
        <v>39.0</v>
      </c>
      <c r="E23" s="221">
        <f t="shared" si="1"/>
        <v>43.33333333</v>
      </c>
      <c r="F23" s="220">
        <v>42.0</v>
      </c>
      <c r="G23" s="47"/>
      <c r="H23" s="47"/>
      <c r="I23" s="220">
        <v>38.0</v>
      </c>
      <c r="J23" s="47"/>
      <c r="K23" s="47"/>
      <c r="L23" s="47"/>
      <c r="M23" s="47"/>
      <c r="N23" s="220"/>
      <c r="O23" s="220">
        <v>33.0</v>
      </c>
      <c r="P23" s="47"/>
      <c r="Q23" s="47"/>
      <c r="R23" s="47"/>
      <c r="S23" s="47"/>
      <c r="T23" s="47"/>
      <c r="U23" s="47"/>
      <c r="V23" s="47"/>
      <c r="W23" s="47"/>
      <c r="X23" s="47"/>
      <c r="Y23" s="244">
        <f t="shared" si="2"/>
        <v>41.85185185</v>
      </c>
      <c r="Z23" s="245">
        <f t="shared" si="3"/>
        <v>42.74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 ht="11.25" customHeight="1">
      <c r="A24" s="11">
        <v>20.0</v>
      </c>
      <c r="B24" s="219">
        <f>CSE4098B_Spring2026_Grade!B24</f>
        <v>223014078</v>
      </c>
      <c r="C24" s="219" t="str">
        <f>CSE4098B_Spring2026_Grade!C24</f>
        <v>Shakhar Das Rony</v>
      </c>
      <c r="D24" s="220">
        <v>39.0</v>
      </c>
      <c r="E24" s="221">
        <f t="shared" si="1"/>
        <v>43.33333333</v>
      </c>
      <c r="F24" s="220">
        <v>42.0</v>
      </c>
      <c r="G24" s="47"/>
      <c r="H24" s="47"/>
      <c r="I24" s="220">
        <v>40.0</v>
      </c>
      <c r="J24" s="47"/>
      <c r="K24" s="47"/>
      <c r="L24" s="47"/>
      <c r="M24" s="47"/>
      <c r="N24" s="220"/>
      <c r="O24" s="220">
        <v>36.0</v>
      </c>
      <c r="P24" s="47"/>
      <c r="Q24" s="47"/>
      <c r="R24" s="47"/>
      <c r="S24" s="47"/>
      <c r="T24" s="47"/>
      <c r="U24" s="47"/>
      <c r="V24" s="47"/>
      <c r="W24" s="47"/>
      <c r="X24" s="47"/>
      <c r="Y24" s="244">
        <f t="shared" si="2"/>
        <v>43.7037037</v>
      </c>
      <c r="Z24" s="245">
        <f t="shared" si="3"/>
        <v>43.48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</row>
    <row r="25" ht="11.25" customHeight="1">
      <c r="A25" s="11">
        <v>21.0</v>
      </c>
      <c r="B25" s="219">
        <f>CSE4098B_Spring2026_Grade!B25</f>
        <v>223014212</v>
      </c>
      <c r="C25" s="219" t="str">
        <f>CSE4098B_Spring2026_Grade!C25</f>
        <v>Md. Tamim Hasan</v>
      </c>
      <c r="D25" s="220">
        <v>39.0</v>
      </c>
      <c r="E25" s="221">
        <f t="shared" si="1"/>
        <v>43.33333333</v>
      </c>
      <c r="F25" s="220">
        <v>39.0</v>
      </c>
      <c r="G25" s="47"/>
      <c r="H25" s="47"/>
      <c r="I25" s="220">
        <v>41.0</v>
      </c>
      <c r="J25" s="47"/>
      <c r="K25" s="47"/>
      <c r="L25" s="47"/>
      <c r="M25" s="47"/>
      <c r="N25" s="220"/>
      <c r="O25" s="220">
        <v>33.0</v>
      </c>
      <c r="P25" s="47"/>
      <c r="Q25" s="47"/>
      <c r="R25" s="47"/>
      <c r="S25" s="47"/>
      <c r="T25" s="47"/>
      <c r="U25" s="47"/>
      <c r="V25" s="47"/>
      <c r="W25" s="47"/>
      <c r="X25" s="47"/>
      <c r="Y25" s="244">
        <f t="shared" si="2"/>
        <v>41.85185185</v>
      </c>
      <c r="Z25" s="245">
        <f t="shared" si="3"/>
        <v>42.74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ht="11.25" customHeight="1">
      <c r="A26" s="11">
        <v>22.0</v>
      </c>
      <c r="B26" s="219">
        <f>CSE4098B_Spring2026_Grade!B26</f>
        <v>231014049</v>
      </c>
      <c r="C26" s="219" t="str">
        <f>CSE4098B_Spring2026_Grade!C26</f>
        <v>Kazi Noor E Saba </v>
      </c>
      <c r="D26" s="220">
        <v>45.0</v>
      </c>
      <c r="E26" s="221">
        <f t="shared" si="1"/>
        <v>50</v>
      </c>
      <c r="F26" s="47"/>
      <c r="G26" s="47"/>
      <c r="H26" s="47"/>
      <c r="I26" s="47"/>
      <c r="J26" s="220"/>
      <c r="K26" s="220">
        <v>36.0</v>
      </c>
      <c r="L26" s="47"/>
      <c r="M26" s="47"/>
      <c r="N26" s="47"/>
      <c r="O26" s="47"/>
      <c r="P26" s="47"/>
      <c r="Q26" s="220">
        <v>33.0</v>
      </c>
      <c r="R26" s="220"/>
      <c r="S26" s="220">
        <v>36.0</v>
      </c>
      <c r="T26" s="47"/>
      <c r="U26" s="47"/>
      <c r="V26" s="220">
        <v>33.0</v>
      </c>
      <c r="W26" s="47"/>
      <c r="X26" s="47"/>
      <c r="Y26" s="244">
        <f t="shared" si="2"/>
        <v>38.33333333</v>
      </c>
      <c r="Z26" s="245">
        <f t="shared" si="3"/>
        <v>45.33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</row>
    <row r="27" ht="11.25" customHeight="1">
      <c r="A27" s="11">
        <v>23.0</v>
      </c>
      <c r="B27" s="219">
        <f>CSE4098B_Spring2026_Grade!B27</f>
        <v>231014016</v>
      </c>
      <c r="C27" s="219" t="str">
        <f>CSE4098B_Spring2026_Grade!C27</f>
        <v>Md. Akib Al Mahmud Dihan</v>
      </c>
      <c r="D27" s="220">
        <v>45.0</v>
      </c>
      <c r="E27" s="221">
        <f t="shared" si="1"/>
        <v>50</v>
      </c>
      <c r="F27" s="47"/>
      <c r="G27" s="47"/>
      <c r="H27" s="47"/>
      <c r="I27" s="47"/>
      <c r="J27" s="220"/>
      <c r="K27" s="220">
        <v>33.0</v>
      </c>
      <c r="L27" s="47"/>
      <c r="M27" s="47"/>
      <c r="N27" s="47"/>
      <c r="O27" s="47"/>
      <c r="P27" s="47"/>
      <c r="Q27" s="220">
        <v>33.0</v>
      </c>
      <c r="R27" s="220"/>
      <c r="S27" s="220">
        <v>36.0</v>
      </c>
      <c r="T27" s="47"/>
      <c r="U27" s="47"/>
      <c r="V27" s="220">
        <v>33.0</v>
      </c>
      <c r="W27" s="47"/>
      <c r="X27" s="47"/>
      <c r="Y27" s="244">
        <f t="shared" si="2"/>
        <v>37.5</v>
      </c>
      <c r="Z27" s="245">
        <f t="shared" si="3"/>
        <v>45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</row>
    <row r="28" ht="11.25" customHeight="1">
      <c r="A28" s="11">
        <v>24.0</v>
      </c>
      <c r="B28" s="219">
        <f>CSE4098B_Spring2026_Grade!B28</f>
        <v>231014125</v>
      </c>
      <c r="C28" s="219" t="str">
        <f>CSE4098B_Spring2026_Grade!C28</f>
        <v>Jumana Muntaha</v>
      </c>
      <c r="D28" s="220">
        <v>45.0</v>
      </c>
      <c r="E28" s="221">
        <f t="shared" si="1"/>
        <v>50</v>
      </c>
      <c r="F28" s="47"/>
      <c r="G28" s="47"/>
      <c r="H28" s="47"/>
      <c r="I28" s="47"/>
      <c r="J28" s="220"/>
      <c r="K28" s="220">
        <v>33.0</v>
      </c>
      <c r="L28" s="47"/>
      <c r="M28" s="47"/>
      <c r="N28" s="47"/>
      <c r="O28" s="47"/>
      <c r="P28" s="47"/>
      <c r="Q28" s="220">
        <v>33.0</v>
      </c>
      <c r="R28" s="220"/>
      <c r="S28" s="220">
        <v>36.0</v>
      </c>
      <c r="T28" s="47"/>
      <c r="U28" s="47"/>
      <c r="V28" s="220">
        <v>33.0</v>
      </c>
      <c r="W28" s="47"/>
      <c r="X28" s="47"/>
      <c r="Y28" s="244">
        <f t="shared" si="2"/>
        <v>37.5</v>
      </c>
      <c r="Z28" s="245">
        <f t="shared" si="3"/>
        <v>45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</row>
    <row r="29" ht="11.25" customHeight="1">
      <c r="A29" s="11">
        <v>25.0</v>
      </c>
      <c r="B29" s="219">
        <f>CSE4098B_Spring2026_Grade!B29</f>
        <v>231014142</v>
      </c>
      <c r="C29" s="219" t="str">
        <f>CSE4098B_Spring2026_Grade!C29</f>
        <v>Abida Binte Asif</v>
      </c>
      <c r="D29" s="220">
        <v>45.0</v>
      </c>
      <c r="E29" s="221">
        <f t="shared" si="1"/>
        <v>50</v>
      </c>
      <c r="F29" s="47"/>
      <c r="G29" s="47"/>
      <c r="H29" s="47"/>
      <c r="I29" s="47"/>
      <c r="J29" s="220"/>
      <c r="K29" s="220">
        <v>33.0</v>
      </c>
      <c r="L29" s="47"/>
      <c r="M29" s="47"/>
      <c r="N29" s="47"/>
      <c r="O29" s="47"/>
      <c r="P29" s="47"/>
      <c r="Q29" s="220">
        <v>33.0</v>
      </c>
      <c r="R29" s="220"/>
      <c r="S29" s="220">
        <v>33.0</v>
      </c>
      <c r="T29" s="47"/>
      <c r="U29" s="47"/>
      <c r="V29" s="220">
        <v>30.0</v>
      </c>
      <c r="W29" s="47"/>
      <c r="X29" s="47"/>
      <c r="Y29" s="244">
        <f t="shared" si="2"/>
        <v>35.83333333</v>
      </c>
      <c r="Z29" s="245">
        <f t="shared" si="3"/>
        <v>44.33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</row>
    <row r="30" ht="11.25" customHeight="1">
      <c r="A30" s="11">
        <v>26.0</v>
      </c>
      <c r="B30" s="219">
        <f>CSE4098B_Spring2026_Grade!B30</f>
        <v>223014146</v>
      </c>
      <c r="C30" s="219" t="str">
        <f>CSE4098B_Spring2026_Grade!C30</f>
        <v>Sami Hossain</v>
      </c>
      <c r="D30" s="220">
        <v>45.0</v>
      </c>
      <c r="E30" s="221">
        <f t="shared" si="1"/>
        <v>50</v>
      </c>
      <c r="F30" s="47"/>
      <c r="G30" s="47"/>
      <c r="H30" s="47"/>
      <c r="I30" s="47"/>
      <c r="J30" s="220"/>
      <c r="K30" s="220">
        <v>33.0</v>
      </c>
      <c r="L30" s="47"/>
      <c r="M30" s="47"/>
      <c r="N30" s="47"/>
      <c r="O30" s="47"/>
      <c r="P30" s="47"/>
      <c r="Q30" s="220">
        <v>33.0</v>
      </c>
      <c r="R30" s="220"/>
      <c r="S30" s="220">
        <v>30.0</v>
      </c>
      <c r="T30" s="47"/>
      <c r="U30" s="47"/>
      <c r="V30" s="220">
        <v>30.0</v>
      </c>
      <c r="W30" s="47"/>
      <c r="X30" s="47"/>
      <c r="Y30" s="244">
        <f t="shared" si="2"/>
        <v>35</v>
      </c>
      <c r="Z30" s="245">
        <f t="shared" si="3"/>
        <v>44</v>
      </c>
    </row>
    <row r="31" ht="11.25" customHeight="1">
      <c r="A31" s="11">
        <v>27.0</v>
      </c>
      <c r="B31" s="219">
        <f>CSE4098B_Spring2026_Grade!B31</f>
        <v>231014024</v>
      </c>
      <c r="C31" s="219" t="str">
        <f>CSE4098B_Spring2026_Grade!C31</f>
        <v>Md. Shohanoor Rahman</v>
      </c>
      <c r="D31" s="248">
        <v>36.0</v>
      </c>
      <c r="E31" s="221">
        <f t="shared" si="1"/>
        <v>40</v>
      </c>
      <c r="F31" s="47"/>
      <c r="G31" s="47"/>
      <c r="H31" s="47"/>
      <c r="I31" s="47"/>
      <c r="J31" s="220"/>
      <c r="K31" s="220">
        <v>24.0</v>
      </c>
      <c r="L31" s="47"/>
      <c r="M31" s="47"/>
      <c r="N31" s="47"/>
      <c r="O31" s="47"/>
      <c r="P31" s="47"/>
      <c r="Q31" s="220">
        <v>21.0</v>
      </c>
      <c r="R31" s="220"/>
      <c r="S31" s="220">
        <v>24.0</v>
      </c>
      <c r="T31" s="47"/>
      <c r="U31" s="47"/>
      <c r="V31" s="220">
        <v>24.0</v>
      </c>
      <c r="W31" s="47"/>
      <c r="X31" s="47"/>
      <c r="Y31" s="244">
        <f t="shared" si="2"/>
        <v>25.83333333</v>
      </c>
      <c r="Z31" s="245">
        <f t="shared" si="3"/>
        <v>34.33</v>
      </c>
    </row>
    <row r="32" ht="11.25" customHeight="1">
      <c r="A32" s="11">
        <v>28.0</v>
      </c>
      <c r="B32" s="219">
        <f>CSE4098B_Spring2026_Grade!B32</f>
        <v>231014064</v>
      </c>
      <c r="C32" s="219" t="str">
        <f>CSE4098B_Spring2026_Grade!C32</f>
        <v>Pranto Sikder</v>
      </c>
      <c r="D32" s="248">
        <v>36.0</v>
      </c>
      <c r="E32" s="221">
        <f t="shared" si="1"/>
        <v>40</v>
      </c>
      <c r="F32" s="47"/>
      <c r="G32" s="47"/>
      <c r="H32" s="47"/>
      <c r="I32" s="47"/>
      <c r="J32" s="220"/>
      <c r="K32" s="220">
        <v>24.0</v>
      </c>
      <c r="L32" s="47"/>
      <c r="M32" s="47"/>
      <c r="N32" s="47"/>
      <c r="O32" s="47"/>
      <c r="P32" s="47"/>
      <c r="Q32" s="220">
        <v>21.0</v>
      </c>
      <c r="R32" s="220"/>
      <c r="S32" s="220">
        <v>24.0</v>
      </c>
      <c r="T32" s="47"/>
      <c r="U32" s="47"/>
      <c r="V32" s="220">
        <v>24.0</v>
      </c>
      <c r="W32" s="47"/>
      <c r="X32" s="47"/>
      <c r="Y32" s="244">
        <f t="shared" si="2"/>
        <v>25.83333333</v>
      </c>
      <c r="Z32" s="245">
        <f t="shared" si="3"/>
        <v>34.33</v>
      </c>
    </row>
    <row r="33" ht="11.25" customHeight="1">
      <c r="A33" s="11">
        <v>29.0</v>
      </c>
      <c r="B33" s="219">
        <f>CSE4098B_Spring2026_Grade!B33</f>
        <v>231014050</v>
      </c>
      <c r="C33" s="219" t="str">
        <f>CSE4098B_Spring2026_Grade!C33</f>
        <v>Mahmudul Hasan Zeshan </v>
      </c>
      <c r="D33" s="248">
        <v>36.0</v>
      </c>
      <c r="E33" s="221">
        <f t="shared" si="1"/>
        <v>40</v>
      </c>
      <c r="F33" s="47"/>
      <c r="G33" s="47"/>
      <c r="H33" s="47"/>
      <c r="I33" s="47"/>
      <c r="J33" s="220"/>
      <c r="K33" s="220">
        <v>24.0</v>
      </c>
      <c r="L33" s="47"/>
      <c r="M33" s="47"/>
      <c r="N33" s="47"/>
      <c r="O33" s="47"/>
      <c r="P33" s="47"/>
      <c r="Q33" s="220">
        <v>21.0</v>
      </c>
      <c r="R33" s="220"/>
      <c r="S33" s="220">
        <v>24.0</v>
      </c>
      <c r="T33" s="47"/>
      <c r="U33" s="47"/>
      <c r="V33" s="220">
        <v>24.0</v>
      </c>
      <c r="W33" s="47"/>
      <c r="X33" s="47"/>
      <c r="Y33" s="244">
        <f t="shared" si="2"/>
        <v>25.83333333</v>
      </c>
      <c r="Z33" s="245">
        <f t="shared" si="3"/>
        <v>34.33</v>
      </c>
    </row>
    <row r="34" ht="11.25" customHeight="1">
      <c r="A34" s="11">
        <v>30.0</v>
      </c>
      <c r="B34" s="219">
        <f>CSE4098B_Spring2026_Grade!B34</f>
        <v>231014160</v>
      </c>
      <c r="C34" s="219" t="str">
        <f>CSE4098B_Spring2026_Grade!C34</f>
        <v>Aysha Siddika Methila</v>
      </c>
      <c r="D34" s="248">
        <v>36.0</v>
      </c>
      <c r="E34" s="221">
        <f t="shared" si="1"/>
        <v>40</v>
      </c>
      <c r="F34" s="47"/>
      <c r="G34" s="47"/>
      <c r="H34" s="47"/>
      <c r="I34" s="47"/>
      <c r="J34" s="220"/>
      <c r="K34" s="220">
        <v>24.0</v>
      </c>
      <c r="L34" s="47"/>
      <c r="M34" s="47"/>
      <c r="N34" s="47"/>
      <c r="O34" s="47"/>
      <c r="P34" s="47"/>
      <c r="Q34" s="220">
        <v>21.0</v>
      </c>
      <c r="R34" s="220"/>
      <c r="S34" s="220">
        <v>24.0</v>
      </c>
      <c r="T34" s="47"/>
      <c r="U34" s="47"/>
      <c r="V34" s="220">
        <v>24.0</v>
      </c>
      <c r="W34" s="47"/>
      <c r="X34" s="47"/>
      <c r="Y34" s="244">
        <f t="shared" si="2"/>
        <v>25.83333333</v>
      </c>
      <c r="Z34" s="245">
        <f t="shared" si="3"/>
        <v>34.33</v>
      </c>
    </row>
    <row r="35" ht="11.25" customHeight="1">
      <c r="A35" s="11">
        <v>31.0</v>
      </c>
      <c r="B35" s="219">
        <f>CSE4098B_Spring2026_Grade!B35</f>
        <v>231014116</v>
      </c>
      <c r="C35" s="219" t="str">
        <f>CSE4098B_Spring2026_Grade!C35</f>
        <v>Sukanta Majumder</v>
      </c>
      <c r="D35" s="248">
        <v>36.0</v>
      </c>
      <c r="E35" s="221">
        <f t="shared" si="1"/>
        <v>40</v>
      </c>
      <c r="F35" s="47"/>
      <c r="G35" s="47"/>
      <c r="H35" s="47"/>
      <c r="I35" s="47"/>
      <c r="J35" s="220"/>
      <c r="K35" s="220">
        <v>24.0</v>
      </c>
      <c r="L35" s="47"/>
      <c r="M35" s="47"/>
      <c r="N35" s="47"/>
      <c r="O35" s="47"/>
      <c r="P35" s="47"/>
      <c r="Q35" s="220">
        <v>21.0</v>
      </c>
      <c r="R35" s="220"/>
      <c r="S35" s="220">
        <v>24.0</v>
      </c>
      <c r="T35" s="47"/>
      <c r="U35" s="47"/>
      <c r="V35" s="220">
        <v>24.0</v>
      </c>
      <c r="W35" s="47"/>
      <c r="X35" s="47"/>
      <c r="Y35" s="244">
        <f t="shared" si="2"/>
        <v>25.83333333</v>
      </c>
      <c r="Z35" s="245">
        <f t="shared" si="3"/>
        <v>34.33</v>
      </c>
    </row>
    <row r="36" ht="11.25" customHeight="1">
      <c r="A36" s="11">
        <v>32.0</v>
      </c>
      <c r="B36" s="219">
        <f>CSE4098B_Spring2026_Grade!B36</f>
        <v>212014015</v>
      </c>
      <c r="C36" s="219" t="str">
        <f>CSE4098B_Spring2026_Grade!C36</f>
        <v>Md. Arif Hossain Mir</v>
      </c>
      <c r="D36" s="220">
        <v>36.0</v>
      </c>
      <c r="E36" s="221">
        <f t="shared" si="1"/>
        <v>40</v>
      </c>
      <c r="F36" s="47"/>
      <c r="G36" s="47"/>
      <c r="H36" s="47"/>
      <c r="I36" s="47"/>
      <c r="J36" s="220"/>
      <c r="K36" s="220">
        <v>36.0</v>
      </c>
      <c r="L36" s="47"/>
      <c r="M36" s="47"/>
      <c r="N36" s="47"/>
      <c r="O36" s="47"/>
      <c r="P36" s="47"/>
      <c r="Q36" s="220">
        <v>33.0</v>
      </c>
      <c r="R36" s="47"/>
      <c r="S36" s="47"/>
      <c r="T36" s="47"/>
      <c r="U36" s="47"/>
      <c r="V36" s="220">
        <v>33.0</v>
      </c>
      <c r="W36" s="47"/>
      <c r="X36" s="47"/>
      <c r="Y36" s="244">
        <f t="shared" si="2"/>
        <v>37.77777778</v>
      </c>
      <c r="Z36" s="245">
        <f t="shared" si="3"/>
        <v>39.11</v>
      </c>
    </row>
    <row r="37" ht="11.25" customHeight="1">
      <c r="A37" s="11">
        <v>33.0</v>
      </c>
      <c r="B37" s="219">
        <f>CSE4098B_Spring2026_Grade!B37</f>
        <v>223014050</v>
      </c>
      <c r="C37" s="219" t="str">
        <f>CSE4098B_Spring2026_Grade!C37</f>
        <v>Isnat Jahan Ome</v>
      </c>
      <c r="D37" s="220">
        <v>33.0</v>
      </c>
      <c r="E37" s="221">
        <f t="shared" si="1"/>
        <v>36.66666667</v>
      </c>
      <c r="F37" s="47"/>
      <c r="G37" s="47"/>
      <c r="H37" s="47"/>
      <c r="I37" s="47"/>
      <c r="J37" s="220"/>
      <c r="K37" s="220">
        <v>36.0</v>
      </c>
      <c r="L37" s="47"/>
      <c r="M37" s="47"/>
      <c r="N37" s="47"/>
      <c r="O37" s="47"/>
      <c r="P37" s="47"/>
      <c r="Q37" s="220">
        <v>30.0</v>
      </c>
      <c r="R37" s="47"/>
      <c r="S37" s="47"/>
      <c r="T37" s="47"/>
      <c r="U37" s="47"/>
      <c r="V37" s="220">
        <v>30.0</v>
      </c>
      <c r="W37" s="47"/>
      <c r="X37" s="47"/>
      <c r="Y37" s="244">
        <f t="shared" si="2"/>
        <v>35.55555556</v>
      </c>
      <c r="Z37" s="245">
        <f t="shared" si="3"/>
        <v>36.22</v>
      </c>
    </row>
    <row r="38" ht="11.25" customHeight="1">
      <c r="A38" s="11">
        <v>34.0</v>
      </c>
      <c r="B38" s="219">
        <f>CSE4098B_Spring2026_Grade!B38</f>
        <v>231014075</v>
      </c>
      <c r="C38" s="219" t="str">
        <f>CSE4098B_Spring2026_Grade!C38</f>
        <v>Hasib Mahmud</v>
      </c>
      <c r="D38" s="220">
        <v>33.0</v>
      </c>
      <c r="E38" s="221">
        <f t="shared" si="1"/>
        <v>36.66666667</v>
      </c>
      <c r="F38" s="47"/>
      <c r="G38" s="47"/>
      <c r="H38" s="47"/>
      <c r="I38" s="47"/>
      <c r="J38" s="220"/>
      <c r="K38" s="220">
        <v>36.0</v>
      </c>
      <c r="L38" s="47"/>
      <c r="M38" s="47"/>
      <c r="N38" s="47"/>
      <c r="O38" s="47"/>
      <c r="P38" s="47"/>
      <c r="Q38" s="220">
        <v>33.0</v>
      </c>
      <c r="R38" s="47"/>
      <c r="S38" s="47"/>
      <c r="T38" s="47"/>
      <c r="U38" s="47"/>
      <c r="V38" s="220">
        <v>30.0</v>
      </c>
      <c r="W38" s="47"/>
      <c r="X38" s="47"/>
      <c r="Y38" s="244">
        <f t="shared" si="2"/>
        <v>36.66666667</v>
      </c>
      <c r="Z38" s="245">
        <f t="shared" si="3"/>
        <v>36.67</v>
      </c>
    </row>
    <row r="39" ht="11.25" customHeight="1">
      <c r="A39" s="11">
        <v>35.0</v>
      </c>
      <c r="B39" s="219">
        <f>CSE4098B_Spring2026_Grade!B39</f>
        <v>221014135</v>
      </c>
      <c r="C39" s="219" t="str">
        <f>CSE4098B_Spring2026_Grade!C39</f>
        <v>Aminul Islam</v>
      </c>
      <c r="D39" s="220">
        <v>30.0</v>
      </c>
      <c r="E39" s="221">
        <f t="shared" si="1"/>
        <v>33.33333333</v>
      </c>
      <c r="F39" s="47"/>
      <c r="G39" s="47"/>
      <c r="H39" s="47"/>
      <c r="I39" s="47"/>
      <c r="J39" s="220"/>
      <c r="K39" s="220">
        <v>30.0</v>
      </c>
      <c r="L39" s="47"/>
      <c r="M39" s="47"/>
      <c r="N39" s="220">
        <v>24.0</v>
      </c>
      <c r="O39" s="47"/>
      <c r="P39" s="47"/>
      <c r="Q39" s="47"/>
      <c r="R39" s="47"/>
      <c r="S39" s="47"/>
      <c r="T39" s="47"/>
      <c r="U39" s="47"/>
      <c r="V39" s="220">
        <v>24.0</v>
      </c>
      <c r="W39" s="47"/>
      <c r="X39" s="47"/>
      <c r="Y39" s="244">
        <f t="shared" si="2"/>
        <v>28.88888889</v>
      </c>
      <c r="Z39" s="245">
        <f t="shared" si="3"/>
        <v>31.56</v>
      </c>
    </row>
    <row r="40" ht="11.25" customHeight="1">
      <c r="A40" s="11">
        <v>36.0</v>
      </c>
      <c r="B40" s="219">
        <f>CSE4098B_Spring2026_Grade!B40</f>
        <v>221014018</v>
      </c>
      <c r="C40" s="219" t="str">
        <f>CSE4098B_Spring2026_Grade!C40</f>
        <v>Israfill Hossain Mehedi</v>
      </c>
      <c r="D40" s="220">
        <v>36.0</v>
      </c>
      <c r="E40" s="221">
        <f t="shared" si="1"/>
        <v>40</v>
      </c>
      <c r="F40" s="47"/>
      <c r="G40" s="47"/>
      <c r="H40" s="47"/>
      <c r="I40" s="47"/>
      <c r="J40" s="220"/>
      <c r="K40" s="220">
        <v>30.0</v>
      </c>
      <c r="L40" s="47"/>
      <c r="M40" s="47"/>
      <c r="N40" s="220">
        <v>27.0</v>
      </c>
      <c r="O40" s="47"/>
      <c r="P40" s="47"/>
      <c r="Q40" s="47"/>
      <c r="R40" s="47"/>
      <c r="S40" s="47"/>
      <c r="T40" s="47"/>
      <c r="U40" s="47"/>
      <c r="V40" s="220">
        <v>27.0</v>
      </c>
      <c r="W40" s="47"/>
      <c r="X40" s="47"/>
      <c r="Y40" s="244">
        <f t="shared" si="2"/>
        <v>31.11111111</v>
      </c>
      <c r="Z40" s="245">
        <f t="shared" si="3"/>
        <v>36.44</v>
      </c>
    </row>
    <row r="41" ht="11.25" customHeight="1">
      <c r="A41" s="11">
        <v>37.0</v>
      </c>
      <c r="B41" s="219">
        <f>CSE4098B_Spring2026_Grade!B41</f>
        <v>221014008</v>
      </c>
      <c r="C41" s="219" t="str">
        <f>CSE4098B_Spring2026_Grade!C41</f>
        <v>Mahmudul Hasan Dipto</v>
      </c>
      <c r="D41" s="220">
        <v>30.0</v>
      </c>
      <c r="E41" s="221">
        <f t="shared" si="1"/>
        <v>33.33333333</v>
      </c>
      <c r="F41" s="47"/>
      <c r="G41" s="47"/>
      <c r="H41" s="47"/>
      <c r="I41" s="47"/>
      <c r="J41" s="220"/>
      <c r="K41" s="220">
        <v>30.0</v>
      </c>
      <c r="L41" s="47"/>
      <c r="M41" s="47"/>
      <c r="N41" s="220">
        <v>24.0</v>
      </c>
      <c r="O41" s="47"/>
      <c r="P41" s="47"/>
      <c r="Q41" s="47"/>
      <c r="R41" s="47"/>
      <c r="S41" s="47"/>
      <c r="T41" s="47"/>
      <c r="U41" s="47"/>
      <c r="V41" s="220">
        <v>24.0</v>
      </c>
      <c r="W41" s="47"/>
      <c r="X41" s="47"/>
      <c r="Y41" s="244">
        <f t="shared" si="2"/>
        <v>28.88888889</v>
      </c>
      <c r="Z41" s="245">
        <f t="shared" si="3"/>
        <v>31.56</v>
      </c>
    </row>
    <row r="42" ht="11.25" customHeight="1">
      <c r="A42" s="11">
        <v>38.0</v>
      </c>
      <c r="B42" s="219">
        <f>CSE4098B_Spring2026_Grade!B42</f>
        <v>223014086</v>
      </c>
      <c r="C42" s="219" t="str">
        <f>CSE4098B_Spring2026_Grade!C42</f>
        <v>Talat Mahmud Lam</v>
      </c>
      <c r="D42" s="220">
        <v>42.0</v>
      </c>
      <c r="E42" s="221">
        <f t="shared" si="1"/>
        <v>46.66666667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220">
        <v>33.0</v>
      </c>
      <c r="R42" s="220"/>
      <c r="S42" s="220">
        <v>30.0</v>
      </c>
      <c r="T42" s="47"/>
      <c r="U42" s="47"/>
      <c r="V42" s="220">
        <v>36.0</v>
      </c>
      <c r="W42" s="47"/>
      <c r="X42" s="47"/>
      <c r="Y42" s="244">
        <f t="shared" si="2"/>
        <v>36.66666667</v>
      </c>
      <c r="Z42" s="245">
        <f t="shared" si="3"/>
        <v>42.67</v>
      </c>
    </row>
    <row r="43" ht="11.25" customHeight="1">
      <c r="A43" s="11">
        <v>39.0</v>
      </c>
      <c r="B43" s="219">
        <f>CSE4098B_Spring2026_Grade!B43</f>
        <v>223014033</v>
      </c>
      <c r="C43" s="219" t="str">
        <f>CSE4098B_Spring2026_Grade!C43</f>
        <v>Sadia Nuzat Prova</v>
      </c>
      <c r="D43" s="220">
        <v>42.0</v>
      </c>
      <c r="E43" s="221">
        <f t="shared" si="1"/>
        <v>46.66666667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220">
        <v>24.0</v>
      </c>
      <c r="R43" s="220"/>
      <c r="S43" s="220">
        <v>27.0</v>
      </c>
      <c r="T43" s="47"/>
      <c r="U43" s="47"/>
      <c r="V43" s="220">
        <v>24.0</v>
      </c>
      <c r="W43" s="47"/>
      <c r="X43" s="47"/>
      <c r="Y43" s="244">
        <f t="shared" si="2"/>
        <v>27.77777778</v>
      </c>
      <c r="Z43" s="245">
        <f t="shared" si="3"/>
        <v>39.11</v>
      </c>
    </row>
    <row r="44" ht="11.25" customHeight="1">
      <c r="A44" s="11">
        <v>40.0</v>
      </c>
      <c r="B44" s="219">
        <f>CSE4098B_Spring2026_Grade!B44</f>
        <v>223014042</v>
      </c>
      <c r="C44" s="219" t="str">
        <f>CSE4098B_Spring2026_Grade!C44</f>
        <v>Shahin Alam</v>
      </c>
      <c r="D44" s="220">
        <v>33.0</v>
      </c>
      <c r="E44" s="221">
        <f t="shared" si="1"/>
        <v>36.66666667</v>
      </c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220">
        <v>24.0</v>
      </c>
      <c r="R44" s="220"/>
      <c r="S44" s="220">
        <v>27.0</v>
      </c>
      <c r="T44" s="47"/>
      <c r="U44" s="47"/>
      <c r="V44" s="220">
        <v>30.0</v>
      </c>
      <c r="W44" s="47"/>
      <c r="X44" s="47"/>
      <c r="Y44" s="244">
        <f t="shared" si="2"/>
        <v>30</v>
      </c>
      <c r="Z44" s="245">
        <f t="shared" si="3"/>
        <v>34</v>
      </c>
    </row>
    <row r="45" ht="11.25" customHeight="1">
      <c r="A45" s="11">
        <v>41.0</v>
      </c>
      <c r="B45" s="219">
        <f>CSE4098B_Spring2026_Grade!B45</f>
        <v>223014040</v>
      </c>
      <c r="C45" s="219" t="str">
        <f>CSE4098B_Spring2026_Grade!C45</f>
        <v>Umme Asma Busra</v>
      </c>
      <c r="D45" s="220">
        <v>33.0</v>
      </c>
      <c r="E45" s="221">
        <f t="shared" si="1"/>
        <v>36.66666667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220">
        <v>24.0</v>
      </c>
      <c r="R45" s="220"/>
      <c r="S45" s="220">
        <v>27.0</v>
      </c>
      <c r="T45" s="47"/>
      <c r="U45" s="47"/>
      <c r="V45" s="220">
        <v>24.0</v>
      </c>
      <c r="W45" s="47"/>
      <c r="X45" s="47"/>
      <c r="Y45" s="244">
        <f t="shared" si="2"/>
        <v>27.77777778</v>
      </c>
      <c r="Z45" s="245">
        <f t="shared" si="3"/>
        <v>33.11</v>
      </c>
    </row>
    <row r="46" ht="11.25" customHeight="1">
      <c r="A46" s="11">
        <v>42.0</v>
      </c>
      <c r="B46" s="219">
        <f>CSE4098B_Spring2026_Grade!B46</f>
        <v>223014054</v>
      </c>
      <c r="C46" s="219" t="str">
        <f>CSE4098B_Spring2026_Grade!C46</f>
        <v>Golam Munem Zarif</v>
      </c>
      <c r="D46" s="220">
        <v>33.0</v>
      </c>
      <c r="E46" s="221">
        <f t="shared" si="1"/>
        <v>36.66666667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220">
        <v>24.0</v>
      </c>
      <c r="R46" s="220"/>
      <c r="S46" s="220">
        <v>27.0</v>
      </c>
      <c r="T46" s="47"/>
      <c r="U46" s="47"/>
      <c r="V46" s="220">
        <v>24.0</v>
      </c>
      <c r="W46" s="47"/>
      <c r="X46" s="47"/>
      <c r="Y46" s="244">
        <f t="shared" si="2"/>
        <v>27.77777778</v>
      </c>
      <c r="Z46" s="245">
        <f t="shared" si="3"/>
        <v>33.11</v>
      </c>
    </row>
    <row r="47" ht="11.25" customHeight="1">
      <c r="A47" s="11">
        <v>43.0</v>
      </c>
      <c r="B47" s="219">
        <f>CSE4098B_Spring2026_Grade!B47</f>
        <v>223014176</v>
      </c>
      <c r="C47" s="219" t="str">
        <f>CSE4098B_Spring2026_Grade!C47</f>
        <v>MD.Samiul Alam</v>
      </c>
      <c r="D47" s="220">
        <v>15.0</v>
      </c>
      <c r="E47" s="221">
        <f t="shared" si="1"/>
        <v>16.66666667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220">
        <v>18.0</v>
      </c>
      <c r="V47" s="47"/>
      <c r="W47" s="220">
        <v>18.0</v>
      </c>
      <c r="X47" s="220">
        <v>26.0</v>
      </c>
      <c r="Y47" s="244">
        <f t="shared" si="2"/>
        <v>22.96296296</v>
      </c>
      <c r="Z47" s="245">
        <f t="shared" si="3"/>
        <v>19.19</v>
      </c>
    </row>
    <row r="48" ht="11.25" customHeight="1">
      <c r="A48" s="11">
        <v>44.0</v>
      </c>
      <c r="B48" s="219">
        <f>CSE4098B_Spring2026_Grade!B48</f>
        <v>223014199</v>
      </c>
      <c r="C48" s="219" t="str">
        <f>CSE4098B_Spring2026_Grade!C48</f>
        <v>MD.Hafiz Ullah</v>
      </c>
      <c r="D48" s="220">
        <v>15.0</v>
      </c>
      <c r="E48" s="221">
        <f t="shared" si="1"/>
        <v>16.66666667</v>
      </c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220">
        <v>18.0</v>
      </c>
      <c r="V48" s="47"/>
      <c r="W48" s="220">
        <v>18.0</v>
      </c>
      <c r="X48" s="220">
        <v>26.0</v>
      </c>
      <c r="Y48" s="244">
        <f t="shared" si="2"/>
        <v>22.96296296</v>
      </c>
      <c r="Z48" s="245">
        <f t="shared" si="3"/>
        <v>19.19</v>
      </c>
    </row>
    <row r="49" ht="11.25" customHeight="1">
      <c r="A49" s="11">
        <v>45.0</v>
      </c>
      <c r="B49" s="219">
        <f>CSE4098B_Spring2026_Grade!B49</f>
        <v>223014012</v>
      </c>
      <c r="C49" s="219" t="str">
        <f>CSE4098B_Spring2026_Grade!C49</f>
        <v>MD.Yusuf</v>
      </c>
      <c r="D49" s="220">
        <v>15.0</v>
      </c>
      <c r="E49" s="221">
        <f t="shared" si="1"/>
        <v>16.66666667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220">
        <v>18.0</v>
      </c>
      <c r="V49" s="47"/>
      <c r="W49" s="220">
        <v>18.0</v>
      </c>
      <c r="X49" s="220">
        <v>23.0</v>
      </c>
      <c r="Y49" s="244">
        <f t="shared" si="2"/>
        <v>21.85185185</v>
      </c>
      <c r="Z49" s="245">
        <f t="shared" si="3"/>
        <v>18.74</v>
      </c>
    </row>
    <row r="50" ht="11.25" customHeight="1">
      <c r="A50" s="11">
        <v>46.0</v>
      </c>
      <c r="B50" s="219">
        <f>CSE4098B_Spring2026_Grade!B50</f>
        <v>211014030</v>
      </c>
      <c r="C50" s="219" t="str">
        <f>CSE4098B_Spring2026_Grade!C50</f>
        <v>Mahfuzur Rahman</v>
      </c>
      <c r="D50" s="220">
        <v>15.0</v>
      </c>
      <c r="E50" s="221">
        <f t="shared" si="1"/>
        <v>16.66666667</v>
      </c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220">
        <v>18.0</v>
      </c>
      <c r="V50" s="47"/>
      <c r="W50" s="220">
        <v>18.0</v>
      </c>
      <c r="X50" s="220">
        <v>24.0</v>
      </c>
      <c r="Y50" s="244">
        <f t="shared" si="2"/>
        <v>22.22222222</v>
      </c>
      <c r="Z50" s="245">
        <f t="shared" si="3"/>
        <v>18.89</v>
      </c>
    </row>
    <row r="51" ht="11.25" customHeight="1">
      <c r="A51" s="11">
        <v>47.0</v>
      </c>
      <c r="B51" s="219">
        <f>CSE4098B_Spring2026_Grade!B51</f>
        <v>223014143</v>
      </c>
      <c r="C51" s="219" t="str">
        <f>CSE4098B_Spring2026_Grade!C51</f>
        <v>Upoma Paul</v>
      </c>
      <c r="D51" s="220">
        <v>32.0</v>
      </c>
      <c r="E51" s="221">
        <f t="shared" si="1"/>
        <v>35.55555556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220">
        <v>15.0</v>
      </c>
      <c r="S51" s="47"/>
      <c r="T51" s="47"/>
      <c r="U51" s="220">
        <v>24.0</v>
      </c>
      <c r="V51" s="47"/>
      <c r="W51" s="220">
        <v>21.0</v>
      </c>
      <c r="X51" s="47"/>
      <c r="Y51" s="244">
        <f t="shared" si="2"/>
        <v>22.22222222</v>
      </c>
      <c r="Z51" s="245">
        <f t="shared" si="3"/>
        <v>30.22</v>
      </c>
    </row>
    <row r="52" ht="11.25" customHeight="1">
      <c r="A52" s="11">
        <v>48.0</v>
      </c>
      <c r="B52" s="219">
        <f>CSE4098B_Spring2026_Grade!B52</f>
        <v>231014167</v>
      </c>
      <c r="C52" s="219" t="str">
        <f>CSE4098B_Spring2026_Grade!C52</f>
        <v>Fariha Ahmed</v>
      </c>
      <c r="D52" s="220">
        <v>29.0</v>
      </c>
      <c r="E52" s="221">
        <f t="shared" si="1"/>
        <v>32.22222222</v>
      </c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220">
        <v>15.0</v>
      </c>
      <c r="S52" s="47"/>
      <c r="T52" s="47"/>
      <c r="U52" s="220">
        <v>24.0</v>
      </c>
      <c r="V52" s="47"/>
      <c r="W52" s="220">
        <v>21.0</v>
      </c>
      <c r="X52" s="47"/>
      <c r="Y52" s="244">
        <f t="shared" si="2"/>
        <v>22.22222222</v>
      </c>
      <c r="Z52" s="245">
        <f t="shared" si="3"/>
        <v>28.22</v>
      </c>
    </row>
    <row r="53" ht="11.25" customHeight="1">
      <c r="A53" s="11">
        <v>49.0</v>
      </c>
      <c r="B53" s="219">
        <f>CSE4098B_Spring2026_Grade!B53</f>
        <v>231014073</v>
      </c>
      <c r="C53" s="219" t="str">
        <f>CSE4098B_Spring2026_Grade!C53</f>
        <v>Amifat Juhad Pranto</v>
      </c>
      <c r="D53" s="220">
        <v>36.0</v>
      </c>
      <c r="E53" s="221">
        <f t="shared" si="1"/>
        <v>40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220">
        <v>15.0</v>
      </c>
      <c r="S53" s="47"/>
      <c r="T53" s="47"/>
      <c r="U53" s="220">
        <v>24.0</v>
      </c>
      <c r="V53" s="47"/>
      <c r="W53" s="220">
        <v>21.0</v>
      </c>
      <c r="X53" s="47"/>
      <c r="Y53" s="244">
        <f t="shared" si="2"/>
        <v>22.22222222</v>
      </c>
      <c r="Z53" s="245">
        <f t="shared" si="3"/>
        <v>32.89</v>
      </c>
    </row>
    <row r="54" ht="11.25" customHeight="1">
      <c r="A54" s="11">
        <v>50.0</v>
      </c>
      <c r="B54" s="219">
        <f>CSE4098B_Spring2026_Grade!B54</f>
        <v>232014058</v>
      </c>
      <c r="C54" s="219" t="str">
        <f>CSE4098B_Spring2026_Grade!C54</f>
        <v>Tasnia Kabir Mahia</v>
      </c>
      <c r="D54" s="220">
        <v>33.0</v>
      </c>
      <c r="E54" s="221">
        <f t="shared" si="1"/>
        <v>36.66666667</v>
      </c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220">
        <v>15.0</v>
      </c>
      <c r="S54" s="47"/>
      <c r="T54" s="47"/>
      <c r="U54" s="220">
        <v>24.0</v>
      </c>
      <c r="V54" s="47"/>
      <c r="W54" s="220">
        <v>21.0</v>
      </c>
      <c r="X54" s="47"/>
      <c r="Y54" s="244">
        <f t="shared" si="2"/>
        <v>22.22222222</v>
      </c>
      <c r="Z54" s="245">
        <f t="shared" si="3"/>
        <v>30.89</v>
      </c>
    </row>
    <row r="55" ht="11.25" customHeight="1">
      <c r="A55" s="11">
        <v>51.0</v>
      </c>
      <c r="B55" s="219">
        <f>CSE4098B_Spring2026_Grade!B55</f>
        <v>223014183</v>
      </c>
      <c r="C55" s="219" t="str">
        <f>CSE4098B_Spring2026_Grade!C55</f>
        <v>Mahbuba Akter Chowdhury</v>
      </c>
      <c r="D55" s="220">
        <v>39.0</v>
      </c>
      <c r="E55" s="221">
        <f t="shared" si="1"/>
        <v>43.33333333</v>
      </c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220">
        <v>27.0</v>
      </c>
      <c r="S55" s="47"/>
      <c r="T55" s="47"/>
      <c r="U55" s="220">
        <v>42.0</v>
      </c>
      <c r="V55" s="47"/>
      <c r="W55" s="220">
        <v>24.0</v>
      </c>
      <c r="X55" s="47"/>
      <c r="Y55" s="244">
        <f t="shared" si="2"/>
        <v>34.44444444</v>
      </c>
      <c r="Z55" s="245">
        <f t="shared" si="3"/>
        <v>39.78</v>
      </c>
    </row>
    <row r="56" ht="11.25" customHeight="1">
      <c r="A56" s="11">
        <v>52.0</v>
      </c>
      <c r="B56" s="219">
        <f>CSE4098B_Spring2026_Grade!B56</f>
        <v>223014182</v>
      </c>
      <c r="C56" s="219" t="str">
        <f>CSE4098B_Spring2026_Grade!C56</f>
        <v>Divya Jyoti Bagchi</v>
      </c>
      <c r="D56" s="220">
        <v>39.0</v>
      </c>
      <c r="E56" s="221">
        <f t="shared" si="1"/>
        <v>43.33333333</v>
      </c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220">
        <v>27.0</v>
      </c>
      <c r="S56" s="47"/>
      <c r="T56" s="47"/>
      <c r="U56" s="220">
        <v>42.0</v>
      </c>
      <c r="V56" s="47"/>
      <c r="W56" s="220">
        <v>24.0</v>
      </c>
      <c r="X56" s="47"/>
      <c r="Y56" s="244">
        <f t="shared" si="2"/>
        <v>34.44444444</v>
      </c>
      <c r="Z56" s="245">
        <f t="shared" si="3"/>
        <v>39.78</v>
      </c>
    </row>
    <row r="57" ht="11.25" customHeight="1">
      <c r="A57" s="11">
        <v>53.0</v>
      </c>
      <c r="B57" s="219">
        <f>CSE4098B_Spring2026_Grade!B57</f>
        <v>223014127</v>
      </c>
      <c r="C57" s="219" t="str">
        <f>CSE4098B_Spring2026_Grade!C57</f>
        <v>Naznine Sultana Nitu</v>
      </c>
      <c r="D57" s="220">
        <v>39.0</v>
      </c>
      <c r="E57" s="221">
        <f t="shared" si="1"/>
        <v>43.33333333</v>
      </c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220">
        <v>27.0</v>
      </c>
      <c r="S57" s="47"/>
      <c r="T57" s="47"/>
      <c r="U57" s="220">
        <v>42.0</v>
      </c>
      <c r="V57" s="47"/>
      <c r="W57" s="220">
        <v>24.0</v>
      </c>
      <c r="X57" s="47"/>
      <c r="Y57" s="244">
        <f t="shared" si="2"/>
        <v>34.44444444</v>
      </c>
      <c r="Z57" s="245">
        <f t="shared" si="3"/>
        <v>39.78</v>
      </c>
    </row>
    <row r="58" ht="11.25" customHeight="1">
      <c r="A58" s="11">
        <v>54.0</v>
      </c>
      <c r="B58" s="219">
        <f>CSE4098B_Spring2026_Grade!B58</f>
        <v>223014011</v>
      </c>
      <c r="C58" s="219" t="str">
        <f>CSE4098B_Spring2026_Grade!C58</f>
        <v>Fabiha Fayruj</v>
      </c>
      <c r="D58" s="220">
        <v>40.0</v>
      </c>
      <c r="E58" s="221">
        <f t="shared" si="1"/>
        <v>44.44444444</v>
      </c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220">
        <v>27.0</v>
      </c>
      <c r="S58" s="47"/>
      <c r="T58" s="47"/>
      <c r="U58" s="220">
        <v>42.0</v>
      </c>
      <c r="V58" s="47"/>
      <c r="W58" s="220">
        <v>24.0</v>
      </c>
      <c r="X58" s="47"/>
      <c r="Y58" s="244">
        <f t="shared" si="2"/>
        <v>34.44444444</v>
      </c>
      <c r="Z58" s="245">
        <f t="shared" si="3"/>
        <v>40.44</v>
      </c>
    </row>
    <row r="59" ht="11.25" customHeight="1">
      <c r="A59" s="11">
        <v>55.0</v>
      </c>
      <c r="B59" s="219">
        <f>CSE4098B_Spring2026_Grade!B59</f>
        <v>231014007</v>
      </c>
      <c r="C59" s="219" t="str">
        <f>CSE4098B_Spring2026_Grade!C59</f>
        <v>Abdullah Al Baki</v>
      </c>
      <c r="D59" s="220">
        <v>39.0</v>
      </c>
      <c r="E59" s="221">
        <f t="shared" si="1"/>
        <v>43.33333333</v>
      </c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220">
        <v>27.0</v>
      </c>
      <c r="S59" s="47"/>
      <c r="T59" s="47"/>
      <c r="U59" s="220">
        <v>42.0</v>
      </c>
      <c r="V59" s="47"/>
      <c r="W59" s="220">
        <v>24.0</v>
      </c>
      <c r="X59" s="47"/>
      <c r="Y59" s="244">
        <f t="shared" si="2"/>
        <v>34.44444444</v>
      </c>
      <c r="Z59" s="245">
        <f t="shared" si="3"/>
        <v>39.78</v>
      </c>
    </row>
    <row r="60" ht="11.25" customHeight="1">
      <c r="A60" s="11">
        <v>56.0</v>
      </c>
      <c r="B60" s="219">
        <f>CSE4098B_Spring2026_Grade!B60</f>
        <v>222014072</v>
      </c>
      <c r="C60" s="219" t="str">
        <f>CSE4098B_Spring2026_Grade!C60</f>
        <v>Md. Rahat Pervez</v>
      </c>
      <c r="D60" s="220">
        <v>30.0</v>
      </c>
      <c r="E60" s="221">
        <f t="shared" si="1"/>
        <v>33.33333333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220">
        <v>15.0</v>
      </c>
      <c r="Q60" s="47"/>
      <c r="R60" s="47"/>
      <c r="S60" s="47"/>
      <c r="T60" s="47"/>
      <c r="U60" s="47"/>
      <c r="V60" s="47"/>
      <c r="W60" s="220">
        <v>18.0</v>
      </c>
      <c r="X60" s="220">
        <v>24.0</v>
      </c>
      <c r="Y60" s="244">
        <f t="shared" si="2"/>
        <v>21.11111111</v>
      </c>
      <c r="Z60" s="245">
        <f t="shared" si="3"/>
        <v>28.44</v>
      </c>
    </row>
    <row r="61" ht="11.25" customHeight="1">
      <c r="A61" s="11">
        <v>57.0</v>
      </c>
      <c r="B61" s="219">
        <f>CSE4098B_Spring2026_Grade!B61</f>
        <v>222014097</v>
      </c>
      <c r="C61" s="219" t="str">
        <f>CSE4098B_Spring2026_Grade!C61</f>
        <v>Md. Abul Hashem</v>
      </c>
      <c r="D61" s="220">
        <v>27.0</v>
      </c>
      <c r="E61" s="221">
        <f t="shared" si="1"/>
        <v>30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220">
        <v>15.0</v>
      </c>
      <c r="Q61" s="47"/>
      <c r="R61" s="47"/>
      <c r="S61" s="47"/>
      <c r="T61" s="47"/>
      <c r="U61" s="47"/>
      <c r="V61" s="47"/>
      <c r="W61" s="220">
        <v>18.0</v>
      </c>
      <c r="X61" s="220">
        <v>26.0</v>
      </c>
      <c r="Y61" s="244">
        <f t="shared" si="2"/>
        <v>21.85185185</v>
      </c>
      <c r="Z61" s="245">
        <f t="shared" si="3"/>
        <v>26.74</v>
      </c>
    </row>
    <row r="62" ht="11.25" customHeight="1">
      <c r="A62" s="11">
        <v>58.0</v>
      </c>
      <c r="B62" s="219">
        <f>CSE4098B_Spring2026_Grade!B62</f>
        <v>222014040</v>
      </c>
      <c r="C62" s="219" t="str">
        <f>CSE4098B_Spring2026_Grade!C62</f>
        <v>Md. Fiaz Anam Tasfi</v>
      </c>
      <c r="D62" s="220">
        <v>27.0</v>
      </c>
      <c r="E62" s="221">
        <f t="shared" si="1"/>
        <v>30</v>
      </c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220">
        <v>15.0</v>
      </c>
      <c r="Q62" s="47"/>
      <c r="R62" s="47"/>
      <c r="S62" s="47"/>
      <c r="T62" s="47"/>
      <c r="U62" s="47"/>
      <c r="V62" s="47"/>
      <c r="W62" s="220">
        <v>15.0</v>
      </c>
      <c r="X62" s="220">
        <v>25.0</v>
      </c>
      <c r="Y62" s="244">
        <f t="shared" si="2"/>
        <v>20.37037037</v>
      </c>
      <c r="Z62" s="245">
        <f t="shared" si="3"/>
        <v>26.15</v>
      </c>
    </row>
    <row r="63" ht="11.25" customHeight="1">
      <c r="A63" s="11">
        <v>59.0</v>
      </c>
      <c r="B63" s="219">
        <f>CSE4098B_Spring2026_Grade!B63</f>
        <v>222014071</v>
      </c>
      <c r="C63" s="219" t="str">
        <f>CSE4098B_Spring2026_Grade!C63</f>
        <v>Kasfia Hossain</v>
      </c>
      <c r="D63" s="230">
        <v>27.0</v>
      </c>
      <c r="E63" s="221">
        <f t="shared" si="1"/>
        <v>30</v>
      </c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30">
        <v>15.0</v>
      </c>
      <c r="Q63" s="229"/>
      <c r="R63" s="229"/>
      <c r="S63" s="229"/>
      <c r="T63" s="229"/>
      <c r="U63" s="229"/>
      <c r="V63" s="229"/>
      <c r="W63" s="230">
        <v>15.0</v>
      </c>
      <c r="X63" s="230">
        <v>23.0</v>
      </c>
      <c r="Y63" s="244">
        <f t="shared" si="2"/>
        <v>19.62962963</v>
      </c>
      <c r="Z63" s="245">
        <f t="shared" si="3"/>
        <v>25.85</v>
      </c>
    </row>
    <row r="64" ht="11.25" customHeight="1">
      <c r="A64" s="11">
        <v>60.0</v>
      </c>
      <c r="B64" s="219">
        <f>CSE4098B_Spring2026_Grade!B64</f>
        <v>223014195</v>
      </c>
      <c r="C64" s="219" t="str">
        <f>CSE4098B_Spring2026_Grade!C64</f>
        <v>Md. Rashedul Islam</v>
      </c>
      <c r="D64" s="230">
        <v>27.0</v>
      </c>
      <c r="E64" s="221">
        <f t="shared" si="1"/>
        <v>30</v>
      </c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30">
        <v>15.0</v>
      </c>
      <c r="Q64" s="229"/>
      <c r="R64" s="229"/>
      <c r="S64" s="229"/>
      <c r="T64" s="229"/>
      <c r="U64" s="229"/>
      <c r="V64" s="229"/>
      <c r="W64" s="230">
        <v>15.0</v>
      </c>
      <c r="X64" s="230">
        <v>23.0</v>
      </c>
      <c r="Y64" s="244">
        <f t="shared" si="2"/>
        <v>19.62962963</v>
      </c>
      <c r="Z64" s="245">
        <f t="shared" si="3"/>
        <v>25.85</v>
      </c>
    </row>
    <row r="65" ht="11.25" customHeight="1">
      <c r="A65" s="11">
        <v>61.0</v>
      </c>
      <c r="B65" s="219">
        <f>CSE4098B_Spring2026_Grade!B65</f>
        <v>223014110</v>
      </c>
      <c r="C65" s="219" t="str">
        <f>CSE4098B_Spring2026_Grade!C65</f>
        <v>Md. Maruf Hossain</v>
      </c>
      <c r="D65" s="230">
        <v>42.0</v>
      </c>
      <c r="E65" s="221">
        <f t="shared" si="1"/>
        <v>46.66666667</v>
      </c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30">
        <v>30.0</v>
      </c>
      <c r="Q65" s="229"/>
      <c r="R65" s="229"/>
      <c r="S65" s="229"/>
      <c r="T65" s="229"/>
      <c r="U65" s="229"/>
      <c r="V65" s="229"/>
      <c r="W65" s="230">
        <v>27.0</v>
      </c>
      <c r="X65" s="230">
        <v>29.0</v>
      </c>
      <c r="Y65" s="244">
        <f t="shared" si="2"/>
        <v>31.85185185</v>
      </c>
      <c r="Z65" s="245">
        <f t="shared" si="3"/>
        <v>40.74</v>
      </c>
    </row>
    <row r="66" ht="11.25" customHeight="1">
      <c r="A66" s="11">
        <v>62.0</v>
      </c>
      <c r="B66" s="219">
        <f>CSE4098B_Spring2026_Grade!B66</f>
        <v>223014135</v>
      </c>
      <c r="C66" s="219" t="str">
        <f>CSE4098B_Spring2026_Grade!C66</f>
        <v>Rakibul Hasan</v>
      </c>
      <c r="D66" s="230">
        <v>42.0</v>
      </c>
      <c r="E66" s="221">
        <f t="shared" si="1"/>
        <v>46.66666667</v>
      </c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30">
        <v>30.0</v>
      </c>
      <c r="Q66" s="229"/>
      <c r="R66" s="229"/>
      <c r="S66" s="229"/>
      <c r="T66" s="229"/>
      <c r="U66" s="229"/>
      <c r="V66" s="229"/>
      <c r="W66" s="230">
        <v>27.0</v>
      </c>
      <c r="X66" s="230">
        <v>27.0</v>
      </c>
      <c r="Y66" s="244">
        <f t="shared" si="2"/>
        <v>31.11111111</v>
      </c>
      <c r="Z66" s="245">
        <f t="shared" si="3"/>
        <v>40.44</v>
      </c>
    </row>
    <row r="67" ht="11.25" customHeight="1">
      <c r="A67" s="11">
        <v>63.0</v>
      </c>
      <c r="B67" s="219">
        <f>CSE4098B_Spring2026_Grade!B67</f>
        <v>223014122</v>
      </c>
      <c r="C67" s="219" t="str">
        <f>CSE4098B_Spring2026_Grade!C67</f>
        <v>Rabbi Sadnan Khan</v>
      </c>
      <c r="D67" s="230">
        <v>42.0</v>
      </c>
      <c r="E67" s="221">
        <f t="shared" si="1"/>
        <v>46.66666667</v>
      </c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30">
        <v>30.0</v>
      </c>
      <c r="Q67" s="229"/>
      <c r="R67" s="229"/>
      <c r="S67" s="229"/>
      <c r="T67" s="229"/>
      <c r="U67" s="229"/>
      <c r="V67" s="229"/>
      <c r="W67" s="230">
        <v>27.0</v>
      </c>
      <c r="X67" s="230">
        <v>31.0</v>
      </c>
      <c r="Y67" s="244">
        <f t="shared" si="2"/>
        <v>32.59259259</v>
      </c>
      <c r="Z67" s="245">
        <f t="shared" si="3"/>
        <v>41.04</v>
      </c>
    </row>
    <row r="68" ht="11.25" customHeight="1">
      <c r="A68" s="11">
        <v>64.0</v>
      </c>
      <c r="B68" s="219">
        <f>CSE4098B_Spring2026_Grade!B68</f>
        <v>212014030</v>
      </c>
      <c r="C68" s="219" t="str">
        <f>CSE4098B_Spring2026_Grade!C68</f>
        <v>Faria Islam Sara</v>
      </c>
      <c r="D68" s="230">
        <v>42.0</v>
      </c>
      <c r="E68" s="221">
        <f t="shared" si="1"/>
        <v>46.66666667</v>
      </c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30">
        <v>30.0</v>
      </c>
      <c r="Q68" s="229"/>
      <c r="R68" s="229"/>
      <c r="S68" s="229"/>
      <c r="T68" s="229"/>
      <c r="U68" s="229"/>
      <c r="V68" s="229"/>
      <c r="W68" s="230">
        <v>27.0</v>
      </c>
      <c r="X68" s="230">
        <v>29.0</v>
      </c>
      <c r="Y68" s="244">
        <f t="shared" si="2"/>
        <v>31.85185185</v>
      </c>
      <c r="Z68" s="245">
        <f t="shared" si="3"/>
        <v>40.74</v>
      </c>
    </row>
    <row r="69" ht="11.25" customHeight="1">
      <c r="A69" s="249">
        <v>65.0</v>
      </c>
      <c r="B69" s="250">
        <f>CSE4098B_Spring2026_Grade!B69</f>
        <v>221014083</v>
      </c>
      <c r="C69" s="250" t="str">
        <f>CSE4098B_Spring2026_Grade!C69</f>
        <v>Salina Akhter</v>
      </c>
      <c r="D69" s="227">
        <v>0.0</v>
      </c>
      <c r="E69" s="221">
        <f t="shared" si="1"/>
        <v>0</v>
      </c>
      <c r="F69" s="251"/>
      <c r="G69" s="251"/>
      <c r="H69" s="251"/>
      <c r="I69" s="251"/>
      <c r="J69" s="252"/>
      <c r="K69" s="252">
        <v>0.0</v>
      </c>
      <c r="L69" s="251"/>
      <c r="M69" s="251"/>
      <c r="N69" s="251"/>
      <c r="O69" s="251"/>
      <c r="P69" s="251"/>
      <c r="Q69" s="252">
        <v>0.0</v>
      </c>
      <c r="R69" s="251"/>
      <c r="S69" s="251"/>
      <c r="T69" s="251"/>
      <c r="U69" s="251"/>
      <c r="V69" s="252">
        <v>0.0</v>
      </c>
      <c r="W69" s="251"/>
      <c r="X69" s="251"/>
      <c r="Y69" s="244">
        <f t="shared" si="2"/>
        <v>0</v>
      </c>
      <c r="Z69" s="245">
        <f t="shared" si="3"/>
        <v>0</v>
      </c>
    </row>
    <row r="70" ht="11.25" customHeight="1">
      <c r="A70" s="11">
        <v>66.0</v>
      </c>
      <c r="B70" s="219">
        <f>CSE4098B_Spring2026_Grade!B70</f>
        <v>221014104</v>
      </c>
      <c r="C70" s="219" t="str">
        <f>CSE4098B_Spring2026_Grade!C70</f>
        <v>Rownak Salsabil</v>
      </c>
      <c r="D70" s="227">
        <v>12.0</v>
      </c>
      <c r="E70" s="221">
        <f t="shared" si="1"/>
        <v>13.33333333</v>
      </c>
      <c r="F70" s="229"/>
      <c r="G70" s="229"/>
      <c r="H70" s="229"/>
      <c r="I70" s="229"/>
      <c r="J70" s="230"/>
      <c r="K70" s="230">
        <v>6.0</v>
      </c>
      <c r="L70" s="229"/>
      <c r="M70" s="229"/>
      <c r="N70" s="229"/>
      <c r="O70" s="229"/>
      <c r="P70" s="229"/>
      <c r="Q70" s="230">
        <v>12.0</v>
      </c>
      <c r="R70" s="229"/>
      <c r="S70" s="229"/>
      <c r="T70" s="229"/>
      <c r="U70" s="229"/>
      <c r="V70" s="230">
        <v>9.0</v>
      </c>
      <c r="W70" s="229"/>
      <c r="X70" s="229"/>
      <c r="Y70" s="244">
        <f t="shared" si="2"/>
        <v>10</v>
      </c>
      <c r="Z70" s="245">
        <f t="shared" si="3"/>
        <v>12</v>
      </c>
    </row>
    <row r="71" ht="11.25" customHeight="1">
      <c r="A71" s="11">
        <v>67.0</v>
      </c>
      <c r="B71" s="219">
        <f>CSE4098B_Spring2026_Grade!B71</f>
        <v>221014077</v>
      </c>
      <c r="C71" s="219" t="str">
        <f>CSE4098B_Spring2026_Grade!C71</f>
        <v>Adnan Chowdhury</v>
      </c>
      <c r="D71" s="227">
        <v>12.0</v>
      </c>
      <c r="E71" s="221">
        <f t="shared" si="1"/>
        <v>13.33333333</v>
      </c>
      <c r="F71" s="229"/>
      <c r="G71" s="229"/>
      <c r="H71" s="229"/>
      <c r="I71" s="229"/>
      <c r="J71" s="230"/>
      <c r="K71" s="230">
        <v>6.0</v>
      </c>
      <c r="L71" s="229"/>
      <c r="M71" s="229"/>
      <c r="N71" s="229"/>
      <c r="O71" s="229"/>
      <c r="P71" s="229"/>
      <c r="Q71" s="230">
        <v>12.0</v>
      </c>
      <c r="R71" s="229"/>
      <c r="S71" s="229"/>
      <c r="T71" s="229"/>
      <c r="U71" s="229"/>
      <c r="V71" s="230">
        <v>9.0</v>
      </c>
      <c r="W71" s="229"/>
      <c r="X71" s="229"/>
      <c r="Y71" s="244">
        <f t="shared" si="2"/>
        <v>10</v>
      </c>
      <c r="Z71" s="245">
        <f t="shared" si="3"/>
        <v>12</v>
      </c>
    </row>
    <row r="72" ht="11.25" customHeight="1">
      <c r="A72" s="11">
        <v>68.0</v>
      </c>
      <c r="B72" s="219">
        <f>CSE4098B_Spring2026_Grade!B72</f>
        <v>221014085</v>
      </c>
      <c r="C72" s="219" t="str">
        <f>CSE4098B_Spring2026_Grade!C72</f>
        <v>Sheikh Nusaibah Noor</v>
      </c>
      <c r="D72" s="227">
        <v>12.0</v>
      </c>
      <c r="E72" s="221">
        <f t="shared" si="1"/>
        <v>13.33333333</v>
      </c>
      <c r="F72" s="229"/>
      <c r="G72" s="229"/>
      <c r="H72" s="229"/>
      <c r="I72" s="229"/>
      <c r="J72" s="230"/>
      <c r="K72" s="230">
        <v>6.0</v>
      </c>
      <c r="L72" s="229"/>
      <c r="M72" s="229"/>
      <c r="N72" s="229"/>
      <c r="O72" s="229"/>
      <c r="P72" s="229"/>
      <c r="Q72" s="230">
        <v>12.0</v>
      </c>
      <c r="R72" s="229"/>
      <c r="S72" s="229"/>
      <c r="T72" s="229"/>
      <c r="U72" s="229"/>
      <c r="V72" s="230">
        <v>9.0</v>
      </c>
      <c r="W72" s="229"/>
      <c r="X72" s="229"/>
      <c r="Y72" s="244">
        <f t="shared" si="2"/>
        <v>10</v>
      </c>
      <c r="Z72" s="245">
        <f t="shared" si="3"/>
        <v>12</v>
      </c>
    </row>
    <row r="73" ht="12.75" customHeight="1">
      <c r="A73" s="42"/>
      <c r="B73" s="43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2.75" customHeight="1">
      <c r="A74" s="42"/>
      <c r="B74" s="43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2.75" customHeight="1">
      <c r="A75" s="42"/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2.75" customHeight="1">
      <c r="A76" s="42"/>
      <c r="B76" s="43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2.75" customHeight="1">
      <c r="A77" s="42"/>
      <c r="B77" s="43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2.75" customHeight="1">
      <c r="A78" s="42"/>
      <c r="B78" s="43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2.75" customHeight="1">
      <c r="A79" s="42"/>
      <c r="B79" s="43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2.75" customHeight="1">
      <c r="A80" s="42"/>
      <c r="B80" s="43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2.75" customHeight="1">
      <c r="A81" s="42"/>
      <c r="B81" s="43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2.75" customHeight="1">
      <c r="A82" s="42"/>
      <c r="B82" s="43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2.75" customHeight="1">
      <c r="A83" s="42"/>
      <c r="B83" s="43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2.75" customHeight="1">
      <c r="A84" s="42"/>
      <c r="B84" s="43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2.75" customHeight="1">
      <c r="A85" s="42"/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2.75" customHeight="1">
      <c r="A86" s="42"/>
      <c r="B86" s="43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2.75" customHeight="1">
      <c r="A87" s="42"/>
      <c r="B87" s="43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2.75" customHeight="1">
      <c r="A88" s="42"/>
      <c r="B88" s="43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2.75" customHeight="1">
      <c r="A89" s="42"/>
      <c r="B89" s="43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2.75" customHeight="1">
      <c r="A90" s="42"/>
      <c r="B90" s="43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2.75" customHeight="1">
      <c r="A91" s="42"/>
      <c r="B91" s="43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2.75" customHeight="1">
      <c r="A92" s="42"/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2.75" customHeight="1">
      <c r="A93" s="42"/>
      <c r="B93" s="43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2.75" customHeight="1">
      <c r="A94" s="42"/>
      <c r="B94" s="43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2.75" customHeight="1">
      <c r="A95" s="42"/>
      <c r="B95" s="43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2.75" customHeight="1">
      <c r="A96" s="42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2.75" customHeight="1">
      <c r="A97" s="42"/>
      <c r="B97" s="43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2.75" customHeight="1">
      <c r="A98" s="42"/>
      <c r="B98" s="43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2.75" customHeight="1">
      <c r="A99" s="42"/>
      <c r="B99" s="43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2.75" customHeight="1">
      <c r="A100" s="42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2.75" customHeight="1">
      <c r="A101" s="42"/>
      <c r="B101" s="43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2.75" customHeight="1">
      <c r="A102" s="42"/>
      <c r="B102" s="43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2.75" customHeight="1">
      <c r="A103" s="42"/>
      <c r="B103" s="43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2.75" customHeight="1">
      <c r="A104" s="42"/>
      <c r="B104" s="43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2.75" customHeight="1">
      <c r="A105" s="42"/>
      <c r="B105" s="43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2.75" customHeight="1">
      <c r="A106" s="42"/>
      <c r="B106" s="43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2.75" customHeight="1">
      <c r="A107" s="42"/>
      <c r="B107" s="43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2.75" customHeight="1">
      <c r="A108" s="42"/>
      <c r="B108" s="43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2.75" customHeight="1">
      <c r="A109" s="42"/>
      <c r="B109" s="43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2.75" customHeight="1">
      <c r="A110" s="42"/>
      <c r="B110" s="43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2.75" customHeight="1">
      <c r="A111" s="42"/>
      <c r="B111" s="43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2.75" customHeight="1">
      <c r="A112" s="42"/>
      <c r="B112" s="43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2.75" customHeight="1">
      <c r="A113" s="42"/>
      <c r="B113" s="43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2.75" customHeight="1">
      <c r="A114" s="42"/>
      <c r="B114" s="43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2.75" customHeight="1">
      <c r="A115" s="42"/>
      <c r="B115" s="43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2.75" customHeight="1">
      <c r="A116" s="42"/>
      <c r="B116" s="43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2.75" customHeight="1">
      <c r="A117" s="42"/>
      <c r="B117" s="43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2.75" customHeight="1">
      <c r="A118" s="42"/>
      <c r="B118" s="43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2.75" customHeight="1">
      <c r="A119" s="42"/>
      <c r="B119" s="43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2.75" customHeight="1">
      <c r="A120" s="42"/>
      <c r="B120" s="43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2.75" customHeight="1">
      <c r="A121" s="42"/>
      <c r="B121" s="43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2.75" customHeight="1">
      <c r="A122" s="42"/>
      <c r="B122" s="43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2.75" customHeight="1">
      <c r="A123" s="42"/>
      <c r="B123" s="43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2.75" customHeight="1">
      <c r="A124" s="42"/>
      <c r="B124" s="43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2.75" customHeight="1">
      <c r="A125" s="42"/>
      <c r="B125" s="43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2.75" customHeight="1">
      <c r="A126" s="42"/>
      <c r="B126" s="43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2.75" customHeight="1">
      <c r="A127" s="42"/>
      <c r="B127" s="43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2.75" customHeight="1">
      <c r="A128" s="42"/>
      <c r="B128" s="43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2.75" customHeight="1">
      <c r="A129" s="42"/>
      <c r="B129" s="43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2.75" customHeight="1">
      <c r="A130" s="42"/>
      <c r="B130" s="43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2.75" customHeight="1">
      <c r="A131" s="42"/>
      <c r="B131" s="43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2.75" customHeight="1">
      <c r="A132" s="42"/>
      <c r="B132" s="43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2.75" customHeight="1">
      <c r="A133" s="42"/>
      <c r="B133" s="43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2.75" customHeight="1">
      <c r="A134" s="42"/>
      <c r="B134" s="43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2.75" customHeight="1">
      <c r="A135" s="42"/>
      <c r="B135" s="43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2.75" customHeight="1">
      <c r="A136" s="42"/>
      <c r="B136" s="43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2.75" customHeight="1">
      <c r="A137" s="42"/>
      <c r="B137" s="43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2.75" customHeight="1">
      <c r="A138" s="42"/>
      <c r="B138" s="43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2.75" customHeight="1">
      <c r="A139" s="42"/>
      <c r="B139" s="43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2.75" customHeight="1">
      <c r="A140" s="42"/>
      <c r="B140" s="43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2.75" customHeight="1">
      <c r="A141" s="42"/>
      <c r="B141" s="43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2.75" customHeight="1">
      <c r="A142" s="42"/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2.75" customHeight="1">
      <c r="A143" s="42"/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2.75" customHeight="1">
      <c r="A144" s="42"/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2.75" customHeight="1">
      <c r="A145" s="42"/>
      <c r="B145" s="43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2.75" customHeight="1">
      <c r="A146" s="42"/>
      <c r="B146" s="43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2.75" customHeight="1">
      <c r="A147" s="42"/>
      <c r="B147" s="43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2.75" customHeight="1">
      <c r="A148" s="42"/>
      <c r="B148" s="43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2.75" customHeight="1">
      <c r="A149" s="42"/>
      <c r="B149" s="43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2.75" customHeight="1">
      <c r="A150" s="42"/>
      <c r="B150" s="43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2.75" customHeight="1">
      <c r="A151" s="42"/>
      <c r="B151" s="43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2.75" customHeight="1">
      <c r="A152" s="42"/>
      <c r="B152" s="43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2.75" customHeight="1">
      <c r="A153" s="42"/>
      <c r="B153" s="43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2.75" customHeight="1">
      <c r="A154" s="42"/>
      <c r="B154" s="43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2.75" customHeight="1">
      <c r="A155" s="42"/>
      <c r="B155" s="43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2.75" customHeight="1">
      <c r="A156" s="42"/>
      <c r="B156" s="43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2.75" customHeight="1">
      <c r="A157" s="42"/>
      <c r="B157" s="43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2.75" customHeight="1">
      <c r="A158" s="42"/>
      <c r="B158" s="43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2.75" customHeight="1">
      <c r="A159" s="42"/>
      <c r="B159" s="43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2.75" customHeight="1">
      <c r="A160" s="42"/>
      <c r="B160" s="43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2.75" customHeight="1">
      <c r="A161" s="42"/>
      <c r="B161" s="43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2.75" customHeight="1">
      <c r="A162" s="42"/>
      <c r="B162" s="43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2.75" customHeight="1">
      <c r="A163" s="42"/>
      <c r="B163" s="43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2.75" customHeight="1">
      <c r="A164" s="42"/>
      <c r="B164" s="43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2.75" customHeight="1">
      <c r="A165" s="42"/>
      <c r="B165" s="43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2.75" customHeight="1">
      <c r="A166" s="42"/>
      <c r="B166" s="43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2.75" customHeight="1">
      <c r="A167" s="42"/>
      <c r="B167" s="43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2.75" customHeight="1">
      <c r="A168" s="42"/>
      <c r="B168" s="43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2.75" customHeight="1">
      <c r="A169" s="42"/>
      <c r="B169" s="43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2.75" customHeight="1">
      <c r="A170" s="42"/>
      <c r="B170" s="43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2.75" customHeight="1">
      <c r="A171" s="42"/>
      <c r="B171" s="43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2.75" customHeight="1">
      <c r="A172" s="42"/>
      <c r="B172" s="43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2.75" customHeight="1">
      <c r="A173" s="42"/>
      <c r="B173" s="43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2.75" customHeight="1">
      <c r="A174" s="42"/>
      <c r="B174" s="43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2.75" customHeight="1">
      <c r="A175" s="42"/>
      <c r="B175" s="43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2.75" customHeight="1">
      <c r="A176" s="42"/>
      <c r="B176" s="43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2.75" customHeight="1">
      <c r="A177" s="42"/>
      <c r="B177" s="43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2.75" customHeight="1">
      <c r="A178" s="42"/>
      <c r="B178" s="43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2.75" customHeight="1">
      <c r="A179" s="42"/>
      <c r="B179" s="43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2.75" customHeight="1">
      <c r="A180" s="42"/>
      <c r="B180" s="43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2.75" customHeight="1">
      <c r="A181" s="42"/>
      <c r="B181" s="43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2.75" customHeight="1">
      <c r="A182" s="42"/>
      <c r="B182" s="43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2.75" customHeight="1">
      <c r="A183" s="42"/>
      <c r="B183" s="43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2.75" customHeight="1">
      <c r="A184" s="42"/>
      <c r="B184" s="43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2.75" customHeight="1">
      <c r="A185" s="42"/>
      <c r="B185" s="43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2.75" customHeight="1">
      <c r="A186" s="42"/>
      <c r="B186" s="43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2.75" customHeight="1">
      <c r="A187" s="42"/>
      <c r="B187" s="43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2.75" customHeight="1">
      <c r="A188" s="42"/>
      <c r="B188" s="43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2.75" customHeight="1">
      <c r="A189" s="42"/>
      <c r="B189" s="43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2.75" customHeight="1">
      <c r="A190" s="42"/>
      <c r="B190" s="43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2.75" customHeight="1">
      <c r="A191" s="42"/>
      <c r="B191" s="43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2.75" customHeight="1">
      <c r="A192" s="42"/>
      <c r="B192" s="43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2.75" customHeight="1">
      <c r="A193" s="42"/>
      <c r="B193" s="43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2.75" customHeight="1">
      <c r="A194" s="42"/>
      <c r="B194" s="43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2.75" customHeight="1">
      <c r="A195" s="42"/>
      <c r="B195" s="43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2.75" customHeight="1">
      <c r="A196" s="42"/>
      <c r="B196" s="43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2.75" customHeight="1">
      <c r="A197" s="42"/>
      <c r="B197" s="43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2.75" customHeight="1">
      <c r="A198" s="42"/>
      <c r="B198" s="43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2.75" customHeight="1">
      <c r="A199" s="42"/>
      <c r="B199" s="43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2.75" customHeight="1">
      <c r="A200" s="42"/>
      <c r="B200" s="43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2.75" customHeight="1">
      <c r="A201" s="42"/>
      <c r="B201" s="43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2.75" customHeight="1">
      <c r="A202" s="42"/>
      <c r="B202" s="43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2.75" customHeight="1">
      <c r="A203" s="42"/>
      <c r="B203" s="43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2.75" customHeight="1">
      <c r="A204" s="42"/>
      <c r="B204" s="43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2.75" customHeight="1">
      <c r="A205" s="42"/>
      <c r="B205" s="43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2.75" customHeight="1">
      <c r="A206" s="42"/>
      <c r="B206" s="43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2.75" customHeight="1">
      <c r="A207" s="42"/>
      <c r="B207" s="43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2.75" customHeight="1">
      <c r="A208" s="42"/>
      <c r="B208" s="43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2.75" customHeight="1">
      <c r="A209" s="42"/>
      <c r="B209" s="43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2.75" customHeight="1">
      <c r="A210" s="42"/>
      <c r="B210" s="43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2.75" customHeight="1">
      <c r="A211" s="42"/>
      <c r="B211" s="43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2.75" customHeight="1">
      <c r="A212" s="42"/>
      <c r="B212" s="43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2.75" customHeight="1">
      <c r="A213" s="42"/>
      <c r="B213" s="43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2.75" customHeight="1">
      <c r="A214" s="42"/>
      <c r="B214" s="43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2.75" customHeight="1">
      <c r="A215" s="42"/>
      <c r="B215" s="43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2.75" customHeight="1">
      <c r="A216" s="42"/>
      <c r="B216" s="43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2.75" customHeight="1">
      <c r="A217" s="42"/>
      <c r="B217" s="43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2.75" customHeight="1">
      <c r="A218" s="42"/>
      <c r="B218" s="43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2.75" customHeight="1">
      <c r="A219" s="42"/>
      <c r="B219" s="43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2.75" customHeight="1">
      <c r="A220" s="42"/>
      <c r="B220" s="43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2.75" customHeight="1">
      <c r="A221" s="42"/>
      <c r="B221" s="43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2.75" customHeight="1">
      <c r="A222" s="42"/>
      <c r="B222" s="43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2.75" customHeight="1">
      <c r="A223" s="42"/>
      <c r="B223" s="43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2.75" customHeight="1">
      <c r="A224" s="42"/>
      <c r="B224" s="43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2.75" customHeight="1">
      <c r="A225" s="42"/>
      <c r="B225" s="43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2.75" customHeight="1">
      <c r="A226" s="42"/>
      <c r="B226" s="43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2.75" customHeight="1">
      <c r="A227" s="42"/>
      <c r="B227" s="43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2.75" customHeight="1">
      <c r="A228" s="42"/>
      <c r="B228" s="43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2.75" customHeight="1">
      <c r="A229" s="42"/>
      <c r="B229" s="43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2.75" customHeight="1">
      <c r="A230" s="42"/>
      <c r="B230" s="43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2.75" customHeight="1">
      <c r="A231" s="42"/>
      <c r="B231" s="43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2.75" customHeight="1">
      <c r="A232" s="42"/>
      <c r="B232" s="42"/>
      <c r="C232" s="44"/>
      <c r="D232" s="44"/>
      <c r="E232" s="44"/>
      <c r="F232" s="42"/>
      <c r="G232" s="42"/>
      <c r="H232" s="42"/>
      <c r="I232" s="44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2.75" customHeight="1">
      <c r="A233" s="42"/>
      <c r="B233" s="42"/>
      <c r="C233" s="44"/>
      <c r="D233" s="44"/>
      <c r="E233" s="44"/>
      <c r="F233" s="42"/>
      <c r="G233" s="42"/>
      <c r="H233" s="42"/>
      <c r="I233" s="44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2.75" customHeight="1">
      <c r="A234" s="42"/>
      <c r="B234" s="42"/>
      <c r="C234" s="44"/>
      <c r="D234" s="44"/>
      <c r="E234" s="44"/>
      <c r="F234" s="42"/>
      <c r="G234" s="42"/>
      <c r="H234" s="42"/>
      <c r="I234" s="44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2.75" customHeight="1">
      <c r="A235" s="42"/>
      <c r="B235" s="42"/>
      <c r="C235" s="44"/>
      <c r="D235" s="44"/>
      <c r="E235" s="44"/>
      <c r="F235" s="42"/>
      <c r="G235" s="42"/>
      <c r="H235" s="42"/>
      <c r="I235" s="44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2.75" customHeight="1">
      <c r="A236" s="42"/>
      <c r="B236" s="42"/>
      <c r="C236" s="44"/>
      <c r="D236" s="44"/>
      <c r="E236" s="44"/>
      <c r="F236" s="42"/>
      <c r="G236" s="42"/>
      <c r="H236" s="42"/>
      <c r="I236" s="44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M237" s="20"/>
      <c r="N237" s="20"/>
      <c r="O237" s="20"/>
      <c r="P237" s="20"/>
      <c r="Q237" s="20"/>
      <c r="R237" s="20"/>
      <c r="S237" s="20"/>
      <c r="T237" s="20"/>
      <c r="V237" s="20"/>
      <c r="W237" s="20"/>
    </row>
    <row r="238" ht="15.75" customHeight="1">
      <c r="M238" s="20"/>
      <c r="N238" s="20"/>
      <c r="O238" s="20"/>
      <c r="P238" s="20"/>
      <c r="Q238" s="20"/>
      <c r="R238" s="20"/>
      <c r="S238" s="20"/>
      <c r="T238" s="20"/>
      <c r="V238" s="20"/>
      <c r="W238" s="20"/>
    </row>
    <row r="239" ht="15.75" customHeight="1">
      <c r="M239" s="20"/>
      <c r="N239" s="20"/>
      <c r="O239" s="20"/>
      <c r="P239" s="20"/>
      <c r="Q239" s="20"/>
      <c r="R239" s="20"/>
      <c r="S239" s="20"/>
      <c r="T239" s="20"/>
      <c r="V239" s="20"/>
      <c r="W239" s="20"/>
    </row>
    <row r="240" ht="15.75" customHeight="1">
      <c r="M240" s="20"/>
      <c r="N240" s="20"/>
      <c r="O240" s="20"/>
      <c r="P240" s="20"/>
      <c r="Q240" s="20"/>
      <c r="R240" s="20"/>
      <c r="S240" s="20"/>
      <c r="T240" s="20"/>
      <c r="V240" s="20"/>
      <c r="W240" s="20"/>
    </row>
    <row r="241" ht="15.75" customHeight="1">
      <c r="M241" s="20"/>
      <c r="N241" s="20"/>
      <c r="O241" s="20"/>
      <c r="P241" s="20"/>
      <c r="Q241" s="20"/>
      <c r="R241" s="20"/>
      <c r="S241" s="20"/>
      <c r="T241" s="20"/>
      <c r="V241" s="20"/>
      <c r="W241" s="20"/>
    </row>
    <row r="242" ht="15.75" customHeight="1">
      <c r="M242" s="20"/>
      <c r="N242" s="20"/>
      <c r="O242" s="20"/>
      <c r="P242" s="20"/>
      <c r="Q242" s="20"/>
      <c r="R242" s="20"/>
      <c r="S242" s="20"/>
      <c r="T242" s="20"/>
      <c r="V242" s="20"/>
      <c r="W242" s="20"/>
    </row>
    <row r="243" ht="15.75" customHeight="1">
      <c r="M243" s="20"/>
      <c r="N243" s="20"/>
      <c r="O243" s="20"/>
      <c r="P243" s="20"/>
      <c r="Q243" s="20"/>
      <c r="R243" s="20"/>
      <c r="S243" s="20"/>
      <c r="T243" s="20"/>
      <c r="V243" s="20"/>
      <c r="W243" s="20"/>
    </row>
    <row r="244" ht="15.75" customHeight="1">
      <c r="M244" s="20"/>
      <c r="N244" s="20"/>
      <c r="O244" s="20"/>
      <c r="P244" s="20"/>
      <c r="Q244" s="20"/>
      <c r="R244" s="20"/>
      <c r="S244" s="20"/>
      <c r="T244" s="20"/>
      <c r="V244" s="20"/>
      <c r="W244" s="20"/>
    </row>
    <row r="245" ht="15.75" customHeight="1">
      <c r="M245" s="20"/>
      <c r="N245" s="20"/>
      <c r="O245" s="20"/>
      <c r="P245" s="20"/>
      <c r="Q245" s="20"/>
      <c r="R245" s="20"/>
      <c r="S245" s="20"/>
      <c r="T245" s="20"/>
      <c r="V245" s="20"/>
      <c r="W245" s="20"/>
    </row>
    <row r="246" ht="15.75" customHeight="1">
      <c r="M246" s="20"/>
      <c r="N246" s="20"/>
      <c r="O246" s="20"/>
      <c r="P246" s="20"/>
      <c r="Q246" s="20"/>
      <c r="R246" s="20"/>
      <c r="S246" s="20"/>
      <c r="T246" s="20"/>
      <c r="V246" s="20"/>
      <c r="W246" s="20"/>
    </row>
    <row r="247" ht="15.75" customHeight="1">
      <c r="M247" s="20"/>
      <c r="N247" s="20"/>
      <c r="O247" s="20"/>
      <c r="P247" s="20"/>
      <c r="Q247" s="20"/>
      <c r="R247" s="20"/>
      <c r="S247" s="20"/>
      <c r="T247" s="20"/>
      <c r="V247" s="20"/>
      <c r="W247" s="20"/>
    </row>
    <row r="248" ht="15.75" customHeight="1">
      <c r="M248" s="20"/>
      <c r="N248" s="20"/>
      <c r="O248" s="20"/>
      <c r="P248" s="20"/>
      <c r="Q248" s="20"/>
      <c r="R248" s="20"/>
      <c r="S248" s="20"/>
      <c r="T248" s="20"/>
      <c r="V248" s="20"/>
      <c r="W248" s="20"/>
    </row>
    <row r="249" ht="15.75" customHeight="1">
      <c r="M249" s="20"/>
      <c r="N249" s="20"/>
      <c r="O249" s="20"/>
      <c r="P249" s="20"/>
      <c r="Q249" s="20"/>
      <c r="R249" s="20"/>
      <c r="S249" s="20"/>
      <c r="T249" s="20"/>
      <c r="V249" s="20"/>
      <c r="W249" s="20"/>
    </row>
    <row r="250" ht="15.75" customHeight="1">
      <c r="M250" s="20"/>
      <c r="N250" s="20"/>
      <c r="O250" s="20"/>
      <c r="P250" s="20"/>
      <c r="Q250" s="20"/>
      <c r="R250" s="20"/>
      <c r="S250" s="20"/>
      <c r="T250" s="20"/>
      <c r="V250" s="20"/>
      <c r="W250" s="20"/>
    </row>
    <row r="251" ht="15.75" customHeight="1">
      <c r="M251" s="20"/>
      <c r="N251" s="20"/>
      <c r="O251" s="20"/>
      <c r="P251" s="20"/>
      <c r="Q251" s="20"/>
      <c r="R251" s="20"/>
      <c r="S251" s="20"/>
      <c r="T251" s="20"/>
      <c r="V251" s="20"/>
      <c r="W251" s="20"/>
    </row>
    <row r="252" ht="15.75" customHeight="1">
      <c r="M252" s="20"/>
      <c r="N252" s="20"/>
      <c r="O252" s="20"/>
      <c r="P252" s="20"/>
      <c r="Q252" s="20"/>
      <c r="R252" s="20"/>
      <c r="S252" s="20"/>
      <c r="T252" s="20"/>
      <c r="V252" s="20"/>
      <c r="W252" s="20"/>
    </row>
    <row r="253" ht="15.75" customHeight="1">
      <c r="M253" s="20"/>
      <c r="N253" s="20"/>
      <c r="O253" s="20"/>
      <c r="P253" s="20"/>
      <c r="Q253" s="20"/>
      <c r="R253" s="20"/>
      <c r="S253" s="20"/>
      <c r="T253" s="20"/>
      <c r="V253" s="20"/>
      <c r="W253" s="20"/>
    </row>
    <row r="254" ht="15.75" customHeight="1">
      <c r="M254" s="20"/>
      <c r="N254" s="20"/>
      <c r="O254" s="20"/>
      <c r="P254" s="20"/>
      <c r="Q254" s="20"/>
      <c r="R254" s="20"/>
      <c r="S254" s="20"/>
      <c r="T254" s="20"/>
      <c r="V254" s="20"/>
      <c r="W254" s="20"/>
    </row>
    <row r="255" ht="15.75" customHeight="1">
      <c r="M255" s="20"/>
      <c r="N255" s="20"/>
      <c r="O255" s="20"/>
      <c r="P255" s="20"/>
      <c r="Q255" s="20"/>
      <c r="R255" s="20"/>
      <c r="S255" s="20"/>
      <c r="T255" s="20"/>
      <c r="V255" s="20"/>
      <c r="W255" s="20"/>
    </row>
    <row r="256" ht="15.75" customHeight="1">
      <c r="M256" s="20"/>
      <c r="N256" s="20"/>
      <c r="O256" s="20"/>
      <c r="P256" s="20"/>
      <c r="Q256" s="20"/>
      <c r="R256" s="20"/>
      <c r="S256" s="20"/>
      <c r="T256" s="20"/>
      <c r="V256" s="20"/>
      <c r="W256" s="20"/>
    </row>
    <row r="257" ht="15.75" customHeight="1">
      <c r="M257" s="20"/>
      <c r="N257" s="20"/>
      <c r="O257" s="20"/>
      <c r="P257" s="20"/>
      <c r="Q257" s="20"/>
      <c r="R257" s="20"/>
      <c r="S257" s="20"/>
      <c r="T257" s="20"/>
      <c r="V257" s="20"/>
      <c r="W257" s="20"/>
    </row>
    <row r="258" ht="15.75" customHeight="1">
      <c r="M258" s="20"/>
      <c r="N258" s="20"/>
      <c r="O258" s="20"/>
      <c r="P258" s="20"/>
      <c r="Q258" s="20"/>
      <c r="R258" s="20"/>
      <c r="S258" s="20"/>
      <c r="T258" s="20"/>
      <c r="V258" s="20"/>
      <c r="W258" s="20"/>
    </row>
    <row r="259" ht="15.75" customHeight="1">
      <c r="M259" s="20"/>
      <c r="N259" s="20"/>
      <c r="O259" s="20"/>
      <c r="P259" s="20"/>
      <c r="Q259" s="20"/>
      <c r="R259" s="20"/>
      <c r="S259" s="20"/>
      <c r="T259" s="20"/>
      <c r="V259" s="20"/>
      <c r="W259" s="20"/>
    </row>
    <row r="260" ht="15.75" customHeight="1">
      <c r="M260" s="20"/>
      <c r="N260" s="20"/>
      <c r="O260" s="20"/>
      <c r="P260" s="20"/>
      <c r="Q260" s="20"/>
      <c r="R260" s="20"/>
      <c r="S260" s="20"/>
      <c r="T260" s="20"/>
      <c r="V260" s="20"/>
      <c r="W260" s="20"/>
    </row>
    <row r="261" ht="15.75" customHeight="1">
      <c r="M261" s="20"/>
      <c r="N261" s="20"/>
      <c r="O261" s="20"/>
      <c r="P261" s="20"/>
      <c r="Q261" s="20"/>
      <c r="R261" s="20"/>
      <c r="S261" s="20"/>
      <c r="T261" s="20"/>
      <c r="V261" s="20"/>
      <c r="W261" s="20"/>
    </row>
    <row r="262" ht="15.75" customHeight="1">
      <c r="M262" s="20"/>
      <c r="N262" s="20"/>
      <c r="O262" s="20"/>
      <c r="P262" s="20"/>
      <c r="Q262" s="20"/>
      <c r="R262" s="20"/>
      <c r="S262" s="20"/>
      <c r="T262" s="20"/>
      <c r="V262" s="20"/>
      <c r="W262" s="20"/>
    </row>
    <row r="263" ht="15.75" customHeight="1">
      <c r="M263" s="20"/>
      <c r="N263" s="20"/>
      <c r="O263" s="20"/>
      <c r="P263" s="20"/>
      <c r="Q263" s="20"/>
      <c r="R263" s="20"/>
      <c r="S263" s="20"/>
      <c r="T263" s="20"/>
      <c r="V263" s="20"/>
      <c r="W263" s="20"/>
    </row>
    <row r="264" ht="15.75" customHeight="1">
      <c r="M264" s="20"/>
      <c r="N264" s="20"/>
      <c r="O264" s="20"/>
      <c r="P264" s="20"/>
      <c r="Q264" s="20"/>
      <c r="R264" s="20"/>
      <c r="S264" s="20"/>
      <c r="T264" s="20"/>
      <c r="V264" s="20"/>
      <c r="W264" s="20"/>
    </row>
    <row r="265" ht="15.75" customHeight="1">
      <c r="M265" s="20"/>
      <c r="N265" s="20"/>
      <c r="O265" s="20"/>
      <c r="P265" s="20"/>
      <c r="Q265" s="20"/>
      <c r="R265" s="20"/>
      <c r="S265" s="20"/>
      <c r="T265" s="20"/>
      <c r="V265" s="20"/>
      <c r="W265" s="20"/>
    </row>
    <row r="266" ht="15.75" customHeight="1">
      <c r="M266" s="20"/>
      <c r="N266" s="20"/>
      <c r="O266" s="20"/>
      <c r="P266" s="20"/>
      <c r="Q266" s="20"/>
      <c r="R266" s="20"/>
      <c r="S266" s="20"/>
      <c r="T266" s="20"/>
      <c r="V266" s="20"/>
      <c r="W266" s="20"/>
    </row>
    <row r="267" ht="15.75" customHeight="1">
      <c r="M267" s="20"/>
      <c r="N267" s="20"/>
      <c r="O267" s="20"/>
      <c r="P267" s="20"/>
      <c r="Q267" s="20"/>
      <c r="R267" s="20"/>
      <c r="S267" s="20"/>
      <c r="T267" s="20"/>
      <c r="V267" s="20"/>
      <c r="W267" s="20"/>
    </row>
    <row r="268" ht="15.75" customHeight="1">
      <c r="M268" s="20"/>
      <c r="N268" s="20"/>
      <c r="O268" s="20"/>
      <c r="P268" s="20"/>
      <c r="Q268" s="20"/>
      <c r="R268" s="20"/>
      <c r="S268" s="20"/>
      <c r="T268" s="20"/>
      <c r="V268" s="20"/>
      <c r="W268" s="20"/>
    </row>
    <row r="269" ht="15.75" customHeight="1">
      <c r="M269" s="20"/>
      <c r="N269" s="20"/>
      <c r="O269" s="20"/>
      <c r="P269" s="20"/>
      <c r="Q269" s="20"/>
      <c r="R269" s="20"/>
      <c r="S269" s="20"/>
      <c r="T269" s="20"/>
      <c r="V269" s="20"/>
      <c r="W269" s="20"/>
    </row>
    <row r="270" ht="15.75" customHeight="1">
      <c r="M270" s="20"/>
      <c r="N270" s="20"/>
      <c r="O270" s="20"/>
      <c r="P270" s="20"/>
      <c r="Q270" s="20"/>
      <c r="R270" s="20"/>
      <c r="S270" s="20"/>
      <c r="T270" s="20"/>
      <c r="V270" s="20"/>
      <c r="W270" s="20"/>
    </row>
    <row r="271" ht="15.75" customHeight="1">
      <c r="M271" s="20"/>
      <c r="N271" s="20"/>
      <c r="O271" s="20"/>
      <c r="P271" s="20"/>
      <c r="Q271" s="20"/>
      <c r="R271" s="20"/>
      <c r="S271" s="20"/>
      <c r="T271" s="20"/>
      <c r="V271" s="20"/>
      <c r="W271" s="20"/>
    </row>
    <row r="272" ht="15.75" customHeight="1">
      <c r="M272" s="20"/>
      <c r="N272" s="20"/>
      <c r="O272" s="20"/>
      <c r="P272" s="20"/>
      <c r="Q272" s="20"/>
      <c r="R272" s="20"/>
      <c r="S272" s="20"/>
      <c r="T272" s="20"/>
      <c r="V272" s="20"/>
      <c r="W272" s="20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4">
    <mergeCell ref="A1:Z1"/>
    <mergeCell ref="A2:Z2"/>
    <mergeCell ref="D3:E3"/>
    <mergeCell ref="F3:Y3"/>
  </mergeCells>
  <printOptions/>
  <pageMargins bottom="0.75" footer="0.0" header="0.0" left="0.7" right="0.7" top="0.75"/>
  <pageSetup paperSize="9" scale="70" orientation="landscape"/>
  <drawing r:id="rId1"/>
</worksheet>
</file>