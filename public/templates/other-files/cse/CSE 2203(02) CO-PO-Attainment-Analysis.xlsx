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GradingPolicy" sheetId="2" r:id="rId5"/>
    <sheet state="visible" name="CourseSummary" sheetId="3" r:id="rId6"/>
    <sheet state="visible" name="CO_PO_AttainmentAnalysis" sheetId="4" r:id="rId7"/>
    <sheet state="visible" name="ContinuousQualityImprovement" sheetId="5" r:id="rId8"/>
    <sheet state="visible" name="Sheet1" sheetId="6" r:id="rId9"/>
  </sheets>
  <definedNames/>
  <calcPr/>
  <extLst>
    <ext uri="GoogleSheetsCustomDataVersion2">
      <go:sheetsCustomData xmlns:go="http://customooxmlschemas.google.com/" r:id="rId10" roundtripDataChecksum="BYyxXpCRnHYZMGVKT3TAO/j94gFd1m5AxB7gFdXvSNo="/>
    </ext>
  </extLst>
</workbook>
</file>

<file path=xl/sharedStrings.xml><?xml version="1.0" encoding="utf-8"?>
<sst xmlns="http://schemas.openxmlformats.org/spreadsheetml/2006/main" count="472" uniqueCount="240">
  <si>
    <t>Numerical Grade</t>
  </si>
  <si>
    <t>Minimum Number</t>
  </si>
  <si>
    <t>Letter Grade</t>
  </si>
  <si>
    <t>Below 50%</t>
  </si>
  <si>
    <t>F (Fail)</t>
  </si>
  <si>
    <t>Mapping of COs to POs</t>
  </si>
  <si>
    <t>50% to 54%</t>
  </si>
  <si>
    <t>D (Plain)</t>
  </si>
  <si>
    <t>55% to 59%</t>
  </si>
  <si>
    <t>C (Plain)</t>
  </si>
  <si>
    <t>Assessment Items</t>
  </si>
  <si>
    <t>CO1</t>
  </si>
  <si>
    <t>60% to 64%</t>
  </si>
  <si>
    <t>CO2</t>
  </si>
  <si>
    <t>C+ (Plus)</t>
  </si>
  <si>
    <t>CO3</t>
  </si>
  <si>
    <t>CO4</t>
  </si>
  <si>
    <t>CO5</t>
  </si>
  <si>
    <t>CO6</t>
  </si>
  <si>
    <t>65% to 69%</t>
  </si>
  <si>
    <t>B- (Minus)</t>
  </si>
  <si>
    <t>70% to 74%</t>
  </si>
  <si>
    <t>B (Plain)</t>
  </si>
  <si>
    <t>PO1</t>
  </si>
  <si>
    <t>75% to 79%</t>
  </si>
  <si>
    <t>PO2</t>
  </si>
  <si>
    <t>B+ (Plus)</t>
  </si>
  <si>
    <t>PO3</t>
  </si>
  <si>
    <t>PO4</t>
  </si>
  <si>
    <t>PO5</t>
  </si>
  <si>
    <t>PO6</t>
  </si>
  <si>
    <t>PO7</t>
  </si>
  <si>
    <t>PO8</t>
  </si>
  <si>
    <t>PO9</t>
  </si>
  <si>
    <t>PO10</t>
  </si>
  <si>
    <t>80% to 84%</t>
  </si>
  <si>
    <t>PO11</t>
  </si>
  <si>
    <t>A- (Minus)</t>
  </si>
  <si>
    <t>PO12</t>
  </si>
  <si>
    <t>85% to 94%</t>
  </si>
  <si>
    <t>A (Plain)</t>
  </si>
  <si>
    <t>Midterm Exam</t>
  </si>
  <si>
    <t>95% and above</t>
  </si>
  <si>
    <t>A+ (Plus)</t>
  </si>
  <si>
    <t>Final Exam</t>
  </si>
  <si>
    <t>Course Code</t>
  </si>
  <si>
    <t>CSE 2203</t>
  </si>
  <si>
    <t>Section</t>
  </si>
  <si>
    <t>Course Title</t>
  </si>
  <si>
    <t>Computer Organization and Architecture</t>
  </si>
  <si>
    <t>Semester</t>
  </si>
  <si>
    <t>Spring 2026</t>
  </si>
  <si>
    <t>Credit</t>
  </si>
  <si>
    <t>Project</t>
  </si>
  <si>
    <t>W (Withdrawn)</t>
  </si>
  <si>
    <t>Instructor</t>
  </si>
  <si>
    <t>Rubaiya Hafiz</t>
  </si>
  <si>
    <t>Presentation</t>
  </si>
  <si>
    <t>Performance</t>
  </si>
  <si>
    <t>Quiz 1</t>
  </si>
  <si>
    <t xml:space="preserve">Quiz 2 </t>
  </si>
  <si>
    <t>Quiz  Marks</t>
  </si>
  <si>
    <t xml:space="preserve">Assignment </t>
  </si>
  <si>
    <t xml:space="preserve">Mid </t>
  </si>
  <si>
    <t xml:space="preserve">Final </t>
  </si>
  <si>
    <t>No.</t>
  </si>
  <si>
    <t>Student ID</t>
  </si>
  <si>
    <t>Name</t>
  </si>
  <si>
    <t>Total</t>
  </si>
  <si>
    <t>Exam Total (100)</t>
  </si>
  <si>
    <t>Percent Total (100%)</t>
  </si>
  <si>
    <t>Grade</t>
  </si>
  <si>
    <t>192014034</t>
  </si>
  <si>
    <t>Md. Shajedul Islam Sumon</t>
  </si>
  <si>
    <t>201016005</t>
  </si>
  <si>
    <t>Md.Moshfiqur Rahman</t>
  </si>
  <si>
    <t>211014032</t>
  </si>
  <si>
    <t>Kaniz Fatema Shoheli</t>
  </si>
  <si>
    <t>221014113</t>
  </si>
  <si>
    <t>Sumi Rani Paul</t>
  </si>
  <si>
    <t>223014191</t>
  </si>
  <si>
    <t>Daniel Prottoy Sarkar</t>
  </si>
  <si>
    <t>232014067</t>
  </si>
  <si>
    <t>Minara Jahan</t>
  </si>
  <si>
    <t>233014100</t>
  </si>
  <si>
    <t>Sumaiya Akter</t>
  </si>
  <si>
    <t>233014138</t>
  </si>
  <si>
    <t>Md. Shoyeb Hossan</t>
  </si>
  <si>
    <t>233014147</t>
  </si>
  <si>
    <t>Ayesha Joenus</t>
  </si>
  <si>
    <t>CO Attainment Analysis</t>
  </si>
  <si>
    <t>PO Attainment Analysis</t>
  </si>
  <si>
    <t>Jannatul Ferdous</t>
  </si>
  <si>
    <t>Total Marks</t>
  </si>
  <si>
    <t>233014165</t>
  </si>
  <si>
    <t>Hamim Mortaej Chowdhury</t>
  </si>
  <si>
    <t>Percentage</t>
  </si>
  <si>
    <t>CO Attainment</t>
  </si>
  <si>
    <t>233014178</t>
  </si>
  <si>
    <t>M. M. Adnan Touhid</t>
  </si>
  <si>
    <t>PO Attainment</t>
  </si>
  <si>
    <t>233014188</t>
  </si>
  <si>
    <t>Merajul Islam</t>
  </si>
  <si>
    <t>233014230</t>
  </si>
  <si>
    <t>Nobojit Barman</t>
  </si>
  <si>
    <t>233014251</t>
  </si>
  <si>
    <t>Mahrab Hossain Prappo</t>
  </si>
  <si>
    <t>241014024</t>
  </si>
  <si>
    <t>Khairul Karim Abir</t>
  </si>
  <si>
    <t>S/N</t>
  </si>
  <si>
    <t>241014056</t>
  </si>
  <si>
    <t>Md.Jobayer Hossain</t>
  </si>
  <si>
    <t>241014065</t>
  </si>
  <si>
    <t>Md. Salman Sarowar Saikat</t>
  </si>
  <si>
    <t>241014111</t>
  </si>
  <si>
    <t>Nusrat Jahan Sunjida</t>
  </si>
  <si>
    <t>241014117</t>
  </si>
  <si>
    <t>Afroza Akter Asha</t>
  </si>
  <si>
    <t>241014122</t>
  </si>
  <si>
    <t>Martulaz Khan Mozib Sajeeb</t>
  </si>
  <si>
    <t>If CO achieved (≥55%) then 1, else 0</t>
  </si>
  <si>
    <t>241014125</t>
  </si>
  <si>
    <t>Nishat Sultana Subha</t>
  </si>
  <si>
    <t>If PO achieved (≥55%) then 1, else 0</t>
  </si>
  <si>
    <t>242014010</t>
  </si>
  <si>
    <t>Saidun Nasa Sana</t>
  </si>
  <si>
    <t>242014022</t>
  </si>
  <si>
    <t>Md. Ashfiqur Rahman Nabil</t>
  </si>
  <si>
    <t>242014059</t>
  </si>
  <si>
    <t>Md. Niyamul Hasan</t>
  </si>
  <si>
    <t>242014086</t>
  </si>
  <si>
    <t>Masab -Huq</t>
  </si>
  <si>
    <t>242014131</t>
  </si>
  <si>
    <t>Raju Ahammed</t>
  </si>
  <si>
    <t>242014175</t>
  </si>
  <si>
    <t>Md. Salauddin Yusuf</t>
  </si>
  <si>
    <t>243014007</t>
  </si>
  <si>
    <t>Sabrina Afrin</t>
  </si>
  <si>
    <t>243014019</t>
  </si>
  <si>
    <t>Tanzina Sultana Mrienmoye</t>
  </si>
  <si>
    <t>243014023</t>
  </si>
  <si>
    <t>Mehrin Akter Mahi</t>
  </si>
  <si>
    <t>243014059</t>
  </si>
  <si>
    <t>Mst Thamina Sultana</t>
  </si>
  <si>
    <t>243014140</t>
  </si>
  <si>
    <t>Aritry Alam</t>
  </si>
  <si>
    <t>243014180</t>
  </si>
  <si>
    <t>Kohinur Akter Mahi</t>
  </si>
  <si>
    <t>243014192</t>
  </si>
  <si>
    <t>Saima Haque Liya Moni</t>
  </si>
  <si>
    <t>243014213</t>
  </si>
  <si>
    <t>Amrin Haque Ohana</t>
  </si>
  <si>
    <t>243014215</t>
  </si>
  <si>
    <t>Md.Raisul Islam Patwary</t>
  </si>
  <si>
    <t>Assessment</t>
  </si>
  <si>
    <t>Marks Distribution</t>
  </si>
  <si>
    <t>Freq</t>
  </si>
  <si>
    <t>Attendance</t>
  </si>
  <si>
    <t>A+</t>
  </si>
  <si>
    <t>MAX</t>
  </si>
  <si>
    <t>A</t>
  </si>
  <si>
    <t>AVG</t>
  </si>
  <si>
    <t>Quiz</t>
  </si>
  <si>
    <t>A-</t>
  </si>
  <si>
    <t>MIN</t>
  </si>
  <si>
    <t>B+</t>
  </si>
  <si>
    <t>B</t>
  </si>
  <si>
    <t>B-</t>
  </si>
  <si>
    <t>C+</t>
  </si>
  <si>
    <t>C</t>
  </si>
  <si>
    <t>D</t>
  </si>
  <si>
    <t>F</t>
  </si>
  <si>
    <t>No exam</t>
  </si>
  <si>
    <t>I</t>
  </si>
  <si>
    <t>Withdrawn</t>
  </si>
  <si>
    <t>W</t>
  </si>
  <si>
    <t>Senior Lecturer</t>
  </si>
  <si>
    <t>No of students</t>
  </si>
  <si>
    <t>Department of CSE, ULAB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</si>
  <si>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</si>
  <si>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</si>
  <si>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</si>
  <si>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</si>
  <si>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</si>
  <si>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</si>
  <si>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</si>
  <si>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</si>
  <si>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</si>
  <si>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</si>
  <si>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</si>
  <si>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Continuous Quality Improvement (CQI) Form</t>
  </si>
  <si>
    <t>If &lt;70%, please write the reason for not teaching all topics/content planned</t>
  </si>
  <si>
    <t>Number of Students</t>
  </si>
  <si>
    <t>Teaching and Learning Methods</t>
  </si>
  <si>
    <t>Course Outcomes (CO)</t>
  </si>
  <si>
    <t>Grade Distribution</t>
  </si>
  <si>
    <t>Criteria for Achievement</t>
  </si>
  <si>
    <t>Teaching Methods</t>
  </si>
  <si>
    <t>60% of the students to achieve 55% of the allocated mark</t>
  </si>
  <si>
    <t xml:space="preserve">Percentage </t>
  </si>
  <si>
    <t>Lectures</t>
  </si>
  <si>
    <t>Group Discussion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</si>
  <si>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</si>
  <si>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</si>
  <si>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</si>
  <si>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</si>
  <si>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Classwork</t>
  </si>
  <si>
    <t>Statistical Information</t>
  </si>
  <si>
    <t>* attach additional sheet, if required</t>
  </si>
  <si>
    <t>%</t>
  </si>
  <si>
    <t>No</t>
  </si>
  <si>
    <t>Students enrolled</t>
  </si>
  <si>
    <t>Session Planned</t>
  </si>
  <si>
    <t>Active Learning</t>
  </si>
  <si>
    <t>Signature of the Instructor:</t>
  </si>
  <si>
    <t>Students who withdrew</t>
  </si>
  <si>
    <t>Name of the Instructor:</t>
  </si>
  <si>
    <t>Sessions Missed</t>
  </si>
  <si>
    <t>Date: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</si>
  <si>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</si>
  <si>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</si>
  <si>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</si>
  <si>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</si>
  <si>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</si>
  <si>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</si>
  <si>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</si>
  <si>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</si>
  <si>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</si>
  <si>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</si>
  <si>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</si>
  <si>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</si>
  <si>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</si>
  <si>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</si>
  <si>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</si>
  <si>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</si>
  <si>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</si>
  <si>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Number of Studens</t>
  </si>
  <si>
    <t>Average Score</t>
  </si>
  <si>
    <t xml:space="preserve"> 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</si>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</sst>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29">
    <font>
      <sz val="9.0"/>
      <color rgb="FF000000"/>
      <name val="Arimo"/>
      <scheme val="minor"/>
    </font>
    <font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sz val="9.0"/>
      <color rgb="FF000000"/>
      <name val="Arimo"/>
    </font>
    <font>
      <b/>
      <sz val="12.0"/>
      <color theme="1"/>
      <name val="Times New Roman"/>
    </font>
    <font>
      <sz val="9.0"/>
      <color theme="1"/>
      <name val="Arimo"/>
    </font>
    <font>
      <b/>
      <sz val="12.0"/>
      <color rgb="FF000000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12.0"/>
      <color rgb="FF000000"/>
      <name val="Times New Roman"/>
    </font>
    <font>
      <color theme="1"/>
      <name val="Arimo"/>
    </font>
    <font>
      <b/>
      <sz val="10.0"/>
      <color theme="1"/>
      <name val="Times New Roman"/>
    </font>
    <font>
      <b/>
      <sz val="11.0"/>
      <color rgb="FF000000"/>
      <name val="Times New Roman"/>
    </font>
    <font>
      <color rgb="FF000000"/>
      <name val="Arial"/>
    </font>
    <font>
      <b/>
      <color rgb="FF000000"/>
      <name val="Arial"/>
    </font>
    <font>
      <sz val="11.0"/>
      <color rgb="FF000000"/>
      <name val="Times New Roman"/>
    </font>
    <font>
      <sz val="11.0"/>
      <color rgb="FF000000"/>
      <name val="Arial Narrow"/>
    </font>
    <font>
      <sz val="11.0"/>
      <color rgb="FF000000"/>
      <name val="Calibri"/>
    </font>
    <font>
      <b/>
      <sz val="14.0"/>
      <color rgb="FF000000"/>
      <name val="Arial Narrow"/>
    </font>
    <font>
      <b/>
      <u/>
      <sz val="10.0"/>
      <color rgb="FF000000"/>
      <name val="Arial Narrow"/>
    </font>
    <font>
      <b/>
      <sz val="11.0"/>
      <color rgb="FFFF0000"/>
      <name val="Times New Roman"/>
    </font>
    <font>
      <b/>
      <vertAlign val="superscript"/>
      <sz val="10.0"/>
      <color rgb="FF000000"/>
      <name val="Arial Narrow"/>
    </font>
    <font>
      <b/>
      <vertAlign val="superscript"/>
      <sz val="10.0"/>
      <color rgb="FF000000"/>
      <name val="Arial"/>
    </font>
    <font>
      <b/>
      <sz val="12.0"/>
      <color rgb="FF000000"/>
      <name val="Arial Narrow"/>
    </font>
    <font>
      <i/>
      <sz val="11.0"/>
      <color rgb="FF000000"/>
      <name val="Arial Narrow"/>
    </font>
    <font>
      <b/>
      <vertAlign val="superscript"/>
      <sz val="10.0"/>
      <color rgb="FF000000"/>
      <name val="Arial Narrow"/>
    </font>
    <font>
      <b/>
      <u/>
      <sz val="10.0"/>
      <color rgb="FF000000"/>
      <name val="Arial Narrow"/>
    </font>
  </fonts>
  <fills count="14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4BACC6"/>
        <bgColor rgb="FF4BACC6"/>
      </patternFill>
    </fill>
    <fill>
      <patternFill patternType="solid">
        <fgColor rgb="FFD6E3BC"/>
        <bgColor rgb="FFD6E3BC"/>
      </patternFill>
    </fill>
  </fills>
  <borders count="8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1" applyAlignment="1" applyFont="1" applyNumberFormat="1"/>
  </cellStyleXfs>
  <cellXfs count="296">
    <xf borderId="0" fillId="0" fontId="0" numFmtId="1" xfId="0" applyAlignment="1" applyFont="1" applyNumberForma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vertical="center" wrapText="1"/>
    </xf>
    <xf borderId="0" fillId="0" fontId="2" numFmtId="1" xfId="0" applyFont="1" applyNumberFormat="1"/>
    <xf borderId="1" fillId="0" fontId="1" numFmtId="1" xfId="0" applyBorder="1" applyFont="1" applyNumberFormat="1"/>
    <xf borderId="0" fillId="0" fontId="2" numFmtId="1" xfId="0" applyAlignment="1" applyFont="1" applyNumberFormat="1">
      <alignment horizontal="center"/>
    </xf>
    <xf borderId="0" fillId="0" fontId="1" numFmtId="1" xfId="0" applyFont="1" applyNumberFormat="1"/>
    <xf borderId="0" fillId="0" fontId="2" numFmtId="164" xfId="0" applyFont="1" applyNumberFormat="1"/>
    <xf borderId="2" fillId="0" fontId="1" numFmtId="1" xfId="0" applyAlignment="1" applyBorder="1" applyFont="1" applyNumberFormat="1">
      <alignment horizontal="center" shrinkToFit="0" vertical="top" wrapText="1"/>
    </xf>
    <xf borderId="2" fillId="0" fontId="1" numFmtId="1" xfId="0" applyAlignment="1" applyBorder="1" applyFont="1" applyNumberFormat="1">
      <alignment horizontal="center" vertical="center"/>
    </xf>
    <xf borderId="3" fillId="0" fontId="1" numFmtId="1" xfId="0" applyAlignment="1" applyBorder="1" applyFont="1" applyNumberFormat="1">
      <alignment horizontal="center" shrinkToFit="0" vertical="top" wrapText="1"/>
    </xf>
    <xf borderId="3" fillId="0" fontId="1" numFmtId="1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3" numFmtId="1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3" fillId="0" fontId="1" numFmtId="9" xfId="0" applyAlignment="1" applyBorder="1" applyFont="1" applyNumberFormat="1">
      <alignment horizontal="center" vertical="center"/>
    </xf>
    <xf borderId="0" fillId="0" fontId="5" numFmtId="1" xfId="0" applyFont="1" applyNumberFormat="1"/>
    <xf borderId="10" fillId="0" fontId="2" numFmtId="1" xfId="0" applyAlignment="1" applyBorder="1" applyFont="1" applyNumberFormat="1">
      <alignment horizontal="center"/>
    </xf>
    <xf borderId="11" fillId="2" fontId="2" numFmtId="1" xfId="0" applyAlignment="1" applyBorder="1" applyFill="1" applyFont="1" applyNumberFormat="1">
      <alignment horizontal="center" vertical="center"/>
    </xf>
    <xf borderId="12" fillId="2" fontId="2" numFmtId="1" xfId="0" applyAlignment="1" applyBorder="1" applyFont="1" applyNumberFormat="1">
      <alignment horizontal="center" vertical="center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" xfId="0" applyAlignment="1" applyBorder="1" applyFont="1" applyNumberFormat="1">
      <alignment horizontal="center" vertical="center"/>
    </xf>
    <xf borderId="14" fillId="2" fontId="2" numFmtId="164" xfId="0" applyAlignment="1" applyBorder="1" applyFont="1" applyNumberFormat="1">
      <alignment horizontal="center" vertical="center"/>
    </xf>
    <xf borderId="14" fillId="2" fontId="2" numFmtId="1" xfId="0" applyAlignment="1" applyBorder="1" applyFont="1" applyNumberFormat="1">
      <alignment horizontal="center" vertical="center"/>
    </xf>
    <xf borderId="13" fillId="0" fontId="1" numFmtId="9" xfId="0" applyAlignment="1" applyBorder="1" applyFont="1" applyNumberFormat="1">
      <alignment horizontal="center" vertical="center"/>
    </xf>
    <xf borderId="15" fillId="0" fontId="2" numFmtId="1" xfId="0" applyAlignment="1" applyBorder="1" applyFont="1" applyNumberFormat="1">
      <alignment horizontal="center" vertical="center"/>
    </xf>
    <xf borderId="16" fillId="2" fontId="2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17" fillId="0" fontId="2" numFmtId="1" xfId="0" applyAlignment="1" applyBorder="1" applyFont="1" applyNumberFormat="1">
      <alignment horizontal="center"/>
    </xf>
    <xf borderId="0" fillId="0" fontId="1" numFmtId="1" xfId="0" applyAlignment="1" applyFont="1" applyNumberFormat="1">
      <alignment horizontal="left"/>
    </xf>
    <xf borderId="17" fillId="2" fontId="2" numFmtId="1" xfId="0" applyAlignment="1" applyBorder="1" applyFont="1" applyNumberFormat="1">
      <alignment horizontal="center" vertical="center"/>
    </xf>
    <xf borderId="18" fillId="2" fontId="2" numFmtId="1" xfId="0" applyAlignment="1" applyBorder="1" applyFont="1" applyNumberFormat="1">
      <alignment horizontal="center" vertical="center"/>
    </xf>
    <xf borderId="19" fillId="2" fontId="2" numFmtId="164" xfId="0" applyAlignment="1" applyBorder="1" applyFont="1" applyNumberFormat="1">
      <alignment horizontal="center" vertical="center"/>
    </xf>
    <xf borderId="19" fillId="2" fontId="2" numFmtId="1" xfId="0" applyAlignment="1" applyBorder="1" applyFont="1" applyNumberFormat="1">
      <alignment horizontal="center" vertical="center"/>
    </xf>
    <xf borderId="18" fillId="0" fontId="6" numFmtId="1" xfId="0" applyBorder="1" applyFont="1" applyNumberFormat="1"/>
    <xf borderId="20" fillId="2" fontId="1" numFmtId="1" xfId="0" applyAlignment="1" applyBorder="1" applyFont="1" applyNumberFormat="1">
      <alignment horizontal="center" vertical="center"/>
    </xf>
    <xf borderId="21" fillId="0" fontId="4" numFmtId="0" xfId="0" applyBorder="1" applyFont="1"/>
    <xf borderId="22" fillId="0" fontId="4" numFmtId="0" xfId="0" applyBorder="1" applyFont="1"/>
    <xf borderId="18" fillId="2" fontId="1" numFmtId="1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vertical="center"/>
    </xf>
    <xf borderId="23" fillId="0" fontId="2" numFmtId="1" xfId="0" applyAlignment="1" applyBorder="1" applyFont="1" applyNumberFormat="1">
      <alignment horizontal="center"/>
    </xf>
    <xf borderId="18" fillId="0" fontId="1" numFmtId="1" xfId="0" applyBorder="1" applyFont="1" applyNumberFormat="1"/>
    <xf borderId="24" fillId="2" fontId="2" numFmtId="1" xfId="0" applyAlignment="1" applyBorder="1" applyFont="1" applyNumberFormat="1">
      <alignment horizontal="center" vertical="center"/>
    </xf>
    <xf borderId="18" fillId="2" fontId="1" numFmtId="1" xfId="0" applyBorder="1" applyFont="1" applyNumberFormat="1"/>
    <xf borderId="25" fillId="2" fontId="2" numFmtId="1" xfId="0" applyAlignment="1" applyBorder="1" applyFont="1" applyNumberFormat="1">
      <alignment horizontal="center" vertical="center"/>
    </xf>
    <xf borderId="18" fillId="3" fontId="1" numFmtId="1" xfId="0" applyAlignment="1" applyBorder="1" applyFill="1" applyFont="1" applyNumberFormat="1">
      <alignment horizontal="center" vertical="center"/>
    </xf>
    <xf borderId="26" fillId="2" fontId="2" numFmtId="164" xfId="0" applyAlignment="1" applyBorder="1" applyFont="1" applyNumberFormat="1">
      <alignment horizontal="center" vertical="center"/>
    </xf>
    <xf borderId="26" fillId="2" fontId="2" numFmtId="1" xfId="0" applyAlignment="1" applyBorder="1" applyFont="1" applyNumberFormat="1">
      <alignment horizontal="center" vertical="center"/>
    </xf>
    <xf borderId="20" fillId="3" fontId="6" numFmtId="1" xfId="0" applyAlignment="1" applyBorder="1" applyFont="1" applyNumberForma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18" fillId="0" fontId="6" numFmtId="1" xfId="0" applyAlignment="1" applyBorder="1" applyFont="1" applyNumberFormat="1">
      <alignment horizontal="center" vertical="center"/>
    </xf>
    <xf borderId="18" fillId="0" fontId="8" numFmtId="1" xfId="0" applyAlignment="1" applyBorder="1" applyFont="1" applyNumberFormat="1">
      <alignment horizontal="center" shrinkToFit="0" vertical="center" wrapText="1"/>
    </xf>
    <xf borderId="18" fillId="3" fontId="6" numFmtId="1" xfId="0" applyAlignment="1" applyBorder="1" applyFont="1" applyNumberFormat="1">
      <alignment horizontal="center" shrinkToFit="0" vertical="center" wrapText="1"/>
    </xf>
    <xf borderId="18" fillId="0" fontId="6" numFmtId="1" xfId="0" applyAlignment="1" applyBorder="1" applyFont="1" applyNumberFormat="1">
      <alignment horizontal="center" shrinkToFit="0" vertical="center" wrapText="1"/>
    </xf>
    <xf borderId="18" fillId="0" fontId="6" numFmtId="1" xfId="0" applyAlignment="1" applyBorder="1" applyFont="1" applyNumberFormat="1">
      <alignment shrinkToFit="0" vertical="center" wrapText="1"/>
    </xf>
    <xf borderId="18" fillId="0" fontId="8" numFmtId="1" xfId="0" applyAlignment="1" applyBorder="1" applyFont="1" applyNumberFormat="1">
      <alignment horizontal="center" vertical="center"/>
    </xf>
    <xf borderId="27" fillId="0" fontId="8" numFmtId="1" xfId="0" applyAlignment="1" applyBorder="1" applyFont="1" applyNumberFormat="1">
      <alignment horizontal="left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8" fillId="3" fontId="8" numFmtId="1" xfId="0" applyAlignment="1" applyBorder="1" applyFont="1" applyNumberFormat="1">
      <alignment horizontal="center" vertical="center"/>
    </xf>
    <xf borderId="28" fillId="0" fontId="2" numFmtId="1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shrinkToFit="0" vertical="center" wrapText="1"/>
    </xf>
    <xf borderId="18" fillId="2" fontId="6" numFmtId="1" xfId="0" applyAlignment="1" applyBorder="1" applyFont="1" applyNumberFormat="1">
      <alignment horizontal="center" shrinkToFit="0" vertical="center" wrapText="1"/>
    </xf>
    <xf borderId="29" fillId="0" fontId="2" numFmtId="164" xfId="0" applyAlignment="1" applyBorder="1" applyFont="1" applyNumberFormat="1">
      <alignment horizontal="center" vertical="center"/>
    </xf>
    <xf borderId="29" fillId="0" fontId="2" numFmtId="1" xfId="0" applyAlignment="1" applyBorder="1" applyFont="1" applyNumberFormat="1">
      <alignment horizontal="center" vertical="center"/>
    </xf>
    <xf borderId="30" fillId="0" fontId="8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/>
    </xf>
    <xf borderId="18" fillId="0" fontId="11" numFmtId="49" xfId="0" applyAlignment="1" applyBorder="1" applyFont="1" applyNumberFormat="1">
      <alignment horizontal="left" shrinkToFit="0" vertical="top" wrapText="0"/>
    </xf>
    <xf borderId="20" fillId="4" fontId="9" numFmtId="0" xfId="0" applyAlignment="1" applyBorder="1" applyFill="1" applyFont="1">
      <alignment horizontal="center" vertical="center"/>
    </xf>
    <xf borderId="18" fillId="0" fontId="8" numFmtId="0" xfId="0" applyAlignment="1" applyBorder="1" applyFont="1">
      <alignment horizontal="left" vertical="top"/>
    </xf>
    <xf borderId="18" fillId="0" fontId="1" numFmtId="0" xfId="0" applyAlignment="1" applyBorder="1" applyFont="1">
      <alignment horizontal="center"/>
    </xf>
    <xf borderId="22" fillId="3" fontId="1" numFmtId="2" xfId="0" applyAlignment="1" applyBorder="1" applyFont="1" applyNumberFormat="1">
      <alignment horizontal="center" shrinkToFit="0" vertical="center" wrapText="1"/>
    </xf>
    <xf borderId="18" fillId="3" fontId="1" numFmtId="164" xfId="0" applyAlignment="1" applyBorder="1" applyFont="1" applyNumberFormat="1">
      <alignment horizontal="center" vertical="center"/>
    </xf>
    <xf borderId="18" fillId="0" fontId="1" numFmtId="2" xfId="0" applyAlignment="1" applyBorder="1" applyFont="1" applyNumberFormat="1">
      <alignment horizontal="center" vertical="center"/>
    </xf>
    <xf borderId="31" fillId="0" fontId="2" numFmtId="1" xfId="0" applyAlignment="1" applyBorder="1" applyFont="1" applyNumberFormat="1">
      <alignment horizontal="center" vertical="center"/>
    </xf>
    <xf borderId="18" fillId="3" fontId="1" numFmtId="9" xfId="0" applyAlignment="1" applyBorder="1" applyFont="1" applyNumberFormat="1">
      <alignment horizontal="center" vertical="center"/>
    </xf>
    <xf borderId="18" fillId="2" fontId="1" numFmtId="2" xfId="0" applyAlignment="1" applyBorder="1" applyFont="1" applyNumberFormat="1">
      <alignment horizontal="center" vertical="center"/>
    </xf>
    <xf borderId="18" fillId="0" fontId="12" numFmtId="0" xfId="0" applyBorder="1" applyFont="1"/>
    <xf borderId="32" fillId="3" fontId="1" numFmtId="2" xfId="0" applyAlignment="1" applyBorder="1" applyFont="1" applyNumberFormat="1">
      <alignment horizontal="center" shrinkToFit="0" vertical="center" wrapText="1"/>
    </xf>
    <xf borderId="18" fillId="2" fontId="1" numFmtId="164" xfId="0" applyAlignment="1" applyBorder="1" applyFont="1" applyNumberFormat="1">
      <alignment horizontal="center" vertical="center"/>
    </xf>
    <xf borderId="0" fillId="0" fontId="5" numFmtId="164" xfId="0" applyFont="1" applyNumberFormat="1"/>
    <xf borderId="18" fillId="0" fontId="2" numFmtId="0" xfId="0" applyAlignment="1" applyBorder="1" applyFont="1">
      <alignment horizontal="center" vertical="top"/>
    </xf>
    <xf borderId="18" fillId="0" fontId="1" numFmtId="49" xfId="0" applyAlignment="1" applyBorder="1" applyFont="1" applyNumberFormat="1">
      <alignment horizontal="center" vertical="top"/>
    </xf>
    <xf borderId="18" fillId="0" fontId="1" numFmtId="1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horizontal="left" vertical="top"/>
    </xf>
    <xf borderId="13" fillId="0" fontId="2" numFmtId="1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/>
    </xf>
    <xf borderId="4" fillId="0" fontId="3" numFmtId="1" xfId="0" applyAlignment="1" applyBorder="1" applyFont="1" applyNumberFormat="1">
      <alignment horizontal="center" shrinkToFit="0" vertical="center" wrapText="1"/>
    </xf>
    <xf borderId="33" fillId="0" fontId="3" numFmtId="1" xfId="0" applyBorder="1" applyFont="1" applyNumberFormat="1"/>
    <xf borderId="33" fillId="0" fontId="3" numFmtId="164" xfId="0" applyBorder="1" applyFont="1" applyNumberFormat="1"/>
    <xf borderId="29" fillId="0" fontId="3" numFmtId="1" xfId="0" applyBorder="1" applyFont="1" applyNumberFormat="1"/>
    <xf borderId="34" fillId="5" fontId="3" numFmtId="1" xfId="0" applyAlignment="1" applyBorder="1" applyFill="1" applyFont="1" applyNumberFormat="1">
      <alignment horizontal="center"/>
    </xf>
    <xf borderId="33" fillId="0" fontId="4" numFmtId="0" xfId="0" applyBorder="1" applyFont="1"/>
    <xf borderId="29" fillId="0" fontId="4" numFmtId="0" xfId="0" applyBorder="1" applyFont="1"/>
    <xf borderId="34" fillId="6" fontId="3" numFmtId="1" xfId="0" applyAlignment="1" applyBorder="1" applyFill="1" applyFont="1" applyNumberFormat="1">
      <alignment horizontal="center"/>
    </xf>
    <xf borderId="18" fillId="0" fontId="11" numFmtId="0" xfId="0" applyAlignment="1" applyBorder="1" applyFont="1">
      <alignment horizontal="left" shrinkToFit="0" vertical="top" wrapText="0"/>
    </xf>
    <xf borderId="35" fillId="0" fontId="4" numFmtId="0" xfId="0" applyBorder="1" applyFont="1"/>
    <xf borderId="36" fillId="0" fontId="4" numFmtId="0" xfId="0" applyBorder="1" applyFont="1"/>
    <xf borderId="37" fillId="0" fontId="3" numFmtId="1" xfId="0" applyAlignment="1" applyBorder="1" applyFont="1" applyNumberFormat="1">
      <alignment horizontal="center"/>
    </xf>
    <xf borderId="37" fillId="0" fontId="4" numFmtId="0" xfId="0" applyBorder="1" applyFont="1"/>
    <xf borderId="38" fillId="0" fontId="4" numFmtId="0" xfId="0" applyBorder="1" applyFont="1"/>
    <xf borderId="39" fillId="0" fontId="3" numFmtId="1" xfId="0" applyAlignment="1" applyBorder="1" applyFont="1" applyNumberFormat="1">
      <alignment horizontal="center"/>
    </xf>
    <xf borderId="18" fillId="0" fontId="11" numFmtId="0" xfId="0" applyAlignment="1" applyBorder="1" applyFont="1">
      <alignment horizontal="center" vertical="top"/>
    </xf>
    <xf borderId="4" fillId="0" fontId="13" numFmtId="1" xfId="0" applyAlignment="1" applyBorder="1" applyFont="1" applyNumberFormat="1">
      <alignment horizontal="center"/>
    </xf>
    <xf borderId="34" fillId="0" fontId="3" numFmtId="1" xfId="0" applyAlignment="1" applyBorder="1" applyFont="1" applyNumberFormat="1">
      <alignment horizontal="center"/>
    </xf>
    <xf borderId="39" fillId="0" fontId="4" numFmtId="0" xfId="0" applyBorder="1" applyFont="1"/>
    <xf borderId="30" fillId="0" fontId="2" numFmtId="1" xfId="0" applyAlignment="1" applyBorder="1" applyFont="1" applyNumberFormat="1">
      <alignment horizontal="center" vertical="center"/>
    </xf>
    <xf borderId="27" fillId="0" fontId="2" numFmtId="1" xfId="0" applyAlignment="1" applyBorder="1" applyFont="1" applyNumberFormat="1">
      <alignment horizontal="center" vertical="center"/>
    </xf>
    <xf borderId="40" fillId="0" fontId="2" numFmtId="164" xfId="0" applyAlignment="1" applyBorder="1" applyFont="1" applyNumberFormat="1">
      <alignment horizontal="center" vertical="center"/>
    </xf>
    <xf borderId="40" fillId="0" fontId="2" numFmtId="1" xfId="0" applyAlignment="1" applyBorder="1" applyFont="1" applyNumberFormat="1">
      <alignment horizontal="center" vertical="center"/>
    </xf>
    <xf borderId="41" fillId="0" fontId="2" numFmtId="1" xfId="0" applyAlignment="1" applyBorder="1" applyFont="1" applyNumberFormat="1">
      <alignment horizontal="center" vertical="center"/>
    </xf>
    <xf borderId="42" fillId="0" fontId="2" numFmtId="1" xfId="0" applyAlignment="1" applyBorder="1" applyFont="1" applyNumberFormat="1">
      <alignment horizontal="center" vertical="center"/>
    </xf>
    <xf borderId="43" fillId="0" fontId="2" numFmtId="1" xfId="0" applyAlignment="1" applyBorder="1" applyFont="1" applyNumberFormat="1">
      <alignment horizontal="center" vertical="center"/>
    </xf>
    <xf borderId="44" fillId="0" fontId="2" numFmtId="1" xfId="0" applyAlignment="1" applyBorder="1" applyFont="1" applyNumberFormat="1">
      <alignment horizontal="center" vertical="center"/>
    </xf>
    <xf borderId="44" fillId="0" fontId="2" numFmtId="164" xfId="0" applyAlignment="1" applyBorder="1" applyFont="1" applyNumberFormat="1">
      <alignment horizontal="center" vertical="center"/>
    </xf>
    <xf borderId="45" fillId="0" fontId="2" numFmtId="1" xfId="0" applyAlignment="1" applyBorder="1" applyFont="1" applyNumberFormat="1">
      <alignment horizontal="center" vertical="center"/>
    </xf>
    <xf borderId="46" fillId="0" fontId="2" numFmtId="1" xfId="0" applyAlignment="1" applyBorder="1" applyFont="1" applyNumberFormat="1">
      <alignment horizontal="center"/>
    </xf>
    <xf borderId="47" fillId="0" fontId="2" numFmtId="1" xfId="0" applyAlignment="1" applyBorder="1" applyFont="1" applyNumberFormat="1">
      <alignment horizontal="center"/>
    </xf>
    <xf borderId="38" fillId="0" fontId="2" numFmtId="1" xfId="0" applyAlignment="1" applyBorder="1" applyFont="1" applyNumberFormat="1">
      <alignment horizontal="center"/>
    </xf>
    <xf borderId="48" fillId="0" fontId="2" numFmtId="1" xfId="0" applyAlignment="1" applyBorder="1" applyFont="1" applyNumberFormat="1">
      <alignment horizontal="center" vertical="center"/>
    </xf>
    <xf borderId="49" fillId="0" fontId="2" numFmtId="1" xfId="0" applyAlignment="1" applyBorder="1" applyFont="1" applyNumberFormat="1">
      <alignment horizontal="center" vertical="center"/>
    </xf>
    <xf borderId="50" fillId="0" fontId="2" numFmtId="1" xfId="0" applyAlignment="1" applyBorder="1" applyFont="1" applyNumberFormat="1">
      <alignment horizontal="center" vertical="center"/>
    </xf>
    <xf borderId="51" fillId="0" fontId="2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7" fillId="0" fontId="3" numFmtId="1" xfId="0" applyAlignment="1" applyBorder="1" applyFont="1" applyNumberFormat="1">
      <alignment horizontal="center" shrinkToFit="0" vertical="center" wrapText="1"/>
    </xf>
    <xf borderId="8" fillId="0" fontId="14" numFmtId="1" xfId="0" applyAlignment="1" applyBorder="1" applyFont="1" applyNumberFormat="1">
      <alignment horizontal="center" vertical="center"/>
    </xf>
    <xf borderId="9" fillId="0" fontId="14" numFmtId="1" xfId="0" applyAlignment="1" applyBorder="1" applyFont="1" applyNumberFormat="1">
      <alignment horizontal="left" vertical="center"/>
    </xf>
    <xf borderId="7" fillId="7" fontId="2" numFmtId="1" xfId="0" applyAlignment="1" applyBorder="1" applyFill="1" applyFont="1" applyNumberFormat="1">
      <alignment horizontal="center" vertical="center"/>
    </xf>
    <xf borderId="8" fillId="7" fontId="2" numFmtId="1" xfId="0" applyAlignment="1" applyBorder="1" applyFont="1" applyNumberFormat="1">
      <alignment horizontal="center" vertical="center"/>
    </xf>
    <xf borderId="8" fillId="7" fontId="2" numFmtId="164" xfId="0" applyAlignment="1" applyBorder="1" applyFont="1" applyNumberFormat="1">
      <alignment horizontal="center" vertical="center"/>
    </xf>
    <xf borderId="52" fillId="7" fontId="7" numFmtId="1" xfId="0" applyBorder="1" applyFont="1" applyNumberFormat="1"/>
    <xf borderId="7" fillId="7" fontId="2" numFmtId="9" xfId="0" applyAlignment="1" applyBorder="1" applyFont="1" applyNumberFormat="1">
      <alignment horizontal="center" vertical="center"/>
    </xf>
    <xf borderId="8" fillId="7" fontId="2" numFmtId="9" xfId="0" applyAlignment="1" applyBorder="1" applyFont="1" applyNumberFormat="1">
      <alignment horizontal="center" vertical="center"/>
    </xf>
    <xf borderId="9" fillId="7" fontId="2" numFmtId="9" xfId="0" applyAlignment="1" applyBorder="1" applyFont="1" applyNumberFormat="1">
      <alignment horizontal="center" vertical="center"/>
    </xf>
    <xf borderId="53" fillId="7" fontId="2" numFmtId="9" xfId="0" applyAlignment="1" applyBorder="1" applyFont="1" applyNumberFormat="1">
      <alignment horizontal="center" vertical="center"/>
    </xf>
    <xf borderId="54" fillId="7" fontId="2" numFmtId="1" xfId="0" applyAlignment="1" applyBorder="1" applyFont="1" applyNumberFormat="1">
      <alignment horizontal="center" vertical="center"/>
    </xf>
    <xf borderId="55" fillId="7" fontId="2" numFmtId="9" xfId="0" applyAlignment="1" applyBorder="1" applyFont="1" applyNumberFormat="1">
      <alignment horizontal="center" vertical="center"/>
    </xf>
    <xf borderId="56" fillId="7" fontId="2" numFmtId="9" xfId="0" applyAlignment="1" applyBorder="1" applyFont="1" applyNumberFormat="1">
      <alignment horizontal="center" vertical="center"/>
    </xf>
    <xf borderId="57" fillId="7" fontId="2" numFmtId="9" xfId="0" applyAlignment="1" applyBorder="1" applyFont="1" applyNumberFormat="1">
      <alignment horizontal="center" vertical="center"/>
    </xf>
    <xf borderId="58" fillId="7" fontId="2" numFmtId="1" xfId="0" applyAlignment="1" applyBorder="1" applyFont="1" applyNumberForma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11" fillId="0" fontId="2" numFmtId="1" xfId="0" applyAlignment="1" applyBorder="1" applyFont="1" applyNumberFormat="1">
      <alignment horizontal="center"/>
    </xf>
    <xf borderId="18" fillId="0" fontId="15" numFmtId="49" xfId="0" applyAlignment="1" applyBorder="1" applyFont="1" applyNumberFormat="1">
      <alignment horizontal="left" shrinkToFit="0" vertical="top" wrapText="0"/>
    </xf>
    <xf borderId="18" fillId="0" fontId="16" numFmtId="0" xfId="0" applyAlignment="1" applyBorder="1" applyFont="1">
      <alignment horizontal="left" vertical="top"/>
    </xf>
    <xf borderId="61" fillId="8" fontId="1" numFmtId="0" xfId="0" applyAlignment="1" applyBorder="1" applyFill="1" applyFont="1">
      <alignment horizontal="center"/>
    </xf>
    <xf borderId="62" fillId="8" fontId="2" numFmtId="2" xfId="0" applyAlignment="1" applyBorder="1" applyFont="1" applyNumberFormat="1">
      <alignment horizontal="center" vertical="center"/>
    </xf>
    <xf borderId="61" fillId="8" fontId="11" numFmtId="0" xfId="0" applyAlignment="1" applyBorder="1" applyFont="1">
      <alignment horizontal="center"/>
    </xf>
    <xf borderId="62" fillId="2" fontId="2" numFmtId="2" xfId="0" applyAlignment="1" applyBorder="1" applyFont="1" applyNumberFormat="1">
      <alignment horizontal="center" vertical="center"/>
    </xf>
    <xf borderId="63" fillId="2" fontId="7" numFmtId="2" xfId="0" applyBorder="1" applyFont="1" applyNumberFormat="1"/>
    <xf borderId="64" fillId="2" fontId="7" numFmtId="2" xfId="0" applyBorder="1" applyFont="1" applyNumberFormat="1"/>
    <xf borderId="65" fillId="2" fontId="7" numFmtId="2" xfId="0" applyBorder="1" applyFont="1" applyNumberFormat="1"/>
    <xf borderId="66" fillId="0" fontId="2" numFmtId="2" xfId="0" applyAlignment="1" applyBorder="1" applyFont="1" applyNumberFormat="1">
      <alignment horizontal="center" vertical="center"/>
    </xf>
    <xf borderId="67" fillId="0" fontId="2" numFmtId="2" xfId="0" applyAlignment="1" applyBorder="1" applyFont="1" applyNumberFormat="1">
      <alignment horizontal="center" vertical="center"/>
    </xf>
    <xf borderId="14" fillId="0" fontId="2" numFmtId="9" xfId="0" applyAlignment="1" applyBorder="1" applyFont="1" applyNumberFormat="1">
      <alignment horizontal="center" vertical="center"/>
    </xf>
    <xf borderId="11" fillId="0" fontId="2" numFmtId="1" xfId="0" applyAlignment="1" applyBorder="1" applyFont="1" applyNumberFormat="1">
      <alignment horizontal="center" vertical="center"/>
    </xf>
    <xf borderId="17" fillId="0" fontId="2" numFmtId="9" xfId="0" applyAlignment="1" applyBorder="1" applyFont="1" applyNumberFormat="1">
      <alignment horizontal="center" vertical="center"/>
    </xf>
    <xf borderId="18" fillId="3" fontId="1" numFmtId="2" xfId="0" applyAlignment="1" applyBorder="1" applyFont="1" applyNumberFormat="1">
      <alignment horizontal="center" vertical="center"/>
    </xf>
    <xf borderId="18" fillId="0" fontId="6" numFmtId="1" xfId="0" applyAlignment="1" applyBorder="1" applyFont="1" applyNumberFormat="1">
      <alignment horizontal="left" vertical="center"/>
    </xf>
    <xf borderId="0" fillId="0" fontId="6" numFmtId="1" xfId="0" applyAlignment="1" applyFont="1" applyNumberFormat="1">
      <alignment horizontal="center"/>
    </xf>
    <xf borderId="18" fillId="0" fontId="6" numFmtId="1" xfId="0" applyAlignment="1" applyBorder="1" applyFont="1" applyNumberFormat="1">
      <alignment horizontal="center" shrinkToFit="0" wrapText="1"/>
    </xf>
    <xf borderId="27" fillId="0" fontId="1" numFmtId="1" xfId="0" applyAlignment="1" applyBorder="1" applyFont="1" applyNumberFormat="1">
      <alignment horizontal="center" shrinkToFit="0" wrapText="1"/>
    </xf>
    <xf borderId="27" fillId="2" fontId="1" numFmtId="1" xfId="0" applyAlignment="1" applyBorder="1" applyFont="1" applyNumberFormat="1">
      <alignment horizontal="center"/>
    </xf>
    <xf borderId="18" fillId="0" fontId="1" numFmtId="1" xfId="0" applyAlignment="1" applyBorder="1" applyFont="1" applyNumberFormat="1">
      <alignment horizontal="center" shrinkToFit="0" vertical="top" wrapText="1"/>
    </xf>
    <xf borderId="18" fillId="0" fontId="1" numFmtId="9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18" fillId="9" fontId="1" numFmtId="1" xfId="0" applyBorder="1" applyFill="1" applyFont="1" applyNumberFormat="1"/>
    <xf borderId="18" fillId="0" fontId="1" numFmtId="164" xfId="0" applyAlignment="1" applyBorder="1" applyFont="1" applyNumberFormat="1">
      <alignment horizontal="center"/>
    </xf>
    <xf borderId="67" fillId="0" fontId="4" numFmtId="0" xfId="0" applyBorder="1" applyFont="1"/>
    <xf borderId="18" fillId="2" fontId="1" numFmtId="1" xfId="0" applyAlignment="1" applyBorder="1" applyFont="1" applyNumberForma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 vertical="center"/>
    </xf>
    <xf borderId="18" fillId="0" fontId="11" numFmtId="9" xfId="0" applyAlignment="1" applyBorder="1" applyFont="1" applyNumberFormat="1">
      <alignment horizontal="center" vertical="center"/>
    </xf>
    <xf borderId="68" fillId="2" fontId="1" numFmtId="1" xfId="0" applyAlignment="1" applyBorder="1" applyFont="1" applyNumberFormat="1">
      <alignment horizontal="left"/>
    </xf>
    <xf borderId="69" fillId="0" fontId="4" numFmtId="0" xfId="0" applyBorder="1" applyFont="1"/>
    <xf borderId="17" fillId="0" fontId="2" numFmtId="1" xfId="0" applyAlignment="1" applyBorder="1" applyFont="1" applyNumberFormat="1">
      <alignment horizontal="center" shrinkToFit="0" vertical="center" wrapText="1"/>
    </xf>
    <xf borderId="18" fillId="0" fontId="15" numFmtId="0" xfId="0" applyAlignment="1" applyBorder="1" applyFont="1">
      <alignment horizontal="left" vertical="top"/>
    </xf>
    <xf borderId="18" fillId="0" fontId="2" numFmtId="2" xfId="0" applyAlignment="1" applyBorder="1" applyFont="1" applyNumberFormat="1">
      <alignment horizontal="center" vertical="center"/>
    </xf>
    <xf borderId="20" fillId="4" fontId="9" numFmtId="1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20" fillId="7" fontId="17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20" fillId="6" fontId="9" numFmtId="0" xfId="0" applyAlignment="1" applyBorder="1" applyFont="1">
      <alignment horizontal="center" vertical="center"/>
    </xf>
    <xf borderId="20" fillId="6" fontId="9" numFmtId="1" xfId="0" applyAlignment="1" applyBorder="1" applyFont="1" applyNumberFormat="1">
      <alignment horizontal="center" vertical="center"/>
    </xf>
    <xf borderId="20" fillId="0" fontId="17" numFmtId="0" xfId="0" applyAlignment="1" applyBorder="1" applyFont="1">
      <alignment horizontal="center" vertical="center"/>
    </xf>
    <xf borderId="20" fillId="10" fontId="9" numFmtId="0" xfId="0" applyAlignment="1" applyBorder="1" applyFill="1" applyFont="1">
      <alignment horizontal="center" vertical="center"/>
    </xf>
    <xf borderId="20" fillId="10" fontId="9" numFmtId="164" xfId="0" applyAlignment="1" applyBorder="1" applyFont="1" applyNumberFormat="1">
      <alignment horizontal="center" vertical="center"/>
    </xf>
    <xf borderId="20" fillId="2" fontId="17" numFmtId="0" xfId="0" applyAlignment="1" applyBorder="1" applyFont="1">
      <alignment horizontal="center" shrinkToFit="0" vertical="center" wrapText="1"/>
    </xf>
    <xf borderId="20" fillId="2" fontId="17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20" fillId="0" fontId="19" numFmtId="0" xfId="0" applyAlignment="1" applyBorder="1" applyFont="1">
      <alignment horizontal="center" vertical="center"/>
    </xf>
    <xf borderId="34" fillId="0" fontId="20" numFmtId="0" xfId="0" applyAlignment="1" applyBorder="1" applyFont="1">
      <alignment horizontal="center" vertical="center"/>
    </xf>
    <xf borderId="0" fillId="0" fontId="18" numFmtId="0" xfId="0" applyFont="1"/>
    <xf borderId="0" fillId="0" fontId="19" numFmtId="0" xfId="0" applyFont="1"/>
    <xf borderId="11" fillId="11" fontId="9" numFmtId="0" xfId="0" applyAlignment="1" applyBorder="1" applyFill="1" applyFont="1">
      <alignment horizontal="center" vertical="center"/>
    </xf>
    <xf borderId="40" fillId="0" fontId="17" numFmtId="0" xfId="0" applyAlignment="1" applyBorder="1" applyFont="1">
      <alignment horizontal="center" shrinkToFit="0" vertical="center" wrapText="1"/>
    </xf>
    <xf borderId="70" fillId="0" fontId="4" numFmtId="0" xfId="0" applyBorder="1" applyFont="1"/>
    <xf borderId="30" fillId="0" fontId="4" numFmtId="0" xfId="0" applyBorder="1" applyFont="1"/>
    <xf borderId="12" fillId="11" fontId="9" numFmtId="1" xfId="0" applyAlignment="1" applyBorder="1" applyFont="1" applyNumberFormat="1">
      <alignment horizontal="center" vertical="center"/>
    </xf>
    <xf borderId="12" fillId="11" fontId="9" numFmtId="0" xfId="0" applyAlignment="1" applyBorder="1" applyFont="1">
      <alignment horizontal="center" vertical="center"/>
    </xf>
    <xf borderId="14" fillId="11" fontId="9" numFmtId="1" xfId="0" applyAlignment="1" applyBorder="1" applyFont="1" applyNumberFormat="1">
      <alignment horizontal="center" vertical="center"/>
    </xf>
    <xf borderId="44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0" fontId="4" numFmtId="0" xfId="0" applyBorder="1" applyFont="1"/>
    <xf borderId="18" fillId="11" fontId="9" numFmtId="0" xfId="0" applyAlignment="1" applyBorder="1" applyFont="1">
      <alignment horizontal="center" shrinkToFit="0" vertical="center" wrapText="1"/>
    </xf>
    <xf borderId="66" fillId="0" fontId="4" numFmtId="0" xfId="0" applyBorder="1" applyFont="1"/>
    <xf borderId="74" fillId="11" fontId="9" numFmtId="1" xfId="0" applyAlignment="1" applyBorder="1" applyFont="1" applyNumberFormat="1">
      <alignment horizontal="center" shrinkToFit="0" vertical="center" wrapText="1"/>
    </xf>
    <xf borderId="75" fillId="11" fontId="9" numFmtId="164" xfId="0" applyAlignment="1" applyBorder="1" applyFont="1" applyNumberFormat="1">
      <alignment horizontal="center" vertical="center"/>
    </xf>
    <xf borderId="75" fillId="11" fontId="9" numFmtId="0" xfId="0" applyAlignment="1" applyBorder="1" applyFont="1">
      <alignment horizontal="center" vertical="center"/>
    </xf>
    <xf borderId="76" fillId="11" fontId="9" numFmtId="1" xfId="0" applyAlignment="1" applyBorder="1" applyFont="1" applyNumberFormat="1">
      <alignment horizontal="center" vertical="center"/>
    </xf>
    <xf borderId="34" fillId="0" fontId="9" numFmtId="0" xfId="0" applyAlignment="1" applyBorder="1" applyFont="1">
      <alignment horizontal="center" vertical="center"/>
    </xf>
    <xf borderId="20" fillId="12" fontId="8" numFmtId="0" xfId="0" applyAlignment="1" applyBorder="1" applyFill="1" applyFont="1">
      <alignment horizontal="center" vertical="center"/>
    </xf>
    <xf borderId="28" fillId="0" fontId="4" numFmtId="0" xfId="0" applyBorder="1" applyFont="1"/>
    <xf borderId="4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77" fillId="0" fontId="9" numFmtId="0" xfId="0" applyAlignment="1" applyBorder="1" applyFont="1">
      <alignment horizontal="center" vertical="center"/>
    </xf>
    <xf borderId="78" fillId="0" fontId="4" numFmtId="0" xfId="0" applyBorder="1" applyFont="1"/>
    <xf borderId="79" fillId="0" fontId="18" numFmtId="9" xfId="0" applyAlignment="1" applyBorder="1" applyFont="1" applyNumberForma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80" fillId="0" fontId="9" numFmtId="9" xfId="0" applyAlignment="1" applyBorder="1" applyFont="1" applyNumberFormat="1">
      <alignment horizontal="center" vertical="center"/>
    </xf>
    <xf borderId="81" fillId="0" fontId="4" numFmtId="0" xfId="0" applyBorder="1" applyFont="1"/>
    <xf borderId="20" fillId="4" fontId="10" numFmtId="0" xfId="0" applyAlignment="1" applyBorder="1" applyFont="1">
      <alignment horizontal="center" vertical="center"/>
    </xf>
    <xf borderId="20" fillId="0" fontId="17" numFmtId="10" xfId="0" applyAlignment="1" applyBorder="1" applyFont="1" applyNumberFormat="1">
      <alignment horizontal="center" vertical="center"/>
    </xf>
    <xf borderId="18" fillId="10" fontId="11" numFmtId="1" xfId="0" applyAlignment="1" applyBorder="1" applyFont="1" applyNumberFormat="1">
      <alignment horizontal="center" vertical="center"/>
    </xf>
    <xf borderId="82" fillId="0" fontId="4" numFmtId="0" xfId="0" applyBorder="1" applyFont="1"/>
    <xf borderId="20" fillId="10" fontId="11" numFmtId="1" xfId="0" applyAlignment="1" applyBorder="1" applyFont="1" applyNumberFormat="1">
      <alignment horizontal="center" vertical="center"/>
    </xf>
    <xf borderId="73" fillId="0" fontId="21" numFmtId="0" xfId="0" applyAlignment="1" applyBorder="1" applyFont="1">
      <alignment horizontal="left" shrinkToFit="0" wrapText="1"/>
    </xf>
    <xf borderId="20" fillId="13" fontId="22" numFmtId="0" xfId="0" applyAlignment="1" applyBorder="1" applyFill="1" applyFont="1">
      <alignment horizontal="center" vertical="center"/>
    </xf>
    <xf borderId="0" fillId="0" fontId="23" numFmtId="0" xfId="0" applyFont="1"/>
    <xf borderId="18" fillId="10" fontId="11" numFmtId="9" xfId="0" applyAlignment="1" applyBorder="1" applyFont="1" applyNumberFormat="1">
      <alignment horizontal="center" vertical="center"/>
    </xf>
    <xf borderId="0" fillId="0" fontId="24" numFmtId="0" xfId="0" applyFont="1"/>
    <xf borderId="20" fillId="13" fontId="17" numFmtId="0" xfId="0" applyAlignment="1" applyBorder="1" applyFont="1">
      <alignment horizontal="left" shrinkToFit="0" wrapText="1"/>
    </xf>
    <xf borderId="20" fillId="13" fontId="17" numFmtId="0" xfId="0" applyBorder="1" applyFont="1"/>
    <xf borderId="20" fillId="13" fontId="17" numFmtId="0" xfId="0" applyAlignment="1" applyBorder="1" applyFont="1">
      <alignment horizontal="center"/>
    </xf>
    <xf borderId="20" fillId="10" fontId="11" numFmtId="9" xfId="0" applyAlignment="1" applyBorder="1" applyFont="1" applyNumberFormat="1">
      <alignment horizontal="center" vertical="center"/>
    </xf>
    <xf borderId="83" fillId="13" fontId="17" numFmtId="0" xfId="0" applyAlignment="1" applyBorder="1" applyFont="1">
      <alignment horizontal="center"/>
    </xf>
    <xf borderId="84" fillId="13" fontId="17" numFmtId="0" xfId="0" applyAlignment="1" applyBorder="1" applyFont="1">
      <alignment horizontal="center"/>
    </xf>
    <xf borderId="32" fillId="13" fontId="17" numFmtId="0" xfId="0" applyAlignment="1" applyBorder="1" applyFont="1">
      <alignment horizontal="center"/>
    </xf>
    <xf borderId="20" fillId="13" fontId="18" numFmtId="0" xfId="0" applyAlignment="1" applyBorder="1" applyFont="1">
      <alignment horizontal="center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right"/>
    </xf>
    <xf borderId="18" fillId="0" fontId="14" numFmtId="0" xfId="0" applyAlignment="1" applyBorder="1" applyFont="1">
      <alignment horizontal="center" vertical="center"/>
    </xf>
    <xf borderId="18" fillId="0" fontId="17" numFmtId="1" xfId="0" applyAlignment="1" applyBorder="1" applyFont="1" applyNumberFormat="1">
      <alignment horizontal="center" vertical="center"/>
    </xf>
    <xf borderId="18" fillId="0" fontId="17" numFmtId="10" xfId="0" applyAlignment="1" applyBorder="1" applyFont="1" applyNumberFormat="1">
      <alignment horizontal="center" vertical="center"/>
    </xf>
    <xf borderId="18" fillId="2" fontId="17" numFmtId="0" xfId="0" applyAlignment="1" applyBorder="1" applyFont="1">
      <alignment horizontal="center" vertical="center"/>
    </xf>
    <xf borderId="0" fillId="0" fontId="9" numFmtId="0" xfId="0" applyAlignment="1" applyFont="1">
      <alignment horizontal="right"/>
    </xf>
    <xf borderId="73" fillId="0" fontId="27" numFmtId="0" xfId="0" applyBorder="1" applyFont="1"/>
    <xf borderId="0" fillId="0" fontId="9" numFmtId="1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71" fillId="0" fontId="18" numFmtId="0" xfId="0" applyAlignment="1" applyBorder="1" applyFont="1">
      <alignment horizontal="center" vertical="center"/>
    </xf>
    <xf borderId="0" fillId="0" fontId="28" numFmtId="0" xfId="0" applyFont="1"/>
    <xf borderId="27" fillId="2" fontId="17" numFmtId="0" xfId="0" applyAlignment="1" applyBorder="1" applyFont="1">
      <alignment horizontal="center" vertical="center"/>
    </xf>
    <xf borderId="27" fillId="0" fontId="17" numFmtId="10" xfId="0" applyAlignment="1" applyBorder="1" applyFont="1" applyNumberFormat="1">
      <alignment horizontal="center" vertical="center"/>
    </xf>
    <xf borderId="43" fillId="0" fontId="4" numFmtId="0" xfId="0" applyBorder="1" applyFont="1"/>
    <xf borderId="20" fillId="0" fontId="14" numFmtId="0" xfId="0" applyAlignment="1" applyBorder="1" applyFont="1">
      <alignment horizontal="center" vertical="center"/>
    </xf>
    <xf borderId="37" fillId="0" fontId="18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85" fillId="12" fontId="8" numFmtId="0" xfId="0" applyAlignment="1" applyBorder="1" applyFont="1">
      <alignment horizontal="center" vertical="center"/>
    </xf>
    <xf borderId="86" fillId="0" fontId="4" numFmtId="0" xfId="0" applyBorder="1" applyFont="1"/>
    <xf borderId="20" fillId="12" fontId="18" numFmtId="0" xfId="0" applyAlignment="1" applyBorder="1" applyFont="1">
      <alignment horizontal="center" vertical="center"/>
    </xf>
    <xf borderId="20" fillId="10" fontId="18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left" shrinkToFit="0" vertical="top" wrapText="0"/>
    </xf>
    <xf borderId="35" fillId="0" fontId="2" numFmtId="1" xfId="0" applyAlignment="1" applyBorder="1" applyFont="1" applyNumberFormat="1">
      <alignment horizontal="center" shrinkToFit="0" wrapText="1"/>
    </xf>
    <xf borderId="0" fillId="0" fontId="7" numFmtId="49" xfId="0" applyAlignment="1" applyFont="1" applyNumberFormat="1">
      <alignment vertical="top"/>
    </xf>
    <xf borderId="0" fillId="0" fontId="7" numFmtId="1" xfId="0" applyAlignment="1" applyFont="1" applyNumberFormat="1">
      <alignment vertical="top"/>
    </xf>
    <xf borderId="87" fillId="8" fontId="7" numFmtId="2" xfId="0" applyBorder="1" applyFont="1" applyNumberFormat="1"/>
    <xf borderId="87" fillId="2" fontId="7" numFmtId="2" xfId="0" applyBorder="1" applyFont="1" applyNumberFormat="1"/>
    <xf borderId="87" fillId="2" fontId="7" numFmtId="164" xfId="0" applyBorder="1" applyFont="1" applyNumberFormat="1"/>
    <xf borderId="61" fillId="2" fontId="7" numFmtId="2" xfId="0" applyBorder="1" applyFont="1" applyNumberFormat="1"/>
    <xf borderId="71" fillId="0" fontId="2" numFmtId="2" xfId="0" applyAlignment="1" applyBorder="1" applyFont="1" applyNumberFormat="1">
      <alignment horizontal="center"/>
    </xf>
    <xf borderId="5" fillId="0" fontId="2" numFmtId="9" xfId="0" applyAlignment="1" applyBorder="1" applyFont="1" applyNumberFormat="1">
      <alignment horizontal="center"/>
    </xf>
    <xf borderId="33" fillId="0" fontId="2" numFmtId="1" xfId="0" applyAlignment="1" applyBorder="1" applyFont="1" applyNumberFormat="1">
      <alignment horizontal="center"/>
    </xf>
    <xf borderId="28" fillId="0" fontId="2" numFmtId="1" xfId="0" applyAlignment="1" applyBorder="1" applyFont="1" applyNumberFormat="1">
      <alignment horizontal="center"/>
    </xf>
    <xf borderId="0" fillId="0" fontId="7" numFmtId="1" xfId="0" applyFont="1" applyNumberFormat="1"/>
    <xf borderId="0" fillId="0" fontId="2" numFmtId="9" xfId="0" applyAlignment="1" applyFont="1" applyNumberFormat="1">
      <alignment horizontal="center"/>
    </xf>
    <xf borderId="88" fillId="7" fontId="3" numFmtId="1" xfId="0" applyAlignment="1" applyBorder="1" applyFont="1" applyNumberFormat="1">
      <alignment horizontal="center" vertical="center"/>
    </xf>
    <xf borderId="34" fillId="7" fontId="3" numFmtId="1" xfId="0" applyAlignment="1" applyBorder="1" applyFont="1" applyNumberFormat="1">
      <alignment horizontal="center" vertical="center"/>
    </xf>
    <xf borderId="7" fillId="7" fontId="2" numFmtId="2" xfId="0" applyAlignment="1" applyBorder="1" applyFont="1" applyNumberFormat="1">
      <alignment horizontal="center" vertical="center"/>
    </xf>
    <xf borderId="7" fillId="7" fontId="2" numFmtId="164" xfId="0" applyAlignment="1" applyBorder="1" applyFont="1" applyNumberFormat="1">
      <alignment horizontal="center" vertical="center"/>
    </xf>
    <xf borderId="8" fillId="7" fontId="2" numFmtId="2" xfId="0" applyAlignment="1" applyBorder="1" applyFont="1" applyNumberFormat="1">
      <alignment horizontal="center" vertical="center"/>
    </xf>
    <xf borderId="9" fillId="7" fontId="2" numFmtId="1" xfId="0" applyAlignment="1" applyBorder="1" applyFont="1" applyNumberFormat="1">
      <alignment horizontal="center" vertical="center"/>
    </xf>
    <xf borderId="0" fillId="0" fontId="2" numFmtId="9" xfId="0" applyFont="1" applyNumberFormat="1"/>
    <xf borderId="0" fillId="0" fontId="2" numFmtId="0" xfId="0" applyAlignment="1" applyFont="1">
      <alignment vertical="top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87815770721725"/>
          <c:y val="0.04262295081967213"/>
          <c:w val="0.9105709130679009"/>
          <c:h val="0.8426229508196726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GradeSheet!$F$50:$F$61</c:f>
            </c:strRef>
          </c:cat>
          <c:val>
            <c:numRef>
              <c:f>GradeSheet!$G$50:$G$61</c:f>
              <c:numCache/>
            </c:numRef>
          </c:val>
        </c:ser>
        <c:axId val="393965968"/>
        <c:axId val="1059730745"/>
      </c:barChart>
      <c:catAx>
        <c:axId val="39396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9730745"/>
      </c:catAx>
      <c:valAx>
        <c:axId val="1059730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3965968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2102219996"/>
        <c:axId val="1636200937"/>
      </c:barChart>
      <c:catAx>
        <c:axId val="2102219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6200937"/>
      </c:catAx>
      <c:valAx>
        <c:axId val="163620093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210221999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1142251152"/>
        <c:axId val="1049559580"/>
      </c:barChart>
      <c:catAx>
        <c:axId val="114225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049559580"/>
      </c:catAx>
      <c:valAx>
        <c:axId val="10495595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14225115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361950</xdr:colOff>
      <xdr:row>48</xdr:row>
      <xdr:rowOff>19050</xdr:rowOff>
    </xdr:from>
    <xdr:ext cx="3952875" cy="2790825"/>
    <xdr:graphicFrame>
      <xdr:nvGraphicFramePr>
        <xdr:cNvPr id="181194313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62</xdr:row>
      <xdr:rowOff>0</xdr:rowOff>
    </xdr:from>
    <xdr:ext cx="5153025" cy="2762250"/>
    <xdr:graphicFrame>
      <xdr:nvGraphicFramePr>
        <xdr:cNvPr id="17162798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>
      <xdr:nvGraphicFramePr>
        <xdr:cNvPr id="77915291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/>
        <xdr:cNvGrpSpPr/>
      </xdr:nvGrpSpPr>
      <xdr:grpSpPr>
        <a:xfrm>
          <a:off x="3626738" y="3765713"/>
          <a:ext cx="3438525" cy="28575"/>
          <a:chOff x="3626738" y="3765713"/>
          <a:chExt cx="3438525" cy="28575"/>
        </a:xfrm>
      </xdr:grpSpPr>
      <xdr:grpSp>
        <xdr:nvGrpSpPr>
          <xdr:cNvPr id="3" name="Shape 3"/>
          <xdr:cNvGrpSpPr/>
        </xdr:nvGrpSpPr>
        <xdr:grpSpPr>
          <a:xfrm>
            <a:off x="3626738" y="3765713"/>
            <a:ext cx="3438525" cy="28575"/>
            <a:chOff x="3626738" y="3765713"/>
            <a:chExt cx="3438525" cy="28575"/>
          </a:xfrm>
        </xdr:grpSpPr>
        <xdr:sp>
          <xdr:nvSpPr>
            <xdr:cNvPr id="4" name="Shape 4"/>
            <xdr:cNvSpPr/>
          </xdr:nvSpPr>
          <xdr:spPr>
            <a:xfrm>
              <a:off x="3626738" y="3765713"/>
              <a:ext cx="3438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26738" y="3765713"/>
              <a:ext cx="3438525" cy="28575"/>
              <a:chOff x="3626738" y="3765713"/>
              <a:chExt cx="3438525" cy="28575"/>
            </a:xfrm>
          </xdr:grpSpPr>
          <xdr:sp>
            <xdr:nvSpPr>
              <xdr:cNvPr id="6" name="Shape 6"/>
              <xdr:cNvSpPr/>
            </xdr:nvSpPr>
            <xdr:spPr>
              <a:xfrm>
                <a:off x="3626738" y="3765713"/>
                <a:ext cx="3438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626738" y="3765713"/>
                <a:ext cx="3438525" cy="28575"/>
                <a:chOff x="3626738" y="3765713"/>
                <a:chExt cx="3438525" cy="2857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626738" y="3765713"/>
                  <a:ext cx="3438525" cy="28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3626738" y="3765713"/>
                  <a:ext cx="3438525" cy="28575"/>
                  <a:chOff x="3626738" y="3765713"/>
                  <a:chExt cx="3438525" cy="285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3626738" y="3765713"/>
                    <a:ext cx="3438525" cy="28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3626738" y="3765713"/>
                    <a:ext cx="3438525" cy="28575"/>
                    <a:chOff x="3626738" y="3775238"/>
                    <a:chExt cx="3438525" cy="952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3626738" y="3775238"/>
                      <a:ext cx="3438525" cy="9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cxnSp>
                  <xdr:nvCxnSpPr>
                    <xdr:cNvPr id="13" name="Shape 13"/>
                    <xdr:cNvCxnSpPr/>
                  </xdr:nvCxnSpPr>
                  <xdr:spPr>
                    <a:xfrm rot="10800000">
                      <a:off x="3626738" y="3775238"/>
                      <a:ext cx="3438525" cy="9525"/>
                    </a:xfrm>
                    <a:prstGeom prst="straightConnector1">
                      <a:avLst/>
                    </a:prstGeom>
                    <a:noFill/>
                    <a:ln cap="flat" cmpd="sng" w="9525">
                      <a:solidFill>
                        <a:srgbClr val="FF0000"/>
                      </a:solidFill>
                      <a:prstDash val="solid"/>
                      <a:miter lim="8000"/>
                      <a:headEnd len="sm" w="sm" type="none"/>
                      <a:tailEnd len="sm" w="sm" type="none"/>
                    </a:ln>
                  </xdr:spPr>
                </xdr:cxnSp>
              </xdr:grpSp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3" max="3" width="35.0"/>
    <col customWidth="1" min="4" max="4" width="13.71"/>
    <col customWidth="1" min="5" max="7" width="15.14"/>
    <col customWidth="1" min="8" max="8" width="4.14"/>
    <col customWidth="1" min="9" max="9" width="14.86"/>
    <col customWidth="1" min="10" max="11" width="15.14"/>
    <col customWidth="1" min="12" max="12" width="19.57"/>
    <col customWidth="1" min="13" max="13" width="8.43"/>
    <col customWidth="1" min="14" max="14" width="7.14"/>
    <col customWidth="1" min="15" max="15" width="17.86"/>
    <col customWidth="1" min="16" max="16" width="9.86"/>
    <col customWidth="1" min="17" max="18" width="10.14"/>
    <col customWidth="1" min="19" max="19" width="16.71"/>
    <col customWidth="1" min="20" max="20" width="10.14"/>
    <col customWidth="1" min="21" max="21" width="9.71"/>
    <col customWidth="1" min="22" max="22" width="32.71"/>
    <col customWidth="1" min="23" max="23" width="15.86"/>
    <col customWidth="1" min="24" max="26" width="9.14"/>
  </cols>
  <sheetData>
    <row r="1" ht="15.75" customHeight="1">
      <c r="A1" s="5"/>
      <c r="B1" s="32"/>
      <c r="C1" s="3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5"/>
      <c r="B2" s="32"/>
      <c r="C2" s="34"/>
      <c r="D2" s="5"/>
      <c r="E2" s="5"/>
      <c r="F2" s="39" t="s">
        <v>45</v>
      </c>
      <c r="G2" s="40" t="s">
        <v>46</v>
      </c>
      <c r="H2" s="41"/>
      <c r="I2" s="42"/>
      <c r="J2" s="39" t="s">
        <v>47</v>
      </c>
      <c r="K2" s="43">
        <v>2.0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5"/>
      <c r="B3" s="32"/>
      <c r="C3" s="34"/>
      <c r="D3" s="5"/>
      <c r="E3" s="5"/>
      <c r="F3" s="39" t="s">
        <v>48</v>
      </c>
      <c r="G3" s="40" t="s">
        <v>49</v>
      </c>
      <c r="H3" s="41"/>
      <c r="I3" s="42"/>
      <c r="J3" s="39" t="s">
        <v>50</v>
      </c>
      <c r="K3" s="43" t="s">
        <v>51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5"/>
      <c r="B4" s="32"/>
      <c r="C4" s="34"/>
      <c r="D4" s="5"/>
      <c r="E4" s="5"/>
      <c r="F4" s="39" t="s">
        <v>52</v>
      </c>
      <c r="G4" s="40">
        <v>3.0</v>
      </c>
      <c r="H4" s="41"/>
      <c r="I4" s="42"/>
      <c r="J4" s="46"/>
      <c r="K4" s="48"/>
      <c r="L4" s="5"/>
      <c r="M4" s="5"/>
      <c r="N4" s="5"/>
      <c r="O4" s="50" t="s">
        <v>54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5"/>
      <c r="B5" s="32"/>
      <c r="C5" s="34"/>
      <c r="D5" s="5"/>
      <c r="E5" s="5"/>
      <c r="F5" s="39" t="s">
        <v>55</v>
      </c>
      <c r="G5" s="40" t="s">
        <v>56</v>
      </c>
      <c r="H5" s="41"/>
      <c r="I5" s="42"/>
      <c r="J5" s="46"/>
      <c r="K5" s="4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32"/>
      <c r="C6" s="3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3" t="str">
        <f>CONCATENATE("Grade Sheet of ",GradeSheet!$G$2, " [",GradeSheet!$G$3, "] ", "(Section ",GradeSheet!$K$2, ") ", "[Semester - ",GradeSheet!$K$3,"]" )</f>
        <v>Grade Sheet of CSE 2203 [Computer Organization and Architecture] (Section 2) [Semester - Spring 2026]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B8" s="54"/>
      <c r="C8" s="55"/>
      <c r="M8" s="5"/>
      <c r="N8" s="5"/>
      <c r="O8" s="56" t="s">
        <v>58</v>
      </c>
      <c r="P8" s="57" t="s">
        <v>59</v>
      </c>
      <c r="Q8" s="57" t="s">
        <v>60</v>
      </c>
      <c r="R8" s="57" t="s">
        <v>61</v>
      </c>
      <c r="S8" s="58" t="s">
        <v>62</v>
      </c>
      <c r="T8" s="59" t="s">
        <v>63</v>
      </c>
      <c r="U8" s="59" t="s">
        <v>64</v>
      </c>
      <c r="V8" s="5"/>
      <c r="W8" s="5"/>
      <c r="X8" s="5"/>
      <c r="Y8" s="5"/>
      <c r="Z8" s="5"/>
    </row>
    <row r="9" ht="31.5" customHeight="1">
      <c r="A9" s="60" t="s">
        <v>65</v>
      </c>
      <c r="B9" s="61" t="s">
        <v>66</v>
      </c>
      <c r="C9" s="62" t="s">
        <v>67</v>
      </c>
      <c r="D9" s="58" t="str">
        <f>CONCATENATE("Attendance (",GradeSheet!$C$50, ")")</f>
        <v>Attendance (5)</v>
      </c>
      <c r="E9" s="65" t="str">
        <f>CONCATENATE("Quiz (",GradeSheet!$C$52, ")")</f>
        <v>Quiz (20)</v>
      </c>
      <c r="F9" s="58" t="str">
        <f>CONCATENATE("Assignment (",GradeSheet!$C$53, ")")</f>
        <v>Assignment (10)</v>
      </c>
      <c r="G9" s="65" t="str">
        <f>CONCATENATE("Midterm (",GradeSheet!$C$54, ")")</f>
        <v>Midterm (25)</v>
      </c>
      <c r="H9" s="61"/>
      <c r="I9" s="61" t="str">
        <f>CONCATENATE("Final (",GradeSheet!$C$56, ")")</f>
        <v>Final (40)</v>
      </c>
      <c r="J9" s="58" t="s">
        <v>69</v>
      </c>
      <c r="K9" s="58" t="s">
        <v>70</v>
      </c>
      <c r="L9" s="58" t="s">
        <v>71</v>
      </c>
      <c r="M9" s="67"/>
      <c r="N9" s="67"/>
      <c r="O9" s="68">
        <v>5.0</v>
      </c>
      <c r="P9" s="68">
        <v>20.0</v>
      </c>
      <c r="Q9" s="68">
        <v>20.0</v>
      </c>
      <c r="R9" s="68">
        <v>20.0</v>
      </c>
      <c r="S9" s="68">
        <v>10.0</v>
      </c>
      <c r="T9" s="68">
        <v>25.0</v>
      </c>
      <c r="U9" s="68">
        <v>40.0</v>
      </c>
      <c r="V9" s="71" t="s">
        <v>67</v>
      </c>
      <c r="W9" s="61" t="s">
        <v>66</v>
      </c>
      <c r="X9" s="67"/>
      <c r="Y9" s="67"/>
      <c r="Z9" s="67"/>
    </row>
    <row r="10" ht="15.75" customHeight="1">
      <c r="A10" s="72">
        <v>1.0</v>
      </c>
      <c r="B10" s="73" t="s">
        <v>72</v>
      </c>
      <c r="C10" s="75" t="s">
        <v>73</v>
      </c>
      <c r="D10" s="76">
        <v>0.0</v>
      </c>
      <c r="E10" s="77">
        <v>0.0</v>
      </c>
      <c r="F10" s="76"/>
      <c r="G10" s="78"/>
      <c r="H10" s="79"/>
      <c r="I10" s="79"/>
      <c r="J10" s="79">
        <f t="shared" ref="J10:J46" si="1">sum(D10:I10)</f>
        <v>0</v>
      </c>
      <c r="K10" s="81">
        <f t="shared" ref="K10:K46" si="2">J10/100</f>
        <v>0</v>
      </c>
      <c r="L10" s="50" t="str">
        <f>VLOOKUP(J10,GradingPolicy!$B$2:$C$11,2)</f>
        <v>F (Fail)</v>
      </c>
      <c r="M10" s="5"/>
      <c r="N10" s="5"/>
      <c r="O10" s="82"/>
      <c r="P10" s="83"/>
      <c r="Q10" s="84"/>
      <c r="R10" s="77">
        <f t="shared" ref="R10:R11" si="3">max(P10, Q10)</f>
        <v>0</v>
      </c>
      <c r="S10" s="83"/>
      <c r="T10" s="85"/>
      <c r="U10" s="82"/>
      <c r="V10" s="87"/>
      <c r="W10" s="88"/>
      <c r="X10" s="5"/>
      <c r="Y10" s="5"/>
      <c r="Z10" s="5"/>
    </row>
    <row r="11" ht="15.75" customHeight="1">
      <c r="A11" s="89">
        <v>2.0</v>
      </c>
      <c r="B11" s="73" t="s">
        <v>74</v>
      </c>
      <c r="C11" s="90" t="s">
        <v>75</v>
      </c>
      <c r="D11" s="76">
        <v>0.5</v>
      </c>
      <c r="E11" s="77">
        <v>0.0</v>
      </c>
      <c r="F11" s="76"/>
      <c r="G11" s="78">
        <v>9.5</v>
      </c>
      <c r="H11" s="79"/>
      <c r="I11" s="79"/>
      <c r="J11" s="79">
        <f t="shared" si="1"/>
        <v>10</v>
      </c>
      <c r="K11" s="81">
        <f t="shared" si="2"/>
        <v>0.1</v>
      </c>
      <c r="L11" s="50" t="str">
        <f>VLOOKUP(J11,GradingPolicy!$B$2:$C$11,2)</f>
        <v>F (Fail)</v>
      </c>
      <c r="M11" s="5"/>
      <c r="N11" s="5"/>
      <c r="O11" s="82"/>
      <c r="P11" s="83"/>
      <c r="Q11" s="84"/>
      <c r="R11" s="77">
        <f t="shared" si="3"/>
        <v>0</v>
      </c>
      <c r="S11" s="83"/>
      <c r="T11" s="85">
        <v>9.5</v>
      </c>
      <c r="U11" s="82"/>
      <c r="V11" s="87"/>
      <c r="W11" s="88"/>
      <c r="X11" s="5"/>
      <c r="Y11" s="5"/>
      <c r="Z11" s="5"/>
    </row>
    <row r="12" ht="15.75" customHeight="1">
      <c r="A12" s="72">
        <v>3.0</v>
      </c>
      <c r="B12" s="73" t="s">
        <v>76</v>
      </c>
      <c r="C12" s="90" t="s">
        <v>77</v>
      </c>
      <c r="D12" s="76">
        <v>4.5</v>
      </c>
      <c r="E12" s="77">
        <v>12.0</v>
      </c>
      <c r="F12" s="76">
        <v>9.0</v>
      </c>
      <c r="G12" s="78">
        <v>6.0</v>
      </c>
      <c r="H12" s="79"/>
      <c r="I12" s="79">
        <v>18.5</v>
      </c>
      <c r="J12" s="79">
        <f t="shared" si="1"/>
        <v>50</v>
      </c>
      <c r="K12" s="81">
        <f t="shared" si="2"/>
        <v>0.5</v>
      </c>
      <c r="L12" s="50" t="str">
        <f>VLOOKUP(J12,GradingPolicy!$B$2:$C$11,2)</f>
        <v>D (Plain)</v>
      </c>
      <c r="M12" s="5"/>
      <c r="N12" s="5"/>
      <c r="O12" s="82"/>
      <c r="P12" s="83"/>
      <c r="Q12" s="84">
        <v>6.5</v>
      </c>
      <c r="R12" s="77">
        <v>10.0</v>
      </c>
      <c r="S12" s="83">
        <v>7.0</v>
      </c>
      <c r="T12" s="85">
        <v>6.0</v>
      </c>
      <c r="U12" s="82"/>
      <c r="V12" s="87"/>
      <c r="W12" s="88"/>
      <c r="X12" s="5"/>
      <c r="Y12" s="5"/>
      <c r="Z12" s="5"/>
    </row>
    <row r="13" ht="15.75" customHeight="1">
      <c r="A13" s="89">
        <v>4.0</v>
      </c>
      <c r="B13" s="73" t="s">
        <v>78</v>
      </c>
      <c r="C13" s="90" t="s">
        <v>79</v>
      </c>
      <c r="D13" s="76">
        <v>4.3</v>
      </c>
      <c r="E13" s="77">
        <v>9.0</v>
      </c>
      <c r="F13" s="76">
        <v>8.0</v>
      </c>
      <c r="G13" s="78">
        <v>12.5</v>
      </c>
      <c r="H13" s="79"/>
      <c r="I13" s="79">
        <v>16.5</v>
      </c>
      <c r="J13" s="79">
        <f t="shared" si="1"/>
        <v>50.3</v>
      </c>
      <c r="K13" s="81">
        <f t="shared" si="2"/>
        <v>0.503</v>
      </c>
      <c r="L13" s="50" t="str">
        <f>VLOOKUP(J13,GradingPolicy!$B$2:$C$11,2)</f>
        <v>D (Plain)</v>
      </c>
      <c r="M13" s="5"/>
      <c r="N13" s="5"/>
      <c r="O13" s="82"/>
      <c r="P13" s="83">
        <v>2.5</v>
      </c>
      <c r="Q13" s="84">
        <v>6.5</v>
      </c>
      <c r="R13" s="77">
        <f t="shared" ref="R13:R46" si="4">max(P13, Q13)</f>
        <v>6.5</v>
      </c>
      <c r="S13" s="83">
        <v>8.0</v>
      </c>
      <c r="T13" s="85">
        <v>12.5</v>
      </c>
      <c r="U13" s="82"/>
      <c r="V13" s="87"/>
      <c r="W13" s="88"/>
      <c r="X13" s="5"/>
      <c r="Y13" s="5"/>
      <c r="Z13" s="5"/>
    </row>
    <row r="14" ht="15.75" customHeight="1">
      <c r="A14" s="72">
        <v>5.0</v>
      </c>
      <c r="B14" s="73" t="s">
        <v>80</v>
      </c>
      <c r="C14" s="90" t="s">
        <v>81</v>
      </c>
      <c r="D14" s="76">
        <v>4.3</v>
      </c>
      <c r="E14" s="77">
        <v>10.0</v>
      </c>
      <c r="F14" s="76">
        <v>8.5</v>
      </c>
      <c r="G14" s="78">
        <v>12.5</v>
      </c>
      <c r="H14" s="79"/>
      <c r="I14" s="79">
        <v>25.5</v>
      </c>
      <c r="J14" s="79">
        <f t="shared" si="1"/>
        <v>60.8</v>
      </c>
      <c r="K14" s="81">
        <f t="shared" si="2"/>
        <v>0.608</v>
      </c>
      <c r="L14" s="50" t="str">
        <f>VLOOKUP(J14,GradingPolicy!$B$2:$C$11,2)</f>
        <v>C+ (Plus)</v>
      </c>
      <c r="M14" s="5"/>
      <c r="N14" s="5"/>
      <c r="O14" s="82"/>
      <c r="P14" s="83">
        <v>10.0</v>
      </c>
      <c r="Q14" s="84"/>
      <c r="R14" s="77">
        <f t="shared" si="4"/>
        <v>10</v>
      </c>
      <c r="S14" s="83">
        <v>8.5</v>
      </c>
      <c r="T14" s="85">
        <v>12.5</v>
      </c>
      <c r="U14" s="82"/>
      <c r="V14" s="87"/>
      <c r="W14" s="88"/>
      <c r="X14" s="5"/>
      <c r="Y14" s="5"/>
      <c r="Z14" s="5"/>
    </row>
    <row r="15" ht="15.75" customHeight="1">
      <c r="A15" s="89">
        <v>6.0</v>
      </c>
      <c r="B15" s="73" t="s">
        <v>82</v>
      </c>
      <c r="C15" s="90" t="s">
        <v>83</v>
      </c>
      <c r="D15" s="76">
        <v>2.4</v>
      </c>
      <c r="E15" s="77">
        <v>0.0</v>
      </c>
      <c r="F15" s="76"/>
      <c r="G15" s="78">
        <v>0.5</v>
      </c>
      <c r="H15" s="79"/>
      <c r="I15" s="79"/>
      <c r="J15" s="79">
        <f t="shared" si="1"/>
        <v>2.9</v>
      </c>
      <c r="K15" s="81">
        <f t="shared" si="2"/>
        <v>0.029</v>
      </c>
      <c r="L15" s="50" t="str">
        <f>VLOOKUP(J15,GradingPolicy!$B$2:$C$11,2)</f>
        <v>F (Fail)</v>
      </c>
      <c r="M15" s="5"/>
      <c r="N15" s="5"/>
      <c r="O15" s="82"/>
      <c r="P15" s="83"/>
      <c r="Q15" s="84"/>
      <c r="R15" s="77">
        <f t="shared" si="4"/>
        <v>0</v>
      </c>
      <c r="S15" s="83"/>
      <c r="T15" s="85">
        <v>0.5</v>
      </c>
      <c r="U15" s="82"/>
      <c r="V15" s="87"/>
      <c r="W15" s="88"/>
      <c r="X15" s="5"/>
      <c r="Y15" s="5"/>
      <c r="Z15" s="5"/>
    </row>
    <row r="16" ht="15.75" customHeight="1">
      <c r="A16" s="72">
        <v>7.0</v>
      </c>
      <c r="B16" s="73" t="s">
        <v>84</v>
      </c>
      <c r="C16" s="90" t="s">
        <v>85</v>
      </c>
      <c r="D16" s="76">
        <v>3.3</v>
      </c>
      <c r="E16" s="77">
        <v>14.0</v>
      </c>
      <c r="F16" s="76">
        <v>9.0</v>
      </c>
      <c r="G16" s="78">
        <v>11.0</v>
      </c>
      <c r="H16" s="79"/>
      <c r="I16" s="79">
        <v>23.0</v>
      </c>
      <c r="J16" s="79">
        <f t="shared" si="1"/>
        <v>60.3</v>
      </c>
      <c r="K16" s="81">
        <f t="shared" si="2"/>
        <v>0.603</v>
      </c>
      <c r="L16" s="50" t="str">
        <f>VLOOKUP(J16,GradingPolicy!$B$2:$C$11,2)</f>
        <v>C+ (Plus)</v>
      </c>
      <c r="M16" s="5"/>
      <c r="N16" s="5"/>
      <c r="O16" s="82"/>
      <c r="P16" s="83">
        <v>14.0</v>
      </c>
      <c r="Q16" s="84"/>
      <c r="R16" s="77">
        <f t="shared" si="4"/>
        <v>14</v>
      </c>
      <c r="S16" s="83">
        <v>9.0</v>
      </c>
      <c r="T16" s="85">
        <v>11.0</v>
      </c>
      <c r="U16" s="82"/>
      <c r="V16" s="87"/>
      <c r="W16" s="88"/>
      <c r="X16" s="5"/>
      <c r="Y16" s="5"/>
      <c r="Z16" s="5"/>
    </row>
    <row r="17" ht="15.75" customHeight="1">
      <c r="A17" s="89">
        <v>8.0</v>
      </c>
      <c r="B17" s="73" t="s">
        <v>86</v>
      </c>
      <c r="C17" s="90" t="s">
        <v>87</v>
      </c>
      <c r="D17" s="76">
        <v>4.0</v>
      </c>
      <c r="E17" s="77">
        <v>14.5</v>
      </c>
      <c r="F17" s="76">
        <v>10.0</v>
      </c>
      <c r="G17" s="78">
        <v>17.0</v>
      </c>
      <c r="H17" s="79"/>
      <c r="I17" s="79">
        <v>19.5</v>
      </c>
      <c r="J17" s="79">
        <f t="shared" si="1"/>
        <v>65</v>
      </c>
      <c r="K17" s="81">
        <f t="shared" si="2"/>
        <v>0.65</v>
      </c>
      <c r="L17" s="50" t="str">
        <f>VLOOKUP(J17,GradingPolicy!$B$2:$C$11,2)</f>
        <v>B- (Minus)</v>
      </c>
      <c r="M17" s="5"/>
      <c r="N17" s="5"/>
      <c r="O17" s="82"/>
      <c r="P17" s="83">
        <v>13.5</v>
      </c>
      <c r="Q17" s="84"/>
      <c r="R17" s="77">
        <f t="shared" si="4"/>
        <v>13.5</v>
      </c>
      <c r="S17" s="83"/>
      <c r="T17" s="85">
        <v>17.0</v>
      </c>
      <c r="U17" s="82"/>
      <c r="V17" s="87"/>
      <c r="W17" s="88"/>
      <c r="X17" s="5"/>
      <c r="Y17" s="5"/>
      <c r="Z17" s="5"/>
    </row>
    <row r="18" ht="15.75" customHeight="1">
      <c r="A18" s="72">
        <v>9.0</v>
      </c>
      <c r="B18" s="73" t="s">
        <v>88</v>
      </c>
      <c r="C18" s="90" t="s">
        <v>89</v>
      </c>
      <c r="D18" s="76">
        <v>5.0</v>
      </c>
      <c r="E18" s="77">
        <v>16.5</v>
      </c>
      <c r="F18" s="76">
        <v>10.0</v>
      </c>
      <c r="G18" s="78">
        <v>15.0</v>
      </c>
      <c r="H18" s="79"/>
      <c r="I18" s="79">
        <v>18.5</v>
      </c>
      <c r="J18" s="79">
        <f t="shared" si="1"/>
        <v>65</v>
      </c>
      <c r="K18" s="81">
        <f t="shared" si="2"/>
        <v>0.65</v>
      </c>
      <c r="L18" s="50" t="str">
        <f>VLOOKUP(J18,GradingPolicy!$B$2:$C$11,2)</f>
        <v>B- (Minus)</v>
      </c>
      <c r="M18" s="5"/>
      <c r="N18" s="5"/>
      <c r="O18" s="82"/>
      <c r="P18" s="83">
        <v>5.0</v>
      </c>
      <c r="Q18" s="84">
        <v>15.0</v>
      </c>
      <c r="R18" s="77">
        <f t="shared" si="4"/>
        <v>15</v>
      </c>
      <c r="S18" s="83">
        <v>10.0</v>
      </c>
      <c r="T18" s="85">
        <v>15.0</v>
      </c>
      <c r="U18" s="82"/>
      <c r="V18" s="87"/>
      <c r="W18" s="88"/>
      <c r="X18" s="5"/>
      <c r="Y18" s="5"/>
      <c r="Z18" s="5"/>
    </row>
    <row r="19" ht="15.75" customHeight="1">
      <c r="A19" s="89">
        <v>10.0</v>
      </c>
      <c r="B19" s="101">
        <v>2.33014155E8</v>
      </c>
      <c r="C19" s="90" t="s">
        <v>92</v>
      </c>
      <c r="D19" s="76">
        <v>3.6</v>
      </c>
      <c r="E19" s="77">
        <v>3.0</v>
      </c>
      <c r="F19" s="76">
        <v>9.0</v>
      </c>
      <c r="G19" s="78">
        <v>6.5</v>
      </c>
      <c r="H19" s="79"/>
      <c r="I19" s="79">
        <v>8.5</v>
      </c>
      <c r="J19" s="79">
        <f t="shared" si="1"/>
        <v>30.6</v>
      </c>
      <c r="K19" s="81">
        <f t="shared" si="2"/>
        <v>0.306</v>
      </c>
      <c r="L19" s="50" t="str">
        <f>VLOOKUP(J19,GradingPolicy!$B$2:$C$11,2)</f>
        <v>F (Fail)</v>
      </c>
      <c r="M19" s="5"/>
      <c r="N19" s="5"/>
      <c r="O19" s="82"/>
      <c r="P19" s="83">
        <v>0.5</v>
      </c>
      <c r="Q19" s="84">
        <v>3.0</v>
      </c>
      <c r="R19" s="77">
        <f t="shared" si="4"/>
        <v>3</v>
      </c>
      <c r="S19" s="83">
        <v>9.0</v>
      </c>
      <c r="T19" s="85">
        <v>6.5</v>
      </c>
      <c r="U19" s="82"/>
      <c r="V19" s="87"/>
      <c r="W19" s="108"/>
      <c r="X19" s="5"/>
      <c r="Y19" s="5"/>
      <c r="Z19" s="5"/>
    </row>
    <row r="20" ht="15.75" customHeight="1">
      <c r="A20" s="72">
        <v>11.0</v>
      </c>
      <c r="B20" s="73" t="s">
        <v>94</v>
      </c>
      <c r="C20" s="90" t="s">
        <v>95</v>
      </c>
      <c r="D20" s="76">
        <v>4.5</v>
      </c>
      <c r="E20" s="77">
        <v>13.0</v>
      </c>
      <c r="F20" s="76">
        <v>10.0</v>
      </c>
      <c r="G20" s="78">
        <v>9.5</v>
      </c>
      <c r="H20" s="79"/>
      <c r="I20" s="79">
        <v>14.0</v>
      </c>
      <c r="J20" s="79">
        <f t="shared" si="1"/>
        <v>51</v>
      </c>
      <c r="K20" s="81">
        <f t="shared" si="2"/>
        <v>0.51</v>
      </c>
      <c r="L20" s="50" t="str">
        <f>VLOOKUP(J20,GradingPolicy!$B$2:$C$11,2)</f>
        <v>D (Plain)</v>
      </c>
      <c r="M20" s="5"/>
      <c r="N20" s="5"/>
      <c r="O20" s="82"/>
      <c r="P20" s="83">
        <v>12.0</v>
      </c>
      <c r="Q20" s="84">
        <v>9.0</v>
      </c>
      <c r="R20" s="77">
        <f t="shared" si="4"/>
        <v>12</v>
      </c>
      <c r="S20" s="83">
        <v>8.5</v>
      </c>
      <c r="T20" s="85">
        <v>9.5</v>
      </c>
      <c r="U20" s="82"/>
      <c r="V20" s="87"/>
      <c r="W20" s="88"/>
      <c r="X20" s="5"/>
      <c r="Y20" s="5"/>
      <c r="Z20" s="5"/>
    </row>
    <row r="21" ht="15.75" customHeight="1">
      <c r="A21" s="89">
        <v>12.0</v>
      </c>
      <c r="B21" s="73" t="s">
        <v>98</v>
      </c>
      <c r="C21" s="90" t="s">
        <v>99</v>
      </c>
      <c r="D21" s="76">
        <v>3.1</v>
      </c>
      <c r="E21" s="77">
        <v>2.5</v>
      </c>
      <c r="F21" s="76">
        <v>7.0</v>
      </c>
      <c r="G21" s="78">
        <v>6.5</v>
      </c>
      <c r="H21" s="79"/>
      <c r="I21" s="79">
        <v>16.5</v>
      </c>
      <c r="J21" s="79">
        <f t="shared" si="1"/>
        <v>35.6</v>
      </c>
      <c r="K21" s="81">
        <f t="shared" si="2"/>
        <v>0.356</v>
      </c>
      <c r="L21" s="50" t="str">
        <f>VLOOKUP(J21,GradingPolicy!$B$2:$C$11,2)</f>
        <v>F (Fail)</v>
      </c>
      <c r="M21" s="5"/>
      <c r="N21" s="5"/>
      <c r="O21" s="82"/>
      <c r="P21" s="83"/>
      <c r="Q21" s="84">
        <v>2.5</v>
      </c>
      <c r="R21" s="77">
        <f t="shared" si="4"/>
        <v>2.5</v>
      </c>
      <c r="S21" s="83">
        <v>7.0</v>
      </c>
      <c r="T21" s="85">
        <v>6.5</v>
      </c>
      <c r="U21" s="82"/>
      <c r="V21" s="87"/>
      <c r="W21" s="88"/>
      <c r="X21" s="5"/>
      <c r="Y21" s="5"/>
      <c r="Z21" s="5"/>
    </row>
    <row r="22" ht="15.75" customHeight="1">
      <c r="A22" s="72">
        <v>13.0</v>
      </c>
      <c r="B22" s="73" t="s">
        <v>101</v>
      </c>
      <c r="C22" s="90" t="s">
        <v>102</v>
      </c>
      <c r="D22" s="76">
        <v>2.1</v>
      </c>
      <c r="E22" s="77">
        <v>0.0</v>
      </c>
      <c r="F22" s="76"/>
      <c r="G22" s="78">
        <v>1.5</v>
      </c>
      <c r="H22" s="79"/>
      <c r="I22" s="79"/>
      <c r="J22" s="79">
        <f t="shared" si="1"/>
        <v>3.6</v>
      </c>
      <c r="K22" s="81">
        <f t="shared" si="2"/>
        <v>0.036</v>
      </c>
      <c r="L22" s="50" t="s">
        <v>54</v>
      </c>
      <c r="M22" s="5"/>
      <c r="N22" s="5"/>
      <c r="O22" s="82"/>
      <c r="P22" s="83"/>
      <c r="Q22" s="84"/>
      <c r="R22" s="77">
        <f t="shared" si="4"/>
        <v>0</v>
      </c>
      <c r="S22" s="83"/>
      <c r="T22" s="85">
        <v>1.5</v>
      </c>
      <c r="U22" s="82"/>
      <c r="V22" s="87"/>
      <c r="W22" s="88"/>
      <c r="X22" s="5"/>
      <c r="Y22" s="5"/>
      <c r="Z22" s="5"/>
    </row>
    <row r="23" ht="15.75" customHeight="1">
      <c r="A23" s="89">
        <v>14.0</v>
      </c>
      <c r="B23" s="73" t="s">
        <v>103</v>
      </c>
      <c r="C23" s="90" t="s">
        <v>104</v>
      </c>
      <c r="D23" s="76">
        <v>0.7</v>
      </c>
      <c r="E23" s="77">
        <v>0.0</v>
      </c>
      <c r="F23" s="76"/>
      <c r="G23" s="78"/>
      <c r="H23" s="79"/>
      <c r="I23" s="79"/>
      <c r="J23" s="79">
        <f t="shared" si="1"/>
        <v>0.7</v>
      </c>
      <c r="K23" s="81">
        <f t="shared" si="2"/>
        <v>0.007</v>
      </c>
      <c r="L23" s="50" t="s">
        <v>54</v>
      </c>
      <c r="M23" s="5"/>
      <c r="N23" s="5"/>
      <c r="O23" s="82"/>
      <c r="P23" s="83"/>
      <c r="Q23" s="84"/>
      <c r="R23" s="77">
        <f t="shared" si="4"/>
        <v>0</v>
      </c>
      <c r="S23" s="83"/>
      <c r="T23" s="85"/>
      <c r="U23" s="82"/>
      <c r="V23" s="87"/>
      <c r="W23" s="88"/>
      <c r="X23" s="5"/>
      <c r="Y23" s="5"/>
      <c r="Z23" s="5"/>
    </row>
    <row r="24" ht="15.75" customHeight="1">
      <c r="A24" s="72">
        <v>15.0</v>
      </c>
      <c r="B24" s="73" t="s">
        <v>105</v>
      </c>
      <c r="C24" s="90" t="s">
        <v>106</v>
      </c>
      <c r="D24" s="76">
        <v>3.3</v>
      </c>
      <c r="E24" s="77">
        <v>7.5</v>
      </c>
      <c r="F24" s="76">
        <v>8.0</v>
      </c>
      <c r="G24" s="78">
        <v>6.5</v>
      </c>
      <c r="H24" s="79"/>
      <c r="I24" s="79">
        <v>15.0</v>
      </c>
      <c r="J24" s="79">
        <f t="shared" si="1"/>
        <v>40.3</v>
      </c>
      <c r="K24" s="81">
        <f t="shared" si="2"/>
        <v>0.403</v>
      </c>
      <c r="L24" s="50" t="str">
        <f>VLOOKUP(J24,GradingPolicy!$B$2:$C$11,2)</f>
        <v>F (Fail)</v>
      </c>
      <c r="M24" s="5"/>
      <c r="N24" s="5"/>
      <c r="O24" s="82"/>
      <c r="P24" s="83">
        <v>7.5</v>
      </c>
      <c r="Q24" s="84"/>
      <c r="R24" s="77">
        <f t="shared" si="4"/>
        <v>7.5</v>
      </c>
      <c r="S24" s="83"/>
      <c r="T24" s="85">
        <v>6.5</v>
      </c>
      <c r="U24" s="82"/>
      <c r="V24" s="87"/>
      <c r="W24" s="88"/>
      <c r="X24" s="5"/>
      <c r="Y24" s="5"/>
      <c r="Z24" s="5"/>
    </row>
    <row r="25" ht="15.75" customHeight="1">
      <c r="A25" s="89">
        <v>16.0</v>
      </c>
      <c r="B25" s="73" t="s">
        <v>107</v>
      </c>
      <c r="C25" s="90" t="s">
        <v>108</v>
      </c>
      <c r="D25" s="76">
        <v>3.3</v>
      </c>
      <c r="E25" s="77">
        <v>7.0</v>
      </c>
      <c r="F25" s="76">
        <v>10.0</v>
      </c>
      <c r="G25" s="78">
        <v>9.0</v>
      </c>
      <c r="H25" s="79"/>
      <c r="I25" s="79">
        <v>7.0</v>
      </c>
      <c r="J25" s="79">
        <f t="shared" si="1"/>
        <v>36.3</v>
      </c>
      <c r="K25" s="81">
        <f t="shared" si="2"/>
        <v>0.363</v>
      </c>
      <c r="L25" s="50" t="str">
        <f>VLOOKUP(J25,GradingPolicy!$B$2:$C$11,2)</f>
        <v>F (Fail)</v>
      </c>
      <c r="M25" s="5"/>
      <c r="N25" s="5"/>
      <c r="O25" s="82"/>
      <c r="P25" s="83">
        <v>7.0</v>
      </c>
      <c r="Q25" s="84"/>
      <c r="R25" s="77">
        <f t="shared" si="4"/>
        <v>7</v>
      </c>
      <c r="S25" s="83">
        <v>10.0</v>
      </c>
      <c r="T25" s="85">
        <v>9.0</v>
      </c>
      <c r="U25" s="82"/>
      <c r="V25" s="87"/>
      <c r="W25" s="88"/>
      <c r="X25" s="5"/>
      <c r="Y25" s="5"/>
      <c r="Z25" s="5"/>
    </row>
    <row r="26" ht="15.75" customHeight="1">
      <c r="A26" s="72">
        <v>17.0</v>
      </c>
      <c r="B26" s="73" t="s">
        <v>110</v>
      </c>
      <c r="C26" s="90" t="s">
        <v>111</v>
      </c>
      <c r="D26" s="76">
        <v>3.6</v>
      </c>
      <c r="E26" s="77">
        <v>14.5</v>
      </c>
      <c r="F26" s="76">
        <v>10.0</v>
      </c>
      <c r="G26" s="78">
        <v>14.0</v>
      </c>
      <c r="H26" s="79"/>
      <c r="I26" s="79">
        <v>16.5</v>
      </c>
      <c r="J26" s="79">
        <f t="shared" si="1"/>
        <v>58.6</v>
      </c>
      <c r="K26" s="81">
        <f t="shared" si="2"/>
        <v>0.586</v>
      </c>
      <c r="L26" s="50" t="str">
        <f>VLOOKUP(J26,GradingPolicy!$B$2:$C$11,2)</f>
        <v>C (Plain)</v>
      </c>
      <c r="M26" s="5"/>
      <c r="N26" s="5"/>
      <c r="O26" s="82"/>
      <c r="P26" s="83">
        <v>10.0</v>
      </c>
      <c r="Q26" s="84">
        <v>14.5</v>
      </c>
      <c r="R26" s="77">
        <f t="shared" si="4"/>
        <v>14.5</v>
      </c>
      <c r="S26" s="83">
        <v>10.0</v>
      </c>
      <c r="T26" s="85">
        <v>14.0</v>
      </c>
      <c r="U26" s="82"/>
      <c r="V26" s="87"/>
      <c r="W26" s="88"/>
      <c r="X26" s="5"/>
      <c r="Y26" s="5"/>
      <c r="Z26" s="5"/>
    </row>
    <row r="27" ht="15.75" customHeight="1">
      <c r="A27" s="89">
        <v>18.0</v>
      </c>
      <c r="B27" s="73" t="s">
        <v>112</v>
      </c>
      <c r="C27" s="90" t="s">
        <v>113</v>
      </c>
      <c r="D27" s="76">
        <v>2.4</v>
      </c>
      <c r="E27" s="77">
        <v>0.0</v>
      </c>
      <c r="F27" s="76"/>
      <c r="G27" s="78">
        <v>5.5</v>
      </c>
      <c r="H27" s="79"/>
      <c r="I27" s="79"/>
      <c r="J27" s="79">
        <f t="shared" si="1"/>
        <v>7.9</v>
      </c>
      <c r="K27" s="81">
        <f t="shared" si="2"/>
        <v>0.079</v>
      </c>
      <c r="L27" s="50" t="s">
        <v>54</v>
      </c>
      <c r="M27" s="5"/>
      <c r="N27" s="5"/>
      <c r="O27" s="82"/>
      <c r="P27" s="83"/>
      <c r="Q27" s="84">
        <v>0.0</v>
      </c>
      <c r="R27" s="77">
        <f t="shared" si="4"/>
        <v>0</v>
      </c>
      <c r="S27" s="83"/>
      <c r="T27" s="85">
        <v>5.5</v>
      </c>
      <c r="U27" s="82"/>
      <c r="V27" s="87"/>
      <c r="W27" s="88"/>
      <c r="X27" s="5"/>
      <c r="Y27" s="5"/>
      <c r="Z27" s="5"/>
    </row>
    <row r="28" ht="15.75" customHeight="1">
      <c r="A28" s="72">
        <v>19.0</v>
      </c>
      <c r="B28" s="73" t="s">
        <v>114</v>
      </c>
      <c r="C28" s="90" t="s">
        <v>115</v>
      </c>
      <c r="D28" s="76">
        <v>0.0</v>
      </c>
      <c r="E28" s="77">
        <v>0.0</v>
      </c>
      <c r="F28" s="76"/>
      <c r="G28" s="78"/>
      <c r="H28" s="79"/>
      <c r="I28" s="79"/>
      <c r="J28" s="79">
        <f t="shared" si="1"/>
        <v>0</v>
      </c>
      <c r="K28" s="81">
        <f t="shared" si="2"/>
        <v>0</v>
      </c>
      <c r="L28" s="50" t="s">
        <v>54</v>
      </c>
      <c r="M28" s="5"/>
      <c r="N28" s="5"/>
      <c r="O28" s="82"/>
      <c r="P28" s="83"/>
      <c r="Q28" s="84"/>
      <c r="R28" s="77">
        <f t="shared" si="4"/>
        <v>0</v>
      </c>
      <c r="S28" s="83"/>
      <c r="T28" s="85"/>
      <c r="U28" s="82"/>
      <c r="V28" s="87"/>
      <c r="W28" s="88"/>
      <c r="X28" s="5"/>
      <c r="Y28" s="5"/>
      <c r="Z28" s="5"/>
    </row>
    <row r="29" ht="15.75" customHeight="1">
      <c r="A29" s="89">
        <v>20.0</v>
      </c>
      <c r="B29" s="73" t="s">
        <v>116</v>
      </c>
      <c r="C29" s="90" t="s">
        <v>117</v>
      </c>
      <c r="D29" s="76">
        <v>4.8</v>
      </c>
      <c r="E29" s="77">
        <v>14.0</v>
      </c>
      <c r="F29" s="76">
        <v>10.0</v>
      </c>
      <c r="G29" s="78">
        <v>19.0</v>
      </c>
      <c r="H29" s="79"/>
      <c r="I29" s="79">
        <v>27.5</v>
      </c>
      <c r="J29" s="79">
        <f t="shared" si="1"/>
        <v>75.3</v>
      </c>
      <c r="K29" s="81">
        <f t="shared" si="2"/>
        <v>0.753</v>
      </c>
      <c r="L29" s="50" t="str">
        <f>VLOOKUP(J29,GradingPolicy!$B$2:$C$11,2)</f>
        <v>B+ (Plus)</v>
      </c>
      <c r="M29" s="5"/>
      <c r="N29" s="5"/>
      <c r="O29" s="82"/>
      <c r="P29" s="83"/>
      <c r="Q29" s="84">
        <v>12.0</v>
      </c>
      <c r="R29" s="77">
        <f t="shared" si="4"/>
        <v>12</v>
      </c>
      <c r="S29" s="83"/>
      <c r="T29" s="85">
        <v>19.0</v>
      </c>
      <c r="U29" s="82"/>
      <c r="V29" s="87"/>
      <c r="W29" s="88"/>
      <c r="X29" s="5"/>
      <c r="Y29" s="5"/>
      <c r="Z29" s="5"/>
    </row>
    <row r="30" ht="15.75" customHeight="1">
      <c r="A30" s="72">
        <v>21.0</v>
      </c>
      <c r="B30" s="73" t="s">
        <v>118</v>
      </c>
      <c r="C30" s="75" t="s">
        <v>119</v>
      </c>
      <c r="D30" s="76">
        <v>3.1</v>
      </c>
      <c r="E30" s="77">
        <v>0.0</v>
      </c>
      <c r="F30" s="76"/>
      <c r="G30" s="78">
        <v>7.0</v>
      </c>
      <c r="H30" s="79"/>
      <c r="I30" s="79"/>
      <c r="J30" s="79">
        <f t="shared" si="1"/>
        <v>10.1</v>
      </c>
      <c r="K30" s="81">
        <f t="shared" si="2"/>
        <v>0.101</v>
      </c>
      <c r="L30" s="50" t="s">
        <v>54</v>
      </c>
      <c r="M30" s="5"/>
      <c r="N30" s="5"/>
      <c r="O30" s="82"/>
      <c r="P30" s="83">
        <v>0.0</v>
      </c>
      <c r="Q30" s="84">
        <v>0.0</v>
      </c>
      <c r="R30" s="77">
        <f t="shared" si="4"/>
        <v>0</v>
      </c>
      <c r="S30" s="83"/>
      <c r="T30" s="85">
        <v>7.0</v>
      </c>
      <c r="U30" s="82"/>
      <c r="V30" s="87"/>
      <c r="W30" s="88"/>
      <c r="X30" s="5"/>
      <c r="Y30" s="5"/>
      <c r="Z30" s="5"/>
    </row>
    <row r="31" ht="15.75" customHeight="1">
      <c r="A31" s="89">
        <v>22.0</v>
      </c>
      <c r="B31" s="73" t="s">
        <v>121</v>
      </c>
      <c r="C31" s="90" t="s">
        <v>122</v>
      </c>
      <c r="D31" s="76">
        <v>5.0</v>
      </c>
      <c r="E31" s="77">
        <v>16.0</v>
      </c>
      <c r="F31" s="76">
        <v>10.0</v>
      </c>
      <c r="G31" s="78">
        <v>3.5</v>
      </c>
      <c r="H31" s="79"/>
      <c r="I31" s="79">
        <v>15.5</v>
      </c>
      <c r="J31" s="79">
        <f t="shared" si="1"/>
        <v>50</v>
      </c>
      <c r="K31" s="81">
        <f t="shared" si="2"/>
        <v>0.5</v>
      </c>
      <c r="L31" s="50" t="str">
        <f>VLOOKUP(J31,GradingPolicy!$B$2:$C$11,2)</f>
        <v>D (Plain)</v>
      </c>
      <c r="M31" s="5"/>
      <c r="N31" s="5"/>
      <c r="O31" s="82"/>
      <c r="P31" s="83">
        <v>12.5</v>
      </c>
      <c r="Q31" s="84">
        <v>2.0</v>
      </c>
      <c r="R31" s="77">
        <f t="shared" si="4"/>
        <v>12.5</v>
      </c>
      <c r="S31" s="83">
        <v>10.0</v>
      </c>
      <c r="T31" s="85">
        <v>3.5</v>
      </c>
      <c r="U31" s="82"/>
      <c r="V31" s="87"/>
      <c r="W31" s="88"/>
      <c r="X31" s="5"/>
      <c r="Y31" s="5"/>
      <c r="Z31" s="5"/>
    </row>
    <row r="32" ht="15.75" customHeight="1">
      <c r="A32" s="72">
        <v>23.0</v>
      </c>
      <c r="B32" s="73" t="s">
        <v>124</v>
      </c>
      <c r="C32" s="90" t="s">
        <v>125</v>
      </c>
      <c r="D32" s="76">
        <v>1.2</v>
      </c>
      <c r="E32" s="77">
        <v>0.0</v>
      </c>
      <c r="F32" s="76"/>
      <c r="G32" s="78">
        <v>8.0</v>
      </c>
      <c r="H32" s="79"/>
      <c r="I32" s="79"/>
      <c r="J32" s="79">
        <f t="shared" si="1"/>
        <v>9.2</v>
      </c>
      <c r="K32" s="81">
        <f t="shared" si="2"/>
        <v>0.092</v>
      </c>
      <c r="L32" s="50" t="s">
        <v>54</v>
      </c>
      <c r="M32" s="5"/>
      <c r="N32" s="5"/>
      <c r="O32" s="82"/>
      <c r="P32" s="83"/>
      <c r="Q32" s="84"/>
      <c r="R32" s="77">
        <f t="shared" si="4"/>
        <v>0</v>
      </c>
      <c r="S32" s="83"/>
      <c r="T32" s="85">
        <v>8.0</v>
      </c>
      <c r="U32" s="82"/>
      <c r="V32" s="87"/>
      <c r="W32" s="88"/>
      <c r="X32" s="5"/>
      <c r="Y32" s="5"/>
      <c r="Z32" s="5"/>
    </row>
    <row r="33" ht="15.75" customHeight="1">
      <c r="A33" s="89">
        <v>24.0</v>
      </c>
      <c r="B33" s="73" t="s">
        <v>126</v>
      </c>
      <c r="C33" s="90" t="s">
        <v>127</v>
      </c>
      <c r="D33" s="76">
        <v>0.5</v>
      </c>
      <c r="E33" s="77">
        <v>0.0</v>
      </c>
      <c r="F33" s="76"/>
      <c r="G33" s="78"/>
      <c r="H33" s="79"/>
      <c r="I33" s="79"/>
      <c r="J33" s="79">
        <f t="shared" si="1"/>
        <v>0.5</v>
      </c>
      <c r="K33" s="81">
        <f t="shared" si="2"/>
        <v>0.005</v>
      </c>
      <c r="L33" s="50" t="s">
        <v>54</v>
      </c>
      <c r="M33" s="5"/>
      <c r="N33" s="5"/>
      <c r="O33" s="82"/>
      <c r="P33" s="83"/>
      <c r="Q33" s="84"/>
      <c r="R33" s="77">
        <f t="shared" si="4"/>
        <v>0</v>
      </c>
      <c r="S33" s="83"/>
      <c r="T33" s="85"/>
      <c r="U33" s="82"/>
      <c r="V33" s="87"/>
      <c r="W33" s="88"/>
      <c r="X33" s="5"/>
      <c r="Y33" s="5"/>
      <c r="Z33" s="5"/>
    </row>
    <row r="34" ht="15.75" customHeight="1">
      <c r="A34" s="72">
        <v>25.0</v>
      </c>
      <c r="B34" s="73" t="s">
        <v>128</v>
      </c>
      <c r="C34" s="90" t="s">
        <v>129</v>
      </c>
      <c r="D34" s="76">
        <v>4.0</v>
      </c>
      <c r="E34" s="77">
        <v>10.0</v>
      </c>
      <c r="F34" s="76">
        <v>10.0</v>
      </c>
      <c r="G34" s="78">
        <v>10.0</v>
      </c>
      <c r="H34" s="79"/>
      <c r="I34" s="79">
        <v>16.0</v>
      </c>
      <c r="J34" s="79">
        <f t="shared" si="1"/>
        <v>50</v>
      </c>
      <c r="K34" s="81">
        <f t="shared" si="2"/>
        <v>0.5</v>
      </c>
      <c r="L34" s="50" t="str">
        <f>VLOOKUP(J34,GradingPolicy!$B$2:$C$11,2)</f>
        <v>D (Plain)</v>
      </c>
      <c r="M34" s="5"/>
      <c r="N34" s="5"/>
      <c r="O34" s="82"/>
      <c r="P34" s="83">
        <v>6.5</v>
      </c>
      <c r="Q34" s="84"/>
      <c r="R34" s="77">
        <f t="shared" si="4"/>
        <v>6.5</v>
      </c>
      <c r="S34" s="83">
        <v>10.0</v>
      </c>
      <c r="T34" s="85">
        <v>10.0</v>
      </c>
      <c r="U34" s="82"/>
      <c r="V34" s="87"/>
      <c r="W34" s="88"/>
      <c r="X34" s="5"/>
      <c r="Y34" s="5"/>
      <c r="Z34" s="5"/>
    </row>
    <row r="35" ht="15.75" customHeight="1">
      <c r="A35" s="89">
        <v>26.0</v>
      </c>
      <c r="B35" s="73" t="s">
        <v>130</v>
      </c>
      <c r="C35" s="90" t="s">
        <v>131</v>
      </c>
      <c r="D35" s="76">
        <v>1.0</v>
      </c>
      <c r="E35" s="77">
        <v>0.0</v>
      </c>
      <c r="F35" s="76"/>
      <c r="G35" s="78">
        <v>0.0</v>
      </c>
      <c r="H35" s="79"/>
      <c r="I35" s="79"/>
      <c r="J35" s="79">
        <f t="shared" si="1"/>
        <v>1</v>
      </c>
      <c r="K35" s="81">
        <f t="shared" si="2"/>
        <v>0.01</v>
      </c>
      <c r="L35" s="50" t="str">
        <f>VLOOKUP(J35,GradingPolicy!$B$2:$C$11,2)</f>
        <v>F (Fail)</v>
      </c>
      <c r="M35" s="5"/>
      <c r="N35" s="5"/>
      <c r="O35" s="82"/>
      <c r="P35" s="83"/>
      <c r="Q35" s="84"/>
      <c r="R35" s="77">
        <f t="shared" si="4"/>
        <v>0</v>
      </c>
      <c r="S35" s="83"/>
      <c r="T35" s="85">
        <v>0.0</v>
      </c>
      <c r="U35" s="82"/>
      <c r="V35" s="87"/>
      <c r="W35" s="88"/>
      <c r="X35" s="5"/>
      <c r="Y35" s="5"/>
      <c r="Z35" s="5"/>
    </row>
    <row r="36" ht="15.75" customHeight="1">
      <c r="A36" s="72">
        <v>27.0</v>
      </c>
      <c r="B36" s="73" t="s">
        <v>132</v>
      </c>
      <c r="C36" s="90" t="s">
        <v>133</v>
      </c>
      <c r="D36" s="76">
        <v>4.8</v>
      </c>
      <c r="E36" s="77">
        <v>14.0</v>
      </c>
      <c r="F36" s="76">
        <v>9.0</v>
      </c>
      <c r="G36" s="78">
        <v>11.0</v>
      </c>
      <c r="H36" s="79"/>
      <c r="I36" s="79">
        <v>23.5</v>
      </c>
      <c r="J36" s="79">
        <f t="shared" si="1"/>
        <v>62.3</v>
      </c>
      <c r="K36" s="81">
        <f t="shared" si="2"/>
        <v>0.623</v>
      </c>
      <c r="L36" s="50" t="str">
        <f>VLOOKUP(J36,GradingPolicy!$B$2:$C$11,2)</f>
        <v>C+ (Plus)</v>
      </c>
      <c r="M36" s="5"/>
      <c r="N36" s="5"/>
      <c r="O36" s="82"/>
      <c r="P36" s="83">
        <v>11.5</v>
      </c>
      <c r="Q36" s="84">
        <v>14.0</v>
      </c>
      <c r="R36" s="77">
        <f t="shared" si="4"/>
        <v>14</v>
      </c>
      <c r="S36" s="83">
        <v>9.0</v>
      </c>
      <c r="T36" s="85">
        <v>11.0</v>
      </c>
      <c r="U36" s="82"/>
      <c r="V36" s="87"/>
      <c r="W36" s="88"/>
      <c r="X36" s="5"/>
      <c r="Y36" s="5"/>
      <c r="Z36" s="5"/>
    </row>
    <row r="37" ht="15.75" customHeight="1">
      <c r="A37" s="89">
        <v>28.0</v>
      </c>
      <c r="B37" s="73" t="s">
        <v>134</v>
      </c>
      <c r="C37" s="90" t="s">
        <v>135</v>
      </c>
      <c r="D37" s="76">
        <v>2.9</v>
      </c>
      <c r="E37" s="77">
        <v>5.0</v>
      </c>
      <c r="F37" s="76">
        <v>8.0</v>
      </c>
      <c r="G37" s="78">
        <v>5.5</v>
      </c>
      <c r="H37" s="79"/>
      <c r="I37" s="79">
        <v>17.5</v>
      </c>
      <c r="J37" s="79">
        <f t="shared" si="1"/>
        <v>38.9</v>
      </c>
      <c r="K37" s="81">
        <f t="shared" si="2"/>
        <v>0.389</v>
      </c>
      <c r="L37" s="50" t="str">
        <f>VLOOKUP(J37,GradingPolicy!$B$2:$C$11,2)</f>
        <v>F (Fail)</v>
      </c>
      <c r="M37" s="5"/>
      <c r="N37" s="5"/>
      <c r="O37" s="82"/>
      <c r="P37" s="83">
        <v>3.5</v>
      </c>
      <c r="Q37" s="84">
        <v>5.0</v>
      </c>
      <c r="R37" s="77">
        <f t="shared" si="4"/>
        <v>5</v>
      </c>
      <c r="S37" s="83">
        <v>8.0</v>
      </c>
      <c r="T37" s="85">
        <v>5.5</v>
      </c>
      <c r="U37" s="82"/>
      <c r="V37" s="87"/>
      <c r="W37" s="88"/>
      <c r="X37" s="5"/>
      <c r="Y37" s="5"/>
      <c r="Z37" s="5"/>
    </row>
    <row r="38" ht="15.75" customHeight="1">
      <c r="A38" s="72">
        <v>29.0</v>
      </c>
      <c r="B38" s="73" t="s">
        <v>136</v>
      </c>
      <c r="C38" s="90" t="s">
        <v>137</v>
      </c>
      <c r="D38" s="76">
        <v>3.6</v>
      </c>
      <c r="E38" s="77">
        <v>1.5</v>
      </c>
      <c r="F38" s="76"/>
      <c r="G38" s="78">
        <v>6.0</v>
      </c>
      <c r="H38" s="79"/>
      <c r="I38" s="79"/>
      <c r="J38" s="79">
        <f t="shared" si="1"/>
        <v>11.1</v>
      </c>
      <c r="K38" s="81">
        <f t="shared" si="2"/>
        <v>0.111</v>
      </c>
      <c r="L38" s="50" t="s">
        <v>54</v>
      </c>
      <c r="M38" s="5"/>
      <c r="N38" s="5"/>
      <c r="O38" s="82"/>
      <c r="P38" s="83">
        <v>1.0</v>
      </c>
      <c r="Q38" s="84">
        <v>1.5</v>
      </c>
      <c r="R38" s="77">
        <f t="shared" si="4"/>
        <v>1.5</v>
      </c>
      <c r="S38" s="83"/>
      <c r="T38" s="85">
        <v>6.0</v>
      </c>
      <c r="U38" s="82"/>
      <c r="V38" s="87"/>
      <c r="W38" s="88"/>
      <c r="X38" s="5"/>
      <c r="Y38" s="5"/>
      <c r="Z38" s="5"/>
    </row>
    <row r="39" ht="15.75" customHeight="1">
      <c r="A39" s="89">
        <v>30.0</v>
      </c>
      <c r="B39" s="73" t="s">
        <v>138</v>
      </c>
      <c r="C39" s="90" t="s">
        <v>139</v>
      </c>
      <c r="D39" s="76">
        <v>0.0</v>
      </c>
      <c r="E39" s="77">
        <v>0.0</v>
      </c>
      <c r="F39" s="76"/>
      <c r="G39" s="78">
        <v>8.0</v>
      </c>
      <c r="H39" s="79"/>
      <c r="I39" s="79"/>
      <c r="J39" s="79">
        <f t="shared" si="1"/>
        <v>8</v>
      </c>
      <c r="K39" s="81">
        <f t="shared" si="2"/>
        <v>0.08</v>
      </c>
      <c r="L39" s="50" t="s">
        <v>54</v>
      </c>
      <c r="M39" s="5"/>
      <c r="N39" s="5"/>
      <c r="O39" s="82"/>
      <c r="P39" s="83"/>
      <c r="Q39" s="84"/>
      <c r="R39" s="77">
        <f t="shared" si="4"/>
        <v>0</v>
      </c>
      <c r="S39" s="83"/>
      <c r="T39" s="85">
        <v>8.0</v>
      </c>
      <c r="U39" s="82"/>
      <c r="V39" s="87"/>
      <c r="W39" s="88"/>
      <c r="X39" s="5"/>
      <c r="Y39" s="5"/>
      <c r="Z39" s="5"/>
    </row>
    <row r="40" ht="15.75" customHeight="1">
      <c r="A40" s="72">
        <v>31.0</v>
      </c>
      <c r="B40" s="73" t="s">
        <v>140</v>
      </c>
      <c r="C40" s="90" t="s">
        <v>141</v>
      </c>
      <c r="D40" s="76">
        <v>1.2</v>
      </c>
      <c r="E40" s="77">
        <v>1.0</v>
      </c>
      <c r="F40" s="76"/>
      <c r="G40" s="78">
        <v>1.5</v>
      </c>
      <c r="H40" s="79"/>
      <c r="I40" s="79"/>
      <c r="J40" s="79">
        <f t="shared" si="1"/>
        <v>3.7</v>
      </c>
      <c r="K40" s="81">
        <f t="shared" si="2"/>
        <v>0.037</v>
      </c>
      <c r="L40" s="50" t="s">
        <v>54</v>
      </c>
      <c r="M40" s="5"/>
      <c r="N40" s="5"/>
      <c r="O40" s="82"/>
      <c r="P40" s="83">
        <v>1.0</v>
      </c>
      <c r="Q40" s="84"/>
      <c r="R40" s="77">
        <f t="shared" si="4"/>
        <v>1</v>
      </c>
      <c r="S40" s="83"/>
      <c r="T40" s="85">
        <v>1.5</v>
      </c>
      <c r="U40" s="82"/>
      <c r="V40" s="87"/>
      <c r="W40" s="88"/>
      <c r="X40" s="5"/>
      <c r="Y40" s="5"/>
      <c r="Z40" s="5"/>
    </row>
    <row r="41" ht="15.75" customHeight="1">
      <c r="A41" s="89">
        <v>32.0</v>
      </c>
      <c r="B41" s="73" t="s">
        <v>142</v>
      </c>
      <c r="C41" s="90" t="s">
        <v>143</v>
      </c>
      <c r="D41" s="76">
        <v>2.1</v>
      </c>
      <c r="E41" s="77">
        <v>8.0</v>
      </c>
      <c r="F41" s="76">
        <v>9.0</v>
      </c>
      <c r="G41" s="78">
        <v>0.0</v>
      </c>
      <c r="H41" s="79"/>
      <c r="I41" s="79">
        <v>15.0</v>
      </c>
      <c r="J41" s="79">
        <f t="shared" si="1"/>
        <v>34.1</v>
      </c>
      <c r="K41" s="81">
        <f t="shared" si="2"/>
        <v>0.341</v>
      </c>
      <c r="L41" s="50" t="str">
        <f>VLOOKUP(J41,GradingPolicy!$B$2:$C$11,2)</f>
        <v>F (Fail)</v>
      </c>
      <c r="M41" s="5"/>
      <c r="N41" s="5"/>
      <c r="O41" s="82"/>
      <c r="P41" s="83"/>
      <c r="Q41" s="84">
        <v>8.0</v>
      </c>
      <c r="R41" s="77">
        <f t="shared" si="4"/>
        <v>8</v>
      </c>
      <c r="S41" s="83">
        <v>9.0</v>
      </c>
      <c r="T41" s="85">
        <v>0.0</v>
      </c>
      <c r="U41" s="82"/>
      <c r="V41" s="87"/>
      <c r="W41" s="88"/>
      <c r="X41" s="5"/>
      <c r="Y41" s="5"/>
      <c r="Z41" s="5"/>
    </row>
    <row r="42" ht="15.75" customHeight="1">
      <c r="A42" s="72">
        <v>33.0</v>
      </c>
      <c r="B42" s="73" t="s">
        <v>144</v>
      </c>
      <c r="C42" s="90" t="s">
        <v>145</v>
      </c>
      <c r="D42" s="76">
        <v>3.3</v>
      </c>
      <c r="E42" s="77">
        <v>7.0</v>
      </c>
      <c r="F42" s="76">
        <v>8.0</v>
      </c>
      <c r="G42" s="78">
        <v>7.5</v>
      </c>
      <c r="H42" s="79"/>
      <c r="I42" s="79">
        <v>14.5</v>
      </c>
      <c r="J42" s="79">
        <f t="shared" si="1"/>
        <v>40.3</v>
      </c>
      <c r="K42" s="81">
        <f t="shared" si="2"/>
        <v>0.403</v>
      </c>
      <c r="L42" s="50" t="str">
        <f>VLOOKUP(J42,GradingPolicy!$B$2:$C$11,2)</f>
        <v>F (Fail)</v>
      </c>
      <c r="M42" s="5"/>
      <c r="N42" s="5"/>
      <c r="O42" s="82"/>
      <c r="P42" s="83">
        <v>1.5</v>
      </c>
      <c r="Q42" s="84">
        <v>7.0</v>
      </c>
      <c r="R42" s="77">
        <f t="shared" si="4"/>
        <v>7</v>
      </c>
      <c r="S42" s="83">
        <v>8.0</v>
      </c>
      <c r="T42" s="85">
        <v>7.5</v>
      </c>
      <c r="U42" s="82"/>
      <c r="V42" s="87"/>
      <c r="W42" s="88"/>
      <c r="X42" s="5"/>
      <c r="Y42" s="5"/>
      <c r="Z42" s="5"/>
    </row>
    <row r="43" ht="15.75" customHeight="1">
      <c r="A43" s="89">
        <v>34.0</v>
      </c>
      <c r="B43" s="73" t="s">
        <v>146</v>
      </c>
      <c r="C43" s="75" t="s">
        <v>147</v>
      </c>
      <c r="D43" s="76">
        <v>2.6</v>
      </c>
      <c r="E43" s="77">
        <v>0.0</v>
      </c>
      <c r="F43" s="76"/>
      <c r="G43" s="78">
        <v>0.0</v>
      </c>
      <c r="H43" s="79"/>
      <c r="I43" s="79"/>
      <c r="J43" s="79">
        <f t="shared" si="1"/>
        <v>2.6</v>
      </c>
      <c r="K43" s="81">
        <f t="shared" si="2"/>
        <v>0.026</v>
      </c>
      <c r="L43" s="50" t="s">
        <v>54</v>
      </c>
      <c r="M43" s="5"/>
      <c r="N43" s="5"/>
      <c r="O43" s="82"/>
      <c r="P43" s="83"/>
      <c r="Q43" s="84">
        <v>0.0</v>
      </c>
      <c r="R43" s="77">
        <f t="shared" si="4"/>
        <v>0</v>
      </c>
      <c r="S43" s="83"/>
      <c r="T43" s="85">
        <v>0.0</v>
      </c>
      <c r="U43" s="82"/>
      <c r="V43" s="87"/>
      <c r="W43" s="88"/>
      <c r="X43" s="5"/>
      <c r="Y43" s="5"/>
      <c r="Z43" s="5"/>
    </row>
    <row r="44" ht="15.75" customHeight="1">
      <c r="A44" s="72">
        <v>35.0</v>
      </c>
      <c r="B44" s="73" t="s">
        <v>148</v>
      </c>
      <c r="C44" s="90" t="s">
        <v>149</v>
      </c>
      <c r="D44" s="76">
        <v>1.0</v>
      </c>
      <c r="E44" s="77">
        <v>0.0</v>
      </c>
      <c r="F44" s="76"/>
      <c r="G44" s="78">
        <v>6.0</v>
      </c>
      <c r="H44" s="79"/>
      <c r="I44" s="79"/>
      <c r="J44" s="79">
        <f t="shared" si="1"/>
        <v>7</v>
      </c>
      <c r="K44" s="81">
        <f t="shared" si="2"/>
        <v>0.07</v>
      </c>
      <c r="L44" s="50" t="s">
        <v>54</v>
      </c>
      <c r="M44" s="5"/>
      <c r="N44" s="5"/>
      <c r="O44" s="82"/>
      <c r="P44" s="83"/>
      <c r="Q44" s="84"/>
      <c r="R44" s="77">
        <f t="shared" si="4"/>
        <v>0</v>
      </c>
      <c r="S44" s="83"/>
      <c r="T44" s="85">
        <v>6.0</v>
      </c>
      <c r="U44" s="82"/>
      <c r="V44" s="87"/>
      <c r="W44" s="88"/>
      <c r="X44" s="5"/>
      <c r="Y44" s="5"/>
      <c r="Z44" s="5"/>
    </row>
    <row r="45" ht="15.75" customHeight="1">
      <c r="A45" s="89">
        <v>36.0</v>
      </c>
      <c r="B45" s="73" t="s">
        <v>150</v>
      </c>
      <c r="C45" s="90" t="s">
        <v>151</v>
      </c>
      <c r="D45" s="76">
        <v>3.6</v>
      </c>
      <c r="E45" s="77">
        <v>9.5</v>
      </c>
      <c r="F45" s="76">
        <v>8.0</v>
      </c>
      <c r="G45" s="78">
        <v>0.0</v>
      </c>
      <c r="H45" s="79"/>
      <c r="I45" s="79">
        <v>18.0</v>
      </c>
      <c r="J45" s="79">
        <f t="shared" si="1"/>
        <v>39.1</v>
      </c>
      <c r="K45" s="81">
        <f t="shared" si="2"/>
        <v>0.391</v>
      </c>
      <c r="L45" s="50" t="str">
        <f>VLOOKUP(J45,GradingPolicy!$B$2:$C$11,2)</f>
        <v>F (Fail)</v>
      </c>
      <c r="M45" s="5"/>
      <c r="N45" s="5"/>
      <c r="O45" s="82"/>
      <c r="P45" s="83">
        <v>7.0</v>
      </c>
      <c r="Q45" s="84">
        <v>9.5</v>
      </c>
      <c r="R45" s="77">
        <f t="shared" si="4"/>
        <v>9.5</v>
      </c>
      <c r="S45" s="83">
        <v>8.0</v>
      </c>
      <c r="T45" s="85">
        <v>0.0</v>
      </c>
      <c r="U45" s="82"/>
      <c r="V45" s="87"/>
      <c r="W45" s="88"/>
      <c r="X45" s="5"/>
      <c r="Y45" s="5"/>
      <c r="Z45" s="5"/>
    </row>
    <row r="46" ht="15.75" customHeight="1">
      <c r="A46" s="72">
        <v>37.0</v>
      </c>
      <c r="B46" s="73" t="s">
        <v>152</v>
      </c>
      <c r="C46" s="90" t="s">
        <v>153</v>
      </c>
      <c r="D46" s="76">
        <v>0.0</v>
      </c>
      <c r="E46" s="77">
        <v>0.0</v>
      </c>
      <c r="F46" s="76"/>
      <c r="G46" s="163"/>
      <c r="H46" s="79"/>
      <c r="I46" s="79"/>
      <c r="J46" s="79">
        <f t="shared" si="1"/>
        <v>0</v>
      </c>
      <c r="K46" s="81">
        <f t="shared" si="2"/>
        <v>0</v>
      </c>
      <c r="L46" s="50" t="s">
        <v>54</v>
      </c>
      <c r="M46" s="5"/>
      <c r="N46" s="5"/>
      <c r="O46" s="82"/>
      <c r="P46" s="83"/>
      <c r="Q46" s="84"/>
      <c r="R46" s="77">
        <f t="shared" si="4"/>
        <v>0</v>
      </c>
      <c r="S46" s="83"/>
      <c r="T46" s="82"/>
      <c r="U46" s="82"/>
      <c r="V46" s="87"/>
      <c r="W46" s="88"/>
      <c r="X46" s="5"/>
      <c r="Y46" s="5"/>
      <c r="Z46" s="5"/>
    </row>
    <row r="47" ht="15.75" customHeight="1">
      <c r="A47" s="5"/>
      <c r="B47" s="32"/>
      <c r="C47" s="3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32"/>
      <c r="C48" s="3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6" t="s">
        <v>154</v>
      </c>
      <c r="C49" s="164" t="s">
        <v>155</v>
      </c>
      <c r="D49" s="165"/>
      <c r="E49" s="166" t="s">
        <v>0</v>
      </c>
      <c r="F49" s="166" t="s">
        <v>2</v>
      </c>
      <c r="G49" s="59" t="s">
        <v>156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5"/>
      <c r="B50" s="167" t="s">
        <v>157</v>
      </c>
      <c r="C50" s="168">
        <v>5.0</v>
      </c>
      <c r="D50" s="32"/>
      <c r="E50" s="169" t="s">
        <v>42</v>
      </c>
      <c r="F50" s="170" t="s">
        <v>158</v>
      </c>
      <c r="G50" s="171">
        <f>COUNTIF(L10:L46, "A+ (Plus)")</f>
        <v>0</v>
      </c>
      <c r="H50" s="5"/>
      <c r="I50" s="5"/>
      <c r="J50" s="5"/>
      <c r="K50" s="5"/>
      <c r="L50" s="5"/>
      <c r="M50" s="5"/>
      <c r="N50" s="172" t="s">
        <v>159</v>
      </c>
      <c r="O50" s="79">
        <f>MAX(O10:O46)</f>
        <v>0</v>
      </c>
      <c r="P50" s="173" t="str">
        <f t="shared" ref="P50:Q50" si="5">MAX(#REF!)</f>
        <v>#REF!</v>
      </c>
      <c r="Q50" s="173" t="str">
        <f t="shared" si="5"/>
        <v>#REF!</v>
      </c>
      <c r="R50" s="173"/>
      <c r="S50" s="173" t="str">
        <f>MAX(#REF!)</f>
        <v>#REF!</v>
      </c>
      <c r="T50" s="173">
        <f t="shared" ref="T50:U50" si="6">MAX(T10:T46)</f>
        <v>19</v>
      </c>
      <c r="U50" s="173">
        <f t="shared" si="6"/>
        <v>0</v>
      </c>
      <c r="V50" s="5"/>
      <c r="W50" s="5"/>
      <c r="X50" s="5"/>
      <c r="Y50" s="5"/>
      <c r="Z50" s="5"/>
    </row>
    <row r="51" ht="15.75" customHeight="1">
      <c r="A51" s="5"/>
      <c r="B51" s="174"/>
      <c r="C51" s="174"/>
      <c r="D51" s="32"/>
      <c r="E51" s="169" t="s">
        <v>39</v>
      </c>
      <c r="F51" s="171" t="s">
        <v>160</v>
      </c>
      <c r="G51" s="171">
        <f>COUNTIF(L10:L46, "A (Plain)")</f>
        <v>0</v>
      </c>
      <c r="H51" s="5"/>
      <c r="I51" s="5"/>
      <c r="J51" s="5"/>
      <c r="K51" s="5"/>
      <c r="L51" s="5"/>
      <c r="M51" s="5"/>
      <c r="N51" s="172" t="s">
        <v>161</v>
      </c>
      <c r="O51" s="79" t="str">
        <f>AVERAGE(O10:O46)</f>
        <v>#DIV/0!</v>
      </c>
      <c r="P51" s="79" t="str">
        <f t="shared" ref="P51:Q51" si="7">AVERAGE(#REF!)</f>
        <v>#REF!</v>
      </c>
      <c r="Q51" s="79" t="str">
        <f t="shared" si="7"/>
        <v>#REF!</v>
      </c>
      <c r="R51" s="79"/>
      <c r="S51" s="79" t="str">
        <f>AVERAGE(#REF!)</f>
        <v>#REF!</v>
      </c>
      <c r="T51" s="79">
        <f t="shared" ref="T51:U51" si="8">AVERAGE(T10:T46)</f>
        <v>7.375</v>
      </c>
      <c r="U51" s="79" t="str">
        <f t="shared" si="8"/>
        <v>#DIV/0!</v>
      </c>
      <c r="V51" s="5"/>
      <c r="W51" s="5"/>
      <c r="X51" s="5"/>
      <c r="Y51" s="5"/>
      <c r="Z51" s="5"/>
    </row>
    <row r="52" ht="15.75" customHeight="1">
      <c r="A52" s="5"/>
      <c r="B52" s="72" t="s">
        <v>162</v>
      </c>
      <c r="C52" s="175">
        <v>20.0</v>
      </c>
      <c r="D52" s="32"/>
      <c r="E52" s="169" t="s">
        <v>35</v>
      </c>
      <c r="F52" s="171" t="s">
        <v>163</v>
      </c>
      <c r="G52" s="171">
        <f>COUNTIF(L10:L46, "A- (Minus)")</f>
        <v>0</v>
      </c>
      <c r="H52" s="5"/>
      <c r="I52" s="5"/>
      <c r="J52" s="5"/>
      <c r="K52" s="5"/>
      <c r="L52" s="5"/>
      <c r="M52" s="5"/>
      <c r="N52" s="172" t="s">
        <v>164</v>
      </c>
      <c r="O52" s="79">
        <f>MIN(O10:O46)</f>
        <v>0</v>
      </c>
      <c r="P52" s="173" t="str">
        <f t="shared" ref="P52:Q52" si="9">MIN(#REF!)</f>
        <v>#REF!</v>
      </c>
      <c r="Q52" s="173" t="str">
        <f t="shared" si="9"/>
        <v>#REF!</v>
      </c>
      <c r="R52" s="173"/>
      <c r="S52" s="173" t="str">
        <f>MIN(#REF!)</f>
        <v>#REF!</v>
      </c>
      <c r="T52" s="173">
        <f t="shared" ref="T52:U52" si="10">MIN(T10:T46)</f>
        <v>0</v>
      </c>
      <c r="U52" s="173">
        <f t="shared" si="10"/>
        <v>0</v>
      </c>
      <c r="V52" s="5"/>
      <c r="W52" s="5"/>
      <c r="X52" s="5"/>
      <c r="Y52" s="5"/>
      <c r="Z52" s="5"/>
    </row>
    <row r="53" ht="15.75" customHeight="1">
      <c r="A53" s="5"/>
      <c r="B53" s="72" t="s">
        <v>62</v>
      </c>
      <c r="C53" s="175">
        <v>10.0</v>
      </c>
      <c r="D53" s="32"/>
      <c r="E53" s="169" t="s">
        <v>24</v>
      </c>
      <c r="F53" s="171" t="s">
        <v>165</v>
      </c>
      <c r="G53" s="171">
        <f>COUNTIF(L10:L46, "B+ (Plus)")</f>
        <v>1</v>
      </c>
      <c r="H53" s="5"/>
      <c r="I53" s="5"/>
      <c r="J53" s="5"/>
      <c r="K53" s="5"/>
      <c r="L53" s="5"/>
      <c r="M53" s="5"/>
      <c r="N53" s="5"/>
      <c r="O53" s="5"/>
      <c r="P53" s="176"/>
      <c r="Q53" s="176"/>
      <c r="R53" s="176"/>
      <c r="S53" s="176"/>
      <c r="T53" s="176"/>
      <c r="U53" s="176"/>
      <c r="V53" s="5"/>
      <c r="W53" s="5"/>
      <c r="X53" s="5"/>
      <c r="Y53" s="5"/>
      <c r="Z53" s="5"/>
    </row>
    <row r="54" ht="15.75" customHeight="1">
      <c r="A54" s="5"/>
      <c r="B54" s="72" t="s">
        <v>41</v>
      </c>
      <c r="C54" s="175">
        <v>25.0</v>
      </c>
      <c r="D54" s="32"/>
      <c r="E54" s="169" t="s">
        <v>21</v>
      </c>
      <c r="F54" s="171" t="s">
        <v>166</v>
      </c>
      <c r="G54" s="171">
        <f>COUNTIF(L10:L46, "B (Plain)")</f>
        <v>0</v>
      </c>
      <c r="H54" s="5"/>
      <c r="I54" s="5"/>
      <c r="J54" s="5"/>
      <c r="K54" s="5"/>
      <c r="L54" s="5"/>
      <c r="M54" s="5"/>
      <c r="N54" s="5"/>
      <c r="O54" s="5"/>
      <c r="P54" s="176"/>
      <c r="Q54" s="176"/>
      <c r="R54" s="176"/>
      <c r="S54" s="176"/>
      <c r="T54" s="176"/>
      <c r="U54" s="176"/>
      <c r="V54" s="5"/>
      <c r="W54" s="5"/>
      <c r="X54" s="5"/>
      <c r="Y54" s="5"/>
      <c r="Z54" s="5"/>
    </row>
    <row r="55" ht="15.75" customHeight="1">
      <c r="A55" s="5"/>
      <c r="B55" s="72" t="s">
        <v>53</v>
      </c>
      <c r="C55" s="175">
        <v>0.0</v>
      </c>
      <c r="D55" s="32"/>
      <c r="E55" s="169" t="s">
        <v>19</v>
      </c>
      <c r="F55" s="171" t="s">
        <v>167</v>
      </c>
      <c r="G55" s="171">
        <f>COUNTIF($L$10:$L$46, "B- (Minus)")</f>
        <v>2</v>
      </c>
      <c r="H55" s="5"/>
      <c r="I55" s="5"/>
      <c r="J55" s="5"/>
      <c r="K55" s="5"/>
      <c r="L55" s="5"/>
      <c r="M55" s="5"/>
      <c r="N55" s="5"/>
      <c r="O55" s="5"/>
      <c r="P55" s="176"/>
      <c r="Q55" s="176"/>
      <c r="R55" s="176"/>
      <c r="S55" s="176"/>
      <c r="T55" s="176"/>
      <c r="U55" s="176"/>
      <c r="V55" s="5"/>
      <c r="W55" s="5"/>
      <c r="X55" s="5"/>
      <c r="Y55" s="5"/>
      <c r="Z55" s="5"/>
    </row>
    <row r="56" ht="15.75" customHeight="1">
      <c r="A56" s="5"/>
      <c r="B56" s="72" t="s">
        <v>44</v>
      </c>
      <c r="C56" s="175">
        <v>40.0</v>
      </c>
      <c r="D56" s="32"/>
      <c r="E56" s="169" t="s">
        <v>12</v>
      </c>
      <c r="F56" s="171" t="s">
        <v>168</v>
      </c>
      <c r="G56" s="171">
        <f>COUNTIF(L10:L46, "C+ (Plus)")</f>
        <v>3</v>
      </c>
      <c r="H56" s="5"/>
      <c r="I56" s="5"/>
      <c r="J56" s="5"/>
      <c r="K56" s="5"/>
      <c r="L56" s="5"/>
      <c r="M56" s="5"/>
      <c r="N56" s="5"/>
      <c r="O56" s="5"/>
      <c r="P56" s="176"/>
      <c r="Q56" s="176"/>
      <c r="R56" s="176"/>
      <c r="S56" s="176"/>
      <c r="T56" s="176"/>
      <c r="U56" s="176"/>
      <c r="V56" s="5"/>
      <c r="W56" s="5"/>
      <c r="X56" s="5"/>
      <c r="Y56" s="5"/>
      <c r="Z56" s="5"/>
    </row>
    <row r="57" ht="15.75" customHeight="1">
      <c r="A57" s="5"/>
      <c r="B57" s="72" t="s">
        <v>68</v>
      </c>
      <c r="C57" s="72">
        <f>SUM(C50:C56)</f>
        <v>100</v>
      </c>
      <c r="D57" s="177"/>
      <c r="E57" s="169" t="s">
        <v>8</v>
      </c>
      <c r="F57" s="171" t="s">
        <v>169</v>
      </c>
      <c r="G57" s="171">
        <f>COUNTIF(L10:L46, "C (Plain)")</f>
        <v>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32"/>
      <c r="C58" s="34"/>
      <c r="D58" s="5"/>
      <c r="E58" s="169" t="s">
        <v>6</v>
      </c>
      <c r="F58" s="171" t="s">
        <v>170</v>
      </c>
      <c r="G58" s="171">
        <f>COUNTIF(L10:L46, "D (Plain)")</f>
        <v>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32"/>
      <c r="C59" s="34"/>
      <c r="D59" s="5"/>
      <c r="E59" s="169" t="s">
        <v>3</v>
      </c>
      <c r="F59" s="171" t="s">
        <v>171</v>
      </c>
      <c r="G59" s="171">
        <f>COUNTIF(L10:L46, "F (Fail)")</f>
        <v>12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32"/>
      <c r="C60" s="34"/>
      <c r="D60" s="5"/>
      <c r="E60" s="178" t="s">
        <v>172</v>
      </c>
      <c r="F60" s="171" t="s">
        <v>173</v>
      </c>
      <c r="G60" s="171">
        <f>COUNTIF(L10:L46, "I (Incomplete)")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34" t="str">
        <f>GradeSheet!$G$5</f>
        <v>Rubaiya Hafiz</v>
      </c>
      <c r="D61" s="5"/>
      <c r="E61" s="178" t="s">
        <v>174</v>
      </c>
      <c r="F61" s="171" t="s">
        <v>175</v>
      </c>
      <c r="G61" s="171">
        <f>COUNTIF(L10:L46, "W (Withdrawn)")</f>
        <v>13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179" t="s">
        <v>176</v>
      </c>
      <c r="C62" s="180"/>
      <c r="D62" s="5"/>
      <c r="E62" s="178" t="s">
        <v>177</v>
      </c>
      <c r="F62" s="178"/>
      <c r="G62" s="171">
        <f>SUM(G50:G61)</f>
        <v>37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179" t="s">
        <v>178</v>
      </c>
      <c r="C63" s="180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32"/>
      <c r="C64" s="3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32"/>
      <c r="C65" s="3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32"/>
      <c r="C66" s="3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32"/>
      <c r="C67" s="3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32"/>
      <c r="C68" s="3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32"/>
      <c r="C69" s="3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32"/>
      <c r="C70" s="3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32"/>
      <c r="C71" s="3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32"/>
      <c r="C72" s="3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32"/>
      <c r="C73" s="3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32"/>
      <c r="C74" s="3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32"/>
      <c r="C75" s="3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32"/>
      <c r="C76" s="3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32"/>
      <c r="C77" s="3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32"/>
      <c r="C78" s="3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5"/>
      <c r="B79" s="32"/>
      <c r="C79" s="3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32"/>
      <c r="C80" s="3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32"/>
      <c r="C81" s="3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32"/>
      <c r="C82" s="3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32"/>
      <c r="C83" s="3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32"/>
      <c r="C84" s="3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32"/>
      <c r="C85" s="3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32"/>
      <c r="C86" s="3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32"/>
      <c r="C87" s="3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5"/>
      <c r="B88" s="32"/>
      <c r="C88" s="3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32"/>
      <c r="C89" s="3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32"/>
      <c r="C90" s="3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32"/>
      <c r="C91" s="3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32"/>
      <c r="C92" s="3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32"/>
      <c r="C93" s="3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32"/>
      <c r="C94" s="3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32"/>
      <c r="C95" s="3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32"/>
      <c r="C96" s="3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32"/>
      <c r="C97" s="3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5"/>
      <c r="B98" s="32"/>
      <c r="C98" s="3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32"/>
      <c r="C99" s="3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32"/>
      <c r="C100" s="3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32"/>
      <c r="C101" s="3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32"/>
      <c r="C102" s="3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32"/>
      <c r="C103" s="3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32"/>
      <c r="C104" s="3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32"/>
      <c r="C105" s="3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32"/>
      <c r="C106" s="3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32"/>
      <c r="C107" s="3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32"/>
      <c r="C108" s="3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32"/>
      <c r="C109" s="3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32"/>
      <c r="C110" s="3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32"/>
      <c r="C111" s="3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32"/>
      <c r="C112" s="3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32"/>
      <c r="C113" s="3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32"/>
      <c r="C114" s="3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32"/>
      <c r="C115" s="3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32"/>
      <c r="C116" s="3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32"/>
      <c r="C117" s="3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32"/>
      <c r="C118" s="3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32"/>
      <c r="C119" s="3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32"/>
      <c r="C120" s="3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32"/>
      <c r="C121" s="3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32"/>
      <c r="C122" s="3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32"/>
      <c r="C123" s="3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32"/>
      <c r="C124" s="3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32"/>
      <c r="C125" s="3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32"/>
      <c r="C126" s="3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32"/>
      <c r="C127" s="3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32"/>
      <c r="C128" s="3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32"/>
      <c r="C129" s="3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32"/>
      <c r="C130" s="3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32"/>
      <c r="C131" s="3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32"/>
      <c r="C132" s="3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32"/>
      <c r="C133" s="3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32"/>
      <c r="C134" s="3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32"/>
      <c r="C135" s="3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32"/>
      <c r="C136" s="3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32"/>
      <c r="C137" s="3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32"/>
      <c r="C138" s="3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32"/>
      <c r="C139" s="3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32"/>
      <c r="C140" s="3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32"/>
      <c r="C141" s="3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32"/>
      <c r="C142" s="3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32"/>
      <c r="C143" s="3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32"/>
      <c r="C144" s="3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32"/>
      <c r="C145" s="3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32"/>
      <c r="C146" s="3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32"/>
      <c r="C147" s="3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32"/>
      <c r="C148" s="3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32"/>
      <c r="C149" s="3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32"/>
      <c r="C150" s="3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32"/>
      <c r="C151" s="3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32"/>
      <c r="C152" s="3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32"/>
      <c r="C153" s="3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32"/>
      <c r="C154" s="3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32"/>
      <c r="C155" s="3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32"/>
      <c r="C156" s="3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32"/>
      <c r="C157" s="3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32"/>
      <c r="C158" s="3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32"/>
      <c r="C159" s="3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32"/>
      <c r="C160" s="3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32"/>
      <c r="C161" s="3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32"/>
      <c r="C162" s="3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32"/>
      <c r="C163" s="3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32"/>
      <c r="C164" s="3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32"/>
      <c r="C165" s="3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32"/>
      <c r="C166" s="3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32"/>
      <c r="C167" s="3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32"/>
      <c r="C168" s="3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32"/>
      <c r="C169" s="3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32"/>
      <c r="C170" s="3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32"/>
      <c r="C171" s="3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32"/>
      <c r="C172" s="3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32"/>
      <c r="C173" s="3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32"/>
      <c r="C174" s="3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32"/>
      <c r="C175" s="3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32"/>
      <c r="C176" s="3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32"/>
      <c r="C177" s="3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32"/>
      <c r="C178" s="3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32"/>
      <c r="C179" s="3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32"/>
      <c r="C180" s="3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32"/>
      <c r="C181" s="3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32"/>
      <c r="C182" s="3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32"/>
      <c r="C183" s="3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32"/>
      <c r="C184" s="3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32"/>
      <c r="C185" s="3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32"/>
      <c r="C186" s="3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32"/>
      <c r="C187" s="3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32"/>
      <c r="C188" s="3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32"/>
      <c r="C189" s="3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32"/>
      <c r="C190" s="3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32"/>
      <c r="C191" s="3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32"/>
      <c r="C192" s="3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32"/>
      <c r="C193" s="3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32"/>
      <c r="C194" s="3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32"/>
      <c r="C195" s="3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32"/>
      <c r="C196" s="3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32"/>
      <c r="C197" s="3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32"/>
      <c r="C198" s="3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32"/>
      <c r="C199" s="3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32"/>
      <c r="C200" s="3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32"/>
      <c r="C201" s="3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32"/>
      <c r="C202" s="3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32"/>
      <c r="C203" s="3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32"/>
      <c r="C204" s="3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32"/>
      <c r="C205" s="3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32"/>
      <c r="C206" s="3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32"/>
      <c r="C207" s="3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32"/>
      <c r="C208" s="3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32"/>
      <c r="C209" s="3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32"/>
      <c r="C210" s="3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32"/>
      <c r="C211" s="3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32"/>
      <c r="C212" s="3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32"/>
      <c r="C213" s="3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32"/>
      <c r="C214" s="3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32"/>
      <c r="C215" s="3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32"/>
      <c r="C216" s="3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32"/>
      <c r="C217" s="3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32"/>
      <c r="C218" s="3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32"/>
      <c r="C219" s="3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32"/>
      <c r="C220" s="3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32"/>
      <c r="C221" s="3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32"/>
      <c r="C222" s="3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32"/>
      <c r="C223" s="3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32"/>
      <c r="C224" s="3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32"/>
      <c r="C225" s="3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32"/>
      <c r="C226" s="3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32"/>
      <c r="C227" s="3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32"/>
      <c r="C228" s="3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32"/>
      <c r="C229" s="3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32"/>
      <c r="C230" s="3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32"/>
      <c r="C231" s="3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32"/>
      <c r="C232" s="3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32"/>
      <c r="C233" s="3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32"/>
      <c r="C234" s="3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32"/>
      <c r="C235" s="3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32"/>
      <c r="C236" s="3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32"/>
      <c r="C237" s="3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32"/>
      <c r="C238" s="3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32"/>
      <c r="C239" s="3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32"/>
      <c r="C240" s="3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32"/>
      <c r="C241" s="3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32"/>
      <c r="C242" s="3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32"/>
      <c r="C243" s="3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32"/>
      <c r="C244" s="3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32"/>
      <c r="C245" s="3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32"/>
      <c r="C246" s="3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32"/>
      <c r="C247" s="3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32"/>
      <c r="C248" s="3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32"/>
      <c r="C249" s="3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32"/>
      <c r="C250" s="3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32"/>
      <c r="C251" s="3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32"/>
      <c r="C252" s="3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32"/>
      <c r="C253" s="3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32"/>
      <c r="C254" s="3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32"/>
      <c r="C255" s="3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32"/>
      <c r="C256" s="3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32"/>
      <c r="C257" s="3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32"/>
      <c r="C258" s="3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32"/>
      <c r="C259" s="3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32"/>
      <c r="C260" s="3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32"/>
      <c r="C261" s="3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32"/>
      <c r="C262" s="3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32"/>
      <c r="C263" s="34"/>
      <c r="D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B264" s="54"/>
      <c r="C264" s="55"/>
    </row>
    <row r="265" ht="15.75" customHeight="1">
      <c r="B265" s="54"/>
      <c r="C265" s="55"/>
    </row>
    <row r="266" ht="15.75" customHeight="1">
      <c r="B266" s="54"/>
      <c r="C266" s="55"/>
    </row>
    <row r="267" ht="15.75" customHeight="1">
      <c r="B267" s="54"/>
      <c r="C267" s="55"/>
    </row>
    <row r="268" ht="15.75" customHeight="1">
      <c r="B268" s="54"/>
      <c r="C268" s="55"/>
    </row>
    <row r="269" ht="15.75" customHeight="1">
      <c r="B269" s="54"/>
      <c r="C269" s="55"/>
    </row>
    <row r="270" ht="15.75" customHeight="1">
      <c r="B270" s="54"/>
      <c r="C270" s="55"/>
    </row>
    <row r="271" ht="15.75" customHeight="1">
      <c r="B271" s="54"/>
      <c r="C271" s="55"/>
    </row>
    <row r="272" ht="15.75" customHeight="1">
      <c r="B272" s="54"/>
      <c r="C272" s="55"/>
    </row>
    <row r="273" ht="15.75" customHeight="1">
      <c r="B273" s="54"/>
      <c r="C273" s="55"/>
    </row>
    <row r="274" ht="15.75" customHeight="1">
      <c r="B274" s="54"/>
      <c r="C274" s="55"/>
    </row>
    <row r="275" ht="15.75" customHeight="1">
      <c r="B275" s="54"/>
      <c r="C275" s="55"/>
    </row>
    <row r="276" ht="15.75" customHeight="1">
      <c r="B276" s="54"/>
      <c r="C276" s="55"/>
    </row>
    <row r="277" ht="15.75" customHeight="1">
      <c r="B277" s="54"/>
      <c r="C277" s="55"/>
    </row>
    <row r="278" ht="15.75" customHeight="1">
      <c r="B278" s="54"/>
      <c r="C278" s="55"/>
    </row>
    <row r="279" ht="15.75" customHeight="1">
      <c r="B279" s="54"/>
      <c r="C279" s="55"/>
    </row>
    <row r="280" ht="15.75" customHeight="1">
      <c r="B280" s="54"/>
      <c r="C280" s="55"/>
    </row>
    <row r="281" ht="15.75" customHeight="1">
      <c r="B281" s="54"/>
      <c r="C281" s="55"/>
    </row>
    <row r="282" ht="15.75" customHeight="1">
      <c r="B282" s="54"/>
      <c r="C282" s="55"/>
    </row>
    <row r="283" ht="15.75" customHeight="1">
      <c r="B283" s="54"/>
      <c r="C283" s="55"/>
    </row>
    <row r="284" ht="15.75" customHeight="1">
      <c r="B284" s="54"/>
      <c r="C284" s="55"/>
    </row>
    <row r="285" ht="15.75" customHeight="1">
      <c r="B285" s="54"/>
      <c r="C285" s="55"/>
    </row>
    <row r="286" ht="15.75" customHeight="1">
      <c r="B286" s="54"/>
      <c r="C286" s="55"/>
    </row>
    <row r="287" ht="15.75" customHeight="1">
      <c r="B287" s="54"/>
      <c r="C287" s="55"/>
    </row>
    <row r="288" ht="15.75" customHeight="1">
      <c r="B288" s="54"/>
      <c r="C288" s="55"/>
    </row>
    <row r="289" ht="15.75" customHeight="1">
      <c r="B289" s="54"/>
      <c r="C289" s="55"/>
    </row>
    <row r="290" ht="15.75" customHeight="1">
      <c r="B290" s="54"/>
      <c r="C290" s="55"/>
    </row>
    <row r="291" ht="15.75" customHeight="1">
      <c r="B291" s="54"/>
      <c r="C291" s="55"/>
    </row>
    <row r="292" ht="15.75" customHeight="1">
      <c r="B292" s="54"/>
      <c r="C292" s="55"/>
    </row>
    <row r="293" ht="15.75" customHeight="1">
      <c r="B293" s="54"/>
      <c r="C293" s="55"/>
    </row>
    <row r="294" ht="15.75" customHeight="1">
      <c r="B294" s="54"/>
      <c r="C294" s="55"/>
    </row>
    <row r="295" ht="15.75" customHeight="1">
      <c r="B295" s="54"/>
      <c r="C295" s="55"/>
    </row>
    <row r="296" ht="15.75" customHeight="1">
      <c r="B296" s="54"/>
      <c r="C296" s="55"/>
    </row>
    <row r="297" ht="15.75" customHeight="1">
      <c r="B297" s="54"/>
      <c r="C297" s="55"/>
    </row>
    <row r="298" ht="15.75" customHeight="1">
      <c r="B298" s="54"/>
      <c r="C298" s="55"/>
    </row>
    <row r="299" ht="15.75" customHeight="1">
      <c r="B299" s="54"/>
      <c r="C299" s="55"/>
    </row>
    <row r="300" ht="15.75" customHeight="1">
      <c r="B300" s="54"/>
      <c r="C300" s="55"/>
    </row>
    <row r="301" ht="15.75" customHeight="1">
      <c r="B301" s="54"/>
      <c r="C301" s="55"/>
    </row>
    <row r="302" ht="15.75" customHeight="1">
      <c r="B302" s="54"/>
      <c r="C302" s="55"/>
    </row>
    <row r="303" ht="15.75" customHeight="1">
      <c r="B303" s="54"/>
      <c r="C303" s="55"/>
    </row>
    <row r="304" ht="15.75" customHeight="1">
      <c r="B304" s="54"/>
      <c r="C304" s="55"/>
    </row>
    <row r="305" ht="15.75" customHeight="1">
      <c r="B305" s="54"/>
      <c r="C305" s="55"/>
    </row>
    <row r="306" ht="15.75" customHeight="1">
      <c r="B306" s="54"/>
      <c r="C306" s="55"/>
    </row>
    <row r="307" ht="15.75" customHeight="1">
      <c r="B307" s="54"/>
      <c r="C307" s="55"/>
    </row>
    <row r="308" ht="15.75" customHeight="1">
      <c r="B308" s="54"/>
      <c r="C308" s="55"/>
    </row>
    <row r="309" ht="15.75" customHeight="1">
      <c r="B309" s="54"/>
      <c r="C309" s="55"/>
    </row>
    <row r="310" ht="15.75" customHeight="1">
      <c r="B310" s="54"/>
      <c r="C310" s="55"/>
    </row>
    <row r="311" ht="15.75" customHeight="1">
      <c r="B311" s="54"/>
      <c r="C311" s="55"/>
    </row>
    <row r="312" ht="15.75" customHeight="1">
      <c r="B312" s="54"/>
      <c r="C312" s="55"/>
    </row>
    <row r="313" ht="15.75" customHeight="1">
      <c r="B313" s="54"/>
      <c r="C313" s="55"/>
    </row>
    <row r="314" ht="15.75" customHeight="1">
      <c r="B314" s="54"/>
      <c r="C314" s="55"/>
    </row>
    <row r="315" ht="15.75" customHeight="1">
      <c r="B315" s="54"/>
      <c r="C315" s="55"/>
    </row>
    <row r="316" ht="15.75" customHeight="1">
      <c r="B316" s="54"/>
      <c r="C316" s="55"/>
    </row>
    <row r="317" ht="15.75" customHeight="1">
      <c r="B317" s="54"/>
      <c r="C317" s="55"/>
    </row>
    <row r="318" ht="15.75" customHeight="1">
      <c r="B318" s="54"/>
      <c r="C318" s="55"/>
    </row>
    <row r="319" ht="15.75" customHeight="1">
      <c r="B319" s="54"/>
      <c r="C319" s="55"/>
    </row>
    <row r="320" ht="15.75" customHeight="1">
      <c r="B320" s="54"/>
      <c r="C320" s="55"/>
    </row>
    <row r="321" ht="15.75" customHeight="1">
      <c r="B321" s="54"/>
      <c r="C321" s="55"/>
    </row>
    <row r="322" ht="15.75" customHeight="1">
      <c r="B322" s="54"/>
      <c r="C322" s="55"/>
    </row>
    <row r="323" ht="15.75" customHeight="1">
      <c r="B323" s="54"/>
      <c r="C323" s="55"/>
    </row>
    <row r="324" ht="15.75" customHeight="1">
      <c r="B324" s="54"/>
      <c r="C324" s="55"/>
    </row>
    <row r="325" ht="15.75" customHeight="1">
      <c r="B325" s="54"/>
      <c r="C325" s="55"/>
    </row>
    <row r="326" ht="15.75" customHeight="1">
      <c r="B326" s="54"/>
      <c r="C326" s="55"/>
    </row>
    <row r="327" ht="15.75" customHeight="1">
      <c r="B327" s="54"/>
      <c r="C327" s="55"/>
    </row>
    <row r="328" ht="15.75" customHeight="1">
      <c r="B328" s="54"/>
      <c r="C328" s="55"/>
    </row>
    <row r="329" ht="15.75" customHeight="1">
      <c r="B329" s="54"/>
      <c r="C329" s="55"/>
    </row>
    <row r="330" ht="15.75" customHeight="1">
      <c r="B330" s="54"/>
      <c r="C330" s="55"/>
    </row>
    <row r="331" ht="15.75" customHeight="1">
      <c r="B331" s="54"/>
      <c r="C331" s="55"/>
    </row>
    <row r="332" ht="15.75" customHeight="1">
      <c r="B332" s="54"/>
      <c r="C332" s="55"/>
    </row>
    <row r="333" ht="15.75" customHeight="1">
      <c r="B333" s="54"/>
      <c r="C333" s="55"/>
    </row>
    <row r="334" ht="15.75" customHeight="1">
      <c r="B334" s="54"/>
      <c r="C334" s="55"/>
    </row>
    <row r="335" ht="15.75" customHeight="1">
      <c r="B335" s="54"/>
      <c r="C335" s="55"/>
    </row>
    <row r="336" ht="15.75" customHeight="1">
      <c r="B336" s="54"/>
      <c r="C336" s="55"/>
    </row>
    <row r="337" ht="15.75" customHeight="1">
      <c r="B337" s="54"/>
      <c r="C337" s="55"/>
    </row>
    <row r="338" ht="15.75" customHeight="1">
      <c r="B338" s="54"/>
      <c r="C338" s="55"/>
    </row>
    <row r="339" ht="15.75" customHeight="1">
      <c r="B339" s="54"/>
      <c r="C339" s="55"/>
    </row>
    <row r="340" ht="15.75" customHeight="1">
      <c r="B340" s="54"/>
      <c r="C340" s="55"/>
    </row>
    <row r="341" ht="15.75" customHeight="1">
      <c r="B341" s="54"/>
      <c r="C341" s="55"/>
    </row>
    <row r="342" ht="15.75" customHeight="1">
      <c r="B342" s="54"/>
      <c r="C342" s="55"/>
    </row>
    <row r="343" ht="15.75" customHeight="1">
      <c r="B343" s="54"/>
      <c r="C343" s="55"/>
    </row>
    <row r="344" ht="15.75" customHeight="1">
      <c r="B344" s="54"/>
      <c r="C344" s="55"/>
    </row>
    <row r="345" ht="15.75" customHeight="1">
      <c r="B345" s="54"/>
      <c r="C345" s="55"/>
    </row>
    <row r="346" ht="15.75" customHeight="1">
      <c r="B346" s="54"/>
      <c r="C346" s="55"/>
    </row>
    <row r="347" ht="15.75" customHeight="1">
      <c r="B347" s="54"/>
      <c r="C347" s="55"/>
    </row>
    <row r="348" ht="15.75" customHeight="1">
      <c r="B348" s="54"/>
      <c r="C348" s="55"/>
    </row>
    <row r="349" ht="15.75" customHeight="1">
      <c r="B349" s="54"/>
      <c r="C349" s="55"/>
    </row>
    <row r="350" ht="15.75" customHeight="1">
      <c r="B350" s="54"/>
      <c r="C350" s="55"/>
    </row>
    <row r="351" ht="15.75" customHeight="1">
      <c r="B351" s="54"/>
      <c r="C351" s="55"/>
    </row>
    <row r="352" ht="15.75" customHeight="1">
      <c r="B352" s="54"/>
      <c r="C352" s="55"/>
    </row>
    <row r="353" ht="15.75" customHeight="1">
      <c r="B353" s="54"/>
      <c r="C353" s="55"/>
    </row>
    <row r="354" ht="15.75" customHeight="1">
      <c r="B354" s="54"/>
      <c r="C354" s="55"/>
    </row>
    <row r="355" ht="15.75" customHeight="1">
      <c r="B355" s="54"/>
      <c r="C355" s="55"/>
    </row>
    <row r="356" ht="15.75" customHeight="1">
      <c r="B356" s="54"/>
      <c r="C356" s="55"/>
    </row>
    <row r="357" ht="15.75" customHeight="1">
      <c r="B357" s="54"/>
      <c r="C357" s="55"/>
    </row>
    <row r="358" ht="15.75" customHeight="1">
      <c r="B358" s="54"/>
      <c r="C358" s="55"/>
    </row>
    <row r="359" ht="15.75" customHeight="1">
      <c r="B359" s="54"/>
      <c r="C359" s="55"/>
    </row>
    <row r="360" ht="15.75" customHeight="1">
      <c r="B360" s="54"/>
      <c r="C360" s="55"/>
    </row>
    <row r="361" ht="15.75" customHeight="1">
      <c r="B361" s="54"/>
      <c r="C361" s="55"/>
    </row>
    <row r="362" ht="15.75" customHeight="1">
      <c r="B362" s="54"/>
      <c r="C362" s="55"/>
    </row>
    <row r="363" ht="15.75" customHeight="1">
      <c r="B363" s="54"/>
      <c r="C363" s="55"/>
    </row>
    <row r="364" ht="15.75" customHeight="1">
      <c r="B364" s="54"/>
      <c r="C364" s="55"/>
    </row>
    <row r="365" ht="15.75" customHeight="1">
      <c r="B365" s="54"/>
      <c r="C365" s="55"/>
    </row>
    <row r="366" ht="15.75" customHeight="1">
      <c r="B366" s="54"/>
      <c r="C366" s="55"/>
    </row>
    <row r="367" ht="15.75" customHeight="1">
      <c r="B367" s="54"/>
      <c r="C367" s="55"/>
    </row>
    <row r="368" ht="15.75" customHeight="1">
      <c r="B368" s="54"/>
      <c r="C368" s="55"/>
    </row>
    <row r="369" ht="15.75" customHeight="1">
      <c r="B369" s="54"/>
      <c r="C369" s="55"/>
    </row>
    <row r="370" ht="15.75" customHeight="1">
      <c r="B370" s="54"/>
      <c r="C370" s="55"/>
    </row>
    <row r="371" ht="15.75" customHeight="1">
      <c r="B371" s="54"/>
      <c r="C371" s="55"/>
    </row>
    <row r="372" ht="15.75" customHeight="1">
      <c r="B372" s="54"/>
      <c r="C372" s="55"/>
    </row>
    <row r="373" ht="15.75" customHeight="1">
      <c r="B373" s="54"/>
      <c r="C373" s="55"/>
    </row>
    <row r="374" ht="15.75" customHeight="1">
      <c r="B374" s="54"/>
      <c r="C374" s="55"/>
    </row>
    <row r="375" ht="15.75" customHeight="1">
      <c r="B375" s="54"/>
      <c r="C375" s="55"/>
    </row>
    <row r="376" ht="15.75" customHeight="1">
      <c r="B376" s="54"/>
      <c r="C376" s="55"/>
    </row>
    <row r="377" ht="15.75" customHeight="1">
      <c r="B377" s="54"/>
      <c r="C377" s="55"/>
    </row>
    <row r="378" ht="15.75" customHeight="1">
      <c r="B378" s="54"/>
      <c r="C378" s="55"/>
    </row>
    <row r="379" ht="15.75" customHeight="1">
      <c r="B379" s="54"/>
      <c r="C379" s="55"/>
    </row>
    <row r="380" ht="15.75" customHeight="1">
      <c r="B380" s="54"/>
      <c r="C380" s="55"/>
    </row>
    <row r="381" ht="15.75" customHeight="1">
      <c r="B381" s="54"/>
      <c r="C381" s="55"/>
    </row>
    <row r="382" ht="15.75" customHeight="1">
      <c r="B382" s="54"/>
      <c r="C382" s="55"/>
    </row>
    <row r="383" ht="15.75" customHeight="1">
      <c r="B383" s="54"/>
      <c r="C383" s="55"/>
    </row>
    <row r="384" ht="15.75" customHeight="1">
      <c r="B384" s="54"/>
      <c r="C384" s="55"/>
    </row>
    <row r="385" ht="15.75" customHeight="1">
      <c r="B385" s="54"/>
      <c r="C385" s="55"/>
    </row>
    <row r="386" ht="15.75" customHeight="1">
      <c r="B386" s="54"/>
      <c r="C386" s="55"/>
    </row>
    <row r="387" ht="15.75" customHeight="1">
      <c r="B387" s="54"/>
      <c r="C387" s="55"/>
    </row>
    <row r="388" ht="15.75" customHeight="1">
      <c r="B388" s="54"/>
      <c r="C388" s="55"/>
    </row>
    <row r="389" ht="15.75" customHeight="1">
      <c r="B389" s="54"/>
      <c r="C389" s="55"/>
    </row>
    <row r="390" ht="15.75" customHeight="1">
      <c r="B390" s="54"/>
      <c r="C390" s="55"/>
    </row>
    <row r="391" ht="15.75" customHeight="1">
      <c r="B391" s="54"/>
      <c r="C391" s="55"/>
    </row>
    <row r="392" ht="15.75" customHeight="1">
      <c r="B392" s="54"/>
      <c r="C392" s="55"/>
    </row>
    <row r="393" ht="15.75" customHeight="1">
      <c r="B393" s="54"/>
      <c r="C393" s="55"/>
    </row>
    <row r="394" ht="15.75" customHeight="1">
      <c r="B394" s="54"/>
      <c r="C394" s="55"/>
    </row>
    <row r="395" ht="15.75" customHeight="1">
      <c r="B395" s="54"/>
      <c r="C395" s="55"/>
    </row>
    <row r="396" ht="15.75" customHeight="1">
      <c r="B396" s="54"/>
      <c r="C396" s="55"/>
    </row>
    <row r="397" ht="15.75" customHeight="1">
      <c r="B397" s="54"/>
      <c r="C397" s="55"/>
    </row>
    <row r="398" ht="15.75" customHeight="1">
      <c r="B398" s="54"/>
      <c r="C398" s="55"/>
    </row>
    <row r="399" ht="15.75" customHeight="1">
      <c r="B399" s="54"/>
      <c r="C399" s="55"/>
    </row>
    <row r="400" ht="15.75" customHeight="1">
      <c r="B400" s="54"/>
      <c r="C400" s="55"/>
    </row>
    <row r="401" ht="15.75" customHeight="1">
      <c r="B401" s="54"/>
      <c r="C401" s="55"/>
    </row>
    <row r="402" ht="15.75" customHeight="1">
      <c r="B402" s="54"/>
      <c r="C402" s="55"/>
    </row>
    <row r="403" ht="15.75" customHeight="1">
      <c r="B403" s="54"/>
      <c r="C403" s="55"/>
    </row>
    <row r="404" ht="15.75" customHeight="1">
      <c r="B404" s="54"/>
      <c r="C404" s="55"/>
    </row>
    <row r="405" ht="15.75" customHeight="1">
      <c r="B405" s="54"/>
      <c r="C405" s="55"/>
    </row>
    <row r="406" ht="15.75" customHeight="1">
      <c r="B406" s="54"/>
      <c r="C406" s="55"/>
    </row>
    <row r="407" ht="15.75" customHeight="1">
      <c r="B407" s="54"/>
      <c r="C407" s="55"/>
    </row>
    <row r="408" ht="15.75" customHeight="1">
      <c r="B408" s="54"/>
      <c r="C408" s="55"/>
    </row>
    <row r="409" ht="15.75" customHeight="1">
      <c r="B409" s="54"/>
      <c r="C409" s="55"/>
    </row>
    <row r="410" ht="15.75" customHeight="1">
      <c r="B410" s="54"/>
      <c r="C410" s="55"/>
    </row>
    <row r="411" ht="15.75" customHeight="1">
      <c r="B411" s="54"/>
      <c r="C411" s="55"/>
    </row>
    <row r="412" ht="15.75" customHeight="1">
      <c r="B412" s="54"/>
      <c r="C412" s="55"/>
    </row>
    <row r="413" ht="15.75" customHeight="1">
      <c r="B413" s="54"/>
      <c r="C413" s="55"/>
    </row>
    <row r="414" ht="15.75" customHeight="1">
      <c r="B414" s="54"/>
      <c r="C414" s="55"/>
    </row>
    <row r="415" ht="15.75" customHeight="1">
      <c r="B415" s="54"/>
      <c r="C415" s="55"/>
    </row>
    <row r="416" ht="15.75" customHeight="1">
      <c r="B416" s="54"/>
      <c r="C416" s="55"/>
    </row>
    <row r="417" ht="15.75" customHeight="1">
      <c r="B417" s="54"/>
      <c r="C417" s="55"/>
    </row>
    <row r="418" ht="15.75" customHeight="1">
      <c r="B418" s="54"/>
      <c r="C418" s="55"/>
    </row>
    <row r="419" ht="15.75" customHeight="1">
      <c r="B419" s="54"/>
      <c r="C419" s="55"/>
    </row>
    <row r="420" ht="15.75" customHeight="1">
      <c r="B420" s="54"/>
      <c r="C420" s="55"/>
    </row>
    <row r="421" ht="15.75" customHeight="1">
      <c r="B421" s="54"/>
      <c r="C421" s="55"/>
    </row>
    <row r="422" ht="15.75" customHeight="1">
      <c r="B422" s="54"/>
      <c r="C422" s="55"/>
    </row>
    <row r="423" ht="15.75" customHeight="1">
      <c r="B423" s="54"/>
      <c r="C423" s="55"/>
    </row>
    <row r="424" ht="15.75" customHeight="1">
      <c r="B424" s="54"/>
      <c r="C424" s="55"/>
    </row>
    <row r="425" ht="15.75" customHeight="1">
      <c r="B425" s="54"/>
      <c r="C425" s="55"/>
    </row>
    <row r="426" ht="15.75" customHeight="1">
      <c r="B426" s="54"/>
      <c r="C426" s="55"/>
    </row>
    <row r="427" ht="15.75" customHeight="1">
      <c r="B427" s="54"/>
      <c r="C427" s="55"/>
    </row>
    <row r="428" ht="15.75" customHeight="1">
      <c r="B428" s="54"/>
      <c r="C428" s="55"/>
    </row>
    <row r="429" ht="15.75" customHeight="1">
      <c r="B429" s="54"/>
      <c r="C429" s="55"/>
    </row>
    <row r="430" ht="15.75" customHeight="1">
      <c r="B430" s="54"/>
      <c r="C430" s="55"/>
    </row>
    <row r="431" ht="15.75" customHeight="1">
      <c r="B431" s="54"/>
      <c r="C431" s="55"/>
    </row>
    <row r="432" ht="15.75" customHeight="1">
      <c r="B432" s="54"/>
      <c r="C432" s="55"/>
    </row>
    <row r="433" ht="15.75" customHeight="1">
      <c r="B433" s="54"/>
      <c r="C433" s="55"/>
    </row>
    <row r="434" ht="15.75" customHeight="1">
      <c r="B434" s="54"/>
      <c r="C434" s="55"/>
    </row>
    <row r="435" ht="15.75" customHeight="1">
      <c r="B435" s="54"/>
      <c r="C435" s="55"/>
    </row>
    <row r="436" ht="15.75" customHeight="1">
      <c r="B436" s="54"/>
      <c r="C436" s="55"/>
    </row>
    <row r="437" ht="15.75" customHeight="1">
      <c r="B437" s="54"/>
      <c r="C437" s="55"/>
    </row>
    <row r="438" ht="15.75" customHeight="1">
      <c r="B438" s="54"/>
      <c r="C438" s="55"/>
    </row>
    <row r="439" ht="15.75" customHeight="1">
      <c r="B439" s="54"/>
      <c r="C439" s="55"/>
    </row>
    <row r="440" ht="15.75" customHeight="1">
      <c r="B440" s="54"/>
      <c r="C440" s="55"/>
    </row>
    <row r="441" ht="15.75" customHeight="1">
      <c r="B441" s="54"/>
      <c r="C441" s="55"/>
    </row>
    <row r="442" ht="15.75" customHeight="1">
      <c r="B442" s="54"/>
      <c r="C442" s="55"/>
    </row>
    <row r="443" ht="15.75" customHeight="1">
      <c r="B443" s="54"/>
      <c r="C443" s="55"/>
    </row>
    <row r="444" ht="15.75" customHeight="1">
      <c r="B444" s="54"/>
      <c r="C444" s="55"/>
    </row>
    <row r="445" ht="15.75" customHeight="1">
      <c r="B445" s="54"/>
      <c r="C445" s="55"/>
    </row>
    <row r="446" ht="15.75" customHeight="1">
      <c r="B446" s="54"/>
      <c r="C446" s="55"/>
    </row>
    <row r="447" ht="15.75" customHeight="1">
      <c r="B447" s="54"/>
      <c r="C447" s="55"/>
    </row>
    <row r="448" ht="15.75" customHeight="1">
      <c r="B448" s="54"/>
      <c r="C448" s="55"/>
    </row>
    <row r="449" ht="15.75" customHeight="1">
      <c r="B449" s="54"/>
      <c r="C449" s="55"/>
    </row>
    <row r="450" ht="15.75" customHeight="1">
      <c r="B450" s="54"/>
      <c r="C450" s="55"/>
    </row>
    <row r="451" ht="15.75" customHeight="1">
      <c r="B451" s="54"/>
      <c r="C451" s="55"/>
    </row>
    <row r="452" ht="15.75" customHeight="1">
      <c r="B452" s="54"/>
      <c r="C452" s="55"/>
    </row>
    <row r="453" ht="15.75" customHeight="1">
      <c r="B453" s="54"/>
      <c r="C453" s="55"/>
    </row>
    <row r="454" ht="15.75" customHeight="1">
      <c r="B454" s="54"/>
      <c r="C454" s="55"/>
    </row>
    <row r="455" ht="15.75" customHeight="1">
      <c r="B455" s="54"/>
      <c r="C455" s="55"/>
    </row>
    <row r="456" ht="15.75" customHeight="1">
      <c r="B456" s="54"/>
      <c r="C456" s="55"/>
    </row>
    <row r="457" ht="15.75" customHeight="1">
      <c r="B457" s="54"/>
      <c r="C457" s="55"/>
    </row>
    <row r="458" ht="15.75" customHeight="1">
      <c r="B458" s="54"/>
      <c r="C458" s="55"/>
    </row>
    <row r="459" ht="15.75" customHeight="1">
      <c r="B459" s="54"/>
      <c r="C459" s="55"/>
    </row>
    <row r="460" ht="15.75" customHeight="1">
      <c r="B460" s="54"/>
      <c r="C460" s="55"/>
    </row>
    <row r="461" ht="15.75" customHeight="1">
      <c r="B461" s="54"/>
      <c r="C461" s="55"/>
    </row>
    <row r="462" ht="15.75" customHeight="1">
      <c r="B462" s="54"/>
      <c r="C462" s="55"/>
    </row>
    <row r="463" ht="15.75" customHeight="1">
      <c r="B463" s="54"/>
      <c r="C463" s="55"/>
    </row>
    <row r="464" ht="15.75" customHeight="1">
      <c r="B464" s="54"/>
      <c r="C464" s="55"/>
    </row>
    <row r="465" ht="15.75" customHeight="1">
      <c r="B465" s="54"/>
      <c r="C465" s="55"/>
    </row>
    <row r="466" ht="15.75" customHeight="1">
      <c r="B466" s="54"/>
      <c r="C466" s="55"/>
    </row>
    <row r="467" ht="15.75" customHeight="1">
      <c r="B467" s="54"/>
      <c r="C467" s="55"/>
    </row>
    <row r="468" ht="15.75" customHeight="1">
      <c r="B468" s="54"/>
      <c r="C468" s="55"/>
    </row>
    <row r="469" ht="15.75" customHeight="1">
      <c r="B469" s="54"/>
      <c r="C469" s="55"/>
    </row>
    <row r="470" ht="15.75" customHeight="1">
      <c r="B470" s="54"/>
      <c r="C470" s="55"/>
    </row>
    <row r="471" ht="15.75" customHeight="1">
      <c r="B471" s="54"/>
      <c r="C471" s="55"/>
    </row>
    <row r="472" ht="15.75" customHeight="1">
      <c r="B472" s="54"/>
      <c r="C472" s="55"/>
    </row>
    <row r="473" ht="15.75" customHeight="1">
      <c r="B473" s="54"/>
      <c r="C473" s="55"/>
    </row>
    <row r="474" ht="15.75" customHeight="1">
      <c r="B474" s="54"/>
      <c r="C474" s="55"/>
    </row>
    <row r="475" ht="15.75" customHeight="1">
      <c r="B475" s="54"/>
      <c r="C475" s="55"/>
    </row>
    <row r="476" ht="15.75" customHeight="1">
      <c r="B476" s="54"/>
      <c r="C476" s="55"/>
    </row>
    <row r="477" ht="15.75" customHeight="1">
      <c r="B477" s="54"/>
      <c r="C477" s="55"/>
    </row>
    <row r="478" ht="15.75" customHeight="1">
      <c r="B478" s="54"/>
      <c r="C478" s="55"/>
    </row>
    <row r="479" ht="15.75" customHeight="1">
      <c r="B479" s="54"/>
      <c r="C479" s="55"/>
    </row>
    <row r="480" ht="15.75" customHeight="1">
      <c r="B480" s="54"/>
      <c r="C480" s="55"/>
    </row>
    <row r="481" ht="15.75" customHeight="1">
      <c r="B481" s="54"/>
      <c r="C481" s="55"/>
    </row>
    <row r="482" ht="15.75" customHeight="1">
      <c r="B482" s="54"/>
      <c r="C482" s="55"/>
    </row>
    <row r="483" ht="15.75" customHeight="1">
      <c r="B483" s="54"/>
      <c r="C483" s="55"/>
    </row>
    <row r="484" ht="15.75" customHeight="1">
      <c r="B484" s="54"/>
      <c r="C484" s="55"/>
    </row>
    <row r="485" ht="15.75" customHeight="1">
      <c r="B485" s="54"/>
      <c r="C485" s="55"/>
    </row>
    <row r="486" ht="15.75" customHeight="1">
      <c r="B486" s="54"/>
      <c r="C486" s="55"/>
    </row>
    <row r="487" ht="15.75" customHeight="1">
      <c r="B487" s="54"/>
      <c r="C487" s="55"/>
    </row>
    <row r="488" ht="15.75" customHeight="1">
      <c r="B488" s="54"/>
      <c r="C488" s="55"/>
    </row>
    <row r="489" ht="15.75" customHeight="1">
      <c r="B489" s="54"/>
      <c r="C489" s="55"/>
    </row>
    <row r="490" ht="15.75" customHeight="1">
      <c r="B490" s="54"/>
      <c r="C490" s="55"/>
    </row>
    <row r="491" ht="15.75" customHeight="1">
      <c r="B491" s="54"/>
      <c r="C491" s="55"/>
    </row>
    <row r="492" ht="15.75" customHeight="1">
      <c r="B492" s="54"/>
      <c r="C492" s="55"/>
    </row>
    <row r="493" ht="15.75" customHeight="1">
      <c r="B493" s="54"/>
      <c r="C493" s="55"/>
    </row>
    <row r="494" ht="15.75" customHeight="1">
      <c r="B494" s="54"/>
      <c r="C494" s="55"/>
    </row>
    <row r="495" ht="15.75" customHeight="1">
      <c r="B495" s="54"/>
      <c r="C495" s="55"/>
    </row>
    <row r="496" ht="15.75" customHeight="1">
      <c r="B496" s="54"/>
      <c r="C496" s="55"/>
    </row>
    <row r="497" ht="15.75" customHeight="1">
      <c r="B497" s="54"/>
      <c r="C497" s="55"/>
    </row>
    <row r="498" ht="15.75" customHeight="1">
      <c r="B498" s="54"/>
      <c r="C498" s="55"/>
    </row>
    <row r="499" ht="15.75" customHeight="1">
      <c r="B499" s="54"/>
      <c r="C499" s="55"/>
    </row>
    <row r="500" ht="15.75" customHeight="1">
      <c r="B500" s="54"/>
      <c r="C500" s="55"/>
    </row>
    <row r="501" ht="15.75" customHeight="1">
      <c r="B501" s="54"/>
      <c r="C501" s="55"/>
    </row>
    <row r="502" ht="15.75" customHeight="1">
      <c r="B502" s="54"/>
      <c r="C502" s="55"/>
    </row>
    <row r="503" ht="15.75" customHeight="1">
      <c r="B503" s="54"/>
      <c r="C503" s="55"/>
    </row>
    <row r="504" ht="15.75" customHeight="1">
      <c r="B504" s="54"/>
      <c r="C504" s="55"/>
    </row>
    <row r="505" ht="15.75" customHeight="1">
      <c r="B505" s="54"/>
      <c r="C505" s="55"/>
    </row>
    <row r="506" ht="15.75" customHeight="1">
      <c r="B506" s="54"/>
      <c r="C506" s="55"/>
    </row>
    <row r="507" ht="15.75" customHeight="1">
      <c r="B507" s="54"/>
      <c r="C507" s="55"/>
    </row>
    <row r="508" ht="15.75" customHeight="1">
      <c r="B508" s="54"/>
      <c r="C508" s="55"/>
    </row>
    <row r="509" ht="15.75" customHeight="1">
      <c r="B509" s="54"/>
      <c r="C509" s="55"/>
    </row>
    <row r="510" ht="15.75" customHeight="1">
      <c r="B510" s="54"/>
      <c r="C510" s="55"/>
    </row>
    <row r="511" ht="15.75" customHeight="1">
      <c r="B511" s="54"/>
      <c r="C511" s="55"/>
    </row>
    <row r="512" ht="15.75" customHeight="1">
      <c r="B512" s="54"/>
      <c r="C512" s="55"/>
    </row>
    <row r="513" ht="15.75" customHeight="1">
      <c r="B513" s="54"/>
      <c r="C513" s="55"/>
    </row>
    <row r="514" ht="15.75" customHeight="1">
      <c r="B514" s="54"/>
      <c r="C514" s="55"/>
    </row>
    <row r="515" ht="15.75" customHeight="1">
      <c r="B515" s="54"/>
      <c r="C515" s="55"/>
    </row>
    <row r="516" ht="15.75" customHeight="1">
      <c r="B516" s="54"/>
      <c r="C516" s="55"/>
    </row>
    <row r="517" ht="15.75" customHeight="1">
      <c r="B517" s="54"/>
      <c r="C517" s="55"/>
    </row>
    <row r="518" ht="15.75" customHeight="1">
      <c r="B518" s="54"/>
      <c r="C518" s="55"/>
    </row>
    <row r="519" ht="15.75" customHeight="1">
      <c r="B519" s="54"/>
      <c r="C519" s="55"/>
    </row>
    <row r="520" ht="15.75" customHeight="1">
      <c r="B520" s="54"/>
      <c r="C520" s="55"/>
    </row>
    <row r="521" ht="15.75" customHeight="1">
      <c r="B521" s="54"/>
      <c r="C521" s="55"/>
    </row>
    <row r="522" ht="15.75" customHeight="1">
      <c r="B522" s="54"/>
      <c r="C522" s="55"/>
    </row>
    <row r="523" ht="15.75" customHeight="1">
      <c r="B523" s="54"/>
      <c r="C523" s="55"/>
    </row>
    <row r="524" ht="15.75" customHeight="1">
      <c r="B524" s="54"/>
      <c r="C524" s="55"/>
    </row>
    <row r="525" ht="15.75" customHeight="1">
      <c r="B525" s="54"/>
      <c r="C525" s="55"/>
    </row>
    <row r="526" ht="15.75" customHeight="1">
      <c r="B526" s="54"/>
      <c r="C526" s="55"/>
    </row>
    <row r="527" ht="15.75" customHeight="1">
      <c r="B527" s="54"/>
      <c r="C527" s="55"/>
    </row>
    <row r="528" ht="15.75" customHeight="1">
      <c r="B528" s="54"/>
      <c r="C528" s="55"/>
    </row>
    <row r="529" ht="15.75" customHeight="1">
      <c r="B529" s="54"/>
      <c r="C529" s="55"/>
    </row>
    <row r="530" ht="15.75" customHeight="1">
      <c r="B530" s="54"/>
      <c r="C530" s="55"/>
    </row>
    <row r="531" ht="15.75" customHeight="1">
      <c r="B531" s="54"/>
      <c r="C531" s="55"/>
    </row>
    <row r="532" ht="15.75" customHeight="1">
      <c r="B532" s="54"/>
      <c r="C532" s="55"/>
    </row>
    <row r="533" ht="15.75" customHeight="1">
      <c r="B533" s="54"/>
      <c r="C533" s="55"/>
    </row>
    <row r="534" ht="15.75" customHeight="1">
      <c r="B534" s="54"/>
      <c r="C534" s="55"/>
    </row>
    <row r="535" ht="15.75" customHeight="1">
      <c r="B535" s="54"/>
      <c r="C535" s="55"/>
    </row>
    <row r="536" ht="15.75" customHeight="1">
      <c r="B536" s="54"/>
      <c r="C536" s="55"/>
    </row>
    <row r="537" ht="15.75" customHeight="1">
      <c r="B537" s="54"/>
      <c r="C537" s="55"/>
    </row>
    <row r="538" ht="15.75" customHeight="1">
      <c r="B538" s="54"/>
      <c r="C538" s="55"/>
    </row>
    <row r="539" ht="15.75" customHeight="1">
      <c r="B539" s="54"/>
      <c r="C539" s="55"/>
    </row>
    <row r="540" ht="15.75" customHeight="1">
      <c r="B540" s="54"/>
      <c r="C540" s="55"/>
    </row>
    <row r="541" ht="15.75" customHeight="1">
      <c r="B541" s="54"/>
      <c r="C541" s="55"/>
    </row>
    <row r="542" ht="15.75" customHeight="1">
      <c r="B542" s="54"/>
      <c r="C542" s="55"/>
    </row>
    <row r="543" ht="15.75" customHeight="1">
      <c r="B543" s="54"/>
      <c r="C543" s="55"/>
    </row>
    <row r="544" ht="15.75" customHeight="1">
      <c r="B544" s="54"/>
      <c r="C544" s="55"/>
    </row>
    <row r="545" ht="15.75" customHeight="1">
      <c r="B545" s="54"/>
      <c r="C545" s="55"/>
    </row>
    <row r="546" ht="15.75" customHeight="1">
      <c r="B546" s="54"/>
      <c r="C546" s="55"/>
    </row>
    <row r="547" ht="15.75" customHeight="1">
      <c r="B547" s="54"/>
      <c r="C547" s="55"/>
    </row>
    <row r="548" ht="15.75" customHeight="1">
      <c r="B548" s="54"/>
      <c r="C548" s="55"/>
    </row>
    <row r="549" ht="15.75" customHeight="1">
      <c r="B549" s="54"/>
      <c r="C549" s="55"/>
    </row>
    <row r="550" ht="15.75" customHeight="1">
      <c r="B550" s="54"/>
      <c r="C550" s="55"/>
    </row>
    <row r="551" ht="15.75" customHeight="1">
      <c r="B551" s="54"/>
      <c r="C551" s="55"/>
    </row>
    <row r="552" ht="15.75" customHeight="1">
      <c r="B552" s="54"/>
      <c r="C552" s="55"/>
    </row>
    <row r="553" ht="15.75" customHeight="1">
      <c r="B553" s="54"/>
      <c r="C553" s="55"/>
    </row>
    <row r="554" ht="15.75" customHeight="1">
      <c r="B554" s="54"/>
      <c r="C554" s="55"/>
    </row>
    <row r="555" ht="15.75" customHeight="1">
      <c r="B555" s="54"/>
      <c r="C555" s="55"/>
    </row>
    <row r="556" ht="15.75" customHeight="1">
      <c r="B556" s="54"/>
      <c r="C556" s="55"/>
    </row>
    <row r="557" ht="15.75" customHeight="1">
      <c r="B557" s="54"/>
      <c r="C557" s="55"/>
    </row>
    <row r="558" ht="15.75" customHeight="1">
      <c r="B558" s="54"/>
      <c r="C558" s="55"/>
    </row>
    <row r="559" ht="15.75" customHeight="1">
      <c r="B559" s="54"/>
      <c r="C559" s="55"/>
    </row>
    <row r="560" ht="15.75" customHeight="1">
      <c r="B560" s="54"/>
      <c r="C560" s="55"/>
    </row>
    <row r="561" ht="15.75" customHeight="1">
      <c r="B561" s="54"/>
      <c r="C561" s="55"/>
    </row>
    <row r="562" ht="15.75" customHeight="1">
      <c r="B562" s="54"/>
      <c r="C562" s="55"/>
    </row>
    <row r="563" ht="15.75" customHeight="1">
      <c r="B563" s="54"/>
      <c r="C563" s="55"/>
    </row>
    <row r="564" ht="15.75" customHeight="1">
      <c r="B564" s="54"/>
      <c r="C564" s="55"/>
    </row>
    <row r="565" ht="15.75" customHeight="1">
      <c r="B565" s="54"/>
      <c r="C565" s="55"/>
    </row>
    <row r="566" ht="15.75" customHeight="1">
      <c r="B566" s="54"/>
      <c r="C566" s="55"/>
    </row>
    <row r="567" ht="15.75" customHeight="1">
      <c r="B567" s="54"/>
      <c r="C567" s="55"/>
    </row>
    <row r="568" ht="15.75" customHeight="1">
      <c r="B568" s="54"/>
      <c r="C568" s="55"/>
    </row>
    <row r="569" ht="15.75" customHeight="1">
      <c r="B569" s="54"/>
      <c r="C569" s="55"/>
    </row>
    <row r="570" ht="15.75" customHeight="1">
      <c r="B570" s="54"/>
      <c r="C570" s="55"/>
    </row>
    <row r="571" ht="15.75" customHeight="1">
      <c r="B571" s="54"/>
      <c r="C571" s="55"/>
    </row>
    <row r="572" ht="15.75" customHeight="1">
      <c r="B572" s="54"/>
      <c r="C572" s="55"/>
    </row>
    <row r="573" ht="15.75" customHeight="1">
      <c r="B573" s="54"/>
      <c r="C573" s="55"/>
    </row>
    <row r="574" ht="15.75" customHeight="1">
      <c r="B574" s="54"/>
      <c r="C574" s="55"/>
    </row>
    <row r="575" ht="15.75" customHeight="1">
      <c r="B575" s="54"/>
      <c r="C575" s="55"/>
    </row>
    <row r="576" ht="15.75" customHeight="1">
      <c r="B576" s="54"/>
      <c r="C576" s="55"/>
    </row>
    <row r="577" ht="15.75" customHeight="1">
      <c r="B577" s="54"/>
      <c r="C577" s="55"/>
    </row>
    <row r="578" ht="15.75" customHeight="1">
      <c r="B578" s="54"/>
      <c r="C578" s="55"/>
    </row>
    <row r="579" ht="15.75" customHeight="1">
      <c r="B579" s="54"/>
      <c r="C579" s="55"/>
    </row>
    <row r="580" ht="15.75" customHeight="1">
      <c r="B580" s="54"/>
      <c r="C580" s="55"/>
    </row>
    <row r="581" ht="15.75" customHeight="1">
      <c r="B581" s="54"/>
      <c r="C581" s="55"/>
    </row>
    <row r="582" ht="15.75" customHeight="1">
      <c r="B582" s="54"/>
      <c r="C582" s="55"/>
    </row>
    <row r="583" ht="15.75" customHeight="1">
      <c r="B583" s="54"/>
      <c r="C583" s="55"/>
    </row>
    <row r="584" ht="15.75" customHeight="1">
      <c r="B584" s="54"/>
      <c r="C584" s="55"/>
    </row>
    <row r="585" ht="15.75" customHeight="1">
      <c r="B585" s="54"/>
      <c r="C585" s="55"/>
    </row>
    <row r="586" ht="15.75" customHeight="1">
      <c r="B586" s="54"/>
      <c r="C586" s="55"/>
    </row>
    <row r="587" ht="15.75" customHeight="1">
      <c r="B587" s="54"/>
      <c r="C587" s="55"/>
    </row>
    <row r="588" ht="15.75" customHeight="1">
      <c r="B588" s="54"/>
      <c r="C588" s="55"/>
    </row>
    <row r="589" ht="15.75" customHeight="1">
      <c r="B589" s="54"/>
      <c r="C589" s="55"/>
    </row>
    <row r="590" ht="15.75" customHeight="1">
      <c r="B590" s="54"/>
      <c r="C590" s="55"/>
    </row>
    <row r="591" ht="15.75" customHeight="1">
      <c r="B591" s="54"/>
      <c r="C591" s="55"/>
    </row>
    <row r="592" ht="15.75" customHeight="1">
      <c r="B592" s="54"/>
      <c r="C592" s="55"/>
    </row>
    <row r="593" ht="15.75" customHeight="1">
      <c r="B593" s="54"/>
      <c r="C593" s="55"/>
    </row>
    <row r="594" ht="15.75" customHeight="1">
      <c r="B594" s="54"/>
      <c r="C594" s="55"/>
    </row>
    <row r="595" ht="15.75" customHeight="1">
      <c r="B595" s="54"/>
      <c r="C595" s="55"/>
    </row>
    <row r="596" ht="15.75" customHeight="1">
      <c r="B596" s="54"/>
      <c r="C596" s="55"/>
    </row>
    <row r="597" ht="15.75" customHeight="1">
      <c r="B597" s="54"/>
      <c r="C597" s="55"/>
    </row>
    <row r="598" ht="15.75" customHeight="1">
      <c r="B598" s="54"/>
      <c r="C598" s="55"/>
    </row>
    <row r="599" ht="15.75" customHeight="1">
      <c r="B599" s="54"/>
      <c r="C599" s="55"/>
    </row>
    <row r="600" ht="15.75" customHeight="1">
      <c r="B600" s="54"/>
      <c r="C600" s="55"/>
    </row>
    <row r="601" ht="15.75" customHeight="1">
      <c r="B601" s="54"/>
      <c r="C601" s="55"/>
    </row>
    <row r="602" ht="15.75" customHeight="1">
      <c r="B602" s="54"/>
      <c r="C602" s="55"/>
    </row>
    <row r="603" ht="15.75" customHeight="1">
      <c r="B603" s="54"/>
      <c r="C603" s="55"/>
    </row>
    <row r="604" ht="15.75" customHeight="1">
      <c r="B604" s="54"/>
      <c r="C604" s="55"/>
    </row>
    <row r="605" ht="15.75" customHeight="1">
      <c r="B605" s="54"/>
      <c r="C605" s="55"/>
    </row>
    <row r="606" ht="15.75" customHeight="1">
      <c r="B606" s="54"/>
      <c r="C606" s="55"/>
    </row>
    <row r="607" ht="15.75" customHeight="1">
      <c r="B607" s="54"/>
      <c r="C607" s="55"/>
    </row>
    <row r="608" ht="15.75" customHeight="1">
      <c r="B608" s="54"/>
      <c r="C608" s="55"/>
    </row>
    <row r="609" ht="15.75" customHeight="1">
      <c r="B609" s="54"/>
      <c r="C609" s="55"/>
    </row>
    <row r="610" ht="15.75" customHeight="1">
      <c r="B610" s="54"/>
      <c r="C610" s="55"/>
    </row>
    <row r="611" ht="15.75" customHeight="1">
      <c r="B611" s="54"/>
      <c r="C611" s="55"/>
    </row>
    <row r="612" ht="15.75" customHeight="1">
      <c r="B612" s="54"/>
      <c r="C612" s="55"/>
    </row>
    <row r="613" ht="15.75" customHeight="1">
      <c r="B613" s="54"/>
      <c r="C613" s="55"/>
    </row>
    <row r="614" ht="15.75" customHeight="1">
      <c r="B614" s="54"/>
      <c r="C614" s="55"/>
    </row>
    <row r="615" ht="15.75" customHeight="1">
      <c r="B615" s="54"/>
      <c r="C615" s="55"/>
    </row>
    <row r="616" ht="15.75" customHeight="1">
      <c r="B616" s="54"/>
      <c r="C616" s="55"/>
    </row>
    <row r="617" ht="15.75" customHeight="1">
      <c r="B617" s="54"/>
      <c r="C617" s="55"/>
    </row>
    <row r="618" ht="15.75" customHeight="1">
      <c r="B618" s="54"/>
      <c r="C618" s="55"/>
    </row>
    <row r="619" ht="15.75" customHeight="1">
      <c r="B619" s="54"/>
      <c r="C619" s="55"/>
    </row>
    <row r="620" ht="15.75" customHeight="1">
      <c r="B620" s="54"/>
      <c r="C620" s="55"/>
    </row>
    <row r="621" ht="15.75" customHeight="1">
      <c r="B621" s="54"/>
      <c r="C621" s="55"/>
    </row>
    <row r="622" ht="15.75" customHeight="1">
      <c r="B622" s="54"/>
      <c r="C622" s="55"/>
    </row>
    <row r="623" ht="15.75" customHeight="1">
      <c r="B623" s="54"/>
      <c r="C623" s="55"/>
    </row>
    <row r="624" ht="15.75" customHeight="1">
      <c r="B624" s="54"/>
      <c r="C624" s="55"/>
    </row>
    <row r="625" ht="15.75" customHeight="1">
      <c r="B625" s="54"/>
      <c r="C625" s="55"/>
    </row>
    <row r="626" ht="15.75" customHeight="1">
      <c r="B626" s="54"/>
      <c r="C626" s="55"/>
    </row>
    <row r="627" ht="15.75" customHeight="1">
      <c r="B627" s="54"/>
      <c r="C627" s="55"/>
    </row>
    <row r="628" ht="15.75" customHeight="1">
      <c r="B628" s="54"/>
      <c r="C628" s="55"/>
    </row>
    <row r="629" ht="15.75" customHeight="1">
      <c r="B629" s="54"/>
      <c r="C629" s="55"/>
    </row>
    <row r="630" ht="15.75" customHeight="1">
      <c r="B630" s="54"/>
      <c r="C630" s="55"/>
    </row>
    <row r="631" ht="15.75" customHeight="1">
      <c r="B631" s="54"/>
      <c r="C631" s="55"/>
    </row>
    <row r="632" ht="15.75" customHeight="1">
      <c r="B632" s="54"/>
      <c r="C632" s="55"/>
    </row>
    <row r="633" ht="15.75" customHeight="1">
      <c r="B633" s="54"/>
      <c r="C633" s="55"/>
    </row>
    <row r="634" ht="15.75" customHeight="1">
      <c r="B634" s="54"/>
      <c r="C634" s="55"/>
    </row>
    <row r="635" ht="15.75" customHeight="1">
      <c r="B635" s="54"/>
      <c r="C635" s="55"/>
    </row>
    <row r="636" ht="15.75" customHeight="1">
      <c r="B636" s="54"/>
      <c r="C636" s="55"/>
    </row>
    <row r="637" ht="15.75" customHeight="1">
      <c r="B637" s="54"/>
      <c r="C637" s="55"/>
    </row>
    <row r="638" ht="15.75" customHeight="1">
      <c r="B638" s="54"/>
      <c r="C638" s="55"/>
    </row>
    <row r="639" ht="15.75" customHeight="1">
      <c r="B639" s="54"/>
      <c r="C639" s="55"/>
    </row>
    <row r="640" ht="15.75" customHeight="1">
      <c r="B640" s="54"/>
      <c r="C640" s="55"/>
    </row>
    <row r="641" ht="15.75" customHeight="1">
      <c r="B641" s="54"/>
      <c r="C641" s="55"/>
    </row>
    <row r="642" ht="15.75" customHeight="1">
      <c r="B642" s="54"/>
      <c r="C642" s="55"/>
    </row>
    <row r="643" ht="15.75" customHeight="1">
      <c r="B643" s="54"/>
      <c r="C643" s="55"/>
    </row>
    <row r="644" ht="15.75" customHeight="1">
      <c r="B644" s="54"/>
      <c r="C644" s="55"/>
    </row>
    <row r="645" ht="15.75" customHeight="1">
      <c r="B645" s="54"/>
      <c r="C645" s="55"/>
    </row>
    <row r="646" ht="15.75" customHeight="1">
      <c r="B646" s="54"/>
      <c r="C646" s="55"/>
    </row>
    <row r="647" ht="15.75" customHeight="1">
      <c r="B647" s="54"/>
      <c r="C647" s="55"/>
    </row>
    <row r="648" ht="15.75" customHeight="1">
      <c r="B648" s="54"/>
      <c r="C648" s="55"/>
    </row>
    <row r="649" ht="15.75" customHeight="1">
      <c r="B649" s="54"/>
      <c r="C649" s="55"/>
    </row>
    <row r="650" ht="15.75" customHeight="1">
      <c r="B650" s="54"/>
      <c r="C650" s="55"/>
    </row>
    <row r="651" ht="15.75" customHeight="1">
      <c r="B651" s="54"/>
      <c r="C651" s="55"/>
    </row>
    <row r="652" ht="15.75" customHeight="1">
      <c r="B652" s="54"/>
      <c r="C652" s="55"/>
    </row>
    <row r="653" ht="15.75" customHeight="1">
      <c r="B653" s="54"/>
      <c r="C653" s="55"/>
    </row>
    <row r="654" ht="15.75" customHeight="1">
      <c r="B654" s="54"/>
      <c r="C654" s="55"/>
    </row>
    <row r="655" ht="15.75" customHeight="1">
      <c r="B655" s="54"/>
      <c r="C655" s="55"/>
    </row>
    <row r="656" ht="15.75" customHeight="1">
      <c r="B656" s="54"/>
      <c r="C656" s="55"/>
    </row>
    <row r="657" ht="15.75" customHeight="1">
      <c r="B657" s="54"/>
      <c r="C657" s="55"/>
    </row>
    <row r="658" ht="15.75" customHeight="1">
      <c r="B658" s="54"/>
      <c r="C658" s="55"/>
    </row>
    <row r="659" ht="15.75" customHeight="1">
      <c r="B659" s="54"/>
      <c r="C659" s="55"/>
    </row>
    <row r="660" ht="15.75" customHeight="1">
      <c r="B660" s="54"/>
      <c r="C660" s="55"/>
    </row>
    <row r="661" ht="15.75" customHeight="1">
      <c r="B661" s="54"/>
      <c r="C661" s="55"/>
    </row>
    <row r="662" ht="15.75" customHeight="1">
      <c r="B662" s="54"/>
      <c r="C662" s="55"/>
    </row>
    <row r="663" ht="15.75" customHeight="1">
      <c r="B663" s="54"/>
      <c r="C663" s="55"/>
    </row>
    <row r="664" ht="15.75" customHeight="1">
      <c r="B664" s="54"/>
      <c r="C664" s="55"/>
    </row>
    <row r="665" ht="15.75" customHeight="1">
      <c r="B665" s="54"/>
      <c r="C665" s="55"/>
    </row>
    <row r="666" ht="15.75" customHeight="1">
      <c r="B666" s="54"/>
      <c r="C666" s="55"/>
    </row>
    <row r="667" ht="15.75" customHeight="1">
      <c r="B667" s="54"/>
      <c r="C667" s="55"/>
    </row>
    <row r="668" ht="15.75" customHeight="1">
      <c r="B668" s="54"/>
      <c r="C668" s="55"/>
    </row>
    <row r="669" ht="15.75" customHeight="1">
      <c r="B669" s="54"/>
      <c r="C669" s="55"/>
    </row>
    <row r="670" ht="15.75" customHeight="1">
      <c r="B670" s="54"/>
      <c r="C670" s="55"/>
    </row>
    <row r="671" ht="15.75" customHeight="1">
      <c r="B671" s="54"/>
      <c r="C671" s="55"/>
    </row>
    <row r="672" ht="15.75" customHeight="1">
      <c r="B672" s="54"/>
      <c r="C672" s="55"/>
    </row>
    <row r="673" ht="15.75" customHeight="1">
      <c r="B673" s="54"/>
      <c r="C673" s="55"/>
    </row>
    <row r="674" ht="15.75" customHeight="1">
      <c r="B674" s="54"/>
      <c r="C674" s="55"/>
    </row>
    <row r="675" ht="15.75" customHeight="1">
      <c r="B675" s="54"/>
      <c r="C675" s="55"/>
    </row>
    <row r="676" ht="15.75" customHeight="1">
      <c r="B676" s="54"/>
      <c r="C676" s="55"/>
    </row>
    <row r="677" ht="15.75" customHeight="1">
      <c r="B677" s="54"/>
      <c r="C677" s="55"/>
    </row>
    <row r="678" ht="15.75" customHeight="1">
      <c r="B678" s="54"/>
      <c r="C678" s="55"/>
    </row>
    <row r="679" ht="15.75" customHeight="1">
      <c r="B679" s="54"/>
      <c r="C679" s="55"/>
    </row>
    <row r="680" ht="15.75" customHeight="1">
      <c r="B680" s="54"/>
      <c r="C680" s="55"/>
    </row>
    <row r="681" ht="15.75" customHeight="1">
      <c r="B681" s="54"/>
      <c r="C681" s="55"/>
    </row>
    <row r="682" ht="15.75" customHeight="1">
      <c r="B682" s="54"/>
      <c r="C682" s="55"/>
    </row>
    <row r="683" ht="15.75" customHeight="1">
      <c r="B683" s="54"/>
      <c r="C683" s="55"/>
    </row>
    <row r="684" ht="15.75" customHeight="1">
      <c r="B684" s="54"/>
      <c r="C684" s="55"/>
    </row>
    <row r="685" ht="15.75" customHeight="1">
      <c r="B685" s="54"/>
      <c r="C685" s="55"/>
    </row>
    <row r="686" ht="15.75" customHeight="1">
      <c r="B686" s="54"/>
      <c r="C686" s="55"/>
    </row>
    <row r="687" ht="15.75" customHeight="1">
      <c r="B687" s="54"/>
      <c r="C687" s="55"/>
    </row>
    <row r="688" ht="15.75" customHeight="1">
      <c r="B688" s="54"/>
      <c r="C688" s="55"/>
    </row>
    <row r="689" ht="15.75" customHeight="1">
      <c r="B689" s="54"/>
      <c r="C689" s="55"/>
    </row>
    <row r="690" ht="15.75" customHeight="1">
      <c r="B690" s="54"/>
      <c r="C690" s="55"/>
    </row>
    <row r="691" ht="15.75" customHeight="1">
      <c r="B691" s="54"/>
      <c r="C691" s="55"/>
    </row>
    <row r="692" ht="15.75" customHeight="1">
      <c r="B692" s="54"/>
      <c r="C692" s="55"/>
    </row>
    <row r="693" ht="15.75" customHeight="1">
      <c r="B693" s="54"/>
      <c r="C693" s="55"/>
    </row>
    <row r="694" ht="15.75" customHeight="1">
      <c r="B694" s="54"/>
      <c r="C694" s="55"/>
    </row>
    <row r="695" ht="15.75" customHeight="1">
      <c r="B695" s="54"/>
      <c r="C695" s="55"/>
    </row>
    <row r="696" ht="15.75" customHeight="1">
      <c r="B696" s="54"/>
      <c r="C696" s="55"/>
    </row>
    <row r="697" ht="15.75" customHeight="1">
      <c r="B697" s="54"/>
      <c r="C697" s="55"/>
    </row>
    <row r="698" ht="15.75" customHeight="1">
      <c r="B698" s="54"/>
      <c r="C698" s="55"/>
    </row>
    <row r="699" ht="15.75" customHeight="1">
      <c r="B699" s="54"/>
      <c r="C699" s="55"/>
    </row>
    <row r="700" ht="15.75" customHeight="1">
      <c r="B700" s="54"/>
      <c r="C700" s="55"/>
    </row>
    <row r="701" ht="15.75" customHeight="1">
      <c r="B701" s="54"/>
      <c r="C701" s="55"/>
    </row>
    <row r="702" ht="15.75" customHeight="1">
      <c r="B702" s="54"/>
      <c r="C702" s="55"/>
    </row>
    <row r="703" ht="15.75" customHeight="1">
      <c r="B703" s="54"/>
      <c r="C703" s="55"/>
    </row>
    <row r="704" ht="15.75" customHeight="1">
      <c r="B704" s="54"/>
      <c r="C704" s="55"/>
    </row>
    <row r="705" ht="15.75" customHeight="1">
      <c r="B705" s="54"/>
      <c r="C705" s="55"/>
    </row>
    <row r="706" ht="15.75" customHeight="1">
      <c r="B706" s="54"/>
      <c r="C706" s="55"/>
    </row>
    <row r="707" ht="15.75" customHeight="1">
      <c r="B707" s="54"/>
      <c r="C707" s="55"/>
    </row>
    <row r="708" ht="15.75" customHeight="1">
      <c r="B708" s="54"/>
      <c r="C708" s="55"/>
    </row>
    <row r="709" ht="15.75" customHeight="1">
      <c r="B709" s="54"/>
      <c r="C709" s="55"/>
    </row>
    <row r="710" ht="15.75" customHeight="1">
      <c r="B710" s="54"/>
      <c r="C710" s="55"/>
    </row>
    <row r="711" ht="15.75" customHeight="1">
      <c r="B711" s="54"/>
      <c r="C711" s="55"/>
    </row>
    <row r="712" ht="15.75" customHeight="1">
      <c r="B712" s="54"/>
      <c r="C712" s="55"/>
    </row>
    <row r="713" ht="15.75" customHeight="1">
      <c r="B713" s="54"/>
      <c r="C713" s="55"/>
    </row>
    <row r="714" ht="15.75" customHeight="1">
      <c r="B714" s="54"/>
      <c r="C714" s="55"/>
    </row>
    <row r="715" ht="15.75" customHeight="1">
      <c r="B715" s="54"/>
      <c r="C715" s="55"/>
    </row>
    <row r="716" ht="15.75" customHeight="1">
      <c r="B716" s="54"/>
      <c r="C716" s="55"/>
    </row>
    <row r="717" ht="15.75" customHeight="1">
      <c r="B717" s="54"/>
      <c r="C717" s="55"/>
    </row>
    <row r="718" ht="15.75" customHeight="1">
      <c r="B718" s="54"/>
      <c r="C718" s="55"/>
    </row>
    <row r="719" ht="15.75" customHeight="1">
      <c r="B719" s="54"/>
      <c r="C719" s="55"/>
    </row>
    <row r="720" ht="15.75" customHeight="1">
      <c r="B720" s="54"/>
      <c r="C720" s="55"/>
    </row>
    <row r="721" ht="15.75" customHeight="1">
      <c r="B721" s="54"/>
      <c r="C721" s="55"/>
    </row>
    <row r="722" ht="15.75" customHeight="1">
      <c r="B722" s="54"/>
      <c r="C722" s="55"/>
    </row>
    <row r="723" ht="15.75" customHeight="1">
      <c r="B723" s="54"/>
      <c r="C723" s="55"/>
    </row>
    <row r="724" ht="15.75" customHeight="1">
      <c r="B724" s="54"/>
      <c r="C724" s="55"/>
    </row>
    <row r="725" ht="15.75" customHeight="1">
      <c r="B725" s="54"/>
      <c r="C725" s="55"/>
    </row>
    <row r="726" ht="15.75" customHeight="1">
      <c r="B726" s="54"/>
      <c r="C726" s="55"/>
    </row>
    <row r="727" ht="15.75" customHeight="1">
      <c r="B727" s="54"/>
      <c r="C727" s="55"/>
    </row>
    <row r="728" ht="15.75" customHeight="1">
      <c r="B728" s="54"/>
      <c r="C728" s="55"/>
    </row>
    <row r="729" ht="15.75" customHeight="1">
      <c r="B729" s="54"/>
      <c r="C729" s="55"/>
    </row>
    <row r="730" ht="15.75" customHeight="1">
      <c r="B730" s="54"/>
      <c r="C730" s="55"/>
    </row>
    <row r="731" ht="15.75" customHeight="1">
      <c r="B731" s="54"/>
      <c r="C731" s="55"/>
    </row>
    <row r="732" ht="15.75" customHeight="1">
      <c r="B732" s="54"/>
      <c r="C732" s="55"/>
    </row>
    <row r="733" ht="15.75" customHeight="1">
      <c r="B733" s="54"/>
      <c r="C733" s="55"/>
    </row>
    <row r="734" ht="15.75" customHeight="1">
      <c r="B734" s="54"/>
      <c r="C734" s="55"/>
    </row>
    <row r="735" ht="15.75" customHeight="1">
      <c r="B735" s="54"/>
      <c r="C735" s="55"/>
    </row>
    <row r="736" ht="15.75" customHeight="1">
      <c r="B736" s="54"/>
      <c r="C736" s="55"/>
    </row>
    <row r="737" ht="15.75" customHeight="1">
      <c r="B737" s="54"/>
      <c r="C737" s="55"/>
    </row>
    <row r="738" ht="15.75" customHeight="1">
      <c r="B738" s="54"/>
      <c r="C738" s="55"/>
    </row>
    <row r="739" ht="15.75" customHeight="1">
      <c r="B739" s="54"/>
      <c r="C739" s="55"/>
    </row>
    <row r="740" ht="15.75" customHeight="1">
      <c r="B740" s="54"/>
      <c r="C740" s="55"/>
    </row>
    <row r="741" ht="15.75" customHeight="1">
      <c r="B741" s="54"/>
      <c r="C741" s="55"/>
    </row>
    <row r="742" ht="15.75" customHeight="1">
      <c r="B742" s="54"/>
      <c r="C742" s="55"/>
    </row>
    <row r="743" ht="15.75" customHeight="1">
      <c r="B743" s="54"/>
      <c r="C743" s="55"/>
    </row>
    <row r="744" ht="15.75" customHeight="1">
      <c r="B744" s="54"/>
      <c r="C744" s="55"/>
    </row>
    <row r="745" ht="15.75" customHeight="1">
      <c r="B745" s="54"/>
      <c r="C745" s="55"/>
    </row>
    <row r="746" ht="15.75" customHeight="1">
      <c r="B746" s="54"/>
      <c r="C746" s="55"/>
    </row>
    <row r="747" ht="15.75" customHeight="1">
      <c r="B747" s="54"/>
      <c r="C747" s="55"/>
    </row>
    <row r="748" ht="15.75" customHeight="1">
      <c r="B748" s="54"/>
      <c r="C748" s="55"/>
    </row>
    <row r="749" ht="15.75" customHeight="1">
      <c r="B749" s="54"/>
      <c r="C749" s="55"/>
    </row>
    <row r="750" ht="15.75" customHeight="1">
      <c r="B750" s="54"/>
      <c r="C750" s="55"/>
    </row>
    <row r="751" ht="15.75" customHeight="1">
      <c r="B751" s="54"/>
      <c r="C751" s="55"/>
    </row>
    <row r="752" ht="15.75" customHeight="1">
      <c r="B752" s="54"/>
      <c r="C752" s="55"/>
    </row>
    <row r="753" ht="15.75" customHeight="1">
      <c r="B753" s="54"/>
      <c r="C753" s="55"/>
    </row>
    <row r="754" ht="15.75" customHeight="1">
      <c r="B754" s="54"/>
      <c r="C754" s="55"/>
    </row>
    <row r="755" ht="15.75" customHeight="1">
      <c r="B755" s="54"/>
      <c r="C755" s="55"/>
    </row>
    <row r="756" ht="15.75" customHeight="1">
      <c r="B756" s="54"/>
      <c r="C756" s="55"/>
    </row>
    <row r="757" ht="15.75" customHeight="1">
      <c r="B757" s="54"/>
      <c r="C757" s="55"/>
    </row>
    <row r="758" ht="15.75" customHeight="1">
      <c r="B758" s="54"/>
      <c r="C758" s="55"/>
    </row>
    <row r="759" ht="15.75" customHeight="1">
      <c r="B759" s="54"/>
      <c r="C759" s="55"/>
    </row>
    <row r="760" ht="15.75" customHeight="1">
      <c r="B760" s="54"/>
      <c r="C760" s="55"/>
    </row>
    <row r="761" ht="15.75" customHeight="1">
      <c r="B761" s="54"/>
      <c r="C761" s="55"/>
    </row>
    <row r="762" ht="15.75" customHeight="1">
      <c r="B762" s="54"/>
      <c r="C762" s="55"/>
    </row>
    <row r="763" ht="15.75" customHeight="1">
      <c r="B763" s="54"/>
      <c r="C763" s="55"/>
    </row>
    <row r="764" ht="15.75" customHeight="1">
      <c r="B764" s="54"/>
      <c r="C764" s="55"/>
    </row>
    <row r="765" ht="15.75" customHeight="1">
      <c r="B765" s="54"/>
      <c r="C765" s="55"/>
    </row>
    <row r="766" ht="15.75" customHeight="1">
      <c r="B766" s="54"/>
      <c r="C766" s="55"/>
    </row>
    <row r="767" ht="15.75" customHeight="1">
      <c r="B767" s="54"/>
      <c r="C767" s="55"/>
    </row>
    <row r="768" ht="15.75" customHeight="1">
      <c r="B768" s="54"/>
      <c r="C768" s="55"/>
    </row>
    <row r="769" ht="15.75" customHeight="1">
      <c r="B769" s="54"/>
      <c r="C769" s="55"/>
    </row>
    <row r="770" ht="15.75" customHeight="1">
      <c r="B770" s="54"/>
      <c r="C770" s="55"/>
    </row>
    <row r="771" ht="15.75" customHeight="1">
      <c r="B771" s="54"/>
      <c r="C771" s="55"/>
    </row>
    <row r="772" ht="15.75" customHeight="1">
      <c r="B772" s="54"/>
      <c r="C772" s="55"/>
    </row>
    <row r="773" ht="15.75" customHeight="1">
      <c r="B773" s="54"/>
      <c r="C773" s="55"/>
    </row>
    <row r="774" ht="15.75" customHeight="1">
      <c r="B774" s="54"/>
      <c r="C774" s="55"/>
    </row>
    <row r="775" ht="15.75" customHeight="1">
      <c r="B775" s="54"/>
      <c r="C775" s="55"/>
    </row>
    <row r="776" ht="15.75" customHeight="1">
      <c r="B776" s="54"/>
      <c r="C776" s="55"/>
    </row>
    <row r="777" ht="15.75" customHeight="1">
      <c r="B777" s="54"/>
      <c r="C777" s="55"/>
    </row>
    <row r="778" ht="15.75" customHeight="1">
      <c r="B778" s="54"/>
      <c r="C778" s="55"/>
    </row>
    <row r="779" ht="15.75" customHeight="1">
      <c r="B779" s="54"/>
      <c r="C779" s="55"/>
    </row>
    <row r="780" ht="15.75" customHeight="1">
      <c r="B780" s="54"/>
      <c r="C780" s="55"/>
    </row>
    <row r="781" ht="15.75" customHeight="1">
      <c r="B781" s="54"/>
      <c r="C781" s="55"/>
    </row>
    <row r="782" ht="15.75" customHeight="1">
      <c r="B782" s="54"/>
      <c r="C782" s="55"/>
    </row>
    <row r="783" ht="15.75" customHeight="1">
      <c r="B783" s="54"/>
      <c r="C783" s="55"/>
    </row>
    <row r="784" ht="15.75" customHeight="1">
      <c r="B784" s="54"/>
      <c r="C784" s="55"/>
    </row>
    <row r="785" ht="15.75" customHeight="1">
      <c r="B785" s="54"/>
      <c r="C785" s="55"/>
    </row>
    <row r="786" ht="15.75" customHeight="1">
      <c r="B786" s="54"/>
      <c r="C786" s="55"/>
    </row>
    <row r="787" ht="15.75" customHeight="1">
      <c r="B787" s="54"/>
      <c r="C787" s="55"/>
    </row>
    <row r="788" ht="15.75" customHeight="1">
      <c r="B788" s="54"/>
      <c r="C788" s="55"/>
    </row>
    <row r="789" ht="15.75" customHeight="1">
      <c r="B789" s="54"/>
      <c r="C789" s="55"/>
    </row>
    <row r="790" ht="15.75" customHeight="1">
      <c r="B790" s="54"/>
      <c r="C790" s="55"/>
    </row>
    <row r="791" ht="15.75" customHeight="1">
      <c r="B791" s="54"/>
      <c r="C791" s="55"/>
    </row>
    <row r="792" ht="15.75" customHeight="1">
      <c r="B792" s="54"/>
      <c r="C792" s="55"/>
    </row>
    <row r="793" ht="15.75" customHeight="1">
      <c r="B793" s="54"/>
      <c r="C793" s="55"/>
    </row>
    <row r="794" ht="15.75" customHeight="1">
      <c r="B794" s="54"/>
      <c r="C794" s="55"/>
    </row>
    <row r="795" ht="15.75" customHeight="1">
      <c r="B795" s="54"/>
      <c r="C795" s="55"/>
    </row>
    <row r="796" ht="15.75" customHeight="1">
      <c r="B796" s="54"/>
      <c r="C796" s="55"/>
    </row>
    <row r="797" ht="15.75" customHeight="1">
      <c r="B797" s="54"/>
      <c r="C797" s="55"/>
    </row>
    <row r="798" ht="15.75" customHeight="1">
      <c r="B798" s="54"/>
      <c r="C798" s="55"/>
    </row>
    <row r="799" ht="15.75" customHeight="1">
      <c r="B799" s="54"/>
      <c r="C799" s="55"/>
    </row>
    <row r="800" ht="15.75" customHeight="1">
      <c r="B800" s="54"/>
      <c r="C800" s="55"/>
    </row>
    <row r="801" ht="15.75" customHeight="1">
      <c r="B801" s="54"/>
      <c r="C801" s="55"/>
    </row>
    <row r="802" ht="15.75" customHeight="1">
      <c r="B802" s="54"/>
      <c r="C802" s="55"/>
    </row>
    <row r="803" ht="15.75" customHeight="1">
      <c r="B803" s="54"/>
      <c r="C803" s="55"/>
    </row>
    <row r="804" ht="15.75" customHeight="1">
      <c r="B804" s="54"/>
      <c r="C804" s="55"/>
    </row>
    <row r="805" ht="15.75" customHeight="1">
      <c r="B805" s="54"/>
      <c r="C805" s="55"/>
    </row>
    <row r="806" ht="15.75" customHeight="1">
      <c r="B806" s="54"/>
      <c r="C806" s="55"/>
    </row>
    <row r="807" ht="15.75" customHeight="1">
      <c r="B807" s="54"/>
      <c r="C807" s="55"/>
    </row>
    <row r="808" ht="15.75" customHeight="1">
      <c r="B808" s="54"/>
      <c r="C808" s="55"/>
    </row>
    <row r="809" ht="15.75" customHeight="1">
      <c r="B809" s="54"/>
      <c r="C809" s="55"/>
    </row>
    <row r="810" ht="15.75" customHeight="1">
      <c r="B810" s="54"/>
      <c r="C810" s="55"/>
    </row>
    <row r="811" ht="15.75" customHeight="1">
      <c r="B811" s="54"/>
      <c r="C811" s="55"/>
    </row>
    <row r="812" ht="15.75" customHeight="1">
      <c r="B812" s="54"/>
      <c r="C812" s="55"/>
    </row>
    <row r="813" ht="15.75" customHeight="1">
      <c r="B813" s="54"/>
      <c r="C813" s="55"/>
    </row>
    <row r="814" ht="15.75" customHeight="1">
      <c r="B814" s="54"/>
      <c r="C814" s="55"/>
    </row>
    <row r="815" ht="15.75" customHeight="1">
      <c r="B815" s="54"/>
      <c r="C815" s="55"/>
    </row>
    <row r="816" ht="15.75" customHeight="1">
      <c r="B816" s="54"/>
      <c r="C816" s="55"/>
    </row>
    <row r="817" ht="15.75" customHeight="1">
      <c r="B817" s="54"/>
      <c r="C817" s="55"/>
    </row>
    <row r="818" ht="15.75" customHeight="1">
      <c r="B818" s="54"/>
      <c r="C818" s="55"/>
    </row>
    <row r="819" ht="15.75" customHeight="1">
      <c r="B819" s="54"/>
      <c r="C819" s="55"/>
    </row>
    <row r="820" ht="15.75" customHeight="1">
      <c r="B820" s="54"/>
      <c r="C820" s="55"/>
    </row>
    <row r="821" ht="15.75" customHeight="1">
      <c r="B821" s="54"/>
      <c r="C821" s="55"/>
    </row>
    <row r="822" ht="15.75" customHeight="1">
      <c r="B822" s="54"/>
      <c r="C822" s="55"/>
    </row>
    <row r="823" ht="15.75" customHeight="1">
      <c r="B823" s="54"/>
      <c r="C823" s="55"/>
    </row>
    <row r="824" ht="15.75" customHeight="1">
      <c r="B824" s="54"/>
      <c r="C824" s="55"/>
    </row>
    <row r="825" ht="15.75" customHeight="1">
      <c r="B825" s="54"/>
      <c r="C825" s="55"/>
    </row>
    <row r="826" ht="15.75" customHeight="1">
      <c r="B826" s="54"/>
      <c r="C826" s="55"/>
    </row>
    <row r="827" ht="15.75" customHeight="1">
      <c r="B827" s="54"/>
      <c r="C827" s="55"/>
    </row>
    <row r="828" ht="15.75" customHeight="1">
      <c r="B828" s="54"/>
      <c r="C828" s="55"/>
    </row>
    <row r="829" ht="15.75" customHeight="1">
      <c r="B829" s="54"/>
      <c r="C829" s="55"/>
    </row>
    <row r="830" ht="15.75" customHeight="1">
      <c r="B830" s="54"/>
      <c r="C830" s="55"/>
    </row>
    <row r="831" ht="15.75" customHeight="1">
      <c r="B831" s="54"/>
      <c r="C831" s="55"/>
    </row>
    <row r="832" ht="15.75" customHeight="1">
      <c r="B832" s="54"/>
      <c r="C832" s="55"/>
    </row>
    <row r="833" ht="15.75" customHeight="1">
      <c r="B833" s="54"/>
      <c r="C833" s="55"/>
    </row>
    <row r="834" ht="15.75" customHeight="1">
      <c r="B834" s="54"/>
      <c r="C834" s="55"/>
    </row>
    <row r="835" ht="15.75" customHeight="1">
      <c r="B835" s="54"/>
      <c r="C835" s="55"/>
    </row>
    <row r="836" ht="15.75" customHeight="1">
      <c r="B836" s="54"/>
      <c r="C836" s="55"/>
    </row>
    <row r="837" ht="15.75" customHeight="1">
      <c r="B837" s="54"/>
      <c r="C837" s="55"/>
    </row>
    <row r="838" ht="15.75" customHeight="1">
      <c r="B838" s="54"/>
      <c r="C838" s="55"/>
    </row>
    <row r="839" ht="15.75" customHeight="1">
      <c r="B839" s="54"/>
      <c r="C839" s="55"/>
    </row>
    <row r="840" ht="15.75" customHeight="1">
      <c r="B840" s="54"/>
      <c r="C840" s="55"/>
    </row>
    <row r="841" ht="15.75" customHeight="1">
      <c r="B841" s="54"/>
      <c r="C841" s="55"/>
    </row>
    <row r="842" ht="15.75" customHeight="1">
      <c r="B842" s="54"/>
      <c r="C842" s="55"/>
    </row>
    <row r="843" ht="15.75" customHeight="1">
      <c r="B843" s="54"/>
      <c r="C843" s="55"/>
    </row>
    <row r="844" ht="15.75" customHeight="1">
      <c r="B844" s="54"/>
      <c r="C844" s="55"/>
    </row>
    <row r="845" ht="15.75" customHeight="1">
      <c r="B845" s="54"/>
      <c r="C845" s="55"/>
    </row>
    <row r="846" ht="15.75" customHeight="1">
      <c r="B846" s="54"/>
      <c r="C846" s="55"/>
    </row>
    <row r="847" ht="15.75" customHeight="1">
      <c r="B847" s="54"/>
      <c r="C847" s="55"/>
    </row>
    <row r="848" ht="15.75" customHeight="1">
      <c r="B848" s="54"/>
      <c r="C848" s="55"/>
    </row>
    <row r="849" ht="15.75" customHeight="1">
      <c r="B849" s="54"/>
      <c r="C849" s="55"/>
    </row>
    <row r="850" ht="15.75" customHeight="1">
      <c r="B850" s="54"/>
      <c r="C850" s="55"/>
    </row>
    <row r="851" ht="15.75" customHeight="1">
      <c r="B851" s="54"/>
      <c r="C851" s="55"/>
    </row>
    <row r="852" ht="15.75" customHeight="1">
      <c r="B852" s="54"/>
      <c r="C852" s="55"/>
    </row>
    <row r="853" ht="15.75" customHeight="1">
      <c r="B853" s="54"/>
      <c r="C853" s="55"/>
    </row>
    <row r="854" ht="15.75" customHeight="1">
      <c r="B854" s="54"/>
      <c r="C854" s="55"/>
    </row>
    <row r="855" ht="15.75" customHeight="1">
      <c r="B855" s="54"/>
      <c r="C855" s="55"/>
    </row>
    <row r="856" ht="15.75" customHeight="1">
      <c r="B856" s="54"/>
      <c r="C856" s="55"/>
    </row>
    <row r="857" ht="15.75" customHeight="1">
      <c r="B857" s="54"/>
      <c r="C857" s="55"/>
    </row>
    <row r="858" ht="15.75" customHeight="1">
      <c r="B858" s="54"/>
      <c r="C858" s="55"/>
    </row>
    <row r="859" ht="15.75" customHeight="1">
      <c r="B859" s="54"/>
      <c r="C859" s="55"/>
    </row>
    <row r="860" ht="15.75" customHeight="1">
      <c r="B860" s="54"/>
      <c r="C860" s="55"/>
    </row>
    <row r="861" ht="15.75" customHeight="1">
      <c r="B861" s="54"/>
      <c r="C861" s="55"/>
    </row>
    <row r="862" ht="15.75" customHeight="1">
      <c r="B862" s="54"/>
      <c r="C862" s="55"/>
    </row>
    <row r="863" ht="15.75" customHeight="1">
      <c r="B863" s="54"/>
      <c r="C863" s="55"/>
    </row>
    <row r="864" ht="15.75" customHeight="1">
      <c r="B864" s="54"/>
      <c r="C864" s="55"/>
    </row>
    <row r="865" ht="15.75" customHeight="1">
      <c r="B865" s="54"/>
      <c r="C865" s="55"/>
    </row>
    <row r="866" ht="15.75" customHeight="1">
      <c r="B866" s="54"/>
      <c r="C866" s="55"/>
    </row>
    <row r="867" ht="15.75" customHeight="1">
      <c r="B867" s="54"/>
      <c r="C867" s="55"/>
    </row>
    <row r="868" ht="15.75" customHeight="1">
      <c r="B868" s="54"/>
      <c r="C868" s="55"/>
    </row>
    <row r="869" ht="15.75" customHeight="1">
      <c r="B869" s="54"/>
      <c r="C869" s="55"/>
    </row>
    <row r="870" ht="15.75" customHeight="1">
      <c r="B870" s="54"/>
      <c r="C870" s="55"/>
    </row>
    <row r="871" ht="15.75" customHeight="1">
      <c r="B871" s="54"/>
      <c r="C871" s="55"/>
    </row>
    <row r="872" ht="15.75" customHeight="1">
      <c r="B872" s="54"/>
      <c r="C872" s="55"/>
    </row>
    <row r="873" ht="15.75" customHeight="1">
      <c r="B873" s="54"/>
      <c r="C873" s="55"/>
    </row>
    <row r="874" ht="15.75" customHeight="1">
      <c r="B874" s="54"/>
      <c r="C874" s="55"/>
    </row>
    <row r="875" ht="15.75" customHeight="1">
      <c r="B875" s="54"/>
      <c r="C875" s="55"/>
    </row>
    <row r="876" ht="15.75" customHeight="1">
      <c r="B876" s="54"/>
      <c r="C876" s="55"/>
    </row>
    <row r="877" ht="15.75" customHeight="1">
      <c r="B877" s="54"/>
      <c r="C877" s="55"/>
    </row>
    <row r="878" ht="15.75" customHeight="1">
      <c r="B878" s="54"/>
      <c r="C878" s="55"/>
    </row>
    <row r="879" ht="15.75" customHeight="1">
      <c r="B879" s="54"/>
      <c r="C879" s="55"/>
    </row>
    <row r="880" ht="15.75" customHeight="1">
      <c r="B880" s="54"/>
      <c r="C880" s="55"/>
    </row>
    <row r="881" ht="15.75" customHeight="1">
      <c r="B881" s="54"/>
      <c r="C881" s="55"/>
    </row>
    <row r="882" ht="15.75" customHeight="1">
      <c r="B882" s="54"/>
      <c r="C882" s="55"/>
    </row>
    <row r="883" ht="15.75" customHeight="1">
      <c r="B883" s="54"/>
      <c r="C883" s="55"/>
    </row>
    <row r="884" ht="15.75" customHeight="1">
      <c r="B884" s="54"/>
      <c r="C884" s="55"/>
    </row>
    <row r="885" ht="15.75" customHeight="1">
      <c r="B885" s="54"/>
      <c r="C885" s="55"/>
    </row>
    <row r="886" ht="15.75" customHeight="1">
      <c r="B886" s="54"/>
      <c r="C886" s="55"/>
    </row>
    <row r="887" ht="15.75" customHeight="1">
      <c r="B887" s="54"/>
      <c r="C887" s="55"/>
    </row>
    <row r="888" ht="15.75" customHeight="1">
      <c r="B888" s="54"/>
      <c r="C888" s="55"/>
    </row>
    <row r="889" ht="15.75" customHeight="1">
      <c r="B889" s="54"/>
      <c r="C889" s="55"/>
    </row>
    <row r="890" ht="15.75" customHeight="1">
      <c r="B890" s="54"/>
      <c r="C890" s="55"/>
    </row>
    <row r="891" ht="15.75" customHeight="1">
      <c r="B891" s="54"/>
      <c r="C891" s="55"/>
    </row>
    <row r="892" ht="15.75" customHeight="1">
      <c r="B892" s="54"/>
      <c r="C892" s="55"/>
    </row>
    <row r="893" ht="15.75" customHeight="1">
      <c r="B893" s="54"/>
      <c r="C893" s="55"/>
    </row>
    <row r="894" ht="15.75" customHeight="1">
      <c r="B894" s="54"/>
      <c r="C894" s="55"/>
    </row>
    <row r="895" ht="15.75" customHeight="1">
      <c r="B895" s="54"/>
      <c r="C895" s="55"/>
    </row>
    <row r="896" ht="15.75" customHeight="1">
      <c r="B896" s="54"/>
      <c r="C896" s="55"/>
    </row>
    <row r="897" ht="15.75" customHeight="1">
      <c r="B897" s="54"/>
      <c r="C897" s="55"/>
    </row>
    <row r="898" ht="15.75" customHeight="1">
      <c r="B898" s="54"/>
      <c r="C898" s="55"/>
    </row>
    <row r="899" ht="15.75" customHeight="1">
      <c r="B899" s="54"/>
      <c r="C899" s="55"/>
    </row>
    <row r="900" ht="15.75" customHeight="1">
      <c r="B900" s="54"/>
      <c r="C900" s="55"/>
    </row>
    <row r="901" ht="15.75" customHeight="1">
      <c r="B901" s="54"/>
      <c r="C901" s="55"/>
    </row>
    <row r="902" ht="15.75" customHeight="1">
      <c r="B902" s="54"/>
      <c r="C902" s="55"/>
    </row>
    <row r="903" ht="15.75" customHeight="1">
      <c r="B903" s="54"/>
      <c r="C903" s="55"/>
    </row>
    <row r="904" ht="15.75" customHeight="1">
      <c r="B904" s="54"/>
      <c r="C904" s="55"/>
    </row>
    <row r="905" ht="15.75" customHeight="1">
      <c r="B905" s="54"/>
      <c r="C905" s="55"/>
    </row>
    <row r="906" ht="15.75" customHeight="1">
      <c r="B906" s="54"/>
      <c r="C906" s="55"/>
    </row>
    <row r="907" ht="15.75" customHeight="1">
      <c r="B907" s="54"/>
      <c r="C907" s="55"/>
    </row>
    <row r="908" ht="15.75" customHeight="1">
      <c r="B908" s="54"/>
      <c r="C908" s="55"/>
    </row>
    <row r="909" ht="15.75" customHeight="1">
      <c r="B909" s="54"/>
      <c r="C909" s="55"/>
    </row>
    <row r="910" ht="15.75" customHeight="1">
      <c r="B910" s="54"/>
      <c r="C910" s="55"/>
    </row>
    <row r="911" ht="15.75" customHeight="1">
      <c r="B911" s="54"/>
      <c r="C911" s="55"/>
    </row>
    <row r="912" ht="15.75" customHeight="1">
      <c r="B912" s="54"/>
      <c r="C912" s="55"/>
    </row>
    <row r="913" ht="15.75" customHeight="1">
      <c r="B913" s="54"/>
      <c r="C913" s="55"/>
    </row>
    <row r="914" ht="15.75" customHeight="1">
      <c r="B914" s="54"/>
      <c r="C914" s="55"/>
    </row>
    <row r="915" ht="15.75" customHeight="1">
      <c r="B915" s="54"/>
      <c r="C915" s="55"/>
    </row>
    <row r="916" ht="15.75" customHeight="1">
      <c r="B916" s="54"/>
      <c r="C916" s="55"/>
    </row>
    <row r="917" ht="15.75" customHeight="1">
      <c r="B917" s="54"/>
      <c r="C917" s="55"/>
    </row>
    <row r="918" ht="15.75" customHeight="1">
      <c r="B918" s="54"/>
      <c r="C918" s="55"/>
    </row>
    <row r="919" ht="15.75" customHeight="1">
      <c r="B919" s="54"/>
      <c r="C919" s="55"/>
    </row>
    <row r="920" ht="15.75" customHeight="1">
      <c r="B920" s="54"/>
      <c r="C920" s="55"/>
    </row>
    <row r="921" ht="15.75" customHeight="1">
      <c r="B921" s="54"/>
      <c r="C921" s="55"/>
    </row>
    <row r="922" ht="15.75" customHeight="1">
      <c r="B922" s="54"/>
      <c r="C922" s="55"/>
    </row>
    <row r="923" ht="15.75" customHeight="1">
      <c r="B923" s="54"/>
      <c r="C923" s="55"/>
    </row>
    <row r="924" ht="15.75" customHeight="1">
      <c r="B924" s="54"/>
      <c r="C924" s="55"/>
    </row>
    <row r="925" ht="15.75" customHeight="1">
      <c r="B925" s="54"/>
      <c r="C925" s="55"/>
    </row>
    <row r="926" ht="15.75" customHeight="1">
      <c r="B926" s="54"/>
      <c r="C926" s="55"/>
    </row>
    <row r="927" ht="15.75" customHeight="1">
      <c r="B927" s="54"/>
      <c r="C927" s="55"/>
    </row>
    <row r="928" ht="15.75" customHeight="1">
      <c r="B928" s="54"/>
      <c r="C928" s="55"/>
    </row>
    <row r="929" ht="15.75" customHeight="1">
      <c r="B929" s="54"/>
      <c r="C929" s="55"/>
    </row>
    <row r="930" ht="15.75" customHeight="1">
      <c r="B930" s="54"/>
      <c r="C930" s="55"/>
    </row>
    <row r="931" ht="15.75" customHeight="1">
      <c r="B931" s="54"/>
      <c r="C931" s="55"/>
    </row>
    <row r="932" ht="15.75" customHeight="1">
      <c r="B932" s="54"/>
      <c r="C932" s="55"/>
    </row>
    <row r="933" ht="15.75" customHeight="1">
      <c r="B933" s="54"/>
      <c r="C933" s="55"/>
    </row>
    <row r="934" ht="15.75" customHeight="1">
      <c r="B934" s="54"/>
      <c r="C934" s="55"/>
    </row>
    <row r="935" ht="15.75" customHeight="1">
      <c r="B935" s="54"/>
      <c r="C935" s="55"/>
    </row>
    <row r="936" ht="15.75" customHeight="1">
      <c r="B936" s="54"/>
      <c r="C936" s="55"/>
    </row>
    <row r="937" ht="15.75" customHeight="1">
      <c r="B937" s="54"/>
      <c r="C937" s="55"/>
    </row>
    <row r="938" ht="15.75" customHeight="1">
      <c r="B938" s="54"/>
      <c r="C938" s="55"/>
    </row>
    <row r="939" ht="15.75" customHeight="1">
      <c r="B939" s="54"/>
      <c r="C939" s="55"/>
    </row>
    <row r="940" ht="15.75" customHeight="1">
      <c r="B940" s="54"/>
      <c r="C940" s="55"/>
    </row>
    <row r="941" ht="15.75" customHeight="1">
      <c r="B941" s="54"/>
      <c r="C941" s="55"/>
    </row>
    <row r="942" ht="15.75" customHeight="1">
      <c r="B942" s="54"/>
      <c r="C942" s="55"/>
    </row>
    <row r="943" ht="15.75" customHeight="1">
      <c r="B943" s="54"/>
      <c r="C943" s="55"/>
    </row>
    <row r="944" ht="15.75" customHeight="1">
      <c r="B944" s="54"/>
      <c r="C944" s="55"/>
    </row>
    <row r="945" ht="15.75" customHeight="1">
      <c r="B945" s="54"/>
      <c r="C945" s="55"/>
    </row>
    <row r="946" ht="15.75" customHeight="1">
      <c r="B946" s="54"/>
      <c r="C946" s="55"/>
    </row>
    <row r="947" ht="15.75" customHeight="1">
      <c r="B947" s="54"/>
      <c r="C947" s="55"/>
    </row>
    <row r="948" ht="15.75" customHeight="1">
      <c r="B948" s="54"/>
      <c r="C948" s="55"/>
    </row>
    <row r="949" ht="15.75" customHeight="1">
      <c r="B949" s="54"/>
      <c r="C949" s="55"/>
    </row>
    <row r="950" ht="15.75" customHeight="1">
      <c r="B950" s="54"/>
      <c r="C950" s="55"/>
    </row>
    <row r="951" ht="15.75" customHeight="1">
      <c r="B951" s="54"/>
      <c r="C951" s="55"/>
    </row>
    <row r="952" ht="15.75" customHeight="1">
      <c r="B952" s="54"/>
      <c r="C952" s="55"/>
    </row>
    <row r="953" ht="15.75" customHeight="1">
      <c r="B953" s="54"/>
      <c r="C953" s="55"/>
    </row>
    <row r="954" ht="15.75" customHeight="1">
      <c r="B954" s="54"/>
      <c r="C954" s="55"/>
    </row>
    <row r="955" ht="15.75" customHeight="1">
      <c r="B955" s="54"/>
      <c r="C955" s="55"/>
    </row>
    <row r="956" ht="15.75" customHeight="1">
      <c r="B956" s="54"/>
      <c r="C956" s="55"/>
    </row>
    <row r="957" ht="15.75" customHeight="1">
      <c r="B957" s="54"/>
      <c r="C957" s="55"/>
    </row>
    <row r="958" ht="15.75" customHeight="1">
      <c r="B958" s="54"/>
      <c r="C958" s="55"/>
    </row>
    <row r="959" ht="15.75" customHeight="1">
      <c r="B959" s="54"/>
      <c r="C959" s="55"/>
    </row>
    <row r="960" ht="15.75" customHeight="1">
      <c r="B960" s="54"/>
      <c r="C960" s="55"/>
    </row>
    <row r="961" ht="15.75" customHeight="1">
      <c r="B961" s="54"/>
      <c r="C961" s="55"/>
    </row>
    <row r="962" ht="15.75" customHeight="1">
      <c r="B962" s="54"/>
      <c r="C962" s="55"/>
    </row>
    <row r="963" ht="15.75" customHeight="1">
      <c r="B963" s="54"/>
      <c r="C963" s="55"/>
    </row>
    <row r="964" ht="15.75" customHeight="1">
      <c r="B964" s="54"/>
      <c r="C964" s="55"/>
    </row>
    <row r="965" ht="15.75" customHeight="1">
      <c r="B965" s="54"/>
      <c r="C965" s="55"/>
    </row>
    <row r="966" ht="15.75" customHeight="1">
      <c r="B966" s="54"/>
      <c r="C966" s="55"/>
    </row>
    <row r="967" ht="15.75" customHeight="1">
      <c r="B967" s="54"/>
      <c r="C967" s="55"/>
    </row>
    <row r="968" ht="15.75" customHeight="1">
      <c r="B968" s="54"/>
      <c r="C968" s="55"/>
    </row>
    <row r="969" ht="15.75" customHeight="1">
      <c r="B969" s="54"/>
      <c r="C969" s="55"/>
    </row>
    <row r="970" ht="15.75" customHeight="1">
      <c r="B970" s="54"/>
      <c r="C970" s="55"/>
    </row>
    <row r="971" ht="15.75" customHeight="1">
      <c r="B971" s="54"/>
      <c r="C971" s="55"/>
    </row>
    <row r="972" ht="15.75" customHeight="1">
      <c r="B972" s="54"/>
      <c r="C972" s="55"/>
    </row>
    <row r="973" ht="15.75" customHeight="1">
      <c r="B973" s="54"/>
      <c r="C973" s="55"/>
    </row>
    <row r="974" ht="15.75" customHeight="1">
      <c r="B974" s="54"/>
      <c r="C974" s="55"/>
    </row>
    <row r="975" ht="15.75" customHeight="1">
      <c r="B975" s="54"/>
      <c r="C975" s="55"/>
    </row>
    <row r="976" ht="15.75" customHeight="1">
      <c r="B976" s="54"/>
      <c r="C976" s="55"/>
    </row>
    <row r="977" ht="15.75" customHeight="1">
      <c r="B977" s="54"/>
      <c r="C977" s="55"/>
    </row>
    <row r="978" ht="15.75" customHeight="1">
      <c r="B978" s="54"/>
      <c r="C978" s="55"/>
    </row>
    <row r="979" ht="15.75" customHeight="1">
      <c r="B979" s="54"/>
      <c r="C979" s="55"/>
    </row>
    <row r="980" ht="15.75" customHeight="1">
      <c r="B980" s="54"/>
      <c r="C980" s="55"/>
    </row>
    <row r="981" ht="15.75" customHeight="1">
      <c r="B981" s="54"/>
      <c r="C981" s="55"/>
    </row>
    <row r="982" ht="15.75" customHeight="1">
      <c r="B982" s="54"/>
      <c r="C982" s="55"/>
    </row>
    <row r="983" ht="15.75" customHeight="1">
      <c r="B983" s="54"/>
      <c r="C983" s="55"/>
    </row>
    <row r="984" ht="15.75" customHeight="1">
      <c r="B984" s="54"/>
      <c r="C984" s="55"/>
    </row>
    <row r="985" ht="15.75" customHeight="1">
      <c r="B985" s="54"/>
      <c r="C985" s="55"/>
    </row>
    <row r="986" ht="15.75" customHeight="1">
      <c r="B986" s="54"/>
      <c r="C986" s="55"/>
    </row>
    <row r="987" ht="15.75" customHeight="1">
      <c r="B987" s="54"/>
      <c r="C987" s="55"/>
    </row>
    <row r="988" ht="15.75" customHeight="1">
      <c r="B988" s="54"/>
      <c r="C988" s="55"/>
    </row>
    <row r="989" ht="15.75" customHeight="1">
      <c r="B989" s="54"/>
      <c r="C989" s="55"/>
    </row>
    <row r="990" ht="15.75" customHeight="1">
      <c r="B990" s="54"/>
      <c r="C990" s="55"/>
    </row>
    <row r="991" ht="15.75" customHeight="1">
      <c r="B991" s="54"/>
      <c r="C991" s="55"/>
    </row>
    <row r="992" ht="15.75" customHeight="1">
      <c r="B992" s="54"/>
      <c r="C992" s="55"/>
    </row>
    <row r="993" ht="15.75" customHeight="1">
      <c r="B993" s="54"/>
      <c r="C993" s="55"/>
    </row>
    <row r="994" ht="15.75" customHeight="1">
      <c r="B994" s="54"/>
      <c r="C994" s="55"/>
    </row>
    <row r="995" ht="15.75" customHeight="1">
      <c r="B995" s="54"/>
      <c r="C995" s="55"/>
    </row>
    <row r="996" ht="15.75" customHeight="1">
      <c r="B996" s="54"/>
      <c r="C996" s="55"/>
    </row>
    <row r="997" ht="15.75" customHeight="1">
      <c r="B997" s="54"/>
      <c r="C997" s="55"/>
    </row>
  </sheetData>
  <mergeCells count="10">
    <mergeCell ref="B61:C61"/>
    <mergeCell ref="B62:C62"/>
    <mergeCell ref="B63:C63"/>
    <mergeCell ref="G2:I2"/>
    <mergeCell ref="G3:I3"/>
    <mergeCell ref="G4:I4"/>
    <mergeCell ref="G5:I5"/>
    <mergeCell ref="A7:L7"/>
    <mergeCell ref="B50:B51"/>
    <mergeCell ref="C50:C51"/>
  </mergeCells>
  <printOptions/>
  <pageMargins bottom="0.16793893129770993" footer="0.0" header="0.0" left="0.6093896713615023" right="2.812977099236641" top="0.2729007633587786"/>
  <pageSetup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43"/>
    <col customWidth="1" min="3" max="3" width="16.71"/>
    <col customWidth="1" min="4" max="23" width="9.14"/>
  </cols>
  <sheetData>
    <row r="1" ht="15.75" customHeight="1">
      <c r="A1" s="1" t="s">
        <v>0</v>
      </c>
      <c r="B1" s="3" t="s">
        <v>1</v>
      </c>
      <c r="C1" s="1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15.75" customHeight="1">
      <c r="A2" s="7" t="s">
        <v>3</v>
      </c>
      <c r="B2" s="8">
        <v>0.0</v>
      </c>
      <c r="C2" s="8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ht="15.75" customHeight="1">
      <c r="A3" s="9" t="s">
        <v>6</v>
      </c>
      <c r="B3" s="10">
        <v>50.0</v>
      </c>
      <c r="C3" s="10" t="s">
        <v>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5.75" customHeight="1">
      <c r="A4" s="9" t="s">
        <v>8</v>
      </c>
      <c r="B4" s="10">
        <v>55.0</v>
      </c>
      <c r="C4" s="10" t="s">
        <v>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ht="15.75" customHeight="1">
      <c r="A5" s="9" t="s">
        <v>12</v>
      </c>
      <c r="B5" s="10">
        <v>60.0</v>
      </c>
      <c r="C5" s="10" t="s">
        <v>14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ht="15.75" customHeight="1">
      <c r="A6" s="9" t="s">
        <v>19</v>
      </c>
      <c r="B6" s="10">
        <v>65.0</v>
      </c>
      <c r="C6" s="10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ht="15.75" customHeight="1">
      <c r="A7" s="9" t="s">
        <v>21</v>
      </c>
      <c r="B7" s="10">
        <v>70.0</v>
      </c>
      <c r="C7" s="10" t="s">
        <v>22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ht="15.75" customHeight="1">
      <c r="A8" s="9" t="s">
        <v>24</v>
      </c>
      <c r="B8" s="10">
        <v>75.0</v>
      </c>
      <c r="C8" s="10" t="s">
        <v>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ht="15.75" customHeight="1">
      <c r="A9" s="9" t="s">
        <v>35</v>
      </c>
      <c r="B9" s="10">
        <v>80.0</v>
      </c>
      <c r="C9" s="10" t="s">
        <v>37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ht="15.75" customHeight="1">
      <c r="A10" s="20" t="s">
        <v>39</v>
      </c>
      <c r="B10" s="10">
        <v>85.0</v>
      </c>
      <c r="C10" s="10" t="s">
        <v>40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ht="15.75" customHeight="1">
      <c r="A11" s="25" t="s">
        <v>42</v>
      </c>
      <c r="B11" s="26">
        <v>95.0</v>
      </c>
      <c r="C11" s="29" t="s">
        <v>43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.71"/>
    <col customWidth="1" min="3" max="3" width="5.86"/>
    <col customWidth="1" min="4" max="4" width="6.14"/>
    <col customWidth="1" min="5" max="5" width="6.29"/>
    <col customWidth="1" min="6" max="6" width="7.14"/>
    <col customWidth="1" min="7" max="7" width="6.29"/>
    <col customWidth="1" min="8" max="8" width="11.14"/>
    <col customWidth="1" min="9" max="12" width="6.86"/>
    <col customWidth="1" min="13" max="13" width="6.0"/>
    <col customWidth="1" min="14" max="14" width="3.86"/>
    <col customWidth="1" min="15" max="15" width="3.0"/>
    <col customWidth="1" min="16" max="16" width="4.71"/>
    <col customWidth="1" min="17" max="17" width="9.29"/>
    <col customWidth="1" min="18" max="18" width="7.71"/>
    <col customWidth="1" min="19" max="22" width="4.29"/>
    <col customWidth="1" min="23" max="31" width="3.57"/>
    <col customWidth="1" min="32" max="32" width="1.0"/>
    <col customWidth="1" min="33" max="36" width="3.57"/>
    <col customWidth="1" min="37" max="37" width="6.71"/>
    <col customWidth="1" min="38" max="44" width="3.57"/>
  </cols>
  <sheetData>
    <row r="1" ht="16.5" customHeight="1">
      <c r="A1" s="63"/>
      <c r="B1" s="63"/>
      <c r="C1" s="63"/>
      <c r="D1" s="63"/>
      <c r="E1" s="63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</row>
    <row r="2" ht="16.5" customHeight="1">
      <c r="A2" s="64"/>
      <c r="B2" s="74" t="s">
        <v>45</v>
      </c>
      <c r="C2" s="41"/>
      <c r="D2" s="42"/>
      <c r="E2" s="184" t="str">
        <f>GradeSheet!$G$2</f>
        <v>CSE 2203</v>
      </c>
      <c r="F2" s="41"/>
      <c r="G2" s="41"/>
      <c r="H2" s="41"/>
      <c r="I2" s="41"/>
      <c r="J2" s="41"/>
      <c r="K2" s="41"/>
      <c r="L2" s="41"/>
      <c r="M2" s="41"/>
      <c r="N2" s="42"/>
      <c r="O2" s="74" t="str">
        <f>CONCATENATE("Section ", GradeSheet!$K$2,)</f>
        <v>Section 2</v>
      </c>
      <c r="P2" s="41"/>
      <c r="Q2" s="42"/>
      <c r="R2" s="185"/>
      <c r="S2" s="64"/>
      <c r="T2" s="186" t="s">
        <v>179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2"/>
      <c r="AO2" s="187"/>
      <c r="AP2" s="187"/>
      <c r="AQ2" s="187"/>
      <c r="AR2" s="64"/>
    </row>
    <row r="3" ht="16.5" customHeight="1">
      <c r="A3" s="64"/>
      <c r="B3" s="188" t="s">
        <v>48</v>
      </c>
      <c r="C3" s="41"/>
      <c r="D3" s="42"/>
      <c r="E3" s="189" t="str">
        <f>GradeSheet!$G$3</f>
        <v>Computer Organization and Architecture</v>
      </c>
      <c r="F3" s="41"/>
      <c r="G3" s="41"/>
      <c r="H3" s="41"/>
      <c r="I3" s="41"/>
      <c r="J3" s="41"/>
      <c r="K3" s="41"/>
      <c r="L3" s="41"/>
      <c r="M3" s="41"/>
      <c r="N3" s="42"/>
      <c r="O3" s="188" t="str">
        <f>CONCATENATE(GradeSheet!$G$62," students")</f>
        <v>37 students</v>
      </c>
      <c r="P3" s="41"/>
      <c r="Q3" s="42"/>
      <c r="R3" s="185"/>
      <c r="S3" s="64"/>
      <c r="T3" s="190" t="s">
        <v>180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2"/>
      <c r="AG3" s="190" t="s">
        <v>181</v>
      </c>
      <c r="AH3" s="41"/>
      <c r="AI3" s="41"/>
      <c r="AJ3" s="41"/>
      <c r="AK3" s="41"/>
      <c r="AL3" s="41"/>
      <c r="AM3" s="41"/>
      <c r="AN3" s="42"/>
      <c r="AO3" s="187"/>
      <c r="AP3" s="187"/>
      <c r="AQ3" s="187"/>
      <c r="AR3" s="64"/>
    </row>
    <row r="4" ht="16.5" customHeight="1">
      <c r="A4" s="64"/>
      <c r="B4" s="191" t="s">
        <v>52</v>
      </c>
      <c r="C4" s="41"/>
      <c r="D4" s="42"/>
      <c r="E4" s="192">
        <f>GradeSheet!$G$4</f>
        <v>3</v>
      </c>
      <c r="F4" s="41"/>
      <c r="G4" s="41"/>
      <c r="H4" s="41"/>
      <c r="I4" s="41"/>
      <c r="J4" s="41"/>
      <c r="K4" s="41"/>
      <c r="L4" s="41"/>
      <c r="M4" s="41"/>
      <c r="N4" s="42"/>
      <c r="O4" s="192" t="str">
        <f>GradeSheet!$K$3</f>
        <v>Spring 2026</v>
      </c>
      <c r="P4" s="41"/>
      <c r="Q4" s="42"/>
      <c r="R4" s="185"/>
      <c r="S4" s="64"/>
      <c r="T4" s="193">
        <v>1.0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2"/>
      <c r="AG4" s="194">
        <v>4.0</v>
      </c>
      <c r="AH4" s="41"/>
      <c r="AI4" s="41"/>
      <c r="AJ4" s="41"/>
      <c r="AK4" s="41"/>
      <c r="AL4" s="41"/>
      <c r="AM4" s="41"/>
      <c r="AN4" s="42"/>
      <c r="AO4" s="187"/>
      <c r="AP4" s="187"/>
      <c r="AQ4" s="187"/>
      <c r="AR4" s="64"/>
    </row>
    <row r="5" ht="16.5" customHeight="1">
      <c r="A5" s="64"/>
      <c r="B5" s="63"/>
      <c r="C5" s="63"/>
      <c r="D5" s="63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85"/>
      <c r="S5" s="64"/>
      <c r="T5" s="193">
        <v>2.0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2"/>
      <c r="AG5" s="194">
        <v>4.0</v>
      </c>
      <c r="AH5" s="41"/>
      <c r="AI5" s="41"/>
      <c r="AJ5" s="41"/>
      <c r="AK5" s="41"/>
      <c r="AL5" s="41"/>
      <c r="AM5" s="41"/>
      <c r="AN5" s="42"/>
      <c r="AO5" s="187"/>
      <c r="AP5" s="187"/>
      <c r="AQ5" s="187"/>
      <c r="AR5" s="64"/>
    </row>
    <row r="6" ht="16.5" customHeight="1">
      <c r="A6" s="196"/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4">
        <v>3.0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2"/>
      <c r="AG6" s="194">
        <v>5.0</v>
      </c>
      <c r="AH6" s="41"/>
      <c r="AI6" s="41"/>
      <c r="AJ6" s="41"/>
      <c r="AK6" s="41"/>
      <c r="AL6" s="41"/>
      <c r="AM6" s="41"/>
      <c r="AN6" s="42"/>
      <c r="AO6" s="197"/>
      <c r="AP6" s="197"/>
      <c r="AQ6" s="197"/>
      <c r="AR6" s="196"/>
    </row>
    <row r="7" ht="12.75" customHeight="1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4">
        <v>4.0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2"/>
      <c r="AG7" s="194">
        <v>5.0</v>
      </c>
      <c r="AH7" s="41"/>
      <c r="AI7" s="41"/>
      <c r="AJ7" s="41"/>
      <c r="AK7" s="41"/>
      <c r="AL7" s="41"/>
      <c r="AM7" s="41"/>
      <c r="AN7" s="42"/>
      <c r="AO7" s="198"/>
      <c r="AP7" s="198"/>
      <c r="AQ7" s="198"/>
      <c r="AR7" s="196"/>
    </row>
    <row r="8" ht="16.5" customHeight="1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4">
        <v>5.0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194">
        <v>6.0</v>
      </c>
      <c r="AH8" s="41"/>
      <c r="AI8" s="41"/>
      <c r="AJ8" s="41"/>
      <c r="AK8" s="41"/>
      <c r="AL8" s="41"/>
      <c r="AM8" s="41"/>
      <c r="AN8" s="42"/>
      <c r="AO8" s="198"/>
      <c r="AP8" s="198"/>
      <c r="AQ8" s="198"/>
      <c r="AR8" s="196"/>
    </row>
    <row r="9" ht="16.5" customHeight="1">
      <c r="A9" s="196"/>
      <c r="B9" s="196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4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2"/>
      <c r="AG9" s="194"/>
      <c r="AH9" s="41"/>
      <c r="AI9" s="41"/>
      <c r="AJ9" s="41"/>
      <c r="AK9" s="41"/>
      <c r="AL9" s="41"/>
      <c r="AM9" s="41"/>
      <c r="AN9" s="42"/>
      <c r="AO9" s="198"/>
      <c r="AP9" s="198"/>
      <c r="AQ9" s="198"/>
      <c r="AR9" s="196"/>
    </row>
    <row r="10" ht="16.5" customHeight="1">
      <c r="A10" s="196"/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4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/>
      <c r="AG10" s="194"/>
      <c r="AH10" s="41"/>
      <c r="AI10" s="41"/>
      <c r="AJ10" s="41"/>
      <c r="AK10" s="41"/>
      <c r="AL10" s="41"/>
      <c r="AM10" s="41"/>
      <c r="AN10" s="42"/>
      <c r="AO10" s="198"/>
      <c r="AP10" s="198"/>
      <c r="AQ10" s="198"/>
      <c r="AR10" s="196"/>
    </row>
    <row r="11" ht="16.5" customHeight="1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4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2"/>
      <c r="AG11" s="194"/>
      <c r="AH11" s="41"/>
      <c r="AI11" s="41"/>
      <c r="AJ11" s="41"/>
      <c r="AK11" s="41"/>
      <c r="AL11" s="41"/>
      <c r="AM11" s="41"/>
      <c r="AN11" s="42"/>
      <c r="AO11" s="198"/>
      <c r="AP11" s="198"/>
      <c r="AQ11" s="198"/>
      <c r="AR11" s="196"/>
    </row>
    <row r="12" ht="16.5" customHeight="1">
      <c r="A12" s="196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4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2"/>
      <c r="AG12" s="194"/>
      <c r="AH12" s="41"/>
      <c r="AI12" s="41"/>
      <c r="AJ12" s="41"/>
      <c r="AK12" s="41"/>
      <c r="AL12" s="41"/>
      <c r="AM12" s="41"/>
      <c r="AN12" s="42"/>
      <c r="AO12" s="198"/>
      <c r="AP12" s="198"/>
      <c r="AQ12" s="198"/>
      <c r="AR12" s="196"/>
    </row>
    <row r="13" ht="16.5" customHeight="1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8"/>
      <c r="AP13" s="198"/>
      <c r="AQ13" s="198"/>
      <c r="AR13" s="196"/>
    </row>
    <row r="14" ht="16.5" customHeight="1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9" t="s">
        <v>182</v>
      </c>
      <c r="AO14" s="198"/>
      <c r="AP14" s="198"/>
      <c r="AQ14" s="198"/>
      <c r="AR14" s="196"/>
    </row>
    <row r="15" ht="16.5" customHeight="1">
      <c r="A15" s="196"/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8"/>
      <c r="U15" s="198" t="s">
        <v>183</v>
      </c>
      <c r="V15" s="199" t="s">
        <v>184</v>
      </c>
      <c r="Y15" s="200" t="s">
        <v>185</v>
      </c>
      <c r="Z15" s="42"/>
      <c r="AA15" s="198"/>
      <c r="AB15" s="198" t="s">
        <v>186</v>
      </c>
      <c r="AC15" s="199" t="s">
        <v>187</v>
      </c>
      <c r="AF15" s="190"/>
      <c r="AG15" s="41"/>
      <c r="AH15" s="42"/>
      <c r="AI15" s="196"/>
      <c r="AJ15" s="198" t="s">
        <v>188</v>
      </c>
      <c r="AK15" s="199" t="s">
        <v>189</v>
      </c>
      <c r="AL15" s="190"/>
      <c r="AM15" s="42"/>
      <c r="AN15" s="197"/>
      <c r="AO15" s="198"/>
      <c r="AP15" s="198"/>
      <c r="AQ15" s="198"/>
      <c r="AR15" s="196"/>
    </row>
    <row r="16" ht="16.5" customHeight="1">
      <c r="A16" s="196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9" t="s">
        <v>191</v>
      </c>
      <c r="AO16" s="198"/>
      <c r="AP16" s="198"/>
      <c r="AQ16" s="198"/>
      <c r="AR16" s="196"/>
    </row>
    <row r="17" ht="16.5" customHeight="1">
      <c r="A17" s="196"/>
      <c r="B17" s="196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205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7"/>
      <c r="AR17" s="196"/>
    </row>
    <row r="18" ht="16.5" customHeight="1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211"/>
      <c r="AQ18" s="212"/>
      <c r="AR18" s="196"/>
    </row>
    <row r="19" ht="16.5" customHeight="1">
      <c r="A19" s="196"/>
      <c r="B19" s="196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213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6"/>
      <c r="AR19" s="196"/>
    </row>
    <row r="20" ht="16.5" customHeight="1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6"/>
    </row>
    <row r="21" ht="16.5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86" t="s">
        <v>193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2"/>
      <c r="AR21" s="196"/>
    </row>
    <row r="22" ht="16.5" customHeight="1">
      <c r="A22" s="196"/>
      <c r="B22" s="222" t="s">
        <v>195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/>
      <c r="P22" s="196"/>
      <c r="Q22" s="196"/>
      <c r="R22" s="196"/>
      <c r="S22" s="196"/>
      <c r="T22" s="190" t="s">
        <v>197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2"/>
      <c r="AG22" s="190" t="s">
        <v>181</v>
      </c>
      <c r="AH22" s="41"/>
      <c r="AI22" s="41"/>
      <c r="AJ22" s="41"/>
      <c r="AK22" s="42"/>
      <c r="AL22" s="190" t="s">
        <v>199</v>
      </c>
      <c r="AM22" s="41"/>
      <c r="AN22" s="41"/>
      <c r="AO22" s="41"/>
      <c r="AP22" s="41"/>
      <c r="AQ22" s="42"/>
      <c r="AR22" s="196"/>
    </row>
    <row r="23" ht="16.5" customHeight="1">
      <c r="A23" s="196"/>
      <c r="B23" s="229" t="s">
        <v>158</v>
      </c>
      <c r="C23" s="229" t="s">
        <v>160</v>
      </c>
      <c r="D23" s="229" t="s">
        <v>163</v>
      </c>
      <c r="E23" s="229" t="s">
        <v>165</v>
      </c>
      <c r="F23" s="229" t="s">
        <v>166</v>
      </c>
      <c r="G23" s="229" t="s">
        <v>167</v>
      </c>
      <c r="H23" s="229" t="s">
        <v>168</v>
      </c>
      <c r="I23" s="229" t="s">
        <v>169</v>
      </c>
      <c r="J23" s="229" t="s">
        <v>170</v>
      </c>
      <c r="K23" s="229" t="s">
        <v>171</v>
      </c>
      <c r="L23" s="229" t="s">
        <v>173</v>
      </c>
      <c r="M23" s="229" t="s">
        <v>175</v>
      </c>
      <c r="N23" s="232" t="s">
        <v>68</v>
      </c>
      <c r="O23" s="42"/>
      <c r="P23" s="196"/>
      <c r="Q23" s="196"/>
      <c r="R23" s="196"/>
      <c r="S23" s="196"/>
      <c r="T23" s="194" t="s">
        <v>200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2"/>
      <c r="AG23" s="194">
        <v>19.0</v>
      </c>
      <c r="AH23" s="41"/>
      <c r="AI23" s="41"/>
      <c r="AJ23" s="41"/>
      <c r="AK23" s="42"/>
      <c r="AL23" s="233">
        <f>AG23/P33</f>
        <v>1</v>
      </c>
      <c r="AM23" s="41"/>
      <c r="AN23" s="41"/>
      <c r="AO23" s="41"/>
      <c r="AP23" s="41"/>
      <c r="AQ23" s="42"/>
      <c r="AR23" s="185"/>
    </row>
    <row r="24" ht="16.5" customHeight="1">
      <c r="A24" s="196"/>
      <c r="B24" s="234">
        <f>GradeSheet!$G$50</f>
        <v>0</v>
      </c>
      <c r="C24" s="234">
        <f>GradeSheet!$G$51</f>
        <v>0</v>
      </c>
      <c r="D24" s="234">
        <f>GradeSheet!$G$52</f>
        <v>0</v>
      </c>
      <c r="E24" s="234">
        <f>GradeSheet!$G$53</f>
        <v>1</v>
      </c>
      <c r="F24" s="234">
        <f>GradeSheet!$G$54</f>
        <v>0</v>
      </c>
      <c r="G24" s="234">
        <f>GradeSheet!$G$55</f>
        <v>2</v>
      </c>
      <c r="H24" s="234">
        <f>GradeSheet!$G$56</f>
        <v>3</v>
      </c>
      <c r="I24" s="234">
        <f>GradeSheet!$G$57</f>
        <v>1</v>
      </c>
      <c r="J24" s="234">
        <f>GradeSheet!$G$58</f>
        <v>5</v>
      </c>
      <c r="K24" s="234">
        <f>GradeSheet!$G$59</f>
        <v>12</v>
      </c>
      <c r="L24" s="234">
        <f>GradeSheet!$G$60</f>
        <v>0</v>
      </c>
      <c r="M24" s="234">
        <f>GradeSheet!$G$61</f>
        <v>13</v>
      </c>
      <c r="N24" s="236">
        <f t="shared" ref="N24:N25" si="1">SUM(B24:M24)</f>
        <v>37</v>
      </c>
      <c r="O24" s="42"/>
      <c r="P24" s="196"/>
      <c r="Q24" s="196"/>
      <c r="R24" s="196"/>
      <c r="S24" s="196"/>
      <c r="T24" s="194" t="s">
        <v>201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2"/>
      <c r="AG24" s="194">
        <v>8.0</v>
      </c>
      <c r="AH24" s="41"/>
      <c r="AI24" s="41"/>
      <c r="AJ24" s="41"/>
      <c r="AK24" s="42"/>
      <c r="AL24" s="233">
        <f>AG24/P33</f>
        <v>0.4210526316</v>
      </c>
      <c r="AM24" s="41"/>
      <c r="AN24" s="41"/>
      <c r="AO24" s="41"/>
      <c r="AP24" s="41"/>
      <c r="AQ24" s="42"/>
      <c r="AR24" s="196"/>
    </row>
    <row r="25" ht="16.5" customHeight="1">
      <c r="A25" s="196"/>
      <c r="B25" s="240">
        <f>B24/GradeSheet!$G$62</f>
        <v>0</v>
      </c>
      <c r="C25" s="240">
        <f>C24/GradeSheet!$G$62</f>
        <v>0</v>
      </c>
      <c r="D25" s="240">
        <f>D24/GradeSheet!$G$62</f>
        <v>0</v>
      </c>
      <c r="E25" s="240">
        <f>E24/GradeSheet!$G$62</f>
        <v>0.02702702703</v>
      </c>
      <c r="F25" s="240">
        <f>F24/GradeSheet!$G$62</f>
        <v>0</v>
      </c>
      <c r="G25" s="240">
        <f>G24/GradeSheet!$G$62</f>
        <v>0.05405405405</v>
      </c>
      <c r="H25" s="240">
        <f>H24/GradeSheet!$G$62</f>
        <v>0.08108108108</v>
      </c>
      <c r="I25" s="240">
        <f>I24/GradeSheet!$G$62</f>
        <v>0.02702702703</v>
      </c>
      <c r="J25" s="240">
        <f>J24/GradeSheet!$G$62</f>
        <v>0.1351351351</v>
      </c>
      <c r="K25" s="240">
        <f>K24/GradeSheet!$G$62</f>
        <v>0.3243243243</v>
      </c>
      <c r="L25" s="240">
        <f>L24/GradeSheet!$G$62</f>
        <v>0</v>
      </c>
      <c r="M25" s="240">
        <f>M24/GradeSheet!$G$62</f>
        <v>0.3513513514</v>
      </c>
      <c r="N25" s="245">
        <f t="shared" si="1"/>
        <v>1</v>
      </c>
      <c r="O25" s="42"/>
      <c r="P25" s="196"/>
      <c r="Q25" s="196"/>
      <c r="R25" s="196"/>
      <c r="S25" s="196"/>
      <c r="T25" s="194" t="s">
        <v>57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2"/>
      <c r="AG25" s="194">
        <v>0.0</v>
      </c>
      <c r="AH25" s="41"/>
      <c r="AI25" s="41"/>
      <c r="AJ25" s="41"/>
      <c r="AK25" s="42"/>
      <c r="AL25" s="233">
        <f>AG25/P33</f>
        <v>0</v>
      </c>
      <c r="AM25" s="41"/>
      <c r="AN25" s="41"/>
      <c r="AO25" s="41"/>
      <c r="AP25" s="41"/>
      <c r="AQ25" s="42"/>
      <c r="AR25" s="196"/>
    </row>
    <row r="26" ht="16.5" customHeight="1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4" t="s">
        <v>206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2"/>
      <c r="AG26" s="194">
        <v>8.0</v>
      </c>
      <c r="AH26" s="41"/>
      <c r="AI26" s="41"/>
      <c r="AJ26" s="41"/>
      <c r="AK26" s="42"/>
      <c r="AL26" s="233">
        <f>AG26/P33</f>
        <v>0.4210526316</v>
      </c>
      <c r="AM26" s="41"/>
      <c r="AN26" s="41"/>
      <c r="AO26" s="41"/>
      <c r="AP26" s="41"/>
      <c r="AQ26" s="42"/>
      <c r="AR26" s="196"/>
    </row>
    <row r="27" ht="16.5" customHeight="1">
      <c r="A27" s="196"/>
      <c r="B27" s="250" t="s">
        <v>207</v>
      </c>
      <c r="C27" s="250"/>
      <c r="D27" s="250"/>
      <c r="E27" s="250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4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2"/>
      <c r="AG27" s="194"/>
      <c r="AH27" s="41"/>
      <c r="AI27" s="41"/>
      <c r="AJ27" s="41"/>
      <c r="AK27" s="42"/>
      <c r="AL27" s="233"/>
      <c r="AM27" s="41"/>
      <c r="AN27" s="41"/>
      <c r="AO27" s="41"/>
      <c r="AP27" s="41"/>
      <c r="AQ27" s="42"/>
      <c r="AR27" s="196"/>
    </row>
    <row r="28" ht="16.5" customHeight="1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8"/>
      <c r="AG28" s="198"/>
      <c r="AL28" s="198"/>
      <c r="AR28" s="196"/>
    </row>
    <row r="29" ht="16.5" customHeight="1">
      <c r="A29" s="196"/>
      <c r="B29" s="190"/>
      <c r="C29" s="41"/>
      <c r="D29" s="41"/>
      <c r="E29" s="41"/>
      <c r="F29" s="42"/>
      <c r="G29" s="252" t="s">
        <v>65</v>
      </c>
      <c r="H29" s="252" t="s">
        <v>209</v>
      </c>
      <c r="I29" s="196"/>
      <c r="J29" s="190"/>
      <c r="K29" s="41"/>
      <c r="L29" s="41"/>
      <c r="M29" s="41"/>
      <c r="N29" s="41"/>
      <c r="O29" s="42"/>
      <c r="P29" s="252" t="s">
        <v>210</v>
      </c>
      <c r="Q29" s="252" t="s">
        <v>209</v>
      </c>
      <c r="R29" s="196"/>
      <c r="S29" s="196"/>
      <c r="T29" s="198"/>
      <c r="AG29" s="198"/>
      <c r="AL29" s="198"/>
      <c r="AR29" s="196"/>
    </row>
    <row r="30" ht="16.5" customHeight="1">
      <c r="A30" s="196"/>
      <c r="B30" s="190" t="s">
        <v>211</v>
      </c>
      <c r="C30" s="41"/>
      <c r="D30" s="41"/>
      <c r="E30" s="41"/>
      <c r="F30" s="42"/>
      <c r="G30" s="253">
        <f>GradeSheet!$G$62</f>
        <v>37</v>
      </c>
      <c r="H30" s="254">
        <f>G30/G30</f>
        <v>1</v>
      </c>
      <c r="I30" s="196"/>
      <c r="J30" s="190" t="s">
        <v>212</v>
      </c>
      <c r="K30" s="41"/>
      <c r="L30" s="41"/>
      <c r="M30" s="41"/>
      <c r="N30" s="41"/>
      <c r="O30" s="42"/>
      <c r="P30" s="255">
        <v>20.0</v>
      </c>
      <c r="Q30" s="254">
        <f>P30/P30</f>
        <v>1</v>
      </c>
      <c r="R30" s="196"/>
      <c r="S30" s="196"/>
      <c r="T30" s="186" t="s">
        <v>213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2"/>
      <c r="AG30" s="190" t="s">
        <v>181</v>
      </c>
      <c r="AH30" s="41"/>
      <c r="AI30" s="41"/>
      <c r="AJ30" s="41"/>
      <c r="AK30" s="42"/>
      <c r="AL30" s="190" t="s">
        <v>199</v>
      </c>
      <c r="AM30" s="41"/>
      <c r="AN30" s="41"/>
      <c r="AO30" s="41"/>
      <c r="AP30" s="41"/>
      <c r="AQ30" s="42"/>
      <c r="AR30" s="196"/>
    </row>
    <row r="31" ht="16.5" customHeight="1">
      <c r="A31" s="196"/>
      <c r="B31" s="190" t="s">
        <v>215</v>
      </c>
      <c r="C31" s="41"/>
      <c r="D31" s="41"/>
      <c r="E31" s="41"/>
      <c r="F31" s="42"/>
      <c r="G31" s="253">
        <f>GradeSheet!$G$61</f>
        <v>13</v>
      </c>
      <c r="H31" s="254">
        <f>G31/G30</f>
        <v>0.3513513514</v>
      </c>
      <c r="I31" s="196"/>
      <c r="J31" s="190" t="s">
        <v>217</v>
      </c>
      <c r="K31" s="41"/>
      <c r="L31" s="41"/>
      <c r="M31" s="41"/>
      <c r="N31" s="41"/>
      <c r="O31" s="42"/>
      <c r="P31" s="255">
        <v>0.0</v>
      </c>
      <c r="Q31" s="254">
        <f>P31/P30</f>
        <v>0</v>
      </c>
      <c r="R31" s="196"/>
      <c r="S31" s="196"/>
      <c r="T31" s="194" t="s">
        <v>206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2"/>
      <c r="AG31" s="194">
        <v>7.0</v>
      </c>
      <c r="AH31" s="41"/>
      <c r="AI31" s="41"/>
      <c r="AJ31" s="41"/>
      <c r="AK31" s="42"/>
      <c r="AL31" s="233">
        <f>AG31/P33</f>
        <v>0.3684210526</v>
      </c>
      <c r="AM31" s="41"/>
      <c r="AN31" s="41"/>
      <c r="AO31" s="41"/>
      <c r="AP31" s="41"/>
      <c r="AQ31" s="42"/>
      <c r="AR31" s="196"/>
    </row>
    <row r="32" ht="16.5" customHeight="1">
      <c r="A32" s="260"/>
      <c r="B32" s="190" t="s">
        <v>219</v>
      </c>
      <c r="C32" s="41"/>
      <c r="D32" s="41"/>
      <c r="E32" s="41"/>
      <c r="F32" s="42"/>
      <c r="G32" s="255">
        <v>24.0</v>
      </c>
      <c r="H32" s="254">
        <f>G32/G30</f>
        <v>0.6486486486</v>
      </c>
      <c r="I32" s="196"/>
      <c r="J32" s="190" t="s">
        <v>220</v>
      </c>
      <c r="K32" s="41"/>
      <c r="L32" s="41"/>
      <c r="M32" s="41"/>
      <c r="N32" s="41"/>
      <c r="O32" s="42"/>
      <c r="P32" s="255">
        <v>0.0</v>
      </c>
      <c r="Q32" s="254">
        <f>P32/P30</f>
        <v>0</v>
      </c>
      <c r="R32" s="196"/>
      <c r="S32" s="196"/>
      <c r="T32" s="194" t="s">
        <v>201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2"/>
      <c r="AG32" s="194">
        <v>8.0</v>
      </c>
      <c r="AH32" s="41"/>
      <c r="AI32" s="41"/>
      <c r="AJ32" s="41"/>
      <c r="AK32" s="42"/>
      <c r="AL32" s="233">
        <f>AG32/P33</f>
        <v>0.4210526316</v>
      </c>
      <c r="AM32" s="41"/>
      <c r="AN32" s="41"/>
      <c r="AO32" s="41"/>
      <c r="AP32" s="41"/>
      <c r="AQ32" s="42"/>
      <c r="AR32" s="196"/>
    </row>
    <row r="33" ht="17.25" customHeight="1">
      <c r="A33" s="196"/>
      <c r="B33" s="190" t="s">
        <v>221</v>
      </c>
      <c r="C33" s="41"/>
      <c r="D33" s="41"/>
      <c r="E33" s="41"/>
      <c r="F33" s="42"/>
      <c r="G33" s="253">
        <f>GradeSheet!$G$62-(GradeSheet!$G$59+GradeSheet!$G$60+GradeSheet!$G$61)</f>
        <v>12</v>
      </c>
      <c r="H33" s="254">
        <f>G33/G30</f>
        <v>0.3243243243</v>
      </c>
      <c r="I33" s="196"/>
      <c r="J33" s="205" t="s">
        <v>222</v>
      </c>
      <c r="K33" s="206"/>
      <c r="L33" s="206"/>
      <c r="M33" s="206"/>
      <c r="N33" s="206"/>
      <c r="O33" s="207"/>
      <c r="P33" s="262">
        <v>19.0</v>
      </c>
      <c r="Q33" s="263">
        <f>P33/P30</f>
        <v>0.95</v>
      </c>
      <c r="R33" s="196"/>
      <c r="S33" s="196"/>
      <c r="T33" s="190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2"/>
      <c r="AG33" s="190"/>
      <c r="AH33" s="41"/>
      <c r="AI33" s="41"/>
      <c r="AJ33" s="41"/>
      <c r="AK33" s="42"/>
      <c r="AL33" s="190"/>
      <c r="AM33" s="41"/>
      <c r="AN33" s="41"/>
      <c r="AO33" s="41"/>
      <c r="AP33" s="41"/>
      <c r="AQ33" s="42"/>
      <c r="AR33" s="196"/>
    </row>
    <row r="34" ht="16.5" customHeight="1">
      <c r="A34" s="196"/>
      <c r="B34" s="198"/>
      <c r="C34" s="198"/>
      <c r="D34" s="198"/>
      <c r="E34" s="198"/>
      <c r="F34" s="198"/>
      <c r="G34" s="198"/>
      <c r="H34" s="198"/>
      <c r="I34" s="196"/>
      <c r="J34" s="211"/>
      <c r="O34" s="212"/>
      <c r="P34" s="264"/>
      <c r="Q34" s="264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  <c r="AF34" s="196"/>
      <c r="AG34" s="196"/>
      <c r="AH34" s="196"/>
      <c r="AI34" s="196"/>
      <c r="AJ34" s="196"/>
      <c r="AK34" s="196"/>
      <c r="AL34" s="196"/>
      <c r="AM34" s="196"/>
      <c r="AN34" s="196"/>
      <c r="AO34" s="196"/>
      <c r="AP34" s="196"/>
      <c r="AQ34" s="196"/>
      <c r="AR34" s="196"/>
    </row>
    <row r="35" ht="16.5" customHeight="1">
      <c r="A35" s="196"/>
      <c r="B35" s="198"/>
      <c r="C35" s="198"/>
      <c r="D35" s="198"/>
      <c r="E35" s="198"/>
      <c r="F35" s="198"/>
      <c r="G35" s="198"/>
      <c r="H35" s="198"/>
      <c r="I35" s="196"/>
      <c r="J35" s="213"/>
      <c r="K35" s="214"/>
      <c r="L35" s="214"/>
      <c r="M35" s="214"/>
      <c r="N35" s="214"/>
      <c r="O35" s="216"/>
      <c r="P35" s="174"/>
      <c r="Q35" s="174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  <c r="AG35" s="196"/>
      <c r="AH35" s="196"/>
      <c r="AI35" s="196"/>
      <c r="AJ35" s="196"/>
      <c r="AK35" s="196"/>
      <c r="AL35" s="196"/>
      <c r="AM35" s="196"/>
      <c r="AN35" s="196"/>
      <c r="AO35" s="196"/>
      <c r="AP35" s="196"/>
      <c r="AQ35" s="196"/>
      <c r="AR35" s="196"/>
    </row>
    <row r="36" ht="16.5" customHeight="1">
      <c r="A36" s="196"/>
      <c r="B36" s="196"/>
      <c r="C36" s="196"/>
      <c r="D36" s="196"/>
      <c r="E36" s="196"/>
      <c r="F36" s="196"/>
      <c r="G36" s="196"/>
      <c r="H36" s="196"/>
      <c r="I36" s="196"/>
      <c r="J36" s="198"/>
      <c r="K36" s="198"/>
      <c r="L36" s="198"/>
      <c r="M36" s="198"/>
      <c r="N36" s="198"/>
      <c r="O36" s="198"/>
      <c r="P36" s="198"/>
      <c r="Q36" s="198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  <c r="AF36" s="196"/>
      <c r="AG36" s="196"/>
      <c r="AH36" s="196"/>
      <c r="AI36" s="196"/>
      <c r="AJ36" s="196"/>
      <c r="AK36" s="196"/>
      <c r="AL36" s="196"/>
      <c r="AM36" s="196"/>
      <c r="AN36" s="196"/>
      <c r="AO36" s="196"/>
      <c r="AP36" s="196"/>
      <c r="AQ36" s="196"/>
      <c r="AR36" s="196"/>
    </row>
    <row r="37" ht="16.5" customHeight="1">
      <c r="A37" s="196"/>
      <c r="B37" s="190" t="s">
        <v>223</v>
      </c>
      <c r="C37" s="41"/>
      <c r="D37" s="41"/>
      <c r="E37" s="41"/>
      <c r="F37" s="41"/>
      <c r="G37" s="42"/>
      <c r="H37" s="196"/>
      <c r="I37" s="196"/>
      <c r="J37" s="190"/>
      <c r="K37" s="41"/>
      <c r="L37" s="41"/>
      <c r="M37" s="41"/>
      <c r="N37" s="41"/>
      <c r="O37" s="42"/>
      <c r="P37" s="265" t="s">
        <v>210</v>
      </c>
      <c r="Q37" s="42"/>
      <c r="R37" s="196"/>
      <c r="S37" s="196"/>
      <c r="T37" s="186" t="s">
        <v>224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2"/>
      <c r="AG37" s="190" t="s">
        <v>181</v>
      </c>
      <c r="AH37" s="41"/>
      <c r="AI37" s="41"/>
      <c r="AJ37" s="41"/>
      <c r="AK37" s="42"/>
      <c r="AL37" s="190" t="s">
        <v>199</v>
      </c>
      <c r="AM37" s="41"/>
      <c r="AN37" s="41"/>
      <c r="AO37" s="41"/>
      <c r="AP37" s="41"/>
      <c r="AQ37" s="42"/>
      <c r="AR37" s="196"/>
    </row>
    <row r="38" ht="16.5" customHeight="1">
      <c r="A38" s="196"/>
      <c r="B38" s="190" t="s">
        <v>225</v>
      </c>
      <c r="C38" s="41"/>
      <c r="D38" s="41"/>
      <c r="E38" s="41"/>
      <c r="F38" s="42"/>
      <c r="G38" s="255">
        <v>8.0</v>
      </c>
      <c r="H38" s="196"/>
      <c r="I38" s="196"/>
      <c r="J38" s="190" t="s">
        <v>226</v>
      </c>
      <c r="K38" s="41"/>
      <c r="L38" s="41"/>
      <c r="M38" s="41"/>
      <c r="N38" s="41"/>
      <c r="O38" s="42"/>
      <c r="P38" s="194" t="s">
        <v>227</v>
      </c>
      <c r="Q38" s="42"/>
      <c r="R38" s="196"/>
      <c r="S38" s="196"/>
      <c r="T38" s="194" t="s">
        <v>228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2"/>
      <c r="AG38" s="194">
        <v>0.0</v>
      </c>
      <c r="AH38" s="41"/>
      <c r="AI38" s="41"/>
      <c r="AJ38" s="41"/>
      <c r="AK38" s="42"/>
      <c r="AL38" s="233">
        <f>AG38/P33</f>
        <v>0</v>
      </c>
      <c r="AM38" s="41"/>
      <c r="AN38" s="41"/>
      <c r="AO38" s="41"/>
      <c r="AP38" s="41"/>
      <c r="AQ38" s="42"/>
      <c r="AR38" s="196"/>
    </row>
    <row r="39" ht="16.5" customHeight="1">
      <c r="A39" s="196"/>
      <c r="B39" s="190" t="s">
        <v>229</v>
      </c>
      <c r="C39" s="41"/>
      <c r="D39" s="41"/>
      <c r="E39" s="41"/>
      <c r="F39" s="42"/>
      <c r="G39" s="255">
        <v>7.0</v>
      </c>
      <c r="H39" s="196"/>
      <c r="I39" s="196"/>
      <c r="J39" s="190" t="s">
        <v>230</v>
      </c>
      <c r="K39" s="41"/>
      <c r="L39" s="41"/>
      <c r="M39" s="41"/>
      <c r="N39" s="41"/>
      <c r="O39" s="42"/>
      <c r="P39" s="194" t="s">
        <v>227</v>
      </c>
      <c r="Q39" s="42"/>
      <c r="R39" s="196"/>
      <c r="S39" s="196"/>
      <c r="T39" s="194" t="s">
        <v>231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2"/>
      <c r="AG39" s="194">
        <v>19.0</v>
      </c>
      <c r="AH39" s="41"/>
      <c r="AI39" s="41"/>
      <c r="AJ39" s="41"/>
      <c r="AK39" s="42"/>
      <c r="AL39" s="233">
        <f>AG39/P33</f>
        <v>1</v>
      </c>
      <c r="AM39" s="41"/>
      <c r="AN39" s="41"/>
      <c r="AO39" s="41"/>
      <c r="AP39" s="41"/>
      <c r="AQ39" s="42"/>
      <c r="AR39" s="196"/>
    </row>
    <row r="40" ht="16.5" customHeight="1">
      <c r="A40" s="196"/>
      <c r="B40" s="198"/>
      <c r="C40" s="198"/>
      <c r="D40" s="198"/>
      <c r="E40" s="198"/>
      <c r="F40" s="198"/>
      <c r="G40" s="198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4" t="s">
        <v>232</v>
      </c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2"/>
      <c r="AG40" s="194">
        <v>10.0</v>
      </c>
      <c r="AH40" s="41"/>
      <c r="AI40" s="41"/>
      <c r="AJ40" s="41"/>
      <c r="AK40" s="42"/>
      <c r="AL40" s="233">
        <f>AG40/P33</f>
        <v>0.5263157895</v>
      </c>
      <c r="AM40" s="41"/>
      <c r="AN40" s="41"/>
      <c r="AO40" s="41"/>
      <c r="AP40" s="41"/>
      <c r="AQ40" s="42"/>
      <c r="AR40" s="196"/>
    </row>
    <row r="41" ht="16.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4" t="s">
        <v>233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2"/>
      <c r="AG41" s="194">
        <v>0.0</v>
      </c>
      <c r="AH41" s="41"/>
      <c r="AI41" s="41"/>
      <c r="AJ41" s="41"/>
      <c r="AK41" s="42"/>
      <c r="AL41" s="233">
        <f>AG41/P33</f>
        <v>0</v>
      </c>
      <c r="AM41" s="41"/>
      <c r="AN41" s="41"/>
      <c r="AO41" s="41"/>
      <c r="AP41" s="41"/>
      <c r="AQ41" s="42"/>
      <c r="AR41" s="196"/>
    </row>
    <row r="42" ht="16.5" customHeight="1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4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2"/>
      <c r="AG42" s="194"/>
      <c r="AH42" s="41"/>
      <c r="AI42" s="41"/>
      <c r="AJ42" s="41"/>
      <c r="AK42" s="42"/>
      <c r="AL42" s="233"/>
      <c r="AM42" s="41"/>
      <c r="AN42" s="41"/>
      <c r="AO42" s="41"/>
      <c r="AP42" s="41"/>
      <c r="AQ42" s="42"/>
      <c r="AR42" s="196"/>
    </row>
    <row r="43" ht="16.5" customHeight="1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</row>
    <row r="44" ht="16.5" customHeight="1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6"/>
      <c r="AP44" s="196"/>
      <c r="AQ44" s="196"/>
      <c r="AR44" s="196"/>
    </row>
    <row r="45" ht="16.5" customHeight="1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6"/>
      <c r="AQ45" s="196"/>
      <c r="AR45" s="196"/>
    </row>
    <row r="46" ht="16.5" customHeight="1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266"/>
      <c r="U46" s="266"/>
      <c r="V46" s="266"/>
      <c r="W46" s="266"/>
      <c r="X46" s="266"/>
      <c r="Y46" s="266"/>
      <c r="Z46" s="266"/>
      <c r="AA46" s="266"/>
      <c r="AB46" s="266"/>
      <c r="AC46" s="266"/>
      <c r="AD46" s="266"/>
      <c r="AE46" s="26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6"/>
      <c r="AP46" s="196"/>
      <c r="AQ46" s="196"/>
      <c r="AR46" s="196"/>
    </row>
    <row r="47" ht="16.5" customHeight="1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267" t="s">
        <v>234</v>
      </c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</row>
    <row r="48" ht="16.5" customHeight="1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6"/>
      <c r="AP48" s="196"/>
      <c r="AQ48" s="196"/>
      <c r="AR48" s="196"/>
    </row>
    <row r="49" ht="16.5" customHeight="1">
      <c r="A49" s="196"/>
      <c r="B49" s="196"/>
      <c r="C49" s="267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</row>
    <row r="50" ht="16.5" customHeight="1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</row>
    <row r="51" ht="16.5" customHeight="1">
      <c r="A51" s="196"/>
      <c r="B51" s="74" t="s">
        <v>45</v>
      </c>
      <c r="C51" s="41"/>
      <c r="D51" s="42"/>
      <c r="E51" s="184" t="str">
        <f>GradeSheet!$G$2</f>
        <v>CSE 2203</v>
      </c>
      <c r="F51" s="41"/>
      <c r="G51" s="41"/>
      <c r="H51" s="41"/>
      <c r="I51" s="41"/>
      <c r="J51" s="41"/>
      <c r="K51" s="41"/>
      <c r="L51" s="41"/>
      <c r="M51" s="41"/>
      <c r="N51" s="42"/>
      <c r="O51" s="74" t="str">
        <f>CONCATENATE("Section ", GradeSheet!$K$2,)</f>
        <v>Section 2</v>
      </c>
      <c r="P51" s="41"/>
      <c r="Q51" s="42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</row>
    <row r="52" ht="16.5" customHeight="1">
      <c r="A52" s="196"/>
      <c r="B52" s="188" t="s">
        <v>48</v>
      </c>
      <c r="C52" s="41"/>
      <c r="D52" s="42"/>
      <c r="E52" s="189" t="str">
        <f>GradeSheet!$G$3</f>
        <v>Computer Organization and Architecture</v>
      </c>
      <c r="F52" s="41"/>
      <c r="G52" s="41"/>
      <c r="H52" s="41"/>
      <c r="I52" s="41"/>
      <c r="J52" s="41"/>
      <c r="K52" s="41"/>
      <c r="L52" s="41"/>
      <c r="M52" s="41"/>
      <c r="N52" s="42"/>
      <c r="O52" s="188" t="str">
        <f>CONCATENATE(GradeSheet!$G$62," students")</f>
        <v>37 students</v>
      </c>
      <c r="P52" s="41"/>
      <c r="Q52" s="42"/>
      <c r="R52" s="185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</row>
    <row r="53" ht="16.5" customHeight="1">
      <c r="A53" s="196"/>
      <c r="B53" s="191" t="s">
        <v>52</v>
      </c>
      <c r="C53" s="41"/>
      <c r="D53" s="42"/>
      <c r="E53" s="192">
        <f>GradeSheet!$G$4</f>
        <v>3</v>
      </c>
      <c r="F53" s="41"/>
      <c r="G53" s="41"/>
      <c r="H53" s="41"/>
      <c r="I53" s="41"/>
      <c r="J53" s="41"/>
      <c r="K53" s="41"/>
      <c r="L53" s="41"/>
      <c r="M53" s="41"/>
      <c r="N53" s="42"/>
      <c r="O53" s="192" t="str">
        <f>GradeSheet!$K$3</f>
        <v>Spring 2026</v>
      </c>
      <c r="P53" s="41"/>
      <c r="Q53" s="42"/>
      <c r="R53" s="185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  <c r="AF53" s="196"/>
      <c r="AG53" s="196"/>
      <c r="AH53" s="196"/>
      <c r="AI53" s="196"/>
      <c r="AJ53" s="196"/>
      <c r="AK53" s="196"/>
      <c r="AL53" s="196"/>
      <c r="AM53" s="196"/>
      <c r="AN53" s="196"/>
      <c r="AO53" s="196"/>
      <c r="AP53" s="196"/>
      <c r="AQ53" s="196"/>
      <c r="AR53" s="196"/>
    </row>
    <row r="54" ht="16.5" customHeight="1">
      <c r="A54" s="196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</row>
    <row r="55" ht="16.5" customHeight="1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  <c r="AF55" s="196"/>
      <c r="AG55" s="196"/>
      <c r="AH55" s="196"/>
      <c r="AI55" s="196"/>
      <c r="AJ55" s="196"/>
      <c r="AK55" s="196"/>
      <c r="AL55" s="196"/>
      <c r="AM55" s="196"/>
      <c r="AN55" s="196"/>
      <c r="AO55" s="196"/>
      <c r="AP55" s="196"/>
      <c r="AQ55" s="196"/>
      <c r="AR55" s="196"/>
    </row>
    <row r="56" ht="16.5" customHeight="1">
      <c r="A56" s="196"/>
      <c r="B56" s="196"/>
      <c r="C56" s="196"/>
      <c r="D56" s="196"/>
      <c r="E56" s="196"/>
      <c r="F56" s="196"/>
      <c r="G56" s="196"/>
      <c r="H56" s="196"/>
      <c r="I56" s="196"/>
      <c r="J56" s="268"/>
      <c r="K56" s="268"/>
      <c r="L56" s="268"/>
      <c r="M56" s="268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</row>
    <row r="57" ht="16.5" customHeight="1">
      <c r="A57" s="196"/>
      <c r="B57" s="196"/>
      <c r="C57" s="196"/>
      <c r="D57" s="196"/>
      <c r="E57" s="269" t="s">
        <v>235</v>
      </c>
      <c r="F57" s="270"/>
      <c r="G57" s="270"/>
      <c r="H57" s="270"/>
      <c r="I57" s="270"/>
      <c r="J57" s="270"/>
      <c r="K57" s="270"/>
      <c r="L57" s="270"/>
      <c r="M57" s="270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196"/>
      <c r="AM57" s="196"/>
      <c r="AN57" s="196"/>
      <c r="AO57" s="196"/>
      <c r="AP57" s="196"/>
      <c r="AQ57" s="196"/>
      <c r="AR57" s="196"/>
    </row>
    <row r="58" ht="16.5" customHeight="1">
      <c r="A58" s="196"/>
      <c r="B58" s="196"/>
      <c r="C58" s="196"/>
      <c r="D58" s="196"/>
      <c r="E58" s="271"/>
      <c r="F58" s="41"/>
      <c r="G58" s="42"/>
      <c r="H58" s="229" t="s">
        <v>11</v>
      </c>
      <c r="I58" s="229" t="s">
        <v>13</v>
      </c>
      <c r="J58" s="229" t="s">
        <v>15</v>
      </c>
      <c r="K58" s="229" t="s">
        <v>16</v>
      </c>
      <c r="L58" s="229" t="s">
        <v>17</v>
      </c>
      <c r="M58" s="229" t="s">
        <v>18</v>
      </c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96"/>
      <c r="AM58" s="196"/>
      <c r="AN58" s="196"/>
      <c r="AO58" s="196"/>
      <c r="AP58" s="196"/>
      <c r="AQ58" s="196"/>
      <c r="AR58" s="196"/>
    </row>
    <row r="59" ht="16.5" customHeight="1">
      <c r="A59" s="196"/>
      <c r="B59" s="196"/>
      <c r="C59" s="196"/>
      <c r="D59" s="196"/>
      <c r="E59" s="272" t="s">
        <v>236</v>
      </c>
      <c r="F59" s="41"/>
      <c r="G59" s="42"/>
      <c r="H59" s="234">
        <f>CO_PO_AttainmentAnalysis!AN53</f>
        <v>8</v>
      </c>
      <c r="I59" s="234">
        <f>CO_PO_AttainmentAnalysis!AO53</f>
        <v>5</v>
      </c>
      <c r="J59" s="234">
        <f>CO_PO_AttainmentAnalysis!AP53</f>
        <v>11</v>
      </c>
      <c r="K59" s="234">
        <f>CO_PO_AttainmentAnalysis!AQ53</f>
        <v>0</v>
      </c>
      <c r="L59" s="234">
        <f>CO_PO_AttainmentAnalysis!AR53</f>
        <v>0</v>
      </c>
      <c r="M59" s="234">
        <f>CO_PO_AttainmentAnalysis!AS53</f>
        <v>0</v>
      </c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  <c r="AF59" s="196"/>
      <c r="AG59" s="196"/>
      <c r="AH59" s="196"/>
      <c r="AI59" s="196"/>
      <c r="AJ59" s="196"/>
      <c r="AK59" s="196"/>
      <c r="AL59" s="196"/>
      <c r="AM59" s="196"/>
      <c r="AN59" s="196"/>
      <c r="AO59" s="196"/>
      <c r="AP59" s="196"/>
      <c r="AQ59" s="196"/>
      <c r="AR59" s="196"/>
    </row>
    <row r="60" ht="16.5" customHeight="1">
      <c r="A60" s="196"/>
      <c r="B60" s="196"/>
      <c r="C60" s="196"/>
      <c r="D60" s="196"/>
      <c r="E60" s="272" t="s">
        <v>237</v>
      </c>
      <c r="F60" s="41"/>
      <c r="G60" s="42"/>
      <c r="H60" s="240">
        <f>CO_PO_AttainmentAnalysis!AH53</f>
        <v>0.3245192308</v>
      </c>
      <c r="I60" s="240">
        <f>CO_PO_AttainmentAnalysis!AI53</f>
        <v>0.4022988506</v>
      </c>
      <c r="J60" s="240">
        <f>CO_PO_AttainmentAnalysis!AJ53</f>
        <v>0.3729166667</v>
      </c>
      <c r="K60" s="240">
        <f>CO_PO_AttainmentAnalysis!AK53</f>
        <v>0</v>
      </c>
      <c r="L60" s="240">
        <f>CO_PO_AttainmentAnalysis!AL53</f>
        <v>0</v>
      </c>
      <c r="M60" s="240">
        <f>CO_PO_AttainmentAnalysis!AM53</f>
        <v>0</v>
      </c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  <c r="AF60" s="196"/>
      <c r="AG60" s="196"/>
      <c r="AH60" s="196"/>
      <c r="AI60" s="196"/>
      <c r="AJ60" s="196"/>
      <c r="AK60" s="196"/>
      <c r="AL60" s="196"/>
      <c r="AM60" s="196"/>
      <c r="AN60" s="196"/>
      <c r="AO60" s="196"/>
      <c r="AP60" s="196"/>
      <c r="AQ60" s="196"/>
      <c r="AR60" s="196"/>
    </row>
    <row r="61" ht="16.5" customHeight="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</row>
    <row r="62" ht="16.5" customHeight="1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</row>
    <row r="63" ht="16.5" customHeight="1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</row>
    <row r="64" ht="16.5" customHeight="1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</row>
    <row r="65" ht="16.5" customHeight="1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</row>
    <row r="66" ht="16.5" customHeight="1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  <c r="AF66" s="196"/>
      <c r="AG66" s="196"/>
      <c r="AH66" s="196"/>
      <c r="AI66" s="196"/>
      <c r="AJ66" s="196"/>
      <c r="AK66" s="196"/>
      <c r="AL66" s="196"/>
      <c r="AM66" s="196"/>
      <c r="AN66" s="196"/>
      <c r="AO66" s="196"/>
      <c r="AP66" s="196"/>
      <c r="AQ66" s="196"/>
      <c r="AR66" s="196"/>
    </row>
    <row r="67" ht="16.5" customHeight="1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  <c r="AF67" s="196"/>
      <c r="AG67" s="196"/>
      <c r="AH67" s="196"/>
      <c r="AI67" s="196"/>
      <c r="AJ67" s="196"/>
      <c r="AK67" s="196"/>
      <c r="AL67" s="196"/>
      <c r="AM67" s="196"/>
      <c r="AN67" s="196"/>
      <c r="AO67" s="196"/>
      <c r="AP67" s="196"/>
      <c r="AQ67" s="196"/>
      <c r="AR67" s="196"/>
    </row>
    <row r="68" ht="16.5" customHeight="1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</row>
    <row r="69" ht="16.5" customHeight="1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</row>
    <row r="70" ht="16.5" customHeight="1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  <c r="AF70" s="196"/>
      <c r="AG70" s="196"/>
      <c r="AH70" s="196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</row>
    <row r="71" ht="16.5" customHeight="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  <c r="AF71" s="196"/>
      <c r="AG71" s="196"/>
      <c r="AH71" s="196"/>
      <c r="AI71" s="196"/>
      <c r="AJ71" s="196"/>
      <c r="AK71" s="196"/>
      <c r="AL71" s="196"/>
      <c r="AM71" s="196"/>
      <c r="AN71" s="196"/>
      <c r="AO71" s="196"/>
      <c r="AP71" s="196"/>
      <c r="AQ71" s="196"/>
      <c r="AR71" s="196"/>
    </row>
    <row r="72" ht="16.5" customHeight="1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  <c r="AF72" s="196"/>
      <c r="AG72" s="196"/>
      <c r="AH72" s="196"/>
      <c r="AI72" s="196"/>
      <c r="AJ72" s="196"/>
      <c r="AK72" s="196"/>
      <c r="AL72" s="196"/>
      <c r="AM72" s="196"/>
      <c r="AN72" s="196"/>
      <c r="AO72" s="196"/>
      <c r="AP72" s="196"/>
      <c r="AQ72" s="196"/>
      <c r="AR72" s="196"/>
    </row>
    <row r="73" ht="16.5" customHeight="1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  <c r="AF73" s="196"/>
      <c r="AG73" s="196"/>
      <c r="AH73" s="196"/>
      <c r="AI73" s="196"/>
      <c r="AJ73" s="196"/>
      <c r="AK73" s="196"/>
      <c r="AL73" s="196"/>
      <c r="AM73" s="196"/>
      <c r="AN73" s="196"/>
      <c r="AO73" s="196"/>
      <c r="AP73" s="196"/>
      <c r="AQ73" s="196"/>
      <c r="AR73" s="196"/>
    </row>
    <row r="74" ht="16.5" customHeight="1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  <c r="AF74" s="196"/>
      <c r="AG74" s="196"/>
      <c r="AH74" s="196"/>
      <c r="AI74" s="196"/>
      <c r="AJ74" s="196"/>
      <c r="AK74" s="196"/>
      <c r="AL74" s="196"/>
      <c r="AM74" s="196"/>
      <c r="AN74" s="196"/>
      <c r="AO74" s="196"/>
      <c r="AP74" s="196"/>
      <c r="AQ74" s="196"/>
      <c r="AR74" s="196"/>
    </row>
    <row r="75" ht="16.5" customHeight="1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  <c r="AF75" s="196"/>
      <c r="AG75" s="196"/>
      <c r="AH75" s="196"/>
      <c r="AI75" s="196"/>
      <c r="AJ75" s="196"/>
      <c r="AK75" s="196"/>
      <c r="AL75" s="196"/>
      <c r="AM75" s="196"/>
      <c r="AN75" s="196"/>
      <c r="AO75" s="196"/>
      <c r="AP75" s="196"/>
      <c r="AQ75" s="196"/>
      <c r="AR75" s="196"/>
    </row>
    <row r="76" ht="16.5" customHeight="1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  <c r="AF76" s="196"/>
      <c r="AG76" s="196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  <c r="AR76" s="196"/>
    </row>
    <row r="77" ht="16.5" customHeight="1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  <c r="AF77" s="196"/>
      <c r="AG77" s="196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  <c r="AR77" s="196"/>
    </row>
    <row r="78" ht="16.5" customHeight="1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  <c r="AF78" s="196"/>
      <c r="AG78" s="196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  <c r="AR78" s="196"/>
    </row>
    <row r="79" ht="16.5" customHeight="1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</row>
    <row r="80" ht="16.5" customHeight="1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  <c r="AF80" s="196"/>
      <c r="AG80" s="196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  <c r="AR80" s="196"/>
    </row>
    <row r="81" ht="16.5" customHeight="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  <c r="AR81" s="196"/>
    </row>
    <row r="82" ht="16.5" customHeight="1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  <c r="AF82" s="196"/>
      <c r="AG82" s="196"/>
      <c r="AH82" s="196"/>
      <c r="AI82" s="196"/>
      <c r="AJ82" s="196"/>
      <c r="AK82" s="196"/>
      <c r="AL82" s="196"/>
      <c r="AM82" s="196"/>
      <c r="AN82" s="196"/>
      <c r="AO82" s="196"/>
      <c r="AP82" s="196"/>
      <c r="AQ82" s="196"/>
      <c r="AR82" s="196"/>
    </row>
    <row r="83" ht="16.5" customHeight="1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</row>
    <row r="84" ht="16.5" customHeight="1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</row>
    <row r="85" ht="16.5" customHeight="1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</row>
    <row r="86" ht="16.5" customHeight="1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  <c r="AF86" s="196"/>
      <c r="AG86" s="196"/>
      <c r="AH86" s="196"/>
      <c r="AI86" s="196"/>
      <c r="AJ86" s="196"/>
      <c r="AK86" s="196"/>
      <c r="AL86" s="196"/>
      <c r="AM86" s="196"/>
      <c r="AN86" s="196"/>
      <c r="AO86" s="196"/>
      <c r="AP86" s="196"/>
      <c r="AQ86" s="196"/>
      <c r="AR86" s="196"/>
    </row>
    <row r="87" ht="16.5" customHeight="1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  <c r="AF87" s="196"/>
      <c r="AG87" s="196"/>
      <c r="AH87" s="196"/>
      <c r="AI87" s="196"/>
      <c r="AJ87" s="196"/>
      <c r="AK87" s="196"/>
      <c r="AL87" s="196"/>
      <c r="AM87" s="196"/>
      <c r="AN87" s="196"/>
      <c r="AO87" s="196"/>
      <c r="AP87" s="196"/>
      <c r="AQ87" s="196"/>
      <c r="AR87" s="196"/>
    </row>
    <row r="88" ht="16.5" customHeight="1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  <c r="AF88" s="196"/>
      <c r="AG88" s="196"/>
      <c r="AH88" s="196"/>
      <c r="AI88" s="196"/>
      <c r="AJ88" s="196"/>
      <c r="AK88" s="196"/>
      <c r="AL88" s="196"/>
      <c r="AM88" s="196"/>
      <c r="AN88" s="196"/>
      <c r="AO88" s="196"/>
      <c r="AP88" s="196"/>
      <c r="AQ88" s="196"/>
      <c r="AR88" s="196"/>
    </row>
    <row r="89" ht="16.5" customHeight="1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  <c r="AF89" s="196"/>
      <c r="AG89" s="196"/>
      <c r="AH89" s="196"/>
      <c r="AI89" s="196"/>
      <c r="AJ89" s="196"/>
      <c r="AK89" s="196"/>
      <c r="AL89" s="196"/>
      <c r="AM89" s="196"/>
      <c r="AN89" s="196"/>
      <c r="AO89" s="196"/>
      <c r="AP89" s="196"/>
      <c r="AQ89" s="196"/>
      <c r="AR89" s="196"/>
    </row>
    <row r="90" ht="16.5" customHeight="1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6"/>
      <c r="AQ90" s="196"/>
      <c r="AR90" s="196"/>
    </row>
    <row r="91" ht="16.5" customHeight="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  <c r="AF91" s="196"/>
      <c r="AG91" s="196"/>
      <c r="AH91" s="196"/>
      <c r="AI91" s="196"/>
      <c r="AJ91" s="196"/>
      <c r="AK91" s="196"/>
      <c r="AL91" s="196"/>
      <c r="AM91" s="196"/>
      <c r="AN91" s="196"/>
      <c r="AO91" s="196"/>
      <c r="AP91" s="196"/>
      <c r="AQ91" s="196"/>
      <c r="AR91" s="196"/>
    </row>
    <row r="92" ht="16.5" customHeight="1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  <c r="AF92" s="196"/>
      <c r="AG92" s="196"/>
      <c r="AH92" s="196"/>
      <c r="AI92" s="196"/>
      <c r="AJ92" s="196"/>
      <c r="AK92" s="196"/>
      <c r="AL92" s="196"/>
      <c r="AM92" s="196"/>
      <c r="AN92" s="196"/>
      <c r="AO92" s="196"/>
      <c r="AP92" s="196"/>
      <c r="AQ92" s="196"/>
      <c r="AR92" s="196"/>
    </row>
    <row r="93" ht="16.5" customHeight="1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</row>
    <row r="94" ht="16.5" customHeight="1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</row>
    <row r="95" ht="16.5" customHeight="1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</row>
    <row r="96" ht="16.5" customHeight="1">
      <c r="A96" s="196"/>
      <c r="B96" s="196"/>
      <c r="C96" s="267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196"/>
      <c r="AJ96" s="196"/>
      <c r="AK96" s="196"/>
      <c r="AL96" s="196"/>
      <c r="AM96" s="196"/>
      <c r="AN96" s="196"/>
      <c r="AO96" s="196"/>
      <c r="AP96" s="196"/>
      <c r="AQ96" s="196"/>
      <c r="AR96" s="196"/>
    </row>
    <row r="97" ht="16.5" customHeight="1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  <c r="AF97" s="196"/>
      <c r="AG97" s="196"/>
      <c r="AH97" s="196"/>
      <c r="AI97" s="196"/>
      <c r="AJ97" s="196"/>
      <c r="AK97" s="196"/>
      <c r="AL97" s="196"/>
      <c r="AM97" s="196"/>
      <c r="AN97" s="196"/>
      <c r="AO97" s="196"/>
      <c r="AP97" s="196"/>
      <c r="AQ97" s="196"/>
      <c r="AR97" s="196"/>
    </row>
    <row r="98" ht="16.5" customHeight="1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6"/>
      <c r="AN98" s="196"/>
      <c r="AO98" s="196"/>
      <c r="AP98" s="196"/>
      <c r="AQ98" s="196"/>
      <c r="AR98" s="196"/>
    </row>
    <row r="99" ht="16.5" customHeight="1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  <c r="AF99" s="196"/>
      <c r="AG99" s="196"/>
      <c r="AH99" s="196"/>
      <c r="AI99" s="196"/>
      <c r="AJ99" s="196"/>
      <c r="AK99" s="196"/>
      <c r="AL99" s="196"/>
      <c r="AM99" s="196"/>
      <c r="AN99" s="196"/>
      <c r="AO99" s="196"/>
      <c r="AP99" s="196"/>
      <c r="AQ99" s="196"/>
      <c r="AR99" s="196"/>
    </row>
    <row r="100" ht="16.5" customHeight="1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6"/>
      <c r="AM100" s="196"/>
      <c r="AN100" s="196"/>
      <c r="AO100" s="196"/>
      <c r="AP100" s="196"/>
      <c r="AQ100" s="196"/>
      <c r="AR100" s="196"/>
    </row>
    <row r="101" ht="16.5" customHeight="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  <c r="AF101" s="196"/>
      <c r="AG101" s="196"/>
      <c r="AH101" s="196"/>
      <c r="AI101" s="196"/>
      <c r="AJ101" s="196"/>
      <c r="AK101" s="196"/>
      <c r="AL101" s="196"/>
      <c r="AM101" s="196"/>
      <c r="AN101" s="196"/>
      <c r="AO101" s="196"/>
      <c r="AP101" s="196"/>
      <c r="AQ101" s="196"/>
      <c r="AR101" s="196"/>
    </row>
    <row r="102" ht="16.5" customHeight="1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  <c r="AF102" s="196"/>
      <c r="AG102" s="196"/>
      <c r="AH102" s="196"/>
      <c r="AI102" s="196"/>
      <c r="AJ102" s="196"/>
      <c r="AK102" s="196"/>
      <c r="AL102" s="196"/>
      <c r="AM102" s="196"/>
      <c r="AN102" s="196"/>
      <c r="AO102" s="196"/>
      <c r="AP102" s="196"/>
      <c r="AQ102" s="196"/>
      <c r="AR102" s="196"/>
    </row>
    <row r="103" ht="16.5" customHeight="1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  <c r="AF103" s="196"/>
      <c r="AG103" s="196"/>
      <c r="AH103" s="196"/>
      <c r="AI103" s="196"/>
      <c r="AJ103" s="196"/>
      <c r="AK103" s="196"/>
      <c r="AL103" s="196"/>
      <c r="AM103" s="196"/>
      <c r="AN103" s="196"/>
      <c r="AO103" s="196"/>
      <c r="AP103" s="196"/>
      <c r="AQ103" s="196"/>
      <c r="AR103" s="196"/>
    </row>
    <row r="104" ht="16.5" customHeight="1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  <c r="AF104" s="196"/>
      <c r="AG104" s="196"/>
      <c r="AH104" s="196"/>
      <c r="AI104" s="196"/>
      <c r="AJ104" s="196"/>
      <c r="AK104" s="196"/>
      <c r="AL104" s="196"/>
      <c r="AM104" s="196"/>
      <c r="AN104" s="196"/>
      <c r="AO104" s="196"/>
      <c r="AP104" s="196"/>
      <c r="AQ104" s="196"/>
      <c r="AR104" s="196"/>
    </row>
    <row r="105" ht="16.5" customHeight="1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  <c r="AF105" s="196"/>
      <c r="AG105" s="196"/>
      <c r="AH105" s="196"/>
      <c r="AI105" s="196"/>
      <c r="AJ105" s="196"/>
      <c r="AK105" s="196"/>
      <c r="AL105" s="196"/>
      <c r="AM105" s="196"/>
      <c r="AN105" s="196"/>
      <c r="AO105" s="196"/>
      <c r="AP105" s="196"/>
      <c r="AQ105" s="196"/>
      <c r="AR105" s="196"/>
    </row>
    <row r="106" ht="16.5" customHeight="1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  <c r="AF106" s="196"/>
      <c r="AG106" s="196"/>
      <c r="AH106" s="196"/>
      <c r="AI106" s="196"/>
      <c r="AJ106" s="196"/>
      <c r="AK106" s="196"/>
      <c r="AL106" s="196"/>
      <c r="AM106" s="196"/>
      <c r="AN106" s="196"/>
      <c r="AO106" s="196"/>
      <c r="AP106" s="196"/>
      <c r="AQ106" s="196"/>
      <c r="AR106" s="196"/>
    </row>
    <row r="107" ht="16.5" customHeight="1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</row>
    <row r="108" ht="16.5" customHeight="1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</row>
    <row r="109" ht="16.5" customHeight="1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</row>
    <row r="110" ht="16.5" customHeight="1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</row>
    <row r="111" ht="16.5" customHeight="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</row>
    <row r="112" ht="16.5" customHeight="1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</row>
    <row r="113" ht="16.5" customHeight="1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</row>
    <row r="114" ht="16.5" customHeight="1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</row>
    <row r="115" ht="16.5" customHeight="1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</row>
    <row r="116" ht="16.5" customHeight="1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</row>
    <row r="117" ht="16.5" customHeight="1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</row>
    <row r="118" ht="16.5" customHeight="1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</row>
    <row r="119" ht="16.5" customHeight="1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</row>
    <row r="120" ht="16.5" customHeight="1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</row>
    <row r="121" ht="16.5" customHeight="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</row>
    <row r="122" ht="16.5" customHeight="1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</row>
    <row r="123" ht="16.5" customHeight="1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</row>
    <row r="124" ht="16.5" customHeight="1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</row>
    <row r="125" ht="16.5" customHeight="1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</row>
    <row r="126" ht="16.5" customHeight="1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</row>
    <row r="127" ht="16.5" customHeight="1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  <c r="AF127" s="196"/>
      <c r="AG127" s="196"/>
      <c r="AH127" s="196"/>
      <c r="AI127" s="196"/>
      <c r="AJ127" s="196"/>
      <c r="AK127" s="196"/>
      <c r="AL127" s="196"/>
      <c r="AM127" s="196"/>
      <c r="AN127" s="196"/>
      <c r="AO127" s="196"/>
      <c r="AP127" s="196"/>
      <c r="AQ127" s="196"/>
      <c r="AR127" s="196"/>
    </row>
    <row r="128" ht="16.5" customHeight="1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  <c r="AF128" s="196"/>
      <c r="AG128" s="196"/>
      <c r="AH128" s="196"/>
      <c r="AI128" s="196"/>
      <c r="AJ128" s="196"/>
      <c r="AK128" s="196"/>
      <c r="AL128" s="196"/>
      <c r="AM128" s="196"/>
      <c r="AN128" s="196"/>
      <c r="AO128" s="196"/>
      <c r="AP128" s="196"/>
      <c r="AQ128" s="196"/>
      <c r="AR128" s="196"/>
    </row>
    <row r="129" ht="16.5" customHeight="1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6"/>
      <c r="AM129" s="196"/>
      <c r="AN129" s="196"/>
      <c r="AO129" s="196"/>
      <c r="AP129" s="196"/>
      <c r="AQ129" s="196"/>
      <c r="AR129" s="196"/>
    </row>
    <row r="130" ht="16.5" customHeight="1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  <c r="AF130" s="196"/>
      <c r="AG130" s="196"/>
      <c r="AH130" s="196"/>
      <c r="AI130" s="196"/>
      <c r="AJ130" s="196"/>
      <c r="AK130" s="196"/>
      <c r="AL130" s="196"/>
      <c r="AM130" s="196"/>
      <c r="AN130" s="196"/>
      <c r="AO130" s="196"/>
      <c r="AP130" s="196"/>
      <c r="AQ130" s="196"/>
      <c r="AR130" s="196"/>
    </row>
    <row r="131" ht="16.5" customHeight="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  <c r="AF131" s="196"/>
      <c r="AG131" s="196"/>
      <c r="AH131" s="196"/>
      <c r="AI131" s="196"/>
      <c r="AJ131" s="196"/>
      <c r="AK131" s="196"/>
      <c r="AL131" s="196"/>
      <c r="AM131" s="196"/>
      <c r="AN131" s="196"/>
      <c r="AO131" s="196"/>
      <c r="AP131" s="196"/>
      <c r="AQ131" s="196"/>
      <c r="AR131" s="196"/>
    </row>
    <row r="132" ht="16.5" customHeight="1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  <c r="AF132" s="196"/>
      <c r="AG132" s="196"/>
      <c r="AH132" s="196"/>
      <c r="AI132" s="196"/>
      <c r="AJ132" s="196"/>
      <c r="AK132" s="196"/>
      <c r="AL132" s="196"/>
      <c r="AM132" s="196"/>
      <c r="AN132" s="196"/>
      <c r="AO132" s="196"/>
      <c r="AP132" s="196"/>
      <c r="AQ132" s="196"/>
      <c r="AR132" s="196"/>
    </row>
    <row r="133" ht="16.5" customHeight="1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  <c r="AF133" s="196"/>
      <c r="AG133" s="196"/>
      <c r="AH133" s="196"/>
      <c r="AI133" s="196"/>
      <c r="AJ133" s="196"/>
      <c r="AK133" s="196"/>
      <c r="AL133" s="196"/>
      <c r="AM133" s="196"/>
      <c r="AN133" s="196"/>
      <c r="AO133" s="196"/>
      <c r="AP133" s="196"/>
      <c r="AQ133" s="196"/>
      <c r="AR133" s="196"/>
    </row>
    <row r="134" ht="16.5" customHeight="1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</row>
    <row r="135" ht="16.5" customHeight="1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</row>
    <row r="136" ht="16.5" customHeight="1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</row>
    <row r="137" ht="16.5" customHeight="1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6"/>
      <c r="AK137" s="196"/>
      <c r="AL137" s="196"/>
      <c r="AM137" s="196"/>
      <c r="AN137" s="196"/>
      <c r="AO137" s="196"/>
      <c r="AP137" s="196"/>
      <c r="AQ137" s="196"/>
      <c r="AR137" s="196"/>
    </row>
    <row r="138" ht="16.5" customHeight="1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6"/>
      <c r="AK138" s="196"/>
      <c r="AL138" s="196"/>
      <c r="AM138" s="196"/>
      <c r="AN138" s="196"/>
      <c r="AO138" s="196"/>
      <c r="AP138" s="196"/>
      <c r="AQ138" s="196"/>
      <c r="AR138" s="196"/>
    </row>
    <row r="139" ht="16.5" customHeight="1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6"/>
      <c r="AK139" s="196"/>
      <c r="AL139" s="196"/>
      <c r="AM139" s="196"/>
      <c r="AN139" s="196"/>
      <c r="AO139" s="196"/>
      <c r="AP139" s="196"/>
      <c r="AQ139" s="196"/>
      <c r="AR139" s="196"/>
    </row>
    <row r="140" ht="16.5" customHeight="1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6"/>
      <c r="AK140" s="196"/>
      <c r="AL140" s="196"/>
      <c r="AM140" s="196"/>
      <c r="AN140" s="196"/>
      <c r="AO140" s="196"/>
      <c r="AP140" s="196"/>
      <c r="AQ140" s="196"/>
      <c r="AR140" s="196"/>
    </row>
    <row r="141" ht="16.5" customHeight="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6"/>
      <c r="AK141" s="196"/>
      <c r="AL141" s="196"/>
      <c r="AM141" s="196"/>
      <c r="AN141" s="196"/>
      <c r="AO141" s="196"/>
      <c r="AP141" s="196"/>
      <c r="AQ141" s="196"/>
      <c r="AR141" s="196"/>
    </row>
    <row r="142" ht="16.5" customHeight="1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6"/>
      <c r="AK142" s="196"/>
      <c r="AL142" s="196"/>
      <c r="AM142" s="196"/>
      <c r="AN142" s="196"/>
      <c r="AO142" s="196"/>
      <c r="AP142" s="196"/>
      <c r="AQ142" s="196"/>
      <c r="AR142" s="196"/>
    </row>
    <row r="143" ht="16.5" customHeight="1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6"/>
      <c r="AK143" s="196"/>
      <c r="AL143" s="196"/>
      <c r="AM143" s="196"/>
      <c r="AN143" s="196"/>
      <c r="AO143" s="196"/>
      <c r="AP143" s="196"/>
      <c r="AQ143" s="196"/>
      <c r="AR143" s="196"/>
    </row>
    <row r="144" ht="16.5" customHeight="1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  <c r="AF144" s="196"/>
      <c r="AG144" s="196"/>
      <c r="AH144" s="196"/>
      <c r="AI144" s="196"/>
      <c r="AJ144" s="196"/>
      <c r="AK144" s="196"/>
      <c r="AL144" s="196"/>
      <c r="AM144" s="196"/>
      <c r="AN144" s="196"/>
      <c r="AO144" s="196"/>
      <c r="AP144" s="196"/>
      <c r="AQ144" s="196"/>
      <c r="AR144" s="196"/>
    </row>
    <row r="145" ht="16.5" customHeight="1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  <c r="AF145" s="196"/>
      <c r="AG145" s="196"/>
      <c r="AH145" s="196"/>
      <c r="AI145" s="196"/>
      <c r="AJ145" s="196"/>
      <c r="AK145" s="196"/>
      <c r="AL145" s="196"/>
      <c r="AM145" s="196"/>
      <c r="AN145" s="196"/>
      <c r="AO145" s="196"/>
      <c r="AP145" s="196"/>
      <c r="AQ145" s="196"/>
      <c r="AR145" s="196"/>
    </row>
    <row r="146" ht="16.5" customHeight="1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  <c r="AF146" s="196"/>
      <c r="AG146" s="196"/>
      <c r="AH146" s="196"/>
      <c r="AI146" s="196"/>
      <c r="AJ146" s="196"/>
      <c r="AK146" s="196"/>
      <c r="AL146" s="196"/>
      <c r="AM146" s="196"/>
      <c r="AN146" s="196"/>
      <c r="AO146" s="196"/>
      <c r="AP146" s="196"/>
      <c r="AQ146" s="196"/>
      <c r="AR146" s="196"/>
    </row>
    <row r="147" ht="16.5" customHeight="1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  <c r="AF147" s="196"/>
      <c r="AG147" s="196"/>
      <c r="AH147" s="196"/>
      <c r="AI147" s="196"/>
      <c r="AJ147" s="196"/>
      <c r="AK147" s="196"/>
      <c r="AL147" s="196"/>
      <c r="AM147" s="196"/>
      <c r="AN147" s="196"/>
      <c r="AO147" s="196"/>
      <c r="AP147" s="196"/>
      <c r="AQ147" s="196"/>
      <c r="AR147" s="196"/>
    </row>
    <row r="148" ht="16.5" customHeight="1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D148" s="196"/>
      <c r="AE148" s="196"/>
      <c r="AF148" s="196"/>
      <c r="AG148" s="196"/>
      <c r="AH148" s="196"/>
      <c r="AI148" s="196"/>
      <c r="AJ148" s="196"/>
      <c r="AK148" s="196"/>
      <c r="AL148" s="196"/>
      <c r="AM148" s="196"/>
      <c r="AN148" s="196"/>
      <c r="AO148" s="196"/>
      <c r="AP148" s="196"/>
      <c r="AQ148" s="196"/>
      <c r="AR148" s="196"/>
    </row>
    <row r="149" ht="16.5" customHeight="1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</row>
    <row r="150" ht="16.5" customHeight="1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</row>
    <row r="151" ht="16.5" customHeight="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</row>
    <row r="152" ht="16.5" customHeight="1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</row>
    <row r="153" ht="16.5" customHeight="1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</row>
    <row r="154" ht="16.5" customHeight="1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</row>
    <row r="155" ht="16.5" customHeight="1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</row>
    <row r="156" ht="16.5" customHeight="1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</row>
    <row r="157" ht="16.5" customHeight="1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</row>
    <row r="158" ht="16.5" customHeight="1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</row>
    <row r="159" ht="16.5" customHeight="1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</row>
    <row r="160" ht="16.5" customHeight="1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</row>
    <row r="161" ht="16.5" customHeight="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  <c r="AF161" s="196"/>
      <c r="AG161" s="196"/>
      <c r="AH161" s="196"/>
      <c r="AI161" s="196"/>
      <c r="AJ161" s="196"/>
      <c r="AK161" s="196"/>
      <c r="AL161" s="196"/>
      <c r="AM161" s="196"/>
      <c r="AN161" s="196"/>
      <c r="AO161" s="196"/>
      <c r="AP161" s="196"/>
      <c r="AQ161" s="196"/>
      <c r="AR161" s="196"/>
    </row>
    <row r="162" ht="16.5" customHeight="1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  <c r="AF162" s="196"/>
      <c r="AG162" s="196"/>
      <c r="AH162" s="196"/>
      <c r="AI162" s="196"/>
      <c r="AJ162" s="196"/>
      <c r="AK162" s="196"/>
      <c r="AL162" s="196"/>
      <c r="AM162" s="196"/>
      <c r="AN162" s="196"/>
      <c r="AO162" s="196"/>
      <c r="AP162" s="196"/>
      <c r="AQ162" s="196"/>
      <c r="AR162" s="196"/>
    </row>
    <row r="163" ht="16.5" customHeight="1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</row>
    <row r="164" ht="16.5" customHeight="1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</row>
    <row r="165" ht="16.5" customHeight="1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</row>
    <row r="166" ht="16.5" customHeight="1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6"/>
      <c r="AK166" s="196"/>
      <c r="AL166" s="196"/>
      <c r="AM166" s="196"/>
      <c r="AN166" s="196"/>
      <c r="AO166" s="196"/>
      <c r="AP166" s="196"/>
      <c r="AQ166" s="196"/>
      <c r="AR166" s="196"/>
    </row>
    <row r="167" ht="16.5" customHeight="1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6"/>
      <c r="AK167" s="196"/>
      <c r="AL167" s="196"/>
      <c r="AM167" s="196"/>
      <c r="AN167" s="196"/>
      <c r="AO167" s="196"/>
      <c r="AP167" s="196"/>
      <c r="AQ167" s="196"/>
      <c r="AR167" s="196"/>
    </row>
    <row r="168" ht="16.5" customHeight="1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6"/>
      <c r="AK168" s="196"/>
      <c r="AL168" s="196"/>
      <c r="AM168" s="196"/>
      <c r="AN168" s="196"/>
      <c r="AO168" s="196"/>
      <c r="AP168" s="196"/>
      <c r="AQ168" s="196"/>
      <c r="AR168" s="196"/>
    </row>
    <row r="169" ht="16.5" customHeight="1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6"/>
      <c r="AK169" s="196"/>
      <c r="AL169" s="196"/>
      <c r="AM169" s="196"/>
      <c r="AN169" s="196"/>
      <c r="AO169" s="196"/>
      <c r="AP169" s="196"/>
      <c r="AQ169" s="196"/>
      <c r="AR169" s="196"/>
    </row>
    <row r="170" ht="16.5" customHeight="1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6"/>
      <c r="AK170" s="196"/>
      <c r="AL170" s="196"/>
      <c r="AM170" s="196"/>
      <c r="AN170" s="196"/>
      <c r="AO170" s="196"/>
      <c r="AP170" s="196"/>
      <c r="AQ170" s="196"/>
      <c r="AR170" s="196"/>
    </row>
    <row r="171" ht="16.5" customHeight="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6"/>
      <c r="AK171" s="196"/>
      <c r="AL171" s="196"/>
      <c r="AM171" s="196"/>
      <c r="AN171" s="196"/>
      <c r="AO171" s="196"/>
      <c r="AP171" s="196"/>
      <c r="AQ171" s="196"/>
      <c r="AR171" s="196"/>
    </row>
    <row r="172" ht="16.5" customHeight="1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D172" s="196"/>
      <c r="AE172" s="196"/>
      <c r="AF172" s="196"/>
      <c r="AG172" s="196"/>
      <c r="AH172" s="196"/>
      <c r="AI172" s="196"/>
      <c r="AJ172" s="196"/>
      <c r="AK172" s="196"/>
      <c r="AL172" s="196"/>
      <c r="AM172" s="196"/>
      <c r="AN172" s="196"/>
      <c r="AO172" s="196"/>
      <c r="AP172" s="196"/>
      <c r="AQ172" s="196"/>
      <c r="AR172" s="196"/>
    </row>
    <row r="173" ht="16.5" customHeight="1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  <c r="AF173" s="196"/>
      <c r="AG173" s="196"/>
      <c r="AH173" s="196"/>
      <c r="AI173" s="196"/>
      <c r="AJ173" s="196"/>
      <c r="AK173" s="196"/>
      <c r="AL173" s="196"/>
      <c r="AM173" s="196"/>
      <c r="AN173" s="196"/>
      <c r="AO173" s="196"/>
      <c r="AP173" s="196"/>
      <c r="AQ173" s="196"/>
      <c r="AR173" s="196"/>
    </row>
    <row r="174" ht="16.5" customHeight="1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D174" s="196"/>
      <c r="AE174" s="196"/>
      <c r="AF174" s="196"/>
      <c r="AG174" s="196"/>
      <c r="AH174" s="196"/>
      <c r="AI174" s="196"/>
      <c r="AJ174" s="196"/>
      <c r="AK174" s="196"/>
      <c r="AL174" s="196"/>
      <c r="AM174" s="196"/>
      <c r="AN174" s="196"/>
      <c r="AO174" s="196"/>
      <c r="AP174" s="196"/>
      <c r="AQ174" s="196"/>
      <c r="AR174" s="196"/>
    </row>
    <row r="175" ht="16.5" customHeight="1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  <c r="AF175" s="196"/>
      <c r="AG175" s="196"/>
      <c r="AH175" s="196"/>
      <c r="AI175" s="196"/>
      <c r="AJ175" s="196"/>
      <c r="AK175" s="196"/>
      <c r="AL175" s="196"/>
      <c r="AM175" s="196"/>
      <c r="AN175" s="196"/>
      <c r="AO175" s="196"/>
      <c r="AP175" s="196"/>
      <c r="AQ175" s="196"/>
      <c r="AR175" s="196"/>
    </row>
    <row r="176" ht="16.5" customHeight="1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  <c r="AF176" s="196"/>
      <c r="AG176" s="196"/>
      <c r="AH176" s="196"/>
      <c r="AI176" s="196"/>
      <c r="AJ176" s="196"/>
      <c r="AK176" s="196"/>
      <c r="AL176" s="196"/>
      <c r="AM176" s="196"/>
      <c r="AN176" s="196"/>
      <c r="AO176" s="196"/>
      <c r="AP176" s="196"/>
      <c r="AQ176" s="196"/>
      <c r="AR176" s="196"/>
    </row>
    <row r="177" ht="16.5" customHeight="1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D177" s="196"/>
      <c r="AE177" s="196"/>
      <c r="AF177" s="196"/>
      <c r="AG177" s="196"/>
      <c r="AH177" s="196"/>
      <c r="AI177" s="196"/>
      <c r="AJ177" s="196"/>
      <c r="AK177" s="196"/>
      <c r="AL177" s="196"/>
      <c r="AM177" s="196"/>
      <c r="AN177" s="196"/>
      <c r="AO177" s="196"/>
      <c r="AP177" s="196"/>
      <c r="AQ177" s="196"/>
      <c r="AR177" s="196"/>
    </row>
    <row r="178" ht="16.5" customHeight="1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6"/>
      <c r="AK178" s="196"/>
      <c r="AL178" s="196"/>
      <c r="AM178" s="196"/>
      <c r="AN178" s="196"/>
      <c r="AO178" s="196"/>
      <c r="AP178" s="196"/>
      <c r="AQ178" s="196"/>
      <c r="AR178" s="196"/>
    </row>
    <row r="179" ht="16.5" customHeight="1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6"/>
      <c r="AK179" s="196"/>
      <c r="AL179" s="196"/>
      <c r="AM179" s="196"/>
      <c r="AN179" s="196"/>
      <c r="AO179" s="196"/>
      <c r="AP179" s="196"/>
      <c r="AQ179" s="196"/>
      <c r="AR179" s="196"/>
    </row>
    <row r="180" ht="16.5" customHeight="1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6"/>
      <c r="AK180" s="196"/>
      <c r="AL180" s="196"/>
      <c r="AM180" s="196"/>
      <c r="AN180" s="196"/>
      <c r="AO180" s="196"/>
      <c r="AP180" s="196"/>
      <c r="AQ180" s="196"/>
      <c r="AR180" s="196"/>
    </row>
    <row r="181" ht="16.5" customHeight="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6"/>
      <c r="AK181" s="196"/>
      <c r="AL181" s="196"/>
      <c r="AM181" s="196"/>
      <c r="AN181" s="196"/>
      <c r="AO181" s="196"/>
      <c r="AP181" s="196"/>
      <c r="AQ181" s="196"/>
      <c r="AR181" s="196"/>
    </row>
    <row r="182" ht="16.5" customHeight="1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6"/>
      <c r="AK182" s="196"/>
      <c r="AL182" s="196"/>
      <c r="AM182" s="196"/>
      <c r="AN182" s="196"/>
      <c r="AO182" s="196"/>
      <c r="AP182" s="196"/>
      <c r="AQ182" s="196"/>
      <c r="AR182" s="196"/>
    </row>
    <row r="183" ht="16.5" customHeight="1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6"/>
      <c r="AK183" s="196"/>
      <c r="AL183" s="196"/>
      <c r="AM183" s="196"/>
      <c r="AN183" s="196"/>
      <c r="AO183" s="196"/>
      <c r="AP183" s="196"/>
      <c r="AQ183" s="196"/>
      <c r="AR183" s="196"/>
    </row>
    <row r="184" ht="16.5" customHeight="1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6"/>
      <c r="AK184" s="196"/>
      <c r="AL184" s="196"/>
      <c r="AM184" s="196"/>
      <c r="AN184" s="196"/>
      <c r="AO184" s="196"/>
      <c r="AP184" s="196"/>
      <c r="AQ184" s="196"/>
      <c r="AR184" s="196"/>
    </row>
    <row r="185" ht="16.5" customHeight="1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6"/>
      <c r="AK185" s="196"/>
      <c r="AL185" s="196"/>
      <c r="AM185" s="196"/>
      <c r="AN185" s="196"/>
      <c r="AO185" s="196"/>
      <c r="AP185" s="196"/>
      <c r="AQ185" s="196"/>
      <c r="AR185" s="196"/>
    </row>
    <row r="186" ht="16.5" customHeight="1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D186" s="196"/>
      <c r="AE186" s="196"/>
      <c r="AF186" s="196"/>
      <c r="AG186" s="196"/>
      <c r="AH186" s="196"/>
      <c r="AI186" s="196"/>
      <c r="AJ186" s="196"/>
      <c r="AK186" s="196"/>
      <c r="AL186" s="196"/>
      <c r="AM186" s="196"/>
      <c r="AN186" s="196"/>
      <c r="AO186" s="196"/>
      <c r="AP186" s="196"/>
      <c r="AQ186" s="196"/>
      <c r="AR186" s="196"/>
    </row>
    <row r="187" ht="16.5" customHeight="1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  <c r="AF187" s="196"/>
      <c r="AG187" s="196"/>
      <c r="AH187" s="196"/>
      <c r="AI187" s="196"/>
      <c r="AJ187" s="196"/>
      <c r="AK187" s="196"/>
      <c r="AL187" s="196"/>
      <c r="AM187" s="196"/>
      <c r="AN187" s="196"/>
      <c r="AO187" s="196"/>
      <c r="AP187" s="196"/>
      <c r="AQ187" s="196"/>
      <c r="AR187" s="196"/>
    </row>
    <row r="188" ht="16.5" customHeight="1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  <c r="AF188" s="196"/>
      <c r="AG188" s="196"/>
      <c r="AH188" s="196"/>
      <c r="AI188" s="196"/>
      <c r="AJ188" s="196"/>
      <c r="AK188" s="196"/>
      <c r="AL188" s="196"/>
      <c r="AM188" s="196"/>
      <c r="AN188" s="196"/>
      <c r="AO188" s="196"/>
      <c r="AP188" s="196"/>
      <c r="AQ188" s="196"/>
      <c r="AR188" s="196"/>
    </row>
    <row r="189" ht="16.5" customHeight="1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  <c r="AF189" s="196"/>
      <c r="AG189" s="196"/>
      <c r="AH189" s="196"/>
      <c r="AI189" s="196"/>
      <c r="AJ189" s="196"/>
      <c r="AK189" s="196"/>
      <c r="AL189" s="196"/>
      <c r="AM189" s="196"/>
      <c r="AN189" s="196"/>
      <c r="AO189" s="196"/>
      <c r="AP189" s="196"/>
      <c r="AQ189" s="196"/>
      <c r="AR189" s="196"/>
    </row>
    <row r="190" ht="16.5" customHeight="1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  <c r="AF190" s="196"/>
      <c r="AG190" s="196"/>
      <c r="AH190" s="196"/>
      <c r="AI190" s="196"/>
      <c r="AJ190" s="196"/>
      <c r="AK190" s="196"/>
      <c r="AL190" s="196"/>
      <c r="AM190" s="196"/>
      <c r="AN190" s="196"/>
      <c r="AO190" s="196"/>
      <c r="AP190" s="196"/>
      <c r="AQ190" s="196"/>
      <c r="AR190" s="196"/>
    </row>
    <row r="191" ht="16.5" customHeight="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D191" s="196"/>
      <c r="AE191" s="196"/>
      <c r="AF191" s="196"/>
      <c r="AG191" s="196"/>
      <c r="AH191" s="196"/>
      <c r="AI191" s="196"/>
      <c r="AJ191" s="196"/>
      <c r="AK191" s="196"/>
      <c r="AL191" s="196"/>
      <c r="AM191" s="196"/>
      <c r="AN191" s="196"/>
      <c r="AO191" s="196"/>
      <c r="AP191" s="196"/>
      <c r="AQ191" s="196"/>
      <c r="AR191" s="196"/>
    </row>
    <row r="192" ht="16.5" customHeight="1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6"/>
      <c r="AP192" s="196"/>
      <c r="AQ192" s="196"/>
      <c r="AR192" s="196"/>
    </row>
    <row r="193" ht="16.5" customHeight="1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6"/>
      <c r="AK193" s="196"/>
      <c r="AL193" s="196"/>
      <c r="AM193" s="196"/>
      <c r="AN193" s="196"/>
      <c r="AO193" s="196"/>
      <c r="AP193" s="196"/>
      <c r="AQ193" s="196"/>
      <c r="AR193" s="196"/>
    </row>
    <row r="194" ht="16.5" customHeight="1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6"/>
      <c r="AP194" s="196"/>
      <c r="AQ194" s="196"/>
      <c r="AR194" s="196"/>
    </row>
    <row r="195" ht="16.5" customHeight="1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6"/>
      <c r="AK195" s="196"/>
      <c r="AL195" s="196"/>
      <c r="AM195" s="196"/>
      <c r="AN195" s="196"/>
      <c r="AO195" s="196"/>
      <c r="AP195" s="196"/>
      <c r="AQ195" s="196"/>
      <c r="AR195" s="196"/>
    </row>
    <row r="196" ht="16.5" customHeight="1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6"/>
      <c r="AK196" s="196"/>
      <c r="AL196" s="196"/>
      <c r="AM196" s="196"/>
      <c r="AN196" s="196"/>
      <c r="AO196" s="196"/>
      <c r="AP196" s="196"/>
      <c r="AQ196" s="196"/>
      <c r="AR196" s="196"/>
    </row>
    <row r="197" ht="16.5" customHeight="1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6"/>
      <c r="AK197" s="196"/>
      <c r="AL197" s="196"/>
      <c r="AM197" s="196"/>
      <c r="AN197" s="196"/>
      <c r="AO197" s="196"/>
      <c r="AP197" s="196"/>
      <c r="AQ197" s="196"/>
      <c r="AR197" s="196"/>
    </row>
    <row r="198" ht="16.5" customHeight="1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6"/>
      <c r="AK198" s="196"/>
      <c r="AL198" s="196"/>
      <c r="AM198" s="196"/>
      <c r="AN198" s="196"/>
      <c r="AO198" s="196"/>
      <c r="AP198" s="196"/>
      <c r="AQ198" s="196"/>
      <c r="AR198" s="196"/>
    </row>
    <row r="199" ht="16.5" customHeight="1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6"/>
      <c r="AK199" s="196"/>
      <c r="AL199" s="196"/>
      <c r="AM199" s="196"/>
      <c r="AN199" s="196"/>
      <c r="AO199" s="196"/>
      <c r="AP199" s="196"/>
      <c r="AQ199" s="196"/>
      <c r="AR199" s="196"/>
    </row>
    <row r="200" ht="16.5" customHeight="1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D200" s="196"/>
      <c r="AE200" s="196"/>
      <c r="AF200" s="196"/>
      <c r="AG200" s="196"/>
      <c r="AH200" s="196"/>
      <c r="AI200" s="196"/>
      <c r="AJ200" s="196"/>
      <c r="AK200" s="196"/>
      <c r="AL200" s="196"/>
      <c r="AM200" s="196"/>
      <c r="AN200" s="196"/>
      <c r="AO200" s="196"/>
      <c r="AP200" s="196"/>
      <c r="AQ200" s="196"/>
      <c r="AR200" s="196"/>
    </row>
    <row r="201" ht="16.5" customHeight="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D201" s="196"/>
      <c r="AE201" s="196"/>
      <c r="AF201" s="196"/>
      <c r="AG201" s="196"/>
      <c r="AH201" s="196"/>
      <c r="AI201" s="196"/>
      <c r="AJ201" s="196"/>
      <c r="AK201" s="196"/>
      <c r="AL201" s="196"/>
      <c r="AM201" s="196"/>
      <c r="AN201" s="196"/>
      <c r="AO201" s="196"/>
      <c r="AP201" s="196"/>
      <c r="AQ201" s="196"/>
      <c r="AR201" s="196"/>
    </row>
    <row r="202" ht="16.5" customHeight="1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D202" s="196"/>
      <c r="AE202" s="196"/>
      <c r="AF202" s="196"/>
      <c r="AG202" s="196"/>
      <c r="AH202" s="196"/>
      <c r="AI202" s="196"/>
      <c r="AJ202" s="196"/>
      <c r="AK202" s="196"/>
      <c r="AL202" s="196"/>
      <c r="AM202" s="196"/>
      <c r="AN202" s="196"/>
      <c r="AO202" s="196"/>
      <c r="AP202" s="196"/>
      <c r="AQ202" s="196"/>
      <c r="AR202" s="196"/>
    </row>
    <row r="203" ht="16.5" customHeight="1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  <c r="AA203" s="196"/>
      <c r="AB203" s="196"/>
      <c r="AC203" s="196"/>
      <c r="AD203" s="196"/>
      <c r="AE203" s="196"/>
      <c r="AF203" s="196"/>
      <c r="AG203" s="196"/>
      <c r="AH203" s="196"/>
      <c r="AI203" s="196"/>
      <c r="AJ203" s="196"/>
      <c r="AK203" s="196"/>
      <c r="AL203" s="196"/>
      <c r="AM203" s="196"/>
      <c r="AN203" s="196"/>
      <c r="AO203" s="196"/>
      <c r="AP203" s="196"/>
      <c r="AQ203" s="196"/>
      <c r="AR203" s="196"/>
    </row>
    <row r="204" ht="16.5" customHeight="1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D204" s="196"/>
      <c r="AE204" s="196"/>
      <c r="AF204" s="196"/>
      <c r="AG204" s="196"/>
      <c r="AH204" s="196"/>
      <c r="AI204" s="196"/>
      <c r="AJ204" s="196"/>
      <c r="AK204" s="196"/>
      <c r="AL204" s="196"/>
      <c r="AM204" s="196"/>
      <c r="AN204" s="196"/>
      <c r="AO204" s="196"/>
      <c r="AP204" s="196"/>
      <c r="AQ204" s="196"/>
      <c r="AR204" s="196"/>
    </row>
    <row r="205" ht="16.5" customHeight="1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D205" s="196"/>
      <c r="AE205" s="196"/>
      <c r="AF205" s="196"/>
      <c r="AG205" s="196"/>
      <c r="AH205" s="196"/>
      <c r="AI205" s="196"/>
      <c r="AJ205" s="196"/>
      <c r="AK205" s="196"/>
      <c r="AL205" s="196"/>
      <c r="AM205" s="196"/>
      <c r="AN205" s="196"/>
      <c r="AO205" s="196"/>
      <c r="AP205" s="196"/>
      <c r="AQ205" s="196"/>
      <c r="AR205" s="196"/>
    </row>
    <row r="206" ht="16.5" customHeight="1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6"/>
      <c r="AK206" s="196"/>
      <c r="AL206" s="196"/>
      <c r="AM206" s="196"/>
      <c r="AN206" s="196"/>
      <c r="AO206" s="196"/>
      <c r="AP206" s="196"/>
      <c r="AQ206" s="196"/>
      <c r="AR206" s="196"/>
    </row>
    <row r="207" ht="16.5" customHeight="1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6"/>
      <c r="AK207" s="196"/>
      <c r="AL207" s="196"/>
      <c r="AM207" s="196"/>
      <c r="AN207" s="196"/>
      <c r="AO207" s="196"/>
      <c r="AP207" s="196"/>
      <c r="AQ207" s="196"/>
      <c r="AR207" s="196"/>
    </row>
    <row r="208" ht="16.5" customHeight="1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6"/>
      <c r="AK208" s="196"/>
      <c r="AL208" s="196"/>
      <c r="AM208" s="196"/>
      <c r="AN208" s="196"/>
      <c r="AO208" s="196"/>
      <c r="AP208" s="196"/>
      <c r="AQ208" s="196"/>
      <c r="AR208" s="196"/>
    </row>
    <row r="209" ht="16.5" customHeight="1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6"/>
      <c r="AK209" s="196"/>
      <c r="AL209" s="196"/>
      <c r="AM209" s="196"/>
      <c r="AN209" s="196"/>
      <c r="AO209" s="196"/>
      <c r="AP209" s="196"/>
      <c r="AQ209" s="196"/>
      <c r="AR209" s="196"/>
    </row>
    <row r="210" ht="16.5" customHeight="1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6"/>
      <c r="AK210" s="196"/>
      <c r="AL210" s="196"/>
      <c r="AM210" s="196"/>
      <c r="AN210" s="196"/>
      <c r="AO210" s="196"/>
      <c r="AP210" s="196"/>
      <c r="AQ210" s="196"/>
      <c r="AR210" s="196"/>
    </row>
    <row r="211" ht="16.5" customHeight="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6"/>
      <c r="AK211" s="196"/>
      <c r="AL211" s="196"/>
      <c r="AM211" s="196"/>
      <c r="AN211" s="196"/>
      <c r="AO211" s="196"/>
      <c r="AP211" s="196"/>
      <c r="AQ211" s="196"/>
      <c r="AR211" s="196"/>
    </row>
    <row r="212" ht="16.5" customHeight="1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6"/>
      <c r="AK212" s="196"/>
      <c r="AL212" s="196"/>
      <c r="AM212" s="196"/>
      <c r="AN212" s="196"/>
      <c r="AO212" s="196"/>
      <c r="AP212" s="196"/>
      <c r="AQ212" s="196"/>
      <c r="AR212" s="196"/>
    </row>
    <row r="213" ht="16.5" customHeight="1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6"/>
      <c r="AK213" s="196"/>
      <c r="AL213" s="196"/>
      <c r="AM213" s="196"/>
      <c r="AN213" s="196"/>
      <c r="AO213" s="196"/>
      <c r="AP213" s="196"/>
      <c r="AQ213" s="196"/>
      <c r="AR213" s="196"/>
    </row>
    <row r="214" ht="16.5" customHeight="1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  <c r="AF214" s="196"/>
      <c r="AG214" s="196"/>
      <c r="AH214" s="196"/>
      <c r="AI214" s="196"/>
      <c r="AJ214" s="196"/>
      <c r="AK214" s="196"/>
      <c r="AL214" s="196"/>
      <c r="AM214" s="196"/>
      <c r="AN214" s="196"/>
      <c r="AO214" s="196"/>
      <c r="AP214" s="196"/>
      <c r="AQ214" s="196"/>
      <c r="AR214" s="196"/>
    </row>
    <row r="215" ht="16.5" customHeight="1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  <c r="AA215" s="196"/>
      <c r="AB215" s="196"/>
      <c r="AC215" s="196"/>
      <c r="AD215" s="196"/>
      <c r="AE215" s="196"/>
      <c r="AF215" s="196"/>
      <c r="AG215" s="196"/>
      <c r="AH215" s="196"/>
      <c r="AI215" s="196"/>
      <c r="AJ215" s="196"/>
      <c r="AK215" s="196"/>
      <c r="AL215" s="196"/>
      <c r="AM215" s="196"/>
      <c r="AN215" s="196"/>
      <c r="AO215" s="196"/>
      <c r="AP215" s="196"/>
      <c r="AQ215" s="196"/>
      <c r="AR215" s="196"/>
    </row>
    <row r="216" ht="16.5" customHeight="1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  <c r="AD216" s="196"/>
      <c r="AE216" s="196"/>
      <c r="AF216" s="196"/>
      <c r="AG216" s="196"/>
      <c r="AH216" s="196"/>
      <c r="AI216" s="196"/>
      <c r="AJ216" s="196"/>
      <c r="AK216" s="196"/>
      <c r="AL216" s="196"/>
      <c r="AM216" s="196"/>
      <c r="AN216" s="196"/>
      <c r="AO216" s="196"/>
      <c r="AP216" s="196"/>
      <c r="AQ216" s="196"/>
      <c r="AR216" s="196"/>
    </row>
    <row r="217" ht="16.5" customHeight="1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  <c r="AA217" s="196"/>
      <c r="AB217" s="196"/>
      <c r="AC217" s="196"/>
      <c r="AD217" s="196"/>
      <c r="AE217" s="196"/>
      <c r="AF217" s="196"/>
      <c r="AG217" s="196"/>
      <c r="AH217" s="196"/>
      <c r="AI217" s="196"/>
      <c r="AJ217" s="196"/>
      <c r="AK217" s="196"/>
      <c r="AL217" s="196"/>
      <c r="AM217" s="196"/>
      <c r="AN217" s="196"/>
      <c r="AO217" s="196"/>
      <c r="AP217" s="196"/>
      <c r="AQ217" s="196"/>
      <c r="AR217" s="196"/>
    </row>
    <row r="218" ht="16.5" customHeight="1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  <c r="AA218" s="196"/>
      <c r="AB218" s="196"/>
      <c r="AC218" s="196"/>
      <c r="AD218" s="196"/>
      <c r="AE218" s="196"/>
      <c r="AF218" s="196"/>
      <c r="AG218" s="196"/>
      <c r="AH218" s="196"/>
      <c r="AI218" s="196"/>
      <c r="AJ218" s="196"/>
      <c r="AK218" s="196"/>
      <c r="AL218" s="196"/>
      <c r="AM218" s="196"/>
      <c r="AN218" s="196"/>
      <c r="AO218" s="196"/>
      <c r="AP218" s="196"/>
      <c r="AQ218" s="196"/>
      <c r="AR218" s="196"/>
    </row>
    <row r="219" ht="16.5" customHeight="1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  <c r="AD219" s="196"/>
      <c r="AE219" s="196"/>
      <c r="AF219" s="196"/>
      <c r="AG219" s="196"/>
      <c r="AH219" s="196"/>
      <c r="AI219" s="196"/>
      <c r="AJ219" s="196"/>
      <c r="AK219" s="196"/>
      <c r="AL219" s="196"/>
      <c r="AM219" s="196"/>
      <c r="AN219" s="196"/>
      <c r="AO219" s="196"/>
      <c r="AP219" s="196"/>
      <c r="AQ219" s="196"/>
      <c r="AR219" s="196"/>
    </row>
    <row r="220" ht="16.5" customHeight="1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6"/>
      <c r="AK220" s="196"/>
      <c r="AL220" s="196"/>
      <c r="AM220" s="196"/>
      <c r="AN220" s="196"/>
      <c r="AO220" s="196"/>
      <c r="AP220" s="196"/>
      <c r="AQ220" s="196"/>
      <c r="AR220" s="196"/>
    </row>
    <row r="221" ht="16.5" customHeight="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6"/>
      <c r="AK221" s="196"/>
      <c r="AL221" s="196"/>
      <c r="AM221" s="196"/>
      <c r="AN221" s="196"/>
      <c r="AO221" s="196"/>
      <c r="AP221" s="196"/>
      <c r="AQ221" s="196"/>
      <c r="AR221" s="196"/>
    </row>
    <row r="222" ht="16.5" customHeight="1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6"/>
      <c r="AK222" s="196"/>
      <c r="AL222" s="196"/>
      <c r="AM222" s="196"/>
      <c r="AN222" s="196"/>
      <c r="AO222" s="196"/>
      <c r="AP222" s="196"/>
      <c r="AQ222" s="196"/>
      <c r="AR222" s="196"/>
    </row>
    <row r="223" ht="16.5" customHeight="1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6"/>
      <c r="AK223" s="196"/>
      <c r="AL223" s="196"/>
      <c r="AM223" s="196"/>
      <c r="AN223" s="196"/>
      <c r="AO223" s="196"/>
      <c r="AP223" s="196"/>
      <c r="AQ223" s="196"/>
      <c r="AR223" s="196"/>
    </row>
    <row r="224" ht="16.5" customHeight="1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6"/>
      <c r="AK224" s="196"/>
      <c r="AL224" s="196"/>
      <c r="AM224" s="196"/>
      <c r="AN224" s="196"/>
      <c r="AO224" s="196"/>
      <c r="AP224" s="196"/>
      <c r="AQ224" s="196"/>
      <c r="AR224" s="196"/>
    </row>
    <row r="225" ht="16.5" customHeight="1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6"/>
      <c r="AK225" s="196"/>
      <c r="AL225" s="196"/>
      <c r="AM225" s="196"/>
      <c r="AN225" s="196"/>
      <c r="AO225" s="196"/>
      <c r="AP225" s="196"/>
      <c r="AQ225" s="196"/>
      <c r="AR225" s="196"/>
    </row>
    <row r="226" ht="16.5" customHeight="1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6"/>
      <c r="AK226" s="196"/>
      <c r="AL226" s="196"/>
      <c r="AM226" s="196"/>
      <c r="AN226" s="196"/>
      <c r="AO226" s="196"/>
      <c r="AP226" s="196"/>
      <c r="AQ226" s="196"/>
      <c r="AR226" s="196"/>
    </row>
    <row r="227" ht="16.5" customHeight="1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6"/>
      <c r="AK227" s="196"/>
      <c r="AL227" s="196"/>
      <c r="AM227" s="196"/>
      <c r="AN227" s="196"/>
      <c r="AO227" s="196"/>
      <c r="AP227" s="196"/>
      <c r="AQ227" s="196"/>
      <c r="AR227" s="196"/>
    </row>
    <row r="228" ht="16.5" customHeight="1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  <c r="AA228" s="196"/>
      <c r="AB228" s="196"/>
      <c r="AC228" s="196"/>
      <c r="AD228" s="196"/>
      <c r="AE228" s="196"/>
      <c r="AF228" s="196"/>
      <c r="AG228" s="196"/>
      <c r="AH228" s="196"/>
      <c r="AI228" s="196"/>
      <c r="AJ228" s="196"/>
      <c r="AK228" s="196"/>
      <c r="AL228" s="196"/>
      <c r="AM228" s="196"/>
      <c r="AN228" s="196"/>
      <c r="AO228" s="196"/>
      <c r="AP228" s="196"/>
      <c r="AQ228" s="196"/>
      <c r="AR228" s="196"/>
    </row>
    <row r="229" ht="16.5" customHeight="1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  <c r="AA229" s="196"/>
      <c r="AB229" s="196"/>
      <c r="AC229" s="196"/>
      <c r="AD229" s="196"/>
      <c r="AE229" s="196"/>
      <c r="AF229" s="196"/>
      <c r="AG229" s="196"/>
      <c r="AH229" s="196"/>
      <c r="AI229" s="196"/>
      <c r="AJ229" s="196"/>
      <c r="AK229" s="196"/>
      <c r="AL229" s="196"/>
      <c r="AM229" s="196"/>
      <c r="AN229" s="196"/>
      <c r="AO229" s="196"/>
      <c r="AP229" s="196"/>
      <c r="AQ229" s="196"/>
      <c r="AR229" s="196"/>
    </row>
    <row r="230" ht="16.5" customHeight="1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  <c r="AA230" s="196"/>
      <c r="AB230" s="196"/>
      <c r="AC230" s="196"/>
      <c r="AD230" s="196"/>
      <c r="AE230" s="196"/>
      <c r="AF230" s="196"/>
      <c r="AG230" s="196"/>
      <c r="AH230" s="196"/>
      <c r="AI230" s="196"/>
      <c r="AJ230" s="196"/>
      <c r="AK230" s="196"/>
      <c r="AL230" s="196"/>
      <c r="AM230" s="196"/>
      <c r="AN230" s="196"/>
      <c r="AO230" s="196"/>
      <c r="AP230" s="196"/>
      <c r="AQ230" s="196"/>
      <c r="AR230" s="196"/>
    </row>
    <row r="231" ht="16.5" customHeight="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  <c r="AA231" s="196"/>
      <c r="AB231" s="196"/>
      <c r="AC231" s="196"/>
      <c r="AD231" s="196"/>
      <c r="AE231" s="196"/>
      <c r="AF231" s="196"/>
      <c r="AG231" s="196"/>
      <c r="AH231" s="196"/>
      <c r="AI231" s="196"/>
      <c r="AJ231" s="196"/>
      <c r="AK231" s="196"/>
      <c r="AL231" s="196"/>
      <c r="AM231" s="196"/>
      <c r="AN231" s="196"/>
      <c r="AO231" s="196"/>
      <c r="AP231" s="196"/>
      <c r="AQ231" s="196"/>
      <c r="AR231" s="196"/>
    </row>
    <row r="232" ht="16.5" customHeight="1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  <c r="AA232" s="196"/>
      <c r="AB232" s="196"/>
      <c r="AC232" s="196"/>
      <c r="AD232" s="196"/>
      <c r="AE232" s="196"/>
      <c r="AF232" s="196"/>
      <c r="AG232" s="196"/>
      <c r="AH232" s="196"/>
      <c r="AI232" s="196"/>
      <c r="AJ232" s="196"/>
      <c r="AK232" s="196"/>
      <c r="AL232" s="196"/>
      <c r="AM232" s="196"/>
      <c r="AN232" s="196"/>
      <c r="AO232" s="196"/>
      <c r="AP232" s="196"/>
      <c r="AQ232" s="196"/>
      <c r="AR232" s="196"/>
    </row>
    <row r="233" ht="16.5" customHeight="1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  <c r="AA233" s="196"/>
      <c r="AB233" s="196"/>
      <c r="AC233" s="196"/>
      <c r="AD233" s="196"/>
      <c r="AE233" s="196"/>
      <c r="AF233" s="196"/>
      <c r="AG233" s="196"/>
      <c r="AH233" s="196"/>
      <c r="AI233" s="196"/>
      <c r="AJ233" s="196"/>
      <c r="AK233" s="196"/>
      <c r="AL233" s="196"/>
      <c r="AM233" s="196"/>
      <c r="AN233" s="196"/>
      <c r="AO233" s="196"/>
      <c r="AP233" s="196"/>
      <c r="AQ233" s="196"/>
      <c r="AR233" s="196"/>
    </row>
    <row r="234" ht="16.5" customHeight="1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6"/>
      <c r="AK234" s="196"/>
      <c r="AL234" s="196"/>
      <c r="AM234" s="196"/>
      <c r="AN234" s="196"/>
      <c r="AO234" s="196"/>
      <c r="AP234" s="196"/>
      <c r="AQ234" s="196"/>
      <c r="AR234" s="196"/>
    </row>
    <row r="235" ht="16.5" customHeight="1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6"/>
      <c r="AK235" s="196"/>
      <c r="AL235" s="196"/>
      <c r="AM235" s="196"/>
      <c r="AN235" s="196"/>
      <c r="AO235" s="196"/>
      <c r="AP235" s="196"/>
      <c r="AQ235" s="196"/>
      <c r="AR235" s="196"/>
    </row>
    <row r="236" ht="16.5" customHeight="1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6"/>
      <c r="AK236" s="196"/>
      <c r="AL236" s="196"/>
      <c r="AM236" s="196"/>
      <c r="AN236" s="196"/>
      <c r="AO236" s="196"/>
      <c r="AP236" s="196"/>
      <c r="AQ236" s="196"/>
      <c r="AR236" s="196"/>
    </row>
    <row r="237" ht="16.5" customHeight="1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6"/>
      <c r="AK237" s="196"/>
      <c r="AL237" s="196"/>
      <c r="AM237" s="196"/>
      <c r="AN237" s="196"/>
      <c r="AO237" s="196"/>
      <c r="AP237" s="196"/>
      <c r="AQ237" s="196"/>
      <c r="AR237" s="196"/>
    </row>
    <row r="238" ht="16.5" customHeight="1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6"/>
      <c r="AK238" s="196"/>
      <c r="AL238" s="196"/>
      <c r="AM238" s="196"/>
      <c r="AN238" s="196"/>
      <c r="AO238" s="196"/>
      <c r="AP238" s="196"/>
      <c r="AQ238" s="196"/>
      <c r="AR238" s="196"/>
    </row>
    <row r="239" ht="16.5" customHeight="1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6"/>
      <c r="AK239" s="196"/>
      <c r="AL239" s="196"/>
      <c r="AM239" s="196"/>
      <c r="AN239" s="196"/>
      <c r="AO239" s="196"/>
      <c r="AP239" s="196"/>
      <c r="AQ239" s="196"/>
      <c r="AR239" s="196"/>
    </row>
    <row r="240" ht="16.5" customHeight="1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6"/>
      <c r="AK240" s="196"/>
      <c r="AL240" s="196"/>
      <c r="AM240" s="196"/>
      <c r="AN240" s="196"/>
      <c r="AO240" s="196"/>
      <c r="AP240" s="196"/>
      <c r="AQ240" s="196"/>
      <c r="AR240" s="196"/>
    </row>
    <row r="241" ht="16.5" customHeight="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6"/>
      <c r="AK241" s="196"/>
      <c r="AL241" s="196"/>
      <c r="AM241" s="196"/>
      <c r="AN241" s="196"/>
      <c r="AO241" s="196"/>
      <c r="AP241" s="196"/>
      <c r="AQ241" s="196"/>
      <c r="AR241" s="196"/>
    </row>
    <row r="242" ht="16.5" customHeight="1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  <c r="AD242" s="196"/>
      <c r="AE242" s="196"/>
      <c r="AF242" s="196"/>
      <c r="AG242" s="196"/>
      <c r="AH242" s="196"/>
      <c r="AI242" s="196"/>
      <c r="AJ242" s="196"/>
      <c r="AK242" s="196"/>
      <c r="AL242" s="196"/>
      <c r="AM242" s="196"/>
      <c r="AN242" s="196"/>
      <c r="AO242" s="196"/>
      <c r="AP242" s="196"/>
      <c r="AQ242" s="196"/>
      <c r="AR242" s="196"/>
    </row>
    <row r="243" ht="16.5" customHeight="1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  <c r="AA243" s="196"/>
      <c r="AB243" s="196"/>
      <c r="AC243" s="196"/>
      <c r="AD243" s="196"/>
      <c r="AE243" s="196"/>
      <c r="AF243" s="196"/>
      <c r="AG243" s="196"/>
      <c r="AH243" s="196"/>
      <c r="AI243" s="196"/>
      <c r="AJ243" s="196"/>
      <c r="AK243" s="196"/>
      <c r="AL243" s="196"/>
      <c r="AM243" s="196"/>
      <c r="AN243" s="196"/>
      <c r="AO243" s="196"/>
      <c r="AP243" s="196"/>
      <c r="AQ243" s="196"/>
      <c r="AR243" s="196"/>
    </row>
    <row r="244" ht="16.5" customHeight="1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  <c r="AA244" s="196"/>
      <c r="AB244" s="196"/>
      <c r="AC244" s="196"/>
      <c r="AD244" s="196"/>
      <c r="AE244" s="196"/>
      <c r="AF244" s="196"/>
      <c r="AG244" s="196"/>
      <c r="AH244" s="196"/>
      <c r="AI244" s="196"/>
      <c r="AJ244" s="196"/>
      <c r="AK244" s="196"/>
      <c r="AL244" s="196"/>
      <c r="AM244" s="196"/>
      <c r="AN244" s="196"/>
      <c r="AO244" s="196"/>
      <c r="AP244" s="196"/>
      <c r="AQ244" s="196"/>
      <c r="AR244" s="196"/>
    </row>
    <row r="245" ht="16.5" customHeight="1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  <c r="AA245" s="196"/>
      <c r="AB245" s="196"/>
      <c r="AC245" s="196"/>
      <c r="AD245" s="196"/>
      <c r="AE245" s="196"/>
      <c r="AF245" s="196"/>
      <c r="AG245" s="196"/>
      <c r="AH245" s="196"/>
      <c r="AI245" s="196"/>
      <c r="AJ245" s="196"/>
      <c r="AK245" s="196"/>
      <c r="AL245" s="196"/>
      <c r="AM245" s="196"/>
      <c r="AN245" s="196"/>
      <c r="AO245" s="196"/>
      <c r="AP245" s="196"/>
      <c r="AQ245" s="196"/>
      <c r="AR245" s="196"/>
    </row>
    <row r="246" ht="16.5" customHeight="1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  <c r="AD246" s="196"/>
      <c r="AE246" s="196"/>
      <c r="AF246" s="196"/>
      <c r="AG246" s="196"/>
      <c r="AH246" s="196"/>
      <c r="AI246" s="196"/>
      <c r="AJ246" s="196"/>
      <c r="AK246" s="196"/>
      <c r="AL246" s="196"/>
      <c r="AM246" s="196"/>
      <c r="AN246" s="196"/>
      <c r="AO246" s="196"/>
      <c r="AP246" s="196"/>
      <c r="AQ246" s="196"/>
      <c r="AR246" s="196"/>
    </row>
    <row r="247" ht="16.5" customHeight="1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  <c r="AA247" s="196"/>
      <c r="AB247" s="196"/>
      <c r="AC247" s="196"/>
      <c r="AD247" s="196"/>
      <c r="AE247" s="196"/>
      <c r="AF247" s="196"/>
      <c r="AG247" s="196"/>
      <c r="AH247" s="196"/>
      <c r="AI247" s="196"/>
      <c r="AJ247" s="196"/>
      <c r="AK247" s="196"/>
      <c r="AL247" s="196"/>
      <c r="AM247" s="196"/>
      <c r="AN247" s="196"/>
      <c r="AO247" s="196"/>
      <c r="AP247" s="196"/>
      <c r="AQ247" s="196"/>
      <c r="AR247" s="196"/>
    </row>
    <row r="248" ht="16.5" customHeight="1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6"/>
      <c r="AK248" s="196"/>
      <c r="AL248" s="196"/>
      <c r="AM248" s="196"/>
      <c r="AN248" s="196"/>
      <c r="AO248" s="196"/>
      <c r="AP248" s="196"/>
      <c r="AQ248" s="196"/>
      <c r="AR248" s="196"/>
    </row>
    <row r="249" ht="16.5" customHeight="1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6"/>
      <c r="AK249" s="196"/>
      <c r="AL249" s="196"/>
      <c r="AM249" s="196"/>
      <c r="AN249" s="196"/>
      <c r="AO249" s="196"/>
      <c r="AP249" s="196"/>
      <c r="AQ249" s="196"/>
      <c r="AR249" s="196"/>
    </row>
    <row r="250" ht="16.5" customHeight="1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6"/>
      <c r="AK250" s="196"/>
      <c r="AL250" s="196"/>
      <c r="AM250" s="196"/>
      <c r="AN250" s="196"/>
      <c r="AO250" s="196"/>
      <c r="AP250" s="196"/>
      <c r="AQ250" s="196"/>
      <c r="AR250" s="196"/>
    </row>
    <row r="251" ht="16.5" customHeight="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6"/>
      <c r="AK251" s="196"/>
      <c r="AL251" s="196"/>
      <c r="AM251" s="196"/>
      <c r="AN251" s="196"/>
      <c r="AO251" s="196"/>
      <c r="AP251" s="196"/>
      <c r="AQ251" s="196"/>
      <c r="AR251" s="196"/>
    </row>
    <row r="252" ht="16.5" customHeight="1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6"/>
      <c r="AK252" s="196"/>
      <c r="AL252" s="196"/>
      <c r="AM252" s="196"/>
      <c r="AN252" s="196"/>
      <c r="AO252" s="196"/>
      <c r="AP252" s="196"/>
      <c r="AQ252" s="196"/>
      <c r="AR252" s="196"/>
    </row>
    <row r="253" ht="16.5" customHeight="1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6"/>
      <c r="AK253" s="196"/>
      <c r="AL253" s="196"/>
      <c r="AM253" s="196"/>
      <c r="AN253" s="196"/>
      <c r="AO253" s="196"/>
      <c r="AP253" s="196"/>
      <c r="AQ253" s="196"/>
      <c r="AR253" s="196"/>
    </row>
    <row r="254" ht="16.5" customHeight="1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6"/>
      <c r="AK254" s="196"/>
      <c r="AL254" s="196"/>
      <c r="AM254" s="196"/>
      <c r="AN254" s="196"/>
      <c r="AO254" s="196"/>
      <c r="AP254" s="196"/>
      <c r="AQ254" s="196"/>
      <c r="AR254" s="196"/>
    </row>
    <row r="255" ht="16.5" customHeight="1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6"/>
      <c r="AK255" s="196"/>
      <c r="AL255" s="196"/>
      <c r="AM255" s="196"/>
      <c r="AN255" s="196"/>
      <c r="AO255" s="196"/>
      <c r="AP255" s="196"/>
      <c r="AQ255" s="196"/>
      <c r="AR255" s="196"/>
    </row>
    <row r="256" ht="16.5" customHeight="1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  <c r="AA256" s="196"/>
      <c r="AB256" s="196"/>
      <c r="AC256" s="196"/>
      <c r="AD256" s="196"/>
      <c r="AE256" s="196"/>
      <c r="AF256" s="196"/>
      <c r="AG256" s="196"/>
      <c r="AH256" s="196"/>
      <c r="AI256" s="196"/>
      <c r="AJ256" s="196"/>
      <c r="AK256" s="196"/>
      <c r="AL256" s="196"/>
      <c r="AM256" s="196"/>
      <c r="AN256" s="196"/>
      <c r="AO256" s="196"/>
      <c r="AP256" s="196"/>
      <c r="AQ256" s="196"/>
      <c r="AR256" s="196"/>
    </row>
    <row r="257" ht="16.5" customHeight="1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  <c r="AD257" s="196"/>
      <c r="AE257" s="196"/>
      <c r="AF257" s="196"/>
      <c r="AG257" s="196"/>
      <c r="AH257" s="196"/>
      <c r="AI257" s="196"/>
      <c r="AJ257" s="196"/>
      <c r="AK257" s="196"/>
      <c r="AL257" s="196"/>
      <c r="AM257" s="196"/>
      <c r="AN257" s="196"/>
      <c r="AO257" s="196"/>
      <c r="AP257" s="196"/>
      <c r="AQ257" s="196"/>
      <c r="AR257" s="196"/>
    </row>
    <row r="258" ht="16.5" customHeight="1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  <c r="AA258" s="196"/>
      <c r="AB258" s="196"/>
      <c r="AC258" s="196"/>
      <c r="AD258" s="196"/>
      <c r="AE258" s="196"/>
      <c r="AF258" s="196"/>
      <c r="AG258" s="196"/>
      <c r="AH258" s="196"/>
      <c r="AI258" s="196"/>
      <c r="AJ258" s="196"/>
      <c r="AK258" s="196"/>
      <c r="AL258" s="196"/>
      <c r="AM258" s="196"/>
      <c r="AN258" s="196"/>
      <c r="AO258" s="196"/>
      <c r="AP258" s="196"/>
      <c r="AQ258" s="196"/>
      <c r="AR258" s="196"/>
    </row>
    <row r="259" ht="16.5" customHeight="1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  <c r="AA259" s="196"/>
      <c r="AB259" s="196"/>
      <c r="AC259" s="196"/>
      <c r="AD259" s="196"/>
      <c r="AE259" s="196"/>
      <c r="AF259" s="196"/>
      <c r="AG259" s="196"/>
      <c r="AH259" s="196"/>
      <c r="AI259" s="196"/>
      <c r="AJ259" s="196"/>
      <c r="AK259" s="196"/>
      <c r="AL259" s="196"/>
      <c r="AM259" s="196"/>
      <c r="AN259" s="196"/>
      <c r="AO259" s="196"/>
      <c r="AP259" s="196"/>
      <c r="AQ259" s="196"/>
      <c r="AR259" s="196"/>
    </row>
    <row r="260" ht="16.5" customHeight="1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  <c r="AA260" s="196"/>
      <c r="AB260" s="196"/>
      <c r="AC260" s="196"/>
      <c r="AD260" s="196"/>
      <c r="AE260" s="196"/>
      <c r="AF260" s="196"/>
      <c r="AG260" s="196"/>
      <c r="AH260" s="196"/>
      <c r="AI260" s="196"/>
      <c r="AJ260" s="196"/>
      <c r="AK260" s="196"/>
      <c r="AL260" s="196"/>
      <c r="AM260" s="196"/>
      <c r="AN260" s="196"/>
      <c r="AO260" s="196"/>
      <c r="AP260" s="196"/>
      <c r="AQ260" s="196"/>
      <c r="AR260" s="196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23:AF23"/>
    <mergeCell ref="AG23:AK23"/>
    <mergeCell ref="N24:O24"/>
    <mergeCell ref="T24:AF24"/>
    <mergeCell ref="AG24:AK24"/>
    <mergeCell ref="AL24:AQ24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AG29:AK29"/>
    <mergeCell ref="AL29:AQ29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T32:AF32"/>
    <mergeCell ref="T33:AF33"/>
    <mergeCell ref="AG33:AK33"/>
    <mergeCell ref="AL33:AQ33"/>
    <mergeCell ref="T30:AF30"/>
    <mergeCell ref="AG30:AK30"/>
    <mergeCell ref="T31:AF31"/>
    <mergeCell ref="AG31:AK31"/>
    <mergeCell ref="AL31:AQ31"/>
    <mergeCell ref="AG32:AK32"/>
    <mergeCell ref="AL32:AQ32"/>
    <mergeCell ref="J38:O38"/>
    <mergeCell ref="P38:Q38"/>
    <mergeCell ref="B39:F39"/>
    <mergeCell ref="J39:O39"/>
    <mergeCell ref="P39:Q39"/>
    <mergeCell ref="AG39:AK39"/>
    <mergeCell ref="AL39:AQ39"/>
  </mergeCells>
  <printOptions/>
  <pageMargins bottom="0.75" footer="0.0" header="0.0" left="0.45" right="0.19302061950427407" top="0.75"/>
  <pageSetup paperSize="9" scale="50" orientation="portrait"/>
  <headerFooter>
    <oddHeader>&amp;LDepartment of CSE, ULAB&amp;CCourse Summary&amp;RAC018(00)</oddHeader>
    <oddFooter>&amp;LGenerated on &amp;D &amp;T&amp;C &amp;RAC018(00) Page &amp;P of 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37.43"/>
    <col customWidth="1" min="4" max="4" width="8.29"/>
    <col customWidth="1" min="5" max="8" width="7.43"/>
    <col customWidth="1" min="9" max="9" width="8.29"/>
    <col customWidth="1" min="10" max="22" width="7.43"/>
    <col customWidth="1" min="23" max="23" width="7.71"/>
    <col customWidth="1" min="24" max="27" width="7.43"/>
    <col customWidth="1" min="28" max="29" width="7.71"/>
    <col customWidth="1" min="30" max="33" width="7.43"/>
    <col customWidth="1" min="34" max="34" width="10.86"/>
    <col customWidth="1" min="35" max="35" width="7.86"/>
    <col customWidth="1" min="36" max="39" width="7.43"/>
    <col customWidth="1" min="40" max="42" width="9.14"/>
    <col customWidth="1" min="43" max="45" width="10.43"/>
    <col customWidth="1" min="46" max="46" width="8.71"/>
    <col customWidth="1" min="47" max="47" width="10.14"/>
    <col customWidth="1" min="48" max="58" width="9.14"/>
    <col customWidth="1" min="59" max="59" width="9.71"/>
    <col customWidth="1" min="60" max="70" width="9.14"/>
  </cols>
  <sheetData>
    <row r="1">
      <c r="A1" s="2"/>
      <c r="B1" s="2"/>
      <c r="C1" s="4"/>
      <c r="J1" s="2"/>
      <c r="K1" s="2"/>
      <c r="L1" s="2"/>
      <c r="M1" s="2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11" t="s">
        <v>5</v>
      </c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3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>
      <c r="A2" s="2"/>
      <c r="B2" s="2"/>
      <c r="C2" s="14" t="s">
        <v>10</v>
      </c>
      <c r="D2" s="15" t="s">
        <v>11</v>
      </c>
      <c r="E2" s="16" t="s">
        <v>13</v>
      </c>
      <c r="F2" s="16" t="s">
        <v>15</v>
      </c>
      <c r="G2" s="17" t="s">
        <v>16</v>
      </c>
      <c r="H2" s="18" t="s">
        <v>17</v>
      </c>
      <c r="I2" s="18" t="s">
        <v>18</v>
      </c>
      <c r="J2" s="2"/>
      <c r="K2" s="2"/>
      <c r="L2" s="2"/>
      <c r="M2" s="2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19"/>
      <c r="AT2" s="15" t="s">
        <v>23</v>
      </c>
      <c r="AU2" s="16" t="s">
        <v>25</v>
      </c>
      <c r="AV2" s="16" t="s">
        <v>27</v>
      </c>
      <c r="AW2" s="16" t="s">
        <v>28</v>
      </c>
      <c r="AX2" s="16" t="s">
        <v>29</v>
      </c>
      <c r="AY2" s="16" t="s">
        <v>30</v>
      </c>
      <c r="AZ2" s="16" t="s">
        <v>31</v>
      </c>
      <c r="BA2" s="16" t="s">
        <v>32</v>
      </c>
      <c r="BB2" s="16" t="s">
        <v>33</v>
      </c>
      <c r="BC2" s="16" t="s">
        <v>34</v>
      </c>
      <c r="BD2" s="16" t="s">
        <v>36</v>
      </c>
      <c r="BE2" s="18" t="s">
        <v>38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1"/>
      <c r="BR2" s="21"/>
    </row>
    <row r="3">
      <c r="A3" s="2"/>
      <c r="B3" s="2"/>
      <c r="C3" s="22" t="s">
        <v>41</v>
      </c>
      <c r="D3" s="23">
        <v>10.0</v>
      </c>
      <c r="E3" s="24">
        <v>15.0</v>
      </c>
      <c r="F3" s="24"/>
      <c r="G3" s="27"/>
      <c r="H3" s="28"/>
      <c r="I3" s="28"/>
      <c r="J3" s="2"/>
      <c r="K3" s="2"/>
      <c r="L3" s="2"/>
      <c r="M3" s="2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0" t="s">
        <v>11</v>
      </c>
      <c r="AT3" s="31">
        <v>0.0</v>
      </c>
      <c r="AU3" s="31">
        <v>0.0</v>
      </c>
      <c r="AV3" s="31">
        <v>0.0</v>
      </c>
      <c r="AW3" s="31">
        <v>0.0</v>
      </c>
      <c r="AX3" s="31">
        <v>0.0</v>
      </c>
      <c r="AY3" s="31">
        <v>0.0</v>
      </c>
      <c r="AZ3" s="31">
        <v>0.0</v>
      </c>
      <c r="BA3" s="31">
        <v>0.0</v>
      </c>
      <c r="BB3" s="31">
        <v>0.0</v>
      </c>
      <c r="BC3" s="31">
        <v>0.0</v>
      </c>
      <c r="BD3" s="31">
        <v>0.0</v>
      </c>
      <c r="BE3" s="31">
        <v>0.0</v>
      </c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1"/>
      <c r="BR3" s="21"/>
    </row>
    <row r="4">
      <c r="A4" s="2"/>
      <c r="B4" s="2"/>
      <c r="C4" s="33" t="s">
        <v>44</v>
      </c>
      <c r="D4" s="35">
        <v>16.0</v>
      </c>
      <c r="E4" s="36">
        <v>14.0</v>
      </c>
      <c r="F4" s="36">
        <v>10.0</v>
      </c>
      <c r="G4" s="37"/>
      <c r="H4" s="38"/>
      <c r="I4" s="38"/>
      <c r="J4" s="2"/>
      <c r="K4" s="2"/>
      <c r="L4" s="2"/>
      <c r="M4" s="2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44" t="s">
        <v>13</v>
      </c>
      <c r="AT4" s="31">
        <v>0.0</v>
      </c>
      <c r="AU4" s="31">
        <v>0.0</v>
      </c>
      <c r="AV4" s="31">
        <v>0.0</v>
      </c>
      <c r="AW4" s="31">
        <v>0.0</v>
      </c>
      <c r="AX4" s="31">
        <v>0.0</v>
      </c>
      <c r="AY4" s="31">
        <v>0.0</v>
      </c>
      <c r="AZ4" s="31">
        <v>0.0</v>
      </c>
      <c r="BA4" s="31">
        <v>0.0</v>
      </c>
      <c r="BB4" s="31">
        <v>0.0</v>
      </c>
      <c r="BC4" s="31">
        <v>0.0</v>
      </c>
      <c r="BD4" s="31">
        <v>0.0</v>
      </c>
      <c r="BE4" s="31">
        <v>0.0</v>
      </c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1"/>
      <c r="BR4" s="21"/>
    </row>
    <row r="5">
      <c r="A5" s="2"/>
      <c r="B5" s="2"/>
      <c r="C5" s="45" t="s">
        <v>53</v>
      </c>
      <c r="D5" s="47"/>
      <c r="E5" s="49"/>
      <c r="F5" s="49"/>
      <c r="G5" s="51"/>
      <c r="H5" s="52"/>
      <c r="I5" s="52"/>
      <c r="J5" s="2"/>
      <c r="K5" s="2"/>
      <c r="L5" s="2"/>
      <c r="M5" s="2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44" t="s">
        <v>15</v>
      </c>
      <c r="AT5" s="31">
        <v>0.0</v>
      </c>
      <c r="AU5" s="31">
        <v>0.0</v>
      </c>
      <c r="AV5" s="31">
        <v>0.0</v>
      </c>
      <c r="AW5" s="31">
        <v>0.0</v>
      </c>
      <c r="AX5" s="31">
        <v>0.0</v>
      </c>
      <c r="AY5" s="31">
        <v>0.0</v>
      </c>
      <c r="AZ5" s="31">
        <v>0.0</v>
      </c>
      <c r="BA5" s="31">
        <v>0.0</v>
      </c>
      <c r="BB5" s="31">
        <v>0.0</v>
      </c>
      <c r="BC5" s="31">
        <v>0.0</v>
      </c>
      <c r="BD5" s="31">
        <v>0.0</v>
      </c>
      <c r="BE5" s="31">
        <v>0.0</v>
      </c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1"/>
      <c r="BR5" s="21"/>
    </row>
    <row r="6">
      <c r="A6" s="2"/>
      <c r="B6" s="2"/>
      <c r="C6" s="45" t="s">
        <v>57</v>
      </c>
      <c r="D6" s="47"/>
      <c r="E6" s="49"/>
      <c r="F6" s="49"/>
      <c r="G6" s="51"/>
      <c r="H6" s="52"/>
      <c r="I6" s="52"/>
      <c r="J6" s="2"/>
      <c r="K6" s="2"/>
      <c r="L6" s="2"/>
      <c r="M6" s="2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44" t="s">
        <v>16</v>
      </c>
      <c r="AT6" s="31">
        <v>0.0</v>
      </c>
      <c r="AU6" s="31">
        <v>0.0</v>
      </c>
      <c r="AV6" s="31">
        <v>0.0</v>
      </c>
      <c r="AW6" s="31">
        <v>0.0</v>
      </c>
      <c r="AX6" s="31">
        <v>0.0</v>
      </c>
      <c r="AY6" s="31">
        <v>0.0</v>
      </c>
      <c r="AZ6" s="31">
        <v>0.0</v>
      </c>
      <c r="BA6" s="31">
        <v>0.0</v>
      </c>
      <c r="BB6" s="31">
        <v>0.0</v>
      </c>
      <c r="BC6" s="31">
        <v>0.0</v>
      </c>
      <c r="BD6" s="31">
        <v>0.0</v>
      </c>
      <c r="BE6" s="31">
        <v>0.0</v>
      </c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1"/>
      <c r="BR6" s="21"/>
    </row>
    <row r="7">
      <c r="A7" s="2"/>
      <c r="B7" s="2"/>
      <c r="C7" s="14" t="s">
        <v>68</v>
      </c>
      <c r="D7" s="15">
        <f t="shared" ref="D7:I7" si="1">SUM(D3:D6)</f>
        <v>26</v>
      </c>
      <c r="E7" s="66">
        <f t="shared" si="1"/>
        <v>29</v>
      </c>
      <c r="F7" s="66">
        <f t="shared" si="1"/>
        <v>10</v>
      </c>
      <c r="G7" s="69">
        <f t="shared" si="1"/>
        <v>0</v>
      </c>
      <c r="H7" s="70">
        <f t="shared" si="1"/>
        <v>0</v>
      </c>
      <c r="I7" s="70">
        <f t="shared" si="1"/>
        <v>0</v>
      </c>
      <c r="J7" s="2"/>
      <c r="K7" s="2"/>
      <c r="L7" s="2"/>
      <c r="M7" s="2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80" t="s">
        <v>17</v>
      </c>
      <c r="AT7" s="31">
        <v>0.0</v>
      </c>
      <c r="AU7" s="31">
        <v>0.0</v>
      </c>
      <c r="AV7" s="31">
        <v>0.0</v>
      </c>
      <c r="AW7" s="31">
        <v>0.0</v>
      </c>
      <c r="AX7" s="31">
        <v>0.0</v>
      </c>
      <c r="AY7" s="31">
        <v>0.0</v>
      </c>
      <c r="AZ7" s="31">
        <v>0.0</v>
      </c>
      <c r="BA7" s="31">
        <v>0.0</v>
      </c>
      <c r="BB7" s="31">
        <v>0.0</v>
      </c>
      <c r="BC7" s="31">
        <v>0.0</v>
      </c>
      <c r="BD7" s="31">
        <v>0.0</v>
      </c>
      <c r="BE7" s="31">
        <v>0.0</v>
      </c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1"/>
      <c r="BR7" s="21"/>
    </row>
    <row r="8">
      <c r="A8" s="2"/>
      <c r="B8" s="2"/>
      <c r="C8" s="21"/>
      <c r="D8" s="21"/>
      <c r="E8" s="21"/>
      <c r="F8" s="21"/>
      <c r="G8" s="86"/>
      <c r="H8" s="21"/>
      <c r="I8" s="21"/>
      <c r="J8" s="2"/>
      <c r="K8" s="2"/>
      <c r="L8" s="2"/>
      <c r="M8" s="2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91"/>
      <c r="AT8" s="31">
        <v>0.0</v>
      </c>
      <c r="AU8" s="31">
        <v>0.0</v>
      </c>
      <c r="AV8" s="31">
        <v>0.0</v>
      </c>
      <c r="AW8" s="31">
        <v>0.0</v>
      </c>
      <c r="AX8" s="31">
        <v>0.0</v>
      </c>
      <c r="AY8" s="31">
        <v>0.0</v>
      </c>
      <c r="AZ8" s="31">
        <v>0.0</v>
      </c>
      <c r="BA8" s="31">
        <v>0.0</v>
      </c>
      <c r="BB8" s="31">
        <v>0.0</v>
      </c>
      <c r="BC8" s="31">
        <v>0.0</v>
      </c>
      <c r="BD8" s="31">
        <v>0.0</v>
      </c>
      <c r="BE8" s="31">
        <v>0.0</v>
      </c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1"/>
      <c r="BR8" s="21"/>
    </row>
    <row r="9">
      <c r="A9" s="2"/>
      <c r="B9" s="2"/>
      <c r="C9" s="2"/>
      <c r="D9" s="92"/>
      <c r="E9" s="92"/>
      <c r="F9" s="92"/>
      <c r="G9" s="6"/>
      <c r="H9" s="2"/>
      <c r="I9" s="2"/>
      <c r="J9" s="2"/>
      <c r="K9" s="2"/>
      <c r="L9" s="2"/>
      <c r="M9" s="2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19" t="s">
        <v>68</v>
      </c>
      <c r="AT9" s="15">
        <f t="shared" ref="AT9:BE9" si="2">SUM(AT3:AT8)</f>
        <v>0</v>
      </c>
      <c r="AU9" s="16">
        <f t="shared" si="2"/>
        <v>0</v>
      </c>
      <c r="AV9" s="16">
        <f t="shared" si="2"/>
        <v>0</v>
      </c>
      <c r="AW9" s="16">
        <f t="shared" si="2"/>
        <v>0</v>
      </c>
      <c r="AX9" s="16">
        <f t="shared" si="2"/>
        <v>0</v>
      </c>
      <c r="AY9" s="16">
        <f t="shared" si="2"/>
        <v>0</v>
      </c>
      <c r="AZ9" s="16">
        <f t="shared" si="2"/>
        <v>0</v>
      </c>
      <c r="BA9" s="16">
        <f t="shared" si="2"/>
        <v>0</v>
      </c>
      <c r="BB9" s="16">
        <f t="shared" si="2"/>
        <v>0</v>
      </c>
      <c r="BC9" s="16">
        <f t="shared" si="2"/>
        <v>0</v>
      </c>
      <c r="BD9" s="16">
        <f t="shared" si="2"/>
        <v>0</v>
      </c>
      <c r="BE9" s="18">
        <f t="shared" si="2"/>
        <v>0</v>
      </c>
      <c r="BF9" s="21"/>
      <c r="BG9" s="2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>
      <c r="A10" s="2"/>
      <c r="B10" s="2"/>
      <c r="C10" s="2"/>
      <c r="D10" s="92"/>
      <c r="E10" s="92"/>
      <c r="F10" s="92"/>
      <c r="G10" s="6"/>
      <c r="H10" s="2"/>
      <c r="I10" s="2"/>
      <c r="J10" s="2"/>
      <c r="K10" s="2"/>
      <c r="L10" s="2"/>
      <c r="M10" s="2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>
      <c r="A11" s="93" t="str">
        <f>CONCATENATE("Course Outcome (CO) Attainment Analysis of ",GradeSheet!$G$2, " [",GradeSheet!$G$3, "] ", "(Section ",GradeSheet!$K$2, ") ", "[Semester - ",GradeSheet!$K$3,"]" )</f>
        <v>Course Outcome (CO) Attainment Analysis of CSE 2203 [Computer Organization and Architecture] (Section 2) [Semester - Spring 2026]</v>
      </c>
      <c r="B11" s="12"/>
      <c r="C11" s="13"/>
      <c r="D11" s="94"/>
      <c r="E11" s="94"/>
      <c r="F11" s="94"/>
      <c r="G11" s="95"/>
      <c r="H11" s="94"/>
      <c r="I11" s="94"/>
      <c r="J11" s="94"/>
      <c r="K11" s="94"/>
      <c r="L11" s="94"/>
      <c r="M11" s="94"/>
      <c r="N11" s="95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6"/>
      <c r="AB11" s="97" t="s">
        <v>90</v>
      </c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9"/>
      <c r="AT11" s="92"/>
      <c r="AU11" s="100" t="s">
        <v>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9"/>
    </row>
    <row r="12">
      <c r="A12" s="102"/>
      <c r="C12" s="103"/>
      <c r="D12" s="104" t="str">
        <f>C3</f>
        <v>Midterm Exam</v>
      </c>
      <c r="E12" s="105"/>
      <c r="F12" s="105"/>
      <c r="G12" s="105"/>
      <c r="H12" s="105"/>
      <c r="I12" s="106"/>
      <c r="J12" s="107" t="str">
        <f>C4</f>
        <v>Final Exam</v>
      </c>
      <c r="K12" s="105"/>
      <c r="L12" s="105"/>
      <c r="M12" s="105"/>
      <c r="N12" s="105"/>
      <c r="O12" s="106"/>
      <c r="P12" s="107" t="s">
        <v>53</v>
      </c>
      <c r="Q12" s="105"/>
      <c r="R12" s="105"/>
      <c r="S12" s="105"/>
      <c r="T12" s="105"/>
      <c r="U12" s="106"/>
      <c r="V12" s="107" t="str">
        <f>C6</f>
        <v>Presentation</v>
      </c>
      <c r="W12" s="105"/>
      <c r="X12" s="105"/>
      <c r="Y12" s="105"/>
      <c r="Z12" s="105"/>
      <c r="AA12" s="106"/>
      <c r="AB12" s="109" t="s">
        <v>93</v>
      </c>
      <c r="AC12" s="12"/>
      <c r="AD12" s="12"/>
      <c r="AE12" s="12"/>
      <c r="AF12" s="12"/>
      <c r="AG12" s="13"/>
      <c r="AH12" s="110" t="s">
        <v>96</v>
      </c>
      <c r="AI12" s="98"/>
      <c r="AJ12" s="98"/>
      <c r="AK12" s="98"/>
      <c r="AL12" s="98"/>
      <c r="AM12" s="99"/>
      <c r="AN12" s="110" t="s">
        <v>97</v>
      </c>
      <c r="AO12" s="98"/>
      <c r="AP12" s="98"/>
      <c r="AQ12" s="98"/>
      <c r="AR12" s="98"/>
      <c r="AS12" s="99"/>
      <c r="AT12" s="92"/>
      <c r="AU12" s="11" t="s">
        <v>96</v>
      </c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3"/>
      <c r="BG12" s="11" t="s">
        <v>100</v>
      </c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3"/>
    </row>
    <row r="13">
      <c r="A13" s="111"/>
      <c r="B13" s="105"/>
      <c r="C13" s="106"/>
      <c r="D13" s="112" t="s">
        <v>11</v>
      </c>
      <c r="E13" s="113" t="s">
        <v>13</v>
      </c>
      <c r="F13" s="113" t="s">
        <v>15</v>
      </c>
      <c r="G13" s="114" t="s">
        <v>16</v>
      </c>
      <c r="H13" s="115" t="s">
        <v>17</v>
      </c>
      <c r="I13" s="116" t="s">
        <v>18</v>
      </c>
      <c r="J13" s="117" t="s">
        <v>11</v>
      </c>
      <c r="K13" s="118" t="s">
        <v>13</v>
      </c>
      <c r="L13" s="118" t="s">
        <v>15</v>
      </c>
      <c r="M13" s="119" t="s">
        <v>16</v>
      </c>
      <c r="N13" s="120" t="s">
        <v>17</v>
      </c>
      <c r="O13" s="121" t="s">
        <v>18</v>
      </c>
      <c r="P13" s="122" t="s">
        <v>11</v>
      </c>
      <c r="Q13" s="123" t="s">
        <v>13</v>
      </c>
      <c r="R13" s="123" t="s">
        <v>15</v>
      </c>
      <c r="S13" s="123" t="s">
        <v>16</v>
      </c>
      <c r="T13" s="123" t="s">
        <v>17</v>
      </c>
      <c r="U13" s="124" t="s">
        <v>18</v>
      </c>
      <c r="V13" s="122" t="s">
        <v>11</v>
      </c>
      <c r="W13" s="123" t="s">
        <v>13</v>
      </c>
      <c r="X13" s="123" t="s">
        <v>15</v>
      </c>
      <c r="Y13" s="123" t="s">
        <v>16</v>
      </c>
      <c r="Z13" s="123" t="s">
        <v>17</v>
      </c>
      <c r="AA13" s="124" t="s">
        <v>18</v>
      </c>
      <c r="AB13" s="15" t="s">
        <v>11</v>
      </c>
      <c r="AC13" s="15" t="s">
        <v>13</v>
      </c>
      <c r="AD13" s="15" t="s">
        <v>15</v>
      </c>
      <c r="AE13" s="15" t="s">
        <v>16</v>
      </c>
      <c r="AF13" s="15" t="s">
        <v>17</v>
      </c>
      <c r="AG13" s="15" t="s">
        <v>18</v>
      </c>
      <c r="AH13" s="125" t="s">
        <v>11</v>
      </c>
      <c r="AI13" s="126" t="s">
        <v>13</v>
      </c>
      <c r="AJ13" s="126" t="s">
        <v>15</v>
      </c>
      <c r="AK13" s="127" t="s">
        <v>16</v>
      </c>
      <c r="AL13" s="128" t="s">
        <v>17</v>
      </c>
      <c r="AM13" s="127" t="s">
        <v>18</v>
      </c>
      <c r="AN13" s="125" t="s">
        <v>11</v>
      </c>
      <c r="AO13" s="126" t="s">
        <v>13</v>
      </c>
      <c r="AP13" s="126" t="s">
        <v>15</v>
      </c>
      <c r="AQ13" s="128" t="s">
        <v>16</v>
      </c>
      <c r="AR13" s="128" t="s">
        <v>17</v>
      </c>
      <c r="AS13" s="127" t="s">
        <v>18</v>
      </c>
      <c r="AT13" s="129"/>
      <c r="AU13" s="125" t="s">
        <v>23</v>
      </c>
      <c r="AV13" s="126" t="s">
        <v>25</v>
      </c>
      <c r="AW13" s="126" t="s">
        <v>27</v>
      </c>
      <c r="AX13" s="126" t="s">
        <v>28</v>
      </c>
      <c r="AY13" s="126" t="s">
        <v>29</v>
      </c>
      <c r="AZ13" s="126" t="s">
        <v>30</v>
      </c>
      <c r="BA13" s="126" t="s">
        <v>31</v>
      </c>
      <c r="BB13" s="126" t="s">
        <v>32</v>
      </c>
      <c r="BC13" s="126" t="s">
        <v>33</v>
      </c>
      <c r="BD13" s="126" t="s">
        <v>34</v>
      </c>
      <c r="BE13" s="126" t="s">
        <v>36</v>
      </c>
      <c r="BF13" s="127" t="s">
        <v>38</v>
      </c>
      <c r="BG13" s="15" t="s">
        <v>23</v>
      </c>
      <c r="BH13" s="16" t="s">
        <v>25</v>
      </c>
      <c r="BI13" s="16" t="s">
        <v>27</v>
      </c>
      <c r="BJ13" s="16" t="s">
        <v>28</v>
      </c>
      <c r="BK13" s="16" t="s">
        <v>29</v>
      </c>
      <c r="BL13" s="16" t="s">
        <v>30</v>
      </c>
      <c r="BM13" s="16" t="s">
        <v>31</v>
      </c>
      <c r="BN13" s="16" t="s">
        <v>32</v>
      </c>
      <c r="BO13" s="16" t="s">
        <v>33</v>
      </c>
      <c r="BP13" s="16" t="s">
        <v>34</v>
      </c>
      <c r="BQ13" s="16" t="s">
        <v>36</v>
      </c>
      <c r="BR13" s="18" t="s">
        <v>38</v>
      </c>
    </row>
    <row r="14">
      <c r="A14" s="130" t="s">
        <v>109</v>
      </c>
      <c r="B14" s="131" t="s">
        <v>66</v>
      </c>
      <c r="C14" s="132" t="s">
        <v>67</v>
      </c>
      <c r="D14" s="133">
        <f t="shared" ref="D14:F14" si="3">D3</f>
        <v>10</v>
      </c>
      <c r="E14" s="134">
        <f t="shared" si="3"/>
        <v>15</v>
      </c>
      <c r="F14" s="134" t="str">
        <f t="shared" si="3"/>
        <v/>
      </c>
      <c r="G14" s="135">
        <f>sum(D14:E14)</f>
        <v>25</v>
      </c>
      <c r="H14" s="134" t="str">
        <f t="shared" ref="H14:I14" si="4">H3</f>
        <v/>
      </c>
      <c r="I14" s="134" t="str">
        <f t="shared" si="4"/>
        <v/>
      </c>
      <c r="J14" s="134">
        <f t="shared" ref="J14:M14" si="5">D4</f>
        <v>16</v>
      </c>
      <c r="K14" s="134">
        <f t="shared" si="5"/>
        <v>14</v>
      </c>
      <c r="L14" s="134">
        <f t="shared" si="5"/>
        <v>10</v>
      </c>
      <c r="M14" s="134" t="str">
        <f t="shared" si="5"/>
        <v/>
      </c>
      <c r="N14" s="135"/>
      <c r="O14" s="134"/>
      <c r="P14" s="136" t="str">
        <f t="shared" ref="P14:U14" si="6">D5</f>
        <v/>
      </c>
      <c r="Q14" s="136" t="str">
        <f t="shared" si="6"/>
        <v/>
      </c>
      <c r="R14" s="136" t="str">
        <f t="shared" si="6"/>
        <v/>
      </c>
      <c r="S14" s="136" t="str">
        <f t="shared" si="6"/>
        <v/>
      </c>
      <c r="T14" s="136" t="str">
        <f t="shared" si="6"/>
        <v/>
      </c>
      <c r="U14" s="136" t="str">
        <f t="shared" si="6"/>
        <v/>
      </c>
      <c r="V14" s="136" t="str">
        <f t="shared" ref="V14:AA14" si="7">D6</f>
        <v/>
      </c>
      <c r="W14" s="136" t="str">
        <f t="shared" si="7"/>
        <v/>
      </c>
      <c r="X14" s="136" t="str">
        <f t="shared" si="7"/>
        <v/>
      </c>
      <c r="Y14" s="136" t="str">
        <f t="shared" si="7"/>
        <v/>
      </c>
      <c r="Z14" s="136" t="str">
        <f t="shared" si="7"/>
        <v/>
      </c>
      <c r="AA14" s="136" t="str">
        <f t="shared" si="7"/>
        <v/>
      </c>
      <c r="AB14" s="133">
        <f>SUM(P14,D14,J14)</f>
        <v>26</v>
      </c>
      <c r="AC14" s="134">
        <f t="shared" ref="AC14:AG14" si="8">SUM(K14,E14,Q14)</f>
        <v>29</v>
      </c>
      <c r="AD14" s="134">
        <f t="shared" si="8"/>
        <v>10</v>
      </c>
      <c r="AE14" s="134">
        <f t="shared" si="8"/>
        <v>25</v>
      </c>
      <c r="AF14" s="134">
        <f t="shared" si="8"/>
        <v>0</v>
      </c>
      <c r="AG14" s="134">
        <f t="shared" si="8"/>
        <v>0</v>
      </c>
      <c r="AH14" s="137">
        <v>1.0</v>
      </c>
      <c r="AI14" s="138">
        <v>1.0</v>
      </c>
      <c r="AJ14" s="138">
        <v>1.0</v>
      </c>
      <c r="AK14" s="139">
        <v>1.0</v>
      </c>
      <c r="AL14" s="140">
        <v>1.0</v>
      </c>
      <c r="AM14" s="139">
        <v>1.0</v>
      </c>
      <c r="AN14" s="141" t="s">
        <v>120</v>
      </c>
      <c r="AO14" s="98"/>
      <c r="AP14" s="98"/>
      <c r="AQ14" s="98"/>
      <c r="AR14" s="98"/>
      <c r="AS14" s="99"/>
      <c r="AT14" s="129"/>
      <c r="AU14" s="142">
        <v>1.0</v>
      </c>
      <c r="AV14" s="143">
        <v>1.0</v>
      </c>
      <c r="AW14" s="143">
        <v>1.0</v>
      </c>
      <c r="AX14" s="143">
        <v>1.0</v>
      </c>
      <c r="AY14" s="143">
        <v>1.0</v>
      </c>
      <c r="AZ14" s="143">
        <v>1.0</v>
      </c>
      <c r="BA14" s="143">
        <v>1.0</v>
      </c>
      <c r="BB14" s="143">
        <v>1.0</v>
      </c>
      <c r="BC14" s="143">
        <v>1.0</v>
      </c>
      <c r="BD14" s="143">
        <v>1.0</v>
      </c>
      <c r="BE14" s="143">
        <v>1.0</v>
      </c>
      <c r="BF14" s="144">
        <v>1.0</v>
      </c>
      <c r="BG14" s="145" t="s">
        <v>123</v>
      </c>
      <c r="BH14" s="146"/>
      <c r="BI14" s="146"/>
      <c r="BJ14" s="146"/>
      <c r="BK14" s="146"/>
      <c r="BL14" s="146"/>
      <c r="BM14" s="146"/>
      <c r="BN14" s="146"/>
      <c r="BO14" s="146"/>
      <c r="BP14" s="146"/>
      <c r="BQ14" s="146"/>
      <c r="BR14" s="147"/>
    </row>
    <row r="15">
      <c r="A15" s="148">
        <v>1.0</v>
      </c>
      <c r="B15" s="149" t="s">
        <v>72</v>
      </c>
      <c r="C15" s="150" t="s">
        <v>73</v>
      </c>
      <c r="D15" s="151"/>
      <c r="E15" s="152"/>
      <c r="F15" s="153"/>
      <c r="G15" s="135"/>
      <c r="H15" s="154"/>
      <c r="I15" s="154"/>
      <c r="J15" s="152"/>
      <c r="K15" s="152"/>
      <c r="L15" s="152"/>
      <c r="M15" s="154"/>
      <c r="N15" s="135"/>
      <c r="O15" s="79"/>
      <c r="P15" s="155"/>
      <c r="Q15" s="156"/>
      <c r="R15" s="156"/>
      <c r="S15" s="156"/>
      <c r="T15" s="156"/>
      <c r="U15" s="157"/>
      <c r="V15" s="155"/>
      <c r="W15" s="156"/>
      <c r="X15" s="156"/>
      <c r="Y15" s="156"/>
      <c r="Z15" s="156"/>
      <c r="AA15" s="157"/>
      <c r="AB15" s="158">
        <f t="shared" ref="AB15:AE15" si="9">SUM(V15,D15,J15)</f>
        <v>0</v>
      </c>
      <c r="AC15" s="159">
        <f t="shared" si="9"/>
        <v>0</v>
      </c>
      <c r="AD15" s="159">
        <f t="shared" si="9"/>
        <v>0</v>
      </c>
      <c r="AE15" s="159">
        <f t="shared" si="9"/>
        <v>0</v>
      </c>
      <c r="AF15" s="159">
        <f t="shared" ref="AF15:AF51" si="12">SUM(T15,H15,N15)</f>
        <v>0</v>
      </c>
      <c r="AG15" s="159">
        <f t="shared" ref="AG15:AG51" si="13">SUM(AA15,I15,O15)</f>
        <v>0</v>
      </c>
      <c r="AH15" s="160">
        <f t="shared" ref="AH15:AM15" si="10">IF(AB15 = 0, 0, AB15/AB$14)</f>
        <v>0</v>
      </c>
      <c r="AI15" s="160">
        <f t="shared" si="10"/>
        <v>0</v>
      </c>
      <c r="AJ15" s="160">
        <f t="shared" si="10"/>
        <v>0</v>
      </c>
      <c r="AK15" s="160">
        <f t="shared" si="10"/>
        <v>0</v>
      </c>
      <c r="AL15" s="160">
        <f t="shared" si="10"/>
        <v>0</v>
      </c>
      <c r="AM15" s="160">
        <f t="shared" si="10"/>
        <v>0</v>
      </c>
      <c r="AN15" s="161">
        <f>IF(OR(GradeSheet!$L10="W (Withdrawn)", GradeSheet!$L10="I (Incomplete)"), 0, IF(AH15&gt;=55%, 1, 0))</f>
        <v>0</v>
      </c>
      <c r="AO15" s="161">
        <f>IF(OR(GradeSheet!$L10="W (Withdrawn)", GradeSheet!$L10="I (Incomplete)"), 0, IF(AI15&gt;=55%, 1, 0))</f>
        <v>0</v>
      </c>
      <c r="AP15" s="161">
        <f>IF(OR(GradeSheet!$L10="W (Withdrawn)", GradeSheet!$L10="I (Incomplete)"), 0, IF(AJ15&gt;=55%, 1, 0))</f>
        <v>0</v>
      </c>
      <c r="AQ15" s="161">
        <f>IF(OR(GradeSheet!$L10="W (Withdrawn)", GradeSheet!$L10="I (Incomplete)"), 0, IF(AK15&gt;=55%, 1, 0))</f>
        <v>0</v>
      </c>
      <c r="AR15" s="161">
        <f>IF(OR(GradeSheet!$L10="W (Withdrawn)", GradeSheet!$L10="I (Incomplete)"), 0, IF(AL15&gt;=55%, 1, 0))</f>
        <v>0</v>
      </c>
      <c r="AS15" s="161">
        <f>IF(OR(GradeSheet!$L10="W (Withdrawn)", GradeSheet!$L10="I (Incomplete)"), 0, IF(AM15&gt;=55%, 1, 0))</f>
        <v>0</v>
      </c>
      <c r="AT15" s="129"/>
      <c r="AU15" s="162">
        <f t="shared" ref="AU15:AU51" si="15">IF($AT$9=0,0,MMULT($AH15:$AM15, AT$3:AT$8)/$AT$9)</f>
        <v>0</v>
      </c>
      <c r="AV15" s="162">
        <f t="shared" ref="AV15:AV51" si="16">IF($AU$9=0,0,MMULT($AH15:$AM15, AU$3:AU$8)/$AU$9)</f>
        <v>0</v>
      </c>
      <c r="AW15" s="162">
        <f t="array" ref="AW15">IF($AV$9=0,0,MMULT($AH15:$AM15, AV$3:AV$8)/$AV$9)</f>
        <v>0</v>
      </c>
      <c r="AX15" s="162">
        <f t="array" ref="AX15">IF($AW$9=0,0,MMULT($AH15:$AM15, AW$3:AW$8)/$AW$9)</f>
        <v>0</v>
      </c>
      <c r="AY15" s="162">
        <f t="shared" ref="AY15:AY51" si="17">IF($AX$9=0,0,MMULT($AH15:$AM15, AX$3:AX$8)/$AX$9)</f>
        <v>0</v>
      </c>
      <c r="AZ15" s="162">
        <f t="array" ref="AZ15">IF($AY$9=0,0,MMULT($AH15:$AM15, AY$3:AY$8)/$AY$9)</f>
        <v>0</v>
      </c>
      <c r="BA15" s="162">
        <f t="array" ref="BA15">IF($AZ$9=0,0,MMULT($AH15:$AM15, AZ$3:AZ$8)/$AZ$9)</f>
        <v>0</v>
      </c>
      <c r="BB15" s="162">
        <f t="array" ref="BB15">IF($BA$9=0,0,MMULT($AH15:$AM15, BA$3:BA$8)/$BA$9)</f>
        <v>0</v>
      </c>
      <c r="BC15" s="162">
        <f t="array" ref="BC15">IF($BB$9=0,0,MMULT($AH15:$AM15, BB$3:BB$8)/$BB$9)</f>
        <v>0</v>
      </c>
      <c r="BD15" s="162">
        <f t="array" ref="BD15">IF($BC$9=0,0,MMULT($AH15:$AM15, BC$3:BC$8)/$BC$9)</f>
        <v>0</v>
      </c>
      <c r="BE15" s="162">
        <f t="shared" ref="BE15:BE51" si="18">IF($BD$9=0,0,MMULT($AH15:$AM15, BD$3:BD$8)/$BD$9)</f>
        <v>0</v>
      </c>
      <c r="BF15" s="162">
        <f t="shared" ref="BF15:BF51" si="19">IF($BE$9=0,0,MMULT($AH15:$AM15, BE$3:BE$8)/$BE$9)</f>
        <v>0</v>
      </c>
      <c r="BG15" s="161">
        <f>IF(OR(GradeSheet!$L10="W (Withdrawn)", GradeSheet!$L10="I (Incomplete)"), 0, IF(AU15&gt;=65%, 1, 0))</f>
        <v>0</v>
      </c>
      <c r="BH15" s="161">
        <f>IF(OR(GradeSheet!$L10="W (Withdrawn)", GradeSheet!$L10="I (Incomplete)"), 0, IF(AV15&gt;=65%, 1, 0))</f>
        <v>0</v>
      </c>
      <c r="BI15" s="161">
        <f>IF(OR(GradeSheet!$L10="W (Withdrawn)", GradeSheet!$L10="I (Incomplete)"), 0, IF(AW15&gt;=65%, 1, 0))</f>
        <v>0</v>
      </c>
      <c r="BJ15" s="161">
        <f>IF(OR(GradeSheet!$L10="W (Withdrawn)", GradeSheet!$L10="I (Incomplete)"), 0, IF(AX15&gt;=65%, 1, 0))</f>
        <v>0</v>
      </c>
      <c r="BK15" s="161">
        <f>IF(OR(GradeSheet!$L10="W (Withdrawn)", GradeSheet!$L10="I (Incomplete)"), 0, IF(AY15&gt;=65%, 1, 0))</f>
        <v>0</v>
      </c>
      <c r="BL15" s="161">
        <f>IF(OR(GradeSheet!$L10="W (Withdrawn)", GradeSheet!$L10="I (Incomplete)"), 0, IF(AZ15&gt;=65%, 1, 0))</f>
        <v>0</v>
      </c>
      <c r="BM15" s="161">
        <f>IF(OR(GradeSheet!$L10="W (Withdrawn)", GradeSheet!$L10="I (Incomplete)"), 0, IF(BA15&gt;=65%, 1, 0))</f>
        <v>0</v>
      </c>
      <c r="BN15" s="161">
        <f>IF(OR(GradeSheet!$L10="W (Withdrawn)", GradeSheet!$L10="I (Incomplete)"), 0, IF(BB15&gt;=65%, 1, 0))</f>
        <v>0</v>
      </c>
      <c r="BO15" s="161">
        <f>IF(OR(GradeSheet!$L10="W (Withdrawn)", GradeSheet!$L10="I (Incomplete)"), 0, IF(BC15&gt;=65%, 1, 0))</f>
        <v>0</v>
      </c>
      <c r="BP15" s="161">
        <f>IF(OR(GradeSheet!$L10="W (Withdrawn)", GradeSheet!$L10="I (Incomplete)"), 0, IF(BD15&gt;=65%, 1, 0))</f>
        <v>0</v>
      </c>
      <c r="BQ15" s="161">
        <f>IF(OR(GradeSheet!$L10="W (Withdrawn)", GradeSheet!$L10="I (Incomplete)"), 0, IF(BE15&gt;=65%, 1, 0))</f>
        <v>0</v>
      </c>
      <c r="BR15" s="161">
        <f>IF(OR(GradeSheet!$L10="W (Withdrawn)", GradeSheet!$L10="I (Incomplete)"), 0, IF(BF15&gt;=65%, 1, 0))</f>
        <v>0</v>
      </c>
    </row>
    <row r="16">
      <c r="A16" s="181">
        <v>2.0</v>
      </c>
      <c r="B16" s="149" t="s">
        <v>74</v>
      </c>
      <c r="C16" s="182" t="s">
        <v>75</v>
      </c>
      <c r="D16" s="152">
        <v>5.5</v>
      </c>
      <c r="E16" s="152">
        <v>4.0</v>
      </c>
      <c r="F16" s="154"/>
      <c r="G16" s="135"/>
      <c r="H16" s="154"/>
      <c r="I16" s="154"/>
      <c r="J16" s="152"/>
      <c r="K16" s="152"/>
      <c r="L16" s="152"/>
      <c r="M16" s="154"/>
      <c r="N16" s="135"/>
      <c r="O16" s="79"/>
      <c r="P16" s="155"/>
      <c r="Q16" s="156"/>
      <c r="R16" s="156"/>
      <c r="S16" s="156"/>
      <c r="T16" s="156"/>
      <c r="U16" s="157"/>
      <c r="V16" s="155"/>
      <c r="W16" s="156"/>
      <c r="X16" s="156"/>
      <c r="Y16" s="156"/>
      <c r="Z16" s="156"/>
      <c r="AA16" s="157"/>
      <c r="AB16" s="158">
        <f t="shared" ref="AB16:AE16" si="11">SUM(V16,D16,J16)</f>
        <v>5.5</v>
      </c>
      <c r="AC16" s="159">
        <f t="shared" si="11"/>
        <v>4</v>
      </c>
      <c r="AD16" s="159">
        <f t="shared" si="11"/>
        <v>0</v>
      </c>
      <c r="AE16" s="183">
        <f t="shared" si="11"/>
        <v>0</v>
      </c>
      <c r="AF16" s="159">
        <f t="shared" si="12"/>
        <v>0</v>
      </c>
      <c r="AG16" s="183">
        <f t="shared" si="13"/>
        <v>0</v>
      </c>
      <c r="AH16" s="160">
        <f t="shared" ref="AH16:AM16" si="14">IF(AB16 = 0, 0, AB16/AB$14)</f>
        <v>0.2115384615</v>
      </c>
      <c r="AI16" s="160">
        <f t="shared" si="14"/>
        <v>0.1379310345</v>
      </c>
      <c r="AJ16" s="160">
        <f t="shared" si="14"/>
        <v>0</v>
      </c>
      <c r="AK16" s="160">
        <f t="shared" si="14"/>
        <v>0</v>
      </c>
      <c r="AL16" s="160">
        <f t="shared" si="14"/>
        <v>0</v>
      </c>
      <c r="AM16" s="160">
        <f t="shared" si="14"/>
        <v>0</v>
      </c>
      <c r="AN16" s="161">
        <f>IF(OR(GradeSheet!$L11="W (Withdrawn)", GradeSheet!$L11="I (Incomplete)"), 0, IF(AH16&gt;=55%, 1, 0))</f>
        <v>0</v>
      </c>
      <c r="AO16" s="161">
        <f>IF(OR(GradeSheet!$L11="W (Withdrawn)", GradeSheet!$L11="I (Incomplete)"), 0, IF(AI16&gt;=55%, 1, 0))</f>
        <v>0</v>
      </c>
      <c r="AP16" s="161">
        <f>IF(OR(GradeSheet!$L11="W (Withdrawn)", GradeSheet!$L11="I (Incomplete)"), 0, IF(AJ16&gt;=55%, 1, 0))</f>
        <v>0</v>
      </c>
      <c r="AQ16" s="161">
        <f>IF(OR(GradeSheet!$L11="W (Withdrawn)", GradeSheet!$L11="I (Incomplete)"), 0, IF(AK16&gt;=55%, 1, 0))</f>
        <v>0</v>
      </c>
      <c r="AR16" s="161">
        <f>IF(OR(GradeSheet!$L11="W (Withdrawn)", GradeSheet!$L11="I (Incomplete)"), 0, IF(AL16&gt;=55%, 1, 0))</f>
        <v>0</v>
      </c>
      <c r="AS16" s="161">
        <f>IF(OR(GradeSheet!$L11="W (Withdrawn)", GradeSheet!$L11="I (Incomplete)"), 0, IF(AM16&gt;=55%, 1, 0))</f>
        <v>0</v>
      </c>
      <c r="AT16" s="129"/>
      <c r="AU16" s="162">
        <f t="shared" si="15"/>
        <v>0</v>
      </c>
      <c r="AV16" s="162">
        <f t="shared" si="16"/>
        <v>0</v>
      </c>
      <c r="AW16" s="162">
        <f t="array" ref="AW16">IF($AV$9=0,0,MMULT($AH16:$AM16, AV$3:AV$8)/$AV$9)</f>
        <v>0</v>
      </c>
      <c r="AX16" s="162">
        <f t="array" ref="AX16">IF($AW$9=0,0,MMULT($AH16:$AM16, AW$3:AW$8)/$AW$9)</f>
        <v>0</v>
      </c>
      <c r="AY16" s="162">
        <f t="shared" si="17"/>
        <v>0</v>
      </c>
      <c r="AZ16" s="162">
        <f t="array" ref="AZ16">IF($AY$9=0,0,MMULT($AH16:$AM16, AY$3:AY$8)/$AY$9)</f>
        <v>0</v>
      </c>
      <c r="BA16" s="162">
        <f t="array" ref="BA16">IF($AZ$9=0,0,MMULT($AH16:$AM16, AZ$3:AZ$8)/$AZ$9)</f>
        <v>0</v>
      </c>
      <c r="BB16" s="162">
        <f t="array" ref="BB16">IF($BA$9=0,0,MMULT($AH16:$AM16, BA$3:BA$8)/$BA$9)</f>
        <v>0</v>
      </c>
      <c r="BC16" s="162">
        <f t="array" ref="BC16">IF($BB$9=0,0,MMULT($AH16:$AM16, BB$3:BB$8)/$BB$9)</f>
        <v>0</v>
      </c>
      <c r="BD16" s="162">
        <f t="array" ref="BD16">IF($BC$9=0,0,MMULT($AH16:$AM16, BC$3:BC$8)/$BC$9)</f>
        <v>0</v>
      </c>
      <c r="BE16" s="162">
        <f t="shared" si="18"/>
        <v>0</v>
      </c>
      <c r="BF16" s="162">
        <f t="shared" si="19"/>
        <v>0</v>
      </c>
      <c r="BG16" s="161">
        <f>IF(OR(GradeSheet!$L11="W (Withdrawn)", GradeSheet!$L11="I (Incomplete)"), 0, IF(AU16&gt;=65%, 1, 0))</f>
        <v>0</v>
      </c>
      <c r="BH16" s="161">
        <f>IF(OR(GradeSheet!$L11="W (Withdrawn)", GradeSheet!$L11="I (Incomplete)"), 0, IF(AV16&gt;=65%, 1, 0))</f>
        <v>0</v>
      </c>
      <c r="BI16" s="161">
        <f>IF(OR(GradeSheet!$L11="W (Withdrawn)", GradeSheet!$L11="I (Incomplete)"), 0, IF(AW16&gt;=65%, 1, 0))</f>
        <v>0</v>
      </c>
      <c r="BJ16" s="161">
        <f>IF(OR(GradeSheet!$L11="W (Withdrawn)", GradeSheet!$L11="I (Incomplete)"), 0, IF(AX16&gt;=65%, 1, 0))</f>
        <v>0</v>
      </c>
      <c r="BK16" s="161">
        <f>IF(OR(GradeSheet!$L11="W (Withdrawn)", GradeSheet!$L11="I (Incomplete)"), 0, IF(AY16&gt;=65%, 1, 0))</f>
        <v>0</v>
      </c>
      <c r="BL16" s="161">
        <f>IF(OR(GradeSheet!$L11="W (Withdrawn)", GradeSheet!$L11="I (Incomplete)"), 0, IF(AZ16&gt;=65%, 1, 0))</f>
        <v>0</v>
      </c>
      <c r="BM16" s="161">
        <f>IF(OR(GradeSheet!$L11="W (Withdrawn)", GradeSheet!$L11="I (Incomplete)"), 0, IF(BA16&gt;=65%, 1, 0))</f>
        <v>0</v>
      </c>
      <c r="BN16" s="161">
        <f>IF(OR(GradeSheet!$L11="W (Withdrawn)", GradeSheet!$L11="I (Incomplete)"), 0, IF(BB16&gt;=65%, 1, 0))</f>
        <v>0</v>
      </c>
      <c r="BO16" s="161">
        <f>IF(OR(GradeSheet!$L11="W (Withdrawn)", GradeSheet!$L11="I (Incomplete)"), 0, IF(BC16&gt;=65%, 1, 0))</f>
        <v>0</v>
      </c>
      <c r="BP16" s="161">
        <f>IF(OR(GradeSheet!$L11="W (Withdrawn)", GradeSheet!$L11="I (Incomplete)"), 0, IF(BD16&gt;=65%, 1, 0))</f>
        <v>0</v>
      </c>
      <c r="BQ16" s="161">
        <f>IF(OR(GradeSheet!$L11="W (Withdrawn)", GradeSheet!$L11="I (Incomplete)"), 0, IF(BE16&gt;=65%, 1, 0))</f>
        <v>0</v>
      </c>
      <c r="BR16" s="161">
        <f>IF(OR(GradeSheet!$L11="W (Withdrawn)", GradeSheet!$L11="I (Incomplete)"), 0, IF(BF16&gt;=65%, 1, 0))</f>
        <v>0</v>
      </c>
    </row>
    <row r="17">
      <c r="A17" s="148">
        <v>3.0</v>
      </c>
      <c r="B17" s="149" t="s">
        <v>76</v>
      </c>
      <c r="C17" s="182" t="s">
        <v>77</v>
      </c>
      <c r="D17" s="152">
        <v>3.0</v>
      </c>
      <c r="E17" s="152">
        <v>3.0</v>
      </c>
      <c r="F17" s="154"/>
      <c r="G17" s="135"/>
      <c r="H17" s="154"/>
      <c r="I17" s="154"/>
      <c r="J17" s="152">
        <v>7.0</v>
      </c>
      <c r="K17" s="152">
        <v>7.0</v>
      </c>
      <c r="L17" s="152">
        <v>4.5</v>
      </c>
      <c r="M17" s="154"/>
      <c r="N17" s="135"/>
      <c r="O17" s="79"/>
      <c r="P17" s="155"/>
      <c r="Q17" s="156"/>
      <c r="R17" s="156"/>
      <c r="S17" s="156"/>
      <c r="T17" s="156"/>
      <c r="U17" s="157"/>
      <c r="V17" s="155"/>
      <c r="W17" s="156"/>
      <c r="X17" s="156"/>
      <c r="Y17" s="156"/>
      <c r="Z17" s="156"/>
      <c r="AA17" s="157"/>
      <c r="AB17" s="158">
        <f t="shared" ref="AB17:AE17" si="20">SUM(V17,D17,J17)</f>
        <v>10</v>
      </c>
      <c r="AC17" s="159">
        <f t="shared" si="20"/>
        <v>10</v>
      </c>
      <c r="AD17" s="159">
        <f t="shared" si="20"/>
        <v>4.5</v>
      </c>
      <c r="AE17" s="183">
        <f t="shared" si="20"/>
        <v>0</v>
      </c>
      <c r="AF17" s="159">
        <f t="shared" si="12"/>
        <v>0</v>
      </c>
      <c r="AG17" s="183">
        <f t="shared" si="13"/>
        <v>0</v>
      </c>
      <c r="AH17" s="160">
        <f t="shared" ref="AH17:AM17" si="21">IF(AB17 = 0, 0, AB17/AB$14)</f>
        <v>0.3846153846</v>
      </c>
      <c r="AI17" s="160">
        <f t="shared" si="21"/>
        <v>0.3448275862</v>
      </c>
      <c r="AJ17" s="160">
        <f t="shared" si="21"/>
        <v>0.45</v>
      </c>
      <c r="AK17" s="160">
        <f t="shared" si="21"/>
        <v>0</v>
      </c>
      <c r="AL17" s="160">
        <f t="shared" si="21"/>
        <v>0</v>
      </c>
      <c r="AM17" s="160">
        <f t="shared" si="21"/>
        <v>0</v>
      </c>
      <c r="AN17" s="161">
        <f>IF(OR(GradeSheet!$L12="W (Withdrawn)", GradeSheet!$L12="I (Incomplete)"), 0, IF(AH17&gt;=55%, 1, 0))</f>
        <v>0</v>
      </c>
      <c r="AO17" s="161">
        <f>IF(OR(GradeSheet!$L12="W (Withdrawn)", GradeSheet!$L12="I (Incomplete)"), 0, IF(AI17&gt;=55%, 1, 0))</f>
        <v>0</v>
      </c>
      <c r="AP17" s="161">
        <f>IF(OR(GradeSheet!$L12="W (Withdrawn)", GradeSheet!$L12="I (Incomplete)"), 0, IF(AJ17&gt;=55%, 1, 0))</f>
        <v>0</v>
      </c>
      <c r="AQ17" s="161">
        <f>IF(OR(GradeSheet!$L12="W (Withdrawn)", GradeSheet!$L12="I (Incomplete)"), 0, IF(AK17&gt;=55%, 1, 0))</f>
        <v>0</v>
      </c>
      <c r="AR17" s="161">
        <f>IF(OR(GradeSheet!$L12="W (Withdrawn)", GradeSheet!$L12="I (Incomplete)"), 0, IF(AL17&gt;=55%, 1, 0))</f>
        <v>0</v>
      </c>
      <c r="AS17" s="161">
        <f>IF(OR(GradeSheet!$L12="W (Withdrawn)", GradeSheet!$L12="I (Incomplete)"), 0, IF(AM17&gt;=55%, 1, 0))</f>
        <v>0</v>
      </c>
      <c r="AT17" s="129"/>
      <c r="AU17" s="162">
        <f t="shared" si="15"/>
        <v>0</v>
      </c>
      <c r="AV17" s="162">
        <f t="shared" si="16"/>
        <v>0</v>
      </c>
      <c r="AW17" s="162">
        <f t="array" ref="AW17">IF($AV$9=0,0,MMULT($AH17:$AM17, AV$3:AV$8)/$AV$9)</f>
        <v>0</v>
      </c>
      <c r="AX17" s="162">
        <f t="array" ref="AX17">IF($AW$9=0,0,MMULT($AH17:$AM17, AW$3:AW$8)/$AW$9)</f>
        <v>0</v>
      </c>
      <c r="AY17" s="162">
        <f t="shared" si="17"/>
        <v>0</v>
      </c>
      <c r="AZ17" s="162">
        <f t="array" ref="AZ17">IF($AY$9=0,0,MMULT($AH17:$AM17, AY$3:AY$8)/$AY$9)</f>
        <v>0</v>
      </c>
      <c r="BA17" s="162">
        <f t="array" ref="BA17">IF($AZ$9=0,0,MMULT($AH17:$AM17, AZ$3:AZ$8)/$AZ$9)</f>
        <v>0</v>
      </c>
      <c r="BB17" s="162">
        <f t="array" ref="BB17">IF($BA$9=0,0,MMULT($AH17:$AM17, BA$3:BA$8)/$BA$9)</f>
        <v>0</v>
      </c>
      <c r="BC17" s="162">
        <f t="array" ref="BC17">IF($BB$9=0,0,MMULT($AH17:$AM17, BB$3:BB$8)/$BB$9)</f>
        <v>0</v>
      </c>
      <c r="BD17" s="162">
        <f t="array" ref="BD17">IF($BC$9=0,0,MMULT($AH17:$AM17, BC$3:BC$8)/$BC$9)</f>
        <v>0</v>
      </c>
      <c r="BE17" s="162">
        <f t="shared" si="18"/>
        <v>0</v>
      </c>
      <c r="BF17" s="162">
        <f t="shared" si="19"/>
        <v>0</v>
      </c>
      <c r="BG17" s="161">
        <f>IF(OR(GradeSheet!$L12="W (Withdrawn)", GradeSheet!$L12="I (Incomplete)"), 0, IF(AU17&gt;=65%, 1, 0))</f>
        <v>0</v>
      </c>
      <c r="BH17" s="161">
        <f>IF(OR(GradeSheet!$L12="W (Withdrawn)", GradeSheet!$L12="I (Incomplete)"), 0, IF(AV17&gt;=65%, 1, 0))</f>
        <v>0</v>
      </c>
      <c r="BI17" s="161">
        <f>IF(OR(GradeSheet!$L12="W (Withdrawn)", GradeSheet!$L12="I (Incomplete)"), 0, IF(AW17&gt;=65%, 1, 0))</f>
        <v>0</v>
      </c>
      <c r="BJ17" s="161">
        <f>IF(OR(GradeSheet!$L12="W (Withdrawn)", GradeSheet!$L12="I (Incomplete)"), 0, IF(AX17&gt;=65%, 1, 0))</f>
        <v>0</v>
      </c>
      <c r="BK17" s="161">
        <f>IF(OR(GradeSheet!$L12="W (Withdrawn)", GradeSheet!$L12="I (Incomplete)"), 0, IF(AY17&gt;=65%, 1, 0))</f>
        <v>0</v>
      </c>
      <c r="BL17" s="161">
        <f>IF(OR(GradeSheet!$L12="W (Withdrawn)", GradeSheet!$L12="I (Incomplete)"), 0, IF(AZ17&gt;=65%, 1, 0))</f>
        <v>0</v>
      </c>
      <c r="BM17" s="161">
        <f>IF(OR(GradeSheet!$L12="W (Withdrawn)", GradeSheet!$L12="I (Incomplete)"), 0, IF(BA17&gt;=65%, 1, 0))</f>
        <v>0</v>
      </c>
      <c r="BN17" s="161">
        <f>IF(OR(GradeSheet!$L12="W (Withdrawn)", GradeSheet!$L12="I (Incomplete)"), 0, IF(BB17&gt;=65%, 1, 0))</f>
        <v>0</v>
      </c>
      <c r="BO17" s="161">
        <f>IF(OR(GradeSheet!$L12="W (Withdrawn)", GradeSheet!$L12="I (Incomplete)"), 0, IF(BC17&gt;=65%, 1, 0))</f>
        <v>0</v>
      </c>
      <c r="BP17" s="161">
        <f>IF(OR(GradeSheet!$L12="W (Withdrawn)", GradeSheet!$L12="I (Incomplete)"), 0, IF(BD17&gt;=65%, 1, 0))</f>
        <v>0</v>
      </c>
      <c r="BQ17" s="161">
        <f>IF(OR(GradeSheet!$L12="W (Withdrawn)", GradeSheet!$L12="I (Incomplete)"), 0, IF(BE17&gt;=65%, 1, 0))</f>
        <v>0</v>
      </c>
      <c r="BR17" s="161">
        <f>IF(OR(GradeSheet!$L12="W (Withdrawn)", GradeSheet!$L12="I (Incomplete)"), 0, IF(BF17&gt;=65%, 1, 0))</f>
        <v>0</v>
      </c>
    </row>
    <row r="18">
      <c r="A18" s="181">
        <v>4.0</v>
      </c>
      <c r="B18" s="149" t="s">
        <v>78</v>
      </c>
      <c r="C18" s="182" t="s">
        <v>79</v>
      </c>
      <c r="D18" s="152">
        <v>4.5</v>
      </c>
      <c r="E18" s="152">
        <v>8.0</v>
      </c>
      <c r="F18" s="154"/>
      <c r="G18" s="135"/>
      <c r="H18" s="154"/>
      <c r="I18" s="154"/>
      <c r="J18" s="152">
        <v>8.0</v>
      </c>
      <c r="K18" s="152">
        <v>6.5</v>
      </c>
      <c r="L18" s="152">
        <v>2.0</v>
      </c>
      <c r="M18" s="154"/>
      <c r="N18" s="135"/>
      <c r="O18" s="79"/>
      <c r="P18" s="155"/>
      <c r="Q18" s="156"/>
      <c r="R18" s="156"/>
      <c r="S18" s="156"/>
      <c r="T18" s="156"/>
      <c r="U18" s="157"/>
      <c r="V18" s="155"/>
      <c r="W18" s="156"/>
      <c r="X18" s="156"/>
      <c r="Y18" s="156"/>
      <c r="Z18" s="156"/>
      <c r="AA18" s="157"/>
      <c r="AB18" s="158">
        <f t="shared" ref="AB18:AE18" si="22">SUM(V18,D18,J18)</f>
        <v>12.5</v>
      </c>
      <c r="AC18" s="159">
        <f t="shared" si="22"/>
        <v>14.5</v>
      </c>
      <c r="AD18" s="159">
        <f t="shared" si="22"/>
        <v>2</v>
      </c>
      <c r="AE18" s="183">
        <f t="shared" si="22"/>
        <v>0</v>
      </c>
      <c r="AF18" s="159">
        <f t="shared" si="12"/>
        <v>0</v>
      </c>
      <c r="AG18" s="183">
        <f t="shared" si="13"/>
        <v>0</v>
      </c>
      <c r="AH18" s="160">
        <f t="shared" ref="AH18:AM18" si="23">IF(AB18 = 0, 0, AB18/AB$14)</f>
        <v>0.4807692308</v>
      </c>
      <c r="AI18" s="160">
        <f t="shared" si="23"/>
        <v>0.5</v>
      </c>
      <c r="AJ18" s="160">
        <f t="shared" si="23"/>
        <v>0.2</v>
      </c>
      <c r="AK18" s="160">
        <f t="shared" si="23"/>
        <v>0</v>
      </c>
      <c r="AL18" s="160">
        <f t="shared" si="23"/>
        <v>0</v>
      </c>
      <c r="AM18" s="160">
        <f t="shared" si="23"/>
        <v>0</v>
      </c>
      <c r="AN18" s="161">
        <f>IF(OR(GradeSheet!$L13="W (Withdrawn)", GradeSheet!$L13="I (Incomplete)"), 0, IF(AH18&gt;=55%, 1, 0))</f>
        <v>0</v>
      </c>
      <c r="AO18" s="161">
        <f>IF(OR(GradeSheet!$L13="W (Withdrawn)", GradeSheet!$L13="I (Incomplete)"), 0, IF(AI18&gt;=55%, 1, 0))</f>
        <v>0</v>
      </c>
      <c r="AP18" s="161">
        <f>IF(OR(GradeSheet!$L13="W (Withdrawn)", GradeSheet!$L13="I (Incomplete)"), 0, IF(AJ18&gt;=55%, 1, 0))</f>
        <v>0</v>
      </c>
      <c r="AQ18" s="161">
        <f>IF(OR(GradeSheet!$L13="W (Withdrawn)", GradeSheet!$L13="I (Incomplete)"), 0, IF(AK18&gt;=55%, 1, 0))</f>
        <v>0</v>
      </c>
      <c r="AR18" s="161">
        <f>IF(OR(GradeSheet!$L13="W (Withdrawn)", GradeSheet!$L13="I (Incomplete)"), 0, IF(AL18&gt;=55%, 1, 0))</f>
        <v>0</v>
      </c>
      <c r="AS18" s="161">
        <f>IF(OR(GradeSheet!$L13="W (Withdrawn)", GradeSheet!$L13="I (Incomplete)"), 0, IF(AM18&gt;=55%, 1, 0))</f>
        <v>0</v>
      </c>
      <c r="AT18" s="129"/>
      <c r="AU18" s="162">
        <f t="shared" si="15"/>
        <v>0</v>
      </c>
      <c r="AV18" s="162">
        <f t="shared" si="16"/>
        <v>0</v>
      </c>
      <c r="AW18" s="162">
        <f t="array" ref="AW18">IF($AV$9=0,0,MMULT($AH18:$AM18, AV$3:AV$8)/$AV$9)</f>
        <v>0</v>
      </c>
      <c r="AX18" s="162">
        <f t="array" ref="AX18">IF($AW$9=0,0,MMULT($AH18:$AM18, AW$3:AW$8)/$AW$9)</f>
        <v>0</v>
      </c>
      <c r="AY18" s="162">
        <f t="shared" si="17"/>
        <v>0</v>
      </c>
      <c r="AZ18" s="162">
        <f t="array" ref="AZ18">IF($AY$9=0,0,MMULT($AH18:$AM18, AY$3:AY$8)/$AY$9)</f>
        <v>0</v>
      </c>
      <c r="BA18" s="162">
        <f t="array" ref="BA18">IF($AZ$9=0,0,MMULT($AH18:$AM18, AZ$3:AZ$8)/$AZ$9)</f>
        <v>0</v>
      </c>
      <c r="BB18" s="162">
        <f t="array" ref="BB18">IF($BA$9=0,0,MMULT($AH18:$AM18, BA$3:BA$8)/$BA$9)</f>
        <v>0</v>
      </c>
      <c r="BC18" s="162">
        <f t="array" ref="BC18">IF($BB$9=0,0,MMULT($AH18:$AM18, BB$3:BB$8)/$BB$9)</f>
        <v>0</v>
      </c>
      <c r="BD18" s="162">
        <f t="array" ref="BD18">IF($BC$9=0,0,MMULT($AH18:$AM18, BC$3:BC$8)/$BC$9)</f>
        <v>0</v>
      </c>
      <c r="BE18" s="162">
        <f t="shared" si="18"/>
        <v>0</v>
      </c>
      <c r="BF18" s="162">
        <f t="shared" si="19"/>
        <v>0</v>
      </c>
      <c r="BG18" s="161">
        <f>IF(OR(GradeSheet!$L13="W (Withdrawn)", GradeSheet!$L13="I (Incomplete)"), 0, IF(AU18&gt;=65%, 1, 0))</f>
        <v>0</v>
      </c>
      <c r="BH18" s="161">
        <f>IF(OR(GradeSheet!$L13="W (Withdrawn)", GradeSheet!$L13="I (Incomplete)"), 0, IF(AV18&gt;=65%, 1, 0))</f>
        <v>0</v>
      </c>
      <c r="BI18" s="161">
        <f>IF(OR(GradeSheet!$L13="W (Withdrawn)", GradeSheet!$L13="I (Incomplete)"), 0, IF(AW18&gt;=65%, 1, 0))</f>
        <v>0</v>
      </c>
      <c r="BJ18" s="161">
        <f>IF(OR(GradeSheet!$L13="W (Withdrawn)", GradeSheet!$L13="I (Incomplete)"), 0, IF(AX18&gt;=65%, 1, 0))</f>
        <v>0</v>
      </c>
      <c r="BK18" s="161">
        <f>IF(OR(GradeSheet!$L13="W (Withdrawn)", GradeSheet!$L13="I (Incomplete)"), 0, IF(AY18&gt;=65%, 1, 0))</f>
        <v>0</v>
      </c>
      <c r="BL18" s="161">
        <f>IF(OR(GradeSheet!$L13="W (Withdrawn)", GradeSheet!$L13="I (Incomplete)"), 0, IF(AZ18&gt;=65%, 1, 0))</f>
        <v>0</v>
      </c>
      <c r="BM18" s="161">
        <f>IF(OR(GradeSheet!$L13="W (Withdrawn)", GradeSheet!$L13="I (Incomplete)"), 0, IF(BA18&gt;=65%, 1, 0))</f>
        <v>0</v>
      </c>
      <c r="BN18" s="161">
        <f>IF(OR(GradeSheet!$L13="W (Withdrawn)", GradeSheet!$L13="I (Incomplete)"), 0, IF(BB18&gt;=65%, 1, 0))</f>
        <v>0</v>
      </c>
      <c r="BO18" s="161">
        <f>IF(OR(GradeSheet!$L13="W (Withdrawn)", GradeSheet!$L13="I (Incomplete)"), 0, IF(BC18&gt;=65%, 1, 0))</f>
        <v>0</v>
      </c>
      <c r="BP18" s="161">
        <f>IF(OR(GradeSheet!$L13="W (Withdrawn)", GradeSheet!$L13="I (Incomplete)"), 0, IF(BD18&gt;=65%, 1, 0))</f>
        <v>0</v>
      </c>
      <c r="BQ18" s="161">
        <f>IF(OR(GradeSheet!$L13="W (Withdrawn)", GradeSheet!$L13="I (Incomplete)"), 0, IF(BE18&gt;=65%, 1, 0))</f>
        <v>0</v>
      </c>
      <c r="BR18" s="161">
        <f>IF(OR(GradeSheet!$L13="W (Withdrawn)", GradeSheet!$L13="I (Incomplete)"), 0, IF(BF18&gt;=65%, 1, 0))</f>
        <v>0</v>
      </c>
    </row>
    <row r="19">
      <c r="A19" s="148">
        <v>5.0</v>
      </c>
      <c r="B19" s="149" t="s">
        <v>80</v>
      </c>
      <c r="C19" s="182" t="s">
        <v>81</v>
      </c>
      <c r="D19" s="152">
        <v>3.5</v>
      </c>
      <c r="E19" s="152">
        <v>9.0</v>
      </c>
      <c r="F19" s="154"/>
      <c r="G19" s="135"/>
      <c r="H19" s="154"/>
      <c r="I19" s="154"/>
      <c r="J19" s="152">
        <v>8.5</v>
      </c>
      <c r="K19" s="152">
        <v>11.0</v>
      </c>
      <c r="L19" s="152">
        <v>6.0</v>
      </c>
      <c r="M19" s="154"/>
      <c r="N19" s="135"/>
      <c r="O19" s="79"/>
      <c r="P19" s="155"/>
      <c r="Q19" s="156"/>
      <c r="R19" s="156"/>
      <c r="S19" s="156"/>
      <c r="T19" s="156"/>
      <c r="U19" s="157"/>
      <c r="V19" s="155"/>
      <c r="W19" s="156"/>
      <c r="X19" s="156"/>
      <c r="Y19" s="156"/>
      <c r="Z19" s="156"/>
      <c r="AA19" s="157"/>
      <c r="AB19" s="158">
        <f t="shared" ref="AB19:AE19" si="24">SUM(V19,D19,J19)</f>
        <v>12</v>
      </c>
      <c r="AC19" s="159">
        <f t="shared" si="24"/>
        <v>20</v>
      </c>
      <c r="AD19" s="159">
        <f t="shared" si="24"/>
        <v>6</v>
      </c>
      <c r="AE19" s="183">
        <f t="shared" si="24"/>
        <v>0</v>
      </c>
      <c r="AF19" s="159">
        <f t="shared" si="12"/>
        <v>0</v>
      </c>
      <c r="AG19" s="183">
        <f t="shared" si="13"/>
        <v>0</v>
      </c>
      <c r="AH19" s="160">
        <f t="shared" ref="AH19:AM19" si="25">IF(AB19 = 0, 0, AB19/AB$14)</f>
        <v>0.4615384615</v>
      </c>
      <c r="AI19" s="160">
        <f t="shared" si="25"/>
        <v>0.6896551724</v>
      </c>
      <c r="AJ19" s="160">
        <f t="shared" si="25"/>
        <v>0.6</v>
      </c>
      <c r="AK19" s="160">
        <f t="shared" si="25"/>
        <v>0</v>
      </c>
      <c r="AL19" s="160">
        <f t="shared" si="25"/>
        <v>0</v>
      </c>
      <c r="AM19" s="160">
        <f t="shared" si="25"/>
        <v>0</v>
      </c>
      <c r="AN19" s="161">
        <f>IF(OR(GradeSheet!$L14="W (Withdrawn)", GradeSheet!$L14="I (Incomplete)"), 0, IF(AH19&gt;=55%, 1, 0))</f>
        <v>0</v>
      </c>
      <c r="AO19" s="161">
        <f>IF(OR(GradeSheet!$L14="W (Withdrawn)", GradeSheet!$L14="I (Incomplete)"), 0, IF(AI19&gt;=55%, 1, 0))</f>
        <v>1</v>
      </c>
      <c r="AP19" s="161">
        <f>IF(OR(GradeSheet!$L14="W (Withdrawn)", GradeSheet!$L14="I (Incomplete)"), 0, IF(AJ19&gt;=55%, 1, 0))</f>
        <v>1</v>
      </c>
      <c r="AQ19" s="161">
        <f>IF(OR(GradeSheet!$L14="W (Withdrawn)", GradeSheet!$L14="I (Incomplete)"), 0, IF(AK19&gt;=55%, 1, 0))</f>
        <v>0</v>
      </c>
      <c r="AR19" s="161">
        <f>IF(OR(GradeSheet!$L14="W (Withdrawn)", GradeSheet!$L14="I (Incomplete)"), 0, IF(AL19&gt;=55%, 1, 0))</f>
        <v>0</v>
      </c>
      <c r="AS19" s="161">
        <f>IF(OR(GradeSheet!$L14="W (Withdrawn)", GradeSheet!$L14="I (Incomplete)"), 0, IF(AM19&gt;=55%, 1, 0))</f>
        <v>0</v>
      </c>
      <c r="AT19" s="129"/>
      <c r="AU19" s="162">
        <f t="shared" si="15"/>
        <v>0</v>
      </c>
      <c r="AV19" s="162">
        <f t="shared" si="16"/>
        <v>0</v>
      </c>
      <c r="AW19" s="162">
        <f t="array" ref="AW19">IF($AV$9=0,0,MMULT($AH19:$AM19, AV$3:AV$8)/$AV$9)</f>
        <v>0</v>
      </c>
      <c r="AX19" s="162">
        <f t="array" ref="AX19">IF($AW$9=0,0,MMULT($AH19:$AM19, AW$3:AW$8)/$AW$9)</f>
        <v>0</v>
      </c>
      <c r="AY19" s="162">
        <f t="shared" si="17"/>
        <v>0</v>
      </c>
      <c r="AZ19" s="162">
        <f t="array" ref="AZ19">IF($AY$9=0,0,MMULT($AH19:$AM19, AY$3:AY$8)/$AY$9)</f>
        <v>0</v>
      </c>
      <c r="BA19" s="162">
        <f t="array" ref="BA19">IF($AZ$9=0,0,MMULT($AH19:$AM19, AZ$3:AZ$8)/$AZ$9)</f>
        <v>0</v>
      </c>
      <c r="BB19" s="162">
        <f t="array" ref="BB19">IF($BA$9=0,0,MMULT($AH19:$AM19, BA$3:BA$8)/$BA$9)</f>
        <v>0</v>
      </c>
      <c r="BC19" s="162">
        <f t="array" ref="BC19">IF($BB$9=0,0,MMULT($AH19:$AM19, BB$3:BB$8)/$BB$9)</f>
        <v>0</v>
      </c>
      <c r="BD19" s="162">
        <f t="array" ref="BD19">IF($BC$9=0,0,MMULT($AH19:$AM19, BC$3:BC$8)/$BC$9)</f>
        <v>0</v>
      </c>
      <c r="BE19" s="162">
        <f t="shared" si="18"/>
        <v>0</v>
      </c>
      <c r="BF19" s="162">
        <f t="shared" si="19"/>
        <v>0</v>
      </c>
      <c r="BG19" s="161">
        <f>IF(OR(GradeSheet!$L14="W (Withdrawn)", GradeSheet!$L14="I (Incomplete)"), 0, IF(AU19&gt;=65%, 1, 0))</f>
        <v>0</v>
      </c>
      <c r="BH19" s="161">
        <f>IF(OR(GradeSheet!$L14="W (Withdrawn)", GradeSheet!$L14="I (Incomplete)"), 0, IF(AV19&gt;=65%, 1, 0))</f>
        <v>0</v>
      </c>
      <c r="BI19" s="161">
        <f>IF(OR(GradeSheet!$L14="W (Withdrawn)", GradeSheet!$L14="I (Incomplete)"), 0, IF(AW19&gt;=65%, 1, 0))</f>
        <v>0</v>
      </c>
      <c r="BJ19" s="161">
        <f>IF(OR(GradeSheet!$L14="W (Withdrawn)", GradeSheet!$L14="I (Incomplete)"), 0, IF(AX19&gt;=65%, 1, 0))</f>
        <v>0</v>
      </c>
      <c r="BK19" s="161">
        <f>IF(OR(GradeSheet!$L14="W (Withdrawn)", GradeSheet!$L14="I (Incomplete)"), 0, IF(AY19&gt;=65%, 1, 0))</f>
        <v>0</v>
      </c>
      <c r="BL19" s="161">
        <f>IF(OR(GradeSheet!$L14="W (Withdrawn)", GradeSheet!$L14="I (Incomplete)"), 0, IF(AZ19&gt;=65%, 1, 0))</f>
        <v>0</v>
      </c>
      <c r="BM19" s="161">
        <f>IF(OR(GradeSheet!$L14="W (Withdrawn)", GradeSheet!$L14="I (Incomplete)"), 0, IF(BA19&gt;=65%, 1, 0))</f>
        <v>0</v>
      </c>
      <c r="BN19" s="161">
        <f>IF(OR(GradeSheet!$L14="W (Withdrawn)", GradeSheet!$L14="I (Incomplete)"), 0, IF(BB19&gt;=65%, 1, 0))</f>
        <v>0</v>
      </c>
      <c r="BO19" s="161">
        <f>IF(OR(GradeSheet!$L14="W (Withdrawn)", GradeSheet!$L14="I (Incomplete)"), 0, IF(BC19&gt;=65%, 1, 0))</f>
        <v>0</v>
      </c>
      <c r="BP19" s="161">
        <f>IF(OR(GradeSheet!$L14="W (Withdrawn)", GradeSheet!$L14="I (Incomplete)"), 0, IF(BD19&gt;=65%, 1, 0))</f>
        <v>0</v>
      </c>
      <c r="BQ19" s="161">
        <f>IF(OR(GradeSheet!$L14="W (Withdrawn)", GradeSheet!$L14="I (Incomplete)"), 0, IF(BE19&gt;=65%, 1, 0))</f>
        <v>0</v>
      </c>
      <c r="BR19" s="161">
        <f>IF(OR(GradeSheet!$L14="W (Withdrawn)", GradeSheet!$L14="I (Incomplete)"), 0, IF(BF19&gt;=65%, 1, 0))</f>
        <v>0</v>
      </c>
    </row>
    <row r="20">
      <c r="A20" s="181">
        <v>6.0</v>
      </c>
      <c r="B20" s="149" t="s">
        <v>82</v>
      </c>
      <c r="C20" s="182" t="s">
        <v>83</v>
      </c>
      <c r="D20" s="152"/>
      <c r="E20" s="152">
        <v>0.5</v>
      </c>
      <c r="F20" s="154"/>
      <c r="G20" s="135"/>
      <c r="H20" s="154"/>
      <c r="I20" s="154"/>
      <c r="J20" s="152"/>
      <c r="K20" s="152"/>
      <c r="L20" s="152"/>
      <c r="M20" s="154"/>
      <c r="N20" s="135"/>
      <c r="O20" s="79"/>
      <c r="P20" s="155"/>
      <c r="Q20" s="156"/>
      <c r="R20" s="156"/>
      <c r="S20" s="156"/>
      <c r="T20" s="156"/>
      <c r="U20" s="157"/>
      <c r="V20" s="155"/>
      <c r="W20" s="156"/>
      <c r="X20" s="156"/>
      <c r="Y20" s="156"/>
      <c r="Z20" s="156"/>
      <c r="AA20" s="157"/>
      <c r="AB20" s="158">
        <f t="shared" ref="AB20:AE20" si="26">SUM(V20,D20,J20)</f>
        <v>0</v>
      </c>
      <c r="AC20" s="159">
        <f t="shared" si="26"/>
        <v>0.5</v>
      </c>
      <c r="AD20" s="159">
        <f t="shared" si="26"/>
        <v>0</v>
      </c>
      <c r="AE20" s="183">
        <f t="shared" si="26"/>
        <v>0</v>
      </c>
      <c r="AF20" s="159">
        <f t="shared" si="12"/>
        <v>0</v>
      </c>
      <c r="AG20" s="183">
        <f t="shared" si="13"/>
        <v>0</v>
      </c>
      <c r="AH20" s="160">
        <f t="shared" ref="AH20:AM20" si="27">IF(AB20 = 0, 0, AB20/AB$14)</f>
        <v>0</v>
      </c>
      <c r="AI20" s="160">
        <f t="shared" si="27"/>
        <v>0.01724137931</v>
      </c>
      <c r="AJ20" s="160">
        <f t="shared" si="27"/>
        <v>0</v>
      </c>
      <c r="AK20" s="160">
        <f t="shared" si="27"/>
        <v>0</v>
      </c>
      <c r="AL20" s="160">
        <f t="shared" si="27"/>
        <v>0</v>
      </c>
      <c r="AM20" s="160">
        <f t="shared" si="27"/>
        <v>0</v>
      </c>
      <c r="AN20" s="161">
        <f>IF(OR(GradeSheet!$L15="W (Withdrawn)", GradeSheet!$L15="I (Incomplete)"), 0, IF(AH20&gt;=55%, 1, 0))</f>
        <v>0</v>
      </c>
      <c r="AO20" s="161">
        <f>IF(OR(GradeSheet!$L15="W (Withdrawn)", GradeSheet!$L15="I (Incomplete)"), 0, IF(AI20&gt;=55%, 1, 0))</f>
        <v>0</v>
      </c>
      <c r="AP20" s="161">
        <f>IF(OR(GradeSheet!$L15="W (Withdrawn)", GradeSheet!$L15="I (Incomplete)"), 0, IF(AJ20&gt;=55%, 1, 0))</f>
        <v>0</v>
      </c>
      <c r="AQ20" s="161">
        <f>IF(OR(GradeSheet!$L15="W (Withdrawn)", GradeSheet!$L15="I (Incomplete)"), 0, IF(AK20&gt;=55%, 1, 0))</f>
        <v>0</v>
      </c>
      <c r="AR20" s="161">
        <f>IF(OR(GradeSheet!$L15="W (Withdrawn)", GradeSheet!$L15="I (Incomplete)"), 0, IF(AL20&gt;=55%, 1, 0))</f>
        <v>0</v>
      </c>
      <c r="AS20" s="161">
        <f>IF(OR(GradeSheet!$L15="W (Withdrawn)", GradeSheet!$L15="I (Incomplete)"), 0, IF(AM20&gt;=55%, 1, 0))</f>
        <v>0</v>
      </c>
      <c r="AT20" s="129"/>
      <c r="AU20" s="162">
        <f t="shared" si="15"/>
        <v>0</v>
      </c>
      <c r="AV20" s="162">
        <f t="shared" si="16"/>
        <v>0</v>
      </c>
      <c r="AW20" s="162">
        <f t="array" ref="AW20">IF($AV$9=0,0,MMULT($AH20:$AM20, AV$3:AV$8)/$AV$9)</f>
        <v>0</v>
      </c>
      <c r="AX20" s="162">
        <f t="array" ref="AX20">IF($AW$9=0,0,MMULT($AH20:$AM20, AW$3:AW$8)/$AW$9)</f>
        <v>0</v>
      </c>
      <c r="AY20" s="162">
        <f t="shared" si="17"/>
        <v>0</v>
      </c>
      <c r="AZ20" s="162">
        <f t="array" ref="AZ20">IF($AY$9=0,0,MMULT($AH20:$AM20, AY$3:AY$8)/$AY$9)</f>
        <v>0</v>
      </c>
      <c r="BA20" s="162">
        <f t="array" ref="BA20">IF($AZ$9=0,0,MMULT($AH20:$AM20, AZ$3:AZ$8)/$AZ$9)</f>
        <v>0</v>
      </c>
      <c r="BB20" s="162">
        <f t="array" ref="BB20">IF($BA$9=0,0,MMULT($AH20:$AM20, BA$3:BA$8)/$BA$9)</f>
        <v>0</v>
      </c>
      <c r="BC20" s="162">
        <f t="array" ref="BC20">IF($BB$9=0,0,MMULT($AH20:$AM20, BB$3:BB$8)/$BB$9)</f>
        <v>0</v>
      </c>
      <c r="BD20" s="162">
        <f t="array" ref="BD20">IF($BC$9=0,0,MMULT($AH20:$AM20, BC$3:BC$8)/$BC$9)</f>
        <v>0</v>
      </c>
      <c r="BE20" s="162">
        <f t="shared" si="18"/>
        <v>0</v>
      </c>
      <c r="BF20" s="162">
        <f t="shared" si="19"/>
        <v>0</v>
      </c>
      <c r="BG20" s="161">
        <f>IF(OR(GradeSheet!$L15="W (Withdrawn)", GradeSheet!$L15="I (Incomplete)"), 0, IF(AU20&gt;=65%, 1, 0))</f>
        <v>0</v>
      </c>
      <c r="BH20" s="161">
        <f>IF(OR(GradeSheet!$L15="W (Withdrawn)", GradeSheet!$L15="I (Incomplete)"), 0, IF(AV20&gt;=65%, 1, 0))</f>
        <v>0</v>
      </c>
      <c r="BI20" s="161">
        <f>IF(OR(GradeSheet!$L15="W (Withdrawn)", GradeSheet!$L15="I (Incomplete)"), 0, IF(AW20&gt;=65%, 1, 0))</f>
        <v>0</v>
      </c>
      <c r="BJ20" s="161">
        <f>IF(OR(GradeSheet!$L15="W (Withdrawn)", GradeSheet!$L15="I (Incomplete)"), 0, IF(AX20&gt;=65%, 1, 0))</f>
        <v>0</v>
      </c>
      <c r="BK20" s="161">
        <f>IF(OR(GradeSheet!$L15="W (Withdrawn)", GradeSheet!$L15="I (Incomplete)"), 0, IF(AY20&gt;=65%, 1, 0))</f>
        <v>0</v>
      </c>
      <c r="BL20" s="161">
        <f>IF(OR(GradeSheet!$L15="W (Withdrawn)", GradeSheet!$L15="I (Incomplete)"), 0, IF(AZ20&gt;=65%, 1, 0))</f>
        <v>0</v>
      </c>
      <c r="BM20" s="161">
        <f>IF(OR(GradeSheet!$L15="W (Withdrawn)", GradeSheet!$L15="I (Incomplete)"), 0, IF(BA20&gt;=65%, 1, 0))</f>
        <v>0</v>
      </c>
      <c r="BN20" s="161">
        <f>IF(OR(GradeSheet!$L15="W (Withdrawn)", GradeSheet!$L15="I (Incomplete)"), 0, IF(BB20&gt;=65%, 1, 0))</f>
        <v>0</v>
      </c>
      <c r="BO20" s="161">
        <f>IF(OR(GradeSheet!$L15="W (Withdrawn)", GradeSheet!$L15="I (Incomplete)"), 0, IF(BC20&gt;=65%, 1, 0))</f>
        <v>0</v>
      </c>
      <c r="BP20" s="161">
        <f>IF(OR(GradeSheet!$L15="W (Withdrawn)", GradeSheet!$L15="I (Incomplete)"), 0, IF(BD20&gt;=65%, 1, 0))</f>
        <v>0</v>
      </c>
      <c r="BQ20" s="161">
        <f>IF(OR(GradeSheet!$L15="W (Withdrawn)", GradeSheet!$L15="I (Incomplete)"), 0, IF(BE20&gt;=65%, 1, 0))</f>
        <v>0</v>
      </c>
      <c r="BR20" s="161">
        <f>IF(OR(GradeSheet!$L15="W (Withdrawn)", GradeSheet!$L15="I (Incomplete)"), 0, IF(BF20&gt;=65%, 1, 0))</f>
        <v>0</v>
      </c>
    </row>
    <row r="21" ht="15.75" customHeight="1">
      <c r="A21" s="148">
        <v>7.0</v>
      </c>
      <c r="B21" s="149" t="s">
        <v>84</v>
      </c>
      <c r="C21" s="182" t="s">
        <v>85</v>
      </c>
      <c r="D21" s="152">
        <v>3.0</v>
      </c>
      <c r="E21" s="152">
        <v>8.0</v>
      </c>
      <c r="F21" s="154"/>
      <c r="G21" s="135"/>
      <c r="H21" s="154"/>
      <c r="I21" s="154"/>
      <c r="J21" s="152">
        <v>9.0</v>
      </c>
      <c r="K21" s="152">
        <v>8.0</v>
      </c>
      <c r="L21" s="152">
        <v>6.0</v>
      </c>
      <c r="M21" s="154"/>
      <c r="N21" s="135"/>
      <c r="O21" s="79"/>
      <c r="P21" s="155"/>
      <c r="Q21" s="156"/>
      <c r="R21" s="156"/>
      <c r="S21" s="156"/>
      <c r="T21" s="156"/>
      <c r="U21" s="157"/>
      <c r="V21" s="155"/>
      <c r="W21" s="156"/>
      <c r="X21" s="156"/>
      <c r="Y21" s="156"/>
      <c r="Z21" s="156"/>
      <c r="AA21" s="157"/>
      <c r="AB21" s="158">
        <f t="shared" ref="AB21:AE21" si="28">SUM(V21,D21,J21)</f>
        <v>12</v>
      </c>
      <c r="AC21" s="159">
        <f t="shared" si="28"/>
        <v>16</v>
      </c>
      <c r="AD21" s="159">
        <f t="shared" si="28"/>
        <v>6</v>
      </c>
      <c r="AE21" s="183">
        <f t="shared" si="28"/>
        <v>0</v>
      </c>
      <c r="AF21" s="159">
        <f t="shared" si="12"/>
        <v>0</v>
      </c>
      <c r="AG21" s="183">
        <f t="shared" si="13"/>
        <v>0</v>
      </c>
      <c r="AH21" s="160">
        <f t="shared" ref="AH21:AM21" si="29">IF(AB21 = 0, 0, AB21/AB$14)</f>
        <v>0.4615384615</v>
      </c>
      <c r="AI21" s="160">
        <f t="shared" si="29"/>
        <v>0.5517241379</v>
      </c>
      <c r="AJ21" s="160">
        <f t="shared" si="29"/>
        <v>0.6</v>
      </c>
      <c r="AK21" s="160">
        <f t="shared" si="29"/>
        <v>0</v>
      </c>
      <c r="AL21" s="160">
        <f t="shared" si="29"/>
        <v>0</v>
      </c>
      <c r="AM21" s="160">
        <f t="shared" si="29"/>
        <v>0</v>
      </c>
      <c r="AN21" s="161">
        <f>IF(OR(GradeSheet!$L16="W (Withdrawn)", GradeSheet!$L16="I (Incomplete)"), 0, IF(AH21&gt;=55%, 1, 0))</f>
        <v>0</v>
      </c>
      <c r="AO21" s="161">
        <f>IF(OR(GradeSheet!$L16="W (Withdrawn)", GradeSheet!$L16="I (Incomplete)"), 0, IF(AI21&gt;=55%, 1, 0))</f>
        <v>1</v>
      </c>
      <c r="AP21" s="161">
        <f>IF(OR(GradeSheet!$L16="W (Withdrawn)", GradeSheet!$L16="I (Incomplete)"), 0, IF(AJ21&gt;=55%, 1, 0))</f>
        <v>1</v>
      </c>
      <c r="AQ21" s="161">
        <f>IF(OR(GradeSheet!$L16="W (Withdrawn)", GradeSheet!$L16="I (Incomplete)"), 0, IF(AK21&gt;=55%, 1, 0))</f>
        <v>0</v>
      </c>
      <c r="AR21" s="161">
        <f>IF(OR(GradeSheet!$L16="W (Withdrawn)", GradeSheet!$L16="I (Incomplete)"), 0, IF(AL21&gt;=55%, 1, 0))</f>
        <v>0</v>
      </c>
      <c r="AS21" s="161">
        <f>IF(OR(GradeSheet!$L16="W (Withdrawn)", GradeSheet!$L16="I (Incomplete)"), 0, IF(AM21&gt;=55%, 1, 0))</f>
        <v>0</v>
      </c>
      <c r="AT21" s="129"/>
      <c r="AU21" s="162">
        <f t="shared" si="15"/>
        <v>0</v>
      </c>
      <c r="AV21" s="162">
        <f t="shared" si="16"/>
        <v>0</v>
      </c>
      <c r="AW21" s="162">
        <f t="array" ref="AW21">IF($AV$9=0,0,MMULT($AH21:$AM21, AV$3:AV$8)/$AV$9)</f>
        <v>0</v>
      </c>
      <c r="AX21" s="162">
        <f t="array" ref="AX21">IF($AW$9=0,0,MMULT($AH21:$AM21, AW$3:AW$8)/$AW$9)</f>
        <v>0</v>
      </c>
      <c r="AY21" s="162">
        <f t="shared" si="17"/>
        <v>0</v>
      </c>
      <c r="AZ21" s="162">
        <f t="array" ref="AZ21">IF($AY$9=0,0,MMULT($AH21:$AM21, AY$3:AY$8)/$AY$9)</f>
        <v>0</v>
      </c>
      <c r="BA21" s="162">
        <f t="array" ref="BA21">IF($AZ$9=0,0,MMULT($AH21:$AM21, AZ$3:AZ$8)/$AZ$9)</f>
        <v>0</v>
      </c>
      <c r="BB21" s="162">
        <f t="array" ref="BB21">IF($BA$9=0,0,MMULT($AH21:$AM21, BA$3:BA$8)/$BA$9)</f>
        <v>0</v>
      </c>
      <c r="BC21" s="162">
        <f t="array" ref="BC21">IF($BB$9=0,0,MMULT($AH21:$AM21, BB$3:BB$8)/$BB$9)</f>
        <v>0</v>
      </c>
      <c r="BD21" s="162">
        <f t="array" ref="BD21">IF($BC$9=0,0,MMULT($AH21:$AM21, BC$3:BC$8)/$BC$9)</f>
        <v>0</v>
      </c>
      <c r="BE21" s="162">
        <f t="shared" si="18"/>
        <v>0</v>
      </c>
      <c r="BF21" s="162">
        <f t="shared" si="19"/>
        <v>0</v>
      </c>
      <c r="BG21" s="161">
        <f>IF(OR(GradeSheet!$L16="W (Withdrawn)", GradeSheet!$L16="I (Incomplete)"), 0, IF(AU21&gt;=65%, 1, 0))</f>
        <v>0</v>
      </c>
      <c r="BH21" s="161">
        <f>IF(OR(GradeSheet!$L16="W (Withdrawn)", GradeSheet!$L16="I (Incomplete)"), 0, IF(AV21&gt;=65%, 1, 0))</f>
        <v>0</v>
      </c>
      <c r="BI21" s="161">
        <f>IF(OR(GradeSheet!$L16="W (Withdrawn)", GradeSheet!$L16="I (Incomplete)"), 0, IF(AW21&gt;=65%, 1, 0))</f>
        <v>0</v>
      </c>
      <c r="BJ21" s="161">
        <f>IF(OR(GradeSheet!$L16="W (Withdrawn)", GradeSheet!$L16="I (Incomplete)"), 0, IF(AX21&gt;=65%, 1, 0))</f>
        <v>0</v>
      </c>
      <c r="BK21" s="161">
        <f>IF(OR(GradeSheet!$L16="W (Withdrawn)", GradeSheet!$L16="I (Incomplete)"), 0, IF(AY21&gt;=65%, 1, 0))</f>
        <v>0</v>
      </c>
      <c r="BL21" s="161">
        <f>IF(OR(GradeSheet!$L16="W (Withdrawn)", GradeSheet!$L16="I (Incomplete)"), 0, IF(AZ21&gt;=65%, 1, 0))</f>
        <v>0</v>
      </c>
      <c r="BM21" s="161">
        <f>IF(OR(GradeSheet!$L16="W (Withdrawn)", GradeSheet!$L16="I (Incomplete)"), 0, IF(BA21&gt;=65%, 1, 0))</f>
        <v>0</v>
      </c>
      <c r="BN21" s="161">
        <f>IF(OR(GradeSheet!$L16="W (Withdrawn)", GradeSheet!$L16="I (Incomplete)"), 0, IF(BB21&gt;=65%, 1, 0))</f>
        <v>0</v>
      </c>
      <c r="BO21" s="161">
        <f>IF(OR(GradeSheet!$L16="W (Withdrawn)", GradeSheet!$L16="I (Incomplete)"), 0, IF(BC21&gt;=65%, 1, 0))</f>
        <v>0</v>
      </c>
      <c r="BP21" s="161">
        <f>IF(OR(GradeSheet!$L16="W (Withdrawn)", GradeSheet!$L16="I (Incomplete)"), 0, IF(BD21&gt;=65%, 1, 0))</f>
        <v>0</v>
      </c>
      <c r="BQ21" s="161">
        <f>IF(OR(GradeSheet!$L16="W (Withdrawn)", GradeSheet!$L16="I (Incomplete)"), 0, IF(BE21&gt;=65%, 1, 0))</f>
        <v>0</v>
      </c>
      <c r="BR21" s="161">
        <f>IF(OR(GradeSheet!$L16="W (Withdrawn)", GradeSheet!$L16="I (Incomplete)"), 0, IF(BF21&gt;=65%, 1, 0))</f>
        <v>0</v>
      </c>
    </row>
    <row r="22" ht="15.75" customHeight="1">
      <c r="A22" s="181">
        <v>8.0</v>
      </c>
      <c r="B22" s="149" t="s">
        <v>86</v>
      </c>
      <c r="C22" s="182" t="s">
        <v>87</v>
      </c>
      <c r="D22" s="152">
        <v>6.0</v>
      </c>
      <c r="E22" s="152">
        <v>11.0</v>
      </c>
      <c r="F22" s="154"/>
      <c r="G22" s="135"/>
      <c r="H22" s="154"/>
      <c r="I22" s="154"/>
      <c r="J22" s="152">
        <v>11.5</v>
      </c>
      <c r="K22" s="152">
        <v>2.0</v>
      </c>
      <c r="L22" s="152">
        <v>6.0</v>
      </c>
      <c r="M22" s="154"/>
      <c r="N22" s="135"/>
      <c r="O22" s="79"/>
      <c r="P22" s="155"/>
      <c r="Q22" s="156"/>
      <c r="R22" s="156"/>
      <c r="S22" s="156"/>
      <c r="T22" s="156"/>
      <c r="U22" s="157"/>
      <c r="V22" s="155"/>
      <c r="W22" s="156"/>
      <c r="X22" s="156"/>
      <c r="Y22" s="156"/>
      <c r="Z22" s="156"/>
      <c r="AA22" s="157"/>
      <c r="AB22" s="158">
        <f t="shared" ref="AB22:AE22" si="30">SUM(V22,D22,J22)</f>
        <v>17.5</v>
      </c>
      <c r="AC22" s="159">
        <f t="shared" si="30"/>
        <v>13</v>
      </c>
      <c r="AD22" s="159">
        <f t="shared" si="30"/>
        <v>6</v>
      </c>
      <c r="AE22" s="183">
        <f t="shared" si="30"/>
        <v>0</v>
      </c>
      <c r="AF22" s="159">
        <f t="shared" si="12"/>
        <v>0</v>
      </c>
      <c r="AG22" s="183">
        <f t="shared" si="13"/>
        <v>0</v>
      </c>
      <c r="AH22" s="160">
        <f t="shared" ref="AH22:AM22" si="31">IF(AB22 = 0, 0, AB22/AB$14)</f>
        <v>0.6730769231</v>
      </c>
      <c r="AI22" s="160">
        <f t="shared" si="31"/>
        <v>0.4482758621</v>
      </c>
      <c r="AJ22" s="160">
        <f t="shared" si="31"/>
        <v>0.6</v>
      </c>
      <c r="AK22" s="160">
        <f t="shared" si="31"/>
        <v>0</v>
      </c>
      <c r="AL22" s="160">
        <f t="shared" si="31"/>
        <v>0</v>
      </c>
      <c r="AM22" s="160">
        <f t="shared" si="31"/>
        <v>0</v>
      </c>
      <c r="AN22" s="161">
        <f>IF(OR(GradeSheet!$L17="W (Withdrawn)", GradeSheet!$L17="I (Incomplete)"), 0, IF(AH22&gt;=55%, 1, 0))</f>
        <v>1</v>
      </c>
      <c r="AO22" s="161">
        <f>IF(OR(GradeSheet!$L17="W (Withdrawn)", GradeSheet!$L17="I (Incomplete)"), 0, IF(AI22&gt;=55%, 1, 0))</f>
        <v>0</v>
      </c>
      <c r="AP22" s="161">
        <f>IF(OR(GradeSheet!$L17="W (Withdrawn)", GradeSheet!$L17="I (Incomplete)"), 0, IF(AJ22&gt;=55%, 1, 0))</f>
        <v>1</v>
      </c>
      <c r="AQ22" s="161">
        <f>IF(OR(GradeSheet!$L17="W (Withdrawn)", GradeSheet!$L17="I (Incomplete)"), 0, IF(AK22&gt;=55%, 1, 0))</f>
        <v>0</v>
      </c>
      <c r="AR22" s="161">
        <f>IF(OR(GradeSheet!$L17="W (Withdrawn)", GradeSheet!$L17="I (Incomplete)"), 0, IF(AL22&gt;=55%, 1, 0))</f>
        <v>0</v>
      </c>
      <c r="AS22" s="161">
        <f>IF(OR(GradeSheet!$L17="W (Withdrawn)", GradeSheet!$L17="I (Incomplete)"), 0, IF(AM22&gt;=55%, 1, 0))</f>
        <v>0</v>
      </c>
      <c r="AT22" s="129"/>
      <c r="AU22" s="162">
        <f t="shared" si="15"/>
        <v>0</v>
      </c>
      <c r="AV22" s="162">
        <f t="shared" si="16"/>
        <v>0</v>
      </c>
      <c r="AW22" s="162">
        <f t="array" ref="AW22">IF($AV$9=0,0,MMULT($AH22:$AM22, AV$3:AV$8)/$AV$9)</f>
        <v>0</v>
      </c>
      <c r="AX22" s="162">
        <f t="array" ref="AX22">IF($AW$9=0,0,MMULT($AH22:$AM22, AW$3:AW$8)/$AW$9)</f>
        <v>0</v>
      </c>
      <c r="AY22" s="162">
        <f t="shared" si="17"/>
        <v>0</v>
      </c>
      <c r="AZ22" s="162">
        <f t="array" ref="AZ22">IF($AY$9=0,0,MMULT($AH22:$AM22, AY$3:AY$8)/$AY$9)</f>
        <v>0</v>
      </c>
      <c r="BA22" s="162">
        <f t="array" ref="BA22">IF($AZ$9=0,0,MMULT($AH22:$AM22, AZ$3:AZ$8)/$AZ$9)</f>
        <v>0</v>
      </c>
      <c r="BB22" s="162">
        <f t="array" ref="BB22">IF($BA$9=0,0,MMULT($AH22:$AM22, BA$3:BA$8)/$BA$9)</f>
        <v>0</v>
      </c>
      <c r="BC22" s="162">
        <f t="array" ref="BC22">IF($BB$9=0,0,MMULT($AH22:$AM22, BB$3:BB$8)/$BB$9)</f>
        <v>0</v>
      </c>
      <c r="BD22" s="162">
        <f t="array" ref="BD22">IF($BC$9=0,0,MMULT($AH22:$AM22, BC$3:BC$8)/$BC$9)</f>
        <v>0</v>
      </c>
      <c r="BE22" s="162">
        <f t="shared" si="18"/>
        <v>0</v>
      </c>
      <c r="BF22" s="162">
        <f t="shared" si="19"/>
        <v>0</v>
      </c>
      <c r="BG22" s="161">
        <f>IF(OR(GradeSheet!$L17="W (Withdrawn)", GradeSheet!$L17="I (Incomplete)"), 0, IF(AU22&gt;=65%, 1, 0))</f>
        <v>0</v>
      </c>
      <c r="BH22" s="161">
        <f>IF(OR(GradeSheet!$L17="W (Withdrawn)", GradeSheet!$L17="I (Incomplete)"), 0, IF(AV22&gt;=65%, 1, 0))</f>
        <v>0</v>
      </c>
      <c r="BI22" s="161">
        <f>IF(OR(GradeSheet!$L17="W (Withdrawn)", GradeSheet!$L17="I (Incomplete)"), 0, IF(AW22&gt;=65%, 1, 0))</f>
        <v>0</v>
      </c>
      <c r="BJ22" s="161">
        <f>IF(OR(GradeSheet!$L17="W (Withdrawn)", GradeSheet!$L17="I (Incomplete)"), 0, IF(AX22&gt;=65%, 1, 0))</f>
        <v>0</v>
      </c>
      <c r="BK22" s="161">
        <f>IF(OR(GradeSheet!$L17="W (Withdrawn)", GradeSheet!$L17="I (Incomplete)"), 0, IF(AY22&gt;=65%, 1, 0))</f>
        <v>0</v>
      </c>
      <c r="BL22" s="161">
        <f>IF(OR(GradeSheet!$L17="W (Withdrawn)", GradeSheet!$L17="I (Incomplete)"), 0, IF(AZ22&gt;=65%, 1, 0))</f>
        <v>0</v>
      </c>
      <c r="BM22" s="161">
        <f>IF(OR(GradeSheet!$L17="W (Withdrawn)", GradeSheet!$L17="I (Incomplete)"), 0, IF(BA22&gt;=65%, 1, 0))</f>
        <v>0</v>
      </c>
      <c r="BN22" s="161">
        <f>IF(OR(GradeSheet!$L17="W (Withdrawn)", GradeSheet!$L17="I (Incomplete)"), 0, IF(BB22&gt;=65%, 1, 0))</f>
        <v>0</v>
      </c>
      <c r="BO22" s="161">
        <f>IF(OR(GradeSheet!$L17="W (Withdrawn)", GradeSheet!$L17="I (Incomplete)"), 0, IF(BC22&gt;=65%, 1, 0))</f>
        <v>0</v>
      </c>
      <c r="BP22" s="161">
        <f>IF(OR(GradeSheet!$L17="W (Withdrawn)", GradeSheet!$L17="I (Incomplete)"), 0, IF(BD22&gt;=65%, 1, 0))</f>
        <v>0</v>
      </c>
      <c r="BQ22" s="161">
        <f>IF(OR(GradeSheet!$L17="W (Withdrawn)", GradeSheet!$L17="I (Incomplete)"), 0, IF(BE22&gt;=65%, 1, 0))</f>
        <v>0</v>
      </c>
      <c r="BR22" s="161">
        <f>IF(OR(GradeSheet!$L17="W (Withdrawn)", GradeSheet!$L17="I (Incomplete)"), 0, IF(BF22&gt;=65%, 1, 0))</f>
        <v>0</v>
      </c>
    </row>
    <row r="23" ht="15.75" customHeight="1">
      <c r="A23" s="148">
        <v>9.0</v>
      </c>
      <c r="B23" s="149" t="s">
        <v>88</v>
      </c>
      <c r="C23" s="182" t="s">
        <v>89</v>
      </c>
      <c r="D23" s="152">
        <v>9.5</v>
      </c>
      <c r="E23" s="152">
        <v>5.5</v>
      </c>
      <c r="F23" s="154"/>
      <c r="G23" s="135"/>
      <c r="H23" s="154"/>
      <c r="I23" s="154"/>
      <c r="J23" s="152">
        <v>6.0</v>
      </c>
      <c r="K23" s="152">
        <v>9.0</v>
      </c>
      <c r="L23" s="152">
        <v>3.5</v>
      </c>
      <c r="M23" s="154"/>
      <c r="N23" s="135"/>
      <c r="O23" s="79"/>
      <c r="P23" s="155"/>
      <c r="Q23" s="156"/>
      <c r="R23" s="156"/>
      <c r="S23" s="156"/>
      <c r="T23" s="156"/>
      <c r="U23" s="157"/>
      <c r="V23" s="155"/>
      <c r="W23" s="156"/>
      <c r="X23" s="156"/>
      <c r="Y23" s="156"/>
      <c r="Z23" s="156"/>
      <c r="AA23" s="157"/>
      <c r="AB23" s="158">
        <f t="shared" ref="AB23:AE23" si="32">SUM(V23,D23,J23)</f>
        <v>15.5</v>
      </c>
      <c r="AC23" s="159">
        <f t="shared" si="32"/>
        <v>14.5</v>
      </c>
      <c r="AD23" s="159">
        <f t="shared" si="32"/>
        <v>3.5</v>
      </c>
      <c r="AE23" s="183">
        <f t="shared" si="32"/>
        <v>0</v>
      </c>
      <c r="AF23" s="159">
        <f t="shared" si="12"/>
        <v>0</v>
      </c>
      <c r="AG23" s="183">
        <f t="shared" si="13"/>
        <v>0</v>
      </c>
      <c r="AH23" s="160">
        <f t="shared" ref="AH23:AM23" si="33">IF(AB23 = 0, 0, AB23/AB$14)</f>
        <v>0.5961538462</v>
      </c>
      <c r="AI23" s="160">
        <f t="shared" si="33"/>
        <v>0.5</v>
      </c>
      <c r="AJ23" s="160">
        <f t="shared" si="33"/>
        <v>0.35</v>
      </c>
      <c r="AK23" s="160">
        <f t="shared" si="33"/>
        <v>0</v>
      </c>
      <c r="AL23" s="160">
        <f t="shared" si="33"/>
        <v>0</v>
      </c>
      <c r="AM23" s="160">
        <f t="shared" si="33"/>
        <v>0</v>
      </c>
      <c r="AN23" s="161">
        <f>IF(OR(GradeSheet!$L18="W (Withdrawn)", GradeSheet!$L18="I (Incomplete)"), 0, IF(AH23&gt;=55%, 1, 0))</f>
        <v>1</v>
      </c>
      <c r="AO23" s="161">
        <f>IF(OR(GradeSheet!$L18="W (Withdrawn)", GradeSheet!$L18="I (Incomplete)"), 0, IF(AI23&gt;=55%, 1, 0))</f>
        <v>0</v>
      </c>
      <c r="AP23" s="161">
        <f>IF(OR(GradeSheet!$L18="W (Withdrawn)", GradeSheet!$L18="I (Incomplete)"), 0, IF(AJ23&gt;=55%, 1, 0))</f>
        <v>0</v>
      </c>
      <c r="AQ23" s="161">
        <f>IF(OR(GradeSheet!$L18="W (Withdrawn)", GradeSheet!$L18="I (Incomplete)"), 0, IF(AK23&gt;=55%, 1, 0))</f>
        <v>0</v>
      </c>
      <c r="AR23" s="161">
        <f>IF(OR(GradeSheet!$L18="W (Withdrawn)", GradeSheet!$L18="I (Incomplete)"), 0, IF(AL23&gt;=55%, 1, 0))</f>
        <v>0</v>
      </c>
      <c r="AS23" s="161">
        <f>IF(OR(GradeSheet!$L18="W (Withdrawn)", GradeSheet!$L18="I (Incomplete)"), 0, IF(AM23&gt;=55%, 1, 0))</f>
        <v>0</v>
      </c>
      <c r="AT23" s="129"/>
      <c r="AU23" s="162">
        <f t="shared" si="15"/>
        <v>0</v>
      </c>
      <c r="AV23" s="162">
        <f t="shared" si="16"/>
        <v>0</v>
      </c>
      <c r="AW23" s="162">
        <f t="array" ref="AW23">IF($AV$9=0,0,MMULT($AH23:$AM23, AV$3:AV$8)/$AV$9)</f>
        <v>0</v>
      </c>
      <c r="AX23" s="162">
        <f t="array" ref="AX23">IF($AW$9=0,0,MMULT($AH23:$AM23, AW$3:AW$8)/$AW$9)</f>
        <v>0</v>
      </c>
      <c r="AY23" s="162">
        <f t="shared" si="17"/>
        <v>0</v>
      </c>
      <c r="AZ23" s="162">
        <f t="array" ref="AZ23">IF($AY$9=0,0,MMULT($AH23:$AM23, AY$3:AY$8)/$AY$9)</f>
        <v>0</v>
      </c>
      <c r="BA23" s="162">
        <f t="array" ref="BA23">IF($AZ$9=0,0,MMULT($AH23:$AM23, AZ$3:AZ$8)/$AZ$9)</f>
        <v>0</v>
      </c>
      <c r="BB23" s="162">
        <f t="array" ref="BB23">IF($BA$9=0,0,MMULT($AH23:$AM23, BA$3:BA$8)/$BA$9)</f>
        <v>0</v>
      </c>
      <c r="BC23" s="162">
        <f t="array" ref="BC23">IF($BB$9=0,0,MMULT($AH23:$AM23, BB$3:BB$8)/$BB$9)</f>
        <v>0</v>
      </c>
      <c r="BD23" s="162">
        <f t="array" ref="BD23">IF($BC$9=0,0,MMULT($AH23:$AM23, BC$3:BC$8)/$BC$9)</f>
        <v>0</v>
      </c>
      <c r="BE23" s="162">
        <f t="shared" si="18"/>
        <v>0</v>
      </c>
      <c r="BF23" s="162">
        <f t="shared" si="19"/>
        <v>0</v>
      </c>
      <c r="BG23" s="161">
        <f>IF(OR(GradeSheet!$L18="W (Withdrawn)", GradeSheet!$L18="I (Incomplete)"), 0, IF(AU23&gt;=65%, 1, 0))</f>
        <v>0</v>
      </c>
      <c r="BH23" s="161">
        <f>IF(OR(GradeSheet!$L18="W (Withdrawn)", GradeSheet!$L18="I (Incomplete)"), 0, IF(AV23&gt;=65%, 1, 0))</f>
        <v>0</v>
      </c>
      <c r="BI23" s="161">
        <f>IF(OR(GradeSheet!$L18="W (Withdrawn)", GradeSheet!$L18="I (Incomplete)"), 0, IF(AW23&gt;=65%, 1, 0))</f>
        <v>0</v>
      </c>
      <c r="BJ23" s="161">
        <f>IF(OR(GradeSheet!$L18="W (Withdrawn)", GradeSheet!$L18="I (Incomplete)"), 0, IF(AX23&gt;=65%, 1, 0))</f>
        <v>0</v>
      </c>
      <c r="BK23" s="161">
        <f>IF(OR(GradeSheet!$L18="W (Withdrawn)", GradeSheet!$L18="I (Incomplete)"), 0, IF(AY23&gt;=65%, 1, 0))</f>
        <v>0</v>
      </c>
      <c r="BL23" s="161">
        <f>IF(OR(GradeSheet!$L18="W (Withdrawn)", GradeSheet!$L18="I (Incomplete)"), 0, IF(AZ23&gt;=65%, 1, 0))</f>
        <v>0</v>
      </c>
      <c r="BM23" s="161">
        <f>IF(OR(GradeSheet!$L18="W (Withdrawn)", GradeSheet!$L18="I (Incomplete)"), 0, IF(BA23&gt;=65%, 1, 0))</f>
        <v>0</v>
      </c>
      <c r="BN23" s="161">
        <f>IF(OR(GradeSheet!$L18="W (Withdrawn)", GradeSheet!$L18="I (Incomplete)"), 0, IF(BB23&gt;=65%, 1, 0))</f>
        <v>0</v>
      </c>
      <c r="BO23" s="161">
        <f>IF(OR(GradeSheet!$L18="W (Withdrawn)", GradeSheet!$L18="I (Incomplete)"), 0, IF(BC23&gt;=65%, 1, 0))</f>
        <v>0</v>
      </c>
      <c r="BP23" s="161">
        <f>IF(OR(GradeSheet!$L18="W (Withdrawn)", GradeSheet!$L18="I (Incomplete)"), 0, IF(BD23&gt;=65%, 1, 0))</f>
        <v>0</v>
      </c>
      <c r="BQ23" s="161">
        <f>IF(OR(GradeSheet!$L18="W (Withdrawn)", GradeSheet!$L18="I (Incomplete)"), 0, IF(BE23&gt;=65%, 1, 0))</f>
        <v>0</v>
      </c>
      <c r="BR23" s="161">
        <f>IF(OR(GradeSheet!$L18="W (Withdrawn)", GradeSheet!$L18="I (Incomplete)"), 0, IF(BF23&gt;=65%, 1, 0))</f>
        <v>0</v>
      </c>
    </row>
    <row r="24" ht="15.75" customHeight="1">
      <c r="A24" s="181">
        <v>10.0</v>
      </c>
      <c r="B24" s="273">
        <v>2.33014155E8</v>
      </c>
      <c r="C24" s="182" t="s">
        <v>92</v>
      </c>
      <c r="D24" s="152">
        <v>3.5</v>
      </c>
      <c r="E24" s="152">
        <v>3.0</v>
      </c>
      <c r="F24" s="154"/>
      <c r="G24" s="135"/>
      <c r="H24" s="154"/>
      <c r="I24" s="154"/>
      <c r="J24" s="152">
        <v>3.0</v>
      </c>
      <c r="K24" s="152">
        <v>0.0</v>
      </c>
      <c r="L24" s="152">
        <v>5.5</v>
      </c>
      <c r="M24" s="154"/>
      <c r="N24" s="135"/>
      <c r="O24" s="79"/>
      <c r="P24" s="155"/>
      <c r="Q24" s="156"/>
      <c r="R24" s="156"/>
      <c r="S24" s="156"/>
      <c r="T24" s="156"/>
      <c r="U24" s="157"/>
      <c r="V24" s="155"/>
      <c r="W24" s="156"/>
      <c r="X24" s="156"/>
      <c r="Y24" s="156"/>
      <c r="Z24" s="156"/>
      <c r="AA24" s="157"/>
      <c r="AB24" s="158">
        <f t="shared" ref="AB24:AE24" si="34">SUM(V24,D24,J24)</f>
        <v>6.5</v>
      </c>
      <c r="AC24" s="159">
        <f t="shared" si="34"/>
        <v>3</v>
      </c>
      <c r="AD24" s="159">
        <f t="shared" si="34"/>
        <v>5.5</v>
      </c>
      <c r="AE24" s="183">
        <f t="shared" si="34"/>
        <v>0</v>
      </c>
      <c r="AF24" s="159">
        <f t="shared" si="12"/>
        <v>0</v>
      </c>
      <c r="AG24" s="183">
        <f t="shared" si="13"/>
        <v>0</v>
      </c>
      <c r="AH24" s="160">
        <f t="shared" ref="AH24:AM24" si="35">IF(AB24 = 0, 0, AB24/AB$14)</f>
        <v>0.25</v>
      </c>
      <c r="AI24" s="160">
        <f t="shared" si="35"/>
        <v>0.1034482759</v>
      </c>
      <c r="AJ24" s="160">
        <f t="shared" si="35"/>
        <v>0.55</v>
      </c>
      <c r="AK24" s="160">
        <f t="shared" si="35"/>
        <v>0</v>
      </c>
      <c r="AL24" s="160">
        <f t="shared" si="35"/>
        <v>0</v>
      </c>
      <c r="AM24" s="160">
        <f t="shared" si="35"/>
        <v>0</v>
      </c>
      <c r="AN24" s="161">
        <f>IF(OR(GradeSheet!$L19="W (Withdrawn)", GradeSheet!$L19="I (Incomplete)"), 0, IF(AH24&gt;=55%, 1, 0))</f>
        <v>0</v>
      </c>
      <c r="AO24" s="161">
        <f>IF(OR(GradeSheet!$L19="W (Withdrawn)", GradeSheet!$L19="I (Incomplete)"), 0, IF(AI24&gt;=55%, 1, 0))</f>
        <v>0</v>
      </c>
      <c r="AP24" s="161">
        <f>IF(OR(GradeSheet!$L19="W (Withdrawn)", GradeSheet!$L19="I (Incomplete)"), 0, IF(AJ24&gt;=55%, 1, 0))</f>
        <v>1</v>
      </c>
      <c r="AQ24" s="161">
        <f>IF(OR(GradeSheet!$L19="W (Withdrawn)", GradeSheet!$L19="I (Incomplete)"), 0, IF(AK24&gt;=55%, 1, 0))</f>
        <v>0</v>
      </c>
      <c r="AR24" s="161">
        <f>IF(OR(GradeSheet!$L19="W (Withdrawn)", GradeSheet!$L19="I (Incomplete)"), 0, IF(AL24&gt;=55%, 1, 0))</f>
        <v>0</v>
      </c>
      <c r="AS24" s="161">
        <f>IF(OR(GradeSheet!$L19="W (Withdrawn)", GradeSheet!$L19="I (Incomplete)"), 0, IF(AM24&gt;=55%, 1, 0))</f>
        <v>0</v>
      </c>
      <c r="AT24" s="129"/>
      <c r="AU24" s="162">
        <f t="shared" si="15"/>
        <v>0</v>
      </c>
      <c r="AV24" s="162">
        <f t="shared" si="16"/>
        <v>0</v>
      </c>
      <c r="AW24" s="162">
        <f t="array" ref="AW24">IF($AV$9=0,0,MMULT($AH24:$AM24, AV$3:AV$8)/$AV$9)</f>
        <v>0</v>
      </c>
      <c r="AX24" s="162">
        <f t="array" ref="AX24">IF($AW$9=0,0,MMULT($AH24:$AM24, AW$3:AW$8)/$AW$9)</f>
        <v>0</v>
      </c>
      <c r="AY24" s="162">
        <f t="shared" si="17"/>
        <v>0</v>
      </c>
      <c r="AZ24" s="162">
        <f t="array" ref="AZ24">IF($AY$9=0,0,MMULT($AH24:$AM24, AY$3:AY$8)/$AY$9)</f>
        <v>0</v>
      </c>
      <c r="BA24" s="162">
        <f t="array" ref="BA24">IF($AZ$9=0,0,MMULT($AH24:$AM24, AZ$3:AZ$8)/$AZ$9)</f>
        <v>0</v>
      </c>
      <c r="BB24" s="162">
        <f t="array" ref="BB24">IF($BA$9=0,0,MMULT($AH24:$AM24, BA$3:BA$8)/$BA$9)</f>
        <v>0</v>
      </c>
      <c r="BC24" s="162">
        <f t="array" ref="BC24">IF($BB$9=0,0,MMULT($AH24:$AM24, BB$3:BB$8)/$BB$9)</f>
        <v>0</v>
      </c>
      <c r="BD24" s="162">
        <f t="array" ref="BD24">IF($BC$9=0,0,MMULT($AH24:$AM24, BC$3:BC$8)/$BC$9)</f>
        <v>0</v>
      </c>
      <c r="BE24" s="162">
        <f t="shared" si="18"/>
        <v>0</v>
      </c>
      <c r="BF24" s="162">
        <f t="shared" si="19"/>
        <v>0</v>
      </c>
      <c r="BG24" s="161">
        <f>IF(OR(GradeSheet!$L19="W (Withdrawn)", GradeSheet!$L19="I (Incomplete)"), 0, IF(AU24&gt;=65%, 1, 0))</f>
        <v>0</v>
      </c>
      <c r="BH24" s="161">
        <f>IF(OR(GradeSheet!$L19="W (Withdrawn)", GradeSheet!$L19="I (Incomplete)"), 0, IF(AV24&gt;=65%, 1, 0))</f>
        <v>0</v>
      </c>
      <c r="BI24" s="161">
        <f>IF(OR(GradeSheet!$L19="W (Withdrawn)", GradeSheet!$L19="I (Incomplete)"), 0, IF(AW24&gt;=65%, 1, 0))</f>
        <v>0</v>
      </c>
      <c r="BJ24" s="161">
        <f>IF(OR(GradeSheet!$L19="W (Withdrawn)", GradeSheet!$L19="I (Incomplete)"), 0, IF(AX24&gt;=65%, 1, 0))</f>
        <v>0</v>
      </c>
      <c r="BK24" s="161">
        <f>IF(OR(GradeSheet!$L19="W (Withdrawn)", GradeSheet!$L19="I (Incomplete)"), 0, IF(AY24&gt;=65%, 1, 0))</f>
        <v>0</v>
      </c>
      <c r="BL24" s="161">
        <f>IF(OR(GradeSheet!$L19="W (Withdrawn)", GradeSheet!$L19="I (Incomplete)"), 0, IF(AZ24&gt;=65%, 1, 0))</f>
        <v>0</v>
      </c>
      <c r="BM24" s="161">
        <f>IF(OR(GradeSheet!$L19="W (Withdrawn)", GradeSheet!$L19="I (Incomplete)"), 0, IF(BA24&gt;=65%, 1, 0))</f>
        <v>0</v>
      </c>
      <c r="BN24" s="161">
        <f>IF(OR(GradeSheet!$L19="W (Withdrawn)", GradeSheet!$L19="I (Incomplete)"), 0, IF(BB24&gt;=65%, 1, 0))</f>
        <v>0</v>
      </c>
      <c r="BO24" s="161">
        <f>IF(OR(GradeSheet!$L19="W (Withdrawn)", GradeSheet!$L19="I (Incomplete)"), 0, IF(BC24&gt;=65%, 1, 0))</f>
        <v>0</v>
      </c>
      <c r="BP24" s="161">
        <f>IF(OR(GradeSheet!$L19="W (Withdrawn)", GradeSheet!$L19="I (Incomplete)"), 0, IF(BD24&gt;=65%, 1, 0))</f>
        <v>0</v>
      </c>
      <c r="BQ24" s="161">
        <f>IF(OR(GradeSheet!$L19="W (Withdrawn)", GradeSheet!$L19="I (Incomplete)"), 0, IF(BE24&gt;=65%, 1, 0))</f>
        <v>0</v>
      </c>
      <c r="BR24" s="161">
        <f>IF(OR(GradeSheet!$L19="W (Withdrawn)", GradeSheet!$L19="I (Incomplete)"), 0, IF(BF24&gt;=65%, 1, 0))</f>
        <v>0</v>
      </c>
    </row>
    <row r="25" ht="15.75" customHeight="1">
      <c r="A25" s="148">
        <v>11.0</v>
      </c>
      <c r="B25" s="149" t="s">
        <v>94</v>
      </c>
      <c r="C25" s="182" t="s">
        <v>95</v>
      </c>
      <c r="D25" s="152">
        <v>1.5</v>
      </c>
      <c r="E25" s="152">
        <v>8.0</v>
      </c>
      <c r="F25" s="154"/>
      <c r="G25" s="135"/>
      <c r="H25" s="154"/>
      <c r="I25" s="154"/>
      <c r="J25" s="152"/>
      <c r="K25" s="152">
        <v>8.0</v>
      </c>
      <c r="L25" s="152">
        <v>6.0</v>
      </c>
      <c r="M25" s="154"/>
      <c r="N25" s="135"/>
      <c r="O25" s="79"/>
      <c r="P25" s="155"/>
      <c r="Q25" s="156"/>
      <c r="R25" s="156"/>
      <c r="S25" s="156"/>
      <c r="T25" s="156"/>
      <c r="U25" s="157"/>
      <c r="V25" s="155"/>
      <c r="W25" s="156"/>
      <c r="X25" s="156"/>
      <c r="Y25" s="156"/>
      <c r="Z25" s="156"/>
      <c r="AA25" s="157"/>
      <c r="AB25" s="158">
        <f t="shared" ref="AB25:AE25" si="36">SUM(V25,D25,J25)</f>
        <v>1.5</v>
      </c>
      <c r="AC25" s="159">
        <f t="shared" si="36"/>
        <v>16</v>
      </c>
      <c r="AD25" s="159">
        <f t="shared" si="36"/>
        <v>6</v>
      </c>
      <c r="AE25" s="183">
        <f t="shared" si="36"/>
        <v>0</v>
      </c>
      <c r="AF25" s="159">
        <f t="shared" si="12"/>
        <v>0</v>
      </c>
      <c r="AG25" s="183">
        <f t="shared" si="13"/>
        <v>0</v>
      </c>
      <c r="AH25" s="160">
        <f t="shared" ref="AH25:AM25" si="37">IF(AB25 = 0, 0, AB25/AB$14)</f>
        <v>0.05769230769</v>
      </c>
      <c r="AI25" s="160">
        <f t="shared" si="37"/>
        <v>0.5517241379</v>
      </c>
      <c r="AJ25" s="160">
        <f t="shared" si="37"/>
        <v>0.6</v>
      </c>
      <c r="AK25" s="160">
        <f t="shared" si="37"/>
        <v>0</v>
      </c>
      <c r="AL25" s="160">
        <f t="shared" si="37"/>
        <v>0</v>
      </c>
      <c r="AM25" s="160">
        <f t="shared" si="37"/>
        <v>0</v>
      </c>
      <c r="AN25" s="161">
        <v>1.0</v>
      </c>
      <c r="AO25" s="161">
        <f>IF(OR(GradeSheet!$L20="W (Withdrawn)", GradeSheet!$L20="I (Incomplete)"), 0, IF(AI25&gt;=55%, 1, 0))</f>
        <v>1</v>
      </c>
      <c r="AP25" s="161">
        <f>IF(OR(GradeSheet!$L20="W (Withdrawn)", GradeSheet!$L20="I (Incomplete)"), 0, IF(AJ25&gt;=55%, 1, 0))</f>
        <v>1</v>
      </c>
      <c r="AQ25" s="161">
        <f>IF(OR(GradeSheet!$L20="W (Withdrawn)", GradeSheet!$L20="I (Incomplete)"), 0, IF(AK25&gt;=55%, 1, 0))</f>
        <v>0</v>
      </c>
      <c r="AR25" s="161">
        <f>IF(OR(GradeSheet!$L20="W (Withdrawn)", GradeSheet!$L20="I (Incomplete)"), 0, IF(AL25&gt;=55%, 1, 0))</f>
        <v>0</v>
      </c>
      <c r="AS25" s="161">
        <f>IF(OR(GradeSheet!$L20="W (Withdrawn)", GradeSheet!$L20="I (Incomplete)"), 0, IF(AM25&gt;=55%, 1, 0))</f>
        <v>0</v>
      </c>
      <c r="AT25" s="129"/>
      <c r="AU25" s="162">
        <f t="shared" si="15"/>
        <v>0</v>
      </c>
      <c r="AV25" s="162">
        <f t="shared" si="16"/>
        <v>0</v>
      </c>
      <c r="AW25" s="162">
        <f t="array" ref="AW25">IF($AV$9=0,0,MMULT($AH25:$AM25, AV$3:AV$8)/$AV$9)</f>
        <v>0</v>
      </c>
      <c r="AX25" s="162">
        <f t="array" ref="AX25">IF($AW$9=0,0,MMULT($AH25:$AM25, AW$3:AW$8)/$AW$9)</f>
        <v>0</v>
      </c>
      <c r="AY25" s="162">
        <f t="shared" si="17"/>
        <v>0</v>
      </c>
      <c r="AZ25" s="162">
        <f t="array" ref="AZ25">IF($AY$9=0,0,MMULT($AH25:$AM25, AY$3:AY$8)/$AY$9)</f>
        <v>0</v>
      </c>
      <c r="BA25" s="162">
        <f t="array" ref="BA25">IF($AZ$9=0,0,MMULT($AH25:$AM25, AZ$3:AZ$8)/$AZ$9)</f>
        <v>0</v>
      </c>
      <c r="BB25" s="162">
        <f t="array" ref="BB25">IF($BA$9=0,0,MMULT($AH25:$AM25, BA$3:BA$8)/$BA$9)</f>
        <v>0</v>
      </c>
      <c r="BC25" s="162">
        <f t="array" ref="BC25">IF($BB$9=0,0,MMULT($AH25:$AM25, BB$3:BB$8)/$BB$9)</f>
        <v>0</v>
      </c>
      <c r="BD25" s="162">
        <f t="array" ref="BD25">IF($BC$9=0,0,MMULT($AH25:$AM25, BC$3:BC$8)/$BC$9)</f>
        <v>0</v>
      </c>
      <c r="BE25" s="162">
        <f t="shared" si="18"/>
        <v>0</v>
      </c>
      <c r="BF25" s="162">
        <f t="shared" si="19"/>
        <v>0</v>
      </c>
      <c r="BG25" s="161">
        <f>IF(OR(GradeSheet!$L20="W (Withdrawn)", GradeSheet!$L20="I (Incomplete)"), 0, IF(AU25&gt;=65%, 1, 0))</f>
        <v>0</v>
      </c>
      <c r="BH25" s="161">
        <f>IF(OR(GradeSheet!$L20="W (Withdrawn)", GradeSheet!$L20="I (Incomplete)"), 0, IF(AV25&gt;=65%, 1, 0))</f>
        <v>0</v>
      </c>
      <c r="BI25" s="161">
        <f>IF(OR(GradeSheet!$L20="W (Withdrawn)", GradeSheet!$L20="I (Incomplete)"), 0, IF(AW25&gt;=65%, 1, 0))</f>
        <v>0</v>
      </c>
      <c r="BJ25" s="161">
        <f>IF(OR(GradeSheet!$L20="W (Withdrawn)", GradeSheet!$L20="I (Incomplete)"), 0, IF(AX25&gt;=65%, 1, 0))</f>
        <v>0</v>
      </c>
      <c r="BK25" s="161">
        <f>IF(OR(GradeSheet!$L20="W (Withdrawn)", GradeSheet!$L20="I (Incomplete)"), 0, IF(AY25&gt;=65%, 1, 0))</f>
        <v>0</v>
      </c>
      <c r="BL25" s="161">
        <f>IF(OR(GradeSheet!$L20="W (Withdrawn)", GradeSheet!$L20="I (Incomplete)"), 0, IF(AZ25&gt;=65%, 1, 0))</f>
        <v>0</v>
      </c>
      <c r="BM25" s="161">
        <f>IF(OR(GradeSheet!$L20="W (Withdrawn)", GradeSheet!$L20="I (Incomplete)"), 0, IF(BA25&gt;=65%, 1, 0))</f>
        <v>0</v>
      </c>
      <c r="BN25" s="161">
        <f>IF(OR(GradeSheet!$L20="W (Withdrawn)", GradeSheet!$L20="I (Incomplete)"), 0, IF(BB25&gt;=65%, 1, 0))</f>
        <v>0</v>
      </c>
      <c r="BO25" s="161">
        <f>IF(OR(GradeSheet!$L20="W (Withdrawn)", GradeSheet!$L20="I (Incomplete)"), 0, IF(BC25&gt;=65%, 1, 0))</f>
        <v>0</v>
      </c>
      <c r="BP25" s="161">
        <f>IF(OR(GradeSheet!$L20="W (Withdrawn)", GradeSheet!$L20="I (Incomplete)"), 0, IF(BD25&gt;=65%, 1, 0))</f>
        <v>0</v>
      </c>
      <c r="BQ25" s="161">
        <f>IF(OR(GradeSheet!$L20="W (Withdrawn)", GradeSheet!$L20="I (Incomplete)"), 0, IF(BE25&gt;=65%, 1, 0))</f>
        <v>0</v>
      </c>
      <c r="BR25" s="161">
        <f>IF(OR(GradeSheet!$L20="W (Withdrawn)", GradeSheet!$L20="I (Incomplete)"), 0, IF(BF25&gt;=65%, 1, 0))</f>
        <v>0</v>
      </c>
    </row>
    <row r="26" ht="15.75" customHeight="1">
      <c r="A26" s="181">
        <v>12.0</v>
      </c>
      <c r="B26" s="149" t="s">
        <v>98</v>
      </c>
      <c r="C26" s="182" t="s">
        <v>99</v>
      </c>
      <c r="D26" s="152">
        <v>0.5</v>
      </c>
      <c r="E26" s="152">
        <v>6.0</v>
      </c>
      <c r="F26" s="154"/>
      <c r="G26" s="135"/>
      <c r="H26" s="154"/>
      <c r="I26" s="154"/>
      <c r="J26" s="152">
        <v>6.0</v>
      </c>
      <c r="K26" s="152">
        <v>4.5</v>
      </c>
      <c r="L26" s="152">
        <v>6.0</v>
      </c>
      <c r="M26" s="154"/>
      <c r="N26" s="135"/>
      <c r="O26" s="79"/>
      <c r="P26" s="155"/>
      <c r="Q26" s="156"/>
      <c r="R26" s="156"/>
      <c r="S26" s="156"/>
      <c r="T26" s="156"/>
      <c r="U26" s="157"/>
      <c r="V26" s="155"/>
      <c r="W26" s="156"/>
      <c r="X26" s="156"/>
      <c r="Y26" s="156"/>
      <c r="Z26" s="156"/>
      <c r="AA26" s="157"/>
      <c r="AB26" s="158">
        <f t="shared" ref="AB26:AE26" si="38">SUM(V26,D26,J26)</f>
        <v>6.5</v>
      </c>
      <c r="AC26" s="159">
        <f t="shared" si="38"/>
        <v>10.5</v>
      </c>
      <c r="AD26" s="159">
        <f t="shared" si="38"/>
        <v>6</v>
      </c>
      <c r="AE26" s="183">
        <f t="shared" si="38"/>
        <v>0</v>
      </c>
      <c r="AF26" s="159">
        <f t="shared" si="12"/>
        <v>0</v>
      </c>
      <c r="AG26" s="183">
        <f t="shared" si="13"/>
        <v>0</v>
      </c>
      <c r="AH26" s="160">
        <f t="shared" ref="AH26:AM26" si="39">IF(AB26 = 0, 0, AB26/AB$14)</f>
        <v>0.25</v>
      </c>
      <c r="AI26" s="160">
        <f t="shared" si="39"/>
        <v>0.3620689655</v>
      </c>
      <c r="AJ26" s="160">
        <f t="shared" si="39"/>
        <v>0.6</v>
      </c>
      <c r="AK26" s="160">
        <f t="shared" si="39"/>
        <v>0</v>
      </c>
      <c r="AL26" s="160">
        <f t="shared" si="39"/>
        <v>0</v>
      </c>
      <c r="AM26" s="160">
        <f t="shared" si="39"/>
        <v>0</v>
      </c>
      <c r="AN26" s="161">
        <v>1.0</v>
      </c>
      <c r="AO26" s="161">
        <f>IF(OR(GradeSheet!$L21="W (Withdrawn)", GradeSheet!$L21="I (Incomplete)"), 0, IF(AI26&gt;=55%, 1, 0))</f>
        <v>0</v>
      </c>
      <c r="AP26" s="161">
        <f>IF(OR(GradeSheet!$L21="W (Withdrawn)", GradeSheet!$L21="I (Incomplete)"), 0, IF(AJ26&gt;=55%, 1, 0))</f>
        <v>1</v>
      </c>
      <c r="AQ26" s="161">
        <f>IF(OR(GradeSheet!$L21="W (Withdrawn)", GradeSheet!$L21="I (Incomplete)"), 0, IF(AK26&gt;=55%, 1, 0))</f>
        <v>0</v>
      </c>
      <c r="AR26" s="161">
        <f>IF(OR(GradeSheet!$L21="W (Withdrawn)", GradeSheet!$L21="I (Incomplete)"), 0, IF(AL26&gt;=55%, 1, 0))</f>
        <v>0</v>
      </c>
      <c r="AS26" s="161">
        <f>IF(OR(GradeSheet!$L21="W (Withdrawn)", GradeSheet!$L21="I (Incomplete)"), 0, IF(AM26&gt;=55%, 1, 0))</f>
        <v>0</v>
      </c>
      <c r="AT26" s="129"/>
      <c r="AU26" s="162">
        <f t="shared" si="15"/>
        <v>0</v>
      </c>
      <c r="AV26" s="162">
        <f t="shared" si="16"/>
        <v>0</v>
      </c>
      <c r="AW26" s="162">
        <f t="array" ref="AW26">IF($AV$9=0,0,MMULT($AH26:$AM26, AV$3:AV$8)/$AV$9)</f>
        <v>0</v>
      </c>
      <c r="AX26" s="162">
        <f t="array" ref="AX26">IF($AW$9=0,0,MMULT($AH26:$AM26, AW$3:AW$8)/$AW$9)</f>
        <v>0</v>
      </c>
      <c r="AY26" s="162">
        <f t="shared" si="17"/>
        <v>0</v>
      </c>
      <c r="AZ26" s="162">
        <f t="array" ref="AZ26">IF($AY$9=0,0,MMULT($AH26:$AM26, AY$3:AY$8)/$AY$9)</f>
        <v>0</v>
      </c>
      <c r="BA26" s="162">
        <f t="array" ref="BA26">IF($AZ$9=0,0,MMULT($AH26:$AM26, AZ$3:AZ$8)/$AZ$9)</f>
        <v>0</v>
      </c>
      <c r="BB26" s="162">
        <f t="array" ref="BB26">IF($BA$9=0,0,MMULT($AH26:$AM26, BA$3:BA$8)/$BA$9)</f>
        <v>0</v>
      </c>
      <c r="BC26" s="162">
        <f t="array" ref="BC26">IF($BB$9=0,0,MMULT($AH26:$AM26, BB$3:BB$8)/$BB$9)</f>
        <v>0</v>
      </c>
      <c r="BD26" s="162">
        <f t="array" ref="BD26">IF($BC$9=0,0,MMULT($AH26:$AM26, BC$3:BC$8)/$BC$9)</f>
        <v>0</v>
      </c>
      <c r="BE26" s="162">
        <f t="shared" si="18"/>
        <v>0</v>
      </c>
      <c r="BF26" s="162">
        <f t="shared" si="19"/>
        <v>0</v>
      </c>
      <c r="BG26" s="161">
        <f>IF(OR(GradeSheet!$L21="W (Withdrawn)", GradeSheet!$L21="I (Incomplete)"), 0, IF(AU26&gt;=65%, 1, 0))</f>
        <v>0</v>
      </c>
      <c r="BH26" s="161">
        <f>IF(OR(GradeSheet!$L21="W (Withdrawn)", GradeSheet!$L21="I (Incomplete)"), 0, IF(AV26&gt;=65%, 1, 0))</f>
        <v>0</v>
      </c>
      <c r="BI26" s="161">
        <f>IF(OR(GradeSheet!$L21="W (Withdrawn)", GradeSheet!$L21="I (Incomplete)"), 0, IF(AW26&gt;=65%, 1, 0))</f>
        <v>0</v>
      </c>
      <c r="BJ26" s="161">
        <f>IF(OR(GradeSheet!$L21="W (Withdrawn)", GradeSheet!$L21="I (Incomplete)"), 0, IF(AX26&gt;=65%, 1, 0))</f>
        <v>0</v>
      </c>
      <c r="BK26" s="161">
        <f>IF(OR(GradeSheet!$L21="W (Withdrawn)", GradeSheet!$L21="I (Incomplete)"), 0, IF(AY26&gt;=65%, 1, 0))</f>
        <v>0</v>
      </c>
      <c r="BL26" s="161">
        <f>IF(OR(GradeSheet!$L21="W (Withdrawn)", GradeSheet!$L21="I (Incomplete)"), 0, IF(AZ26&gt;=65%, 1, 0))</f>
        <v>0</v>
      </c>
      <c r="BM26" s="161">
        <f>IF(OR(GradeSheet!$L21="W (Withdrawn)", GradeSheet!$L21="I (Incomplete)"), 0, IF(BA26&gt;=65%, 1, 0))</f>
        <v>0</v>
      </c>
      <c r="BN26" s="161">
        <f>IF(OR(GradeSheet!$L21="W (Withdrawn)", GradeSheet!$L21="I (Incomplete)"), 0, IF(BB26&gt;=65%, 1, 0))</f>
        <v>0</v>
      </c>
      <c r="BO26" s="161">
        <f>IF(OR(GradeSheet!$L21="W (Withdrawn)", GradeSheet!$L21="I (Incomplete)"), 0, IF(BC26&gt;=65%, 1, 0))</f>
        <v>0</v>
      </c>
      <c r="BP26" s="161">
        <f>IF(OR(GradeSheet!$L21="W (Withdrawn)", GradeSheet!$L21="I (Incomplete)"), 0, IF(BD26&gt;=65%, 1, 0))</f>
        <v>0</v>
      </c>
      <c r="BQ26" s="161">
        <f>IF(OR(GradeSheet!$L21="W (Withdrawn)", GradeSheet!$L21="I (Incomplete)"), 0, IF(BE26&gt;=65%, 1, 0))</f>
        <v>0</v>
      </c>
      <c r="BR26" s="161">
        <f>IF(OR(GradeSheet!$L21="W (Withdrawn)", GradeSheet!$L21="I (Incomplete)"), 0, IF(BF26&gt;=65%, 1, 0))</f>
        <v>0</v>
      </c>
    </row>
    <row r="27" ht="15.75" customHeight="1">
      <c r="A27" s="148">
        <v>13.0</v>
      </c>
      <c r="B27" s="149" t="s">
        <v>101</v>
      </c>
      <c r="C27" s="182" t="s">
        <v>102</v>
      </c>
      <c r="D27" s="152">
        <v>1.0</v>
      </c>
      <c r="E27" s="152">
        <v>0.5</v>
      </c>
      <c r="F27" s="154"/>
      <c r="G27" s="135"/>
      <c r="H27" s="154"/>
      <c r="I27" s="154"/>
      <c r="J27" s="152"/>
      <c r="K27" s="152"/>
      <c r="L27" s="152"/>
      <c r="M27" s="154"/>
      <c r="N27" s="135"/>
      <c r="O27" s="79"/>
      <c r="P27" s="155"/>
      <c r="Q27" s="156"/>
      <c r="R27" s="156"/>
      <c r="S27" s="156"/>
      <c r="T27" s="156"/>
      <c r="U27" s="157"/>
      <c r="V27" s="155"/>
      <c r="W27" s="156"/>
      <c r="X27" s="156"/>
      <c r="Y27" s="156"/>
      <c r="Z27" s="156"/>
      <c r="AA27" s="157"/>
      <c r="AB27" s="158">
        <f t="shared" ref="AB27:AE27" si="40">SUM(V27,D27,J27)</f>
        <v>1</v>
      </c>
      <c r="AC27" s="159">
        <f t="shared" si="40"/>
        <v>0.5</v>
      </c>
      <c r="AD27" s="159">
        <f t="shared" si="40"/>
        <v>0</v>
      </c>
      <c r="AE27" s="183">
        <f t="shared" si="40"/>
        <v>0</v>
      </c>
      <c r="AF27" s="159">
        <f t="shared" si="12"/>
        <v>0</v>
      </c>
      <c r="AG27" s="183">
        <f t="shared" si="13"/>
        <v>0</v>
      </c>
      <c r="AH27" s="160">
        <f t="shared" ref="AH27:AM27" si="41">IF(AB27 = 0, 0, AB27/AB$14)</f>
        <v>0.03846153846</v>
      </c>
      <c r="AI27" s="160">
        <f t="shared" si="41"/>
        <v>0.01724137931</v>
      </c>
      <c r="AJ27" s="160">
        <f t="shared" si="41"/>
        <v>0</v>
      </c>
      <c r="AK27" s="160">
        <f t="shared" si="41"/>
        <v>0</v>
      </c>
      <c r="AL27" s="160">
        <f t="shared" si="41"/>
        <v>0</v>
      </c>
      <c r="AM27" s="160">
        <f t="shared" si="41"/>
        <v>0</v>
      </c>
      <c r="AN27" s="161">
        <f>IF(OR(GradeSheet!$L22="W (Withdrawn)", GradeSheet!$L22="I (Incomplete)"), 0, IF(AH27&gt;=55%, 1, 0))</f>
        <v>0</v>
      </c>
      <c r="AO27" s="161">
        <f>IF(OR(GradeSheet!$L22="W (Withdrawn)", GradeSheet!$L22="I (Incomplete)"), 0, IF(AI27&gt;=55%, 1, 0))</f>
        <v>0</v>
      </c>
      <c r="AP27" s="161">
        <f>IF(OR(GradeSheet!$L22="W (Withdrawn)", GradeSheet!$L22="I (Incomplete)"), 0, IF(AJ27&gt;=55%, 1, 0))</f>
        <v>0</v>
      </c>
      <c r="AQ27" s="161">
        <f>IF(OR(GradeSheet!$L22="W (Withdrawn)", GradeSheet!$L22="I (Incomplete)"), 0, IF(AK27&gt;=55%, 1, 0))</f>
        <v>0</v>
      </c>
      <c r="AR27" s="161">
        <f>IF(OR(GradeSheet!$L22="W (Withdrawn)", GradeSheet!$L22="I (Incomplete)"), 0, IF(AL27&gt;=55%, 1, 0))</f>
        <v>0</v>
      </c>
      <c r="AS27" s="161">
        <f>IF(OR(GradeSheet!$L22="W (Withdrawn)", GradeSheet!$L22="I (Incomplete)"), 0, IF(AM27&gt;=55%, 1, 0))</f>
        <v>0</v>
      </c>
      <c r="AT27" s="129"/>
      <c r="AU27" s="162">
        <f t="shared" si="15"/>
        <v>0</v>
      </c>
      <c r="AV27" s="162">
        <f t="shared" si="16"/>
        <v>0</v>
      </c>
      <c r="AW27" s="162">
        <f t="array" ref="AW27">IF($AV$9=0,0,MMULT($AH27:$AM27, AV$3:AV$8)/$AV$9)</f>
        <v>0</v>
      </c>
      <c r="AX27" s="162">
        <f t="array" ref="AX27">IF($AW$9=0,0,MMULT($AH27:$AM27, AW$3:AW$8)/$AW$9)</f>
        <v>0</v>
      </c>
      <c r="AY27" s="162">
        <f t="shared" si="17"/>
        <v>0</v>
      </c>
      <c r="AZ27" s="162">
        <f t="array" ref="AZ27">IF($AY$9=0,0,MMULT($AH27:$AM27, AY$3:AY$8)/$AY$9)</f>
        <v>0</v>
      </c>
      <c r="BA27" s="162">
        <f t="array" ref="BA27">IF($AZ$9=0,0,MMULT($AH27:$AM27, AZ$3:AZ$8)/$AZ$9)</f>
        <v>0</v>
      </c>
      <c r="BB27" s="162">
        <f t="array" ref="BB27">IF($BA$9=0,0,MMULT($AH27:$AM27, BA$3:BA$8)/$BA$9)</f>
        <v>0</v>
      </c>
      <c r="BC27" s="162">
        <f t="array" ref="BC27">IF($BB$9=0,0,MMULT($AH27:$AM27, BB$3:BB$8)/$BB$9)</f>
        <v>0</v>
      </c>
      <c r="BD27" s="162">
        <f t="array" ref="BD27">IF($BC$9=0,0,MMULT($AH27:$AM27, BC$3:BC$8)/$BC$9)</f>
        <v>0</v>
      </c>
      <c r="BE27" s="162">
        <f t="shared" si="18"/>
        <v>0</v>
      </c>
      <c r="BF27" s="162">
        <f t="shared" si="19"/>
        <v>0</v>
      </c>
      <c r="BG27" s="161">
        <f>IF(OR(GradeSheet!$L22="W (Withdrawn)", GradeSheet!$L22="I (Incomplete)"), 0, IF(AU27&gt;=65%, 1, 0))</f>
        <v>0</v>
      </c>
      <c r="BH27" s="161">
        <f>IF(OR(GradeSheet!$L22="W (Withdrawn)", GradeSheet!$L22="I (Incomplete)"), 0, IF(AV27&gt;=65%, 1, 0))</f>
        <v>0</v>
      </c>
      <c r="BI27" s="161">
        <f>IF(OR(GradeSheet!$L22="W (Withdrawn)", GradeSheet!$L22="I (Incomplete)"), 0, IF(AW27&gt;=65%, 1, 0))</f>
        <v>0</v>
      </c>
      <c r="BJ27" s="161">
        <f>IF(OR(GradeSheet!$L22="W (Withdrawn)", GradeSheet!$L22="I (Incomplete)"), 0, IF(AX27&gt;=65%, 1, 0))</f>
        <v>0</v>
      </c>
      <c r="BK27" s="161">
        <f>IF(OR(GradeSheet!$L22="W (Withdrawn)", GradeSheet!$L22="I (Incomplete)"), 0, IF(AY27&gt;=65%, 1, 0))</f>
        <v>0</v>
      </c>
      <c r="BL27" s="161">
        <f>IF(OR(GradeSheet!$L22="W (Withdrawn)", GradeSheet!$L22="I (Incomplete)"), 0, IF(AZ27&gt;=65%, 1, 0))</f>
        <v>0</v>
      </c>
      <c r="BM27" s="161">
        <f>IF(OR(GradeSheet!$L22="W (Withdrawn)", GradeSheet!$L22="I (Incomplete)"), 0, IF(BA27&gt;=65%, 1, 0))</f>
        <v>0</v>
      </c>
      <c r="BN27" s="161">
        <f>IF(OR(GradeSheet!$L22="W (Withdrawn)", GradeSheet!$L22="I (Incomplete)"), 0, IF(BB27&gt;=65%, 1, 0))</f>
        <v>0</v>
      </c>
      <c r="BO27" s="161">
        <f>IF(OR(GradeSheet!$L22="W (Withdrawn)", GradeSheet!$L22="I (Incomplete)"), 0, IF(BC27&gt;=65%, 1, 0))</f>
        <v>0</v>
      </c>
      <c r="BP27" s="161">
        <f>IF(OR(GradeSheet!$L22="W (Withdrawn)", GradeSheet!$L22="I (Incomplete)"), 0, IF(BD27&gt;=65%, 1, 0))</f>
        <v>0</v>
      </c>
      <c r="BQ27" s="161">
        <f>IF(OR(GradeSheet!$L22="W (Withdrawn)", GradeSheet!$L22="I (Incomplete)"), 0, IF(BE27&gt;=65%, 1, 0))</f>
        <v>0</v>
      </c>
      <c r="BR27" s="161">
        <f>IF(OR(GradeSheet!$L22="W (Withdrawn)", GradeSheet!$L22="I (Incomplete)"), 0, IF(BF27&gt;=65%, 1, 0))</f>
        <v>0</v>
      </c>
    </row>
    <row r="28" ht="15.75" customHeight="1">
      <c r="A28" s="181">
        <v>14.0</v>
      </c>
      <c r="B28" s="149" t="s">
        <v>103</v>
      </c>
      <c r="C28" s="182" t="s">
        <v>104</v>
      </c>
      <c r="D28" s="152"/>
      <c r="E28" s="152"/>
      <c r="F28" s="154"/>
      <c r="G28" s="135"/>
      <c r="H28" s="154"/>
      <c r="I28" s="154"/>
      <c r="J28" s="152"/>
      <c r="K28" s="152"/>
      <c r="L28" s="152"/>
      <c r="M28" s="154"/>
      <c r="N28" s="135"/>
      <c r="O28" s="79"/>
      <c r="P28" s="155"/>
      <c r="Q28" s="156"/>
      <c r="R28" s="156"/>
      <c r="S28" s="156"/>
      <c r="T28" s="156"/>
      <c r="U28" s="157"/>
      <c r="V28" s="155"/>
      <c r="W28" s="156"/>
      <c r="X28" s="156"/>
      <c r="Y28" s="156"/>
      <c r="Z28" s="156"/>
      <c r="AA28" s="157"/>
      <c r="AB28" s="158">
        <f t="shared" ref="AB28:AE28" si="42">SUM(V28,D28,J28)</f>
        <v>0</v>
      </c>
      <c r="AC28" s="159">
        <f t="shared" si="42"/>
        <v>0</v>
      </c>
      <c r="AD28" s="183">
        <f t="shared" si="42"/>
        <v>0</v>
      </c>
      <c r="AE28" s="183">
        <f t="shared" si="42"/>
        <v>0</v>
      </c>
      <c r="AF28" s="159">
        <f t="shared" si="12"/>
        <v>0</v>
      </c>
      <c r="AG28" s="183">
        <f t="shared" si="13"/>
        <v>0</v>
      </c>
      <c r="AH28" s="160">
        <f t="shared" ref="AH28:AM28" si="43">IF(AB28 = 0, 0, AB28/AB$14)</f>
        <v>0</v>
      </c>
      <c r="AI28" s="160">
        <f t="shared" si="43"/>
        <v>0</v>
      </c>
      <c r="AJ28" s="160">
        <f t="shared" si="43"/>
        <v>0</v>
      </c>
      <c r="AK28" s="160">
        <f t="shared" si="43"/>
        <v>0</v>
      </c>
      <c r="AL28" s="160">
        <f t="shared" si="43"/>
        <v>0</v>
      </c>
      <c r="AM28" s="160">
        <f t="shared" si="43"/>
        <v>0</v>
      </c>
      <c r="AN28" s="161">
        <f>IF(OR(GradeSheet!$L23="W (Withdrawn)", GradeSheet!$L23="I (Incomplete)"), 0, IF(AH28&gt;=55%, 1, 0))</f>
        <v>0</v>
      </c>
      <c r="AO28" s="161">
        <f>IF(OR(GradeSheet!$L23="W (Withdrawn)", GradeSheet!$L23="I (Incomplete)"), 0, IF(AI28&gt;=55%, 1, 0))</f>
        <v>0</v>
      </c>
      <c r="AP28" s="161">
        <f>IF(OR(GradeSheet!$L23="W (Withdrawn)", GradeSheet!$L23="I (Incomplete)"), 0, IF(AJ28&gt;=55%, 1, 0))</f>
        <v>0</v>
      </c>
      <c r="AQ28" s="161">
        <f>IF(OR(GradeSheet!$L23="W (Withdrawn)", GradeSheet!$L23="I (Incomplete)"), 0, IF(AK28&gt;=55%, 1, 0))</f>
        <v>0</v>
      </c>
      <c r="AR28" s="161">
        <f>IF(OR(GradeSheet!$L23="W (Withdrawn)", GradeSheet!$L23="I (Incomplete)"), 0, IF(AL28&gt;=55%, 1, 0))</f>
        <v>0</v>
      </c>
      <c r="AS28" s="161">
        <f>IF(OR(GradeSheet!$L23="W (Withdrawn)", GradeSheet!$L23="I (Incomplete)"), 0, IF(AM28&gt;=55%, 1, 0))</f>
        <v>0</v>
      </c>
      <c r="AT28" s="129"/>
      <c r="AU28" s="162">
        <f t="shared" si="15"/>
        <v>0</v>
      </c>
      <c r="AV28" s="162">
        <f t="shared" si="16"/>
        <v>0</v>
      </c>
      <c r="AW28" s="162">
        <f t="array" ref="AW28">IF($AV$9=0,0,MMULT($AH28:$AM28, AV$3:AV$8)/$AV$9)</f>
        <v>0</v>
      </c>
      <c r="AX28" s="162">
        <f t="array" ref="AX28">IF($AW$9=0,0,MMULT($AH28:$AM28, AW$3:AW$8)/$AW$9)</f>
        <v>0</v>
      </c>
      <c r="AY28" s="162">
        <f t="shared" si="17"/>
        <v>0</v>
      </c>
      <c r="AZ28" s="162">
        <f t="array" ref="AZ28">IF($AY$9=0,0,MMULT($AH28:$AM28, AY$3:AY$8)/$AY$9)</f>
        <v>0</v>
      </c>
      <c r="BA28" s="162">
        <f t="array" ref="BA28">IF($AZ$9=0,0,MMULT($AH28:$AM28, AZ$3:AZ$8)/$AZ$9)</f>
        <v>0</v>
      </c>
      <c r="BB28" s="162">
        <f t="array" ref="BB28">IF($BA$9=0,0,MMULT($AH28:$AM28, BA$3:BA$8)/$BA$9)</f>
        <v>0</v>
      </c>
      <c r="BC28" s="162">
        <f t="array" ref="BC28">IF($BB$9=0,0,MMULT($AH28:$AM28, BB$3:BB$8)/$BB$9)</f>
        <v>0</v>
      </c>
      <c r="BD28" s="162">
        <f t="array" ref="BD28">IF($BC$9=0,0,MMULT($AH28:$AM28, BC$3:BC$8)/$BC$9)</f>
        <v>0</v>
      </c>
      <c r="BE28" s="162">
        <f t="shared" si="18"/>
        <v>0</v>
      </c>
      <c r="BF28" s="162">
        <f t="shared" si="19"/>
        <v>0</v>
      </c>
      <c r="BG28" s="161">
        <f>IF(OR(GradeSheet!$L23="W (Withdrawn)", GradeSheet!$L23="I (Incomplete)"), 0, IF(AU28&gt;=65%, 1, 0))</f>
        <v>0</v>
      </c>
      <c r="BH28" s="161">
        <f>IF(OR(GradeSheet!$L23="W (Withdrawn)", GradeSheet!$L23="I (Incomplete)"), 0, IF(AV28&gt;=65%, 1, 0))</f>
        <v>0</v>
      </c>
      <c r="BI28" s="161">
        <f>IF(OR(GradeSheet!$L23="W (Withdrawn)", GradeSheet!$L23="I (Incomplete)"), 0, IF(AW28&gt;=65%, 1, 0))</f>
        <v>0</v>
      </c>
      <c r="BJ28" s="161">
        <f>IF(OR(GradeSheet!$L23="W (Withdrawn)", GradeSheet!$L23="I (Incomplete)"), 0, IF(AX28&gt;=65%, 1, 0))</f>
        <v>0</v>
      </c>
      <c r="BK28" s="161">
        <f>IF(OR(GradeSheet!$L23="W (Withdrawn)", GradeSheet!$L23="I (Incomplete)"), 0, IF(AY28&gt;=65%, 1, 0))</f>
        <v>0</v>
      </c>
      <c r="BL28" s="161">
        <f>IF(OR(GradeSheet!$L23="W (Withdrawn)", GradeSheet!$L23="I (Incomplete)"), 0, IF(AZ28&gt;=65%, 1, 0))</f>
        <v>0</v>
      </c>
      <c r="BM28" s="161">
        <f>IF(OR(GradeSheet!$L23="W (Withdrawn)", GradeSheet!$L23="I (Incomplete)"), 0, IF(BA28&gt;=65%, 1, 0))</f>
        <v>0</v>
      </c>
      <c r="BN28" s="161">
        <f>IF(OR(GradeSheet!$L23="W (Withdrawn)", GradeSheet!$L23="I (Incomplete)"), 0, IF(BB28&gt;=65%, 1, 0))</f>
        <v>0</v>
      </c>
      <c r="BO28" s="161">
        <f>IF(OR(GradeSheet!$L23="W (Withdrawn)", GradeSheet!$L23="I (Incomplete)"), 0, IF(BC28&gt;=65%, 1, 0))</f>
        <v>0</v>
      </c>
      <c r="BP28" s="161">
        <f>IF(OR(GradeSheet!$L23="W (Withdrawn)", GradeSheet!$L23="I (Incomplete)"), 0, IF(BD28&gt;=65%, 1, 0))</f>
        <v>0</v>
      </c>
      <c r="BQ28" s="161">
        <f>IF(OR(GradeSheet!$L23="W (Withdrawn)", GradeSheet!$L23="I (Incomplete)"), 0, IF(BE28&gt;=65%, 1, 0))</f>
        <v>0</v>
      </c>
      <c r="BR28" s="161">
        <f>IF(OR(GradeSheet!$L23="W (Withdrawn)", GradeSheet!$L23="I (Incomplete)"), 0, IF(BF28&gt;=65%, 1, 0))</f>
        <v>0</v>
      </c>
    </row>
    <row r="29" ht="15.75" customHeight="1">
      <c r="A29" s="148">
        <v>15.0</v>
      </c>
      <c r="B29" s="149" t="s">
        <v>105</v>
      </c>
      <c r="C29" s="182" t="s">
        <v>106</v>
      </c>
      <c r="D29" s="152">
        <v>0.5</v>
      </c>
      <c r="E29" s="152">
        <v>6.0</v>
      </c>
      <c r="F29" s="154"/>
      <c r="G29" s="135"/>
      <c r="H29" s="154"/>
      <c r="I29" s="154"/>
      <c r="J29" s="152">
        <v>6.0</v>
      </c>
      <c r="K29" s="152">
        <v>5.0</v>
      </c>
      <c r="L29" s="152">
        <v>4.0</v>
      </c>
      <c r="M29" s="154"/>
      <c r="N29" s="135"/>
      <c r="O29" s="79"/>
      <c r="P29" s="155"/>
      <c r="Q29" s="156"/>
      <c r="R29" s="156"/>
      <c r="S29" s="156"/>
      <c r="T29" s="156"/>
      <c r="U29" s="157"/>
      <c r="V29" s="155"/>
      <c r="W29" s="156"/>
      <c r="X29" s="156"/>
      <c r="Y29" s="156"/>
      <c r="Z29" s="156"/>
      <c r="AA29" s="157"/>
      <c r="AB29" s="158">
        <f t="shared" ref="AB29:AE29" si="44">SUM(V29,D29,J29)</f>
        <v>6.5</v>
      </c>
      <c r="AC29" s="159">
        <f t="shared" si="44"/>
        <v>11</v>
      </c>
      <c r="AD29" s="183">
        <f t="shared" si="44"/>
        <v>4</v>
      </c>
      <c r="AE29" s="183">
        <f t="shared" si="44"/>
        <v>0</v>
      </c>
      <c r="AF29" s="159">
        <f t="shared" si="12"/>
        <v>0</v>
      </c>
      <c r="AG29" s="183">
        <f t="shared" si="13"/>
        <v>0</v>
      </c>
      <c r="AH29" s="160">
        <f t="shared" ref="AH29:AM29" si="45">IF(AB29 = 0, 0, AB29/AB$14)</f>
        <v>0.25</v>
      </c>
      <c r="AI29" s="160">
        <f t="shared" si="45"/>
        <v>0.3793103448</v>
      </c>
      <c r="AJ29" s="160">
        <f t="shared" si="45"/>
        <v>0.4</v>
      </c>
      <c r="AK29" s="160">
        <f t="shared" si="45"/>
        <v>0</v>
      </c>
      <c r="AL29" s="160">
        <f t="shared" si="45"/>
        <v>0</v>
      </c>
      <c r="AM29" s="160">
        <f t="shared" si="45"/>
        <v>0</v>
      </c>
      <c r="AN29" s="161">
        <f>IF(OR(GradeSheet!$L24="W (Withdrawn)", GradeSheet!$L24="I (Incomplete)"), 0, IF(AH29&gt;=55%, 1, 0))</f>
        <v>0</v>
      </c>
      <c r="AO29" s="161">
        <f>IF(OR(GradeSheet!$L24="W (Withdrawn)", GradeSheet!$L24="I (Incomplete)"), 0, IF(AI29&gt;=55%, 1, 0))</f>
        <v>0</v>
      </c>
      <c r="AP29" s="161">
        <f>IF(OR(GradeSheet!$L24="W (Withdrawn)", GradeSheet!$L24="I (Incomplete)"), 0, IF(AJ29&gt;=55%, 1, 0))</f>
        <v>0</v>
      </c>
      <c r="AQ29" s="161">
        <f>IF(OR(GradeSheet!$L24="W (Withdrawn)", GradeSheet!$L24="I (Incomplete)"), 0, IF(AK29&gt;=55%, 1, 0))</f>
        <v>0</v>
      </c>
      <c r="AR29" s="161">
        <f>IF(OR(GradeSheet!$L24="W (Withdrawn)", GradeSheet!$L24="I (Incomplete)"), 0, IF(AL29&gt;=55%, 1, 0))</f>
        <v>0</v>
      </c>
      <c r="AS29" s="161">
        <f>IF(OR(GradeSheet!$L24="W (Withdrawn)", GradeSheet!$L24="I (Incomplete)"), 0, IF(AM29&gt;=55%, 1, 0))</f>
        <v>0</v>
      </c>
      <c r="AT29" s="129"/>
      <c r="AU29" s="162">
        <f t="shared" si="15"/>
        <v>0</v>
      </c>
      <c r="AV29" s="162">
        <f t="shared" si="16"/>
        <v>0</v>
      </c>
      <c r="AW29" s="162">
        <f t="array" ref="AW29">IF($AV$9=0,0,MMULT($AH29:$AM29, AV$3:AV$8)/$AV$9)</f>
        <v>0</v>
      </c>
      <c r="AX29" s="162">
        <f t="array" ref="AX29">IF($AW$9=0,0,MMULT($AH29:$AM29, AW$3:AW$8)/$AW$9)</f>
        <v>0</v>
      </c>
      <c r="AY29" s="162">
        <f t="shared" si="17"/>
        <v>0</v>
      </c>
      <c r="AZ29" s="162">
        <f t="array" ref="AZ29">IF($AY$9=0,0,MMULT($AH29:$AM29, AY$3:AY$8)/$AY$9)</f>
        <v>0</v>
      </c>
      <c r="BA29" s="162">
        <f t="array" ref="BA29">IF($AZ$9=0,0,MMULT($AH29:$AM29, AZ$3:AZ$8)/$AZ$9)</f>
        <v>0</v>
      </c>
      <c r="BB29" s="162">
        <f t="array" ref="BB29">IF($BA$9=0,0,MMULT($AH29:$AM29, BA$3:BA$8)/$BA$9)</f>
        <v>0</v>
      </c>
      <c r="BC29" s="162">
        <f t="array" ref="BC29">IF($BB$9=0,0,MMULT($AH29:$AM29, BB$3:BB$8)/$BB$9)</f>
        <v>0</v>
      </c>
      <c r="BD29" s="162">
        <f t="array" ref="BD29">IF($BC$9=0,0,MMULT($AH29:$AM29, BC$3:BC$8)/$BC$9)</f>
        <v>0</v>
      </c>
      <c r="BE29" s="162">
        <f t="shared" si="18"/>
        <v>0</v>
      </c>
      <c r="BF29" s="162">
        <f t="shared" si="19"/>
        <v>0</v>
      </c>
      <c r="BG29" s="161">
        <f>IF(OR(GradeSheet!$L24="W (Withdrawn)", GradeSheet!$L24="I (Incomplete)"), 0, IF(AU29&gt;=65%, 1, 0))</f>
        <v>0</v>
      </c>
      <c r="BH29" s="161">
        <f>IF(OR(GradeSheet!$L24="W (Withdrawn)", GradeSheet!$L24="I (Incomplete)"), 0, IF(AV29&gt;=65%, 1, 0))</f>
        <v>0</v>
      </c>
      <c r="BI29" s="161">
        <f>IF(OR(GradeSheet!$L24="W (Withdrawn)", GradeSheet!$L24="I (Incomplete)"), 0, IF(AW29&gt;=65%, 1, 0))</f>
        <v>0</v>
      </c>
      <c r="BJ29" s="161">
        <f>IF(OR(GradeSheet!$L24="W (Withdrawn)", GradeSheet!$L24="I (Incomplete)"), 0, IF(AX29&gt;=65%, 1, 0))</f>
        <v>0</v>
      </c>
      <c r="BK29" s="161">
        <f>IF(OR(GradeSheet!$L24="W (Withdrawn)", GradeSheet!$L24="I (Incomplete)"), 0, IF(AY29&gt;=65%, 1, 0))</f>
        <v>0</v>
      </c>
      <c r="BL29" s="161">
        <f>IF(OR(GradeSheet!$L24="W (Withdrawn)", GradeSheet!$L24="I (Incomplete)"), 0, IF(AZ29&gt;=65%, 1, 0))</f>
        <v>0</v>
      </c>
      <c r="BM29" s="161">
        <f>IF(OR(GradeSheet!$L24="W (Withdrawn)", GradeSheet!$L24="I (Incomplete)"), 0, IF(BA29&gt;=65%, 1, 0))</f>
        <v>0</v>
      </c>
      <c r="BN29" s="161">
        <f>IF(OR(GradeSheet!$L24="W (Withdrawn)", GradeSheet!$L24="I (Incomplete)"), 0, IF(BB29&gt;=65%, 1, 0))</f>
        <v>0</v>
      </c>
      <c r="BO29" s="161">
        <f>IF(OR(GradeSheet!$L24="W (Withdrawn)", GradeSheet!$L24="I (Incomplete)"), 0, IF(BC29&gt;=65%, 1, 0))</f>
        <v>0</v>
      </c>
      <c r="BP29" s="161">
        <f>IF(OR(GradeSheet!$L24="W (Withdrawn)", GradeSheet!$L24="I (Incomplete)"), 0, IF(BD29&gt;=65%, 1, 0))</f>
        <v>0</v>
      </c>
      <c r="BQ29" s="161">
        <f>IF(OR(GradeSheet!$L24="W (Withdrawn)", GradeSheet!$L24="I (Incomplete)"), 0, IF(BE29&gt;=65%, 1, 0))</f>
        <v>0</v>
      </c>
      <c r="BR29" s="161">
        <f>IF(OR(GradeSheet!$L24="W (Withdrawn)", GradeSheet!$L24="I (Incomplete)"), 0, IF(BF29&gt;=65%, 1, 0))</f>
        <v>0</v>
      </c>
    </row>
    <row r="30" ht="15.75" customHeight="1">
      <c r="A30" s="181">
        <v>16.0</v>
      </c>
      <c r="B30" s="149" t="s">
        <v>107</v>
      </c>
      <c r="C30" s="182" t="s">
        <v>108</v>
      </c>
      <c r="D30" s="152">
        <v>7.5</v>
      </c>
      <c r="E30" s="152">
        <v>1.5</v>
      </c>
      <c r="F30" s="154"/>
      <c r="G30" s="135"/>
      <c r="H30" s="154"/>
      <c r="I30" s="154"/>
      <c r="J30" s="152">
        <v>3.0</v>
      </c>
      <c r="K30" s="152">
        <v>4.0</v>
      </c>
      <c r="L30" s="152"/>
      <c r="M30" s="154"/>
      <c r="N30" s="135"/>
      <c r="O30" s="79"/>
      <c r="P30" s="155"/>
      <c r="Q30" s="156"/>
      <c r="R30" s="156"/>
      <c r="S30" s="156"/>
      <c r="T30" s="156"/>
      <c r="U30" s="157"/>
      <c r="V30" s="155"/>
      <c r="W30" s="156"/>
      <c r="X30" s="156"/>
      <c r="Y30" s="156"/>
      <c r="Z30" s="156"/>
      <c r="AA30" s="157"/>
      <c r="AB30" s="158">
        <f t="shared" ref="AB30:AE30" si="46">SUM(V30,D30,J30)</f>
        <v>10.5</v>
      </c>
      <c r="AC30" s="159">
        <f t="shared" si="46"/>
        <v>5.5</v>
      </c>
      <c r="AD30" s="183">
        <f t="shared" si="46"/>
        <v>0</v>
      </c>
      <c r="AE30" s="183">
        <f t="shared" si="46"/>
        <v>0</v>
      </c>
      <c r="AF30" s="159">
        <f t="shared" si="12"/>
        <v>0</v>
      </c>
      <c r="AG30" s="183">
        <f t="shared" si="13"/>
        <v>0</v>
      </c>
      <c r="AH30" s="160">
        <f t="shared" ref="AH30:AM30" si="47">IF(AB30 = 0, 0, AB30/AB$14)</f>
        <v>0.4038461538</v>
      </c>
      <c r="AI30" s="160">
        <f t="shared" si="47"/>
        <v>0.1896551724</v>
      </c>
      <c r="AJ30" s="160">
        <f t="shared" si="47"/>
        <v>0</v>
      </c>
      <c r="AK30" s="160">
        <f t="shared" si="47"/>
        <v>0</v>
      </c>
      <c r="AL30" s="160">
        <f t="shared" si="47"/>
        <v>0</v>
      </c>
      <c r="AM30" s="160">
        <f t="shared" si="47"/>
        <v>0</v>
      </c>
      <c r="AN30" s="161">
        <f>IF(OR(GradeSheet!$L25="W (Withdrawn)", GradeSheet!$L25="I (Incomplete)"), 0, IF(AH30&gt;=55%, 1, 0))</f>
        <v>0</v>
      </c>
      <c r="AO30" s="161">
        <f>IF(OR(GradeSheet!$L25="W (Withdrawn)", GradeSheet!$L25="I (Incomplete)"), 0, IF(AI30&gt;=55%, 1, 0))</f>
        <v>0</v>
      </c>
      <c r="AP30" s="161">
        <f>IF(OR(GradeSheet!$L25="W (Withdrawn)", GradeSheet!$L25="I (Incomplete)"), 0, IF(AJ30&gt;=55%, 1, 0))</f>
        <v>0</v>
      </c>
      <c r="AQ30" s="161">
        <f>IF(OR(GradeSheet!$L25="W (Withdrawn)", GradeSheet!$L25="I (Incomplete)"), 0, IF(AK30&gt;=55%, 1, 0))</f>
        <v>0</v>
      </c>
      <c r="AR30" s="161">
        <f>IF(OR(GradeSheet!$L25="W (Withdrawn)", GradeSheet!$L25="I (Incomplete)"), 0, IF(AL30&gt;=55%, 1, 0))</f>
        <v>0</v>
      </c>
      <c r="AS30" s="161">
        <f>IF(OR(GradeSheet!$L25="W (Withdrawn)", GradeSheet!$L25="I (Incomplete)"), 0, IF(AM30&gt;=55%, 1, 0))</f>
        <v>0</v>
      </c>
      <c r="AT30" s="129"/>
      <c r="AU30" s="162">
        <f t="shared" si="15"/>
        <v>0</v>
      </c>
      <c r="AV30" s="162">
        <f t="shared" si="16"/>
        <v>0</v>
      </c>
      <c r="AW30" s="162">
        <f t="array" ref="AW30">IF($AV$9=0,0,MMULT($AH30:$AM30, AV$3:AV$8)/$AV$9)</f>
        <v>0</v>
      </c>
      <c r="AX30" s="162">
        <f t="array" ref="AX30">IF($AW$9=0,0,MMULT($AH30:$AM30, AW$3:AW$8)/$AW$9)</f>
        <v>0</v>
      </c>
      <c r="AY30" s="162">
        <f t="shared" si="17"/>
        <v>0</v>
      </c>
      <c r="AZ30" s="162">
        <f t="array" ref="AZ30">IF($AY$9=0,0,MMULT($AH30:$AM30, AY$3:AY$8)/$AY$9)</f>
        <v>0</v>
      </c>
      <c r="BA30" s="162">
        <f t="array" ref="BA30">IF($AZ$9=0,0,MMULT($AH30:$AM30, AZ$3:AZ$8)/$AZ$9)</f>
        <v>0</v>
      </c>
      <c r="BB30" s="162">
        <f t="array" ref="BB30">IF($BA$9=0,0,MMULT($AH30:$AM30, BA$3:BA$8)/$BA$9)</f>
        <v>0</v>
      </c>
      <c r="BC30" s="162">
        <f t="array" ref="BC30">IF($BB$9=0,0,MMULT($AH30:$AM30, BB$3:BB$8)/$BB$9)</f>
        <v>0</v>
      </c>
      <c r="BD30" s="162">
        <f t="array" ref="BD30">IF($BC$9=0,0,MMULT($AH30:$AM30, BC$3:BC$8)/$BC$9)</f>
        <v>0</v>
      </c>
      <c r="BE30" s="162">
        <f t="shared" si="18"/>
        <v>0</v>
      </c>
      <c r="BF30" s="162">
        <f t="shared" si="19"/>
        <v>0</v>
      </c>
      <c r="BG30" s="161">
        <f>IF(OR(GradeSheet!$L25="W (Withdrawn)", GradeSheet!$L25="I (Incomplete)"), 0, IF(AU30&gt;=65%, 1, 0))</f>
        <v>0</v>
      </c>
      <c r="BH30" s="161">
        <f>IF(OR(GradeSheet!$L25="W (Withdrawn)", GradeSheet!$L25="I (Incomplete)"), 0, IF(AV30&gt;=65%, 1, 0))</f>
        <v>0</v>
      </c>
      <c r="BI30" s="161">
        <f>IF(OR(GradeSheet!$L25="W (Withdrawn)", GradeSheet!$L25="I (Incomplete)"), 0, IF(AW30&gt;=65%, 1, 0))</f>
        <v>0</v>
      </c>
      <c r="BJ30" s="161">
        <f>IF(OR(GradeSheet!$L25="W (Withdrawn)", GradeSheet!$L25="I (Incomplete)"), 0, IF(AX30&gt;=65%, 1, 0))</f>
        <v>0</v>
      </c>
      <c r="BK30" s="161">
        <f>IF(OR(GradeSheet!$L25="W (Withdrawn)", GradeSheet!$L25="I (Incomplete)"), 0, IF(AY30&gt;=65%, 1, 0))</f>
        <v>0</v>
      </c>
      <c r="BL30" s="161">
        <f>IF(OR(GradeSheet!$L25="W (Withdrawn)", GradeSheet!$L25="I (Incomplete)"), 0, IF(AZ30&gt;=65%, 1, 0))</f>
        <v>0</v>
      </c>
      <c r="BM30" s="161">
        <f>IF(OR(GradeSheet!$L25="W (Withdrawn)", GradeSheet!$L25="I (Incomplete)"), 0, IF(BA30&gt;=65%, 1, 0))</f>
        <v>0</v>
      </c>
      <c r="BN30" s="161">
        <f>IF(OR(GradeSheet!$L25="W (Withdrawn)", GradeSheet!$L25="I (Incomplete)"), 0, IF(BB30&gt;=65%, 1, 0))</f>
        <v>0</v>
      </c>
      <c r="BO30" s="161">
        <f>IF(OR(GradeSheet!$L25="W (Withdrawn)", GradeSheet!$L25="I (Incomplete)"), 0, IF(BC30&gt;=65%, 1, 0))</f>
        <v>0</v>
      </c>
      <c r="BP30" s="161">
        <f>IF(OR(GradeSheet!$L25="W (Withdrawn)", GradeSheet!$L25="I (Incomplete)"), 0, IF(BD30&gt;=65%, 1, 0))</f>
        <v>0</v>
      </c>
      <c r="BQ30" s="161">
        <f>IF(OR(GradeSheet!$L25="W (Withdrawn)", GradeSheet!$L25="I (Incomplete)"), 0, IF(BE30&gt;=65%, 1, 0))</f>
        <v>0</v>
      </c>
      <c r="BR30" s="161">
        <f>IF(OR(GradeSheet!$L25="W (Withdrawn)", GradeSheet!$L25="I (Incomplete)"), 0, IF(BF30&gt;=65%, 1, 0))</f>
        <v>0</v>
      </c>
    </row>
    <row r="31" ht="15.75" customHeight="1">
      <c r="A31" s="148">
        <v>17.0</v>
      </c>
      <c r="B31" s="149" t="s">
        <v>110</v>
      </c>
      <c r="C31" s="182" t="s">
        <v>111</v>
      </c>
      <c r="D31" s="152">
        <v>8.0</v>
      </c>
      <c r="E31" s="152">
        <v>6.0</v>
      </c>
      <c r="F31" s="154"/>
      <c r="G31" s="135"/>
      <c r="H31" s="154"/>
      <c r="I31" s="154"/>
      <c r="J31" s="152">
        <v>7.0</v>
      </c>
      <c r="K31" s="152">
        <v>8.0</v>
      </c>
      <c r="L31" s="152">
        <v>1.5</v>
      </c>
      <c r="M31" s="154"/>
      <c r="N31" s="135"/>
      <c r="O31" s="79"/>
      <c r="P31" s="155"/>
      <c r="Q31" s="156"/>
      <c r="R31" s="156"/>
      <c r="S31" s="156"/>
      <c r="T31" s="156"/>
      <c r="U31" s="157"/>
      <c r="V31" s="155"/>
      <c r="W31" s="156"/>
      <c r="X31" s="156"/>
      <c r="Y31" s="156"/>
      <c r="Z31" s="156"/>
      <c r="AA31" s="157"/>
      <c r="AB31" s="158">
        <f t="shared" ref="AB31:AE31" si="48">SUM(V31,D31,J31)</f>
        <v>15</v>
      </c>
      <c r="AC31" s="159">
        <f t="shared" si="48"/>
        <v>14</v>
      </c>
      <c r="AD31" s="183">
        <f t="shared" si="48"/>
        <v>1.5</v>
      </c>
      <c r="AE31" s="183">
        <f t="shared" si="48"/>
        <v>0</v>
      </c>
      <c r="AF31" s="159">
        <f t="shared" si="12"/>
        <v>0</v>
      </c>
      <c r="AG31" s="183">
        <f t="shared" si="13"/>
        <v>0</v>
      </c>
      <c r="AH31" s="160">
        <f t="shared" ref="AH31:AM31" si="49">IF(AB31 = 0, 0, AB31/AB$14)</f>
        <v>0.5769230769</v>
      </c>
      <c r="AI31" s="160">
        <f t="shared" si="49"/>
        <v>0.4827586207</v>
      </c>
      <c r="AJ31" s="160">
        <f t="shared" si="49"/>
        <v>0.15</v>
      </c>
      <c r="AK31" s="160">
        <f t="shared" si="49"/>
        <v>0</v>
      </c>
      <c r="AL31" s="160">
        <f t="shared" si="49"/>
        <v>0</v>
      </c>
      <c r="AM31" s="160">
        <f t="shared" si="49"/>
        <v>0</v>
      </c>
      <c r="AN31" s="161">
        <v>1.0</v>
      </c>
      <c r="AO31" s="161">
        <f>IF(OR(GradeSheet!$L26="W (Withdrawn)", GradeSheet!$L26="I (Incomplete)"), 0, IF(AI31&gt;=55%, 1, 0))</f>
        <v>0</v>
      </c>
      <c r="AP31" s="161">
        <f>IF(OR(GradeSheet!$L26="W (Withdrawn)", GradeSheet!$L26="I (Incomplete)"), 0, IF(AJ31&gt;=55%, 1, 0))</f>
        <v>0</v>
      </c>
      <c r="AQ31" s="161">
        <f>IF(OR(GradeSheet!$L26="W (Withdrawn)", GradeSheet!$L26="I (Incomplete)"), 0, IF(AK31&gt;=55%, 1, 0))</f>
        <v>0</v>
      </c>
      <c r="AR31" s="161">
        <f>IF(OR(GradeSheet!$L26="W (Withdrawn)", GradeSheet!$L26="I (Incomplete)"), 0, IF(AL31&gt;=55%, 1, 0))</f>
        <v>0</v>
      </c>
      <c r="AS31" s="161">
        <f>IF(OR(GradeSheet!$L26="W (Withdrawn)", GradeSheet!$L26="I (Incomplete)"), 0, IF(AM31&gt;=55%, 1, 0))</f>
        <v>0</v>
      </c>
      <c r="AT31" s="129"/>
      <c r="AU31" s="162">
        <f t="shared" si="15"/>
        <v>0</v>
      </c>
      <c r="AV31" s="162">
        <f t="shared" si="16"/>
        <v>0</v>
      </c>
      <c r="AW31" s="162">
        <f t="array" ref="AW31">IF($AV$9=0,0,MMULT($AH31:$AM31, AV$3:AV$8)/$AV$9)</f>
        <v>0</v>
      </c>
      <c r="AX31" s="162">
        <f t="array" ref="AX31">IF($AW$9=0,0,MMULT($AH31:$AM31, AW$3:AW$8)/$AW$9)</f>
        <v>0</v>
      </c>
      <c r="AY31" s="162">
        <f t="shared" si="17"/>
        <v>0</v>
      </c>
      <c r="AZ31" s="162">
        <f t="array" ref="AZ31">IF($AY$9=0,0,MMULT($AH31:$AM31, AY$3:AY$8)/$AY$9)</f>
        <v>0</v>
      </c>
      <c r="BA31" s="162">
        <f t="array" ref="BA31">IF($AZ$9=0,0,MMULT($AH31:$AM31, AZ$3:AZ$8)/$AZ$9)</f>
        <v>0</v>
      </c>
      <c r="BB31" s="162">
        <f t="array" ref="BB31">IF($BA$9=0,0,MMULT($AH31:$AM31, BA$3:BA$8)/$BA$9)</f>
        <v>0</v>
      </c>
      <c r="BC31" s="162">
        <f t="array" ref="BC31">IF($BB$9=0,0,MMULT($AH31:$AM31, BB$3:BB$8)/$BB$9)</f>
        <v>0</v>
      </c>
      <c r="BD31" s="162">
        <f t="array" ref="BD31">IF($BC$9=0,0,MMULT($AH31:$AM31, BC$3:BC$8)/$BC$9)</f>
        <v>0</v>
      </c>
      <c r="BE31" s="162">
        <f t="shared" si="18"/>
        <v>0</v>
      </c>
      <c r="BF31" s="162">
        <f t="shared" si="19"/>
        <v>0</v>
      </c>
      <c r="BG31" s="161">
        <f>IF(OR(GradeSheet!$L26="W (Withdrawn)", GradeSheet!$L26="I (Incomplete)"), 0, IF(AU31&gt;=65%, 1, 0))</f>
        <v>0</v>
      </c>
      <c r="BH31" s="161">
        <f>IF(OR(GradeSheet!$L26="W (Withdrawn)", GradeSheet!$L26="I (Incomplete)"), 0, IF(AV31&gt;=65%, 1, 0))</f>
        <v>0</v>
      </c>
      <c r="BI31" s="161">
        <f>IF(OR(GradeSheet!$L26="W (Withdrawn)", GradeSheet!$L26="I (Incomplete)"), 0, IF(AW31&gt;=65%, 1, 0))</f>
        <v>0</v>
      </c>
      <c r="BJ31" s="161">
        <f>IF(OR(GradeSheet!$L26="W (Withdrawn)", GradeSheet!$L26="I (Incomplete)"), 0, IF(AX31&gt;=65%, 1, 0))</f>
        <v>0</v>
      </c>
      <c r="BK31" s="161">
        <f>IF(OR(GradeSheet!$L26="W (Withdrawn)", GradeSheet!$L26="I (Incomplete)"), 0, IF(AY31&gt;=65%, 1, 0))</f>
        <v>0</v>
      </c>
      <c r="BL31" s="161">
        <f>IF(OR(GradeSheet!$L26="W (Withdrawn)", GradeSheet!$L26="I (Incomplete)"), 0, IF(AZ31&gt;=65%, 1, 0))</f>
        <v>0</v>
      </c>
      <c r="BM31" s="161">
        <f>IF(OR(GradeSheet!$L26="W (Withdrawn)", GradeSheet!$L26="I (Incomplete)"), 0, IF(BA31&gt;=65%, 1, 0))</f>
        <v>0</v>
      </c>
      <c r="BN31" s="161">
        <f>IF(OR(GradeSheet!$L26="W (Withdrawn)", GradeSheet!$L26="I (Incomplete)"), 0, IF(BB31&gt;=65%, 1, 0))</f>
        <v>0</v>
      </c>
      <c r="BO31" s="161">
        <f>IF(OR(GradeSheet!$L26="W (Withdrawn)", GradeSheet!$L26="I (Incomplete)"), 0, IF(BC31&gt;=65%, 1, 0))</f>
        <v>0</v>
      </c>
      <c r="BP31" s="161">
        <f>IF(OR(GradeSheet!$L26="W (Withdrawn)", GradeSheet!$L26="I (Incomplete)"), 0, IF(BD31&gt;=65%, 1, 0))</f>
        <v>0</v>
      </c>
      <c r="BQ31" s="161">
        <f>IF(OR(GradeSheet!$L26="W (Withdrawn)", GradeSheet!$L26="I (Incomplete)"), 0, IF(BE31&gt;=65%, 1, 0))</f>
        <v>0</v>
      </c>
      <c r="BR31" s="161">
        <f>IF(OR(GradeSheet!$L26="W (Withdrawn)", GradeSheet!$L26="I (Incomplete)"), 0, IF(BF31&gt;=65%, 1, 0))</f>
        <v>0</v>
      </c>
    </row>
    <row r="32" ht="15.75" customHeight="1">
      <c r="A32" s="181">
        <v>18.0</v>
      </c>
      <c r="B32" s="149" t="s">
        <v>112</v>
      </c>
      <c r="C32" s="182" t="s">
        <v>113</v>
      </c>
      <c r="D32" s="152">
        <v>0.0</v>
      </c>
      <c r="E32" s="152">
        <v>5.5</v>
      </c>
      <c r="F32" s="154"/>
      <c r="G32" s="135"/>
      <c r="H32" s="154"/>
      <c r="I32" s="154"/>
      <c r="J32" s="152"/>
      <c r="K32" s="152"/>
      <c r="L32" s="152"/>
      <c r="M32" s="154"/>
      <c r="N32" s="135"/>
      <c r="O32" s="79"/>
      <c r="P32" s="155"/>
      <c r="Q32" s="156"/>
      <c r="R32" s="156"/>
      <c r="S32" s="156"/>
      <c r="T32" s="156"/>
      <c r="U32" s="157"/>
      <c r="V32" s="155"/>
      <c r="W32" s="156"/>
      <c r="X32" s="156"/>
      <c r="Y32" s="156"/>
      <c r="Z32" s="156"/>
      <c r="AA32" s="157"/>
      <c r="AB32" s="158">
        <f t="shared" ref="AB32:AE32" si="50">SUM(V32,D32,J32)</f>
        <v>0</v>
      </c>
      <c r="AC32" s="159">
        <f t="shared" si="50"/>
        <v>5.5</v>
      </c>
      <c r="AD32" s="183">
        <f t="shared" si="50"/>
        <v>0</v>
      </c>
      <c r="AE32" s="183">
        <f t="shared" si="50"/>
        <v>0</v>
      </c>
      <c r="AF32" s="159">
        <f t="shared" si="12"/>
        <v>0</v>
      </c>
      <c r="AG32" s="183">
        <f t="shared" si="13"/>
        <v>0</v>
      </c>
      <c r="AH32" s="160">
        <f t="shared" ref="AH32:AM32" si="51">IF(AB32 = 0, 0, AB32/AB$14)</f>
        <v>0</v>
      </c>
      <c r="AI32" s="160">
        <f t="shared" si="51"/>
        <v>0.1896551724</v>
      </c>
      <c r="AJ32" s="160">
        <f t="shared" si="51"/>
        <v>0</v>
      </c>
      <c r="AK32" s="160">
        <f t="shared" si="51"/>
        <v>0</v>
      </c>
      <c r="AL32" s="160">
        <f t="shared" si="51"/>
        <v>0</v>
      </c>
      <c r="AM32" s="160">
        <f t="shared" si="51"/>
        <v>0</v>
      </c>
      <c r="AN32" s="161">
        <f>IF(OR(GradeSheet!$L27="W (Withdrawn)", GradeSheet!$L27="I (Incomplete)"), 0, IF(AH32&gt;=55%, 1, 0))</f>
        <v>0</v>
      </c>
      <c r="AO32" s="161">
        <f>IF(OR(GradeSheet!$L27="W (Withdrawn)", GradeSheet!$L27="I (Incomplete)"), 0, IF(AI32&gt;=55%, 1, 0))</f>
        <v>0</v>
      </c>
      <c r="AP32" s="161">
        <f>IF(OR(GradeSheet!$L27="W (Withdrawn)", GradeSheet!$L27="I (Incomplete)"), 0, IF(AJ32&gt;=55%, 1, 0))</f>
        <v>0</v>
      </c>
      <c r="AQ32" s="161">
        <f>IF(OR(GradeSheet!$L27="W (Withdrawn)", GradeSheet!$L27="I (Incomplete)"), 0, IF(AK32&gt;=55%, 1, 0))</f>
        <v>0</v>
      </c>
      <c r="AR32" s="161">
        <f>IF(OR(GradeSheet!$L27="W (Withdrawn)", GradeSheet!$L27="I (Incomplete)"), 0, IF(AL32&gt;=55%, 1, 0))</f>
        <v>0</v>
      </c>
      <c r="AS32" s="161">
        <f>IF(OR(GradeSheet!$L27="W (Withdrawn)", GradeSheet!$L27="I (Incomplete)"), 0, IF(AM32&gt;=55%, 1, 0))</f>
        <v>0</v>
      </c>
      <c r="AT32" s="129"/>
      <c r="AU32" s="162">
        <f t="shared" si="15"/>
        <v>0</v>
      </c>
      <c r="AV32" s="162">
        <f t="shared" si="16"/>
        <v>0</v>
      </c>
      <c r="AW32" s="162">
        <f t="array" ref="AW32">IF($AV$9=0,0,MMULT($AH32:$AM32, AV$3:AV$8)/$AV$9)</f>
        <v>0</v>
      </c>
      <c r="AX32" s="162">
        <f t="array" ref="AX32">IF($AW$9=0,0,MMULT($AH32:$AM32, AW$3:AW$8)/$AW$9)</f>
        <v>0</v>
      </c>
      <c r="AY32" s="162">
        <f t="shared" si="17"/>
        <v>0</v>
      </c>
      <c r="AZ32" s="162">
        <f t="array" ref="AZ32">IF($AY$9=0,0,MMULT($AH32:$AM32, AY$3:AY$8)/$AY$9)</f>
        <v>0</v>
      </c>
      <c r="BA32" s="162">
        <f t="array" ref="BA32">IF($AZ$9=0,0,MMULT($AH32:$AM32, AZ$3:AZ$8)/$AZ$9)</f>
        <v>0</v>
      </c>
      <c r="BB32" s="162">
        <f t="array" ref="BB32">IF($BA$9=0,0,MMULT($AH32:$AM32, BA$3:BA$8)/$BA$9)</f>
        <v>0</v>
      </c>
      <c r="BC32" s="162">
        <f t="array" ref="BC32">IF($BB$9=0,0,MMULT($AH32:$AM32, BB$3:BB$8)/$BB$9)</f>
        <v>0</v>
      </c>
      <c r="BD32" s="162">
        <f t="array" ref="BD32">IF($BC$9=0,0,MMULT($AH32:$AM32, BC$3:BC$8)/$BC$9)</f>
        <v>0</v>
      </c>
      <c r="BE32" s="162">
        <f t="shared" si="18"/>
        <v>0</v>
      </c>
      <c r="BF32" s="162">
        <f t="shared" si="19"/>
        <v>0</v>
      </c>
      <c r="BG32" s="161">
        <f>IF(OR(GradeSheet!$L27="W (Withdrawn)", GradeSheet!$L27="I (Incomplete)"), 0, IF(AU32&gt;=65%, 1, 0))</f>
        <v>0</v>
      </c>
      <c r="BH32" s="161">
        <f>IF(OR(GradeSheet!$L27="W (Withdrawn)", GradeSheet!$L27="I (Incomplete)"), 0, IF(AV32&gt;=65%, 1, 0))</f>
        <v>0</v>
      </c>
      <c r="BI32" s="161">
        <f>IF(OR(GradeSheet!$L27="W (Withdrawn)", GradeSheet!$L27="I (Incomplete)"), 0, IF(AW32&gt;=65%, 1, 0))</f>
        <v>0</v>
      </c>
      <c r="BJ32" s="161">
        <f>IF(OR(GradeSheet!$L27="W (Withdrawn)", GradeSheet!$L27="I (Incomplete)"), 0, IF(AX32&gt;=65%, 1, 0))</f>
        <v>0</v>
      </c>
      <c r="BK32" s="161">
        <f>IF(OR(GradeSheet!$L27="W (Withdrawn)", GradeSheet!$L27="I (Incomplete)"), 0, IF(AY32&gt;=65%, 1, 0))</f>
        <v>0</v>
      </c>
      <c r="BL32" s="161">
        <f>IF(OR(GradeSheet!$L27="W (Withdrawn)", GradeSheet!$L27="I (Incomplete)"), 0, IF(AZ32&gt;=65%, 1, 0))</f>
        <v>0</v>
      </c>
      <c r="BM32" s="161">
        <f>IF(OR(GradeSheet!$L27="W (Withdrawn)", GradeSheet!$L27="I (Incomplete)"), 0, IF(BA32&gt;=65%, 1, 0))</f>
        <v>0</v>
      </c>
      <c r="BN32" s="161">
        <f>IF(OR(GradeSheet!$L27="W (Withdrawn)", GradeSheet!$L27="I (Incomplete)"), 0, IF(BB32&gt;=65%, 1, 0))</f>
        <v>0</v>
      </c>
      <c r="BO32" s="161">
        <f>IF(OR(GradeSheet!$L27="W (Withdrawn)", GradeSheet!$L27="I (Incomplete)"), 0, IF(BC32&gt;=65%, 1, 0))</f>
        <v>0</v>
      </c>
      <c r="BP32" s="161">
        <f>IF(OR(GradeSheet!$L27="W (Withdrawn)", GradeSheet!$L27="I (Incomplete)"), 0, IF(BD32&gt;=65%, 1, 0))</f>
        <v>0</v>
      </c>
      <c r="BQ32" s="161">
        <f>IF(OR(GradeSheet!$L27="W (Withdrawn)", GradeSheet!$L27="I (Incomplete)"), 0, IF(BE32&gt;=65%, 1, 0))</f>
        <v>0</v>
      </c>
      <c r="BR32" s="161">
        <f>IF(OR(GradeSheet!$L27="W (Withdrawn)", GradeSheet!$L27="I (Incomplete)"), 0, IF(BF32&gt;=65%, 1, 0))</f>
        <v>0</v>
      </c>
    </row>
    <row r="33" ht="15.75" customHeight="1">
      <c r="A33" s="148">
        <v>19.0</v>
      </c>
      <c r="B33" s="149" t="s">
        <v>114</v>
      </c>
      <c r="C33" s="182" t="s">
        <v>115</v>
      </c>
      <c r="D33" s="152"/>
      <c r="E33" s="152"/>
      <c r="F33" s="154"/>
      <c r="G33" s="135"/>
      <c r="H33" s="154"/>
      <c r="I33" s="154"/>
      <c r="J33" s="152"/>
      <c r="K33" s="152"/>
      <c r="L33" s="152"/>
      <c r="M33" s="154"/>
      <c r="N33" s="135"/>
      <c r="O33" s="79"/>
      <c r="P33" s="155"/>
      <c r="Q33" s="156"/>
      <c r="R33" s="156"/>
      <c r="S33" s="156"/>
      <c r="T33" s="156"/>
      <c r="U33" s="157"/>
      <c r="V33" s="155"/>
      <c r="W33" s="156"/>
      <c r="X33" s="156"/>
      <c r="Y33" s="156"/>
      <c r="Z33" s="156"/>
      <c r="AA33" s="157"/>
      <c r="AB33" s="158">
        <f t="shared" ref="AB33:AE33" si="52">SUM(V33,D33,J33)</f>
        <v>0</v>
      </c>
      <c r="AC33" s="159">
        <f t="shared" si="52"/>
        <v>0</v>
      </c>
      <c r="AD33" s="183">
        <f t="shared" si="52"/>
        <v>0</v>
      </c>
      <c r="AE33" s="183">
        <f t="shared" si="52"/>
        <v>0</v>
      </c>
      <c r="AF33" s="159">
        <f t="shared" si="12"/>
        <v>0</v>
      </c>
      <c r="AG33" s="183">
        <f t="shared" si="13"/>
        <v>0</v>
      </c>
      <c r="AH33" s="160">
        <f t="shared" ref="AH33:AM33" si="53">IF(AB33 = 0, 0, AB33/AB$14)</f>
        <v>0</v>
      </c>
      <c r="AI33" s="160">
        <f t="shared" si="53"/>
        <v>0</v>
      </c>
      <c r="AJ33" s="160">
        <f t="shared" si="53"/>
        <v>0</v>
      </c>
      <c r="AK33" s="160">
        <f t="shared" si="53"/>
        <v>0</v>
      </c>
      <c r="AL33" s="160">
        <f t="shared" si="53"/>
        <v>0</v>
      </c>
      <c r="AM33" s="160">
        <f t="shared" si="53"/>
        <v>0</v>
      </c>
      <c r="AN33" s="161">
        <f>IF(OR(GradeSheet!$L28="W (Withdrawn)", GradeSheet!$L28="I (Incomplete)"), 0, IF(AH33&gt;=55%, 1, 0))</f>
        <v>0</v>
      </c>
      <c r="AO33" s="161">
        <f>IF(OR(GradeSheet!$L28="W (Withdrawn)", GradeSheet!$L28="I (Incomplete)"), 0, IF(AI33&gt;=55%, 1, 0))</f>
        <v>0</v>
      </c>
      <c r="AP33" s="161">
        <f>IF(OR(GradeSheet!$L28="W (Withdrawn)", GradeSheet!$L28="I (Incomplete)"), 0, IF(AJ33&gt;=55%, 1, 0))</f>
        <v>0</v>
      </c>
      <c r="AQ33" s="161">
        <f>IF(OR(GradeSheet!$L28="W (Withdrawn)", GradeSheet!$L28="I (Incomplete)"), 0, IF(AK33&gt;=55%, 1, 0))</f>
        <v>0</v>
      </c>
      <c r="AR33" s="161">
        <f>IF(OR(GradeSheet!$L28="W (Withdrawn)", GradeSheet!$L28="I (Incomplete)"), 0, IF(AL33&gt;=55%, 1, 0))</f>
        <v>0</v>
      </c>
      <c r="AS33" s="161">
        <f>IF(OR(GradeSheet!$L28="W (Withdrawn)", GradeSheet!$L28="I (Incomplete)"), 0, IF(AM33&gt;=55%, 1, 0))</f>
        <v>0</v>
      </c>
      <c r="AT33" s="129"/>
      <c r="AU33" s="162">
        <f t="shared" si="15"/>
        <v>0</v>
      </c>
      <c r="AV33" s="162">
        <f t="shared" si="16"/>
        <v>0</v>
      </c>
      <c r="AW33" s="162">
        <f t="array" ref="AW33">IF($AV$9=0,0,MMULT($AH33:$AM33, AV$3:AV$8)/$AV$9)</f>
        <v>0</v>
      </c>
      <c r="AX33" s="162">
        <f t="array" ref="AX33">IF($AW$9=0,0,MMULT($AH33:$AM33, AW$3:AW$8)/$AW$9)</f>
        <v>0</v>
      </c>
      <c r="AY33" s="162">
        <f t="shared" si="17"/>
        <v>0</v>
      </c>
      <c r="AZ33" s="162">
        <f t="array" ref="AZ33">IF($AY$9=0,0,MMULT($AH33:$AM33, AY$3:AY$8)/$AY$9)</f>
        <v>0</v>
      </c>
      <c r="BA33" s="162">
        <f t="array" ref="BA33">IF($AZ$9=0,0,MMULT($AH33:$AM33, AZ$3:AZ$8)/$AZ$9)</f>
        <v>0</v>
      </c>
      <c r="BB33" s="162">
        <f t="array" ref="BB33">IF($BA$9=0,0,MMULT($AH33:$AM33, BA$3:BA$8)/$BA$9)</f>
        <v>0</v>
      </c>
      <c r="BC33" s="162">
        <f t="array" ref="BC33">IF($BB$9=0,0,MMULT($AH33:$AM33, BB$3:BB$8)/$BB$9)</f>
        <v>0</v>
      </c>
      <c r="BD33" s="162">
        <f t="array" ref="BD33">IF($BC$9=0,0,MMULT($AH33:$AM33, BC$3:BC$8)/$BC$9)</f>
        <v>0</v>
      </c>
      <c r="BE33" s="162">
        <f t="shared" si="18"/>
        <v>0</v>
      </c>
      <c r="BF33" s="162">
        <f t="shared" si="19"/>
        <v>0</v>
      </c>
      <c r="BG33" s="161">
        <f>IF(OR(GradeSheet!$L28="W (Withdrawn)", GradeSheet!$L28="I (Incomplete)"), 0, IF(AU33&gt;=65%, 1, 0))</f>
        <v>0</v>
      </c>
      <c r="BH33" s="161">
        <f>IF(OR(GradeSheet!$L28="W (Withdrawn)", GradeSheet!$L28="I (Incomplete)"), 0, IF(AV33&gt;=65%, 1, 0))</f>
        <v>0</v>
      </c>
      <c r="BI33" s="161">
        <f>IF(OR(GradeSheet!$L28="W (Withdrawn)", GradeSheet!$L28="I (Incomplete)"), 0, IF(AW33&gt;=65%, 1, 0))</f>
        <v>0</v>
      </c>
      <c r="BJ33" s="161">
        <f>IF(OR(GradeSheet!$L28="W (Withdrawn)", GradeSheet!$L28="I (Incomplete)"), 0, IF(AX33&gt;=65%, 1, 0))</f>
        <v>0</v>
      </c>
      <c r="BK33" s="161">
        <f>IF(OR(GradeSheet!$L28="W (Withdrawn)", GradeSheet!$L28="I (Incomplete)"), 0, IF(AY33&gt;=65%, 1, 0))</f>
        <v>0</v>
      </c>
      <c r="BL33" s="161">
        <f>IF(OR(GradeSheet!$L28="W (Withdrawn)", GradeSheet!$L28="I (Incomplete)"), 0, IF(AZ33&gt;=65%, 1, 0))</f>
        <v>0</v>
      </c>
      <c r="BM33" s="161">
        <f>IF(OR(GradeSheet!$L28="W (Withdrawn)", GradeSheet!$L28="I (Incomplete)"), 0, IF(BA33&gt;=65%, 1, 0))</f>
        <v>0</v>
      </c>
      <c r="BN33" s="161">
        <f>IF(OR(GradeSheet!$L28="W (Withdrawn)", GradeSheet!$L28="I (Incomplete)"), 0, IF(BB33&gt;=65%, 1, 0))</f>
        <v>0</v>
      </c>
      <c r="BO33" s="161">
        <f>IF(OR(GradeSheet!$L28="W (Withdrawn)", GradeSheet!$L28="I (Incomplete)"), 0, IF(BC33&gt;=65%, 1, 0))</f>
        <v>0</v>
      </c>
      <c r="BP33" s="161">
        <f>IF(OR(GradeSheet!$L28="W (Withdrawn)", GradeSheet!$L28="I (Incomplete)"), 0, IF(BD33&gt;=65%, 1, 0))</f>
        <v>0</v>
      </c>
      <c r="BQ33" s="161">
        <f>IF(OR(GradeSheet!$L28="W (Withdrawn)", GradeSheet!$L28="I (Incomplete)"), 0, IF(BE33&gt;=65%, 1, 0))</f>
        <v>0</v>
      </c>
      <c r="BR33" s="161">
        <f>IF(OR(GradeSheet!$L28="W (Withdrawn)", GradeSheet!$L28="I (Incomplete)"), 0, IF(BF33&gt;=65%, 1, 0))</f>
        <v>0</v>
      </c>
    </row>
    <row r="34" ht="15.75" customHeight="1">
      <c r="A34" s="181">
        <v>20.0</v>
      </c>
      <c r="B34" s="149" t="s">
        <v>116</v>
      </c>
      <c r="C34" s="182" t="s">
        <v>117</v>
      </c>
      <c r="D34" s="152">
        <v>8.0</v>
      </c>
      <c r="E34" s="152">
        <v>11.0</v>
      </c>
      <c r="F34" s="154"/>
      <c r="G34" s="135"/>
      <c r="H34" s="154"/>
      <c r="I34" s="154"/>
      <c r="J34" s="152">
        <v>10.5</v>
      </c>
      <c r="K34" s="152">
        <v>11.0</v>
      </c>
      <c r="L34" s="152">
        <v>6.0</v>
      </c>
      <c r="M34" s="154"/>
      <c r="N34" s="135"/>
      <c r="O34" s="79"/>
      <c r="P34" s="155"/>
      <c r="Q34" s="156"/>
      <c r="R34" s="156"/>
      <c r="S34" s="156"/>
      <c r="T34" s="156"/>
      <c r="U34" s="157"/>
      <c r="V34" s="155"/>
      <c r="W34" s="156"/>
      <c r="X34" s="156"/>
      <c r="Y34" s="156"/>
      <c r="Z34" s="156"/>
      <c r="AA34" s="157"/>
      <c r="AB34" s="158">
        <f t="shared" ref="AB34:AE34" si="54">SUM(V34,D34,J34)</f>
        <v>18.5</v>
      </c>
      <c r="AC34" s="159">
        <f t="shared" si="54"/>
        <v>22</v>
      </c>
      <c r="AD34" s="183">
        <f t="shared" si="54"/>
        <v>6</v>
      </c>
      <c r="AE34" s="183">
        <f t="shared" si="54"/>
        <v>0</v>
      </c>
      <c r="AF34" s="159">
        <f t="shared" si="12"/>
        <v>0</v>
      </c>
      <c r="AG34" s="183">
        <f t="shared" si="13"/>
        <v>0</v>
      </c>
      <c r="AH34" s="160">
        <f t="shared" ref="AH34:AM34" si="55">IF(AB34 = 0, 0, AB34/AB$14)</f>
        <v>0.7115384615</v>
      </c>
      <c r="AI34" s="160">
        <f t="shared" si="55"/>
        <v>0.7586206897</v>
      </c>
      <c r="AJ34" s="160">
        <f t="shared" si="55"/>
        <v>0.6</v>
      </c>
      <c r="AK34" s="160">
        <f t="shared" si="55"/>
        <v>0</v>
      </c>
      <c r="AL34" s="160">
        <f t="shared" si="55"/>
        <v>0</v>
      </c>
      <c r="AM34" s="160">
        <f t="shared" si="55"/>
        <v>0</v>
      </c>
      <c r="AN34" s="161">
        <f>IF(OR(GradeSheet!$L29="W (Withdrawn)", GradeSheet!$L29="I (Incomplete)"), 0, IF(AH34&gt;=55%, 1, 0))</f>
        <v>1</v>
      </c>
      <c r="AO34" s="161">
        <f>IF(OR(GradeSheet!$L29="W (Withdrawn)", GradeSheet!$L29="I (Incomplete)"), 0, IF(AI34&gt;=55%, 1, 0))</f>
        <v>1</v>
      </c>
      <c r="AP34" s="161">
        <f>IF(OR(GradeSheet!$L29="W (Withdrawn)", GradeSheet!$L29="I (Incomplete)"), 0, IF(AJ34&gt;=55%, 1, 0))</f>
        <v>1</v>
      </c>
      <c r="AQ34" s="161">
        <f>IF(OR(GradeSheet!$L29="W (Withdrawn)", GradeSheet!$L29="I (Incomplete)"), 0, IF(AK34&gt;=55%, 1, 0))</f>
        <v>0</v>
      </c>
      <c r="AR34" s="161">
        <f>IF(OR(GradeSheet!$L29="W (Withdrawn)", GradeSheet!$L29="I (Incomplete)"), 0, IF(AL34&gt;=55%, 1, 0))</f>
        <v>0</v>
      </c>
      <c r="AS34" s="161">
        <f>IF(OR(GradeSheet!$L29="W (Withdrawn)", GradeSheet!$L29="I (Incomplete)"), 0, IF(AM34&gt;=55%, 1, 0))</f>
        <v>0</v>
      </c>
      <c r="AT34" s="129"/>
      <c r="AU34" s="162">
        <f t="shared" si="15"/>
        <v>0</v>
      </c>
      <c r="AV34" s="162">
        <f t="shared" si="16"/>
        <v>0</v>
      </c>
      <c r="AW34" s="162">
        <f t="array" ref="AW34">IF($AV$9=0,0,MMULT($AH34:$AM34, AV$3:AV$8)/$AV$9)</f>
        <v>0</v>
      </c>
      <c r="AX34" s="162">
        <f t="array" ref="AX34">IF($AW$9=0,0,MMULT($AH34:$AM34, AW$3:AW$8)/$AW$9)</f>
        <v>0</v>
      </c>
      <c r="AY34" s="162">
        <f t="shared" si="17"/>
        <v>0</v>
      </c>
      <c r="AZ34" s="162">
        <f t="array" ref="AZ34">IF($AY$9=0,0,MMULT($AH34:$AM34, AY$3:AY$8)/$AY$9)</f>
        <v>0</v>
      </c>
      <c r="BA34" s="162">
        <f t="array" ref="BA34">IF($AZ$9=0,0,MMULT($AH34:$AM34, AZ$3:AZ$8)/$AZ$9)</f>
        <v>0</v>
      </c>
      <c r="BB34" s="162">
        <f t="array" ref="BB34">IF($BA$9=0,0,MMULT($AH34:$AM34, BA$3:BA$8)/$BA$9)</f>
        <v>0</v>
      </c>
      <c r="BC34" s="162">
        <f t="array" ref="BC34">IF($BB$9=0,0,MMULT($AH34:$AM34, BB$3:BB$8)/$BB$9)</f>
        <v>0</v>
      </c>
      <c r="BD34" s="162">
        <f t="array" ref="BD34">IF($BC$9=0,0,MMULT($AH34:$AM34, BC$3:BC$8)/$BC$9)</f>
        <v>0</v>
      </c>
      <c r="BE34" s="162">
        <f t="shared" si="18"/>
        <v>0</v>
      </c>
      <c r="BF34" s="162">
        <f t="shared" si="19"/>
        <v>0</v>
      </c>
      <c r="BG34" s="161">
        <f>IF(OR(GradeSheet!$L29="W (Withdrawn)", GradeSheet!$L29="I (Incomplete)"), 0, IF(AU34&gt;=65%, 1, 0))</f>
        <v>0</v>
      </c>
      <c r="BH34" s="161">
        <f>IF(OR(GradeSheet!$L29="W (Withdrawn)", GradeSheet!$L29="I (Incomplete)"), 0, IF(AV34&gt;=65%, 1, 0))</f>
        <v>0</v>
      </c>
      <c r="BI34" s="161">
        <f>IF(OR(GradeSheet!$L29="W (Withdrawn)", GradeSheet!$L29="I (Incomplete)"), 0, IF(AW34&gt;=65%, 1, 0))</f>
        <v>0</v>
      </c>
      <c r="BJ34" s="161">
        <f>IF(OR(GradeSheet!$L29="W (Withdrawn)", GradeSheet!$L29="I (Incomplete)"), 0, IF(AX34&gt;=65%, 1, 0))</f>
        <v>0</v>
      </c>
      <c r="BK34" s="161">
        <f>IF(OR(GradeSheet!$L29="W (Withdrawn)", GradeSheet!$L29="I (Incomplete)"), 0, IF(AY34&gt;=65%, 1, 0))</f>
        <v>0</v>
      </c>
      <c r="BL34" s="161">
        <f>IF(OR(GradeSheet!$L29="W (Withdrawn)", GradeSheet!$L29="I (Incomplete)"), 0, IF(AZ34&gt;=65%, 1, 0))</f>
        <v>0</v>
      </c>
      <c r="BM34" s="161">
        <f>IF(OR(GradeSheet!$L29="W (Withdrawn)", GradeSheet!$L29="I (Incomplete)"), 0, IF(BA34&gt;=65%, 1, 0))</f>
        <v>0</v>
      </c>
      <c r="BN34" s="161">
        <f>IF(OR(GradeSheet!$L29="W (Withdrawn)", GradeSheet!$L29="I (Incomplete)"), 0, IF(BB34&gt;=65%, 1, 0))</f>
        <v>0</v>
      </c>
      <c r="BO34" s="161">
        <f>IF(OR(GradeSheet!$L29="W (Withdrawn)", GradeSheet!$L29="I (Incomplete)"), 0, IF(BC34&gt;=65%, 1, 0))</f>
        <v>0</v>
      </c>
      <c r="BP34" s="161">
        <f>IF(OR(GradeSheet!$L29="W (Withdrawn)", GradeSheet!$L29="I (Incomplete)"), 0, IF(BD34&gt;=65%, 1, 0))</f>
        <v>0</v>
      </c>
      <c r="BQ34" s="161">
        <f>IF(OR(GradeSheet!$L29="W (Withdrawn)", GradeSheet!$L29="I (Incomplete)"), 0, IF(BE34&gt;=65%, 1, 0))</f>
        <v>0</v>
      </c>
      <c r="BR34" s="161">
        <f>IF(OR(GradeSheet!$L29="W (Withdrawn)", GradeSheet!$L29="I (Incomplete)"), 0, IF(BF34&gt;=65%, 1, 0))</f>
        <v>0</v>
      </c>
    </row>
    <row r="35" ht="15.75" customHeight="1">
      <c r="A35" s="148">
        <v>21.0</v>
      </c>
      <c r="B35" s="149" t="s">
        <v>118</v>
      </c>
      <c r="C35" s="150" t="s">
        <v>119</v>
      </c>
      <c r="D35" s="152"/>
      <c r="E35" s="152">
        <v>7.0</v>
      </c>
      <c r="F35" s="154"/>
      <c r="G35" s="135"/>
      <c r="H35" s="154"/>
      <c r="I35" s="154"/>
      <c r="J35" s="152"/>
      <c r="K35" s="152"/>
      <c r="L35" s="152"/>
      <c r="M35" s="154"/>
      <c r="N35" s="135"/>
      <c r="O35" s="79"/>
      <c r="P35" s="155"/>
      <c r="Q35" s="156"/>
      <c r="R35" s="156"/>
      <c r="S35" s="156"/>
      <c r="T35" s="156"/>
      <c r="U35" s="157"/>
      <c r="V35" s="155"/>
      <c r="W35" s="156"/>
      <c r="X35" s="156"/>
      <c r="Y35" s="156"/>
      <c r="Z35" s="156"/>
      <c r="AA35" s="157"/>
      <c r="AB35" s="158">
        <f t="shared" ref="AB35:AE35" si="56">SUM(V35,D35,J35)</f>
        <v>0</v>
      </c>
      <c r="AC35" s="159">
        <f t="shared" si="56"/>
        <v>7</v>
      </c>
      <c r="AD35" s="183">
        <f t="shared" si="56"/>
        <v>0</v>
      </c>
      <c r="AE35" s="183">
        <f t="shared" si="56"/>
        <v>0</v>
      </c>
      <c r="AF35" s="159">
        <f t="shared" si="12"/>
        <v>0</v>
      </c>
      <c r="AG35" s="183">
        <f t="shared" si="13"/>
        <v>0</v>
      </c>
      <c r="AH35" s="160">
        <f t="shared" ref="AH35:AM35" si="57">IF(AB35 = 0, 0, AB35/AB$14)</f>
        <v>0</v>
      </c>
      <c r="AI35" s="160">
        <f t="shared" si="57"/>
        <v>0.2413793103</v>
      </c>
      <c r="AJ35" s="160">
        <f t="shared" si="57"/>
        <v>0</v>
      </c>
      <c r="AK35" s="160">
        <f t="shared" si="57"/>
        <v>0</v>
      </c>
      <c r="AL35" s="160">
        <f t="shared" si="57"/>
        <v>0</v>
      </c>
      <c r="AM35" s="160">
        <f t="shared" si="57"/>
        <v>0</v>
      </c>
      <c r="AN35" s="161">
        <f>IF(OR(GradeSheet!$L30="W (Withdrawn)", GradeSheet!$L30="I (Incomplete)"), 0, IF(AH35&gt;=55%, 1, 0))</f>
        <v>0</v>
      </c>
      <c r="AO35" s="161">
        <f>IF(OR(GradeSheet!$L30="W (Withdrawn)", GradeSheet!$L30="I (Incomplete)"), 0, IF(AI35&gt;=55%, 1, 0))</f>
        <v>0</v>
      </c>
      <c r="AP35" s="161">
        <f>IF(OR(GradeSheet!$L30="W (Withdrawn)", GradeSheet!$L30="I (Incomplete)"), 0, IF(AJ35&gt;=55%, 1, 0))</f>
        <v>0</v>
      </c>
      <c r="AQ35" s="161">
        <f>IF(OR(GradeSheet!$L30="W (Withdrawn)", GradeSheet!$L30="I (Incomplete)"), 0, IF(AK35&gt;=55%, 1, 0))</f>
        <v>0</v>
      </c>
      <c r="AR35" s="161">
        <f>IF(OR(GradeSheet!$L30="W (Withdrawn)", GradeSheet!$L30="I (Incomplete)"), 0, IF(AL35&gt;=55%, 1, 0))</f>
        <v>0</v>
      </c>
      <c r="AS35" s="161">
        <f>IF(OR(GradeSheet!$L30="W (Withdrawn)", GradeSheet!$L30="I (Incomplete)"), 0, IF(AM35&gt;=55%, 1, 0))</f>
        <v>0</v>
      </c>
      <c r="AT35" s="129"/>
      <c r="AU35" s="162">
        <f t="shared" si="15"/>
        <v>0</v>
      </c>
      <c r="AV35" s="162">
        <f t="shared" si="16"/>
        <v>0</v>
      </c>
      <c r="AW35" s="162">
        <f t="array" ref="AW35">IF($AV$9=0,0,MMULT($AH35:$AM35, AV$3:AV$8)/$AV$9)</f>
        <v>0</v>
      </c>
      <c r="AX35" s="162">
        <f t="array" ref="AX35">IF($AW$9=0,0,MMULT($AH35:$AM35, AW$3:AW$8)/$AW$9)</f>
        <v>0</v>
      </c>
      <c r="AY35" s="162">
        <f t="shared" si="17"/>
        <v>0</v>
      </c>
      <c r="AZ35" s="162">
        <f t="array" ref="AZ35">IF($AY$9=0,0,MMULT($AH35:$AM35, AY$3:AY$8)/$AY$9)</f>
        <v>0</v>
      </c>
      <c r="BA35" s="162">
        <f t="array" ref="BA35">IF($AZ$9=0,0,MMULT($AH35:$AM35, AZ$3:AZ$8)/$AZ$9)</f>
        <v>0</v>
      </c>
      <c r="BB35" s="162">
        <f t="array" ref="BB35">IF($BA$9=0,0,MMULT($AH35:$AM35, BA$3:BA$8)/$BA$9)</f>
        <v>0</v>
      </c>
      <c r="BC35" s="162">
        <f t="array" ref="BC35">IF($BB$9=0,0,MMULT($AH35:$AM35, BB$3:BB$8)/$BB$9)</f>
        <v>0</v>
      </c>
      <c r="BD35" s="162">
        <f t="array" ref="BD35">IF($BC$9=0,0,MMULT($AH35:$AM35, BC$3:BC$8)/$BC$9)</f>
        <v>0</v>
      </c>
      <c r="BE35" s="162">
        <f t="shared" si="18"/>
        <v>0</v>
      </c>
      <c r="BF35" s="162">
        <f t="shared" si="19"/>
        <v>0</v>
      </c>
      <c r="BG35" s="161">
        <f>IF(OR(GradeSheet!$L30="W (Withdrawn)", GradeSheet!$L30="I (Incomplete)"), 0, IF(AU35&gt;=65%, 1, 0))</f>
        <v>0</v>
      </c>
      <c r="BH35" s="161">
        <f>IF(OR(GradeSheet!$L30="W (Withdrawn)", GradeSheet!$L30="I (Incomplete)"), 0, IF(AV35&gt;=65%, 1, 0))</f>
        <v>0</v>
      </c>
      <c r="BI35" s="161">
        <f>IF(OR(GradeSheet!$L30="W (Withdrawn)", GradeSheet!$L30="I (Incomplete)"), 0, IF(AW35&gt;=65%, 1, 0))</f>
        <v>0</v>
      </c>
      <c r="BJ35" s="161">
        <f>IF(OR(GradeSheet!$L30="W (Withdrawn)", GradeSheet!$L30="I (Incomplete)"), 0, IF(AX35&gt;=65%, 1, 0))</f>
        <v>0</v>
      </c>
      <c r="BK35" s="161">
        <f>IF(OR(GradeSheet!$L30="W (Withdrawn)", GradeSheet!$L30="I (Incomplete)"), 0, IF(AY35&gt;=65%, 1, 0))</f>
        <v>0</v>
      </c>
      <c r="BL35" s="161">
        <f>IF(OR(GradeSheet!$L30="W (Withdrawn)", GradeSheet!$L30="I (Incomplete)"), 0, IF(AZ35&gt;=65%, 1, 0))</f>
        <v>0</v>
      </c>
      <c r="BM35" s="161">
        <f>IF(OR(GradeSheet!$L30="W (Withdrawn)", GradeSheet!$L30="I (Incomplete)"), 0, IF(BA35&gt;=65%, 1, 0))</f>
        <v>0</v>
      </c>
      <c r="BN35" s="161">
        <f>IF(OR(GradeSheet!$L30="W (Withdrawn)", GradeSheet!$L30="I (Incomplete)"), 0, IF(BB35&gt;=65%, 1, 0))</f>
        <v>0</v>
      </c>
      <c r="BO35" s="161">
        <f>IF(OR(GradeSheet!$L30="W (Withdrawn)", GradeSheet!$L30="I (Incomplete)"), 0, IF(BC35&gt;=65%, 1, 0))</f>
        <v>0</v>
      </c>
      <c r="BP35" s="161">
        <f>IF(OR(GradeSheet!$L30="W (Withdrawn)", GradeSheet!$L30="I (Incomplete)"), 0, IF(BD35&gt;=65%, 1, 0))</f>
        <v>0</v>
      </c>
      <c r="BQ35" s="161">
        <f>IF(OR(GradeSheet!$L30="W (Withdrawn)", GradeSheet!$L30="I (Incomplete)"), 0, IF(BE35&gt;=65%, 1, 0))</f>
        <v>0</v>
      </c>
      <c r="BR35" s="161">
        <f>IF(OR(GradeSheet!$L30="W (Withdrawn)", GradeSheet!$L30="I (Incomplete)"), 0, IF(BF35&gt;=65%, 1, 0))</f>
        <v>0</v>
      </c>
    </row>
    <row r="36" ht="15.75" customHeight="1">
      <c r="A36" s="181">
        <v>22.0</v>
      </c>
      <c r="B36" s="149" t="s">
        <v>121</v>
      </c>
      <c r="C36" s="182" t="s">
        <v>122</v>
      </c>
      <c r="D36" s="152"/>
      <c r="E36" s="152">
        <v>3.5</v>
      </c>
      <c r="F36" s="154"/>
      <c r="G36" s="135"/>
      <c r="H36" s="154"/>
      <c r="I36" s="154"/>
      <c r="J36" s="152">
        <v>4.5</v>
      </c>
      <c r="K36" s="152">
        <v>5.5</v>
      </c>
      <c r="L36" s="152">
        <v>5.5</v>
      </c>
      <c r="M36" s="154"/>
      <c r="N36" s="135"/>
      <c r="O36" s="79"/>
      <c r="P36" s="155"/>
      <c r="Q36" s="156"/>
      <c r="R36" s="156"/>
      <c r="S36" s="156"/>
      <c r="T36" s="156"/>
      <c r="U36" s="157"/>
      <c r="V36" s="155"/>
      <c r="W36" s="156"/>
      <c r="X36" s="156"/>
      <c r="Y36" s="156"/>
      <c r="Z36" s="156"/>
      <c r="AA36" s="157"/>
      <c r="AB36" s="158">
        <f t="shared" ref="AB36:AE36" si="58">SUM(V36,D36,J36)</f>
        <v>4.5</v>
      </c>
      <c r="AC36" s="159">
        <f t="shared" si="58"/>
        <v>9</v>
      </c>
      <c r="AD36" s="183">
        <f t="shared" si="58"/>
        <v>5.5</v>
      </c>
      <c r="AE36" s="183">
        <f t="shared" si="58"/>
        <v>0</v>
      </c>
      <c r="AF36" s="159">
        <f t="shared" si="12"/>
        <v>0</v>
      </c>
      <c r="AG36" s="183">
        <f t="shared" si="13"/>
        <v>0</v>
      </c>
      <c r="AH36" s="160">
        <f t="shared" ref="AH36:AM36" si="59">IF(AB36 = 0, 0, AB36/AB$14)</f>
        <v>0.1730769231</v>
      </c>
      <c r="AI36" s="160">
        <f t="shared" si="59"/>
        <v>0.3103448276</v>
      </c>
      <c r="AJ36" s="160">
        <f t="shared" si="59"/>
        <v>0.55</v>
      </c>
      <c r="AK36" s="160">
        <f t="shared" si="59"/>
        <v>0</v>
      </c>
      <c r="AL36" s="160">
        <f t="shared" si="59"/>
        <v>0</v>
      </c>
      <c r="AM36" s="160">
        <f t="shared" si="59"/>
        <v>0</v>
      </c>
      <c r="AN36" s="161">
        <f>IF(OR(GradeSheet!$L31="W (Withdrawn)", GradeSheet!$L31="I (Incomplete)"), 0, IF(AH36&gt;=55%, 1, 0))</f>
        <v>0</v>
      </c>
      <c r="AO36" s="161">
        <f>IF(OR(GradeSheet!$L31="W (Withdrawn)", GradeSheet!$L31="I (Incomplete)"), 0, IF(AI36&gt;=55%, 1, 0))</f>
        <v>0</v>
      </c>
      <c r="AP36" s="161">
        <f>IF(OR(GradeSheet!$L31="W (Withdrawn)", GradeSheet!$L31="I (Incomplete)"), 0, IF(AJ36&gt;=55%, 1, 0))</f>
        <v>1</v>
      </c>
      <c r="AQ36" s="161">
        <f>IF(OR(GradeSheet!$L31="W (Withdrawn)", GradeSheet!$L31="I (Incomplete)"), 0, IF(AK36&gt;=55%, 1, 0))</f>
        <v>0</v>
      </c>
      <c r="AR36" s="161">
        <f>IF(OR(GradeSheet!$L31="W (Withdrawn)", GradeSheet!$L31="I (Incomplete)"), 0, IF(AL36&gt;=55%, 1, 0))</f>
        <v>0</v>
      </c>
      <c r="AS36" s="161">
        <f>IF(OR(GradeSheet!$L31="W (Withdrawn)", GradeSheet!$L31="I (Incomplete)"), 0, IF(AM36&gt;=55%, 1, 0))</f>
        <v>0</v>
      </c>
      <c r="AT36" s="129"/>
      <c r="AU36" s="162">
        <f t="shared" si="15"/>
        <v>0</v>
      </c>
      <c r="AV36" s="162">
        <f t="shared" si="16"/>
        <v>0</v>
      </c>
      <c r="AW36" s="162">
        <f t="array" ref="AW36">IF($AV$9=0,0,MMULT($AH36:$AM36, AV$3:AV$8)/$AV$9)</f>
        <v>0</v>
      </c>
      <c r="AX36" s="162">
        <f t="array" ref="AX36">IF($AW$9=0,0,MMULT($AH36:$AM36, AW$3:AW$8)/$AW$9)</f>
        <v>0</v>
      </c>
      <c r="AY36" s="162">
        <f t="shared" si="17"/>
        <v>0</v>
      </c>
      <c r="AZ36" s="162">
        <f t="array" ref="AZ36">IF($AY$9=0,0,MMULT($AH36:$AM36, AY$3:AY$8)/$AY$9)</f>
        <v>0</v>
      </c>
      <c r="BA36" s="162">
        <f t="array" ref="BA36">IF($AZ$9=0,0,MMULT($AH36:$AM36, AZ$3:AZ$8)/$AZ$9)</f>
        <v>0</v>
      </c>
      <c r="BB36" s="162">
        <f t="array" ref="BB36">IF($BA$9=0,0,MMULT($AH36:$AM36, BA$3:BA$8)/$BA$9)</f>
        <v>0</v>
      </c>
      <c r="BC36" s="162">
        <f t="array" ref="BC36">IF($BB$9=0,0,MMULT($AH36:$AM36, BB$3:BB$8)/$BB$9)</f>
        <v>0</v>
      </c>
      <c r="BD36" s="162">
        <f t="array" ref="BD36">IF($BC$9=0,0,MMULT($AH36:$AM36, BC$3:BC$8)/$BC$9)</f>
        <v>0</v>
      </c>
      <c r="BE36" s="162">
        <f t="shared" si="18"/>
        <v>0</v>
      </c>
      <c r="BF36" s="162">
        <f t="shared" si="19"/>
        <v>0</v>
      </c>
      <c r="BG36" s="161">
        <f>IF(OR(GradeSheet!$L31="W (Withdrawn)", GradeSheet!$L31="I (Incomplete)"), 0, IF(AU36&gt;=65%, 1, 0))</f>
        <v>0</v>
      </c>
      <c r="BH36" s="161">
        <f>IF(OR(GradeSheet!$L31="W (Withdrawn)", GradeSheet!$L31="I (Incomplete)"), 0, IF(AV36&gt;=65%, 1, 0))</f>
        <v>0</v>
      </c>
      <c r="BI36" s="161">
        <f>IF(OR(GradeSheet!$L31="W (Withdrawn)", GradeSheet!$L31="I (Incomplete)"), 0, IF(AW36&gt;=65%, 1, 0))</f>
        <v>0</v>
      </c>
      <c r="BJ36" s="161">
        <f>IF(OR(GradeSheet!$L31="W (Withdrawn)", GradeSheet!$L31="I (Incomplete)"), 0, IF(AX36&gt;=65%, 1, 0))</f>
        <v>0</v>
      </c>
      <c r="BK36" s="161">
        <f>IF(OR(GradeSheet!$L31="W (Withdrawn)", GradeSheet!$L31="I (Incomplete)"), 0, IF(AY36&gt;=65%, 1, 0))</f>
        <v>0</v>
      </c>
      <c r="BL36" s="161">
        <f>IF(OR(GradeSheet!$L31="W (Withdrawn)", GradeSheet!$L31="I (Incomplete)"), 0, IF(AZ36&gt;=65%, 1, 0))</f>
        <v>0</v>
      </c>
      <c r="BM36" s="161">
        <f>IF(OR(GradeSheet!$L31="W (Withdrawn)", GradeSheet!$L31="I (Incomplete)"), 0, IF(BA36&gt;=65%, 1, 0))</f>
        <v>0</v>
      </c>
      <c r="BN36" s="161">
        <f>IF(OR(GradeSheet!$L31="W (Withdrawn)", GradeSheet!$L31="I (Incomplete)"), 0, IF(BB36&gt;=65%, 1, 0))</f>
        <v>0</v>
      </c>
      <c r="BO36" s="161">
        <f>IF(OR(GradeSheet!$L31="W (Withdrawn)", GradeSheet!$L31="I (Incomplete)"), 0, IF(BC36&gt;=65%, 1, 0))</f>
        <v>0</v>
      </c>
      <c r="BP36" s="161">
        <f>IF(OR(GradeSheet!$L31="W (Withdrawn)", GradeSheet!$L31="I (Incomplete)"), 0, IF(BD36&gt;=65%, 1, 0))</f>
        <v>0</v>
      </c>
      <c r="BQ36" s="161">
        <f>IF(OR(GradeSheet!$L31="W (Withdrawn)", GradeSheet!$L31="I (Incomplete)"), 0, IF(BE36&gt;=65%, 1, 0))</f>
        <v>0</v>
      </c>
      <c r="BR36" s="161">
        <f>IF(OR(GradeSheet!$L31="W (Withdrawn)", GradeSheet!$L31="I (Incomplete)"), 0, IF(BF36&gt;=65%, 1, 0))</f>
        <v>0</v>
      </c>
    </row>
    <row r="37" ht="15.75" customHeight="1">
      <c r="A37" s="148">
        <v>23.0</v>
      </c>
      <c r="B37" s="149" t="s">
        <v>124</v>
      </c>
      <c r="C37" s="182" t="s">
        <v>125</v>
      </c>
      <c r="D37" s="152">
        <v>3.0</v>
      </c>
      <c r="E37" s="152">
        <v>5.0</v>
      </c>
      <c r="F37" s="154"/>
      <c r="G37" s="135"/>
      <c r="H37" s="154"/>
      <c r="I37" s="154"/>
      <c r="J37" s="152"/>
      <c r="K37" s="152"/>
      <c r="L37" s="152"/>
      <c r="M37" s="154"/>
      <c r="N37" s="135"/>
      <c r="O37" s="79"/>
      <c r="P37" s="155"/>
      <c r="Q37" s="156"/>
      <c r="R37" s="156"/>
      <c r="S37" s="156"/>
      <c r="T37" s="156"/>
      <c r="U37" s="157"/>
      <c r="V37" s="155"/>
      <c r="W37" s="156"/>
      <c r="X37" s="156"/>
      <c r="Y37" s="156"/>
      <c r="Z37" s="156"/>
      <c r="AA37" s="157"/>
      <c r="AB37" s="158">
        <f t="shared" ref="AB37:AE37" si="60">SUM(V37,D37,J37)</f>
        <v>3</v>
      </c>
      <c r="AC37" s="159">
        <f t="shared" si="60"/>
        <v>5</v>
      </c>
      <c r="AD37" s="183">
        <f t="shared" si="60"/>
        <v>0</v>
      </c>
      <c r="AE37" s="183">
        <f t="shared" si="60"/>
        <v>0</v>
      </c>
      <c r="AF37" s="159">
        <f t="shared" si="12"/>
        <v>0</v>
      </c>
      <c r="AG37" s="183">
        <f t="shared" si="13"/>
        <v>0</v>
      </c>
      <c r="AH37" s="160">
        <f t="shared" ref="AH37:AM37" si="61">IF(AB37 = 0, 0, AB37/AB$14)</f>
        <v>0.1153846154</v>
      </c>
      <c r="AI37" s="160">
        <f t="shared" si="61"/>
        <v>0.1724137931</v>
      </c>
      <c r="AJ37" s="160">
        <f t="shared" si="61"/>
        <v>0</v>
      </c>
      <c r="AK37" s="160">
        <f t="shared" si="61"/>
        <v>0</v>
      </c>
      <c r="AL37" s="160">
        <f t="shared" si="61"/>
        <v>0</v>
      </c>
      <c r="AM37" s="160">
        <f t="shared" si="61"/>
        <v>0</v>
      </c>
      <c r="AN37" s="161">
        <f>IF(OR(GradeSheet!$L32="W (Withdrawn)", GradeSheet!$L32="I (Incomplete)"), 0, IF(AH37&gt;=55%, 1, 0))</f>
        <v>0</v>
      </c>
      <c r="AO37" s="161">
        <f>IF(OR(GradeSheet!$L32="W (Withdrawn)", GradeSheet!$L32="I (Incomplete)"), 0, IF(AI37&gt;=55%, 1, 0))</f>
        <v>0</v>
      </c>
      <c r="AP37" s="161">
        <f>IF(OR(GradeSheet!$L32="W (Withdrawn)", GradeSheet!$L32="I (Incomplete)"), 0, IF(AJ37&gt;=55%, 1, 0))</f>
        <v>0</v>
      </c>
      <c r="AQ37" s="161">
        <f>IF(OR(GradeSheet!$L32="W (Withdrawn)", GradeSheet!$L32="I (Incomplete)"), 0, IF(AK37&gt;=55%, 1, 0))</f>
        <v>0</v>
      </c>
      <c r="AR37" s="161">
        <f>IF(OR(GradeSheet!$L32="W (Withdrawn)", GradeSheet!$L32="I (Incomplete)"), 0, IF(AL37&gt;=55%, 1, 0))</f>
        <v>0</v>
      </c>
      <c r="AS37" s="161">
        <f>IF(OR(GradeSheet!$L32="W (Withdrawn)", GradeSheet!$L32="I (Incomplete)"), 0, IF(AM37&gt;=55%, 1, 0))</f>
        <v>0</v>
      </c>
      <c r="AT37" s="129"/>
      <c r="AU37" s="162">
        <f t="shared" si="15"/>
        <v>0</v>
      </c>
      <c r="AV37" s="162">
        <f t="shared" si="16"/>
        <v>0</v>
      </c>
      <c r="AW37" s="162">
        <f t="array" ref="AW37">IF($AV$9=0,0,MMULT($AH37:$AM37, AV$3:AV$8)/$AV$9)</f>
        <v>0</v>
      </c>
      <c r="AX37" s="162">
        <f t="array" ref="AX37">IF($AW$9=0,0,MMULT($AH37:$AM37, AW$3:AW$8)/$AW$9)</f>
        <v>0</v>
      </c>
      <c r="AY37" s="162">
        <f t="shared" si="17"/>
        <v>0</v>
      </c>
      <c r="AZ37" s="162">
        <f t="array" ref="AZ37">IF($AY$9=0,0,MMULT($AH37:$AM37, AY$3:AY$8)/$AY$9)</f>
        <v>0</v>
      </c>
      <c r="BA37" s="162">
        <f t="array" ref="BA37">IF($AZ$9=0,0,MMULT($AH37:$AM37, AZ$3:AZ$8)/$AZ$9)</f>
        <v>0</v>
      </c>
      <c r="BB37" s="162">
        <f t="array" ref="BB37">IF($BA$9=0,0,MMULT($AH37:$AM37, BA$3:BA$8)/$BA$9)</f>
        <v>0</v>
      </c>
      <c r="BC37" s="162">
        <f t="array" ref="BC37">IF($BB$9=0,0,MMULT($AH37:$AM37, BB$3:BB$8)/$BB$9)</f>
        <v>0</v>
      </c>
      <c r="BD37" s="162">
        <f t="array" ref="BD37">IF($BC$9=0,0,MMULT($AH37:$AM37, BC$3:BC$8)/$BC$9)</f>
        <v>0</v>
      </c>
      <c r="BE37" s="162">
        <f t="shared" si="18"/>
        <v>0</v>
      </c>
      <c r="BF37" s="162">
        <f t="shared" si="19"/>
        <v>0</v>
      </c>
      <c r="BG37" s="161">
        <f>IF(OR(GradeSheet!$L32="W (Withdrawn)", GradeSheet!$L32="I (Incomplete)"), 0, IF(AU37&gt;=65%, 1, 0))</f>
        <v>0</v>
      </c>
      <c r="BH37" s="161">
        <f>IF(OR(GradeSheet!$L32="W (Withdrawn)", GradeSheet!$L32="I (Incomplete)"), 0, IF(AV37&gt;=65%, 1, 0))</f>
        <v>0</v>
      </c>
      <c r="BI37" s="161">
        <f>IF(OR(GradeSheet!$L32="W (Withdrawn)", GradeSheet!$L32="I (Incomplete)"), 0, IF(AW37&gt;=65%, 1, 0))</f>
        <v>0</v>
      </c>
      <c r="BJ37" s="161">
        <f>IF(OR(GradeSheet!$L32="W (Withdrawn)", GradeSheet!$L32="I (Incomplete)"), 0, IF(AX37&gt;=65%, 1, 0))</f>
        <v>0</v>
      </c>
      <c r="BK37" s="161">
        <f>IF(OR(GradeSheet!$L32="W (Withdrawn)", GradeSheet!$L32="I (Incomplete)"), 0, IF(AY37&gt;=65%, 1, 0))</f>
        <v>0</v>
      </c>
      <c r="BL37" s="161">
        <f>IF(OR(GradeSheet!$L32="W (Withdrawn)", GradeSheet!$L32="I (Incomplete)"), 0, IF(AZ37&gt;=65%, 1, 0))</f>
        <v>0</v>
      </c>
      <c r="BM37" s="161">
        <f>IF(OR(GradeSheet!$L32="W (Withdrawn)", GradeSheet!$L32="I (Incomplete)"), 0, IF(BA37&gt;=65%, 1, 0))</f>
        <v>0</v>
      </c>
      <c r="BN37" s="161">
        <f>IF(OR(GradeSheet!$L32="W (Withdrawn)", GradeSheet!$L32="I (Incomplete)"), 0, IF(BB37&gt;=65%, 1, 0))</f>
        <v>0</v>
      </c>
      <c r="BO37" s="161">
        <f>IF(OR(GradeSheet!$L32="W (Withdrawn)", GradeSheet!$L32="I (Incomplete)"), 0, IF(BC37&gt;=65%, 1, 0))</f>
        <v>0</v>
      </c>
      <c r="BP37" s="161">
        <f>IF(OR(GradeSheet!$L32="W (Withdrawn)", GradeSheet!$L32="I (Incomplete)"), 0, IF(BD37&gt;=65%, 1, 0))</f>
        <v>0</v>
      </c>
      <c r="BQ37" s="161">
        <f>IF(OR(GradeSheet!$L32="W (Withdrawn)", GradeSheet!$L32="I (Incomplete)"), 0, IF(BE37&gt;=65%, 1, 0))</f>
        <v>0</v>
      </c>
      <c r="BR37" s="161">
        <f>IF(OR(GradeSheet!$L32="W (Withdrawn)", GradeSheet!$L32="I (Incomplete)"), 0, IF(BF37&gt;=65%, 1, 0))</f>
        <v>0</v>
      </c>
    </row>
    <row r="38" ht="15.75" customHeight="1">
      <c r="A38" s="181">
        <v>24.0</v>
      </c>
      <c r="B38" s="149" t="s">
        <v>126</v>
      </c>
      <c r="C38" s="182" t="s">
        <v>127</v>
      </c>
      <c r="D38" s="152"/>
      <c r="E38" s="152"/>
      <c r="F38" s="154"/>
      <c r="G38" s="135"/>
      <c r="H38" s="154"/>
      <c r="I38" s="154"/>
      <c r="J38" s="152"/>
      <c r="K38" s="152"/>
      <c r="L38" s="152"/>
      <c r="M38" s="154"/>
      <c r="N38" s="135"/>
      <c r="O38" s="79"/>
      <c r="P38" s="155"/>
      <c r="Q38" s="156"/>
      <c r="R38" s="156"/>
      <c r="S38" s="156"/>
      <c r="T38" s="156"/>
      <c r="U38" s="157"/>
      <c r="V38" s="155"/>
      <c r="W38" s="156"/>
      <c r="X38" s="156"/>
      <c r="Y38" s="156"/>
      <c r="Z38" s="156"/>
      <c r="AA38" s="157"/>
      <c r="AB38" s="158">
        <f t="shared" ref="AB38:AE38" si="62">SUM(V38,D38,J38)</f>
        <v>0</v>
      </c>
      <c r="AC38" s="159">
        <f t="shared" si="62"/>
        <v>0</v>
      </c>
      <c r="AD38" s="183">
        <f t="shared" si="62"/>
        <v>0</v>
      </c>
      <c r="AE38" s="183">
        <f t="shared" si="62"/>
        <v>0</v>
      </c>
      <c r="AF38" s="159">
        <f t="shared" si="12"/>
        <v>0</v>
      </c>
      <c r="AG38" s="183">
        <f t="shared" si="13"/>
        <v>0</v>
      </c>
      <c r="AH38" s="160">
        <f t="shared" ref="AH38:AM38" si="63">IF(AB38 = 0, 0, AB38/AB$14)</f>
        <v>0</v>
      </c>
      <c r="AI38" s="160">
        <f t="shared" si="63"/>
        <v>0</v>
      </c>
      <c r="AJ38" s="160">
        <f t="shared" si="63"/>
        <v>0</v>
      </c>
      <c r="AK38" s="160">
        <f t="shared" si="63"/>
        <v>0</v>
      </c>
      <c r="AL38" s="160">
        <f t="shared" si="63"/>
        <v>0</v>
      </c>
      <c r="AM38" s="160">
        <f t="shared" si="63"/>
        <v>0</v>
      </c>
      <c r="AN38" s="161">
        <v>1.0</v>
      </c>
      <c r="AO38" s="161">
        <f>IF(OR(GradeSheet!$L33="W (Withdrawn)", GradeSheet!$L33="I (Incomplete)"), 0, IF(AI38&gt;=55%, 1, 0))</f>
        <v>0</v>
      </c>
      <c r="AP38" s="161">
        <f>IF(OR(GradeSheet!$L33="W (Withdrawn)", GradeSheet!$L33="I (Incomplete)"), 0, IF(AJ38&gt;=55%, 1, 0))</f>
        <v>0</v>
      </c>
      <c r="AQ38" s="161">
        <f>IF(OR(GradeSheet!$L33="W (Withdrawn)", GradeSheet!$L33="I (Incomplete)"), 0, IF(AK38&gt;=55%, 1, 0))</f>
        <v>0</v>
      </c>
      <c r="AR38" s="161">
        <f>IF(OR(GradeSheet!$L33="W (Withdrawn)", GradeSheet!$L33="I (Incomplete)"), 0, IF(AL38&gt;=55%, 1, 0))</f>
        <v>0</v>
      </c>
      <c r="AS38" s="161">
        <f>IF(OR(GradeSheet!$L33="W (Withdrawn)", GradeSheet!$L33="I (Incomplete)"), 0, IF(AM38&gt;=55%, 1, 0))</f>
        <v>0</v>
      </c>
      <c r="AT38" s="129"/>
      <c r="AU38" s="162">
        <f t="shared" si="15"/>
        <v>0</v>
      </c>
      <c r="AV38" s="162">
        <f t="shared" si="16"/>
        <v>0</v>
      </c>
      <c r="AW38" s="162">
        <f t="array" ref="AW38">IF($AV$9=0,0,MMULT($AH38:$AM38, AV$3:AV$8)/$AV$9)</f>
        <v>0</v>
      </c>
      <c r="AX38" s="162">
        <f t="array" ref="AX38">IF($AW$9=0,0,MMULT($AH38:$AM38, AW$3:AW$8)/$AW$9)</f>
        <v>0</v>
      </c>
      <c r="AY38" s="162">
        <f t="shared" si="17"/>
        <v>0</v>
      </c>
      <c r="AZ38" s="162">
        <f t="array" ref="AZ38">IF($AY$9=0,0,MMULT($AH38:$AM38, AY$3:AY$8)/$AY$9)</f>
        <v>0</v>
      </c>
      <c r="BA38" s="162">
        <f t="array" ref="BA38">IF($AZ$9=0,0,MMULT($AH38:$AM38, AZ$3:AZ$8)/$AZ$9)</f>
        <v>0</v>
      </c>
      <c r="BB38" s="162">
        <f t="array" ref="BB38">IF($BA$9=0,0,MMULT($AH38:$AM38, BA$3:BA$8)/$BA$9)</f>
        <v>0</v>
      </c>
      <c r="BC38" s="162">
        <f t="array" ref="BC38">IF($BB$9=0,0,MMULT($AH38:$AM38, BB$3:BB$8)/$BB$9)</f>
        <v>0</v>
      </c>
      <c r="BD38" s="162">
        <f t="array" ref="BD38">IF($BC$9=0,0,MMULT($AH38:$AM38, BC$3:BC$8)/$BC$9)</f>
        <v>0</v>
      </c>
      <c r="BE38" s="162">
        <f t="shared" si="18"/>
        <v>0</v>
      </c>
      <c r="BF38" s="162">
        <f t="shared" si="19"/>
        <v>0</v>
      </c>
      <c r="BG38" s="161">
        <f>IF(OR(GradeSheet!$L33="W (Withdrawn)", GradeSheet!$L33="I (Incomplete)"), 0, IF(AU38&gt;=65%, 1, 0))</f>
        <v>0</v>
      </c>
      <c r="BH38" s="161">
        <f>IF(OR(GradeSheet!$L33="W (Withdrawn)", GradeSheet!$L33="I (Incomplete)"), 0, IF(AV38&gt;=65%, 1, 0))</f>
        <v>0</v>
      </c>
      <c r="BI38" s="161">
        <f>IF(OR(GradeSheet!$L33="W (Withdrawn)", GradeSheet!$L33="I (Incomplete)"), 0, IF(AW38&gt;=65%, 1, 0))</f>
        <v>0</v>
      </c>
      <c r="BJ38" s="161">
        <f>IF(OR(GradeSheet!$L33="W (Withdrawn)", GradeSheet!$L33="I (Incomplete)"), 0, IF(AX38&gt;=65%, 1, 0))</f>
        <v>0</v>
      </c>
      <c r="BK38" s="161">
        <f>IF(OR(GradeSheet!$L33="W (Withdrawn)", GradeSheet!$L33="I (Incomplete)"), 0, IF(AY38&gt;=65%, 1, 0))</f>
        <v>0</v>
      </c>
      <c r="BL38" s="161">
        <f>IF(OR(GradeSheet!$L33="W (Withdrawn)", GradeSheet!$L33="I (Incomplete)"), 0, IF(AZ38&gt;=65%, 1, 0))</f>
        <v>0</v>
      </c>
      <c r="BM38" s="161">
        <f>IF(OR(GradeSheet!$L33="W (Withdrawn)", GradeSheet!$L33="I (Incomplete)"), 0, IF(BA38&gt;=65%, 1, 0))</f>
        <v>0</v>
      </c>
      <c r="BN38" s="161">
        <f>IF(OR(GradeSheet!$L33="W (Withdrawn)", GradeSheet!$L33="I (Incomplete)"), 0, IF(BB38&gt;=65%, 1, 0))</f>
        <v>0</v>
      </c>
      <c r="BO38" s="161">
        <f>IF(OR(GradeSheet!$L33="W (Withdrawn)", GradeSheet!$L33="I (Incomplete)"), 0, IF(BC38&gt;=65%, 1, 0))</f>
        <v>0</v>
      </c>
      <c r="BP38" s="161">
        <f>IF(OR(GradeSheet!$L33="W (Withdrawn)", GradeSheet!$L33="I (Incomplete)"), 0, IF(BD38&gt;=65%, 1, 0))</f>
        <v>0</v>
      </c>
      <c r="BQ38" s="161">
        <f>IF(OR(GradeSheet!$L33="W (Withdrawn)", GradeSheet!$L33="I (Incomplete)"), 0, IF(BE38&gt;=65%, 1, 0))</f>
        <v>0</v>
      </c>
      <c r="BR38" s="161">
        <f>IF(OR(GradeSheet!$L33="W (Withdrawn)", GradeSheet!$L33="I (Incomplete)"), 0, IF(BF38&gt;=65%, 1, 0))</f>
        <v>0</v>
      </c>
    </row>
    <row r="39" ht="15.75" customHeight="1">
      <c r="A39" s="148">
        <v>25.0</v>
      </c>
      <c r="B39" s="149" t="s">
        <v>128</v>
      </c>
      <c r="C39" s="182" t="s">
        <v>129</v>
      </c>
      <c r="D39" s="152"/>
      <c r="E39" s="152">
        <v>10.0</v>
      </c>
      <c r="F39" s="154"/>
      <c r="G39" s="135"/>
      <c r="H39" s="154"/>
      <c r="I39" s="154"/>
      <c r="J39" s="152">
        <v>9.0</v>
      </c>
      <c r="K39" s="152">
        <v>7.0</v>
      </c>
      <c r="L39" s="152"/>
      <c r="M39" s="154"/>
      <c r="N39" s="135"/>
      <c r="O39" s="79"/>
      <c r="P39" s="155"/>
      <c r="Q39" s="156"/>
      <c r="R39" s="156"/>
      <c r="S39" s="156"/>
      <c r="T39" s="156"/>
      <c r="U39" s="157"/>
      <c r="V39" s="155"/>
      <c r="W39" s="156"/>
      <c r="X39" s="156"/>
      <c r="Y39" s="156"/>
      <c r="Z39" s="156"/>
      <c r="AA39" s="157"/>
      <c r="AB39" s="158">
        <f t="shared" ref="AB39:AE39" si="64">SUM(V39,D39,J39)</f>
        <v>9</v>
      </c>
      <c r="AC39" s="159">
        <f t="shared" si="64"/>
        <v>17</v>
      </c>
      <c r="AD39" s="183">
        <f t="shared" si="64"/>
        <v>0</v>
      </c>
      <c r="AE39" s="183">
        <f t="shared" si="64"/>
        <v>0</v>
      </c>
      <c r="AF39" s="159">
        <f t="shared" si="12"/>
        <v>0</v>
      </c>
      <c r="AG39" s="183">
        <f t="shared" si="13"/>
        <v>0</v>
      </c>
      <c r="AH39" s="160">
        <f t="shared" ref="AH39:AM39" si="65">IF(AB39 = 0, 0, AB39/AB$14)</f>
        <v>0.3461538462</v>
      </c>
      <c r="AI39" s="160">
        <f t="shared" si="65"/>
        <v>0.5862068966</v>
      </c>
      <c r="AJ39" s="160">
        <f t="shared" si="65"/>
        <v>0</v>
      </c>
      <c r="AK39" s="160">
        <f t="shared" si="65"/>
        <v>0</v>
      </c>
      <c r="AL39" s="160">
        <f t="shared" si="65"/>
        <v>0</v>
      </c>
      <c r="AM39" s="160">
        <f t="shared" si="65"/>
        <v>0</v>
      </c>
      <c r="AN39" s="161">
        <f>IF(OR(GradeSheet!$L34="W (Withdrawn)", GradeSheet!$L34="I (Incomplete)"), 0, IF(AH39&gt;=55%, 1, 0))</f>
        <v>0</v>
      </c>
      <c r="AO39" s="161">
        <f>IF(OR(GradeSheet!$L34="W (Withdrawn)", GradeSheet!$L34="I (Incomplete)"), 0, IF(AI39&gt;=55%, 1, 0))</f>
        <v>1</v>
      </c>
      <c r="AP39" s="161">
        <f>IF(OR(GradeSheet!$L34="W (Withdrawn)", GradeSheet!$L34="I (Incomplete)"), 0, IF(AJ39&gt;=55%, 1, 0))</f>
        <v>0</v>
      </c>
      <c r="AQ39" s="161">
        <f>IF(OR(GradeSheet!$L34="W (Withdrawn)", GradeSheet!$L34="I (Incomplete)"), 0, IF(AK39&gt;=55%, 1, 0))</f>
        <v>0</v>
      </c>
      <c r="AR39" s="161">
        <f>IF(OR(GradeSheet!$L34="W (Withdrawn)", GradeSheet!$L34="I (Incomplete)"), 0, IF(AL39&gt;=55%, 1, 0))</f>
        <v>0</v>
      </c>
      <c r="AS39" s="161">
        <f>IF(OR(GradeSheet!$L34="W (Withdrawn)", GradeSheet!$L34="I (Incomplete)"), 0, IF(AM39&gt;=55%, 1, 0))</f>
        <v>0</v>
      </c>
      <c r="AT39" s="129"/>
      <c r="AU39" s="162">
        <f t="shared" si="15"/>
        <v>0</v>
      </c>
      <c r="AV39" s="162">
        <f t="shared" si="16"/>
        <v>0</v>
      </c>
      <c r="AW39" s="162">
        <f t="array" ref="AW39">IF($AV$9=0,0,MMULT($AH39:$AM39, AV$3:AV$8)/$AV$9)</f>
        <v>0</v>
      </c>
      <c r="AX39" s="162">
        <f t="array" ref="AX39">IF($AW$9=0,0,MMULT($AH39:$AM39, AW$3:AW$8)/$AW$9)</f>
        <v>0</v>
      </c>
      <c r="AY39" s="162">
        <f t="shared" si="17"/>
        <v>0</v>
      </c>
      <c r="AZ39" s="162">
        <f t="array" ref="AZ39">IF($AY$9=0,0,MMULT($AH39:$AM39, AY$3:AY$8)/$AY$9)</f>
        <v>0</v>
      </c>
      <c r="BA39" s="162">
        <f t="array" ref="BA39">IF($AZ$9=0,0,MMULT($AH39:$AM39, AZ$3:AZ$8)/$AZ$9)</f>
        <v>0</v>
      </c>
      <c r="BB39" s="162">
        <f t="array" ref="BB39">IF($BA$9=0,0,MMULT($AH39:$AM39, BA$3:BA$8)/$BA$9)</f>
        <v>0</v>
      </c>
      <c r="BC39" s="162">
        <f t="array" ref="BC39">IF($BB$9=0,0,MMULT($AH39:$AM39, BB$3:BB$8)/$BB$9)</f>
        <v>0</v>
      </c>
      <c r="BD39" s="162">
        <f t="array" ref="BD39">IF($BC$9=0,0,MMULT($AH39:$AM39, BC$3:BC$8)/$BC$9)</f>
        <v>0</v>
      </c>
      <c r="BE39" s="162">
        <f t="shared" si="18"/>
        <v>0</v>
      </c>
      <c r="BF39" s="162">
        <f t="shared" si="19"/>
        <v>0</v>
      </c>
      <c r="BG39" s="161">
        <f>IF(OR(GradeSheet!$L34="W (Withdrawn)", GradeSheet!$L34="I (Incomplete)"), 0, IF(AU39&gt;=65%, 1, 0))</f>
        <v>0</v>
      </c>
      <c r="BH39" s="161">
        <f>IF(OR(GradeSheet!$L34="W (Withdrawn)", GradeSheet!$L34="I (Incomplete)"), 0, IF(AV39&gt;=65%, 1, 0))</f>
        <v>0</v>
      </c>
      <c r="BI39" s="161">
        <f>IF(OR(GradeSheet!$L34="W (Withdrawn)", GradeSheet!$L34="I (Incomplete)"), 0, IF(AW39&gt;=65%, 1, 0))</f>
        <v>0</v>
      </c>
      <c r="BJ39" s="161">
        <f>IF(OR(GradeSheet!$L34="W (Withdrawn)", GradeSheet!$L34="I (Incomplete)"), 0, IF(AX39&gt;=65%, 1, 0))</f>
        <v>0</v>
      </c>
      <c r="BK39" s="161">
        <f>IF(OR(GradeSheet!$L34="W (Withdrawn)", GradeSheet!$L34="I (Incomplete)"), 0, IF(AY39&gt;=65%, 1, 0))</f>
        <v>0</v>
      </c>
      <c r="BL39" s="161">
        <f>IF(OR(GradeSheet!$L34="W (Withdrawn)", GradeSheet!$L34="I (Incomplete)"), 0, IF(AZ39&gt;=65%, 1, 0))</f>
        <v>0</v>
      </c>
      <c r="BM39" s="161">
        <f>IF(OR(GradeSheet!$L34="W (Withdrawn)", GradeSheet!$L34="I (Incomplete)"), 0, IF(BA39&gt;=65%, 1, 0))</f>
        <v>0</v>
      </c>
      <c r="BN39" s="161">
        <f>IF(OR(GradeSheet!$L34="W (Withdrawn)", GradeSheet!$L34="I (Incomplete)"), 0, IF(BB39&gt;=65%, 1, 0))</f>
        <v>0</v>
      </c>
      <c r="BO39" s="161">
        <f>IF(OR(GradeSheet!$L34="W (Withdrawn)", GradeSheet!$L34="I (Incomplete)"), 0, IF(BC39&gt;=65%, 1, 0))</f>
        <v>0</v>
      </c>
      <c r="BP39" s="161">
        <f>IF(OR(GradeSheet!$L34="W (Withdrawn)", GradeSheet!$L34="I (Incomplete)"), 0, IF(BD39&gt;=65%, 1, 0))</f>
        <v>0</v>
      </c>
      <c r="BQ39" s="161">
        <f>IF(OR(GradeSheet!$L34="W (Withdrawn)", GradeSheet!$L34="I (Incomplete)"), 0, IF(BE39&gt;=65%, 1, 0))</f>
        <v>0</v>
      </c>
      <c r="BR39" s="161">
        <f>IF(OR(GradeSheet!$L34="W (Withdrawn)", GradeSheet!$L34="I (Incomplete)"), 0, IF(BF39&gt;=65%, 1, 0))</f>
        <v>0</v>
      </c>
    </row>
    <row r="40" ht="15.75" customHeight="1">
      <c r="A40" s="181">
        <v>26.0</v>
      </c>
      <c r="B40" s="149" t="s">
        <v>130</v>
      </c>
      <c r="C40" s="182" t="s">
        <v>131</v>
      </c>
      <c r="D40" s="152"/>
      <c r="E40" s="152"/>
      <c r="F40" s="154"/>
      <c r="G40" s="135"/>
      <c r="H40" s="154"/>
      <c r="I40" s="154"/>
      <c r="J40" s="152"/>
      <c r="K40" s="152"/>
      <c r="L40" s="152"/>
      <c r="M40" s="154"/>
      <c r="N40" s="135"/>
      <c r="O40" s="79"/>
      <c r="P40" s="155"/>
      <c r="Q40" s="156"/>
      <c r="R40" s="156"/>
      <c r="S40" s="156"/>
      <c r="T40" s="156"/>
      <c r="U40" s="157"/>
      <c r="V40" s="155"/>
      <c r="W40" s="156"/>
      <c r="X40" s="156"/>
      <c r="Y40" s="156"/>
      <c r="Z40" s="156"/>
      <c r="AA40" s="157"/>
      <c r="AB40" s="158">
        <f t="shared" ref="AB40:AE40" si="66">SUM(V40,D40,J40)</f>
        <v>0</v>
      </c>
      <c r="AC40" s="159">
        <f t="shared" si="66"/>
        <v>0</v>
      </c>
      <c r="AD40" s="183">
        <f t="shared" si="66"/>
        <v>0</v>
      </c>
      <c r="AE40" s="183">
        <f t="shared" si="66"/>
        <v>0</v>
      </c>
      <c r="AF40" s="159">
        <f t="shared" si="12"/>
        <v>0</v>
      </c>
      <c r="AG40" s="183">
        <f t="shared" si="13"/>
        <v>0</v>
      </c>
      <c r="AH40" s="160">
        <f t="shared" ref="AH40:AM40" si="67">IF(AB40 = 0, 0, AB40/AB$14)</f>
        <v>0</v>
      </c>
      <c r="AI40" s="160">
        <f t="shared" si="67"/>
        <v>0</v>
      </c>
      <c r="AJ40" s="160">
        <f t="shared" si="67"/>
        <v>0</v>
      </c>
      <c r="AK40" s="160">
        <f t="shared" si="67"/>
        <v>0</v>
      </c>
      <c r="AL40" s="160">
        <f t="shared" si="67"/>
        <v>0</v>
      </c>
      <c r="AM40" s="160">
        <f t="shared" si="67"/>
        <v>0</v>
      </c>
      <c r="AN40" s="161">
        <f>IF(OR(GradeSheet!$L35="W (Withdrawn)", GradeSheet!$L35="I (Incomplete)"), 0, IF(AH40&gt;=55%, 1, 0))</f>
        <v>0</v>
      </c>
      <c r="AO40" s="161">
        <f>IF(OR(GradeSheet!$L35="W (Withdrawn)", GradeSheet!$L35="I (Incomplete)"), 0, IF(AI40&gt;=55%, 1, 0))</f>
        <v>0</v>
      </c>
      <c r="AP40" s="161">
        <f>IF(OR(GradeSheet!$L35="W (Withdrawn)", GradeSheet!$L35="I (Incomplete)"), 0, IF(AJ40&gt;=55%, 1, 0))</f>
        <v>0</v>
      </c>
      <c r="AQ40" s="161">
        <f>IF(OR(GradeSheet!$L35="W (Withdrawn)", GradeSheet!$L35="I (Incomplete)"), 0, IF(AK40&gt;=55%, 1, 0))</f>
        <v>0</v>
      </c>
      <c r="AR40" s="161">
        <f>IF(OR(GradeSheet!$L35="W (Withdrawn)", GradeSheet!$L35="I (Incomplete)"), 0, IF(AL40&gt;=55%, 1, 0))</f>
        <v>0</v>
      </c>
      <c r="AS40" s="161">
        <f>IF(OR(GradeSheet!$L35="W (Withdrawn)", GradeSheet!$L35="I (Incomplete)"), 0, IF(AM40&gt;=55%, 1, 0))</f>
        <v>0</v>
      </c>
      <c r="AT40" s="129"/>
      <c r="AU40" s="162">
        <f t="shared" si="15"/>
        <v>0</v>
      </c>
      <c r="AV40" s="162">
        <f t="shared" si="16"/>
        <v>0</v>
      </c>
      <c r="AW40" s="162">
        <f t="array" ref="AW40">IF($AV$9=0,0,MMULT($AH40:$AM40, AV$3:AV$8)/$AV$9)</f>
        <v>0</v>
      </c>
      <c r="AX40" s="162">
        <f t="array" ref="AX40">IF($AW$9=0,0,MMULT($AH40:$AM40, AW$3:AW$8)/$AW$9)</f>
        <v>0</v>
      </c>
      <c r="AY40" s="162">
        <f t="shared" si="17"/>
        <v>0</v>
      </c>
      <c r="AZ40" s="162">
        <f t="array" ref="AZ40">IF($AY$9=0,0,MMULT($AH40:$AM40, AY$3:AY$8)/$AY$9)</f>
        <v>0</v>
      </c>
      <c r="BA40" s="162">
        <f t="array" ref="BA40">IF($AZ$9=0,0,MMULT($AH40:$AM40, AZ$3:AZ$8)/$AZ$9)</f>
        <v>0</v>
      </c>
      <c r="BB40" s="162">
        <f t="array" ref="BB40">IF($BA$9=0,0,MMULT($AH40:$AM40, BA$3:BA$8)/$BA$9)</f>
        <v>0</v>
      </c>
      <c r="BC40" s="162">
        <f t="array" ref="BC40">IF($BB$9=0,0,MMULT($AH40:$AM40, BB$3:BB$8)/$BB$9)</f>
        <v>0</v>
      </c>
      <c r="BD40" s="162">
        <f t="array" ref="BD40">IF($BC$9=0,0,MMULT($AH40:$AM40, BC$3:BC$8)/$BC$9)</f>
        <v>0</v>
      </c>
      <c r="BE40" s="162">
        <f t="shared" si="18"/>
        <v>0</v>
      </c>
      <c r="BF40" s="162">
        <f t="shared" si="19"/>
        <v>0</v>
      </c>
      <c r="BG40" s="161">
        <f>IF(OR(GradeSheet!$L35="W (Withdrawn)", GradeSheet!$L35="I (Incomplete)"), 0, IF(AU40&gt;=65%, 1, 0))</f>
        <v>0</v>
      </c>
      <c r="BH40" s="161">
        <f>IF(OR(GradeSheet!$L35="W (Withdrawn)", GradeSheet!$L35="I (Incomplete)"), 0, IF(AV40&gt;=65%, 1, 0))</f>
        <v>0</v>
      </c>
      <c r="BI40" s="161">
        <f>IF(OR(GradeSheet!$L35="W (Withdrawn)", GradeSheet!$L35="I (Incomplete)"), 0, IF(AW40&gt;=65%, 1, 0))</f>
        <v>0</v>
      </c>
      <c r="BJ40" s="161">
        <f>IF(OR(GradeSheet!$L35="W (Withdrawn)", GradeSheet!$L35="I (Incomplete)"), 0, IF(AX40&gt;=65%, 1, 0))</f>
        <v>0</v>
      </c>
      <c r="BK40" s="161">
        <f>IF(OR(GradeSheet!$L35="W (Withdrawn)", GradeSheet!$L35="I (Incomplete)"), 0, IF(AY40&gt;=65%, 1, 0))</f>
        <v>0</v>
      </c>
      <c r="BL40" s="161">
        <f>IF(OR(GradeSheet!$L35="W (Withdrawn)", GradeSheet!$L35="I (Incomplete)"), 0, IF(AZ40&gt;=65%, 1, 0))</f>
        <v>0</v>
      </c>
      <c r="BM40" s="161">
        <f>IF(OR(GradeSheet!$L35="W (Withdrawn)", GradeSheet!$L35="I (Incomplete)"), 0, IF(BA40&gt;=65%, 1, 0))</f>
        <v>0</v>
      </c>
      <c r="BN40" s="161">
        <f>IF(OR(GradeSheet!$L35="W (Withdrawn)", GradeSheet!$L35="I (Incomplete)"), 0, IF(BB40&gt;=65%, 1, 0))</f>
        <v>0</v>
      </c>
      <c r="BO40" s="161">
        <f>IF(OR(GradeSheet!$L35="W (Withdrawn)", GradeSheet!$L35="I (Incomplete)"), 0, IF(BC40&gt;=65%, 1, 0))</f>
        <v>0</v>
      </c>
      <c r="BP40" s="161">
        <f>IF(OR(GradeSheet!$L35="W (Withdrawn)", GradeSheet!$L35="I (Incomplete)"), 0, IF(BD40&gt;=65%, 1, 0))</f>
        <v>0</v>
      </c>
      <c r="BQ40" s="161">
        <f>IF(OR(GradeSheet!$L35="W (Withdrawn)", GradeSheet!$L35="I (Incomplete)"), 0, IF(BE40&gt;=65%, 1, 0))</f>
        <v>0</v>
      </c>
      <c r="BR40" s="161">
        <f>IF(OR(GradeSheet!$L35="W (Withdrawn)", GradeSheet!$L35="I (Incomplete)"), 0, IF(BF40&gt;=65%, 1, 0))</f>
        <v>0</v>
      </c>
    </row>
    <row r="41" ht="15.75" customHeight="1">
      <c r="A41" s="148">
        <v>27.0</v>
      </c>
      <c r="B41" s="149" t="s">
        <v>132</v>
      </c>
      <c r="C41" s="182" t="s">
        <v>133</v>
      </c>
      <c r="D41" s="152">
        <v>4.0</v>
      </c>
      <c r="E41" s="152">
        <v>7.0</v>
      </c>
      <c r="F41" s="154"/>
      <c r="G41" s="135"/>
      <c r="H41" s="154"/>
      <c r="I41" s="154"/>
      <c r="J41" s="152">
        <v>11.5</v>
      </c>
      <c r="K41" s="152">
        <v>8.0</v>
      </c>
      <c r="L41" s="152">
        <v>4.0</v>
      </c>
      <c r="M41" s="154"/>
      <c r="N41" s="135"/>
      <c r="O41" s="79"/>
      <c r="P41" s="155"/>
      <c r="Q41" s="156"/>
      <c r="R41" s="156"/>
      <c r="S41" s="156"/>
      <c r="T41" s="156"/>
      <c r="U41" s="157"/>
      <c r="V41" s="155"/>
      <c r="W41" s="156"/>
      <c r="X41" s="156"/>
      <c r="Y41" s="156"/>
      <c r="Z41" s="156"/>
      <c r="AA41" s="157"/>
      <c r="AB41" s="158">
        <f t="shared" ref="AB41:AE41" si="68">SUM(V41,D41,J41)</f>
        <v>15.5</v>
      </c>
      <c r="AC41" s="159">
        <f t="shared" si="68"/>
        <v>15</v>
      </c>
      <c r="AD41" s="183">
        <f t="shared" si="68"/>
        <v>4</v>
      </c>
      <c r="AE41" s="183">
        <f t="shared" si="68"/>
        <v>0</v>
      </c>
      <c r="AF41" s="159">
        <f t="shared" si="12"/>
        <v>0</v>
      </c>
      <c r="AG41" s="183">
        <f t="shared" si="13"/>
        <v>0</v>
      </c>
      <c r="AH41" s="160">
        <f t="shared" ref="AH41:AM41" si="69">IF(AB41 = 0, 0, AB41/AB$14)</f>
        <v>0.5961538462</v>
      </c>
      <c r="AI41" s="160">
        <f t="shared" si="69"/>
        <v>0.5172413793</v>
      </c>
      <c r="AJ41" s="160">
        <f t="shared" si="69"/>
        <v>0.4</v>
      </c>
      <c r="AK41" s="160">
        <f t="shared" si="69"/>
        <v>0</v>
      </c>
      <c r="AL41" s="160">
        <f t="shared" si="69"/>
        <v>0</v>
      </c>
      <c r="AM41" s="160">
        <f t="shared" si="69"/>
        <v>0</v>
      </c>
      <c r="AN41" s="161">
        <f>IF(OR(GradeSheet!$L36="W (Withdrawn)", GradeSheet!$L36="I (Incomplete)"), 0, IF(AH41&gt;=55%, 1, 0))</f>
        <v>1</v>
      </c>
      <c r="AO41" s="161">
        <f>IF(OR(GradeSheet!$L36="W (Withdrawn)", GradeSheet!$L36="I (Incomplete)"), 0, IF(AI41&gt;=55%, 1, 0))</f>
        <v>0</v>
      </c>
      <c r="AP41" s="161">
        <f>IF(OR(GradeSheet!$L36="W (Withdrawn)", GradeSheet!$L36="I (Incomplete)"), 0, IF(AJ41&gt;=55%, 1, 0))</f>
        <v>0</v>
      </c>
      <c r="AQ41" s="161">
        <f>IF(OR(GradeSheet!$L36="W (Withdrawn)", GradeSheet!$L36="I (Incomplete)"), 0, IF(AK41&gt;=55%, 1, 0))</f>
        <v>0</v>
      </c>
      <c r="AR41" s="161">
        <f>IF(OR(GradeSheet!$L36="W (Withdrawn)", GradeSheet!$L36="I (Incomplete)"), 0, IF(AL41&gt;=55%, 1, 0))</f>
        <v>0</v>
      </c>
      <c r="AS41" s="161">
        <f>IF(OR(GradeSheet!$L36="W (Withdrawn)", GradeSheet!$L36="I (Incomplete)"), 0, IF(AM41&gt;=55%, 1, 0))</f>
        <v>0</v>
      </c>
      <c r="AT41" s="129"/>
      <c r="AU41" s="162">
        <f t="shared" si="15"/>
        <v>0</v>
      </c>
      <c r="AV41" s="162">
        <f t="shared" si="16"/>
        <v>0</v>
      </c>
      <c r="AW41" s="162">
        <f t="array" ref="AW41">IF($AV$9=0,0,MMULT($AH41:$AM41, AV$3:AV$8)/$AV$9)</f>
        <v>0</v>
      </c>
      <c r="AX41" s="162">
        <f t="array" ref="AX41">IF($AW$9=0,0,MMULT($AH41:$AM41, AW$3:AW$8)/$AW$9)</f>
        <v>0</v>
      </c>
      <c r="AY41" s="162">
        <f t="shared" si="17"/>
        <v>0</v>
      </c>
      <c r="AZ41" s="162">
        <f t="array" ref="AZ41">IF($AY$9=0,0,MMULT($AH41:$AM41, AY$3:AY$8)/$AY$9)</f>
        <v>0</v>
      </c>
      <c r="BA41" s="162">
        <f t="array" ref="BA41">IF($AZ$9=0,0,MMULT($AH41:$AM41, AZ$3:AZ$8)/$AZ$9)</f>
        <v>0</v>
      </c>
      <c r="BB41" s="162">
        <f t="array" ref="BB41">IF($BA$9=0,0,MMULT($AH41:$AM41, BA$3:BA$8)/$BA$9)</f>
        <v>0</v>
      </c>
      <c r="BC41" s="162">
        <f t="array" ref="BC41">IF($BB$9=0,0,MMULT($AH41:$AM41, BB$3:BB$8)/$BB$9)</f>
        <v>0</v>
      </c>
      <c r="BD41" s="162">
        <f t="array" ref="BD41">IF($BC$9=0,0,MMULT($AH41:$AM41, BC$3:BC$8)/$BC$9)</f>
        <v>0</v>
      </c>
      <c r="BE41" s="162">
        <f t="shared" si="18"/>
        <v>0</v>
      </c>
      <c r="BF41" s="162">
        <f t="shared" si="19"/>
        <v>0</v>
      </c>
      <c r="BG41" s="161">
        <f>IF(OR(GradeSheet!$L36="W (Withdrawn)", GradeSheet!$L36="I (Incomplete)"), 0, IF(AU41&gt;=65%, 1, 0))</f>
        <v>0</v>
      </c>
      <c r="BH41" s="161">
        <f>IF(OR(GradeSheet!$L36="W (Withdrawn)", GradeSheet!$L36="I (Incomplete)"), 0, IF(AV41&gt;=65%, 1, 0))</f>
        <v>0</v>
      </c>
      <c r="BI41" s="161">
        <f>IF(OR(GradeSheet!$L36="W (Withdrawn)", GradeSheet!$L36="I (Incomplete)"), 0, IF(AW41&gt;=65%, 1, 0))</f>
        <v>0</v>
      </c>
      <c r="BJ41" s="161">
        <f>IF(OR(GradeSheet!$L36="W (Withdrawn)", GradeSheet!$L36="I (Incomplete)"), 0, IF(AX41&gt;=65%, 1, 0))</f>
        <v>0</v>
      </c>
      <c r="BK41" s="161">
        <f>IF(OR(GradeSheet!$L36="W (Withdrawn)", GradeSheet!$L36="I (Incomplete)"), 0, IF(AY41&gt;=65%, 1, 0))</f>
        <v>0</v>
      </c>
      <c r="BL41" s="161">
        <f>IF(OR(GradeSheet!$L36="W (Withdrawn)", GradeSheet!$L36="I (Incomplete)"), 0, IF(AZ41&gt;=65%, 1, 0))</f>
        <v>0</v>
      </c>
      <c r="BM41" s="161">
        <f>IF(OR(GradeSheet!$L36="W (Withdrawn)", GradeSheet!$L36="I (Incomplete)"), 0, IF(BA41&gt;=65%, 1, 0))</f>
        <v>0</v>
      </c>
      <c r="BN41" s="161">
        <f>IF(OR(GradeSheet!$L36="W (Withdrawn)", GradeSheet!$L36="I (Incomplete)"), 0, IF(BB41&gt;=65%, 1, 0))</f>
        <v>0</v>
      </c>
      <c r="BO41" s="161">
        <f>IF(OR(GradeSheet!$L36="W (Withdrawn)", GradeSheet!$L36="I (Incomplete)"), 0, IF(BC41&gt;=65%, 1, 0))</f>
        <v>0</v>
      </c>
      <c r="BP41" s="161">
        <f>IF(OR(GradeSheet!$L36="W (Withdrawn)", GradeSheet!$L36="I (Incomplete)"), 0, IF(BD41&gt;=65%, 1, 0))</f>
        <v>0</v>
      </c>
      <c r="BQ41" s="161">
        <f>IF(OR(GradeSheet!$L36="W (Withdrawn)", GradeSheet!$L36="I (Incomplete)"), 0, IF(BE41&gt;=65%, 1, 0))</f>
        <v>0</v>
      </c>
      <c r="BR41" s="161">
        <f>IF(OR(GradeSheet!$L36="W (Withdrawn)", GradeSheet!$L36="I (Incomplete)"), 0, IF(BF41&gt;=65%, 1, 0))</f>
        <v>0</v>
      </c>
    </row>
    <row r="42" ht="15.75" customHeight="1">
      <c r="A42" s="181">
        <v>28.0</v>
      </c>
      <c r="B42" s="149" t="s">
        <v>134</v>
      </c>
      <c r="C42" s="182" t="s">
        <v>135</v>
      </c>
      <c r="D42" s="152"/>
      <c r="E42" s="152">
        <v>5.5</v>
      </c>
      <c r="F42" s="154"/>
      <c r="G42" s="135"/>
      <c r="H42" s="154"/>
      <c r="I42" s="154"/>
      <c r="J42" s="152">
        <v>7.0</v>
      </c>
      <c r="K42" s="152">
        <v>6.0</v>
      </c>
      <c r="L42" s="152">
        <v>4.5</v>
      </c>
      <c r="M42" s="154"/>
      <c r="N42" s="135"/>
      <c r="O42" s="79"/>
      <c r="P42" s="155"/>
      <c r="Q42" s="156"/>
      <c r="R42" s="156"/>
      <c r="S42" s="156"/>
      <c r="T42" s="156"/>
      <c r="U42" s="157"/>
      <c r="V42" s="155"/>
      <c r="W42" s="156"/>
      <c r="X42" s="156"/>
      <c r="Y42" s="156"/>
      <c r="Z42" s="156"/>
      <c r="AA42" s="157"/>
      <c r="AB42" s="158">
        <f t="shared" ref="AB42:AE42" si="70">SUM(V42,D42,J42)</f>
        <v>7</v>
      </c>
      <c r="AC42" s="159">
        <f t="shared" si="70"/>
        <v>11.5</v>
      </c>
      <c r="AD42" s="183">
        <f t="shared" si="70"/>
        <v>4.5</v>
      </c>
      <c r="AE42" s="183">
        <f t="shared" si="70"/>
        <v>0</v>
      </c>
      <c r="AF42" s="159">
        <f t="shared" si="12"/>
        <v>0</v>
      </c>
      <c r="AG42" s="183">
        <f t="shared" si="13"/>
        <v>0</v>
      </c>
      <c r="AH42" s="160">
        <f t="shared" ref="AH42:AM42" si="71">IF(AB42 = 0, 0, AB42/AB$14)</f>
        <v>0.2692307692</v>
      </c>
      <c r="AI42" s="160">
        <f t="shared" si="71"/>
        <v>0.3965517241</v>
      </c>
      <c r="AJ42" s="160">
        <f t="shared" si="71"/>
        <v>0.45</v>
      </c>
      <c r="AK42" s="160">
        <f t="shared" si="71"/>
        <v>0</v>
      </c>
      <c r="AL42" s="160">
        <f t="shared" si="71"/>
        <v>0</v>
      </c>
      <c r="AM42" s="160">
        <f t="shared" si="71"/>
        <v>0</v>
      </c>
      <c r="AN42" s="161">
        <f>IF(OR(GradeSheet!$L37="W (Withdrawn)", GradeSheet!$L37="I (Incomplete)"), 0, IF(AH42&gt;=55%, 1, 0))</f>
        <v>0</v>
      </c>
      <c r="AO42" s="161">
        <f>IF(OR(GradeSheet!$L37="W (Withdrawn)", GradeSheet!$L37="I (Incomplete)"), 0, IF(AI42&gt;=55%, 1, 0))</f>
        <v>0</v>
      </c>
      <c r="AP42" s="161">
        <f>IF(OR(GradeSheet!$L37="W (Withdrawn)", GradeSheet!$L37="I (Incomplete)"), 0, IF(AJ42&gt;=55%, 1, 0))</f>
        <v>0</v>
      </c>
      <c r="AQ42" s="161">
        <f>IF(OR(GradeSheet!$L37="W (Withdrawn)", GradeSheet!$L37="I (Incomplete)"), 0, IF(AK42&gt;=55%, 1, 0))</f>
        <v>0</v>
      </c>
      <c r="AR42" s="161">
        <f>IF(OR(GradeSheet!$L37="W (Withdrawn)", GradeSheet!$L37="I (Incomplete)"), 0, IF(AL42&gt;=55%, 1, 0))</f>
        <v>0</v>
      </c>
      <c r="AS42" s="161">
        <f>IF(OR(GradeSheet!$L37="W (Withdrawn)", GradeSheet!$L37="I (Incomplete)"), 0, IF(AM42&gt;=55%, 1, 0))</f>
        <v>0</v>
      </c>
      <c r="AT42" s="129"/>
      <c r="AU42" s="162">
        <f t="shared" si="15"/>
        <v>0</v>
      </c>
      <c r="AV42" s="162">
        <f t="shared" si="16"/>
        <v>0</v>
      </c>
      <c r="AW42" s="162">
        <f t="array" ref="AW42">IF($AV$9=0,0,MMULT($AH42:$AM42, AV$3:AV$8)/$AV$9)</f>
        <v>0</v>
      </c>
      <c r="AX42" s="162">
        <f t="array" ref="AX42">IF($AW$9=0,0,MMULT($AH42:$AM42, AW$3:AW$8)/$AW$9)</f>
        <v>0</v>
      </c>
      <c r="AY42" s="162">
        <f t="shared" si="17"/>
        <v>0</v>
      </c>
      <c r="AZ42" s="162">
        <f t="array" ref="AZ42">IF($AY$9=0,0,MMULT($AH42:$AM42, AY$3:AY$8)/$AY$9)</f>
        <v>0</v>
      </c>
      <c r="BA42" s="162">
        <f t="array" ref="BA42">IF($AZ$9=0,0,MMULT($AH42:$AM42, AZ$3:AZ$8)/$AZ$9)</f>
        <v>0</v>
      </c>
      <c r="BB42" s="162">
        <f t="array" ref="BB42">IF($BA$9=0,0,MMULT($AH42:$AM42, BA$3:BA$8)/$BA$9)</f>
        <v>0</v>
      </c>
      <c r="BC42" s="162">
        <f t="array" ref="BC42">IF($BB$9=0,0,MMULT($AH42:$AM42, BB$3:BB$8)/$BB$9)</f>
        <v>0</v>
      </c>
      <c r="BD42" s="162">
        <f t="array" ref="BD42">IF($BC$9=0,0,MMULT($AH42:$AM42, BC$3:BC$8)/$BC$9)</f>
        <v>0</v>
      </c>
      <c r="BE42" s="162">
        <f t="shared" si="18"/>
        <v>0</v>
      </c>
      <c r="BF42" s="162">
        <f t="shared" si="19"/>
        <v>0</v>
      </c>
      <c r="BG42" s="161">
        <f>IF(OR(GradeSheet!$L37="W (Withdrawn)", GradeSheet!$L37="I (Incomplete)"), 0, IF(AU42&gt;=65%, 1, 0))</f>
        <v>0</v>
      </c>
      <c r="BH42" s="161">
        <f>IF(OR(GradeSheet!$L37="W (Withdrawn)", GradeSheet!$L37="I (Incomplete)"), 0, IF(AV42&gt;=65%, 1, 0))</f>
        <v>0</v>
      </c>
      <c r="BI42" s="161">
        <f>IF(OR(GradeSheet!$L37="W (Withdrawn)", GradeSheet!$L37="I (Incomplete)"), 0, IF(AW42&gt;=65%, 1, 0))</f>
        <v>0</v>
      </c>
      <c r="BJ42" s="161">
        <f>IF(OR(GradeSheet!$L37="W (Withdrawn)", GradeSheet!$L37="I (Incomplete)"), 0, IF(AX42&gt;=65%, 1, 0))</f>
        <v>0</v>
      </c>
      <c r="BK42" s="161">
        <f>IF(OR(GradeSheet!$L37="W (Withdrawn)", GradeSheet!$L37="I (Incomplete)"), 0, IF(AY42&gt;=65%, 1, 0))</f>
        <v>0</v>
      </c>
      <c r="BL42" s="161">
        <f>IF(OR(GradeSheet!$L37="W (Withdrawn)", GradeSheet!$L37="I (Incomplete)"), 0, IF(AZ42&gt;=65%, 1, 0))</f>
        <v>0</v>
      </c>
      <c r="BM42" s="161">
        <f>IF(OR(GradeSheet!$L37="W (Withdrawn)", GradeSheet!$L37="I (Incomplete)"), 0, IF(BA42&gt;=65%, 1, 0))</f>
        <v>0</v>
      </c>
      <c r="BN42" s="161">
        <f>IF(OR(GradeSheet!$L37="W (Withdrawn)", GradeSheet!$L37="I (Incomplete)"), 0, IF(BB42&gt;=65%, 1, 0))</f>
        <v>0</v>
      </c>
      <c r="BO42" s="161">
        <f>IF(OR(GradeSheet!$L37="W (Withdrawn)", GradeSheet!$L37="I (Incomplete)"), 0, IF(BC42&gt;=65%, 1, 0))</f>
        <v>0</v>
      </c>
      <c r="BP42" s="161">
        <f>IF(OR(GradeSheet!$L37="W (Withdrawn)", GradeSheet!$L37="I (Incomplete)"), 0, IF(BD42&gt;=65%, 1, 0))</f>
        <v>0</v>
      </c>
      <c r="BQ42" s="161">
        <f>IF(OR(GradeSheet!$L37="W (Withdrawn)", GradeSheet!$L37="I (Incomplete)"), 0, IF(BE42&gt;=65%, 1, 0))</f>
        <v>0</v>
      </c>
      <c r="BR42" s="161">
        <f>IF(OR(GradeSheet!$L37="W (Withdrawn)", GradeSheet!$L37="I (Incomplete)"), 0, IF(BF42&gt;=65%, 1, 0))</f>
        <v>0</v>
      </c>
    </row>
    <row r="43" ht="15.75" customHeight="1">
      <c r="A43" s="148">
        <v>29.0</v>
      </c>
      <c r="B43" s="149" t="s">
        <v>136</v>
      </c>
      <c r="C43" s="182" t="s">
        <v>137</v>
      </c>
      <c r="D43" s="152"/>
      <c r="E43" s="152">
        <v>6.0</v>
      </c>
      <c r="F43" s="154"/>
      <c r="G43" s="135"/>
      <c r="H43" s="154"/>
      <c r="I43" s="154"/>
      <c r="J43" s="152"/>
      <c r="K43" s="152"/>
      <c r="L43" s="152"/>
      <c r="M43" s="154"/>
      <c r="N43" s="135"/>
      <c r="O43" s="79"/>
      <c r="P43" s="155"/>
      <c r="Q43" s="156"/>
      <c r="R43" s="156"/>
      <c r="S43" s="156"/>
      <c r="T43" s="156"/>
      <c r="U43" s="157"/>
      <c r="V43" s="155"/>
      <c r="W43" s="156"/>
      <c r="X43" s="156"/>
      <c r="Y43" s="156"/>
      <c r="Z43" s="156"/>
      <c r="AA43" s="157"/>
      <c r="AB43" s="158">
        <f t="shared" ref="AB43:AE43" si="72">SUM(V43,D43,J43)</f>
        <v>0</v>
      </c>
      <c r="AC43" s="159">
        <f t="shared" si="72"/>
        <v>6</v>
      </c>
      <c r="AD43" s="183">
        <f t="shared" si="72"/>
        <v>0</v>
      </c>
      <c r="AE43" s="183">
        <f t="shared" si="72"/>
        <v>0</v>
      </c>
      <c r="AF43" s="159">
        <f t="shared" si="12"/>
        <v>0</v>
      </c>
      <c r="AG43" s="183">
        <f t="shared" si="13"/>
        <v>0</v>
      </c>
      <c r="AH43" s="160">
        <f t="shared" ref="AH43:AM43" si="73">IF(AB43 = 0, 0, AB43/AB$14)</f>
        <v>0</v>
      </c>
      <c r="AI43" s="160">
        <f t="shared" si="73"/>
        <v>0.2068965517</v>
      </c>
      <c r="AJ43" s="160">
        <f t="shared" si="73"/>
        <v>0</v>
      </c>
      <c r="AK43" s="160">
        <f t="shared" si="73"/>
        <v>0</v>
      </c>
      <c r="AL43" s="160">
        <f t="shared" si="73"/>
        <v>0</v>
      </c>
      <c r="AM43" s="160">
        <f t="shared" si="73"/>
        <v>0</v>
      </c>
      <c r="AN43" s="161">
        <f>IF(OR(GradeSheet!$L38="W (Withdrawn)", GradeSheet!$L38="I (Incomplete)"), 0, IF(AH43&gt;=55%, 1, 0))</f>
        <v>0</v>
      </c>
      <c r="AO43" s="161">
        <f>IF(OR(GradeSheet!$L38="W (Withdrawn)", GradeSheet!$L38="I (Incomplete)"), 0, IF(AI43&gt;=55%, 1, 0))</f>
        <v>0</v>
      </c>
      <c r="AP43" s="161">
        <f>IF(OR(GradeSheet!$L38="W (Withdrawn)", GradeSheet!$L38="I (Incomplete)"), 0, IF(AJ43&gt;=55%, 1, 0))</f>
        <v>0</v>
      </c>
      <c r="AQ43" s="161">
        <f>IF(OR(GradeSheet!$L38="W (Withdrawn)", GradeSheet!$L38="I (Incomplete)"), 0, IF(AK43&gt;=55%, 1, 0))</f>
        <v>0</v>
      </c>
      <c r="AR43" s="161">
        <f>IF(OR(GradeSheet!$L38="W (Withdrawn)", GradeSheet!$L38="I (Incomplete)"), 0, IF(AL43&gt;=55%, 1, 0))</f>
        <v>0</v>
      </c>
      <c r="AS43" s="161">
        <f>IF(OR(GradeSheet!$L38="W (Withdrawn)", GradeSheet!$L38="I (Incomplete)"), 0, IF(AM43&gt;=55%, 1, 0))</f>
        <v>0</v>
      </c>
      <c r="AT43" s="129"/>
      <c r="AU43" s="162">
        <f t="shared" si="15"/>
        <v>0</v>
      </c>
      <c r="AV43" s="162">
        <f t="shared" si="16"/>
        <v>0</v>
      </c>
      <c r="AW43" s="162">
        <f t="array" ref="AW43">IF($AV$9=0,0,MMULT($AH43:$AM43, AV$3:AV$8)/$AV$9)</f>
        <v>0</v>
      </c>
      <c r="AX43" s="162">
        <f t="array" ref="AX43">IF($AW$9=0,0,MMULT($AH43:$AM43, AW$3:AW$8)/$AW$9)</f>
        <v>0</v>
      </c>
      <c r="AY43" s="162">
        <f t="shared" si="17"/>
        <v>0</v>
      </c>
      <c r="AZ43" s="162">
        <f t="array" ref="AZ43">IF($AY$9=0,0,MMULT($AH43:$AM43, AY$3:AY$8)/$AY$9)</f>
        <v>0</v>
      </c>
      <c r="BA43" s="162">
        <f t="array" ref="BA43">IF($AZ$9=0,0,MMULT($AH43:$AM43, AZ$3:AZ$8)/$AZ$9)</f>
        <v>0</v>
      </c>
      <c r="BB43" s="162">
        <f t="array" ref="BB43">IF($BA$9=0,0,MMULT($AH43:$AM43, BA$3:BA$8)/$BA$9)</f>
        <v>0</v>
      </c>
      <c r="BC43" s="162">
        <f t="array" ref="BC43">IF($BB$9=0,0,MMULT($AH43:$AM43, BB$3:BB$8)/$BB$9)</f>
        <v>0</v>
      </c>
      <c r="BD43" s="162">
        <f t="array" ref="BD43">IF($BC$9=0,0,MMULT($AH43:$AM43, BC$3:BC$8)/$BC$9)</f>
        <v>0</v>
      </c>
      <c r="BE43" s="162">
        <f t="shared" si="18"/>
        <v>0</v>
      </c>
      <c r="BF43" s="162">
        <f t="shared" si="19"/>
        <v>0</v>
      </c>
      <c r="BG43" s="161">
        <f>IF(OR(GradeSheet!$L38="W (Withdrawn)", GradeSheet!$L38="I (Incomplete)"), 0, IF(AU43&gt;=65%, 1, 0))</f>
        <v>0</v>
      </c>
      <c r="BH43" s="161">
        <f>IF(OR(GradeSheet!$L38="W (Withdrawn)", GradeSheet!$L38="I (Incomplete)"), 0, IF(AV43&gt;=65%, 1, 0))</f>
        <v>0</v>
      </c>
      <c r="BI43" s="161">
        <f>IF(OR(GradeSheet!$L38="W (Withdrawn)", GradeSheet!$L38="I (Incomplete)"), 0, IF(AW43&gt;=65%, 1, 0))</f>
        <v>0</v>
      </c>
      <c r="BJ43" s="161">
        <f>IF(OR(GradeSheet!$L38="W (Withdrawn)", GradeSheet!$L38="I (Incomplete)"), 0, IF(AX43&gt;=65%, 1, 0))</f>
        <v>0</v>
      </c>
      <c r="BK43" s="161">
        <f>IF(OR(GradeSheet!$L38="W (Withdrawn)", GradeSheet!$L38="I (Incomplete)"), 0, IF(AY43&gt;=65%, 1, 0))</f>
        <v>0</v>
      </c>
      <c r="BL43" s="161">
        <f>IF(OR(GradeSheet!$L38="W (Withdrawn)", GradeSheet!$L38="I (Incomplete)"), 0, IF(AZ43&gt;=65%, 1, 0))</f>
        <v>0</v>
      </c>
      <c r="BM43" s="161">
        <f>IF(OR(GradeSheet!$L38="W (Withdrawn)", GradeSheet!$L38="I (Incomplete)"), 0, IF(BA43&gt;=65%, 1, 0))</f>
        <v>0</v>
      </c>
      <c r="BN43" s="161">
        <f>IF(OR(GradeSheet!$L38="W (Withdrawn)", GradeSheet!$L38="I (Incomplete)"), 0, IF(BB43&gt;=65%, 1, 0))</f>
        <v>0</v>
      </c>
      <c r="BO43" s="161">
        <f>IF(OR(GradeSheet!$L38="W (Withdrawn)", GradeSheet!$L38="I (Incomplete)"), 0, IF(BC43&gt;=65%, 1, 0))</f>
        <v>0</v>
      </c>
      <c r="BP43" s="161">
        <f>IF(OR(GradeSheet!$L38="W (Withdrawn)", GradeSheet!$L38="I (Incomplete)"), 0, IF(BD43&gt;=65%, 1, 0))</f>
        <v>0</v>
      </c>
      <c r="BQ43" s="161">
        <f>IF(OR(GradeSheet!$L38="W (Withdrawn)", GradeSheet!$L38="I (Incomplete)"), 0, IF(BE43&gt;=65%, 1, 0))</f>
        <v>0</v>
      </c>
      <c r="BR43" s="161">
        <f>IF(OR(GradeSheet!$L38="W (Withdrawn)", GradeSheet!$L38="I (Incomplete)"), 0, IF(BF43&gt;=65%, 1, 0))</f>
        <v>0</v>
      </c>
    </row>
    <row r="44" ht="15.75" customHeight="1">
      <c r="A44" s="181">
        <v>30.0</v>
      </c>
      <c r="B44" s="149" t="s">
        <v>138</v>
      </c>
      <c r="C44" s="182" t="s">
        <v>139</v>
      </c>
      <c r="D44" s="152">
        <v>3.0</v>
      </c>
      <c r="E44" s="152">
        <v>5.0</v>
      </c>
      <c r="F44" s="154"/>
      <c r="G44" s="135"/>
      <c r="H44" s="154"/>
      <c r="I44" s="154"/>
      <c r="J44" s="152"/>
      <c r="K44" s="152"/>
      <c r="L44" s="152"/>
      <c r="M44" s="154"/>
      <c r="N44" s="135"/>
      <c r="O44" s="79"/>
      <c r="P44" s="155"/>
      <c r="Q44" s="156"/>
      <c r="R44" s="156"/>
      <c r="S44" s="156"/>
      <c r="T44" s="156"/>
      <c r="U44" s="157"/>
      <c r="V44" s="155"/>
      <c r="W44" s="156"/>
      <c r="X44" s="156"/>
      <c r="Y44" s="156"/>
      <c r="Z44" s="156"/>
      <c r="AA44" s="157"/>
      <c r="AB44" s="158">
        <f t="shared" ref="AB44:AE44" si="74">SUM(V44,D44,J44)</f>
        <v>3</v>
      </c>
      <c r="AC44" s="159">
        <f t="shared" si="74"/>
        <v>5</v>
      </c>
      <c r="AD44" s="183">
        <f t="shared" si="74"/>
        <v>0</v>
      </c>
      <c r="AE44" s="183">
        <f t="shared" si="74"/>
        <v>0</v>
      </c>
      <c r="AF44" s="159">
        <f t="shared" si="12"/>
        <v>0</v>
      </c>
      <c r="AG44" s="183">
        <f t="shared" si="13"/>
        <v>0</v>
      </c>
      <c r="AH44" s="160">
        <f t="shared" ref="AH44:AM44" si="75">IF(AB44 = 0, 0, AB44/AB$14)</f>
        <v>0.1153846154</v>
      </c>
      <c r="AI44" s="160">
        <f t="shared" si="75"/>
        <v>0.1724137931</v>
      </c>
      <c r="AJ44" s="160">
        <f t="shared" si="75"/>
        <v>0</v>
      </c>
      <c r="AK44" s="160">
        <f t="shared" si="75"/>
        <v>0</v>
      </c>
      <c r="AL44" s="160">
        <f t="shared" si="75"/>
        <v>0</v>
      </c>
      <c r="AM44" s="160">
        <f t="shared" si="75"/>
        <v>0</v>
      </c>
      <c r="AN44" s="161">
        <f>IF(OR(GradeSheet!$L39="W (Withdrawn)", GradeSheet!$L39="I (Incomplete)"), 0, IF(AH44&gt;=55%, 1, 0))</f>
        <v>0</v>
      </c>
      <c r="AO44" s="161">
        <f>IF(OR(GradeSheet!$L39="W (Withdrawn)", GradeSheet!$L39="I (Incomplete)"), 0, IF(AI44&gt;=55%, 1, 0))</f>
        <v>0</v>
      </c>
      <c r="AP44" s="161">
        <f>IF(OR(GradeSheet!$L39="W (Withdrawn)", GradeSheet!$L39="I (Incomplete)"), 0, IF(AJ44&gt;=55%, 1, 0))</f>
        <v>0</v>
      </c>
      <c r="AQ44" s="161">
        <f>IF(OR(GradeSheet!$L39="W (Withdrawn)", GradeSheet!$L39="I (Incomplete)"), 0, IF(AK44&gt;=55%, 1, 0))</f>
        <v>0</v>
      </c>
      <c r="AR44" s="161">
        <f>IF(OR(GradeSheet!$L39="W (Withdrawn)", GradeSheet!$L39="I (Incomplete)"), 0, IF(AL44&gt;=55%, 1, 0))</f>
        <v>0</v>
      </c>
      <c r="AS44" s="161">
        <f>IF(OR(GradeSheet!$L39="W (Withdrawn)", GradeSheet!$L39="I (Incomplete)"), 0, IF(AM44&gt;=55%, 1, 0))</f>
        <v>0</v>
      </c>
      <c r="AT44" s="129"/>
      <c r="AU44" s="162">
        <f t="shared" si="15"/>
        <v>0</v>
      </c>
      <c r="AV44" s="162">
        <f t="shared" si="16"/>
        <v>0</v>
      </c>
      <c r="AW44" s="162">
        <f t="array" ref="AW44">IF($AV$9=0,0,MMULT($AH44:$AM44, AV$3:AV$8)/$AV$9)</f>
        <v>0</v>
      </c>
      <c r="AX44" s="162">
        <f t="array" ref="AX44">IF($AW$9=0,0,MMULT($AH44:$AM44, AW$3:AW$8)/$AW$9)</f>
        <v>0</v>
      </c>
      <c r="AY44" s="162">
        <f t="shared" si="17"/>
        <v>0</v>
      </c>
      <c r="AZ44" s="162">
        <f t="array" ref="AZ44">IF($AY$9=0,0,MMULT($AH44:$AM44, AY$3:AY$8)/$AY$9)</f>
        <v>0</v>
      </c>
      <c r="BA44" s="162">
        <f t="array" ref="BA44">IF($AZ$9=0,0,MMULT($AH44:$AM44, AZ$3:AZ$8)/$AZ$9)</f>
        <v>0</v>
      </c>
      <c r="BB44" s="162">
        <f t="array" ref="BB44">IF($BA$9=0,0,MMULT($AH44:$AM44, BA$3:BA$8)/$BA$9)</f>
        <v>0</v>
      </c>
      <c r="BC44" s="162">
        <f t="array" ref="BC44">IF($BB$9=0,0,MMULT($AH44:$AM44, BB$3:BB$8)/$BB$9)</f>
        <v>0</v>
      </c>
      <c r="BD44" s="162">
        <f t="array" ref="BD44">IF($BC$9=0,0,MMULT($AH44:$AM44, BC$3:BC$8)/$BC$9)</f>
        <v>0</v>
      </c>
      <c r="BE44" s="162">
        <f t="shared" si="18"/>
        <v>0</v>
      </c>
      <c r="BF44" s="162">
        <f t="shared" si="19"/>
        <v>0</v>
      </c>
      <c r="BG44" s="161">
        <f>IF(OR(GradeSheet!$L39="W (Withdrawn)", GradeSheet!$L39="I (Incomplete)"), 0, IF(AU44&gt;=65%, 1, 0))</f>
        <v>0</v>
      </c>
      <c r="BH44" s="161">
        <f>IF(OR(GradeSheet!$L39="W (Withdrawn)", GradeSheet!$L39="I (Incomplete)"), 0, IF(AV44&gt;=65%, 1, 0))</f>
        <v>0</v>
      </c>
      <c r="BI44" s="161">
        <f>IF(OR(GradeSheet!$L39="W (Withdrawn)", GradeSheet!$L39="I (Incomplete)"), 0, IF(AW44&gt;=65%, 1, 0))</f>
        <v>0</v>
      </c>
      <c r="BJ44" s="161">
        <f>IF(OR(GradeSheet!$L39="W (Withdrawn)", GradeSheet!$L39="I (Incomplete)"), 0, IF(AX44&gt;=65%, 1, 0))</f>
        <v>0</v>
      </c>
      <c r="BK44" s="161">
        <f>IF(OR(GradeSheet!$L39="W (Withdrawn)", GradeSheet!$L39="I (Incomplete)"), 0, IF(AY44&gt;=65%, 1, 0))</f>
        <v>0</v>
      </c>
      <c r="BL44" s="161">
        <f>IF(OR(GradeSheet!$L39="W (Withdrawn)", GradeSheet!$L39="I (Incomplete)"), 0, IF(AZ44&gt;=65%, 1, 0))</f>
        <v>0</v>
      </c>
      <c r="BM44" s="161">
        <f>IF(OR(GradeSheet!$L39="W (Withdrawn)", GradeSheet!$L39="I (Incomplete)"), 0, IF(BA44&gt;=65%, 1, 0))</f>
        <v>0</v>
      </c>
      <c r="BN44" s="161">
        <f>IF(OR(GradeSheet!$L39="W (Withdrawn)", GradeSheet!$L39="I (Incomplete)"), 0, IF(BB44&gt;=65%, 1, 0))</f>
        <v>0</v>
      </c>
      <c r="BO44" s="161">
        <f>IF(OR(GradeSheet!$L39="W (Withdrawn)", GradeSheet!$L39="I (Incomplete)"), 0, IF(BC44&gt;=65%, 1, 0))</f>
        <v>0</v>
      </c>
      <c r="BP44" s="161">
        <f>IF(OR(GradeSheet!$L39="W (Withdrawn)", GradeSheet!$L39="I (Incomplete)"), 0, IF(BD44&gt;=65%, 1, 0))</f>
        <v>0</v>
      </c>
      <c r="BQ44" s="161">
        <f>IF(OR(GradeSheet!$L39="W (Withdrawn)", GradeSheet!$L39="I (Incomplete)"), 0, IF(BE44&gt;=65%, 1, 0))</f>
        <v>0</v>
      </c>
      <c r="BR44" s="161">
        <f>IF(OR(GradeSheet!$L39="W (Withdrawn)", GradeSheet!$L39="I (Incomplete)"), 0, IF(BF44&gt;=65%, 1, 0))</f>
        <v>0</v>
      </c>
    </row>
    <row r="45" ht="15.75" customHeight="1">
      <c r="A45" s="148">
        <v>31.0</v>
      </c>
      <c r="B45" s="149" t="s">
        <v>140</v>
      </c>
      <c r="C45" s="182" t="s">
        <v>141</v>
      </c>
      <c r="D45" s="152">
        <v>0.5</v>
      </c>
      <c r="E45" s="152">
        <v>1.0</v>
      </c>
      <c r="F45" s="154"/>
      <c r="G45" s="135"/>
      <c r="H45" s="154"/>
      <c r="I45" s="154"/>
      <c r="J45" s="152"/>
      <c r="K45" s="152"/>
      <c r="L45" s="152"/>
      <c r="M45" s="154"/>
      <c r="N45" s="135"/>
      <c r="O45" s="79"/>
      <c r="P45" s="155"/>
      <c r="Q45" s="156"/>
      <c r="R45" s="156"/>
      <c r="S45" s="156"/>
      <c r="T45" s="156"/>
      <c r="U45" s="157"/>
      <c r="V45" s="155"/>
      <c r="W45" s="156"/>
      <c r="X45" s="156"/>
      <c r="Y45" s="156"/>
      <c r="Z45" s="156"/>
      <c r="AA45" s="157"/>
      <c r="AB45" s="158">
        <f t="shared" ref="AB45:AE45" si="76">SUM(V45,D45,J45)</f>
        <v>0.5</v>
      </c>
      <c r="AC45" s="159">
        <f t="shared" si="76"/>
        <v>1</v>
      </c>
      <c r="AD45" s="183">
        <f t="shared" si="76"/>
        <v>0</v>
      </c>
      <c r="AE45" s="183">
        <f t="shared" si="76"/>
        <v>0</v>
      </c>
      <c r="AF45" s="159">
        <f t="shared" si="12"/>
        <v>0</v>
      </c>
      <c r="AG45" s="183">
        <f t="shared" si="13"/>
        <v>0</v>
      </c>
      <c r="AH45" s="160">
        <f t="shared" ref="AH45:AM45" si="77">IF(AB45 = 0, 0, AB45/AB$14)</f>
        <v>0.01923076923</v>
      </c>
      <c r="AI45" s="160">
        <f t="shared" si="77"/>
        <v>0.03448275862</v>
      </c>
      <c r="AJ45" s="160">
        <f t="shared" si="77"/>
        <v>0</v>
      </c>
      <c r="AK45" s="160">
        <f t="shared" si="77"/>
        <v>0</v>
      </c>
      <c r="AL45" s="160">
        <f t="shared" si="77"/>
        <v>0</v>
      </c>
      <c r="AM45" s="160">
        <f t="shared" si="77"/>
        <v>0</v>
      </c>
      <c r="AN45" s="161">
        <f>IF(OR(GradeSheet!$L40="W (Withdrawn)", GradeSheet!$L40="I (Incomplete)"), 0, IF(AH45&gt;=55%, 1, 0))</f>
        <v>0</v>
      </c>
      <c r="AO45" s="161">
        <f>IF(OR(GradeSheet!$L40="W (Withdrawn)", GradeSheet!$L40="I (Incomplete)"), 0, IF(AI45&gt;=55%, 1, 0))</f>
        <v>0</v>
      </c>
      <c r="AP45" s="161">
        <f>IF(OR(GradeSheet!$L40="W (Withdrawn)", GradeSheet!$L40="I (Incomplete)"), 0, IF(AJ45&gt;=55%, 1, 0))</f>
        <v>0</v>
      </c>
      <c r="AQ45" s="161">
        <f>IF(OR(GradeSheet!$L40="W (Withdrawn)", GradeSheet!$L40="I (Incomplete)"), 0, IF(AK45&gt;=55%, 1, 0))</f>
        <v>0</v>
      </c>
      <c r="AR45" s="161">
        <f>IF(OR(GradeSheet!$L40="W (Withdrawn)", GradeSheet!$L40="I (Incomplete)"), 0, IF(AL45&gt;=55%, 1, 0))</f>
        <v>0</v>
      </c>
      <c r="AS45" s="161">
        <f>IF(OR(GradeSheet!$L40="W (Withdrawn)", GradeSheet!$L40="I (Incomplete)"), 0, IF(AM45&gt;=55%, 1, 0))</f>
        <v>0</v>
      </c>
      <c r="AT45" s="129"/>
      <c r="AU45" s="162">
        <f t="shared" si="15"/>
        <v>0</v>
      </c>
      <c r="AV45" s="162">
        <f t="shared" si="16"/>
        <v>0</v>
      </c>
      <c r="AW45" s="162">
        <f t="array" ref="AW45">IF($AV$9=0,0,MMULT($AH45:$AM45, AV$3:AV$8)/$AV$9)</f>
        <v>0</v>
      </c>
      <c r="AX45" s="162">
        <f t="array" ref="AX45">IF($AW$9=0,0,MMULT($AH45:$AM45, AW$3:AW$8)/$AW$9)</f>
        <v>0</v>
      </c>
      <c r="AY45" s="162">
        <f t="shared" si="17"/>
        <v>0</v>
      </c>
      <c r="AZ45" s="162">
        <f t="array" ref="AZ45">IF($AY$9=0,0,MMULT($AH45:$AM45, AY$3:AY$8)/$AY$9)</f>
        <v>0</v>
      </c>
      <c r="BA45" s="162">
        <f t="array" ref="BA45">IF($AZ$9=0,0,MMULT($AH45:$AM45, AZ$3:AZ$8)/$AZ$9)</f>
        <v>0</v>
      </c>
      <c r="BB45" s="162">
        <f t="array" ref="BB45">IF($BA$9=0,0,MMULT($AH45:$AM45, BA$3:BA$8)/$BA$9)</f>
        <v>0</v>
      </c>
      <c r="BC45" s="162">
        <f t="array" ref="BC45">IF($BB$9=0,0,MMULT($AH45:$AM45, BB$3:BB$8)/$BB$9)</f>
        <v>0</v>
      </c>
      <c r="BD45" s="162">
        <f t="array" ref="BD45">IF($BC$9=0,0,MMULT($AH45:$AM45, BC$3:BC$8)/$BC$9)</f>
        <v>0</v>
      </c>
      <c r="BE45" s="162">
        <f t="shared" si="18"/>
        <v>0</v>
      </c>
      <c r="BF45" s="162">
        <f t="shared" si="19"/>
        <v>0</v>
      </c>
      <c r="BG45" s="161">
        <f>IF(OR(GradeSheet!$L40="W (Withdrawn)", GradeSheet!$L40="I (Incomplete)"), 0, IF(AU45&gt;=65%, 1, 0))</f>
        <v>0</v>
      </c>
      <c r="BH45" s="161">
        <f>IF(OR(GradeSheet!$L40="W (Withdrawn)", GradeSheet!$L40="I (Incomplete)"), 0, IF(AV45&gt;=65%, 1, 0))</f>
        <v>0</v>
      </c>
      <c r="BI45" s="161">
        <f>IF(OR(GradeSheet!$L40="W (Withdrawn)", GradeSheet!$L40="I (Incomplete)"), 0, IF(AW45&gt;=65%, 1, 0))</f>
        <v>0</v>
      </c>
      <c r="BJ45" s="161">
        <f>IF(OR(GradeSheet!$L40="W (Withdrawn)", GradeSheet!$L40="I (Incomplete)"), 0, IF(AX45&gt;=65%, 1, 0))</f>
        <v>0</v>
      </c>
      <c r="BK45" s="161">
        <f>IF(OR(GradeSheet!$L40="W (Withdrawn)", GradeSheet!$L40="I (Incomplete)"), 0, IF(AY45&gt;=65%, 1, 0))</f>
        <v>0</v>
      </c>
      <c r="BL45" s="161">
        <f>IF(OR(GradeSheet!$L40="W (Withdrawn)", GradeSheet!$L40="I (Incomplete)"), 0, IF(AZ45&gt;=65%, 1, 0))</f>
        <v>0</v>
      </c>
      <c r="BM45" s="161">
        <f>IF(OR(GradeSheet!$L40="W (Withdrawn)", GradeSheet!$L40="I (Incomplete)"), 0, IF(BA45&gt;=65%, 1, 0))</f>
        <v>0</v>
      </c>
      <c r="BN45" s="161">
        <f>IF(OR(GradeSheet!$L40="W (Withdrawn)", GradeSheet!$L40="I (Incomplete)"), 0, IF(BB45&gt;=65%, 1, 0))</f>
        <v>0</v>
      </c>
      <c r="BO45" s="161">
        <f>IF(OR(GradeSheet!$L40="W (Withdrawn)", GradeSheet!$L40="I (Incomplete)"), 0, IF(BC45&gt;=65%, 1, 0))</f>
        <v>0</v>
      </c>
      <c r="BP45" s="161">
        <f>IF(OR(GradeSheet!$L40="W (Withdrawn)", GradeSheet!$L40="I (Incomplete)"), 0, IF(BD45&gt;=65%, 1, 0))</f>
        <v>0</v>
      </c>
      <c r="BQ45" s="161">
        <f>IF(OR(GradeSheet!$L40="W (Withdrawn)", GradeSheet!$L40="I (Incomplete)"), 0, IF(BE45&gt;=65%, 1, 0))</f>
        <v>0</v>
      </c>
      <c r="BR45" s="161">
        <f>IF(OR(GradeSheet!$L40="W (Withdrawn)", GradeSheet!$L40="I (Incomplete)"), 0, IF(BF45&gt;=65%, 1, 0))</f>
        <v>0</v>
      </c>
    </row>
    <row r="46" ht="15.75" customHeight="1">
      <c r="A46" s="181">
        <v>32.0</v>
      </c>
      <c r="B46" s="149" t="s">
        <v>142</v>
      </c>
      <c r="C46" s="182" t="s">
        <v>143</v>
      </c>
      <c r="D46" s="152">
        <v>0.0</v>
      </c>
      <c r="E46" s="152"/>
      <c r="F46" s="154"/>
      <c r="G46" s="135"/>
      <c r="H46" s="154"/>
      <c r="I46" s="154"/>
      <c r="J46" s="152">
        <v>4.0</v>
      </c>
      <c r="K46" s="152">
        <v>5.0</v>
      </c>
      <c r="L46" s="152">
        <v>6.0</v>
      </c>
      <c r="M46" s="154"/>
      <c r="N46" s="135"/>
      <c r="O46" s="79"/>
      <c r="P46" s="155"/>
      <c r="Q46" s="156"/>
      <c r="R46" s="156" t="s">
        <v>238</v>
      </c>
      <c r="S46" s="156"/>
      <c r="T46" s="156"/>
      <c r="U46" s="157"/>
      <c r="V46" s="155"/>
      <c r="W46" s="156"/>
      <c r="X46" s="156"/>
      <c r="Y46" s="156"/>
      <c r="Z46" s="156"/>
      <c r="AA46" s="157"/>
      <c r="AB46" s="158">
        <f t="shared" ref="AB46:AE46" si="78">SUM(V46,D46,J46)</f>
        <v>4</v>
      </c>
      <c r="AC46" s="159">
        <f t="shared" si="78"/>
        <v>5</v>
      </c>
      <c r="AD46" s="183">
        <f t="shared" si="78"/>
        <v>6</v>
      </c>
      <c r="AE46" s="183">
        <f t="shared" si="78"/>
        <v>0</v>
      </c>
      <c r="AF46" s="159">
        <f t="shared" si="12"/>
        <v>0</v>
      </c>
      <c r="AG46" s="183">
        <f t="shared" si="13"/>
        <v>0</v>
      </c>
      <c r="AH46" s="160">
        <f t="shared" ref="AH46:AM46" si="79">IF(AB46 = 0, 0, AB46/AB$14)</f>
        <v>0.1538461538</v>
      </c>
      <c r="AI46" s="160">
        <f t="shared" si="79"/>
        <v>0.1724137931</v>
      </c>
      <c r="AJ46" s="160">
        <f t="shared" si="79"/>
        <v>0.6</v>
      </c>
      <c r="AK46" s="160">
        <f t="shared" si="79"/>
        <v>0</v>
      </c>
      <c r="AL46" s="160">
        <f t="shared" si="79"/>
        <v>0</v>
      </c>
      <c r="AM46" s="160">
        <f t="shared" si="79"/>
        <v>0</v>
      </c>
      <c r="AN46" s="161">
        <f>IF(OR(GradeSheet!$L41="W (Withdrawn)", GradeSheet!$L41="I (Incomplete)"), 0, IF(AH46&gt;=55%, 1, 0))</f>
        <v>0</v>
      </c>
      <c r="AO46" s="161">
        <f>IF(OR(GradeSheet!$L41="W (Withdrawn)", GradeSheet!$L41="I (Incomplete)"), 0, IF(AI46&gt;=55%, 1, 0))</f>
        <v>0</v>
      </c>
      <c r="AP46" s="161">
        <f>IF(OR(GradeSheet!$L41="W (Withdrawn)", GradeSheet!$L41="I (Incomplete)"), 0, IF(AJ46&gt;=55%, 1, 0))</f>
        <v>1</v>
      </c>
      <c r="AQ46" s="161">
        <f>IF(OR(GradeSheet!$L41="W (Withdrawn)", GradeSheet!$L41="I (Incomplete)"), 0, IF(AK46&gt;=55%, 1, 0))</f>
        <v>0</v>
      </c>
      <c r="AR46" s="161">
        <f>IF(OR(GradeSheet!$L41="W (Withdrawn)", GradeSheet!$L41="I (Incomplete)"), 0, IF(AL46&gt;=55%, 1, 0))</f>
        <v>0</v>
      </c>
      <c r="AS46" s="161">
        <f>IF(OR(GradeSheet!$L41="W (Withdrawn)", GradeSheet!$L41="I (Incomplete)"), 0, IF(AM46&gt;=55%, 1, 0))</f>
        <v>0</v>
      </c>
      <c r="AT46" s="129"/>
      <c r="AU46" s="162">
        <f t="shared" si="15"/>
        <v>0</v>
      </c>
      <c r="AV46" s="162">
        <f t="shared" si="16"/>
        <v>0</v>
      </c>
      <c r="AW46" s="162">
        <f t="array" ref="AW46">IF($AV$9=0,0,MMULT($AH46:$AM46, AV$3:AV$8)/$AV$9)</f>
        <v>0</v>
      </c>
      <c r="AX46" s="162">
        <f t="array" ref="AX46">IF($AW$9=0,0,MMULT($AH46:$AM46, AW$3:AW$8)/$AW$9)</f>
        <v>0</v>
      </c>
      <c r="AY46" s="162">
        <f t="shared" si="17"/>
        <v>0</v>
      </c>
      <c r="AZ46" s="162">
        <f t="array" ref="AZ46">IF($AY$9=0,0,MMULT($AH46:$AM46, AY$3:AY$8)/$AY$9)</f>
        <v>0</v>
      </c>
      <c r="BA46" s="162">
        <f t="array" ref="BA46">IF($AZ$9=0,0,MMULT($AH46:$AM46, AZ$3:AZ$8)/$AZ$9)</f>
        <v>0</v>
      </c>
      <c r="BB46" s="162">
        <f t="array" ref="BB46">IF($BA$9=0,0,MMULT($AH46:$AM46, BA$3:BA$8)/$BA$9)</f>
        <v>0</v>
      </c>
      <c r="BC46" s="162">
        <f t="array" ref="BC46">IF($BB$9=0,0,MMULT($AH46:$AM46, BB$3:BB$8)/$BB$9)</f>
        <v>0</v>
      </c>
      <c r="BD46" s="162">
        <f t="array" ref="BD46">IF($BC$9=0,0,MMULT($AH46:$AM46, BC$3:BC$8)/$BC$9)</f>
        <v>0</v>
      </c>
      <c r="BE46" s="162">
        <f t="shared" si="18"/>
        <v>0</v>
      </c>
      <c r="BF46" s="162">
        <f t="shared" si="19"/>
        <v>0</v>
      </c>
      <c r="BG46" s="161">
        <f>IF(OR(GradeSheet!$L41="W (Withdrawn)", GradeSheet!$L41="I (Incomplete)"), 0, IF(AU46&gt;=65%, 1, 0))</f>
        <v>0</v>
      </c>
      <c r="BH46" s="161">
        <f>IF(OR(GradeSheet!$L41="W (Withdrawn)", GradeSheet!$L41="I (Incomplete)"), 0, IF(AV46&gt;=65%, 1, 0))</f>
        <v>0</v>
      </c>
      <c r="BI46" s="161">
        <f>IF(OR(GradeSheet!$L41="W (Withdrawn)", GradeSheet!$L41="I (Incomplete)"), 0, IF(AW46&gt;=65%, 1, 0))</f>
        <v>0</v>
      </c>
      <c r="BJ46" s="161">
        <f>IF(OR(GradeSheet!$L41="W (Withdrawn)", GradeSheet!$L41="I (Incomplete)"), 0, IF(AX46&gt;=65%, 1, 0))</f>
        <v>0</v>
      </c>
      <c r="BK46" s="161">
        <f>IF(OR(GradeSheet!$L41="W (Withdrawn)", GradeSheet!$L41="I (Incomplete)"), 0, IF(AY46&gt;=65%, 1, 0))</f>
        <v>0</v>
      </c>
      <c r="BL46" s="161">
        <f>IF(OR(GradeSheet!$L41="W (Withdrawn)", GradeSheet!$L41="I (Incomplete)"), 0, IF(AZ46&gt;=65%, 1, 0))</f>
        <v>0</v>
      </c>
      <c r="BM46" s="161">
        <f>IF(OR(GradeSheet!$L41="W (Withdrawn)", GradeSheet!$L41="I (Incomplete)"), 0, IF(BA46&gt;=65%, 1, 0))</f>
        <v>0</v>
      </c>
      <c r="BN46" s="161">
        <f>IF(OR(GradeSheet!$L41="W (Withdrawn)", GradeSheet!$L41="I (Incomplete)"), 0, IF(BB46&gt;=65%, 1, 0))</f>
        <v>0</v>
      </c>
      <c r="BO46" s="161">
        <f>IF(OR(GradeSheet!$L41="W (Withdrawn)", GradeSheet!$L41="I (Incomplete)"), 0, IF(BC46&gt;=65%, 1, 0))</f>
        <v>0</v>
      </c>
      <c r="BP46" s="161">
        <f>IF(OR(GradeSheet!$L41="W (Withdrawn)", GradeSheet!$L41="I (Incomplete)"), 0, IF(BD46&gt;=65%, 1, 0))</f>
        <v>0</v>
      </c>
      <c r="BQ46" s="161">
        <f>IF(OR(GradeSheet!$L41="W (Withdrawn)", GradeSheet!$L41="I (Incomplete)"), 0, IF(BE46&gt;=65%, 1, 0))</f>
        <v>0</v>
      </c>
      <c r="BR46" s="161">
        <f>IF(OR(GradeSheet!$L41="W (Withdrawn)", GradeSheet!$L41="I (Incomplete)"), 0, IF(BF46&gt;=65%, 1, 0))</f>
        <v>0</v>
      </c>
    </row>
    <row r="47" ht="15.75" customHeight="1">
      <c r="A47" s="148">
        <v>33.0</v>
      </c>
      <c r="B47" s="149" t="s">
        <v>144</v>
      </c>
      <c r="C47" s="182" t="s">
        <v>145</v>
      </c>
      <c r="D47" s="152">
        <v>0.5</v>
      </c>
      <c r="E47" s="152">
        <v>7.0</v>
      </c>
      <c r="F47" s="154"/>
      <c r="G47" s="135"/>
      <c r="H47" s="154"/>
      <c r="I47" s="154"/>
      <c r="J47" s="152">
        <v>0.5</v>
      </c>
      <c r="K47" s="152">
        <v>8.0</v>
      </c>
      <c r="L47" s="152">
        <v>6.0</v>
      </c>
      <c r="M47" s="154"/>
      <c r="N47" s="135"/>
      <c r="O47" s="79"/>
      <c r="P47" s="155"/>
      <c r="Q47" s="156"/>
      <c r="R47" s="156"/>
      <c r="S47" s="156"/>
      <c r="T47" s="156"/>
      <c r="U47" s="157"/>
      <c r="V47" s="155"/>
      <c r="W47" s="156"/>
      <c r="X47" s="156"/>
      <c r="Y47" s="156"/>
      <c r="Z47" s="156"/>
      <c r="AA47" s="157"/>
      <c r="AB47" s="158">
        <f t="shared" ref="AB47:AE47" si="80">SUM(V47,D47,J47)</f>
        <v>1</v>
      </c>
      <c r="AC47" s="159">
        <f t="shared" si="80"/>
        <v>15</v>
      </c>
      <c r="AD47" s="183">
        <f t="shared" si="80"/>
        <v>6</v>
      </c>
      <c r="AE47" s="183">
        <f t="shared" si="80"/>
        <v>0</v>
      </c>
      <c r="AF47" s="159">
        <f t="shared" si="12"/>
        <v>0</v>
      </c>
      <c r="AG47" s="183">
        <f t="shared" si="13"/>
        <v>0</v>
      </c>
      <c r="AH47" s="160">
        <f t="shared" ref="AH47:AM47" si="81">IF(AB47 = 0, 0, AB47/AB$14)</f>
        <v>0.03846153846</v>
      </c>
      <c r="AI47" s="160">
        <f t="shared" si="81"/>
        <v>0.5172413793</v>
      </c>
      <c r="AJ47" s="160">
        <f t="shared" si="81"/>
        <v>0.6</v>
      </c>
      <c r="AK47" s="160">
        <f t="shared" si="81"/>
        <v>0</v>
      </c>
      <c r="AL47" s="160">
        <f t="shared" si="81"/>
        <v>0</v>
      </c>
      <c r="AM47" s="160">
        <f t="shared" si="81"/>
        <v>0</v>
      </c>
      <c r="AN47" s="161">
        <f>IF(OR(GradeSheet!$L42="W (Withdrawn)", GradeSheet!$L42="I (Incomplete)"), 0, IF(AH47&gt;=55%, 1, 0))</f>
        <v>0</v>
      </c>
      <c r="AO47" s="161">
        <f>IF(OR(GradeSheet!$L42="W (Withdrawn)", GradeSheet!$L42="I (Incomplete)"), 0, IF(AI47&gt;=55%, 1, 0))</f>
        <v>0</v>
      </c>
      <c r="AP47" s="161">
        <f>IF(OR(GradeSheet!$L42="W (Withdrawn)", GradeSheet!$L42="I (Incomplete)"), 0, IF(AJ47&gt;=55%, 1, 0))</f>
        <v>1</v>
      </c>
      <c r="AQ47" s="161">
        <f>IF(OR(GradeSheet!$L42="W (Withdrawn)", GradeSheet!$L42="I (Incomplete)"), 0, IF(AK47&gt;=55%, 1, 0))</f>
        <v>0</v>
      </c>
      <c r="AR47" s="161">
        <f>IF(OR(GradeSheet!$L42="W (Withdrawn)", GradeSheet!$L42="I (Incomplete)"), 0, IF(AL47&gt;=55%, 1, 0))</f>
        <v>0</v>
      </c>
      <c r="AS47" s="161">
        <f>IF(OR(GradeSheet!$L42="W (Withdrawn)", GradeSheet!$L42="I (Incomplete)"), 0, IF(AM47&gt;=55%, 1, 0))</f>
        <v>0</v>
      </c>
      <c r="AT47" s="129"/>
      <c r="AU47" s="162">
        <f t="shared" si="15"/>
        <v>0</v>
      </c>
      <c r="AV47" s="162">
        <f t="shared" si="16"/>
        <v>0</v>
      </c>
      <c r="AW47" s="162">
        <f t="array" ref="AW47">IF($AV$9=0,0,MMULT($AH47:$AM47, AV$3:AV$8)/$AV$9)</f>
        <v>0</v>
      </c>
      <c r="AX47" s="162">
        <f t="array" ref="AX47">IF($AW$9=0,0,MMULT($AH47:$AM47, AW$3:AW$8)/$AW$9)</f>
        <v>0</v>
      </c>
      <c r="AY47" s="162">
        <f t="shared" si="17"/>
        <v>0</v>
      </c>
      <c r="AZ47" s="162">
        <f t="array" ref="AZ47">IF($AY$9=0,0,MMULT($AH47:$AM47, AY$3:AY$8)/$AY$9)</f>
        <v>0</v>
      </c>
      <c r="BA47" s="162">
        <f t="array" ref="BA47">IF($AZ$9=0,0,MMULT($AH47:$AM47, AZ$3:AZ$8)/$AZ$9)</f>
        <v>0</v>
      </c>
      <c r="BB47" s="162">
        <f t="array" ref="BB47">IF($BA$9=0,0,MMULT($AH47:$AM47, BA$3:BA$8)/$BA$9)</f>
        <v>0</v>
      </c>
      <c r="BC47" s="162">
        <f t="array" ref="BC47">IF($BB$9=0,0,MMULT($AH47:$AM47, BB$3:BB$8)/$BB$9)</f>
        <v>0</v>
      </c>
      <c r="BD47" s="162">
        <f t="array" ref="BD47">IF($BC$9=0,0,MMULT($AH47:$AM47, BC$3:BC$8)/$BC$9)</f>
        <v>0</v>
      </c>
      <c r="BE47" s="162">
        <f t="shared" si="18"/>
        <v>0</v>
      </c>
      <c r="BF47" s="162">
        <f t="shared" si="19"/>
        <v>0</v>
      </c>
      <c r="BG47" s="161">
        <f>IF(OR(GradeSheet!$L42="W (Withdrawn)", GradeSheet!$L42="I (Incomplete)"), 0, IF(AU47&gt;=65%, 1, 0))</f>
        <v>0</v>
      </c>
      <c r="BH47" s="161">
        <f>IF(OR(GradeSheet!$L42="W (Withdrawn)", GradeSheet!$L42="I (Incomplete)"), 0, IF(AV47&gt;=65%, 1, 0))</f>
        <v>0</v>
      </c>
      <c r="BI47" s="161">
        <f>IF(OR(GradeSheet!$L42="W (Withdrawn)", GradeSheet!$L42="I (Incomplete)"), 0, IF(AW47&gt;=65%, 1, 0))</f>
        <v>0</v>
      </c>
      <c r="BJ47" s="161">
        <f>IF(OR(GradeSheet!$L42="W (Withdrawn)", GradeSheet!$L42="I (Incomplete)"), 0, IF(AX47&gt;=65%, 1, 0))</f>
        <v>0</v>
      </c>
      <c r="BK47" s="161">
        <f>IF(OR(GradeSheet!$L42="W (Withdrawn)", GradeSheet!$L42="I (Incomplete)"), 0, IF(AY47&gt;=65%, 1, 0))</f>
        <v>0</v>
      </c>
      <c r="BL47" s="161">
        <f>IF(OR(GradeSheet!$L42="W (Withdrawn)", GradeSheet!$L42="I (Incomplete)"), 0, IF(AZ47&gt;=65%, 1, 0))</f>
        <v>0</v>
      </c>
      <c r="BM47" s="161">
        <f>IF(OR(GradeSheet!$L42="W (Withdrawn)", GradeSheet!$L42="I (Incomplete)"), 0, IF(BA47&gt;=65%, 1, 0))</f>
        <v>0</v>
      </c>
      <c r="BN47" s="161">
        <f>IF(OR(GradeSheet!$L42="W (Withdrawn)", GradeSheet!$L42="I (Incomplete)"), 0, IF(BB47&gt;=65%, 1, 0))</f>
        <v>0</v>
      </c>
      <c r="BO47" s="161">
        <f>IF(OR(GradeSheet!$L42="W (Withdrawn)", GradeSheet!$L42="I (Incomplete)"), 0, IF(BC47&gt;=65%, 1, 0))</f>
        <v>0</v>
      </c>
      <c r="BP47" s="161">
        <f>IF(OR(GradeSheet!$L42="W (Withdrawn)", GradeSheet!$L42="I (Incomplete)"), 0, IF(BD47&gt;=65%, 1, 0))</f>
        <v>0</v>
      </c>
      <c r="BQ47" s="161">
        <f>IF(OR(GradeSheet!$L42="W (Withdrawn)", GradeSheet!$L42="I (Incomplete)"), 0, IF(BE47&gt;=65%, 1, 0))</f>
        <v>0</v>
      </c>
      <c r="BR47" s="161">
        <f>IF(OR(GradeSheet!$L42="W (Withdrawn)", GradeSheet!$L42="I (Incomplete)"), 0, IF(BF47&gt;=65%, 1, 0))</f>
        <v>0</v>
      </c>
    </row>
    <row r="48" ht="15.75" customHeight="1">
      <c r="A48" s="181">
        <v>34.0</v>
      </c>
      <c r="B48" s="149" t="s">
        <v>146</v>
      </c>
      <c r="C48" s="150" t="s">
        <v>147</v>
      </c>
      <c r="D48" s="152"/>
      <c r="E48" s="152">
        <v>0.0</v>
      </c>
      <c r="F48" s="154"/>
      <c r="G48" s="135"/>
      <c r="H48" s="154"/>
      <c r="I48" s="154"/>
      <c r="J48" s="152"/>
      <c r="K48" s="152"/>
      <c r="L48" s="152"/>
      <c r="M48" s="154"/>
      <c r="N48" s="135"/>
      <c r="O48" s="79"/>
      <c r="P48" s="155"/>
      <c r="Q48" s="156"/>
      <c r="R48" s="156"/>
      <c r="S48" s="156"/>
      <c r="T48" s="156"/>
      <c r="U48" s="157"/>
      <c r="V48" s="155"/>
      <c r="W48" s="156"/>
      <c r="X48" s="156"/>
      <c r="Y48" s="156"/>
      <c r="Z48" s="156"/>
      <c r="AA48" s="157"/>
      <c r="AB48" s="158">
        <f t="shared" ref="AB48:AE48" si="82">SUM(V48,D48,J48)</f>
        <v>0</v>
      </c>
      <c r="AC48" s="159">
        <f t="shared" si="82"/>
        <v>0</v>
      </c>
      <c r="AD48" s="183">
        <f t="shared" si="82"/>
        <v>0</v>
      </c>
      <c r="AE48" s="183">
        <f t="shared" si="82"/>
        <v>0</v>
      </c>
      <c r="AF48" s="159">
        <f t="shared" si="12"/>
        <v>0</v>
      </c>
      <c r="AG48" s="183">
        <f t="shared" si="13"/>
        <v>0</v>
      </c>
      <c r="AH48" s="160">
        <f t="shared" ref="AH48:AM48" si="83">IF(AB48 = 0, 0, AB48/AB$14)</f>
        <v>0</v>
      </c>
      <c r="AI48" s="160">
        <f t="shared" si="83"/>
        <v>0</v>
      </c>
      <c r="AJ48" s="160">
        <f t="shared" si="83"/>
        <v>0</v>
      </c>
      <c r="AK48" s="160">
        <f t="shared" si="83"/>
        <v>0</v>
      </c>
      <c r="AL48" s="160">
        <f t="shared" si="83"/>
        <v>0</v>
      </c>
      <c r="AM48" s="160">
        <f t="shared" si="83"/>
        <v>0</v>
      </c>
      <c r="AN48" s="161">
        <f>IF(OR(GradeSheet!$L43="W (Withdrawn)", GradeSheet!$L43="I (Incomplete)"), 0, IF(AH48&gt;=55%, 1, 0))</f>
        <v>0</v>
      </c>
      <c r="AO48" s="161">
        <f>IF(OR(GradeSheet!$L43="W (Withdrawn)", GradeSheet!$L43="I (Incomplete)"), 0, IF(AI48&gt;=55%, 1, 0))</f>
        <v>0</v>
      </c>
      <c r="AP48" s="161">
        <f>IF(OR(GradeSheet!$L43="W (Withdrawn)", GradeSheet!$L43="I (Incomplete)"), 0, IF(AJ48&gt;=55%, 1, 0))</f>
        <v>0</v>
      </c>
      <c r="AQ48" s="161">
        <f>IF(OR(GradeSheet!$L43="W (Withdrawn)", GradeSheet!$L43="I (Incomplete)"), 0, IF(AK48&gt;=55%, 1, 0))</f>
        <v>0</v>
      </c>
      <c r="AR48" s="161">
        <f>IF(OR(GradeSheet!$L43="W (Withdrawn)", GradeSheet!$L43="I (Incomplete)"), 0, IF(AL48&gt;=55%, 1, 0))</f>
        <v>0</v>
      </c>
      <c r="AS48" s="161">
        <f>IF(OR(GradeSheet!$L43="W (Withdrawn)", GradeSheet!$L43="I (Incomplete)"), 0, IF(AM48&gt;=55%, 1, 0))</f>
        <v>0</v>
      </c>
      <c r="AT48" s="129"/>
      <c r="AU48" s="162">
        <f t="shared" si="15"/>
        <v>0</v>
      </c>
      <c r="AV48" s="162">
        <f t="shared" si="16"/>
        <v>0</v>
      </c>
      <c r="AW48" s="162">
        <f t="array" ref="AW48">IF($AV$9=0,0,MMULT($AH48:$AM48, AV$3:AV$8)/$AV$9)</f>
        <v>0</v>
      </c>
      <c r="AX48" s="162">
        <f t="array" ref="AX48">IF($AW$9=0,0,MMULT($AH48:$AM48, AW$3:AW$8)/$AW$9)</f>
        <v>0</v>
      </c>
      <c r="AY48" s="162">
        <f t="shared" si="17"/>
        <v>0</v>
      </c>
      <c r="AZ48" s="162">
        <f t="array" ref="AZ48">IF($AY$9=0,0,MMULT($AH48:$AM48, AY$3:AY$8)/$AY$9)</f>
        <v>0</v>
      </c>
      <c r="BA48" s="162">
        <f t="array" ref="BA48">IF($AZ$9=0,0,MMULT($AH48:$AM48, AZ$3:AZ$8)/$AZ$9)</f>
        <v>0</v>
      </c>
      <c r="BB48" s="162">
        <f t="array" ref="BB48">IF($BA$9=0,0,MMULT($AH48:$AM48, BA$3:BA$8)/$BA$9)</f>
        <v>0</v>
      </c>
      <c r="BC48" s="162">
        <f t="array" ref="BC48">IF($BB$9=0,0,MMULT($AH48:$AM48, BB$3:BB$8)/$BB$9)</f>
        <v>0</v>
      </c>
      <c r="BD48" s="162">
        <f t="array" ref="BD48">IF($BC$9=0,0,MMULT($AH48:$AM48, BC$3:BC$8)/$BC$9)</f>
        <v>0</v>
      </c>
      <c r="BE48" s="162">
        <f t="shared" si="18"/>
        <v>0</v>
      </c>
      <c r="BF48" s="162">
        <f t="shared" si="19"/>
        <v>0</v>
      </c>
      <c r="BG48" s="161">
        <f>IF(OR(GradeSheet!$L43="W (Withdrawn)", GradeSheet!$L43="I (Incomplete)"), 0, IF(AU48&gt;=65%, 1, 0))</f>
        <v>0</v>
      </c>
      <c r="BH48" s="161">
        <f>IF(OR(GradeSheet!$L43="W (Withdrawn)", GradeSheet!$L43="I (Incomplete)"), 0, IF(AV48&gt;=65%, 1, 0))</f>
        <v>0</v>
      </c>
      <c r="BI48" s="161">
        <f>IF(OR(GradeSheet!$L43="W (Withdrawn)", GradeSheet!$L43="I (Incomplete)"), 0, IF(AW48&gt;=65%, 1, 0))</f>
        <v>0</v>
      </c>
      <c r="BJ48" s="161">
        <f>IF(OR(GradeSheet!$L43="W (Withdrawn)", GradeSheet!$L43="I (Incomplete)"), 0, IF(AX48&gt;=65%, 1, 0))</f>
        <v>0</v>
      </c>
      <c r="BK48" s="161">
        <f>IF(OR(GradeSheet!$L43="W (Withdrawn)", GradeSheet!$L43="I (Incomplete)"), 0, IF(AY48&gt;=65%, 1, 0))</f>
        <v>0</v>
      </c>
      <c r="BL48" s="161">
        <f>IF(OR(GradeSheet!$L43="W (Withdrawn)", GradeSheet!$L43="I (Incomplete)"), 0, IF(AZ48&gt;=65%, 1, 0))</f>
        <v>0</v>
      </c>
      <c r="BM48" s="161">
        <f>IF(OR(GradeSheet!$L43="W (Withdrawn)", GradeSheet!$L43="I (Incomplete)"), 0, IF(BA48&gt;=65%, 1, 0))</f>
        <v>0</v>
      </c>
      <c r="BN48" s="161">
        <f>IF(OR(GradeSheet!$L43="W (Withdrawn)", GradeSheet!$L43="I (Incomplete)"), 0, IF(BB48&gt;=65%, 1, 0))</f>
        <v>0</v>
      </c>
      <c r="BO48" s="161">
        <f>IF(OR(GradeSheet!$L43="W (Withdrawn)", GradeSheet!$L43="I (Incomplete)"), 0, IF(BC48&gt;=65%, 1, 0))</f>
        <v>0</v>
      </c>
      <c r="BP48" s="161">
        <f>IF(OR(GradeSheet!$L43="W (Withdrawn)", GradeSheet!$L43="I (Incomplete)"), 0, IF(BD48&gt;=65%, 1, 0))</f>
        <v>0</v>
      </c>
      <c r="BQ48" s="161">
        <f>IF(OR(GradeSheet!$L43="W (Withdrawn)", GradeSheet!$L43="I (Incomplete)"), 0, IF(BE48&gt;=65%, 1, 0))</f>
        <v>0</v>
      </c>
      <c r="BR48" s="161">
        <f>IF(OR(GradeSheet!$L43="W (Withdrawn)", GradeSheet!$L43="I (Incomplete)"), 0, IF(BF48&gt;=65%, 1, 0))</f>
        <v>0</v>
      </c>
    </row>
    <row r="49" ht="15.75" customHeight="1">
      <c r="A49" s="148">
        <v>35.0</v>
      </c>
      <c r="B49" s="149" t="s">
        <v>148</v>
      </c>
      <c r="C49" s="182" t="s">
        <v>149</v>
      </c>
      <c r="D49" s="152">
        <v>3.0</v>
      </c>
      <c r="E49" s="152">
        <v>3.0</v>
      </c>
      <c r="F49" s="154"/>
      <c r="G49" s="135"/>
      <c r="H49" s="154"/>
      <c r="I49" s="154"/>
      <c r="J49" s="152"/>
      <c r="K49" s="152"/>
      <c r="L49" s="152"/>
      <c r="M49" s="154"/>
      <c r="N49" s="135"/>
      <c r="O49" s="79"/>
      <c r="P49" s="155"/>
      <c r="Q49" s="156"/>
      <c r="R49" s="156"/>
      <c r="S49" s="156"/>
      <c r="T49" s="156"/>
      <c r="U49" s="157"/>
      <c r="V49" s="155"/>
      <c r="W49" s="156"/>
      <c r="X49" s="156"/>
      <c r="Y49" s="156"/>
      <c r="Z49" s="156"/>
      <c r="AA49" s="157"/>
      <c r="AB49" s="158">
        <f t="shared" ref="AB49:AE49" si="84">SUM(V49,D49,J49)</f>
        <v>3</v>
      </c>
      <c r="AC49" s="159">
        <f t="shared" si="84"/>
        <v>3</v>
      </c>
      <c r="AD49" s="183">
        <f t="shared" si="84"/>
        <v>0</v>
      </c>
      <c r="AE49" s="183">
        <f t="shared" si="84"/>
        <v>0</v>
      </c>
      <c r="AF49" s="159">
        <f t="shared" si="12"/>
        <v>0</v>
      </c>
      <c r="AG49" s="183">
        <f t="shared" si="13"/>
        <v>0</v>
      </c>
      <c r="AH49" s="160">
        <f t="shared" ref="AH49:AM49" si="85">IF(AB49 = 0, 0, AB49/AB$14)</f>
        <v>0.1153846154</v>
      </c>
      <c r="AI49" s="160">
        <f t="shared" si="85"/>
        <v>0.1034482759</v>
      </c>
      <c r="AJ49" s="160">
        <f t="shared" si="85"/>
        <v>0</v>
      </c>
      <c r="AK49" s="160">
        <f t="shared" si="85"/>
        <v>0</v>
      </c>
      <c r="AL49" s="160">
        <f t="shared" si="85"/>
        <v>0</v>
      </c>
      <c r="AM49" s="160">
        <f t="shared" si="85"/>
        <v>0</v>
      </c>
      <c r="AN49" s="161">
        <f>IF(OR(GradeSheet!$L44="W (Withdrawn)", GradeSheet!$L44="I (Incomplete)"), 0, IF(AH49&gt;=55%, 1, 0))</f>
        <v>0</v>
      </c>
      <c r="AO49" s="161">
        <f>IF(OR(GradeSheet!$L44="W (Withdrawn)", GradeSheet!$L44="I (Incomplete)"), 0, IF(AI49&gt;=55%, 1, 0))</f>
        <v>0</v>
      </c>
      <c r="AP49" s="161">
        <f>IF(OR(GradeSheet!$L44="W (Withdrawn)", GradeSheet!$L44="I (Incomplete)"), 0, IF(AJ49&gt;=55%, 1, 0))</f>
        <v>0</v>
      </c>
      <c r="AQ49" s="161">
        <f>IF(OR(GradeSheet!$L44="W (Withdrawn)", GradeSheet!$L44="I (Incomplete)"), 0, IF(AK49&gt;=55%, 1, 0))</f>
        <v>0</v>
      </c>
      <c r="AR49" s="161">
        <f>IF(OR(GradeSheet!$L44="W (Withdrawn)", GradeSheet!$L44="I (Incomplete)"), 0, IF(AL49&gt;=55%, 1, 0))</f>
        <v>0</v>
      </c>
      <c r="AS49" s="161">
        <f>IF(OR(GradeSheet!$L44="W (Withdrawn)", GradeSheet!$L44="I (Incomplete)"), 0, IF(AM49&gt;=55%, 1, 0))</f>
        <v>0</v>
      </c>
      <c r="AT49" s="129"/>
      <c r="AU49" s="162">
        <f t="shared" si="15"/>
        <v>0</v>
      </c>
      <c r="AV49" s="162">
        <f t="shared" si="16"/>
        <v>0</v>
      </c>
      <c r="AW49" s="162">
        <f t="array" ref="AW49">IF($AV$9=0,0,MMULT($AH49:$AM49, AV$3:AV$8)/$AV$9)</f>
        <v>0</v>
      </c>
      <c r="AX49" s="162">
        <f t="array" ref="AX49">IF($AW$9=0,0,MMULT($AH49:$AM49, AW$3:AW$8)/$AW$9)</f>
        <v>0</v>
      </c>
      <c r="AY49" s="162">
        <f t="shared" si="17"/>
        <v>0</v>
      </c>
      <c r="AZ49" s="162">
        <f t="array" ref="AZ49">IF($AY$9=0,0,MMULT($AH49:$AM49, AY$3:AY$8)/$AY$9)</f>
        <v>0</v>
      </c>
      <c r="BA49" s="162">
        <f t="array" ref="BA49">IF($AZ$9=0,0,MMULT($AH49:$AM49, AZ$3:AZ$8)/$AZ$9)</f>
        <v>0</v>
      </c>
      <c r="BB49" s="162">
        <f t="array" ref="BB49">IF($BA$9=0,0,MMULT($AH49:$AM49, BA$3:BA$8)/$BA$9)</f>
        <v>0</v>
      </c>
      <c r="BC49" s="162">
        <f t="array" ref="BC49">IF($BB$9=0,0,MMULT($AH49:$AM49, BB$3:BB$8)/$BB$9)</f>
        <v>0</v>
      </c>
      <c r="BD49" s="162">
        <f t="array" ref="BD49">IF($BC$9=0,0,MMULT($AH49:$AM49, BC$3:BC$8)/$BC$9)</f>
        <v>0</v>
      </c>
      <c r="BE49" s="162">
        <f t="shared" si="18"/>
        <v>0</v>
      </c>
      <c r="BF49" s="162">
        <f t="shared" si="19"/>
        <v>0</v>
      </c>
      <c r="BG49" s="161">
        <f>IF(OR(GradeSheet!$L44="W (Withdrawn)", GradeSheet!$L44="I (Incomplete)"), 0, IF(AU49&gt;=65%, 1, 0))</f>
        <v>0</v>
      </c>
      <c r="BH49" s="161">
        <f>IF(OR(GradeSheet!$L44="W (Withdrawn)", GradeSheet!$L44="I (Incomplete)"), 0, IF(AV49&gt;=65%, 1, 0))</f>
        <v>0</v>
      </c>
      <c r="BI49" s="161">
        <f>IF(OR(GradeSheet!$L44="W (Withdrawn)", GradeSheet!$L44="I (Incomplete)"), 0, IF(AW49&gt;=65%, 1, 0))</f>
        <v>0</v>
      </c>
      <c r="BJ49" s="161">
        <f>IF(OR(GradeSheet!$L44="W (Withdrawn)", GradeSheet!$L44="I (Incomplete)"), 0, IF(AX49&gt;=65%, 1, 0))</f>
        <v>0</v>
      </c>
      <c r="BK49" s="161">
        <f>IF(OR(GradeSheet!$L44="W (Withdrawn)", GradeSheet!$L44="I (Incomplete)"), 0, IF(AY49&gt;=65%, 1, 0))</f>
        <v>0</v>
      </c>
      <c r="BL49" s="161">
        <f>IF(OR(GradeSheet!$L44="W (Withdrawn)", GradeSheet!$L44="I (Incomplete)"), 0, IF(AZ49&gt;=65%, 1, 0))</f>
        <v>0</v>
      </c>
      <c r="BM49" s="161">
        <f>IF(OR(GradeSheet!$L44="W (Withdrawn)", GradeSheet!$L44="I (Incomplete)"), 0, IF(BA49&gt;=65%, 1, 0))</f>
        <v>0</v>
      </c>
      <c r="BN49" s="161">
        <f>IF(OR(GradeSheet!$L44="W (Withdrawn)", GradeSheet!$L44="I (Incomplete)"), 0, IF(BB49&gt;=65%, 1, 0))</f>
        <v>0</v>
      </c>
      <c r="BO49" s="161">
        <f>IF(OR(GradeSheet!$L44="W (Withdrawn)", GradeSheet!$L44="I (Incomplete)"), 0, IF(BC49&gt;=65%, 1, 0))</f>
        <v>0</v>
      </c>
      <c r="BP49" s="161">
        <f>IF(OR(GradeSheet!$L44="W (Withdrawn)", GradeSheet!$L44="I (Incomplete)"), 0, IF(BD49&gt;=65%, 1, 0))</f>
        <v>0</v>
      </c>
      <c r="BQ49" s="161">
        <f>IF(OR(GradeSheet!$L44="W (Withdrawn)", GradeSheet!$L44="I (Incomplete)"), 0, IF(BE49&gt;=65%, 1, 0))</f>
        <v>0</v>
      </c>
      <c r="BR49" s="161">
        <f>IF(OR(GradeSheet!$L44="W (Withdrawn)", GradeSheet!$L44="I (Incomplete)"), 0, IF(BF49&gt;=65%, 1, 0))</f>
        <v>0</v>
      </c>
    </row>
    <row r="50" ht="15.75" customHeight="1">
      <c r="A50" s="181">
        <v>36.0</v>
      </c>
      <c r="B50" s="149" t="s">
        <v>150</v>
      </c>
      <c r="C50" s="182" t="s">
        <v>151</v>
      </c>
      <c r="D50" s="152">
        <v>0.0</v>
      </c>
      <c r="E50" s="152"/>
      <c r="F50" s="154"/>
      <c r="G50" s="135"/>
      <c r="H50" s="154"/>
      <c r="I50" s="154"/>
      <c r="J50" s="152">
        <v>11.5</v>
      </c>
      <c r="K50" s="152"/>
      <c r="L50" s="152">
        <v>6.5</v>
      </c>
      <c r="M50" s="154"/>
      <c r="N50" s="135"/>
      <c r="O50" s="79"/>
      <c r="P50" s="155"/>
      <c r="Q50" s="156"/>
      <c r="R50" s="156"/>
      <c r="S50" s="156"/>
      <c r="T50" s="156"/>
      <c r="U50" s="157"/>
      <c r="V50" s="155"/>
      <c r="W50" s="156"/>
      <c r="X50" s="156"/>
      <c r="Y50" s="156"/>
      <c r="Z50" s="156"/>
      <c r="AA50" s="157"/>
      <c r="AB50" s="158">
        <f t="shared" ref="AB50:AE50" si="86">SUM(V50,D50,J50)</f>
        <v>11.5</v>
      </c>
      <c r="AC50" s="159">
        <f t="shared" si="86"/>
        <v>0</v>
      </c>
      <c r="AD50" s="183">
        <f t="shared" si="86"/>
        <v>6.5</v>
      </c>
      <c r="AE50" s="183">
        <f t="shared" si="86"/>
        <v>0</v>
      </c>
      <c r="AF50" s="159">
        <f t="shared" si="12"/>
        <v>0</v>
      </c>
      <c r="AG50" s="183">
        <f t="shared" si="13"/>
        <v>0</v>
      </c>
      <c r="AH50" s="160">
        <f t="shared" ref="AH50:AM50" si="87">IF(AB50 = 0, 0, AB50/AB$14)</f>
        <v>0.4423076923</v>
      </c>
      <c r="AI50" s="160">
        <f t="shared" si="87"/>
        <v>0</v>
      </c>
      <c r="AJ50" s="160">
        <f t="shared" si="87"/>
        <v>0.65</v>
      </c>
      <c r="AK50" s="160">
        <f t="shared" si="87"/>
        <v>0</v>
      </c>
      <c r="AL50" s="160">
        <f t="shared" si="87"/>
        <v>0</v>
      </c>
      <c r="AM50" s="160">
        <f t="shared" si="87"/>
        <v>0</v>
      </c>
      <c r="AN50" s="161">
        <f>IF(OR(GradeSheet!$L45="W (Withdrawn)", GradeSheet!$L45="I (Incomplete)"), 0, IF(AH50&gt;=55%, 1, 0))</f>
        <v>0</v>
      </c>
      <c r="AO50" s="161">
        <f>IF(OR(GradeSheet!$L45="W (Withdrawn)", GradeSheet!$L45="I (Incomplete)"), 0, IF(AI50&gt;=55%, 1, 0))</f>
        <v>0</v>
      </c>
      <c r="AP50" s="161">
        <f>IF(OR(GradeSheet!$L45="W (Withdrawn)", GradeSheet!$L45="I (Incomplete)"), 0, IF(AJ50&gt;=55%, 1, 0))</f>
        <v>1</v>
      </c>
      <c r="AQ50" s="161">
        <f>IF(OR(GradeSheet!$L45="W (Withdrawn)", GradeSheet!$L45="I (Incomplete)"), 0, IF(AK50&gt;=55%, 1, 0))</f>
        <v>0</v>
      </c>
      <c r="AR50" s="161">
        <f>IF(OR(GradeSheet!$L45="W (Withdrawn)", GradeSheet!$L45="I (Incomplete)"), 0, IF(AL50&gt;=55%, 1, 0))</f>
        <v>0</v>
      </c>
      <c r="AS50" s="161">
        <f>IF(OR(GradeSheet!$L45="W (Withdrawn)", GradeSheet!$L45="I (Incomplete)"), 0, IF(AM50&gt;=55%, 1, 0))</f>
        <v>0</v>
      </c>
      <c r="AT50" s="129"/>
      <c r="AU50" s="162">
        <f t="shared" si="15"/>
        <v>0</v>
      </c>
      <c r="AV50" s="162">
        <f t="shared" si="16"/>
        <v>0</v>
      </c>
      <c r="AW50" s="162">
        <f t="array" ref="AW50">IF($AV$9=0,0,MMULT($AH50:$AM50, AV$3:AV$8)/$AV$9)</f>
        <v>0</v>
      </c>
      <c r="AX50" s="162">
        <f t="array" ref="AX50">IF($AW$9=0,0,MMULT($AH50:$AM50, AW$3:AW$8)/$AW$9)</f>
        <v>0</v>
      </c>
      <c r="AY50" s="162">
        <f t="shared" si="17"/>
        <v>0</v>
      </c>
      <c r="AZ50" s="162">
        <f t="array" ref="AZ50">IF($AY$9=0,0,MMULT($AH50:$AM50, AY$3:AY$8)/$AY$9)</f>
        <v>0</v>
      </c>
      <c r="BA50" s="162">
        <f t="array" ref="BA50">IF($AZ$9=0,0,MMULT($AH50:$AM50, AZ$3:AZ$8)/$AZ$9)</f>
        <v>0</v>
      </c>
      <c r="BB50" s="162">
        <f t="array" ref="BB50">IF($BA$9=0,0,MMULT($AH50:$AM50, BA$3:BA$8)/$BA$9)</f>
        <v>0</v>
      </c>
      <c r="BC50" s="162">
        <f t="array" ref="BC50">IF($BB$9=0,0,MMULT($AH50:$AM50, BB$3:BB$8)/$BB$9)</f>
        <v>0</v>
      </c>
      <c r="BD50" s="162">
        <f t="array" ref="BD50">IF($BC$9=0,0,MMULT($AH50:$AM50, BC$3:BC$8)/$BC$9)</f>
        <v>0</v>
      </c>
      <c r="BE50" s="162">
        <f t="shared" si="18"/>
        <v>0</v>
      </c>
      <c r="BF50" s="162">
        <f t="shared" si="19"/>
        <v>0</v>
      </c>
      <c r="BG50" s="161">
        <f>IF(OR(GradeSheet!$L45="W (Withdrawn)", GradeSheet!$L45="I (Incomplete)"), 0, IF(AU50&gt;=65%, 1, 0))</f>
        <v>0</v>
      </c>
      <c r="BH50" s="161">
        <f>IF(OR(GradeSheet!$L45="W (Withdrawn)", GradeSheet!$L45="I (Incomplete)"), 0, IF(AV50&gt;=65%, 1, 0))</f>
        <v>0</v>
      </c>
      <c r="BI50" s="161">
        <f>IF(OR(GradeSheet!$L45="W (Withdrawn)", GradeSheet!$L45="I (Incomplete)"), 0, IF(AW50&gt;=65%, 1, 0))</f>
        <v>0</v>
      </c>
      <c r="BJ50" s="161">
        <f>IF(OR(GradeSheet!$L45="W (Withdrawn)", GradeSheet!$L45="I (Incomplete)"), 0, IF(AX50&gt;=65%, 1, 0))</f>
        <v>0</v>
      </c>
      <c r="BK50" s="161">
        <f>IF(OR(GradeSheet!$L45="W (Withdrawn)", GradeSheet!$L45="I (Incomplete)"), 0, IF(AY50&gt;=65%, 1, 0))</f>
        <v>0</v>
      </c>
      <c r="BL50" s="161">
        <f>IF(OR(GradeSheet!$L45="W (Withdrawn)", GradeSheet!$L45="I (Incomplete)"), 0, IF(AZ50&gt;=65%, 1, 0))</f>
        <v>0</v>
      </c>
      <c r="BM50" s="161">
        <f>IF(OR(GradeSheet!$L45="W (Withdrawn)", GradeSheet!$L45="I (Incomplete)"), 0, IF(BA50&gt;=65%, 1, 0))</f>
        <v>0</v>
      </c>
      <c r="BN50" s="161">
        <f>IF(OR(GradeSheet!$L45="W (Withdrawn)", GradeSheet!$L45="I (Incomplete)"), 0, IF(BB50&gt;=65%, 1, 0))</f>
        <v>0</v>
      </c>
      <c r="BO50" s="161">
        <f>IF(OR(GradeSheet!$L45="W (Withdrawn)", GradeSheet!$L45="I (Incomplete)"), 0, IF(BC50&gt;=65%, 1, 0))</f>
        <v>0</v>
      </c>
      <c r="BP50" s="161">
        <f>IF(OR(GradeSheet!$L45="W (Withdrawn)", GradeSheet!$L45="I (Incomplete)"), 0, IF(BD50&gt;=65%, 1, 0))</f>
        <v>0</v>
      </c>
      <c r="BQ50" s="161">
        <f>IF(OR(GradeSheet!$L45="W (Withdrawn)", GradeSheet!$L45="I (Incomplete)"), 0, IF(BE50&gt;=65%, 1, 0))</f>
        <v>0</v>
      </c>
      <c r="BR50" s="161">
        <f>IF(OR(GradeSheet!$L45="W (Withdrawn)", GradeSheet!$L45="I (Incomplete)"), 0, IF(BF50&gt;=65%, 1, 0))</f>
        <v>0</v>
      </c>
    </row>
    <row r="51" ht="15.75" customHeight="1">
      <c r="A51" s="148">
        <v>37.0</v>
      </c>
      <c r="B51" s="149" t="s">
        <v>152</v>
      </c>
      <c r="C51" s="182" t="s">
        <v>153</v>
      </c>
      <c r="D51" s="152"/>
      <c r="E51" s="152"/>
      <c r="F51" s="154"/>
      <c r="G51" s="135"/>
      <c r="H51" s="154"/>
      <c r="I51" s="154"/>
      <c r="J51" s="152"/>
      <c r="K51" s="152"/>
      <c r="L51" s="152"/>
      <c r="M51" s="154"/>
      <c r="N51" s="135"/>
      <c r="O51" s="79"/>
      <c r="P51" s="155"/>
      <c r="Q51" s="156"/>
      <c r="R51" s="156"/>
      <c r="S51" s="156"/>
      <c r="T51" s="156"/>
      <c r="U51" s="157"/>
      <c r="V51" s="155"/>
      <c r="W51" s="156"/>
      <c r="X51" s="156"/>
      <c r="Y51" s="156"/>
      <c r="Z51" s="156"/>
      <c r="AA51" s="157"/>
      <c r="AB51" s="158">
        <f t="shared" ref="AB51:AE51" si="88">SUM(V51,D51,J51)</f>
        <v>0</v>
      </c>
      <c r="AC51" s="159">
        <f t="shared" si="88"/>
        <v>0</v>
      </c>
      <c r="AD51" s="183">
        <f t="shared" si="88"/>
        <v>0</v>
      </c>
      <c r="AE51" s="183">
        <f t="shared" si="88"/>
        <v>0</v>
      </c>
      <c r="AF51" s="159">
        <f t="shared" si="12"/>
        <v>0</v>
      </c>
      <c r="AG51" s="183">
        <f t="shared" si="13"/>
        <v>0</v>
      </c>
      <c r="AH51" s="160">
        <f t="shared" ref="AH51:AM51" si="89">IF(AB51 = 0, 0, AB51/AB$14)</f>
        <v>0</v>
      </c>
      <c r="AI51" s="160">
        <f t="shared" si="89"/>
        <v>0</v>
      </c>
      <c r="AJ51" s="160">
        <f t="shared" si="89"/>
        <v>0</v>
      </c>
      <c r="AK51" s="160">
        <f t="shared" si="89"/>
        <v>0</v>
      </c>
      <c r="AL51" s="160">
        <f t="shared" si="89"/>
        <v>0</v>
      </c>
      <c r="AM51" s="160">
        <f t="shared" si="89"/>
        <v>0</v>
      </c>
      <c r="AN51" s="161">
        <f>IF(OR(GradeSheet!$L46="W (Withdrawn)", GradeSheet!$L46="I (Incomplete)"), 0, IF(AH51&gt;=55%, 1, 0))</f>
        <v>0</v>
      </c>
      <c r="AO51" s="161">
        <f>IF(OR(GradeSheet!$L46="W (Withdrawn)", GradeSheet!$L46="I (Incomplete)"), 0, IF(AI51&gt;=55%, 1, 0))</f>
        <v>0</v>
      </c>
      <c r="AP51" s="161">
        <f>IF(OR(GradeSheet!$L46="W (Withdrawn)", GradeSheet!$L46="I (Incomplete)"), 0, IF(AJ51&gt;=55%, 1, 0))</f>
        <v>0</v>
      </c>
      <c r="AQ51" s="161">
        <f>IF(OR(GradeSheet!$L46="W (Withdrawn)", GradeSheet!$L46="I (Incomplete)"), 0, IF(AK51&gt;=55%, 1, 0))</f>
        <v>0</v>
      </c>
      <c r="AR51" s="161">
        <f>IF(OR(GradeSheet!$L46="W (Withdrawn)", GradeSheet!$L46="I (Incomplete)"), 0, IF(AL51&gt;=55%, 1, 0))</f>
        <v>0</v>
      </c>
      <c r="AS51" s="161">
        <f>IF(OR(GradeSheet!$L46="W (Withdrawn)", GradeSheet!$L46="I (Incomplete)"), 0, IF(AM51&gt;=55%, 1, 0))</f>
        <v>0</v>
      </c>
      <c r="AT51" s="129"/>
      <c r="AU51" s="162">
        <f t="shared" si="15"/>
        <v>0</v>
      </c>
      <c r="AV51" s="162">
        <f t="shared" si="16"/>
        <v>0</v>
      </c>
      <c r="AW51" s="162">
        <f t="array" ref="AW51">IF($AV$9=0,0,MMULT($AH51:$AM51, AV$3:AV$8)/$AV$9)</f>
        <v>0</v>
      </c>
      <c r="AX51" s="162">
        <f t="array" ref="AX51">IF($AW$9=0,0,MMULT($AH51:$AM51, AW$3:AW$8)/$AW$9)</f>
        <v>0</v>
      </c>
      <c r="AY51" s="162">
        <f t="shared" si="17"/>
        <v>0</v>
      </c>
      <c r="AZ51" s="162">
        <f t="array" ref="AZ51">IF($AY$9=0,0,MMULT($AH51:$AM51, AY$3:AY$8)/$AY$9)</f>
        <v>0</v>
      </c>
      <c r="BA51" s="162">
        <f t="array" ref="BA51">IF($AZ$9=0,0,MMULT($AH51:$AM51, AZ$3:AZ$8)/$AZ$9)</f>
        <v>0</v>
      </c>
      <c r="BB51" s="162">
        <f t="array" ref="BB51">IF($BA$9=0,0,MMULT($AH51:$AM51, BA$3:BA$8)/$BA$9)</f>
        <v>0</v>
      </c>
      <c r="BC51" s="162">
        <f t="array" ref="BC51">IF($BB$9=0,0,MMULT($AH51:$AM51, BB$3:BB$8)/$BB$9)</f>
        <v>0</v>
      </c>
      <c r="BD51" s="162">
        <f t="array" ref="BD51">IF($BC$9=0,0,MMULT($AH51:$AM51, BC$3:BC$8)/$BC$9)</f>
        <v>0</v>
      </c>
      <c r="BE51" s="162">
        <f t="shared" si="18"/>
        <v>0</v>
      </c>
      <c r="BF51" s="162">
        <f t="shared" si="19"/>
        <v>0</v>
      </c>
      <c r="BG51" s="161">
        <f>IF(OR(GradeSheet!$L46="W (Withdrawn)", GradeSheet!$L46="I (Incomplete)"), 0, IF(AU51&gt;=65%, 1, 0))</f>
        <v>0</v>
      </c>
      <c r="BH51" s="161">
        <f>IF(OR(GradeSheet!$L46="W (Withdrawn)", GradeSheet!$L46="I (Incomplete)"), 0, IF(AV51&gt;=65%, 1, 0))</f>
        <v>0</v>
      </c>
      <c r="BI51" s="161">
        <f>IF(OR(GradeSheet!$L46="W (Withdrawn)", GradeSheet!$L46="I (Incomplete)"), 0, IF(AW51&gt;=65%, 1, 0))</f>
        <v>0</v>
      </c>
      <c r="BJ51" s="161">
        <f>IF(OR(GradeSheet!$L46="W (Withdrawn)", GradeSheet!$L46="I (Incomplete)"), 0, IF(AX51&gt;=65%, 1, 0))</f>
        <v>0</v>
      </c>
      <c r="BK51" s="161">
        <f>IF(OR(GradeSheet!$L46="W (Withdrawn)", GradeSheet!$L46="I (Incomplete)"), 0, IF(AY51&gt;=65%, 1, 0))</f>
        <v>0</v>
      </c>
      <c r="BL51" s="161">
        <f>IF(OR(GradeSheet!$L46="W (Withdrawn)", GradeSheet!$L46="I (Incomplete)"), 0, IF(AZ51&gt;=65%, 1, 0))</f>
        <v>0</v>
      </c>
      <c r="BM51" s="161">
        <f>IF(OR(GradeSheet!$L46="W (Withdrawn)", GradeSheet!$L46="I (Incomplete)"), 0, IF(BA51&gt;=65%, 1, 0))</f>
        <v>0</v>
      </c>
      <c r="BN51" s="161">
        <f>IF(OR(GradeSheet!$L46="W (Withdrawn)", GradeSheet!$L46="I (Incomplete)"), 0, IF(BB51&gt;=65%, 1, 0))</f>
        <v>0</v>
      </c>
      <c r="BO51" s="161">
        <f>IF(OR(GradeSheet!$L46="W (Withdrawn)", GradeSheet!$L46="I (Incomplete)"), 0, IF(BC51&gt;=65%, 1, 0))</f>
        <v>0</v>
      </c>
      <c r="BP51" s="161">
        <f>IF(OR(GradeSheet!$L46="W (Withdrawn)", GradeSheet!$L46="I (Incomplete)"), 0, IF(BD51&gt;=65%, 1, 0))</f>
        <v>0</v>
      </c>
      <c r="BQ51" s="161">
        <f>IF(OR(GradeSheet!$L46="W (Withdrawn)", GradeSheet!$L46="I (Incomplete)"), 0, IF(BE51&gt;=65%, 1, 0))</f>
        <v>0</v>
      </c>
      <c r="BR51" s="161">
        <f>IF(OR(GradeSheet!$L46="W (Withdrawn)", GradeSheet!$L46="I (Incomplete)"), 0, IF(BF51&gt;=65%, 1, 0))</f>
        <v>0</v>
      </c>
    </row>
    <row r="52" ht="15.75" customHeight="1">
      <c r="A52" s="274"/>
      <c r="B52" s="275"/>
      <c r="C52" s="276"/>
      <c r="D52" s="277"/>
      <c r="E52" s="277"/>
      <c r="F52" s="278"/>
      <c r="G52" s="279"/>
      <c r="H52" s="278"/>
      <c r="I52" s="278"/>
      <c r="J52" s="277"/>
      <c r="K52" s="277"/>
      <c r="L52" s="277"/>
      <c r="M52" s="278"/>
      <c r="N52" s="279"/>
      <c r="O52" s="280"/>
      <c r="P52" s="278"/>
      <c r="Q52" s="278"/>
      <c r="R52" s="278"/>
      <c r="S52" s="278"/>
      <c r="T52" s="278"/>
      <c r="U52" s="280"/>
      <c r="V52" s="278"/>
      <c r="W52" s="278"/>
      <c r="X52" s="278"/>
      <c r="Y52" s="278"/>
      <c r="Z52" s="278"/>
      <c r="AA52" s="280"/>
      <c r="AB52" s="281"/>
      <c r="AC52" s="281"/>
      <c r="AD52" s="281"/>
      <c r="AE52" s="281"/>
      <c r="AF52" s="281"/>
      <c r="AG52" s="281"/>
      <c r="AH52" s="282"/>
      <c r="AI52" s="282"/>
      <c r="AJ52" s="282"/>
      <c r="AK52" s="282"/>
      <c r="AL52" s="282"/>
      <c r="AM52" s="282"/>
      <c r="AN52" s="283"/>
      <c r="AO52" s="283"/>
      <c r="AP52" s="283"/>
      <c r="AQ52" s="283"/>
      <c r="AR52" s="283"/>
      <c r="AS52" s="284"/>
      <c r="AT52" s="285"/>
      <c r="AU52" s="286"/>
      <c r="AV52" s="286"/>
      <c r="AW52" s="286"/>
      <c r="AX52" s="286"/>
      <c r="AY52" s="286"/>
      <c r="AZ52" s="286"/>
      <c r="BA52" s="286"/>
      <c r="BB52" s="286"/>
      <c r="BC52" s="286"/>
      <c r="BD52" s="286"/>
      <c r="BE52" s="286"/>
      <c r="BF52" s="286"/>
      <c r="BG52" s="283"/>
      <c r="BH52" s="283"/>
      <c r="BI52" s="283"/>
      <c r="BJ52" s="283"/>
      <c r="BK52" s="283"/>
      <c r="BL52" s="283"/>
      <c r="BM52" s="283"/>
      <c r="BN52" s="283"/>
      <c r="BO52" s="283"/>
      <c r="BP52" s="283"/>
      <c r="BQ52" s="283"/>
      <c r="BR52" s="283"/>
    </row>
    <row r="53" ht="15.75" customHeight="1">
      <c r="A53" s="287">
        <v>37.0</v>
      </c>
      <c r="B53" s="288" t="s">
        <v>239</v>
      </c>
      <c r="C53" s="99"/>
      <c r="D53" s="289">
        <f t="shared" ref="D53:AG53" si="90">AVERAGE(D15:D51)</f>
        <v>3.3125</v>
      </c>
      <c r="E53" s="289">
        <f t="shared" si="90"/>
        <v>5.396551724</v>
      </c>
      <c r="F53" s="289" t="str">
        <f t="shared" si="90"/>
        <v>#DIV/0!</v>
      </c>
      <c r="G53" s="290" t="str">
        <f t="shared" si="90"/>
        <v>#DIV/0!</v>
      </c>
      <c r="H53" s="289" t="str">
        <f t="shared" si="90"/>
        <v>#DIV/0!</v>
      </c>
      <c r="I53" s="289" t="str">
        <f t="shared" si="90"/>
        <v>#DIV/0!</v>
      </c>
      <c r="J53" s="289">
        <f t="shared" si="90"/>
        <v>7.026315789</v>
      </c>
      <c r="K53" s="289">
        <f t="shared" si="90"/>
        <v>6.5</v>
      </c>
      <c r="L53" s="289">
        <f t="shared" si="90"/>
        <v>4.972222222</v>
      </c>
      <c r="M53" s="289" t="str">
        <f t="shared" si="90"/>
        <v>#DIV/0!</v>
      </c>
      <c r="N53" s="290" t="str">
        <f t="shared" si="90"/>
        <v>#DIV/0!</v>
      </c>
      <c r="O53" s="289" t="str">
        <f t="shared" si="90"/>
        <v>#DIV/0!</v>
      </c>
      <c r="P53" s="289" t="str">
        <f t="shared" si="90"/>
        <v>#DIV/0!</v>
      </c>
      <c r="Q53" s="289" t="str">
        <f t="shared" si="90"/>
        <v>#DIV/0!</v>
      </c>
      <c r="R53" s="289" t="str">
        <f t="shared" si="90"/>
        <v>#DIV/0!</v>
      </c>
      <c r="S53" s="289" t="str">
        <f t="shared" si="90"/>
        <v>#DIV/0!</v>
      </c>
      <c r="T53" s="289" t="str">
        <f t="shared" si="90"/>
        <v>#DIV/0!</v>
      </c>
      <c r="U53" s="289" t="str">
        <f t="shared" si="90"/>
        <v>#DIV/0!</v>
      </c>
      <c r="V53" s="289" t="str">
        <f t="shared" si="90"/>
        <v>#DIV/0!</v>
      </c>
      <c r="W53" s="289" t="str">
        <f t="shared" si="90"/>
        <v>#DIV/0!</v>
      </c>
      <c r="X53" s="291" t="str">
        <f t="shared" si="90"/>
        <v>#DIV/0!</v>
      </c>
      <c r="Y53" s="291" t="str">
        <f t="shared" si="90"/>
        <v>#DIV/0!</v>
      </c>
      <c r="Z53" s="291" t="str">
        <f t="shared" si="90"/>
        <v>#DIV/0!</v>
      </c>
      <c r="AA53" s="291" t="str">
        <f t="shared" si="90"/>
        <v>#DIV/0!</v>
      </c>
      <c r="AB53" s="289">
        <f t="shared" si="90"/>
        <v>5.756756757</v>
      </c>
      <c r="AC53" s="289">
        <f t="shared" si="90"/>
        <v>7.567567568</v>
      </c>
      <c r="AD53" s="289">
        <f t="shared" si="90"/>
        <v>2.418918919</v>
      </c>
      <c r="AE53" s="289">
        <f t="shared" si="90"/>
        <v>0</v>
      </c>
      <c r="AF53" s="289">
        <f t="shared" si="90"/>
        <v>0</v>
      </c>
      <c r="AG53" s="289">
        <f t="shared" si="90"/>
        <v>0</v>
      </c>
      <c r="AH53" s="137">
        <f>(SUMIFS(AH15:AH51,GradeSheet!L10:L46,"&lt;&gt;W (Withdrawn)",GradeSheet!L10:L46,"&lt;&gt;I (Incomplete)"))/($A$53-GradeSheet!$G$60-GradeSheet!$G$61)</f>
        <v>0.3245192308</v>
      </c>
      <c r="AI53" s="137">
        <f>(SUMIFS(AI15:AI51,GradeSheet!M10:M46,"&lt;&gt;W (Withdrawn)",GradeSheet!M10:M46,"&lt;&gt;I (Incomplete)"))/($A$53-GradeSheet!$G$60-GradeSheet!$G$61)</f>
        <v>0.4022988506</v>
      </c>
      <c r="AJ53" s="137">
        <f>(SUMIFS(AJ15:AJ51,GradeSheet!N10:N46,"&lt;&gt;W (Withdrawn)",GradeSheet!N10:N46,"&lt;&gt;I (Incomplete)"))/($A$53-GradeSheet!$G$60-GradeSheet!$G$61)</f>
        <v>0.3729166667</v>
      </c>
      <c r="AK53" s="137">
        <f>(SUMIFS(AK15:AK51,GradeSheet!O10:O46,"&lt;&gt;W (Withdrawn)",GradeSheet!O10:O46,"&lt;&gt;I (Incomplete)"))/($A$53-GradeSheet!$G$60-GradeSheet!$G$61)</f>
        <v>0</v>
      </c>
      <c r="AL53" s="137">
        <f>(SUMIFS(AL15:AL51,GradeSheet!P10:P46,"&lt;&gt;W (Withdrawn)",GradeSheet!P10:P46,"&lt;&gt;I (Incomplete)"))/($A$53-GradeSheet!$G$60-GradeSheet!$G$61)</f>
        <v>0</v>
      </c>
      <c r="AM53" s="137">
        <f>(SUMIFS(AM15:AM51,GradeSheet!Q10:Q46,"&lt;&gt;W (Withdrawn)",GradeSheet!Q10:Q46,"&lt;&gt;I (Incomplete)"))/($A$53-GradeSheet!$G$60-GradeSheet!$G$61)</f>
        <v>0</v>
      </c>
      <c r="AN53" s="133">
        <f t="shared" ref="AN53:AS53" si="91">SUM(AN15:AN51)</f>
        <v>8</v>
      </c>
      <c r="AO53" s="133">
        <f t="shared" si="91"/>
        <v>5</v>
      </c>
      <c r="AP53" s="133">
        <f t="shared" si="91"/>
        <v>11</v>
      </c>
      <c r="AQ53" s="133">
        <f t="shared" si="91"/>
        <v>0</v>
      </c>
      <c r="AR53" s="133">
        <f t="shared" si="91"/>
        <v>0</v>
      </c>
      <c r="AS53" s="133">
        <f t="shared" si="91"/>
        <v>0</v>
      </c>
      <c r="AT53" s="129"/>
      <c r="AU53" s="137" t="str">
        <f>(SUMIFS(AU15:AU54,GradeSheet!M10:GradeSheet!#REF!,"&lt;&gt;W (Withdrawn)",GradeSheet!M10:GradeSheet!#REF!,"&lt;&gt;I (Incomplete)"))/($A$56-GradeSheet!$H$63-GradeSheet!$H$64)</f>
        <v>#ERROR!</v>
      </c>
      <c r="AV53" s="137" t="str">
        <f>(SUMIFS(AV15:AV54,GradeSheet!N10:GradeSheet!#REF!,"&lt;&gt;W (Withdrawn)",GradeSheet!N10:GradeSheet!#REF!,"&lt;&gt;I (Incomplete)"))/($A$56-GradeSheet!$H$63-GradeSheet!$H$64)</f>
        <v>#ERROR!</v>
      </c>
      <c r="AW53" s="137" t="str">
        <f>(SUMIFS(AW15:AW54,GradeSheet!O10:GradeSheet!#REF!,"&lt;&gt;W (Withdrawn)",GradeSheet!O10:GradeSheet!#REF!,"&lt;&gt;I (Incomplete)"))/($A$56-GradeSheet!$H$63-GradeSheet!$H$64)</f>
        <v>#ERROR!</v>
      </c>
      <c r="AX53" s="137" t="str">
        <f>(SUMIFS(AX15:AX54,GradeSheet!P10:GradeSheet!#REF!,"&lt;&gt;W (Withdrawn)",GradeSheet!P10:GradeSheet!#REF!,"&lt;&gt;I (Incomplete)"))/($A$56-GradeSheet!$H$63-GradeSheet!$H$64)</f>
        <v>#ERROR!</v>
      </c>
      <c r="AY53" s="137" t="str">
        <f>(SUMIFS(AY15:AY54,GradeSheet!Q10:GradeSheet!#REF!,"&lt;&gt;W (Withdrawn)",GradeSheet!Q10:GradeSheet!#REF!,"&lt;&gt;I (Incomplete)"))/($A$56-GradeSheet!$H$63-GradeSheet!$H$64)</f>
        <v>#ERROR!</v>
      </c>
      <c r="AZ53" s="137" t="str">
        <f>(SUMIFS(AZ15:AZ54,GradeSheet!R10:GradeSheet!#REF!,"&lt;&gt;W (Withdrawn)",GradeSheet!R10:GradeSheet!#REF!,"&lt;&gt;I (Incomplete)"))/($A$56-GradeSheet!$H$63-GradeSheet!$H$64)</f>
        <v>#ERROR!</v>
      </c>
      <c r="BA53" s="137" t="str">
        <f>(SUMIFS(BA15:BA54,GradeSheet!S10:GradeSheet!#REF!,"&lt;&gt;W (Withdrawn)",GradeSheet!S10:GradeSheet!#REF!,"&lt;&gt;I (Incomplete)"))/($A$56-GradeSheet!$H$63-GradeSheet!$H$64)</f>
        <v>#ERROR!</v>
      </c>
      <c r="BB53" s="137" t="str">
        <f>(SUMIFS(BB15:BB54,GradeSheet!T10:GradeSheet!#REF!,"&lt;&gt;W (Withdrawn)",GradeSheet!T10:GradeSheet!#REF!,"&lt;&gt;I (Incomplete)"))/($A$56-GradeSheet!$H$63-GradeSheet!$H$64)</f>
        <v>#ERROR!</v>
      </c>
      <c r="BC53" s="137" t="str">
        <f>(SUMIFS(BC15:BC54,GradeSheet!U10:GradeSheet!#REF!,"&lt;&gt;W (Withdrawn)",GradeSheet!U10:GradeSheet!#REF!,"&lt;&gt;I (Incomplete)"))/($A$56-GradeSheet!$H$63-GradeSheet!$H$64)</f>
        <v>#ERROR!</v>
      </c>
      <c r="BD53" s="137" t="str">
        <f>(SUMIFS(BD15:BD54,GradeSheet!V10:GradeSheet!#REF!,"&lt;&gt;W (Withdrawn)",GradeSheet!V10:GradeSheet!#REF!,"&lt;&gt;I (Incomplete)"))/($A$56-GradeSheet!$H$63-GradeSheet!$H$64)</f>
        <v>#ERROR!</v>
      </c>
      <c r="BE53" s="137" t="str">
        <f>(SUMIFS(BE15:BE54,GradeSheet!W10:GradeSheet!#REF!,"&lt;&gt;W (Withdrawn)",GradeSheet!W10:GradeSheet!#REF!,"&lt;&gt;I (Incomplete)"))/($A$56-GradeSheet!$H$63-GradeSheet!$H$64)</f>
        <v>#ERROR!</v>
      </c>
      <c r="BF53" s="137" t="str">
        <f>(SUMIFS(BF15:BF54,GradeSheet!X10:GradeSheet!#REF!,"&lt;&gt;W (Withdrawn)",GradeSheet!X10:GradeSheet!#REF!,"&lt;&gt;I (Incomplete)"))/($A$56-GradeSheet!$H$63-GradeSheet!$H$64)</f>
        <v>#ERROR!</v>
      </c>
      <c r="BG53" s="133">
        <f t="shared" ref="BG53:BR53" si="92">SUM(BG15:BG51)</f>
        <v>0</v>
      </c>
      <c r="BH53" s="134">
        <f t="shared" si="92"/>
        <v>0</v>
      </c>
      <c r="BI53" s="134">
        <f t="shared" si="92"/>
        <v>0</v>
      </c>
      <c r="BJ53" s="134">
        <f t="shared" si="92"/>
        <v>0</v>
      </c>
      <c r="BK53" s="134">
        <f t="shared" si="92"/>
        <v>0</v>
      </c>
      <c r="BL53" s="134">
        <f t="shared" si="92"/>
        <v>0</v>
      </c>
      <c r="BM53" s="134">
        <f t="shared" si="92"/>
        <v>0</v>
      </c>
      <c r="BN53" s="134">
        <f t="shared" si="92"/>
        <v>0</v>
      </c>
      <c r="BO53" s="134">
        <f t="shared" si="92"/>
        <v>0</v>
      </c>
      <c r="BP53" s="134">
        <f t="shared" si="92"/>
        <v>0</v>
      </c>
      <c r="BQ53" s="134">
        <f t="shared" si="92"/>
        <v>0</v>
      </c>
      <c r="BR53" s="292">
        <f t="shared" si="92"/>
        <v>0</v>
      </c>
    </row>
    <row r="54" ht="15.75" customHeight="1">
      <c r="A54" s="2"/>
      <c r="B54" s="2"/>
      <c r="C54" s="2"/>
      <c r="D54" s="2"/>
      <c r="E54" s="2"/>
      <c r="F54" s="2"/>
      <c r="G54" s="6"/>
      <c r="H54" s="2"/>
      <c r="I54" s="2"/>
      <c r="J54" s="2"/>
      <c r="K54" s="2"/>
      <c r="L54" s="2"/>
      <c r="M54" s="2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.75" customHeight="1">
      <c r="A55" s="2"/>
      <c r="B55" s="2"/>
      <c r="C55" s="2"/>
      <c r="D55" s="2"/>
      <c r="E55" s="2"/>
      <c r="F55" s="2"/>
      <c r="G55" s="6"/>
      <c r="H55" s="2"/>
      <c r="I55" s="2"/>
      <c r="J55" s="2"/>
      <c r="K55" s="2"/>
      <c r="L55" s="2"/>
      <c r="M55" s="2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93"/>
      <c r="AI55" s="293"/>
      <c r="AJ55" s="293"/>
      <c r="AK55" s="293"/>
      <c r="AL55" s="293"/>
      <c r="AM55" s="293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.75" customHeight="1">
      <c r="A56" s="2"/>
      <c r="B56" s="2"/>
      <c r="C56" s="294"/>
      <c r="D56" s="2"/>
      <c r="E56" s="2"/>
      <c r="F56" s="2"/>
      <c r="G56" s="6"/>
      <c r="H56" s="2"/>
      <c r="I56" s="2"/>
      <c r="J56" s="2"/>
      <c r="K56" s="2"/>
      <c r="L56" s="2"/>
      <c r="M56" s="2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93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.75" customHeight="1">
      <c r="A57" s="2"/>
      <c r="B57" s="34" t="s">
        <v>56</v>
      </c>
      <c r="D57" s="2"/>
      <c r="E57" s="2"/>
      <c r="F57" s="2"/>
      <c r="G57" s="6"/>
      <c r="H57" s="2"/>
      <c r="I57" s="2"/>
      <c r="J57" s="2"/>
      <c r="K57" s="2"/>
      <c r="L57" s="2"/>
      <c r="M57" s="2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.75" customHeight="1">
      <c r="A58" s="2"/>
      <c r="B58" s="34" t="s">
        <v>176</v>
      </c>
      <c r="D58" s="2"/>
      <c r="E58" s="2"/>
      <c r="F58" s="2"/>
      <c r="G58" s="6"/>
      <c r="H58" s="2"/>
      <c r="I58" s="2"/>
      <c r="J58" s="2"/>
      <c r="K58" s="2"/>
      <c r="L58" s="2"/>
      <c r="M58" s="2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.75" customHeight="1">
      <c r="A59" s="2"/>
      <c r="B59" s="34" t="str">
        <f>GradeSheet!$B$63</f>
        <v>Department of CSE, ULAB</v>
      </c>
      <c r="D59" s="2"/>
      <c r="E59" s="2"/>
      <c r="F59" s="2"/>
      <c r="G59" s="6"/>
      <c r="H59" s="2"/>
      <c r="I59" s="2"/>
      <c r="J59" s="2"/>
      <c r="K59" s="2"/>
      <c r="L59" s="2"/>
      <c r="M59" s="2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.75" customHeight="1">
      <c r="A60" s="2"/>
      <c r="B60" s="2"/>
      <c r="C60" s="2"/>
      <c r="D60" s="2"/>
      <c r="E60" s="2"/>
      <c r="F60" s="2"/>
      <c r="G60" s="6"/>
      <c r="H60" s="2"/>
      <c r="I60" s="2"/>
      <c r="J60" s="2"/>
      <c r="K60" s="2"/>
      <c r="L60" s="2"/>
      <c r="M60" s="2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93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.75" customHeight="1">
      <c r="A61" s="2"/>
      <c r="B61" s="2"/>
      <c r="C61" s="2"/>
      <c r="D61" s="2"/>
      <c r="E61" s="2"/>
      <c r="F61" s="2"/>
      <c r="G61" s="6"/>
      <c r="H61" s="2"/>
      <c r="I61" s="2"/>
      <c r="J61" s="2"/>
      <c r="K61" s="2"/>
      <c r="L61" s="2"/>
      <c r="M61" s="2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93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.75" customHeight="1">
      <c r="A62" s="2"/>
      <c r="B62" s="2"/>
      <c r="C62" s="2"/>
      <c r="D62" s="2"/>
      <c r="E62" s="2"/>
      <c r="F62" s="2"/>
      <c r="G62" s="6"/>
      <c r="H62" s="2"/>
      <c r="I62" s="2"/>
      <c r="J62" s="2"/>
      <c r="K62" s="2"/>
      <c r="L62" s="2"/>
      <c r="M62" s="2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.75" customHeight="1">
      <c r="A63" s="2"/>
      <c r="B63" s="2"/>
      <c r="C63" s="2"/>
      <c r="D63" s="2"/>
      <c r="E63" s="2"/>
      <c r="F63" s="2"/>
      <c r="G63" s="6"/>
      <c r="H63" s="2"/>
      <c r="I63" s="2"/>
      <c r="J63" s="2"/>
      <c r="K63" s="2"/>
      <c r="L63" s="2"/>
      <c r="M63" s="2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.75" customHeight="1">
      <c r="A64" s="2"/>
      <c r="B64" s="2"/>
      <c r="C64" s="2"/>
      <c r="D64" s="2"/>
      <c r="E64" s="2"/>
      <c r="F64" s="2"/>
      <c r="G64" s="6"/>
      <c r="H64" s="2"/>
      <c r="I64" s="2"/>
      <c r="J64" s="2"/>
      <c r="K64" s="2"/>
      <c r="L64" s="2"/>
      <c r="M64" s="2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9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.75" customHeight="1">
      <c r="A65" s="2"/>
      <c r="B65" s="2"/>
      <c r="C65" s="2"/>
      <c r="D65" s="2"/>
      <c r="E65" s="2"/>
      <c r="F65" s="2"/>
      <c r="G65" s="6"/>
      <c r="H65" s="2"/>
      <c r="I65" s="2"/>
      <c r="J65" s="2"/>
      <c r="K65" s="2"/>
      <c r="L65" s="2"/>
      <c r="M65" s="2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.75" customHeight="1">
      <c r="A66" s="2"/>
      <c r="B66" s="2"/>
      <c r="C66" s="2"/>
      <c r="D66" s="2"/>
      <c r="E66" s="2"/>
      <c r="F66" s="2"/>
      <c r="G66" s="6"/>
      <c r="H66" s="2"/>
      <c r="I66" s="2"/>
      <c r="J66" s="2"/>
      <c r="K66" s="2"/>
      <c r="L66" s="2"/>
      <c r="M66" s="2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.75" customHeight="1">
      <c r="A67" s="2"/>
      <c r="B67" s="2"/>
      <c r="C67" s="2"/>
      <c r="D67" s="2"/>
      <c r="E67" s="2"/>
      <c r="F67" s="2"/>
      <c r="G67" s="6"/>
      <c r="H67" s="2"/>
      <c r="I67" s="2"/>
      <c r="J67" s="2"/>
      <c r="K67" s="2"/>
      <c r="L67" s="2"/>
      <c r="M67" s="2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.75" customHeight="1">
      <c r="A68" s="2"/>
      <c r="B68" s="2"/>
      <c r="C68" s="2"/>
      <c r="D68" s="2"/>
      <c r="E68" s="2"/>
      <c r="F68" s="2"/>
      <c r="G68" s="6"/>
      <c r="H68" s="2"/>
      <c r="I68" s="2"/>
      <c r="J68" s="2"/>
      <c r="K68" s="2"/>
      <c r="L68" s="2"/>
      <c r="M68" s="2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.75" customHeight="1">
      <c r="A69" s="2"/>
      <c r="B69" s="2"/>
      <c r="C69" s="2"/>
      <c r="D69" s="2"/>
      <c r="E69" s="2"/>
      <c r="F69" s="2"/>
      <c r="G69" s="6"/>
      <c r="H69" s="2"/>
      <c r="I69" s="2"/>
      <c r="J69" s="2"/>
      <c r="K69" s="2"/>
      <c r="L69" s="2"/>
      <c r="M69" s="2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.75" customHeight="1">
      <c r="A70" s="2"/>
      <c r="B70" s="2"/>
      <c r="C70" s="2"/>
      <c r="D70" s="2"/>
      <c r="E70" s="2"/>
      <c r="F70" s="2"/>
      <c r="G70" s="6"/>
      <c r="H70" s="2"/>
      <c r="I70" s="2"/>
      <c r="J70" s="2"/>
      <c r="K70" s="2"/>
      <c r="L70" s="2"/>
      <c r="M70" s="2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.75" customHeight="1">
      <c r="A71" s="2"/>
      <c r="B71" s="2"/>
      <c r="C71" s="2"/>
      <c r="D71" s="2"/>
      <c r="E71" s="2"/>
      <c r="F71" s="2"/>
      <c r="G71" s="6"/>
      <c r="H71" s="2"/>
      <c r="I71" s="2"/>
      <c r="J71" s="2"/>
      <c r="K71" s="2"/>
      <c r="L71" s="2"/>
      <c r="M71" s="2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.75" customHeight="1">
      <c r="A72" s="2"/>
      <c r="B72" s="2"/>
      <c r="C72" s="2"/>
      <c r="D72" s="2"/>
      <c r="E72" s="2"/>
      <c r="F72" s="2"/>
      <c r="G72" s="6"/>
      <c r="H72" s="2"/>
      <c r="I72" s="2"/>
      <c r="J72" s="2"/>
      <c r="K72" s="2"/>
      <c r="L72" s="2"/>
      <c r="M72" s="2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.75" customHeight="1">
      <c r="A73" s="2"/>
      <c r="B73" s="2"/>
      <c r="C73" s="2"/>
      <c r="D73" s="2"/>
      <c r="E73" s="2"/>
      <c r="F73" s="2"/>
      <c r="G73" s="6"/>
      <c r="H73" s="2"/>
      <c r="I73" s="2"/>
      <c r="J73" s="2"/>
      <c r="K73" s="2"/>
      <c r="L73" s="2"/>
      <c r="M73" s="2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.75" customHeight="1">
      <c r="A74" s="2"/>
      <c r="B74" s="2"/>
      <c r="C74" s="2"/>
      <c r="D74" s="2"/>
      <c r="E74" s="2"/>
      <c r="F74" s="2"/>
      <c r="G74" s="6"/>
      <c r="H74" s="2"/>
      <c r="I74" s="2"/>
      <c r="J74" s="2"/>
      <c r="K74" s="2"/>
      <c r="L74" s="2"/>
      <c r="M74" s="2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.75" customHeight="1">
      <c r="A75" s="2"/>
      <c r="B75" s="2"/>
      <c r="C75" s="2"/>
      <c r="D75" s="2"/>
      <c r="E75" s="2"/>
      <c r="F75" s="2"/>
      <c r="G75" s="6"/>
      <c r="H75" s="2"/>
      <c r="I75" s="2"/>
      <c r="J75" s="2"/>
      <c r="K75" s="2"/>
      <c r="L75" s="2"/>
      <c r="M75" s="2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.75" customHeight="1">
      <c r="A76" s="2"/>
      <c r="B76" s="2"/>
      <c r="C76" s="2"/>
      <c r="D76" s="2"/>
      <c r="E76" s="2"/>
      <c r="F76" s="2"/>
      <c r="G76" s="6"/>
      <c r="H76" s="2"/>
      <c r="I76" s="2"/>
      <c r="J76" s="2"/>
      <c r="K76" s="2"/>
      <c r="L76" s="2"/>
      <c r="M76" s="2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.75" customHeight="1">
      <c r="A77" s="2"/>
      <c r="B77" s="2"/>
      <c r="C77" s="2"/>
      <c r="D77" s="2"/>
      <c r="E77" s="2"/>
      <c r="F77" s="2"/>
      <c r="G77" s="6"/>
      <c r="H77" s="2"/>
      <c r="I77" s="2"/>
      <c r="J77" s="2"/>
      <c r="K77" s="2"/>
      <c r="L77" s="2"/>
      <c r="M77" s="2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.75" customHeight="1">
      <c r="A78" s="2"/>
      <c r="B78" s="2"/>
      <c r="C78" s="2"/>
      <c r="D78" s="2"/>
      <c r="E78" s="2"/>
      <c r="F78" s="2"/>
      <c r="G78" s="6"/>
      <c r="H78" s="2"/>
      <c r="I78" s="2"/>
      <c r="J78" s="2"/>
      <c r="K78" s="2"/>
      <c r="L78" s="2"/>
      <c r="M78" s="2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.75" customHeight="1">
      <c r="A79" s="2"/>
      <c r="B79" s="2"/>
      <c r="C79" s="2"/>
      <c r="D79" s="2"/>
      <c r="E79" s="2"/>
      <c r="F79" s="2"/>
      <c r="G79" s="6"/>
      <c r="H79" s="2"/>
      <c r="I79" s="2"/>
      <c r="J79" s="2"/>
      <c r="K79" s="2"/>
      <c r="L79" s="2"/>
      <c r="M79" s="2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.75" customHeight="1">
      <c r="A80" s="2"/>
      <c r="B80" s="2"/>
      <c r="C80" s="2"/>
      <c r="D80" s="2"/>
      <c r="E80" s="2"/>
      <c r="F80" s="2"/>
      <c r="G80" s="6"/>
      <c r="H80" s="2"/>
      <c r="I80" s="2"/>
      <c r="J80" s="2"/>
      <c r="K80" s="2"/>
      <c r="L80" s="2"/>
      <c r="M80" s="2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.75" customHeight="1">
      <c r="A81" s="2"/>
      <c r="B81" s="2"/>
      <c r="C81" s="2"/>
      <c r="D81" s="2"/>
      <c r="E81" s="2"/>
      <c r="F81" s="2"/>
      <c r="G81" s="6"/>
      <c r="H81" s="2"/>
      <c r="I81" s="2"/>
      <c r="J81" s="2"/>
      <c r="K81" s="2"/>
      <c r="L81" s="2"/>
      <c r="M81" s="2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.75" customHeight="1">
      <c r="A82" s="2"/>
      <c r="B82" s="2"/>
      <c r="C82" s="2"/>
      <c r="D82" s="2"/>
      <c r="E82" s="2"/>
      <c r="F82" s="2"/>
      <c r="G82" s="6"/>
      <c r="H82" s="2"/>
      <c r="I82" s="2"/>
      <c r="J82" s="2"/>
      <c r="K82" s="2"/>
      <c r="L82" s="2"/>
      <c r="M82" s="2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.75" customHeight="1">
      <c r="A83" s="2"/>
      <c r="B83" s="2"/>
      <c r="C83" s="2"/>
      <c r="D83" s="2"/>
      <c r="E83" s="2"/>
      <c r="F83" s="2"/>
      <c r="G83" s="6"/>
      <c r="H83" s="2"/>
      <c r="I83" s="2"/>
      <c r="J83" s="2"/>
      <c r="K83" s="2"/>
      <c r="L83" s="2"/>
      <c r="M83" s="2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.75" customHeight="1">
      <c r="A84" s="2"/>
      <c r="B84" s="2"/>
      <c r="C84" s="2"/>
      <c r="D84" s="2"/>
      <c r="E84" s="2"/>
      <c r="F84" s="2"/>
      <c r="G84" s="6"/>
      <c r="H84" s="2"/>
      <c r="I84" s="2"/>
      <c r="J84" s="2"/>
      <c r="K84" s="2"/>
      <c r="L84" s="2"/>
      <c r="M84" s="2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.75" customHeight="1">
      <c r="A85" s="2"/>
      <c r="B85" s="2"/>
      <c r="C85" s="2"/>
      <c r="D85" s="2"/>
      <c r="E85" s="2"/>
      <c r="F85" s="2"/>
      <c r="G85" s="6"/>
      <c r="H85" s="2"/>
      <c r="I85" s="2"/>
      <c r="J85" s="2"/>
      <c r="K85" s="2"/>
      <c r="L85" s="2"/>
      <c r="M85" s="2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.75" customHeight="1">
      <c r="A86" s="2"/>
      <c r="B86" s="2"/>
      <c r="C86" s="2"/>
      <c r="D86" s="2"/>
      <c r="E86" s="2"/>
      <c r="F86" s="2"/>
      <c r="G86" s="6"/>
      <c r="H86" s="2"/>
      <c r="I86" s="2"/>
      <c r="J86" s="2"/>
      <c r="K86" s="2"/>
      <c r="L86" s="2"/>
      <c r="M86" s="2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.75" customHeight="1">
      <c r="A87" s="2"/>
      <c r="B87" s="2"/>
      <c r="C87" s="2"/>
      <c r="D87" s="2"/>
      <c r="E87" s="2"/>
      <c r="F87" s="2"/>
      <c r="G87" s="6"/>
      <c r="H87" s="2"/>
      <c r="I87" s="2"/>
      <c r="J87" s="2"/>
      <c r="K87" s="2"/>
      <c r="L87" s="2"/>
      <c r="M87" s="2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.75" customHeight="1">
      <c r="A88" s="2"/>
      <c r="B88" s="2"/>
      <c r="C88" s="2"/>
      <c r="D88" s="2"/>
      <c r="E88" s="2"/>
      <c r="F88" s="2"/>
      <c r="G88" s="6"/>
      <c r="H88" s="2"/>
      <c r="I88" s="2"/>
      <c r="J88" s="2"/>
      <c r="K88" s="2"/>
      <c r="L88" s="2"/>
      <c r="M88" s="2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.75" customHeight="1">
      <c r="A89" s="2"/>
      <c r="B89" s="2"/>
      <c r="C89" s="2"/>
      <c r="D89" s="2"/>
      <c r="E89" s="2"/>
      <c r="F89" s="2"/>
      <c r="G89" s="6"/>
      <c r="H89" s="2"/>
      <c r="I89" s="2"/>
      <c r="J89" s="2"/>
      <c r="K89" s="2"/>
      <c r="L89" s="2"/>
      <c r="M89" s="2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.75" customHeight="1">
      <c r="A90" s="2"/>
      <c r="B90" s="2"/>
      <c r="C90" s="2"/>
      <c r="D90" s="2"/>
      <c r="E90" s="2"/>
      <c r="F90" s="2"/>
      <c r="G90" s="6"/>
      <c r="H90" s="2"/>
      <c r="I90" s="2"/>
      <c r="J90" s="2"/>
      <c r="K90" s="2"/>
      <c r="L90" s="2"/>
      <c r="M90" s="2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.75" customHeight="1">
      <c r="A91" s="2"/>
      <c r="B91" s="2"/>
      <c r="C91" s="2"/>
      <c r="D91" s="2"/>
      <c r="E91" s="2"/>
      <c r="F91" s="2"/>
      <c r="G91" s="6"/>
      <c r="H91" s="2"/>
      <c r="I91" s="2"/>
      <c r="J91" s="2"/>
      <c r="K91" s="2"/>
      <c r="L91" s="2"/>
      <c r="M91" s="2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.75" customHeight="1">
      <c r="A92" s="2"/>
      <c r="B92" s="2"/>
      <c r="C92" s="2"/>
      <c r="D92" s="2"/>
      <c r="E92" s="2"/>
      <c r="F92" s="2"/>
      <c r="G92" s="6"/>
      <c r="H92" s="2"/>
      <c r="I92" s="2"/>
      <c r="J92" s="2"/>
      <c r="K92" s="2"/>
      <c r="L92" s="2"/>
      <c r="M92" s="2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.75" customHeight="1">
      <c r="A93" s="2"/>
      <c r="B93" s="2"/>
      <c r="C93" s="2"/>
      <c r="D93" s="2"/>
      <c r="E93" s="2"/>
      <c r="F93" s="2"/>
      <c r="G93" s="6"/>
      <c r="H93" s="2"/>
      <c r="I93" s="2"/>
      <c r="J93" s="2"/>
      <c r="K93" s="2"/>
      <c r="L93" s="2"/>
      <c r="M93" s="2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.75" customHeight="1">
      <c r="A94" s="2"/>
      <c r="B94" s="2"/>
      <c r="C94" s="2"/>
      <c r="D94" s="2"/>
      <c r="E94" s="2"/>
      <c r="F94" s="2"/>
      <c r="G94" s="6"/>
      <c r="H94" s="2"/>
      <c r="I94" s="2"/>
      <c r="J94" s="2"/>
      <c r="K94" s="2"/>
      <c r="L94" s="2"/>
      <c r="M94" s="2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.75" customHeight="1">
      <c r="A95" s="2"/>
      <c r="B95" s="2"/>
      <c r="C95" s="2"/>
      <c r="D95" s="2"/>
      <c r="E95" s="2"/>
      <c r="F95" s="2"/>
      <c r="G95" s="6"/>
      <c r="H95" s="2"/>
      <c r="I95" s="2"/>
      <c r="J95" s="2"/>
      <c r="K95" s="2"/>
      <c r="L95" s="2"/>
      <c r="M95" s="2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.75" customHeight="1">
      <c r="A96" s="2"/>
      <c r="B96" s="2"/>
      <c r="C96" s="2"/>
      <c r="D96" s="2"/>
      <c r="E96" s="2"/>
      <c r="F96" s="2"/>
      <c r="G96" s="6"/>
      <c r="H96" s="2"/>
      <c r="I96" s="2"/>
      <c r="J96" s="2"/>
      <c r="K96" s="2"/>
      <c r="L96" s="2"/>
      <c r="M96" s="2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.75" customHeight="1">
      <c r="A97" s="2"/>
      <c r="B97" s="2"/>
      <c r="C97" s="2"/>
      <c r="D97" s="2"/>
      <c r="E97" s="2"/>
      <c r="F97" s="2"/>
      <c r="G97" s="6"/>
      <c r="H97" s="2"/>
      <c r="I97" s="2"/>
      <c r="J97" s="2"/>
      <c r="K97" s="2"/>
      <c r="L97" s="2"/>
      <c r="M97" s="2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.75" customHeight="1">
      <c r="A98" s="2"/>
      <c r="B98" s="2"/>
      <c r="C98" s="2"/>
      <c r="D98" s="2"/>
      <c r="E98" s="2"/>
      <c r="F98" s="2"/>
      <c r="G98" s="6"/>
      <c r="H98" s="2"/>
      <c r="I98" s="2"/>
      <c r="J98" s="2"/>
      <c r="K98" s="2"/>
      <c r="L98" s="2"/>
      <c r="M98" s="2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.75" customHeight="1">
      <c r="A99" s="2"/>
      <c r="B99" s="2"/>
      <c r="C99" s="2"/>
      <c r="D99" s="2"/>
      <c r="E99" s="2"/>
      <c r="F99" s="2"/>
      <c r="G99" s="6"/>
      <c r="H99" s="2"/>
      <c r="I99" s="2"/>
      <c r="J99" s="2"/>
      <c r="K99" s="2"/>
      <c r="L99" s="2"/>
      <c r="M99" s="2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.75" customHeight="1">
      <c r="A100" s="2"/>
      <c r="B100" s="2"/>
      <c r="C100" s="2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.75" customHeight="1">
      <c r="A101" s="2"/>
      <c r="B101" s="2"/>
      <c r="C101" s="2"/>
      <c r="D101" s="2"/>
      <c r="E101" s="2"/>
      <c r="F101" s="2"/>
      <c r="G101" s="6"/>
      <c r="H101" s="2"/>
      <c r="I101" s="2"/>
      <c r="J101" s="2"/>
      <c r="K101" s="2"/>
      <c r="L101" s="2"/>
      <c r="M101" s="2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.75" customHeight="1">
      <c r="A102" s="2"/>
      <c r="B102" s="2"/>
      <c r="C102" s="2"/>
      <c r="D102" s="2"/>
      <c r="E102" s="2"/>
      <c r="F102" s="2"/>
      <c r="G102" s="6"/>
      <c r="H102" s="2"/>
      <c r="I102" s="2"/>
      <c r="J102" s="2"/>
      <c r="K102" s="2"/>
      <c r="L102" s="2"/>
      <c r="M102" s="2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.75" customHeight="1">
      <c r="A103" s="2"/>
      <c r="B103" s="2"/>
      <c r="C103" s="2"/>
      <c r="D103" s="2"/>
      <c r="E103" s="2"/>
      <c r="F103" s="2"/>
      <c r="G103" s="6"/>
      <c r="H103" s="2"/>
      <c r="I103" s="2"/>
      <c r="J103" s="2"/>
      <c r="K103" s="2"/>
      <c r="L103" s="2"/>
      <c r="M103" s="2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.75" customHeight="1">
      <c r="A104" s="2"/>
      <c r="B104" s="2"/>
      <c r="C104" s="2"/>
      <c r="D104" s="2"/>
      <c r="E104" s="2"/>
      <c r="F104" s="2"/>
      <c r="G104" s="6"/>
      <c r="H104" s="2"/>
      <c r="I104" s="2"/>
      <c r="J104" s="2"/>
      <c r="K104" s="2"/>
      <c r="L104" s="2"/>
      <c r="M104" s="2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.75" customHeight="1">
      <c r="A105" s="2"/>
      <c r="B105" s="2"/>
      <c r="C105" s="2"/>
      <c r="D105" s="2"/>
      <c r="E105" s="2"/>
      <c r="F105" s="2"/>
      <c r="G105" s="6"/>
      <c r="H105" s="2"/>
      <c r="I105" s="2"/>
      <c r="J105" s="2"/>
      <c r="K105" s="2"/>
      <c r="L105" s="2"/>
      <c r="M105" s="2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.75" customHeight="1">
      <c r="A106" s="2"/>
      <c r="B106" s="2"/>
      <c r="C106" s="2"/>
      <c r="D106" s="2"/>
      <c r="E106" s="2"/>
      <c r="F106" s="2"/>
      <c r="G106" s="6"/>
      <c r="H106" s="2"/>
      <c r="I106" s="2"/>
      <c r="J106" s="2"/>
      <c r="K106" s="2"/>
      <c r="L106" s="2"/>
      <c r="M106" s="2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.75" customHeight="1">
      <c r="A107" s="2"/>
      <c r="B107" s="2"/>
      <c r="C107" s="2"/>
      <c r="D107" s="2"/>
      <c r="E107" s="2"/>
      <c r="F107" s="2"/>
      <c r="G107" s="6"/>
      <c r="H107" s="2"/>
      <c r="I107" s="2"/>
      <c r="J107" s="2"/>
      <c r="K107" s="2"/>
      <c r="L107" s="2"/>
      <c r="M107" s="2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.75" customHeight="1">
      <c r="A108" s="2"/>
      <c r="B108" s="2"/>
      <c r="C108" s="2"/>
      <c r="D108" s="2"/>
      <c r="E108" s="2"/>
      <c r="F108" s="2"/>
      <c r="G108" s="6"/>
      <c r="H108" s="2"/>
      <c r="I108" s="2"/>
      <c r="J108" s="2"/>
      <c r="K108" s="2"/>
      <c r="L108" s="2"/>
      <c r="M108" s="2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.75" customHeight="1">
      <c r="A109" s="2"/>
      <c r="B109" s="2"/>
      <c r="C109" s="2"/>
      <c r="D109" s="2"/>
      <c r="E109" s="2"/>
      <c r="F109" s="2"/>
      <c r="G109" s="6"/>
      <c r="H109" s="2"/>
      <c r="I109" s="2"/>
      <c r="J109" s="2"/>
      <c r="K109" s="2"/>
      <c r="L109" s="2"/>
      <c r="M109" s="2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.75" customHeight="1">
      <c r="A110" s="2"/>
      <c r="B110" s="2"/>
      <c r="C110" s="2"/>
      <c r="D110" s="2"/>
      <c r="E110" s="2"/>
      <c r="F110" s="2"/>
      <c r="G110" s="6"/>
      <c r="H110" s="2"/>
      <c r="I110" s="2"/>
      <c r="J110" s="2"/>
      <c r="K110" s="2"/>
      <c r="L110" s="2"/>
      <c r="M110" s="2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.75" customHeight="1">
      <c r="A111" s="2"/>
      <c r="B111" s="2"/>
      <c r="C111" s="2"/>
      <c r="D111" s="2"/>
      <c r="E111" s="2"/>
      <c r="F111" s="2"/>
      <c r="G111" s="6"/>
      <c r="H111" s="2"/>
      <c r="I111" s="2"/>
      <c r="J111" s="2"/>
      <c r="K111" s="2"/>
      <c r="L111" s="2"/>
      <c r="M111" s="2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.75" customHeight="1">
      <c r="A112" s="2"/>
      <c r="B112" s="2"/>
      <c r="C112" s="2"/>
      <c r="D112" s="2"/>
      <c r="E112" s="2"/>
      <c r="F112" s="2"/>
      <c r="G112" s="6"/>
      <c r="H112" s="2"/>
      <c r="I112" s="2"/>
      <c r="J112" s="2"/>
      <c r="K112" s="2"/>
      <c r="L112" s="2"/>
      <c r="M112" s="2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.75" customHeight="1">
      <c r="A113" s="2"/>
      <c r="B113" s="2"/>
      <c r="C113" s="2"/>
      <c r="D113" s="2"/>
      <c r="E113" s="2"/>
      <c r="F113" s="2"/>
      <c r="G113" s="6"/>
      <c r="H113" s="2"/>
      <c r="I113" s="2"/>
      <c r="J113" s="2"/>
      <c r="K113" s="2"/>
      <c r="L113" s="2"/>
      <c r="M113" s="2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.75" customHeight="1">
      <c r="A114" s="2"/>
      <c r="B114" s="2"/>
      <c r="C114" s="2"/>
      <c r="D114" s="2"/>
      <c r="E114" s="2"/>
      <c r="F114" s="2"/>
      <c r="G114" s="6"/>
      <c r="H114" s="2"/>
      <c r="I114" s="2"/>
      <c r="J114" s="2"/>
      <c r="K114" s="2"/>
      <c r="L114" s="2"/>
      <c r="M114" s="2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.75" customHeight="1">
      <c r="A115" s="2"/>
      <c r="B115" s="2"/>
      <c r="C115" s="2"/>
      <c r="D115" s="2"/>
      <c r="E115" s="2"/>
      <c r="F115" s="2"/>
      <c r="G115" s="6"/>
      <c r="H115" s="2"/>
      <c r="I115" s="2"/>
      <c r="J115" s="2"/>
      <c r="K115" s="2"/>
      <c r="L115" s="2"/>
      <c r="M115" s="2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.75" customHeight="1">
      <c r="A116" s="2"/>
      <c r="B116" s="2"/>
      <c r="C116" s="2"/>
      <c r="D116" s="2"/>
      <c r="E116" s="2"/>
      <c r="F116" s="2"/>
      <c r="G116" s="6"/>
      <c r="H116" s="2"/>
      <c r="I116" s="2"/>
      <c r="J116" s="2"/>
      <c r="K116" s="2"/>
      <c r="L116" s="2"/>
      <c r="M116" s="2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.75" customHeight="1">
      <c r="A117" s="2"/>
      <c r="B117" s="2"/>
      <c r="C117" s="2"/>
      <c r="D117" s="2"/>
      <c r="E117" s="2"/>
      <c r="F117" s="2"/>
      <c r="G117" s="6"/>
      <c r="H117" s="2"/>
      <c r="I117" s="2"/>
      <c r="J117" s="2"/>
      <c r="K117" s="2"/>
      <c r="L117" s="2"/>
      <c r="M117" s="2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.75" customHeight="1">
      <c r="A118" s="2"/>
      <c r="B118" s="2"/>
      <c r="C118" s="2"/>
      <c r="D118" s="2"/>
      <c r="E118" s="2"/>
      <c r="F118" s="2"/>
      <c r="G118" s="6"/>
      <c r="H118" s="2"/>
      <c r="I118" s="2"/>
      <c r="J118" s="2"/>
      <c r="K118" s="2"/>
      <c r="L118" s="2"/>
      <c r="M118" s="2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.75" customHeight="1">
      <c r="A119" s="2"/>
      <c r="B119" s="2"/>
      <c r="C119" s="2"/>
      <c r="D119" s="2"/>
      <c r="E119" s="2"/>
      <c r="F119" s="2"/>
      <c r="G119" s="6"/>
      <c r="H119" s="2"/>
      <c r="I119" s="2"/>
      <c r="J119" s="2"/>
      <c r="K119" s="2"/>
      <c r="L119" s="2"/>
      <c r="M119" s="2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.75" customHeight="1">
      <c r="A120" s="2"/>
      <c r="B120" s="2"/>
      <c r="C120" s="2"/>
      <c r="D120" s="2"/>
      <c r="E120" s="2"/>
      <c r="F120" s="2"/>
      <c r="G120" s="6"/>
      <c r="H120" s="2"/>
      <c r="I120" s="2"/>
      <c r="J120" s="2"/>
      <c r="K120" s="2"/>
      <c r="L120" s="2"/>
      <c r="M120" s="2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.75" customHeight="1">
      <c r="A121" s="2"/>
      <c r="B121" s="2"/>
      <c r="C121" s="2"/>
      <c r="D121" s="2"/>
      <c r="E121" s="2"/>
      <c r="F121" s="2"/>
      <c r="G121" s="6"/>
      <c r="H121" s="2"/>
      <c r="I121" s="2"/>
      <c r="J121" s="2"/>
      <c r="K121" s="2"/>
      <c r="L121" s="2"/>
      <c r="M121" s="2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.75" customHeight="1">
      <c r="A122" s="2"/>
      <c r="B122" s="2"/>
      <c r="C122" s="2"/>
      <c r="D122" s="2"/>
      <c r="E122" s="2"/>
      <c r="F122" s="2"/>
      <c r="G122" s="6"/>
      <c r="H122" s="2"/>
      <c r="I122" s="2"/>
      <c r="J122" s="2"/>
      <c r="K122" s="2"/>
      <c r="L122" s="2"/>
      <c r="M122" s="2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.75" customHeight="1">
      <c r="A123" s="2"/>
      <c r="B123" s="2"/>
      <c r="C123" s="2"/>
      <c r="D123" s="2"/>
      <c r="E123" s="2"/>
      <c r="F123" s="2"/>
      <c r="G123" s="6"/>
      <c r="H123" s="2"/>
      <c r="I123" s="2"/>
      <c r="J123" s="2"/>
      <c r="K123" s="2"/>
      <c r="L123" s="2"/>
      <c r="M123" s="2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.75" customHeight="1">
      <c r="A124" s="2"/>
      <c r="B124" s="2"/>
      <c r="C124" s="2"/>
      <c r="D124" s="2"/>
      <c r="E124" s="2"/>
      <c r="F124" s="2"/>
      <c r="G124" s="6"/>
      <c r="H124" s="2"/>
      <c r="I124" s="2"/>
      <c r="J124" s="2"/>
      <c r="K124" s="2"/>
      <c r="L124" s="2"/>
      <c r="M124" s="2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.75" customHeight="1">
      <c r="A125" s="2"/>
      <c r="B125" s="2"/>
      <c r="C125" s="2"/>
      <c r="D125" s="2"/>
      <c r="E125" s="2"/>
      <c r="F125" s="2"/>
      <c r="G125" s="6"/>
      <c r="H125" s="2"/>
      <c r="I125" s="2"/>
      <c r="J125" s="2"/>
      <c r="K125" s="2"/>
      <c r="L125" s="2"/>
      <c r="M125" s="2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.75" customHeight="1">
      <c r="A126" s="2"/>
      <c r="B126" s="2"/>
      <c r="C126" s="2"/>
      <c r="D126" s="2"/>
      <c r="E126" s="2"/>
      <c r="F126" s="2"/>
      <c r="G126" s="6"/>
      <c r="H126" s="2"/>
      <c r="I126" s="2"/>
      <c r="J126" s="2"/>
      <c r="K126" s="2"/>
      <c r="L126" s="2"/>
      <c r="M126" s="2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.75" customHeight="1">
      <c r="A127" s="2"/>
      <c r="B127" s="2"/>
      <c r="C127" s="2"/>
      <c r="D127" s="2"/>
      <c r="E127" s="2"/>
      <c r="F127" s="2"/>
      <c r="G127" s="6"/>
      <c r="H127" s="2"/>
      <c r="I127" s="2"/>
      <c r="J127" s="2"/>
      <c r="K127" s="2"/>
      <c r="L127" s="2"/>
      <c r="M127" s="2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.75" customHeight="1">
      <c r="A128" s="2"/>
      <c r="B128" s="2"/>
      <c r="C128" s="2"/>
      <c r="D128" s="2"/>
      <c r="E128" s="2"/>
      <c r="F128" s="2"/>
      <c r="G128" s="6"/>
      <c r="H128" s="2"/>
      <c r="I128" s="2"/>
      <c r="J128" s="2"/>
      <c r="K128" s="2"/>
      <c r="L128" s="2"/>
      <c r="M128" s="2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.75" customHeight="1">
      <c r="A129" s="2"/>
      <c r="B129" s="2"/>
      <c r="C129" s="2"/>
      <c r="D129" s="2"/>
      <c r="E129" s="2"/>
      <c r="F129" s="2"/>
      <c r="G129" s="6"/>
      <c r="H129" s="2"/>
      <c r="I129" s="2"/>
      <c r="J129" s="2"/>
      <c r="K129" s="2"/>
      <c r="L129" s="2"/>
      <c r="M129" s="2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.75" customHeight="1">
      <c r="A130" s="2"/>
      <c r="B130" s="2"/>
      <c r="C130" s="2"/>
      <c r="D130" s="2"/>
      <c r="E130" s="2"/>
      <c r="F130" s="2"/>
      <c r="G130" s="6"/>
      <c r="H130" s="2"/>
      <c r="I130" s="2"/>
      <c r="J130" s="2"/>
      <c r="K130" s="2"/>
      <c r="L130" s="2"/>
      <c r="M130" s="2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.75" customHeight="1">
      <c r="A131" s="2"/>
      <c r="B131" s="2"/>
      <c r="C131" s="2"/>
      <c r="D131" s="2"/>
      <c r="E131" s="2"/>
      <c r="F131" s="2"/>
      <c r="G131" s="6"/>
      <c r="H131" s="2"/>
      <c r="I131" s="2"/>
      <c r="J131" s="2"/>
      <c r="K131" s="2"/>
      <c r="L131" s="2"/>
      <c r="M131" s="2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.75" customHeight="1">
      <c r="A132" s="2"/>
      <c r="B132" s="2"/>
      <c r="C132" s="2"/>
      <c r="D132" s="2"/>
      <c r="E132" s="2"/>
      <c r="F132" s="2"/>
      <c r="G132" s="6"/>
      <c r="H132" s="2"/>
      <c r="I132" s="2"/>
      <c r="J132" s="2"/>
      <c r="K132" s="2"/>
      <c r="L132" s="2"/>
      <c r="M132" s="2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.75" customHeight="1">
      <c r="A133" s="2"/>
      <c r="B133" s="2"/>
      <c r="C133" s="2"/>
      <c r="D133" s="2"/>
      <c r="E133" s="2"/>
      <c r="F133" s="2"/>
      <c r="G133" s="6"/>
      <c r="H133" s="2"/>
      <c r="I133" s="2"/>
      <c r="J133" s="2"/>
      <c r="K133" s="2"/>
      <c r="L133" s="2"/>
      <c r="M133" s="2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.75" customHeight="1">
      <c r="A134" s="2"/>
      <c r="B134" s="2"/>
      <c r="C134" s="2"/>
      <c r="D134" s="2"/>
      <c r="E134" s="2"/>
      <c r="F134" s="2"/>
      <c r="G134" s="6"/>
      <c r="H134" s="2"/>
      <c r="I134" s="2"/>
      <c r="J134" s="2"/>
      <c r="K134" s="2"/>
      <c r="L134" s="2"/>
      <c r="M134" s="2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.75" customHeight="1">
      <c r="A135" s="2"/>
      <c r="B135" s="2"/>
      <c r="C135" s="2"/>
      <c r="D135" s="2"/>
      <c r="E135" s="2"/>
      <c r="F135" s="2"/>
      <c r="G135" s="6"/>
      <c r="H135" s="2"/>
      <c r="I135" s="2"/>
      <c r="J135" s="2"/>
      <c r="K135" s="2"/>
      <c r="L135" s="2"/>
      <c r="M135" s="2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.75" customHeight="1">
      <c r="A136" s="2"/>
      <c r="B136" s="2"/>
      <c r="C136" s="2"/>
      <c r="D136" s="2"/>
      <c r="E136" s="2"/>
      <c r="F136" s="2"/>
      <c r="G136" s="6"/>
      <c r="H136" s="2"/>
      <c r="I136" s="2"/>
      <c r="J136" s="2"/>
      <c r="K136" s="2"/>
      <c r="L136" s="2"/>
      <c r="M136" s="2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.75" customHeight="1">
      <c r="A137" s="2"/>
      <c r="B137" s="2"/>
      <c r="C137" s="2"/>
      <c r="D137" s="2"/>
      <c r="E137" s="2"/>
      <c r="F137" s="2"/>
      <c r="G137" s="6"/>
      <c r="H137" s="2"/>
      <c r="I137" s="2"/>
      <c r="J137" s="2"/>
      <c r="K137" s="2"/>
      <c r="L137" s="2"/>
      <c r="M137" s="2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.75" customHeight="1">
      <c r="A138" s="2"/>
      <c r="B138" s="2"/>
      <c r="C138" s="2"/>
      <c r="D138" s="2"/>
      <c r="E138" s="2"/>
      <c r="F138" s="2"/>
      <c r="G138" s="6"/>
      <c r="H138" s="2"/>
      <c r="I138" s="2"/>
      <c r="J138" s="2"/>
      <c r="K138" s="2"/>
      <c r="L138" s="2"/>
      <c r="M138" s="2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.75" customHeight="1">
      <c r="A139" s="2"/>
      <c r="B139" s="2"/>
      <c r="C139" s="2"/>
      <c r="D139" s="2"/>
      <c r="E139" s="2"/>
      <c r="F139" s="2"/>
      <c r="G139" s="6"/>
      <c r="H139" s="2"/>
      <c r="I139" s="2"/>
      <c r="J139" s="2"/>
      <c r="K139" s="2"/>
      <c r="L139" s="2"/>
      <c r="M139" s="2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.75" customHeight="1">
      <c r="A140" s="2"/>
      <c r="B140" s="2"/>
      <c r="C140" s="2"/>
      <c r="D140" s="2"/>
      <c r="E140" s="2"/>
      <c r="F140" s="2"/>
      <c r="G140" s="6"/>
      <c r="H140" s="2"/>
      <c r="I140" s="2"/>
      <c r="J140" s="2"/>
      <c r="K140" s="2"/>
      <c r="L140" s="2"/>
      <c r="M140" s="2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.75" customHeight="1">
      <c r="A141" s="2"/>
      <c r="B141" s="2"/>
      <c r="C141" s="2"/>
      <c r="D141" s="2"/>
      <c r="E141" s="2"/>
      <c r="F141" s="2"/>
      <c r="G141" s="6"/>
      <c r="H141" s="2"/>
      <c r="I141" s="2"/>
      <c r="J141" s="2"/>
      <c r="K141" s="2"/>
      <c r="L141" s="2"/>
      <c r="M141" s="2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.75" customHeight="1">
      <c r="A142" s="2"/>
      <c r="B142" s="2"/>
      <c r="C142" s="2"/>
      <c r="D142" s="2"/>
      <c r="E142" s="2"/>
      <c r="F142" s="2"/>
      <c r="G142" s="6"/>
      <c r="H142" s="2"/>
      <c r="I142" s="2"/>
      <c r="J142" s="2"/>
      <c r="K142" s="2"/>
      <c r="L142" s="2"/>
      <c r="M142" s="2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.75" customHeight="1">
      <c r="A143" s="2"/>
      <c r="B143" s="2"/>
      <c r="C143" s="2"/>
      <c r="D143" s="2"/>
      <c r="E143" s="2"/>
      <c r="F143" s="2"/>
      <c r="G143" s="6"/>
      <c r="H143" s="2"/>
      <c r="I143" s="2"/>
      <c r="J143" s="2"/>
      <c r="K143" s="2"/>
      <c r="L143" s="2"/>
      <c r="M143" s="2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.75" customHeight="1">
      <c r="A144" s="2"/>
      <c r="B144" s="2"/>
      <c r="C144" s="2"/>
      <c r="D144" s="2"/>
      <c r="E144" s="2"/>
      <c r="F144" s="2"/>
      <c r="G144" s="6"/>
      <c r="H144" s="2"/>
      <c r="I144" s="2"/>
      <c r="J144" s="2"/>
      <c r="K144" s="2"/>
      <c r="L144" s="2"/>
      <c r="M144" s="2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.75" customHeight="1">
      <c r="A145" s="2"/>
      <c r="B145" s="2"/>
      <c r="C145" s="2"/>
      <c r="D145" s="2"/>
      <c r="E145" s="2"/>
      <c r="F145" s="2"/>
      <c r="G145" s="6"/>
      <c r="H145" s="2"/>
      <c r="I145" s="2"/>
      <c r="J145" s="2"/>
      <c r="K145" s="2"/>
      <c r="L145" s="2"/>
      <c r="M145" s="2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.75" customHeight="1">
      <c r="A146" s="2"/>
      <c r="B146" s="2"/>
      <c r="C146" s="2"/>
      <c r="D146" s="2"/>
      <c r="E146" s="2"/>
      <c r="F146" s="2"/>
      <c r="G146" s="6"/>
      <c r="H146" s="2"/>
      <c r="I146" s="2"/>
      <c r="J146" s="2"/>
      <c r="K146" s="2"/>
      <c r="L146" s="2"/>
      <c r="M146" s="2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.75" customHeight="1">
      <c r="A147" s="2"/>
      <c r="B147" s="2"/>
      <c r="C147" s="2"/>
      <c r="D147" s="2"/>
      <c r="E147" s="2"/>
      <c r="F147" s="2"/>
      <c r="G147" s="6"/>
      <c r="H147" s="2"/>
      <c r="I147" s="2"/>
      <c r="J147" s="2"/>
      <c r="K147" s="2"/>
      <c r="L147" s="2"/>
      <c r="M147" s="2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.75" customHeight="1">
      <c r="A148" s="2"/>
      <c r="B148" s="2"/>
      <c r="C148" s="2"/>
      <c r="D148" s="2"/>
      <c r="E148" s="2"/>
      <c r="F148" s="2"/>
      <c r="G148" s="6"/>
      <c r="H148" s="2"/>
      <c r="I148" s="2"/>
      <c r="J148" s="2"/>
      <c r="K148" s="2"/>
      <c r="L148" s="2"/>
      <c r="M148" s="2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.75" customHeight="1">
      <c r="A149" s="2"/>
      <c r="B149" s="2"/>
      <c r="C149" s="2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.75" customHeight="1">
      <c r="A150" s="2"/>
      <c r="B150" s="2"/>
      <c r="C150" s="2"/>
      <c r="D150" s="2"/>
      <c r="E150" s="2"/>
      <c r="F150" s="2"/>
      <c r="G150" s="6"/>
      <c r="H150" s="2"/>
      <c r="I150" s="2"/>
      <c r="J150" s="2"/>
      <c r="K150" s="2"/>
      <c r="L150" s="2"/>
      <c r="M150" s="2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.75" customHeight="1">
      <c r="A151" s="2"/>
      <c r="B151" s="2"/>
      <c r="C151" s="2"/>
      <c r="D151" s="2"/>
      <c r="E151" s="2"/>
      <c r="F151" s="2"/>
      <c r="G151" s="6"/>
      <c r="H151" s="2"/>
      <c r="I151" s="2"/>
      <c r="J151" s="2"/>
      <c r="K151" s="2"/>
      <c r="L151" s="2"/>
      <c r="M151" s="2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.75" customHeight="1">
      <c r="A152" s="2"/>
      <c r="B152" s="2"/>
      <c r="C152" s="2"/>
      <c r="D152" s="2"/>
      <c r="E152" s="2"/>
      <c r="F152" s="2"/>
      <c r="G152" s="6"/>
      <c r="H152" s="2"/>
      <c r="I152" s="2"/>
      <c r="J152" s="2"/>
      <c r="K152" s="2"/>
      <c r="L152" s="2"/>
      <c r="M152" s="2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.75" customHeight="1">
      <c r="A153" s="2"/>
      <c r="B153" s="2"/>
      <c r="C153" s="2"/>
      <c r="D153" s="2"/>
      <c r="E153" s="2"/>
      <c r="F153" s="2"/>
      <c r="G153" s="6"/>
      <c r="H153" s="2"/>
      <c r="I153" s="2"/>
      <c r="J153" s="2"/>
      <c r="K153" s="2"/>
      <c r="L153" s="2"/>
      <c r="M153" s="2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.75" customHeight="1">
      <c r="A154" s="2"/>
      <c r="B154" s="2"/>
      <c r="C154" s="2"/>
      <c r="D154" s="2"/>
      <c r="E154" s="2"/>
      <c r="F154" s="2"/>
      <c r="G154" s="6"/>
      <c r="H154" s="2"/>
      <c r="I154" s="2"/>
      <c r="J154" s="2"/>
      <c r="K154" s="2"/>
      <c r="L154" s="2"/>
      <c r="M154" s="2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.75" customHeight="1">
      <c r="A155" s="2"/>
      <c r="B155" s="2"/>
      <c r="C155" s="2"/>
      <c r="D155" s="2"/>
      <c r="E155" s="2"/>
      <c r="F155" s="2"/>
      <c r="G155" s="6"/>
      <c r="H155" s="2"/>
      <c r="I155" s="2"/>
      <c r="J155" s="2"/>
      <c r="K155" s="2"/>
      <c r="L155" s="2"/>
      <c r="M155" s="2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.75" customHeight="1">
      <c r="A156" s="2"/>
      <c r="B156" s="2"/>
      <c r="C156" s="2"/>
      <c r="D156" s="2"/>
      <c r="E156" s="2"/>
      <c r="F156" s="2"/>
      <c r="G156" s="6"/>
      <c r="H156" s="2"/>
      <c r="I156" s="2"/>
      <c r="J156" s="2"/>
      <c r="K156" s="2"/>
      <c r="L156" s="2"/>
      <c r="M156" s="2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.75" customHeight="1">
      <c r="A157" s="2"/>
      <c r="B157" s="2"/>
      <c r="C157" s="2"/>
      <c r="D157" s="2"/>
      <c r="E157" s="2"/>
      <c r="F157" s="2"/>
      <c r="G157" s="6"/>
      <c r="H157" s="2"/>
      <c r="I157" s="2"/>
      <c r="J157" s="2"/>
      <c r="K157" s="2"/>
      <c r="L157" s="2"/>
      <c r="M157" s="2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.75" customHeight="1">
      <c r="A158" s="2"/>
      <c r="B158" s="2"/>
      <c r="C158" s="2"/>
      <c r="D158" s="2"/>
      <c r="E158" s="2"/>
      <c r="F158" s="2"/>
      <c r="G158" s="6"/>
      <c r="H158" s="2"/>
      <c r="I158" s="2"/>
      <c r="J158" s="2"/>
      <c r="K158" s="2"/>
      <c r="L158" s="2"/>
      <c r="M158" s="2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.75" customHeight="1">
      <c r="A159" s="2"/>
      <c r="B159" s="2"/>
      <c r="C159" s="2"/>
      <c r="D159" s="2"/>
      <c r="E159" s="2"/>
      <c r="F159" s="2"/>
      <c r="G159" s="6"/>
      <c r="H159" s="2"/>
      <c r="I159" s="2"/>
      <c r="J159" s="2"/>
      <c r="K159" s="2"/>
      <c r="L159" s="2"/>
      <c r="M159" s="2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.75" customHeight="1">
      <c r="A160" s="2"/>
      <c r="B160" s="2"/>
      <c r="C160" s="2"/>
      <c r="D160" s="2"/>
      <c r="E160" s="2"/>
      <c r="F160" s="2"/>
      <c r="G160" s="6"/>
      <c r="H160" s="2"/>
      <c r="I160" s="2"/>
      <c r="J160" s="2"/>
      <c r="K160" s="2"/>
      <c r="L160" s="2"/>
      <c r="M160" s="2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.75" customHeight="1">
      <c r="A161" s="2"/>
      <c r="B161" s="2"/>
      <c r="C161" s="2"/>
      <c r="D161" s="2"/>
      <c r="E161" s="2"/>
      <c r="F161" s="2"/>
      <c r="G161" s="6"/>
      <c r="H161" s="2"/>
      <c r="I161" s="2"/>
      <c r="J161" s="2"/>
      <c r="K161" s="2"/>
      <c r="L161" s="2"/>
      <c r="M161" s="2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.75" customHeight="1">
      <c r="A162" s="2"/>
      <c r="B162" s="2"/>
      <c r="C162" s="2"/>
      <c r="D162" s="2"/>
      <c r="E162" s="2"/>
      <c r="F162" s="2"/>
      <c r="G162" s="6"/>
      <c r="H162" s="2"/>
      <c r="I162" s="2"/>
      <c r="J162" s="2"/>
      <c r="K162" s="2"/>
      <c r="L162" s="2"/>
      <c r="M162" s="2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.75" customHeight="1">
      <c r="A163" s="2"/>
      <c r="B163" s="2"/>
      <c r="C163" s="2"/>
      <c r="D163" s="2"/>
      <c r="E163" s="2"/>
      <c r="F163" s="2"/>
      <c r="G163" s="6"/>
      <c r="H163" s="2"/>
      <c r="I163" s="2"/>
      <c r="J163" s="2"/>
      <c r="K163" s="2"/>
      <c r="L163" s="2"/>
      <c r="M163" s="2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.75" customHeight="1">
      <c r="A164" s="2"/>
      <c r="B164" s="2"/>
      <c r="C164" s="2"/>
      <c r="D164" s="2"/>
      <c r="E164" s="2"/>
      <c r="F164" s="2"/>
      <c r="G164" s="6"/>
      <c r="H164" s="2"/>
      <c r="I164" s="2"/>
      <c r="J164" s="2"/>
      <c r="K164" s="2"/>
      <c r="L164" s="2"/>
      <c r="M164" s="2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.75" customHeight="1">
      <c r="A165" s="2"/>
      <c r="B165" s="2"/>
      <c r="C165" s="2"/>
      <c r="D165" s="2"/>
      <c r="E165" s="2"/>
      <c r="F165" s="2"/>
      <c r="G165" s="6"/>
      <c r="H165" s="2"/>
      <c r="I165" s="2"/>
      <c r="J165" s="2"/>
      <c r="K165" s="2"/>
      <c r="L165" s="2"/>
      <c r="M165" s="2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.75" customHeight="1">
      <c r="A166" s="2"/>
      <c r="B166" s="2"/>
      <c r="C166" s="2"/>
      <c r="D166" s="2"/>
      <c r="E166" s="2"/>
      <c r="F166" s="2"/>
      <c r="G166" s="6"/>
      <c r="H166" s="2"/>
      <c r="I166" s="2"/>
      <c r="J166" s="2"/>
      <c r="K166" s="2"/>
      <c r="L166" s="2"/>
      <c r="M166" s="2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.75" customHeight="1">
      <c r="A167" s="2"/>
      <c r="B167" s="2"/>
      <c r="C167" s="2"/>
      <c r="D167" s="2"/>
      <c r="E167" s="2"/>
      <c r="F167" s="2"/>
      <c r="G167" s="6"/>
      <c r="H167" s="2"/>
      <c r="I167" s="2"/>
      <c r="J167" s="2"/>
      <c r="K167" s="2"/>
      <c r="L167" s="2"/>
      <c r="M167" s="2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.75" customHeight="1">
      <c r="A168" s="2"/>
      <c r="B168" s="2"/>
      <c r="C168" s="2"/>
      <c r="D168" s="2"/>
      <c r="E168" s="2"/>
      <c r="F168" s="2"/>
      <c r="G168" s="6"/>
      <c r="H168" s="2"/>
      <c r="I168" s="2"/>
      <c r="J168" s="2"/>
      <c r="K168" s="2"/>
      <c r="L168" s="2"/>
      <c r="M168" s="2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.75" customHeight="1">
      <c r="A169" s="2"/>
      <c r="B169" s="2"/>
      <c r="C169" s="2"/>
      <c r="D169" s="2"/>
      <c r="E169" s="2"/>
      <c r="F169" s="2"/>
      <c r="G169" s="6"/>
      <c r="H169" s="2"/>
      <c r="I169" s="2"/>
      <c r="J169" s="2"/>
      <c r="K169" s="2"/>
      <c r="L169" s="2"/>
      <c r="M169" s="2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.75" customHeight="1">
      <c r="A170" s="2"/>
      <c r="B170" s="2"/>
      <c r="C170" s="2"/>
      <c r="D170" s="2"/>
      <c r="E170" s="2"/>
      <c r="F170" s="2"/>
      <c r="G170" s="6"/>
      <c r="H170" s="2"/>
      <c r="I170" s="2"/>
      <c r="J170" s="2"/>
      <c r="K170" s="2"/>
      <c r="L170" s="2"/>
      <c r="M170" s="2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.75" customHeight="1">
      <c r="A171" s="2"/>
      <c r="B171" s="2"/>
      <c r="C171" s="2"/>
      <c r="D171" s="2"/>
      <c r="E171" s="2"/>
      <c r="F171" s="2"/>
      <c r="G171" s="6"/>
      <c r="H171" s="2"/>
      <c r="I171" s="2"/>
      <c r="J171" s="2"/>
      <c r="K171" s="2"/>
      <c r="L171" s="2"/>
      <c r="M171" s="2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.75" customHeight="1">
      <c r="A172" s="2"/>
      <c r="B172" s="2"/>
      <c r="C172" s="2"/>
      <c r="D172" s="2"/>
      <c r="E172" s="2"/>
      <c r="F172" s="2"/>
      <c r="G172" s="6"/>
      <c r="H172" s="2"/>
      <c r="I172" s="2"/>
      <c r="J172" s="2"/>
      <c r="K172" s="2"/>
      <c r="L172" s="2"/>
      <c r="M172" s="2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.75" customHeight="1">
      <c r="A173" s="2"/>
      <c r="B173" s="2"/>
      <c r="C173" s="2"/>
      <c r="D173" s="2"/>
      <c r="E173" s="2"/>
      <c r="F173" s="2"/>
      <c r="G173" s="6"/>
      <c r="H173" s="2"/>
      <c r="I173" s="2"/>
      <c r="J173" s="2"/>
      <c r="K173" s="2"/>
      <c r="L173" s="2"/>
      <c r="M173" s="2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.75" customHeight="1">
      <c r="A174" s="2"/>
      <c r="B174" s="2"/>
      <c r="C174" s="2"/>
      <c r="D174" s="2"/>
      <c r="E174" s="2"/>
      <c r="F174" s="2"/>
      <c r="G174" s="6"/>
      <c r="H174" s="2"/>
      <c r="I174" s="2"/>
      <c r="J174" s="2"/>
      <c r="K174" s="2"/>
      <c r="L174" s="2"/>
      <c r="M174" s="2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.75" customHeight="1">
      <c r="A175" s="2"/>
      <c r="B175" s="2"/>
      <c r="C175" s="2"/>
      <c r="D175" s="2"/>
      <c r="E175" s="2"/>
      <c r="F175" s="2"/>
      <c r="G175" s="6"/>
      <c r="H175" s="2"/>
      <c r="I175" s="2"/>
      <c r="J175" s="2"/>
      <c r="K175" s="2"/>
      <c r="L175" s="2"/>
      <c r="M175" s="2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.75" customHeight="1">
      <c r="A176" s="2"/>
      <c r="B176" s="2"/>
      <c r="C176" s="2"/>
      <c r="D176" s="2"/>
      <c r="E176" s="2"/>
      <c r="F176" s="2"/>
      <c r="G176" s="6"/>
      <c r="H176" s="2"/>
      <c r="I176" s="2"/>
      <c r="J176" s="2"/>
      <c r="K176" s="2"/>
      <c r="L176" s="2"/>
      <c r="M176" s="2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.75" customHeight="1">
      <c r="A177" s="2"/>
      <c r="B177" s="2"/>
      <c r="C177" s="2"/>
      <c r="D177" s="2"/>
      <c r="E177" s="2"/>
      <c r="F177" s="2"/>
      <c r="G177" s="6"/>
      <c r="H177" s="2"/>
      <c r="I177" s="2"/>
      <c r="J177" s="2"/>
      <c r="K177" s="2"/>
      <c r="L177" s="2"/>
      <c r="M177" s="2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.75" customHeight="1">
      <c r="A178" s="2"/>
      <c r="B178" s="2"/>
      <c r="C178" s="2"/>
      <c r="D178" s="2"/>
      <c r="E178" s="2"/>
      <c r="F178" s="2"/>
      <c r="G178" s="6"/>
      <c r="H178" s="2"/>
      <c r="I178" s="2"/>
      <c r="J178" s="2"/>
      <c r="K178" s="2"/>
      <c r="L178" s="2"/>
      <c r="M178" s="2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.75" customHeight="1">
      <c r="A179" s="2"/>
      <c r="B179" s="2"/>
      <c r="C179" s="2"/>
      <c r="D179" s="2"/>
      <c r="E179" s="2"/>
      <c r="F179" s="2"/>
      <c r="G179" s="6"/>
      <c r="H179" s="2"/>
      <c r="I179" s="2"/>
      <c r="J179" s="2"/>
      <c r="K179" s="2"/>
      <c r="L179" s="2"/>
      <c r="M179" s="2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.75" customHeight="1">
      <c r="A180" s="2"/>
      <c r="B180" s="2"/>
      <c r="C180" s="2"/>
      <c r="D180" s="2"/>
      <c r="E180" s="2"/>
      <c r="F180" s="2"/>
      <c r="G180" s="6"/>
      <c r="H180" s="2"/>
      <c r="I180" s="2"/>
      <c r="J180" s="2"/>
      <c r="K180" s="2"/>
      <c r="L180" s="2"/>
      <c r="M180" s="2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.75" customHeight="1">
      <c r="A181" s="2"/>
      <c r="B181" s="2"/>
      <c r="C181" s="2"/>
      <c r="D181" s="2"/>
      <c r="E181" s="2"/>
      <c r="F181" s="2"/>
      <c r="G181" s="6"/>
      <c r="H181" s="2"/>
      <c r="I181" s="2"/>
      <c r="J181" s="2"/>
      <c r="K181" s="2"/>
      <c r="L181" s="2"/>
      <c r="M181" s="2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.75" customHeight="1">
      <c r="A182" s="2"/>
      <c r="B182" s="2"/>
      <c r="C182" s="2"/>
      <c r="D182" s="2"/>
      <c r="E182" s="2"/>
      <c r="F182" s="2"/>
      <c r="G182" s="6"/>
      <c r="H182" s="2"/>
      <c r="I182" s="2"/>
      <c r="J182" s="2"/>
      <c r="K182" s="2"/>
      <c r="L182" s="2"/>
      <c r="M182" s="2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.75" customHeight="1">
      <c r="A183" s="2"/>
      <c r="B183" s="2"/>
      <c r="C183" s="2"/>
      <c r="D183" s="2"/>
      <c r="E183" s="2"/>
      <c r="F183" s="2"/>
      <c r="G183" s="6"/>
      <c r="H183" s="2"/>
      <c r="I183" s="2"/>
      <c r="J183" s="2"/>
      <c r="K183" s="2"/>
      <c r="L183" s="2"/>
      <c r="M183" s="2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.75" customHeight="1">
      <c r="A184" s="2"/>
      <c r="B184" s="2"/>
      <c r="C184" s="2"/>
      <c r="D184" s="2"/>
      <c r="E184" s="2"/>
      <c r="F184" s="2"/>
      <c r="G184" s="6"/>
      <c r="H184" s="2"/>
      <c r="I184" s="2"/>
      <c r="J184" s="2"/>
      <c r="K184" s="2"/>
      <c r="L184" s="2"/>
      <c r="M184" s="2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.75" customHeight="1">
      <c r="A185" s="2"/>
      <c r="B185" s="2"/>
      <c r="C185" s="2"/>
      <c r="D185" s="2"/>
      <c r="E185" s="2"/>
      <c r="F185" s="2"/>
      <c r="G185" s="6"/>
      <c r="H185" s="2"/>
      <c r="I185" s="2"/>
      <c r="J185" s="2"/>
      <c r="K185" s="2"/>
      <c r="L185" s="2"/>
      <c r="M185" s="2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.75" customHeight="1">
      <c r="A186" s="2"/>
      <c r="B186" s="2"/>
      <c r="C186" s="2"/>
      <c r="D186" s="2"/>
      <c r="E186" s="2"/>
      <c r="F186" s="2"/>
      <c r="G186" s="6"/>
      <c r="H186" s="2"/>
      <c r="I186" s="2"/>
      <c r="J186" s="2"/>
      <c r="K186" s="2"/>
      <c r="L186" s="2"/>
      <c r="M186" s="2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.75" customHeight="1">
      <c r="A187" s="2"/>
      <c r="B187" s="2"/>
      <c r="C187" s="2"/>
      <c r="D187" s="2"/>
      <c r="E187" s="2"/>
      <c r="F187" s="2"/>
      <c r="G187" s="6"/>
      <c r="H187" s="2"/>
      <c r="I187" s="2"/>
      <c r="J187" s="2"/>
      <c r="K187" s="2"/>
      <c r="L187" s="2"/>
      <c r="M187" s="2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.75" customHeight="1">
      <c r="A188" s="2"/>
      <c r="B188" s="2"/>
      <c r="C188" s="2"/>
      <c r="D188" s="2"/>
      <c r="E188" s="2"/>
      <c r="F188" s="2"/>
      <c r="G188" s="6"/>
      <c r="H188" s="2"/>
      <c r="I188" s="2"/>
      <c r="J188" s="2"/>
      <c r="K188" s="2"/>
      <c r="L188" s="2"/>
      <c r="M188" s="2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.75" customHeight="1">
      <c r="A189" s="2"/>
      <c r="B189" s="2"/>
      <c r="C189" s="2"/>
      <c r="D189" s="2"/>
      <c r="E189" s="2"/>
      <c r="F189" s="2"/>
      <c r="G189" s="6"/>
      <c r="H189" s="2"/>
      <c r="I189" s="2"/>
      <c r="J189" s="2"/>
      <c r="K189" s="2"/>
      <c r="L189" s="2"/>
      <c r="M189" s="2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.75" customHeight="1">
      <c r="A190" s="2"/>
      <c r="B190" s="2"/>
      <c r="C190" s="2"/>
      <c r="D190" s="2"/>
      <c r="E190" s="2"/>
      <c r="F190" s="2"/>
      <c r="G190" s="6"/>
      <c r="H190" s="2"/>
      <c r="I190" s="2"/>
      <c r="J190" s="2"/>
      <c r="K190" s="2"/>
      <c r="L190" s="2"/>
      <c r="M190" s="2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.75" customHeight="1">
      <c r="A191" s="2"/>
      <c r="B191" s="2"/>
      <c r="C191" s="2"/>
      <c r="D191" s="2"/>
      <c r="E191" s="2"/>
      <c r="F191" s="2"/>
      <c r="G191" s="6"/>
      <c r="H191" s="2"/>
      <c r="I191" s="2"/>
      <c r="J191" s="2"/>
      <c r="K191" s="2"/>
      <c r="L191" s="2"/>
      <c r="M191" s="2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.75" customHeight="1">
      <c r="A192" s="2"/>
      <c r="B192" s="2"/>
      <c r="C192" s="2"/>
      <c r="D192" s="2"/>
      <c r="E192" s="2"/>
      <c r="F192" s="2"/>
      <c r="G192" s="6"/>
      <c r="H192" s="2"/>
      <c r="I192" s="2"/>
      <c r="J192" s="2"/>
      <c r="K192" s="2"/>
      <c r="L192" s="2"/>
      <c r="M192" s="2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.75" customHeight="1">
      <c r="A193" s="2"/>
      <c r="B193" s="2"/>
      <c r="C193" s="2"/>
      <c r="D193" s="2"/>
      <c r="E193" s="2"/>
      <c r="F193" s="2"/>
      <c r="G193" s="6"/>
      <c r="H193" s="2"/>
      <c r="I193" s="2"/>
      <c r="J193" s="2"/>
      <c r="K193" s="2"/>
      <c r="L193" s="2"/>
      <c r="M193" s="2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.75" customHeight="1">
      <c r="A194" s="2"/>
      <c r="B194" s="2"/>
      <c r="C194" s="2"/>
      <c r="D194" s="2"/>
      <c r="E194" s="2"/>
      <c r="F194" s="2"/>
      <c r="G194" s="6"/>
      <c r="H194" s="2"/>
      <c r="I194" s="2"/>
      <c r="J194" s="2"/>
      <c r="K194" s="2"/>
      <c r="L194" s="2"/>
      <c r="M194" s="2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.75" customHeight="1">
      <c r="A195" s="2"/>
      <c r="B195" s="2"/>
      <c r="C195" s="2"/>
      <c r="D195" s="2"/>
      <c r="E195" s="2"/>
      <c r="F195" s="2"/>
      <c r="G195" s="6"/>
      <c r="H195" s="2"/>
      <c r="I195" s="2"/>
      <c r="J195" s="2"/>
      <c r="K195" s="2"/>
      <c r="L195" s="2"/>
      <c r="M195" s="2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.75" customHeight="1">
      <c r="A196" s="2"/>
      <c r="B196" s="2"/>
      <c r="C196" s="2"/>
      <c r="D196" s="2"/>
      <c r="E196" s="2"/>
      <c r="F196" s="2"/>
      <c r="G196" s="6"/>
      <c r="H196" s="2"/>
      <c r="I196" s="2"/>
      <c r="J196" s="2"/>
      <c r="K196" s="2"/>
      <c r="L196" s="2"/>
      <c r="M196" s="2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.75" customHeight="1">
      <c r="A197" s="2"/>
      <c r="B197" s="2"/>
      <c r="C197" s="2"/>
      <c r="D197" s="2"/>
      <c r="E197" s="2"/>
      <c r="F197" s="2"/>
      <c r="G197" s="6"/>
      <c r="H197" s="2"/>
      <c r="I197" s="2"/>
      <c r="J197" s="2"/>
      <c r="K197" s="2"/>
      <c r="L197" s="2"/>
      <c r="M197" s="2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.75" customHeight="1">
      <c r="A198" s="2"/>
      <c r="B198" s="2"/>
      <c r="C198" s="2"/>
      <c r="D198" s="2"/>
      <c r="E198" s="2"/>
      <c r="F198" s="2"/>
      <c r="G198" s="6"/>
      <c r="H198" s="2"/>
      <c r="I198" s="2"/>
      <c r="J198" s="2"/>
      <c r="K198" s="2"/>
      <c r="L198" s="2"/>
      <c r="M198" s="2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.75" customHeight="1">
      <c r="A199" s="2"/>
      <c r="B199" s="2"/>
      <c r="C199" s="2"/>
      <c r="D199" s="2"/>
      <c r="E199" s="2"/>
      <c r="F199" s="2"/>
      <c r="G199" s="6"/>
      <c r="H199" s="2"/>
      <c r="I199" s="2"/>
      <c r="J199" s="2"/>
      <c r="K199" s="2"/>
      <c r="L199" s="2"/>
      <c r="M199" s="2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.75" customHeight="1">
      <c r="A200" s="2"/>
      <c r="B200" s="2"/>
      <c r="C200" s="2"/>
      <c r="D200" s="2"/>
      <c r="E200" s="2"/>
      <c r="F200" s="2"/>
      <c r="G200" s="6"/>
      <c r="H200" s="2"/>
      <c r="I200" s="2"/>
      <c r="J200" s="2"/>
      <c r="K200" s="2"/>
      <c r="L200" s="2"/>
      <c r="M200" s="2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.75" customHeight="1">
      <c r="A201" s="2"/>
      <c r="B201" s="2"/>
      <c r="C201" s="2"/>
      <c r="D201" s="2"/>
      <c r="E201" s="2"/>
      <c r="F201" s="2"/>
      <c r="G201" s="6"/>
      <c r="H201" s="2"/>
      <c r="I201" s="2"/>
      <c r="J201" s="2"/>
      <c r="K201" s="2"/>
      <c r="L201" s="2"/>
      <c r="M201" s="2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.75" customHeight="1">
      <c r="A202" s="2"/>
      <c r="B202" s="2"/>
      <c r="C202" s="2"/>
      <c r="D202" s="2"/>
      <c r="E202" s="2"/>
      <c r="F202" s="2"/>
      <c r="G202" s="6"/>
      <c r="H202" s="2"/>
      <c r="I202" s="2"/>
      <c r="J202" s="2"/>
      <c r="K202" s="2"/>
      <c r="L202" s="2"/>
      <c r="M202" s="2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.75" customHeight="1">
      <c r="A203" s="2"/>
      <c r="B203" s="2"/>
      <c r="C203" s="2"/>
      <c r="D203" s="2"/>
      <c r="E203" s="2"/>
      <c r="F203" s="2"/>
      <c r="G203" s="6"/>
      <c r="H203" s="2"/>
      <c r="I203" s="2"/>
      <c r="J203" s="2"/>
      <c r="K203" s="2"/>
      <c r="L203" s="2"/>
      <c r="M203" s="2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.75" customHeight="1">
      <c r="A204" s="2"/>
      <c r="B204" s="2"/>
      <c r="C204" s="2"/>
      <c r="D204" s="2"/>
      <c r="E204" s="2"/>
      <c r="F204" s="2"/>
      <c r="G204" s="6"/>
      <c r="H204" s="2"/>
      <c r="I204" s="2"/>
      <c r="J204" s="2"/>
      <c r="K204" s="2"/>
      <c r="L204" s="2"/>
      <c r="M204" s="2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.75" customHeight="1">
      <c r="A205" s="2"/>
      <c r="B205" s="2"/>
      <c r="C205" s="2"/>
      <c r="D205" s="2"/>
      <c r="E205" s="2"/>
      <c r="F205" s="2"/>
      <c r="G205" s="6"/>
      <c r="H205" s="2"/>
      <c r="I205" s="2"/>
      <c r="J205" s="2"/>
      <c r="K205" s="2"/>
      <c r="L205" s="2"/>
      <c r="M205" s="2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.75" customHeight="1">
      <c r="A206" s="2"/>
      <c r="B206" s="2"/>
      <c r="C206" s="2"/>
      <c r="D206" s="2"/>
      <c r="E206" s="2"/>
      <c r="F206" s="2"/>
      <c r="G206" s="6"/>
      <c r="H206" s="2"/>
      <c r="I206" s="2"/>
      <c r="J206" s="2"/>
      <c r="K206" s="2"/>
      <c r="L206" s="2"/>
      <c r="M206" s="2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.75" customHeight="1">
      <c r="A207" s="2"/>
      <c r="B207" s="2"/>
      <c r="C207" s="2"/>
      <c r="D207" s="2"/>
      <c r="E207" s="2"/>
      <c r="F207" s="2"/>
      <c r="G207" s="6"/>
      <c r="H207" s="2"/>
      <c r="I207" s="2"/>
      <c r="J207" s="2"/>
      <c r="K207" s="2"/>
      <c r="L207" s="2"/>
      <c r="M207" s="2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.75" customHeight="1">
      <c r="A208" s="2"/>
      <c r="B208" s="2"/>
      <c r="C208" s="2"/>
      <c r="D208" s="2"/>
      <c r="E208" s="2"/>
      <c r="F208" s="2"/>
      <c r="G208" s="6"/>
      <c r="H208" s="2"/>
      <c r="I208" s="2"/>
      <c r="J208" s="2"/>
      <c r="K208" s="2"/>
      <c r="L208" s="2"/>
      <c r="M208" s="2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.75" customHeight="1">
      <c r="A209" s="2"/>
      <c r="B209" s="2"/>
      <c r="C209" s="2"/>
      <c r="D209" s="2"/>
      <c r="E209" s="2"/>
      <c r="F209" s="2"/>
      <c r="G209" s="6"/>
      <c r="H209" s="2"/>
      <c r="I209" s="2"/>
      <c r="J209" s="2"/>
      <c r="K209" s="2"/>
      <c r="L209" s="2"/>
      <c r="M209" s="2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.75" customHeight="1">
      <c r="A210" s="2"/>
      <c r="B210" s="2"/>
      <c r="C210" s="2"/>
      <c r="D210" s="2"/>
      <c r="E210" s="2"/>
      <c r="F210" s="2"/>
      <c r="G210" s="6"/>
      <c r="H210" s="2"/>
      <c r="I210" s="2"/>
      <c r="J210" s="2"/>
      <c r="K210" s="2"/>
      <c r="L210" s="2"/>
      <c r="M210" s="2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.75" customHeight="1">
      <c r="A211" s="2"/>
      <c r="B211" s="2"/>
      <c r="C211" s="2"/>
      <c r="D211" s="2"/>
      <c r="E211" s="2"/>
      <c r="F211" s="2"/>
      <c r="G211" s="6"/>
      <c r="H211" s="2"/>
      <c r="I211" s="2"/>
      <c r="J211" s="2"/>
      <c r="K211" s="2"/>
      <c r="L211" s="2"/>
      <c r="M211" s="2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.75" customHeight="1">
      <c r="A212" s="2"/>
      <c r="B212" s="2"/>
      <c r="C212" s="2"/>
      <c r="D212" s="2"/>
      <c r="E212" s="2"/>
      <c r="F212" s="2"/>
      <c r="G212" s="6"/>
      <c r="H212" s="2"/>
      <c r="I212" s="2"/>
      <c r="J212" s="2"/>
      <c r="K212" s="2"/>
      <c r="L212" s="2"/>
      <c r="M212" s="2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.75" customHeight="1">
      <c r="A213" s="2"/>
      <c r="B213" s="2"/>
      <c r="C213" s="2"/>
      <c r="D213" s="2"/>
      <c r="E213" s="2"/>
      <c r="F213" s="2"/>
      <c r="G213" s="6"/>
      <c r="H213" s="2"/>
      <c r="I213" s="2"/>
      <c r="J213" s="2"/>
      <c r="K213" s="2"/>
      <c r="L213" s="2"/>
      <c r="M213" s="2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.75" customHeight="1">
      <c r="A214" s="2"/>
      <c r="B214" s="2"/>
      <c r="C214" s="2"/>
      <c r="D214" s="2"/>
      <c r="E214" s="2"/>
      <c r="F214" s="2"/>
      <c r="G214" s="6"/>
      <c r="H214" s="2"/>
      <c r="I214" s="2"/>
      <c r="J214" s="2"/>
      <c r="K214" s="2"/>
      <c r="L214" s="2"/>
      <c r="M214" s="2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.75" customHeight="1">
      <c r="A215" s="2"/>
      <c r="B215" s="2"/>
      <c r="C215" s="2"/>
      <c r="D215" s="2"/>
      <c r="E215" s="2"/>
      <c r="F215" s="2"/>
      <c r="G215" s="6"/>
      <c r="H215" s="2"/>
      <c r="I215" s="2"/>
      <c r="J215" s="2"/>
      <c r="K215" s="2"/>
      <c r="L215" s="2"/>
      <c r="M215" s="2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.75" customHeight="1">
      <c r="A216" s="2"/>
      <c r="B216" s="2"/>
      <c r="C216" s="2"/>
      <c r="D216" s="2"/>
      <c r="E216" s="2"/>
      <c r="F216" s="2"/>
      <c r="G216" s="6"/>
      <c r="H216" s="2"/>
      <c r="I216" s="2"/>
      <c r="J216" s="2"/>
      <c r="K216" s="2"/>
      <c r="L216" s="2"/>
      <c r="M216" s="2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.75" customHeight="1">
      <c r="A217" s="2"/>
      <c r="B217" s="2"/>
      <c r="C217" s="2"/>
      <c r="D217" s="2"/>
      <c r="E217" s="2"/>
      <c r="F217" s="2"/>
      <c r="G217" s="6"/>
      <c r="H217" s="2"/>
      <c r="I217" s="2"/>
      <c r="J217" s="2"/>
      <c r="K217" s="2"/>
      <c r="L217" s="2"/>
      <c r="M217" s="2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.75" customHeight="1">
      <c r="A218" s="2"/>
      <c r="B218" s="2"/>
      <c r="C218" s="2"/>
      <c r="D218" s="2"/>
      <c r="E218" s="2"/>
      <c r="F218" s="2"/>
      <c r="G218" s="6"/>
      <c r="H218" s="2"/>
      <c r="I218" s="2"/>
      <c r="J218" s="2"/>
      <c r="K218" s="2"/>
      <c r="L218" s="2"/>
      <c r="M218" s="2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.75" customHeight="1">
      <c r="A219" s="2"/>
      <c r="B219" s="2"/>
      <c r="C219" s="2"/>
      <c r="D219" s="2"/>
      <c r="E219" s="2"/>
      <c r="F219" s="2"/>
      <c r="G219" s="6"/>
      <c r="H219" s="2"/>
      <c r="I219" s="2"/>
      <c r="J219" s="2"/>
      <c r="K219" s="2"/>
      <c r="L219" s="2"/>
      <c r="M219" s="2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.75" customHeight="1">
      <c r="A220" s="2"/>
      <c r="B220" s="2"/>
      <c r="C220" s="2"/>
      <c r="D220" s="2"/>
      <c r="E220" s="2"/>
      <c r="F220" s="2"/>
      <c r="G220" s="6"/>
      <c r="H220" s="2"/>
      <c r="I220" s="2"/>
      <c r="J220" s="2"/>
      <c r="K220" s="2"/>
      <c r="L220" s="2"/>
      <c r="M220" s="2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.75" customHeight="1">
      <c r="A221" s="2"/>
      <c r="B221" s="2"/>
      <c r="C221" s="2"/>
      <c r="D221" s="2"/>
      <c r="E221" s="2"/>
      <c r="F221" s="2"/>
      <c r="G221" s="6"/>
      <c r="H221" s="2"/>
      <c r="I221" s="2"/>
      <c r="J221" s="2"/>
      <c r="K221" s="2"/>
      <c r="L221" s="2"/>
      <c r="M221" s="2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.75" customHeight="1">
      <c r="A222" s="2"/>
      <c r="B222" s="2"/>
      <c r="C222" s="2"/>
      <c r="D222" s="2"/>
      <c r="E222" s="2"/>
      <c r="F222" s="2"/>
      <c r="G222" s="6"/>
      <c r="H222" s="2"/>
      <c r="I222" s="2"/>
      <c r="J222" s="2"/>
      <c r="K222" s="2"/>
      <c r="L222" s="2"/>
      <c r="M222" s="2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.75" customHeight="1">
      <c r="A223" s="2"/>
      <c r="B223" s="2"/>
      <c r="C223" s="2"/>
      <c r="D223" s="2"/>
      <c r="E223" s="2"/>
      <c r="F223" s="2"/>
      <c r="G223" s="6"/>
      <c r="H223" s="2"/>
      <c r="I223" s="2"/>
      <c r="J223" s="2"/>
      <c r="K223" s="2"/>
      <c r="L223" s="2"/>
      <c r="M223" s="2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.75" customHeight="1">
      <c r="A224" s="2"/>
      <c r="B224" s="2"/>
      <c r="C224" s="2"/>
      <c r="D224" s="2"/>
      <c r="E224" s="2"/>
      <c r="F224" s="2"/>
      <c r="G224" s="6"/>
      <c r="H224" s="2"/>
      <c r="I224" s="2"/>
      <c r="J224" s="2"/>
      <c r="K224" s="2"/>
      <c r="L224" s="2"/>
      <c r="M224" s="2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.75" customHeight="1">
      <c r="A225" s="2"/>
      <c r="B225" s="2"/>
      <c r="C225" s="2"/>
      <c r="D225" s="2"/>
      <c r="E225" s="2"/>
      <c r="F225" s="2"/>
      <c r="G225" s="6"/>
      <c r="H225" s="2"/>
      <c r="I225" s="2"/>
      <c r="J225" s="2"/>
      <c r="K225" s="2"/>
      <c r="L225" s="2"/>
      <c r="M225" s="2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.75" customHeight="1">
      <c r="A226" s="2"/>
      <c r="B226" s="2"/>
      <c r="C226" s="2"/>
      <c r="D226" s="2"/>
      <c r="E226" s="2"/>
      <c r="F226" s="2"/>
      <c r="G226" s="6"/>
      <c r="H226" s="2"/>
      <c r="I226" s="2"/>
      <c r="J226" s="2"/>
      <c r="K226" s="2"/>
      <c r="L226" s="2"/>
      <c r="M226" s="2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.75" customHeight="1">
      <c r="A227" s="2"/>
      <c r="B227" s="2"/>
      <c r="C227" s="2"/>
      <c r="D227" s="2"/>
      <c r="E227" s="2"/>
      <c r="F227" s="2"/>
      <c r="G227" s="6"/>
      <c r="H227" s="2"/>
      <c r="I227" s="2"/>
      <c r="J227" s="2"/>
      <c r="K227" s="2"/>
      <c r="L227" s="2"/>
      <c r="M227" s="2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.75" customHeight="1">
      <c r="A228" s="2"/>
      <c r="B228" s="2"/>
      <c r="C228" s="2"/>
      <c r="D228" s="2"/>
      <c r="E228" s="2"/>
      <c r="F228" s="2"/>
      <c r="G228" s="6"/>
      <c r="H228" s="2"/>
      <c r="I228" s="2"/>
      <c r="J228" s="2"/>
      <c r="K228" s="2"/>
      <c r="L228" s="2"/>
      <c r="M228" s="2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.75" customHeight="1">
      <c r="A229" s="2"/>
      <c r="B229" s="2"/>
      <c r="C229" s="2"/>
      <c r="D229" s="2"/>
      <c r="E229" s="2"/>
      <c r="F229" s="2"/>
      <c r="G229" s="6"/>
      <c r="H229" s="2"/>
      <c r="I229" s="2"/>
      <c r="J229" s="2"/>
      <c r="K229" s="2"/>
      <c r="L229" s="2"/>
      <c r="M229" s="2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.75" customHeight="1">
      <c r="A230" s="2"/>
      <c r="B230" s="2"/>
      <c r="C230" s="2"/>
      <c r="D230" s="2"/>
      <c r="E230" s="2"/>
      <c r="F230" s="2"/>
      <c r="G230" s="6"/>
      <c r="H230" s="2"/>
      <c r="I230" s="2"/>
      <c r="J230" s="2"/>
      <c r="K230" s="2"/>
      <c r="L230" s="2"/>
      <c r="M230" s="2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.75" customHeight="1">
      <c r="A231" s="2"/>
      <c r="B231" s="2"/>
      <c r="C231" s="2"/>
      <c r="D231" s="2"/>
      <c r="E231" s="2"/>
      <c r="F231" s="2"/>
      <c r="G231" s="6"/>
      <c r="H231" s="2"/>
      <c r="I231" s="2"/>
      <c r="J231" s="2"/>
      <c r="K231" s="2"/>
      <c r="L231" s="2"/>
      <c r="M231" s="2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.75" customHeight="1">
      <c r="A232" s="2"/>
      <c r="B232" s="2"/>
      <c r="C232" s="2"/>
      <c r="D232" s="2"/>
      <c r="E232" s="2"/>
      <c r="F232" s="2"/>
      <c r="G232" s="6"/>
      <c r="H232" s="2"/>
      <c r="I232" s="2"/>
      <c r="J232" s="2"/>
      <c r="K232" s="2"/>
      <c r="L232" s="2"/>
      <c r="M232" s="2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.75" customHeight="1">
      <c r="A233" s="2"/>
      <c r="B233" s="2"/>
      <c r="C233" s="2"/>
      <c r="D233" s="2"/>
      <c r="E233" s="2"/>
      <c r="F233" s="2"/>
      <c r="G233" s="6"/>
      <c r="H233" s="2"/>
      <c r="I233" s="2"/>
      <c r="J233" s="2"/>
      <c r="K233" s="2"/>
      <c r="L233" s="2"/>
      <c r="M233" s="2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.75" customHeight="1">
      <c r="A234" s="2"/>
      <c r="B234" s="2"/>
      <c r="C234" s="2"/>
      <c r="D234" s="2"/>
      <c r="E234" s="2"/>
      <c r="F234" s="2"/>
      <c r="G234" s="6"/>
      <c r="H234" s="2"/>
      <c r="I234" s="2"/>
      <c r="J234" s="2"/>
      <c r="K234" s="2"/>
      <c r="L234" s="2"/>
      <c r="M234" s="2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.75" customHeight="1">
      <c r="A235" s="2"/>
      <c r="B235" s="2"/>
      <c r="C235" s="2"/>
      <c r="D235" s="2"/>
      <c r="E235" s="2"/>
      <c r="F235" s="2"/>
      <c r="G235" s="6"/>
      <c r="H235" s="2"/>
      <c r="I235" s="2"/>
      <c r="J235" s="2"/>
      <c r="K235" s="2"/>
      <c r="L235" s="2"/>
      <c r="M235" s="2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.75" customHeight="1">
      <c r="A236" s="2"/>
      <c r="B236" s="2"/>
      <c r="C236" s="2"/>
      <c r="D236" s="2"/>
      <c r="E236" s="2"/>
      <c r="F236" s="2"/>
      <c r="G236" s="6"/>
      <c r="H236" s="2"/>
      <c r="I236" s="2"/>
      <c r="J236" s="2"/>
      <c r="K236" s="2"/>
      <c r="L236" s="2"/>
      <c r="M236" s="2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.75" customHeight="1">
      <c r="A237" s="2"/>
      <c r="B237" s="2"/>
      <c r="C237" s="2"/>
      <c r="D237" s="2"/>
      <c r="E237" s="2"/>
      <c r="F237" s="2"/>
      <c r="G237" s="6"/>
      <c r="H237" s="2"/>
      <c r="I237" s="2"/>
      <c r="J237" s="2"/>
      <c r="K237" s="2"/>
      <c r="L237" s="2"/>
      <c r="M237" s="2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.75" customHeight="1">
      <c r="A238" s="2"/>
      <c r="B238" s="2"/>
      <c r="C238" s="2"/>
      <c r="D238" s="2"/>
      <c r="E238" s="2"/>
      <c r="F238" s="2"/>
      <c r="G238" s="6"/>
      <c r="H238" s="2"/>
      <c r="I238" s="2"/>
      <c r="J238" s="2"/>
      <c r="K238" s="2"/>
      <c r="L238" s="2"/>
      <c r="M238" s="2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.75" customHeight="1">
      <c r="A239" s="2"/>
      <c r="B239" s="2"/>
      <c r="C239" s="2"/>
      <c r="D239" s="2"/>
      <c r="E239" s="2"/>
      <c r="F239" s="2"/>
      <c r="G239" s="6"/>
      <c r="H239" s="2"/>
      <c r="I239" s="2"/>
      <c r="J239" s="2"/>
      <c r="K239" s="2"/>
      <c r="L239" s="2"/>
      <c r="M239" s="2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.75" customHeight="1">
      <c r="A240" s="2"/>
      <c r="B240" s="2"/>
      <c r="C240" s="2"/>
      <c r="D240" s="2"/>
      <c r="E240" s="2"/>
      <c r="F240" s="2"/>
      <c r="G240" s="6"/>
      <c r="H240" s="2"/>
      <c r="I240" s="2"/>
      <c r="J240" s="2"/>
      <c r="K240" s="2"/>
      <c r="L240" s="2"/>
      <c r="M240" s="2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.75" customHeight="1">
      <c r="A241" s="2"/>
      <c r="B241" s="2"/>
      <c r="C241" s="2"/>
      <c r="D241" s="2"/>
      <c r="E241" s="2"/>
      <c r="F241" s="2"/>
      <c r="G241" s="6"/>
      <c r="H241" s="2"/>
      <c r="I241" s="2"/>
      <c r="J241" s="2"/>
      <c r="K241" s="2"/>
      <c r="L241" s="2"/>
      <c r="M241" s="2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.75" customHeight="1">
      <c r="A242" s="2"/>
      <c r="B242" s="2"/>
      <c r="C242" s="2"/>
      <c r="D242" s="2"/>
      <c r="E242" s="2"/>
      <c r="F242" s="2"/>
      <c r="G242" s="6"/>
      <c r="H242" s="2"/>
      <c r="I242" s="2"/>
      <c r="J242" s="2"/>
      <c r="K242" s="2"/>
      <c r="L242" s="2"/>
      <c r="M242" s="2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.75" customHeight="1">
      <c r="A243" s="2"/>
      <c r="B243" s="2"/>
      <c r="C243" s="2"/>
      <c r="D243" s="2"/>
      <c r="E243" s="2"/>
      <c r="F243" s="2"/>
      <c r="G243" s="6"/>
      <c r="H243" s="2"/>
      <c r="I243" s="2"/>
      <c r="J243" s="2"/>
      <c r="K243" s="2"/>
      <c r="L243" s="2"/>
      <c r="M243" s="2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.75" customHeight="1">
      <c r="A244" s="2"/>
      <c r="B244" s="2"/>
      <c r="C244" s="2"/>
      <c r="D244" s="2"/>
      <c r="E244" s="2"/>
      <c r="F244" s="2"/>
      <c r="G244" s="6"/>
      <c r="H244" s="2"/>
      <c r="I244" s="2"/>
      <c r="J244" s="2"/>
      <c r="K244" s="2"/>
      <c r="L244" s="2"/>
      <c r="M244" s="2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.75" customHeight="1">
      <c r="A245" s="2"/>
      <c r="B245" s="2"/>
      <c r="C245" s="2"/>
      <c r="D245" s="2"/>
      <c r="E245" s="2"/>
      <c r="F245" s="2"/>
      <c r="G245" s="6"/>
      <c r="H245" s="2"/>
      <c r="I245" s="2"/>
      <c r="J245" s="2"/>
      <c r="K245" s="2"/>
      <c r="L245" s="2"/>
      <c r="M245" s="2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.75" customHeight="1">
      <c r="A246" s="2"/>
      <c r="B246" s="2"/>
      <c r="C246" s="2"/>
      <c r="D246" s="2"/>
      <c r="E246" s="2"/>
      <c r="F246" s="2"/>
      <c r="G246" s="6"/>
      <c r="H246" s="2"/>
      <c r="I246" s="2"/>
      <c r="J246" s="2"/>
      <c r="K246" s="2"/>
      <c r="L246" s="2"/>
      <c r="M246" s="2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.75" customHeight="1">
      <c r="A247" s="2"/>
      <c r="B247" s="2"/>
      <c r="C247" s="2"/>
      <c r="D247" s="2"/>
      <c r="E247" s="2"/>
      <c r="F247" s="2"/>
      <c r="G247" s="6"/>
      <c r="H247" s="2"/>
      <c r="I247" s="2"/>
      <c r="J247" s="2"/>
      <c r="K247" s="2"/>
      <c r="L247" s="2"/>
      <c r="M247" s="2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.75" customHeight="1">
      <c r="A248" s="2"/>
      <c r="B248" s="2"/>
      <c r="C248" s="2"/>
      <c r="D248" s="2"/>
      <c r="E248" s="2"/>
      <c r="F248" s="2"/>
      <c r="G248" s="6"/>
      <c r="H248" s="2"/>
      <c r="I248" s="2"/>
      <c r="J248" s="2"/>
      <c r="K248" s="2"/>
      <c r="L248" s="2"/>
      <c r="M248" s="2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.75" customHeight="1">
      <c r="A249" s="2"/>
      <c r="B249" s="2"/>
      <c r="C249" s="2"/>
      <c r="D249" s="2"/>
      <c r="E249" s="2"/>
      <c r="F249" s="2"/>
      <c r="G249" s="6"/>
      <c r="H249" s="2"/>
      <c r="I249" s="2"/>
      <c r="J249" s="2"/>
      <c r="K249" s="2"/>
      <c r="L249" s="2"/>
      <c r="M249" s="2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.75" customHeight="1">
      <c r="A250" s="2"/>
      <c r="B250" s="2"/>
      <c r="C250" s="2"/>
      <c r="D250" s="2"/>
      <c r="E250" s="2"/>
      <c r="F250" s="2"/>
      <c r="G250" s="6"/>
      <c r="H250" s="2"/>
      <c r="I250" s="2"/>
      <c r="J250" s="2"/>
      <c r="K250" s="2"/>
      <c r="L250" s="2"/>
      <c r="M250" s="2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.75" customHeight="1">
      <c r="A251" s="2"/>
      <c r="B251" s="2"/>
      <c r="C251" s="2"/>
      <c r="D251" s="2"/>
      <c r="E251" s="2"/>
      <c r="F251" s="2"/>
      <c r="G251" s="6"/>
      <c r="H251" s="2"/>
      <c r="I251" s="2"/>
      <c r="J251" s="2"/>
      <c r="K251" s="2"/>
      <c r="L251" s="2"/>
      <c r="M251" s="2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.75" customHeight="1">
      <c r="A252" s="2"/>
      <c r="B252" s="2"/>
      <c r="C252" s="2"/>
      <c r="D252" s="2"/>
      <c r="E252" s="2"/>
      <c r="F252" s="2"/>
      <c r="G252" s="6"/>
      <c r="H252" s="2"/>
      <c r="I252" s="2"/>
      <c r="J252" s="2"/>
      <c r="K252" s="2"/>
      <c r="L252" s="2"/>
      <c r="M252" s="2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.75" customHeight="1">
      <c r="A253" s="2"/>
      <c r="B253" s="2"/>
      <c r="C253" s="2"/>
      <c r="D253" s="2"/>
      <c r="E253" s="2"/>
      <c r="F253" s="2"/>
      <c r="G253" s="6"/>
      <c r="H253" s="2"/>
      <c r="I253" s="2"/>
      <c r="J253" s="2"/>
      <c r="K253" s="2"/>
      <c r="L253" s="2"/>
      <c r="M253" s="2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.75" customHeight="1">
      <c r="A254" s="2"/>
      <c r="B254" s="2"/>
      <c r="C254" s="2"/>
      <c r="D254" s="2"/>
      <c r="E254" s="2"/>
      <c r="F254" s="2"/>
      <c r="G254" s="6"/>
      <c r="H254" s="2"/>
      <c r="I254" s="2"/>
      <c r="J254" s="2"/>
      <c r="K254" s="2"/>
      <c r="L254" s="2"/>
      <c r="M254" s="2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.75" customHeight="1">
      <c r="A255" s="2"/>
      <c r="B255" s="2"/>
      <c r="C255" s="2"/>
      <c r="D255" s="2"/>
      <c r="E255" s="2"/>
      <c r="F255" s="2"/>
      <c r="G255" s="6"/>
      <c r="H255" s="2"/>
      <c r="I255" s="2"/>
      <c r="J255" s="2"/>
      <c r="K255" s="2"/>
      <c r="L255" s="2"/>
      <c r="M255" s="2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.75" customHeight="1">
      <c r="A256" s="2"/>
      <c r="B256" s="2"/>
      <c r="C256" s="2"/>
      <c r="D256" s="2"/>
      <c r="E256" s="2"/>
      <c r="F256" s="2"/>
      <c r="G256" s="6"/>
      <c r="H256" s="2"/>
      <c r="I256" s="2"/>
      <c r="J256" s="2"/>
      <c r="K256" s="2"/>
      <c r="L256" s="2"/>
      <c r="M256" s="2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.75" customHeight="1">
      <c r="A257" s="2"/>
      <c r="B257" s="2"/>
      <c r="C257" s="2"/>
      <c r="D257" s="2"/>
      <c r="E257" s="2"/>
      <c r="F257" s="2"/>
      <c r="G257" s="6"/>
      <c r="H257" s="2"/>
      <c r="I257" s="2"/>
      <c r="J257" s="2"/>
      <c r="K257" s="2"/>
      <c r="L257" s="2"/>
      <c r="M257" s="2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.75" customHeight="1">
      <c r="A258" s="2"/>
      <c r="B258" s="2"/>
      <c r="C258" s="2"/>
      <c r="D258" s="2"/>
      <c r="E258" s="2"/>
      <c r="F258" s="2"/>
      <c r="G258" s="6"/>
      <c r="H258" s="2"/>
      <c r="I258" s="2"/>
      <c r="J258" s="2"/>
      <c r="K258" s="2"/>
      <c r="L258" s="2"/>
      <c r="M258" s="2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.75" customHeight="1">
      <c r="A259" s="2"/>
      <c r="B259" s="2"/>
      <c r="C259" s="2"/>
      <c r="D259" s="2"/>
      <c r="E259" s="2"/>
      <c r="F259" s="2"/>
      <c r="G259" s="6"/>
      <c r="H259" s="2"/>
      <c r="I259" s="2"/>
      <c r="J259" s="2"/>
      <c r="K259" s="2"/>
      <c r="L259" s="2"/>
      <c r="M259" s="2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.75" customHeight="1">
      <c r="A260" s="21"/>
      <c r="B260" s="21"/>
      <c r="C260" s="21"/>
      <c r="D260" s="21"/>
      <c r="E260" s="21"/>
      <c r="F260" s="21"/>
      <c r="G260" s="86"/>
      <c r="H260" s="21"/>
      <c r="I260" s="21"/>
      <c r="J260" s="21"/>
      <c r="K260" s="21"/>
      <c r="L260" s="21"/>
      <c r="M260" s="21"/>
      <c r="N260" s="86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</row>
    <row r="261" ht="15.75" customHeight="1">
      <c r="A261" s="21"/>
      <c r="B261" s="21"/>
      <c r="C261" s="21"/>
      <c r="D261" s="21"/>
      <c r="E261" s="21"/>
      <c r="F261" s="21"/>
      <c r="G261" s="86"/>
      <c r="H261" s="21"/>
      <c r="I261" s="21"/>
      <c r="J261" s="21"/>
      <c r="K261" s="21"/>
      <c r="L261" s="21"/>
      <c r="M261" s="21"/>
      <c r="N261" s="86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</row>
    <row r="262" ht="15.75" customHeight="1">
      <c r="A262" s="21"/>
      <c r="B262" s="21"/>
      <c r="C262" s="21"/>
      <c r="D262" s="21"/>
      <c r="E262" s="21"/>
      <c r="F262" s="21"/>
      <c r="G262" s="86"/>
      <c r="H262" s="21"/>
      <c r="I262" s="21"/>
      <c r="J262" s="21"/>
      <c r="K262" s="21"/>
      <c r="L262" s="21"/>
      <c r="M262" s="21"/>
      <c r="N262" s="86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</row>
    <row r="263" ht="15.75" customHeight="1">
      <c r="A263" s="21"/>
      <c r="B263" s="21"/>
      <c r="C263" s="21"/>
      <c r="D263" s="21"/>
      <c r="E263" s="21"/>
      <c r="F263" s="21"/>
      <c r="G263" s="86"/>
      <c r="H263" s="21"/>
      <c r="I263" s="21"/>
      <c r="J263" s="21"/>
      <c r="K263" s="21"/>
      <c r="L263" s="21"/>
      <c r="M263" s="21"/>
      <c r="N263" s="86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</row>
    <row r="264" ht="15.75" customHeight="1">
      <c r="A264" s="21"/>
      <c r="B264" s="21"/>
      <c r="C264" s="21"/>
      <c r="D264" s="21"/>
      <c r="E264" s="21"/>
      <c r="F264" s="21"/>
      <c r="G264" s="86"/>
      <c r="H264" s="21"/>
      <c r="I264" s="21"/>
      <c r="J264" s="21"/>
      <c r="K264" s="21"/>
      <c r="L264" s="21"/>
      <c r="M264" s="21"/>
      <c r="N264" s="86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</row>
    <row r="265" ht="15.75" customHeight="1">
      <c r="A265" s="21"/>
      <c r="B265" s="21"/>
      <c r="C265" s="21"/>
      <c r="D265" s="21"/>
      <c r="E265" s="21"/>
      <c r="F265" s="21"/>
      <c r="G265" s="86"/>
      <c r="H265" s="21"/>
      <c r="I265" s="21"/>
      <c r="J265" s="21"/>
      <c r="K265" s="21"/>
      <c r="L265" s="21"/>
      <c r="M265" s="21"/>
      <c r="N265" s="86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</row>
    <row r="266" ht="15.75" customHeight="1">
      <c r="A266" s="21"/>
      <c r="B266" s="21"/>
      <c r="C266" s="21"/>
      <c r="D266" s="21"/>
      <c r="E266" s="21"/>
      <c r="F266" s="21"/>
      <c r="G266" s="86"/>
      <c r="H266" s="21"/>
      <c r="I266" s="21"/>
      <c r="J266" s="21"/>
      <c r="K266" s="21"/>
      <c r="L266" s="21"/>
      <c r="M266" s="21"/>
      <c r="N266" s="86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</row>
    <row r="267" ht="15.75" customHeight="1">
      <c r="A267" s="21"/>
      <c r="B267" s="21"/>
      <c r="C267" s="21"/>
      <c r="D267" s="21"/>
      <c r="E267" s="21"/>
      <c r="F267" s="21"/>
      <c r="G267" s="86"/>
      <c r="H267" s="21"/>
      <c r="I267" s="21"/>
      <c r="J267" s="21"/>
      <c r="K267" s="21"/>
      <c r="L267" s="21"/>
      <c r="M267" s="21"/>
      <c r="N267" s="86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</row>
    <row r="268" ht="15.75" customHeight="1">
      <c r="A268" s="21"/>
      <c r="B268" s="21"/>
      <c r="C268" s="21"/>
      <c r="D268" s="21"/>
      <c r="E268" s="21"/>
      <c r="F268" s="21"/>
      <c r="G268" s="86"/>
      <c r="H268" s="21"/>
      <c r="I268" s="21"/>
      <c r="J268" s="21"/>
      <c r="K268" s="21"/>
      <c r="L268" s="21"/>
      <c r="M268" s="21"/>
      <c r="N268" s="86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</row>
    <row r="269" ht="15.75" customHeight="1">
      <c r="A269" s="21"/>
      <c r="B269" s="21"/>
      <c r="C269" s="21"/>
      <c r="D269" s="21"/>
      <c r="E269" s="21"/>
      <c r="F269" s="21"/>
      <c r="G269" s="86"/>
      <c r="H269" s="21"/>
      <c r="I269" s="21"/>
      <c r="J269" s="21"/>
      <c r="K269" s="21"/>
      <c r="L269" s="21"/>
      <c r="M269" s="21"/>
      <c r="N269" s="86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</row>
    <row r="270" ht="15.75" customHeight="1">
      <c r="A270" s="21"/>
      <c r="B270" s="21"/>
      <c r="C270" s="21"/>
      <c r="D270" s="21"/>
      <c r="E270" s="21"/>
      <c r="F270" s="21"/>
      <c r="G270" s="86"/>
      <c r="H270" s="21"/>
      <c r="I270" s="21"/>
      <c r="J270" s="21"/>
      <c r="K270" s="21"/>
      <c r="L270" s="21"/>
      <c r="M270" s="21"/>
      <c r="N270" s="86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</row>
    <row r="271" ht="15.75" customHeight="1">
      <c r="A271" s="21"/>
      <c r="B271" s="21"/>
      <c r="C271" s="21"/>
      <c r="D271" s="21"/>
      <c r="E271" s="21"/>
      <c r="F271" s="21"/>
      <c r="G271" s="86"/>
      <c r="H271" s="21"/>
      <c r="I271" s="21"/>
      <c r="J271" s="21"/>
      <c r="K271" s="21"/>
      <c r="L271" s="21"/>
      <c r="M271" s="21"/>
      <c r="N271" s="86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</row>
    <row r="272" ht="15.75" customHeight="1">
      <c r="A272" s="21"/>
      <c r="B272" s="21"/>
      <c r="C272" s="21"/>
      <c r="D272" s="21"/>
      <c r="E272" s="21"/>
      <c r="F272" s="21"/>
      <c r="G272" s="86"/>
      <c r="H272" s="21"/>
      <c r="I272" s="21"/>
      <c r="J272" s="21"/>
      <c r="K272" s="21"/>
      <c r="L272" s="21"/>
      <c r="M272" s="21"/>
      <c r="N272" s="86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</row>
    <row r="273" ht="15.75" customHeight="1">
      <c r="A273" s="21"/>
      <c r="B273" s="21"/>
      <c r="C273" s="21"/>
      <c r="D273" s="21"/>
      <c r="E273" s="21"/>
      <c r="F273" s="21"/>
      <c r="G273" s="86"/>
      <c r="H273" s="21"/>
      <c r="I273" s="21"/>
      <c r="J273" s="21"/>
      <c r="K273" s="21"/>
      <c r="L273" s="21"/>
      <c r="M273" s="21"/>
      <c r="N273" s="86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</row>
    <row r="274" ht="15.75" customHeight="1">
      <c r="A274" s="21"/>
      <c r="B274" s="21"/>
      <c r="C274" s="21"/>
      <c r="D274" s="21"/>
      <c r="E274" s="21"/>
      <c r="F274" s="21"/>
      <c r="G274" s="86"/>
      <c r="H274" s="21"/>
      <c r="I274" s="21"/>
      <c r="J274" s="21"/>
      <c r="K274" s="21"/>
      <c r="L274" s="21"/>
      <c r="M274" s="21"/>
      <c r="N274" s="86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</row>
    <row r="275" ht="15.75" customHeight="1">
      <c r="A275" s="21"/>
      <c r="B275" s="21"/>
      <c r="C275" s="21"/>
      <c r="D275" s="21"/>
      <c r="E275" s="21"/>
      <c r="F275" s="21"/>
      <c r="G275" s="86"/>
      <c r="H275" s="21"/>
      <c r="I275" s="21"/>
      <c r="J275" s="21"/>
      <c r="K275" s="21"/>
      <c r="L275" s="21"/>
      <c r="M275" s="21"/>
      <c r="N275" s="86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</row>
    <row r="276" ht="15.75" customHeight="1">
      <c r="A276" s="21"/>
      <c r="B276" s="21"/>
      <c r="C276" s="21"/>
      <c r="D276" s="21"/>
      <c r="E276" s="21"/>
      <c r="F276" s="21"/>
      <c r="G276" s="86"/>
      <c r="H276" s="21"/>
      <c r="I276" s="21"/>
      <c r="J276" s="21"/>
      <c r="K276" s="21"/>
      <c r="L276" s="21"/>
      <c r="M276" s="21"/>
      <c r="N276" s="86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</row>
    <row r="277" ht="15.75" customHeight="1">
      <c r="A277" s="21"/>
      <c r="B277" s="21"/>
      <c r="C277" s="21"/>
      <c r="D277" s="21"/>
      <c r="E277" s="21"/>
      <c r="F277" s="21"/>
      <c r="G277" s="86"/>
      <c r="H277" s="21"/>
      <c r="I277" s="21"/>
      <c r="J277" s="21"/>
      <c r="K277" s="21"/>
      <c r="L277" s="21"/>
      <c r="M277" s="21"/>
      <c r="N277" s="86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</row>
    <row r="278" ht="15.75" customHeight="1">
      <c r="A278" s="21"/>
      <c r="B278" s="21"/>
      <c r="C278" s="21"/>
      <c r="D278" s="21"/>
      <c r="E278" s="21"/>
      <c r="F278" s="21"/>
      <c r="G278" s="86"/>
      <c r="H278" s="21"/>
      <c r="I278" s="21"/>
      <c r="J278" s="21"/>
      <c r="K278" s="21"/>
      <c r="L278" s="21"/>
      <c r="M278" s="21"/>
      <c r="N278" s="86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</row>
    <row r="279" ht="15.75" customHeight="1">
      <c r="A279" s="21"/>
      <c r="B279" s="21"/>
      <c r="C279" s="21"/>
      <c r="D279" s="21"/>
      <c r="E279" s="21"/>
      <c r="F279" s="21"/>
      <c r="G279" s="86"/>
      <c r="H279" s="21"/>
      <c r="I279" s="21"/>
      <c r="J279" s="21"/>
      <c r="K279" s="21"/>
      <c r="L279" s="21"/>
      <c r="M279" s="21"/>
      <c r="N279" s="86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</row>
    <row r="280" ht="15.75" customHeight="1">
      <c r="A280" s="21"/>
      <c r="B280" s="21"/>
      <c r="C280" s="21"/>
      <c r="D280" s="21"/>
      <c r="E280" s="21"/>
      <c r="F280" s="21"/>
      <c r="G280" s="86"/>
      <c r="H280" s="21"/>
      <c r="I280" s="21"/>
      <c r="J280" s="21"/>
      <c r="K280" s="21"/>
      <c r="L280" s="21"/>
      <c r="M280" s="21"/>
      <c r="N280" s="86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</row>
    <row r="281" ht="15.75" customHeight="1">
      <c r="A281" s="21"/>
      <c r="B281" s="21"/>
      <c r="C281" s="21"/>
      <c r="D281" s="21"/>
      <c r="E281" s="21"/>
      <c r="F281" s="21"/>
      <c r="G281" s="86"/>
      <c r="H281" s="21"/>
      <c r="I281" s="21"/>
      <c r="J281" s="21"/>
      <c r="K281" s="21"/>
      <c r="L281" s="21"/>
      <c r="M281" s="21"/>
      <c r="N281" s="86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</row>
    <row r="282" ht="15.75" customHeight="1">
      <c r="A282" s="21"/>
      <c r="B282" s="21"/>
      <c r="C282" s="21"/>
      <c r="D282" s="21"/>
      <c r="E282" s="21"/>
      <c r="F282" s="21"/>
      <c r="G282" s="86"/>
      <c r="H282" s="21"/>
      <c r="I282" s="21"/>
      <c r="J282" s="21"/>
      <c r="K282" s="21"/>
      <c r="L282" s="21"/>
      <c r="M282" s="21"/>
      <c r="N282" s="86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</row>
    <row r="283" ht="15.75" customHeight="1">
      <c r="A283" s="21"/>
      <c r="B283" s="21"/>
      <c r="C283" s="21"/>
      <c r="D283" s="21"/>
      <c r="E283" s="21"/>
      <c r="F283" s="21"/>
      <c r="G283" s="86"/>
      <c r="H283" s="21"/>
      <c r="I283" s="21"/>
      <c r="J283" s="21"/>
      <c r="K283" s="21"/>
      <c r="L283" s="21"/>
      <c r="M283" s="21"/>
      <c r="N283" s="86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</row>
    <row r="284" ht="15.75" customHeight="1">
      <c r="A284" s="21"/>
      <c r="B284" s="21"/>
      <c r="C284" s="21"/>
      <c r="D284" s="21"/>
      <c r="E284" s="21"/>
      <c r="F284" s="21"/>
      <c r="G284" s="86"/>
      <c r="H284" s="21"/>
      <c r="I284" s="21"/>
      <c r="J284" s="21"/>
      <c r="K284" s="21"/>
      <c r="L284" s="21"/>
      <c r="M284" s="21"/>
      <c r="N284" s="86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</row>
    <row r="285" ht="15.75" customHeight="1">
      <c r="A285" s="21"/>
      <c r="B285" s="21"/>
      <c r="C285" s="21"/>
      <c r="D285" s="21"/>
      <c r="E285" s="21"/>
      <c r="F285" s="21"/>
      <c r="G285" s="86"/>
      <c r="H285" s="21"/>
      <c r="I285" s="21"/>
      <c r="J285" s="21"/>
      <c r="K285" s="21"/>
      <c r="L285" s="21"/>
      <c r="M285" s="21"/>
      <c r="N285" s="86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</row>
    <row r="286" ht="15.75" customHeight="1">
      <c r="A286" s="21"/>
      <c r="B286" s="21"/>
      <c r="C286" s="21"/>
      <c r="D286" s="21"/>
      <c r="E286" s="21"/>
      <c r="F286" s="21"/>
      <c r="G286" s="86"/>
      <c r="H286" s="21"/>
      <c r="I286" s="21"/>
      <c r="J286" s="21"/>
      <c r="K286" s="21"/>
      <c r="L286" s="21"/>
      <c r="M286" s="21"/>
      <c r="N286" s="86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</row>
    <row r="287" ht="15.75" customHeight="1">
      <c r="A287" s="21"/>
      <c r="B287" s="21"/>
      <c r="C287" s="21"/>
      <c r="D287" s="21"/>
      <c r="E287" s="21"/>
      <c r="F287" s="21"/>
      <c r="G287" s="86"/>
      <c r="H287" s="21"/>
      <c r="I287" s="21"/>
      <c r="J287" s="21"/>
      <c r="K287" s="21"/>
      <c r="L287" s="21"/>
      <c r="M287" s="21"/>
      <c r="N287" s="86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</row>
    <row r="288" ht="15.75" customHeight="1">
      <c r="A288" s="21"/>
      <c r="B288" s="21"/>
      <c r="C288" s="21"/>
      <c r="D288" s="21"/>
      <c r="E288" s="21"/>
      <c r="F288" s="21"/>
      <c r="G288" s="86"/>
      <c r="H288" s="21"/>
      <c r="I288" s="21"/>
      <c r="J288" s="21"/>
      <c r="K288" s="21"/>
      <c r="L288" s="21"/>
      <c r="M288" s="21"/>
      <c r="N288" s="86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</row>
    <row r="289" ht="15.75" customHeight="1">
      <c r="A289" s="21"/>
      <c r="B289" s="21"/>
      <c r="C289" s="21"/>
      <c r="D289" s="21"/>
      <c r="E289" s="21"/>
      <c r="F289" s="21"/>
      <c r="G289" s="86"/>
      <c r="H289" s="21"/>
      <c r="I289" s="21"/>
      <c r="J289" s="21"/>
      <c r="K289" s="21"/>
      <c r="L289" s="21"/>
      <c r="M289" s="21"/>
      <c r="N289" s="86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</row>
    <row r="290" ht="15.75" customHeight="1">
      <c r="A290" s="21"/>
      <c r="B290" s="21"/>
      <c r="C290" s="21"/>
      <c r="D290" s="21"/>
      <c r="E290" s="21"/>
      <c r="F290" s="21"/>
      <c r="G290" s="86"/>
      <c r="H290" s="21"/>
      <c r="I290" s="21"/>
      <c r="J290" s="21"/>
      <c r="K290" s="21"/>
      <c r="L290" s="21"/>
      <c r="M290" s="21"/>
      <c r="N290" s="86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</row>
    <row r="291" ht="15.75" customHeight="1">
      <c r="A291" s="21"/>
      <c r="B291" s="21"/>
      <c r="C291" s="21"/>
      <c r="D291" s="21"/>
      <c r="E291" s="21"/>
      <c r="F291" s="21"/>
      <c r="G291" s="86"/>
      <c r="H291" s="21"/>
      <c r="I291" s="21"/>
      <c r="J291" s="21"/>
      <c r="K291" s="21"/>
      <c r="L291" s="21"/>
      <c r="M291" s="21"/>
      <c r="N291" s="86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</row>
    <row r="292" ht="15.75" customHeight="1">
      <c r="A292" s="21"/>
      <c r="B292" s="21"/>
      <c r="C292" s="21"/>
      <c r="D292" s="21"/>
      <c r="E292" s="21"/>
      <c r="F292" s="21"/>
      <c r="G292" s="86"/>
      <c r="H292" s="21"/>
      <c r="I292" s="21"/>
      <c r="J292" s="21"/>
      <c r="K292" s="21"/>
      <c r="L292" s="21"/>
      <c r="M292" s="21"/>
      <c r="N292" s="86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</row>
    <row r="293" ht="15.75" customHeight="1">
      <c r="A293" s="21"/>
      <c r="B293" s="21"/>
      <c r="C293" s="21"/>
      <c r="D293" s="21"/>
      <c r="E293" s="21"/>
      <c r="F293" s="21"/>
      <c r="G293" s="86"/>
      <c r="H293" s="21"/>
      <c r="I293" s="21"/>
      <c r="J293" s="21"/>
      <c r="K293" s="21"/>
      <c r="L293" s="21"/>
      <c r="M293" s="21"/>
      <c r="N293" s="86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</row>
    <row r="294" ht="15.75" customHeight="1">
      <c r="A294" s="21"/>
      <c r="B294" s="21"/>
      <c r="C294" s="21"/>
      <c r="D294" s="21"/>
      <c r="E294" s="21"/>
      <c r="F294" s="21"/>
      <c r="G294" s="86"/>
      <c r="H294" s="21"/>
      <c r="I294" s="21"/>
      <c r="J294" s="21"/>
      <c r="K294" s="21"/>
      <c r="L294" s="21"/>
      <c r="M294" s="21"/>
      <c r="N294" s="86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</row>
    <row r="295" ht="15.75" customHeight="1">
      <c r="A295" s="21"/>
      <c r="B295" s="21"/>
      <c r="C295" s="21"/>
      <c r="D295" s="21"/>
      <c r="E295" s="21"/>
      <c r="F295" s="21"/>
      <c r="G295" s="86"/>
      <c r="H295" s="21"/>
      <c r="I295" s="21"/>
      <c r="J295" s="21"/>
      <c r="K295" s="21"/>
      <c r="L295" s="21"/>
      <c r="M295" s="21"/>
      <c r="N295" s="86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</row>
    <row r="296" ht="15.75" customHeight="1">
      <c r="A296" s="21"/>
      <c r="B296" s="21"/>
      <c r="C296" s="21"/>
      <c r="D296" s="21"/>
      <c r="E296" s="21"/>
      <c r="F296" s="21"/>
      <c r="G296" s="86"/>
      <c r="H296" s="21"/>
      <c r="I296" s="21"/>
      <c r="J296" s="21"/>
      <c r="K296" s="21"/>
      <c r="L296" s="21"/>
      <c r="M296" s="21"/>
      <c r="N296" s="86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</row>
    <row r="297" ht="15.75" customHeight="1">
      <c r="A297" s="21"/>
      <c r="B297" s="21"/>
      <c r="C297" s="21"/>
      <c r="D297" s="21"/>
      <c r="E297" s="21"/>
      <c r="F297" s="21"/>
      <c r="G297" s="86"/>
      <c r="H297" s="21"/>
      <c r="I297" s="21"/>
      <c r="J297" s="21"/>
      <c r="K297" s="21"/>
      <c r="L297" s="21"/>
      <c r="M297" s="21"/>
      <c r="N297" s="86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</row>
    <row r="298" ht="15.75" customHeight="1">
      <c r="A298" s="21"/>
      <c r="B298" s="21"/>
      <c r="C298" s="21"/>
      <c r="D298" s="21"/>
      <c r="E298" s="21"/>
      <c r="F298" s="21"/>
      <c r="G298" s="86"/>
      <c r="H298" s="21"/>
      <c r="I298" s="21"/>
      <c r="J298" s="21"/>
      <c r="K298" s="21"/>
      <c r="L298" s="21"/>
      <c r="M298" s="21"/>
      <c r="N298" s="86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</row>
    <row r="299" ht="15.75" customHeight="1">
      <c r="A299" s="21"/>
      <c r="B299" s="21"/>
      <c r="C299" s="21"/>
      <c r="D299" s="21"/>
      <c r="E299" s="21"/>
      <c r="F299" s="21"/>
      <c r="G299" s="86"/>
      <c r="H299" s="21"/>
      <c r="I299" s="21"/>
      <c r="J299" s="21"/>
      <c r="K299" s="21"/>
      <c r="L299" s="21"/>
      <c r="M299" s="21"/>
      <c r="N299" s="86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</row>
    <row r="300" ht="15.75" customHeight="1">
      <c r="A300" s="21"/>
      <c r="B300" s="21"/>
      <c r="C300" s="21"/>
      <c r="D300" s="21"/>
      <c r="E300" s="21"/>
      <c r="F300" s="21"/>
      <c r="G300" s="86"/>
      <c r="H300" s="21"/>
      <c r="I300" s="21"/>
      <c r="J300" s="21"/>
      <c r="K300" s="21"/>
      <c r="L300" s="21"/>
      <c r="M300" s="21"/>
      <c r="N300" s="86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</row>
    <row r="301" ht="15.75" customHeight="1">
      <c r="A301" s="21"/>
      <c r="B301" s="21"/>
      <c r="C301" s="21"/>
      <c r="D301" s="21"/>
      <c r="E301" s="21"/>
      <c r="F301" s="21"/>
      <c r="G301" s="86"/>
      <c r="H301" s="21"/>
      <c r="I301" s="21"/>
      <c r="J301" s="21"/>
      <c r="K301" s="21"/>
      <c r="L301" s="21"/>
      <c r="M301" s="21"/>
      <c r="N301" s="86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</row>
    <row r="302" ht="15.75" customHeight="1">
      <c r="A302" s="21"/>
      <c r="B302" s="21"/>
      <c r="C302" s="21"/>
      <c r="D302" s="21"/>
      <c r="E302" s="21"/>
      <c r="F302" s="21"/>
      <c r="G302" s="86"/>
      <c r="H302" s="21"/>
      <c r="I302" s="21"/>
      <c r="J302" s="21"/>
      <c r="K302" s="21"/>
      <c r="L302" s="21"/>
      <c r="M302" s="21"/>
      <c r="N302" s="86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</row>
    <row r="303" ht="15.75" customHeight="1">
      <c r="A303" s="21"/>
      <c r="B303" s="21"/>
      <c r="C303" s="21"/>
      <c r="D303" s="21"/>
      <c r="E303" s="21"/>
      <c r="F303" s="21"/>
      <c r="G303" s="86"/>
      <c r="H303" s="21"/>
      <c r="I303" s="21"/>
      <c r="J303" s="21"/>
      <c r="K303" s="21"/>
      <c r="L303" s="21"/>
      <c r="M303" s="21"/>
      <c r="N303" s="86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</row>
    <row r="304" ht="15.75" customHeight="1">
      <c r="A304" s="21"/>
      <c r="B304" s="21"/>
      <c r="C304" s="21"/>
      <c r="D304" s="21"/>
      <c r="E304" s="21"/>
      <c r="F304" s="21"/>
      <c r="G304" s="86"/>
      <c r="H304" s="21"/>
      <c r="I304" s="21"/>
      <c r="J304" s="21"/>
      <c r="K304" s="21"/>
      <c r="L304" s="21"/>
      <c r="M304" s="21"/>
      <c r="N304" s="86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</row>
    <row r="305" ht="15.75" customHeight="1">
      <c r="A305" s="21"/>
      <c r="B305" s="21"/>
      <c r="C305" s="21"/>
      <c r="D305" s="21"/>
      <c r="E305" s="21"/>
      <c r="F305" s="21"/>
      <c r="G305" s="86"/>
      <c r="H305" s="21"/>
      <c r="I305" s="21"/>
      <c r="J305" s="21"/>
      <c r="K305" s="21"/>
      <c r="L305" s="21"/>
      <c r="M305" s="21"/>
      <c r="N305" s="86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</row>
    <row r="306" ht="15.75" customHeight="1">
      <c r="A306" s="21"/>
      <c r="B306" s="21"/>
      <c r="C306" s="21"/>
      <c r="D306" s="21"/>
      <c r="E306" s="21"/>
      <c r="F306" s="21"/>
      <c r="G306" s="86"/>
      <c r="H306" s="21"/>
      <c r="I306" s="21"/>
      <c r="J306" s="21"/>
      <c r="K306" s="21"/>
      <c r="L306" s="21"/>
      <c r="M306" s="21"/>
      <c r="N306" s="86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</row>
    <row r="307" ht="15.75" customHeight="1">
      <c r="A307" s="21"/>
      <c r="B307" s="21"/>
      <c r="C307" s="21"/>
      <c r="D307" s="21"/>
      <c r="E307" s="21"/>
      <c r="F307" s="21"/>
      <c r="G307" s="86"/>
      <c r="H307" s="21"/>
      <c r="I307" s="21"/>
      <c r="J307" s="21"/>
      <c r="K307" s="21"/>
      <c r="L307" s="21"/>
      <c r="M307" s="21"/>
      <c r="N307" s="86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</row>
    <row r="308" ht="15.75" customHeight="1">
      <c r="A308" s="21"/>
      <c r="B308" s="21"/>
      <c r="C308" s="21"/>
      <c r="D308" s="21"/>
      <c r="E308" s="21"/>
      <c r="F308" s="21"/>
      <c r="G308" s="86"/>
      <c r="H308" s="21"/>
      <c r="I308" s="21"/>
      <c r="J308" s="21"/>
      <c r="K308" s="21"/>
      <c r="L308" s="21"/>
      <c r="M308" s="21"/>
      <c r="N308" s="86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</row>
    <row r="309" ht="15.75" customHeight="1">
      <c r="A309" s="21"/>
      <c r="B309" s="21"/>
      <c r="C309" s="21"/>
      <c r="D309" s="21"/>
      <c r="E309" s="21"/>
      <c r="F309" s="21"/>
      <c r="G309" s="86"/>
      <c r="H309" s="21"/>
      <c r="I309" s="21"/>
      <c r="J309" s="21"/>
      <c r="K309" s="21"/>
      <c r="L309" s="21"/>
      <c r="M309" s="21"/>
      <c r="N309" s="86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</row>
    <row r="310" ht="15.75" customHeight="1">
      <c r="A310" s="21"/>
      <c r="B310" s="21"/>
      <c r="C310" s="21"/>
      <c r="D310" s="21"/>
      <c r="E310" s="21"/>
      <c r="F310" s="21"/>
      <c r="G310" s="86"/>
      <c r="H310" s="21"/>
      <c r="I310" s="21"/>
      <c r="J310" s="21"/>
      <c r="K310" s="21"/>
      <c r="L310" s="21"/>
      <c r="M310" s="21"/>
      <c r="N310" s="86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</row>
    <row r="311" ht="15.75" customHeight="1">
      <c r="A311" s="21"/>
      <c r="B311" s="21"/>
      <c r="C311" s="21"/>
      <c r="D311" s="21"/>
      <c r="E311" s="21"/>
      <c r="F311" s="21"/>
      <c r="G311" s="86"/>
      <c r="H311" s="21"/>
      <c r="I311" s="21"/>
      <c r="J311" s="21"/>
      <c r="K311" s="21"/>
      <c r="L311" s="21"/>
      <c r="M311" s="21"/>
      <c r="N311" s="86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</row>
    <row r="312" ht="15.75" customHeight="1">
      <c r="A312" s="21"/>
      <c r="B312" s="21"/>
      <c r="C312" s="21"/>
      <c r="D312" s="21"/>
      <c r="E312" s="21"/>
      <c r="F312" s="21"/>
      <c r="G312" s="86"/>
      <c r="H312" s="21"/>
      <c r="I312" s="21"/>
      <c r="J312" s="21"/>
      <c r="K312" s="21"/>
      <c r="L312" s="21"/>
      <c r="M312" s="21"/>
      <c r="N312" s="86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</row>
    <row r="313" ht="15.75" customHeight="1">
      <c r="A313" s="21"/>
      <c r="B313" s="21"/>
      <c r="C313" s="21"/>
      <c r="D313" s="21"/>
      <c r="E313" s="21"/>
      <c r="F313" s="21"/>
      <c r="G313" s="86"/>
      <c r="H313" s="21"/>
      <c r="I313" s="21"/>
      <c r="J313" s="21"/>
      <c r="K313" s="21"/>
      <c r="L313" s="21"/>
      <c r="M313" s="21"/>
      <c r="N313" s="86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</row>
    <row r="314" ht="15.75" customHeight="1">
      <c r="A314" s="21"/>
      <c r="B314" s="21"/>
      <c r="C314" s="21"/>
      <c r="D314" s="21"/>
      <c r="E314" s="21"/>
      <c r="F314" s="21"/>
      <c r="G314" s="86"/>
      <c r="H314" s="21"/>
      <c r="I314" s="21"/>
      <c r="J314" s="21"/>
      <c r="K314" s="21"/>
      <c r="L314" s="21"/>
      <c r="M314" s="21"/>
      <c r="N314" s="86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</row>
    <row r="315" ht="15.75" customHeight="1">
      <c r="A315" s="21"/>
      <c r="B315" s="21"/>
      <c r="C315" s="21"/>
      <c r="D315" s="21"/>
      <c r="E315" s="21"/>
      <c r="F315" s="21"/>
      <c r="G315" s="86"/>
      <c r="H315" s="21"/>
      <c r="I315" s="21"/>
      <c r="J315" s="21"/>
      <c r="K315" s="21"/>
      <c r="L315" s="21"/>
      <c r="M315" s="21"/>
      <c r="N315" s="86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</row>
    <row r="316" ht="15.75" customHeight="1">
      <c r="A316" s="21"/>
      <c r="B316" s="21"/>
      <c r="C316" s="21"/>
      <c r="D316" s="21"/>
      <c r="E316" s="21"/>
      <c r="F316" s="21"/>
      <c r="G316" s="86"/>
      <c r="H316" s="21"/>
      <c r="I316" s="21"/>
      <c r="J316" s="21"/>
      <c r="K316" s="21"/>
      <c r="L316" s="21"/>
      <c r="M316" s="21"/>
      <c r="N316" s="86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</row>
    <row r="317" ht="15.75" customHeight="1">
      <c r="A317" s="21"/>
      <c r="B317" s="21"/>
      <c r="C317" s="21"/>
      <c r="D317" s="21"/>
      <c r="E317" s="21"/>
      <c r="F317" s="21"/>
      <c r="G317" s="86"/>
      <c r="H317" s="21"/>
      <c r="I317" s="21"/>
      <c r="J317" s="21"/>
      <c r="K317" s="21"/>
      <c r="L317" s="21"/>
      <c r="M317" s="21"/>
      <c r="N317" s="86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</row>
    <row r="318" ht="15.75" customHeight="1">
      <c r="A318" s="21"/>
      <c r="B318" s="21"/>
      <c r="C318" s="21"/>
      <c r="D318" s="21"/>
      <c r="E318" s="21"/>
      <c r="F318" s="21"/>
      <c r="G318" s="86"/>
      <c r="H318" s="21"/>
      <c r="I318" s="21"/>
      <c r="J318" s="21"/>
      <c r="K318" s="21"/>
      <c r="L318" s="21"/>
      <c r="M318" s="21"/>
      <c r="N318" s="86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</row>
    <row r="319" ht="15.75" customHeight="1">
      <c r="A319" s="21"/>
      <c r="B319" s="21"/>
      <c r="C319" s="21"/>
      <c r="D319" s="21"/>
      <c r="E319" s="21"/>
      <c r="F319" s="21"/>
      <c r="G319" s="86"/>
      <c r="H319" s="21"/>
      <c r="I319" s="21"/>
      <c r="J319" s="21"/>
      <c r="K319" s="21"/>
      <c r="L319" s="21"/>
      <c r="M319" s="21"/>
      <c r="N319" s="86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</row>
    <row r="320" ht="15.75" customHeight="1">
      <c r="A320" s="21"/>
      <c r="B320" s="21"/>
      <c r="C320" s="21"/>
      <c r="D320" s="21"/>
      <c r="E320" s="21"/>
      <c r="F320" s="21"/>
      <c r="G320" s="86"/>
      <c r="H320" s="21"/>
      <c r="I320" s="21"/>
      <c r="J320" s="21"/>
      <c r="K320" s="21"/>
      <c r="L320" s="21"/>
      <c r="M320" s="21"/>
      <c r="N320" s="86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</row>
    <row r="321" ht="15.75" customHeight="1">
      <c r="A321" s="21"/>
      <c r="B321" s="21"/>
      <c r="C321" s="21"/>
      <c r="D321" s="21"/>
      <c r="E321" s="21"/>
      <c r="F321" s="21"/>
      <c r="G321" s="86"/>
      <c r="H321" s="21"/>
      <c r="I321" s="21"/>
      <c r="J321" s="21"/>
      <c r="K321" s="21"/>
      <c r="L321" s="21"/>
      <c r="M321" s="21"/>
      <c r="N321" s="86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</row>
    <row r="322" ht="15.75" customHeight="1">
      <c r="A322" s="21"/>
      <c r="B322" s="21"/>
      <c r="C322" s="21"/>
      <c r="D322" s="21"/>
      <c r="E322" s="21"/>
      <c r="F322" s="21"/>
      <c r="G322" s="86"/>
      <c r="H322" s="21"/>
      <c r="I322" s="21"/>
      <c r="J322" s="21"/>
      <c r="K322" s="21"/>
      <c r="L322" s="21"/>
      <c r="M322" s="21"/>
      <c r="N322" s="86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</row>
    <row r="323" ht="15.75" customHeight="1">
      <c r="A323" s="21"/>
      <c r="B323" s="21"/>
      <c r="C323" s="21"/>
      <c r="D323" s="21"/>
      <c r="E323" s="21"/>
      <c r="F323" s="21"/>
      <c r="G323" s="86"/>
      <c r="H323" s="21"/>
      <c r="I323" s="21"/>
      <c r="J323" s="21"/>
      <c r="K323" s="21"/>
      <c r="L323" s="21"/>
      <c r="M323" s="21"/>
      <c r="N323" s="86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</row>
    <row r="324" ht="15.75" customHeight="1">
      <c r="A324" s="21"/>
      <c r="B324" s="21"/>
      <c r="C324" s="21"/>
      <c r="D324" s="21"/>
      <c r="E324" s="21"/>
      <c r="F324" s="21"/>
      <c r="G324" s="86"/>
      <c r="H324" s="21"/>
      <c r="I324" s="21"/>
      <c r="J324" s="21"/>
      <c r="K324" s="21"/>
      <c r="L324" s="21"/>
      <c r="M324" s="21"/>
      <c r="N324" s="86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</row>
    <row r="325" ht="15.75" customHeight="1">
      <c r="A325" s="21"/>
      <c r="B325" s="21"/>
      <c r="C325" s="21"/>
      <c r="D325" s="21"/>
      <c r="E325" s="21"/>
      <c r="F325" s="21"/>
      <c r="G325" s="86"/>
      <c r="H325" s="21"/>
      <c r="I325" s="21"/>
      <c r="J325" s="21"/>
      <c r="K325" s="21"/>
      <c r="L325" s="21"/>
      <c r="M325" s="21"/>
      <c r="N325" s="86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</row>
    <row r="326" ht="15.75" customHeight="1">
      <c r="A326" s="21"/>
      <c r="B326" s="21"/>
      <c r="C326" s="21"/>
      <c r="D326" s="21"/>
      <c r="E326" s="21"/>
      <c r="F326" s="21"/>
      <c r="G326" s="86"/>
      <c r="H326" s="21"/>
      <c r="I326" s="21"/>
      <c r="J326" s="21"/>
      <c r="K326" s="21"/>
      <c r="L326" s="21"/>
      <c r="M326" s="21"/>
      <c r="N326" s="86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</row>
    <row r="327" ht="15.75" customHeight="1">
      <c r="A327" s="21"/>
      <c r="B327" s="21"/>
      <c r="C327" s="21"/>
      <c r="D327" s="21"/>
      <c r="E327" s="21"/>
      <c r="F327" s="21"/>
      <c r="G327" s="86"/>
      <c r="H327" s="21"/>
      <c r="I327" s="21"/>
      <c r="J327" s="21"/>
      <c r="K327" s="21"/>
      <c r="L327" s="21"/>
      <c r="M327" s="21"/>
      <c r="N327" s="86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</row>
    <row r="328" ht="15.75" customHeight="1">
      <c r="A328" s="21"/>
      <c r="B328" s="21"/>
      <c r="C328" s="21"/>
      <c r="D328" s="21"/>
      <c r="E328" s="21"/>
      <c r="F328" s="21"/>
      <c r="G328" s="86"/>
      <c r="H328" s="21"/>
      <c r="I328" s="21"/>
      <c r="J328" s="21"/>
      <c r="K328" s="21"/>
      <c r="L328" s="21"/>
      <c r="M328" s="21"/>
      <c r="N328" s="86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</row>
    <row r="329" ht="15.75" customHeight="1">
      <c r="A329" s="21"/>
      <c r="B329" s="21"/>
      <c r="C329" s="21"/>
      <c r="D329" s="21"/>
      <c r="E329" s="21"/>
      <c r="F329" s="21"/>
      <c r="G329" s="86"/>
      <c r="H329" s="21"/>
      <c r="I329" s="21"/>
      <c r="J329" s="21"/>
      <c r="K329" s="21"/>
      <c r="L329" s="21"/>
      <c r="M329" s="21"/>
      <c r="N329" s="86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</row>
    <row r="330" ht="15.75" customHeight="1">
      <c r="A330" s="21"/>
      <c r="B330" s="21"/>
      <c r="C330" s="21"/>
      <c r="D330" s="21"/>
      <c r="E330" s="21"/>
      <c r="F330" s="21"/>
      <c r="G330" s="86"/>
      <c r="H330" s="21"/>
      <c r="I330" s="21"/>
      <c r="J330" s="21"/>
      <c r="K330" s="21"/>
      <c r="L330" s="21"/>
      <c r="M330" s="21"/>
      <c r="N330" s="86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</row>
    <row r="331" ht="15.75" customHeight="1">
      <c r="A331" s="21"/>
      <c r="B331" s="21"/>
      <c r="C331" s="21"/>
      <c r="D331" s="21"/>
      <c r="E331" s="21"/>
      <c r="F331" s="21"/>
      <c r="G331" s="86"/>
      <c r="H331" s="21"/>
      <c r="I331" s="21"/>
      <c r="J331" s="21"/>
      <c r="K331" s="21"/>
      <c r="L331" s="21"/>
      <c r="M331" s="21"/>
      <c r="N331" s="86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</row>
    <row r="332" ht="15.75" customHeight="1">
      <c r="A332" s="21"/>
      <c r="B332" s="21"/>
      <c r="C332" s="21"/>
      <c r="D332" s="21"/>
      <c r="E332" s="21"/>
      <c r="F332" s="21"/>
      <c r="G332" s="86"/>
      <c r="H332" s="21"/>
      <c r="I332" s="21"/>
      <c r="J332" s="21"/>
      <c r="K332" s="21"/>
      <c r="L332" s="21"/>
      <c r="M332" s="21"/>
      <c r="N332" s="86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</row>
    <row r="333" ht="15.75" customHeight="1">
      <c r="A333" s="21"/>
      <c r="B333" s="21"/>
      <c r="C333" s="21"/>
      <c r="D333" s="21"/>
      <c r="E333" s="21"/>
      <c r="F333" s="21"/>
      <c r="G333" s="86"/>
      <c r="H333" s="21"/>
      <c r="I333" s="21"/>
      <c r="J333" s="21"/>
      <c r="K333" s="21"/>
      <c r="L333" s="21"/>
      <c r="M333" s="21"/>
      <c r="N333" s="86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</row>
    <row r="334" ht="15.75" customHeight="1">
      <c r="A334" s="21"/>
      <c r="B334" s="21"/>
      <c r="C334" s="21"/>
      <c r="D334" s="21"/>
      <c r="E334" s="21"/>
      <c r="F334" s="21"/>
      <c r="G334" s="86"/>
      <c r="H334" s="21"/>
      <c r="I334" s="21"/>
      <c r="J334" s="21"/>
      <c r="K334" s="21"/>
      <c r="L334" s="21"/>
      <c r="M334" s="21"/>
      <c r="N334" s="86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</row>
    <row r="335" ht="15.75" customHeight="1">
      <c r="A335" s="21"/>
      <c r="B335" s="21"/>
      <c r="C335" s="21"/>
      <c r="D335" s="21"/>
      <c r="E335" s="21"/>
      <c r="F335" s="21"/>
      <c r="G335" s="86"/>
      <c r="H335" s="21"/>
      <c r="I335" s="21"/>
      <c r="J335" s="21"/>
      <c r="K335" s="21"/>
      <c r="L335" s="21"/>
      <c r="M335" s="21"/>
      <c r="N335" s="86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</row>
    <row r="336" ht="15.75" customHeight="1">
      <c r="A336" s="21"/>
      <c r="B336" s="21"/>
      <c r="C336" s="21"/>
      <c r="D336" s="21"/>
      <c r="E336" s="21"/>
      <c r="F336" s="21"/>
      <c r="G336" s="86"/>
      <c r="H336" s="21"/>
      <c r="I336" s="21"/>
      <c r="J336" s="21"/>
      <c r="K336" s="21"/>
      <c r="L336" s="21"/>
      <c r="M336" s="21"/>
      <c r="N336" s="86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</row>
    <row r="337" ht="15.75" customHeight="1">
      <c r="A337" s="21"/>
      <c r="B337" s="21"/>
      <c r="C337" s="21"/>
      <c r="D337" s="21"/>
      <c r="E337" s="21"/>
      <c r="F337" s="21"/>
      <c r="G337" s="86"/>
      <c r="H337" s="21"/>
      <c r="I337" s="21"/>
      <c r="J337" s="21"/>
      <c r="K337" s="21"/>
      <c r="L337" s="21"/>
      <c r="M337" s="21"/>
      <c r="N337" s="86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</row>
    <row r="338" ht="15.75" customHeight="1">
      <c r="A338" s="21"/>
      <c r="B338" s="21"/>
      <c r="C338" s="21"/>
      <c r="D338" s="21"/>
      <c r="E338" s="21"/>
      <c r="F338" s="21"/>
      <c r="G338" s="86"/>
      <c r="H338" s="21"/>
      <c r="I338" s="21"/>
      <c r="J338" s="21"/>
      <c r="K338" s="21"/>
      <c r="L338" s="21"/>
      <c r="M338" s="21"/>
      <c r="N338" s="86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</row>
    <row r="339" ht="15.75" customHeight="1">
      <c r="A339" s="21"/>
      <c r="B339" s="21"/>
      <c r="C339" s="21"/>
      <c r="D339" s="21"/>
      <c r="E339" s="21"/>
      <c r="F339" s="21"/>
      <c r="G339" s="86"/>
      <c r="H339" s="21"/>
      <c r="I339" s="21"/>
      <c r="J339" s="21"/>
      <c r="K339" s="21"/>
      <c r="L339" s="21"/>
      <c r="M339" s="21"/>
      <c r="N339" s="86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</row>
    <row r="340" ht="15.75" customHeight="1">
      <c r="A340" s="21"/>
      <c r="B340" s="21"/>
      <c r="C340" s="21"/>
      <c r="D340" s="21"/>
      <c r="E340" s="21"/>
      <c r="F340" s="21"/>
      <c r="G340" s="86"/>
      <c r="H340" s="21"/>
      <c r="I340" s="21"/>
      <c r="J340" s="21"/>
      <c r="K340" s="21"/>
      <c r="L340" s="21"/>
      <c r="M340" s="21"/>
      <c r="N340" s="86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</row>
    <row r="341" ht="15.75" customHeight="1">
      <c r="A341" s="21"/>
      <c r="B341" s="21"/>
      <c r="C341" s="21"/>
      <c r="D341" s="21"/>
      <c r="E341" s="21"/>
      <c r="F341" s="21"/>
      <c r="G341" s="86"/>
      <c r="H341" s="21"/>
      <c r="I341" s="21"/>
      <c r="J341" s="21"/>
      <c r="K341" s="21"/>
      <c r="L341" s="21"/>
      <c r="M341" s="21"/>
      <c r="N341" s="86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</row>
    <row r="342" ht="15.75" customHeight="1">
      <c r="A342" s="21"/>
      <c r="B342" s="21"/>
      <c r="C342" s="21"/>
      <c r="D342" s="21"/>
      <c r="E342" s="21"/>
      <c r="F342" s="21"/>
      <c r="G342" s="86"/>
      <c r="H342" s="21"/>
      <c r="I342" s="21"/>
      <c r="J342" s="21"/>
      <c r="K342" s="21"/>
      <c r="L342" s="21"/>
      <c r="M342" s="21"/>
      <c r="N342" s="86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</row>
    <row r="343" ht="15.75" customHeight="1">
      <c r="A343" s="21"/>
      <c r="B343" s="21"/>
      <c r="C343" s="21"/>
      <c r="D343" s="21"/>
      <c r="E343" s="21"/>
      <c r="F343" s="21"/>
      <c r="G343" s="86"/>
      <c r="H343" s="21"/>
      <c r="I343" s="21"/>
      <c r="J343" s="21"/>
      <c r="K343" s="21"/>
      <c r="L343" s="21"/>
      <c r="M343" s="21"/>
      <c r="N343" s="86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</row>
    <row r="344" ht="15.75" customHeight="1">
      <c r="A344" s="21"/>
      <c r="B344" s="21"/>
      <c r="C344" s="21"/>
      <c r="D344" s="21"/>
      <c r="E344" s="21"/>
      <c r="F344" s="21"/>
      <c r="G344" s="86"/>
      <c r="H344" s="21"/>
      <c r="I344" s="21"/>
      <c r="J344" s="21"/>
      <c r="K344" s="21"/>
      <c r="L344" s="21"/>
      <c r="M344" s="21"/>
      <c r="N344" s="86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</row>
    <row r="345" ht="15.75" customHeight="1">
      <c r="A345" s="21"/>
      <c r="B345" s="21"/>
      <c r="C345" s="21"/>
      <c r="D345" s="21"/>
      <c r="E345" s="21"/>
      <c r="F345" s="21"/>
      <c r="G345" s="86"/>
      <c r="H345" s="21"/>
      <c r="I345" s="21"/>
      <c r="J345" s="21"/>
      <c r="K345" s="21"/>
      <c r="L345" s="21"/>
      <c r="M345" s="21"/>
      <c r="N345" s="86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</row>
    <row r="346" ht="15.75" customHeight="1">
      <c r="A346" s="21"/>
      <c r="B346" s="21"/>
      <c r="C346" s="21"/>
      <c r="D346" s="21"/>
      <c r="E346" s="21"/>
      <c r="F346" s="21"/>
      <c r="G346" s="86"/>
      <c r="H346" s="21"/>
      <c r="I346" s="21"/>
      <c r="J346" s="21"/>
      <c r="K346" s="21"/>
      <c r="L346" s="21"/>
      <c r="M346" s="21"/>
      <c r="N346" s="86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</row>
    <row r="347" ht="15.75" customHeight="1">
      <c r="A347" s="21"/>
      <c r="B347" s="21"/>
      <c r="C347" s="21"/>
      <c r="D347" s="21"/>
      <c r="E347" s="21"/>
      <c r="F347" s="21"/>
      <c r="G347" s="86"/>
      <c r="H347" s="21"/>
      <c r="I347" s="21"/>
      <c r="J347" s="21"/>
      <c r="K347" s="21"/>
      <c r="L347" s="21"/>
      <c r="M347" s="21"/>
      <c r="N347" s="86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</row>
    <row r="348" ht="15.75" customHeight="1">
      <c r="A348" s="21"/>
      <c r="B348" s="21"/>
      <c r="C348" s="21"/>
      <c r="D348" s="21"/>
      <c r="E348" s="21"/>
      <c r="F348" s="21"/>
      <c r="G348" s="86"/>
      <c r="H348" s="21"/>
      <c r="I348" s="21"/>
      <c r="J348" s="21"/>
      <c r="K348" s="21"/>
      <c r="L348" s="21"/>
      <c r="M348" s="21"/>
      <c r="N348" s="86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</row>
    <row r="349" ht="15.75" customHeight="1">
      <c r="A349" s="21"/>
      <c r="B349" s="21"/>
      <c r="C349" s="21"/>
      <c r="D349" s="21"/>
      <c r="E349" s="21"/>
      <c r="F349" s="21"/>
      <c r="G349" s="86"/>
      <c r="H349" s="21"/>
      <c r="I349" s="21"/>
      <c r="J349" s="21"/>
      <c r="K349" s="21"/>
      <c r="L349" s="21"/>
      <c r="M349" s="21"/>
      <c r="N349" s="86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</row>
    <row r="350" ht="15.75" customHeight="1">
      <c r="A350" s="21"/>
      <c r="B350" s="21"/>
      <c r="C350" s="21"/>
      <c r="D350" s="21"/>
      <c r="E350" s="21"/>
      <c r="F350" s="21"/>
      <c r="G350" s="86"/>
      <c r="H350" s="21"/>
      <c r="I350" s="21"/>
      <c r="J350" s="21"/>
      <c r="K350" s="21"/>
      <c r="L350" s="21"/>
      <c r="M350" s="21"/>
      <c r="N350" s="86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</row>
    <row r="351" ht="15.75" customHeight="1">
      <c r="A351" s="21"/>
      <c r="B351" s="21"/>
      <c r="C351" s="21"/>
      <c r="D351" s="21"/>
      <c r="E351" s="21"/>
      <c r="F351" s="21"/>
      <c r="G351" s="86"/>
      <c r="H351" s="21"/>
      <c r="I351" s="21"/>
      <c r="J351" s="21"/>
      <c r="K351" s="21"/>
      <c r="L351" s="21"/>
      <c r="M351" s="21"/>
      <c r="N351" s="86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</row>
    <row r="352" ht="15.75" customHeight="1">
      <c r="A352" s="21"/>
      <c r="B352" s="21"/>
      <c r="C352" s="21"/>
      <c r="D352" s="21"/>
      <c r="E352" s="21"/>
      <c r="F352" s="21"/>
      <c r="G352" s="86"/>
      <c r="H352" s="21"/>
      <c r="I352" s="21"/>
      <c r="J352" s="21"/>
      <c r="K352" s="21"/>
      <c r="L352" s="21"/>
      <c r="M352" s="21"/>
      <c r="N352" s="86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</row>
    <row r="353" ht="15.75" customHeight="1">
      <c r="A353" s="21"/>
      <c r="B353" s="21"/>
      <c r="C353" s="21"/>
      <c r="D353" s="21"/>
      <c r="E353" s="21"/>
      <c r="F353" s="21"/>
      <c r="G353" s="86"/>
      <c r="H353" s="21"/>
      <c r="I353" s="21"/>
      <c r="J353" s="21"/>
      <c r="K353" s="21"/>
      <c r="L353" s="21"/>
      <c r="M353" s="21"/>
      <c r="N353" s="86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</row>
    <row r="354" ht="15.75" customHeight="1">
      <c r="A354" s="21"/>
      <c r="B354" s="21"/>
      <c r="C354" s="21"/>
      <c r="D354" s="21"/>
      <c r="E354" s="21"/>
      <c r="F354" s="21"/>
      <c r="G354" s="86"/>
      <c r="H354" s="21"/>
      <c r="I354" s="21"/>
      <c r="J354" s="21"/>
      <c r="K354" s="21"/>
      <c r="L354" s="21"/>
      <c r="M354" s="21"/>
      <c r="N354" s="86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</row>
    <row r="355" ht="15.75" customHeight="1">
      <c r="A355" s="21"/>
      <c r="B355" s="21"/>
      <c r="C355" s="21"/>
      <c r="D355" s="21"/>
      <c r="E355" s="21"/>
      <c r="F355" s="21"/>
      <c r="G355" s="86"/>
      <c r="H355" s="21"/>
      <c r="I355" s="21"/>
      <c r="J355" s="21"/>
      <c r="K355" s="21"/>
      <c r="L355" s="21"/>
      <c r="M355" s="21"/>
      <c r="N355" s="86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</row>
    <row r="356" ht="15.75" customHeight="1">
      <c r="A356" s="21"/>
      <c r="B356" s="21"/>
      <c r="C356" s="21"/>
      <c r="D356" s="21"/>
      <c r="E356" s="21"/>
      <c r="F356" s="21"/>
      <c r="G356" s="86"/>
      <c r="H356" s="21"/>
      <c r="I356" s="21"/>
      <c r="J356" s="21"/>
      <c r="K356" s="21"/>
      <c r="L356" s="21"/>
      <c r="M356" s="21"/>
      <c r="N356" s="86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</row>
    <row r="357" ht="15.75" customHeight="1">
      <c r="A357" s="21"/>
      <c r="B357" s="21"/>
      <c r="C357" s="21"/>
      <c r="D357" s="21"/>
      <c r="E357" s="21"/>
      <c r="F357" s="21"/>
      <c r="G357" s="86"/>
      <c r="H357" s="21"/>
      <c r="I357" s="21"/>
      <c r="J357" s="21"/>
      <c r="K357" s="21"/>
      <c r="L357" s="21"/>
      <c r="M357" s="21"/>
      <c r="N357" s="86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</row>
    <row r="358" ht="15.75" customHeight="1">
      <c r="A358" s="21"/>
      <c r="B358" s="21"/>
      <c r="C358" s="21"/>
      <c r="D358" s="21"/>
      <c r="E358" s="21"/>
      <c r="F358" s="21"/>
      <c r="G358" s="86"/>
      <c r="H358" s="21"/>
      <c r="I358" s="21"/>
      <c r="J358" s="21"/>
      <c r="K358" s="21"/>
      <c r="L358" s="21"/>
      <c r="M358" s="21"/>
      <c r="N358" s="86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</row>
    <row r="359" ht="15.75" customHeight="1">
      <c r="A359" s="21"/>
      <c r="B359" s="21"/>
      <c r="C359" s="21"/>
      <c r="D359" s="21"/>
      <c r="E359" s="21"/>
      <c r="F359" s="21"/>
      <c r="G359" s="86"/>
      <c r="H359" s="21"/>
      <c r="I359" s="21"/>
      <c r="J359" s="21"/>
      <c r="K359" s="21"/>
      <c r="L359" s="21"/>
      <c r="M359" s="21"/>
      <c r="N359" s="86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</row>
    <row r="360" ht="15.75" customHeight="1">
      <c r="A360" s="21"/>
      <c r="B360" s="21"/>
      <c r="C360" s="21"/>
      <c r="D360" s="21"/>
      <c r="E360" s="21"/>
      <c r="F360" s="21"/>
      <c r="G360" s="86"/>
      <c r="H360" s="21"/>
      <c r="I360" s="21"/>
      <c r="J360" s="21"/>
      <c r="K360" s="21"/>
      <c r="L360" s="21"/>
      <c r="M360" s="21"/>
      <c r="N360" s="86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</row>
    <row r="361" ht="15.75" customHeight="1">
      <c r="A361" s="21"/>
      <c r="B361" s="21"/>
      <c r="C361" s="21"/>
      <c r="D361" s="21"/>
      <c r="E361" s="21"/>
      <c r="F361" s="21"/>
      <c r="G361" s="86"/>
      <c r="H361" s="21"/>
      <c r="I361" s="21"/>
      <c r="J361" s="21"/>
      <c r="K361" s="21"/>
      <c r="L361" s="21"/>
      <c r="M361" s="21"/>
      <c r="N361" s="86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</row>
    <row r="362" ht="15.75" customHeight="1">
      <c r="A362" s="21"/>
      <c r="B362" s="21"/>
      <c r="C362" s="21"/>
      <c r="D362" s="21"/>
      <c r="E362" s="21"/>
      <c r="F362" s="21"/>
      <c r="G362" s="86"/>
      <c r="H362" s="21"/>
      <c r="I362" s="21"/>
      <c r="J362" s="21"/>
      <c r="K362" s="21"/>
      <c r="L362" s="21"/>
      <c r="M362" s="21"/>
      <c r="N362" s="86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</row>
    <row r="363" ht="15.75" customHeight="1">
      <c r="A363" s="21"/>
      <c r="B363" s="21"/>
      <c r="C363" s="21"/>
      <c r="D363" s="21"/>
      <c r="E363" s="21"/>
      <c r="F363" s="21"/>
      <c r="G363" s="86"/>
      <c r="H363" s="21"/>
      <c r="I363" s="21"/>
      <c r="J363" s="21"/>
      <c r="K363" s="21"/>
      <c r="L363" s="21"/>
      <c r="M363" s="21"/>
      <c r="N363" s="86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</row>
    <row r="364" ht="15.75" customHeight="1">
      <c r="A364" s="21"/>
      <c r="B364" s="21"/>
      <c r="C364" s="21"/>
      <c r="D364" s="21"/>
      <c r="E364" s="21"/>
      <c r="F364" s="21"/>
      <c r="G364" s="86"/>
      <c r="H364" s="21"/>
      <c r="I364" s="21"/>
      <c r="J364" s="21"/>
      <c r="K364" s="21"/>
      <c r="L364" s="21"/>
      <c r="M364" s="21"/>
      <c r="N364" s="86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</row>
    <row r="365" ht="15.75" customHeight="1">
      <c r="A365" s="21"/>
      <c r="B365" s="21"/>
      <c r="C365" s="21"/>
      <c r="D365" s="21"/>
      <c r="E365" s="21"/>
      <c r="F365" s="21"/>
      <c r="G365" s="86"/>
      <c r="H365" s="21"/>
      <c r="I365" s="21"/>
      <c r="J365" s="21"/>
      <c r="K365" s="21"/>
      <c r="L365" s="21"/>
      <c r="M365" s="21"/>
      <c r="N365" s="86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</row>
    <row r="366" ht="15.75" customHeight="1">
      <c r="A366" s="21"/>
      <c r="B366" s="21"/>
      <c r="C366" s="21"/>
      <c r="D366" s="21"/>
      <c r="E366" s="21"/>
      <c r="F366" s="21"/>
      <c r="G366" s="86"/>
      <c r="H366" s="21"/>
      <c r="I366" s="21"/>
      <c r="J366" s="21"/>
      <c r="K366" s="21"/>
      <c r="L366" s="21"/>
      <c r="M366" s="21"/>
      <c r="N366" s="86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</row>
    <row r="367" ht="15.75" customHeight="1">
      <c r="A367" s="21"/>
      <c r="B367" s="21"/>
      <c r="C367" s="21"/>
      <c r="D367" s="21"/>
      <c r="E367" s="21"/>
      <c r="F367" s="21"/>
      <c r="G367" s="86"/>
      <c r="H367" s="21"/>
      <c r="I367" s="21"/>
      <c r="J367" s="21"/>
      <c r="K367" s="21"/>
      <c r="L367" s="21"/>
      <c r="M367" s="21"/>
      <c r="N367" s="86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</row>
    <row r="368" ht="15.75" customHeight="1">
      <c r="A368" s="21"/>
      <c r="B368" s="21"/>
      <c r="C368" s="21"/>
      <c r="D368" s="21"/>
      <c r="E368" s="21"/>
      <c r="F368" s="21"/>
      <c r="G368" s="86"/>
      <c r="H368" s="21"/>
      <c r="I368" s="21"/>
      <c r="J368" s="21"/>
      <c r="K368" s="21"/>
      <c r="L368" s="21"/>
      <c r="M368" s="21"/>
      <c r="N368" s="86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</row>
    <row r="369" ht="15.75" customHeight="1">
      <c r="A369" s="21"/>
      <c r="B369" s="21"/>
      <c r="C369" s="21"/>
      <c r="D369" s="21"/>
      <c r="E369" s="21"/>
      <c r="F369" s="21"/>
      <c r="G369" s="86"/>
      <c r="H369" s="21"/>
      <c r="I369" s="21"/>
      <c r="J369" s="21"/>
      <c r="K369" s="21"/>
      <c r="L369" s="21"/>
      <c r="M369" s="21"/>
      <c r="N369" s="86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</row>
    <row r="370" ht="15.75" customHeight="1">
      <c r="A370" s="21"/>
      <c r="B370" s="21"/>
      <c r="C370" s="21"/>
      <c r="D370" s="21"/>
      <c r="E370" s="21"/>
      <c r="F370" s="21"/>
      <c r="G370" s="86"/>
      <c r="H370" s="21"/>
      <c r="I370" s="21"/>
      <c r="J370" s="21"/>
      <c r="K370" s="21"/>
      <c r="L370" s="21"/>
      <c r="M370" s="21"/>
      <c r="N370" s="86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</row>
    <row r="371" ht="15.75" customHeight="1">
      <c r="A371" s="21"/>
      <c r="B371" s="21"/>
      <c r="C371" s="21"/>
      <c r="D371" s="21"/>
      <c r="E371" s="21"/>
      <c r="F371" s="21"/>
      <c r="G371" s="86"/>
      <c r="H371" s="21"/>
      <c r="I371" s="21"/>
      <c r="J371" s="21"/>
      <c r="K371" s="21"/>
      <c r="L371" s="21"/>
      <c r="M371" s="21"/>
      <c r="N371" s="86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</row>
    <row r="372" ht="15.75" customHeight="1">
      <c r="A372" s="21"/>
      <c r="B372" s="21"/>
      <c r="C372" s="21"/>
      <c r="D372" s="21"/>
      <c r="E372" s="21"/>
      <c r="F372" s="21"/>
      <c r="G372" s="86"/>
      <c r="H372" s="21"/>
      <c r="I372" s="21"/>
      <c r="J372" s="21"/>
      <c r="K372" s="21"/>
      <c r="L372" s="21"/>
      <c r="M372" s="21"/>
      <c r="N372" s="86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</row>
    <row r="373" ht="15.75" customHeight="1">
      <c r="A373" s="21"/>
      <c r="B373" s="21"/>
      <c r="C373" s="21"/>
      <c r="D373" s="21"/>
      <c r="E373" s="21"/>
      <c r="F373" s="21"/>
      <c r="G373" s="86"/>
      <c r="H373" s="21"/>
      <c r="I373" s="21"/>
      <c r="J373" s="21"/>
      <c r="K373" s="21"/>
      <c r="L373" s="21"/>
      <c r="M373" s="21"/>
      <c r="N373" s="86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</row>
    <row r="374" ht="15.75" customHeight="1">
      <c r="A374" s="21"/>
      <c r="B374" s="21"/>
      <c r="C374" s="21"/>
      <c r="D374" s="21"/>
      <c r="E374" s="21"/>
      <c r="F374" s="21"/>
      <c r="G374" s="86"/>
      <c r="H374" s="21"/>
      <c r="I374" s="21"/>
      <c r="J374" s="21"/>
      <c r="K374" s="21"/>
      <c r="L374" s="21"/>
      <c r="M374" s="21"/>
      <c r="N374" s="86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</row>
    <row r="375" ht="15.75" customHeight="1">
      <c r="A375" s="21"/>
      <c r="B375" s="21"/>
      <c r="C375" s="21"/>
      <c r="D375" s="21"/>
      <c r="E375" s="21"/>
      <c r="F375" s="21"/>
      <c r="G375" s="86"/>
      <c r="H375" s="21"/>
      <c r="I375" s="21"/>
      <c r="J375" s="21"/>
      <c r="K375" s="21"/>
      <c r="L375" s="21"/>
      <c r="M375" s="21"/>
      <c r="N375" s="86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</row>
    <row r="376" ht="15.75" customHeight="1">
      <c r="A376" s="21"/>
      <c r="B376" s="21"/>
      <c r="C376" s="21"/>
      <c r="D376" s="21"/>
      <c r="E376" s="21"/>
      <c r="F376" s="21"/>
      <c r="G376" s="86"/>
      <c r="H376" s="21"/>
      <c r="I376" s="21"/>
      <c r="J376" s="21"/>
      <c r="K376" s="21"/>
      <c r="L376" s="21"/>
      <c r="M376" s="21"/>
      <c r="N376" s="86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</row>
    <row r="377" ht="15.75" customHeight="1">
      <c r="A377" s="21"/>
      <c r="B377" s="21"/>
      <c r="C377" s="21"/>
      <c r="D377" s="21"/>
      <c r="E377" s="21"/>
      <c r="F377" s="21"/>
      <c r="G377" s="86"/>
      <c r="H377" s="21"/>
      <c r="I377" s="21"/>
      <c r="J377" s="21"/>
      <c r="K377" s="21"/>
      <c r="L377" s="21"/>
      <c r="M377" s="21"/>
      <c r="N377" s="86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</row>
    <row r="378" ht="15.75" customHeight="1">
      <c r="A378" s="21"/>
      <c r="B378" s="21"/>
      <c r="C378" s="21"/>
      <c r="D378" s="21"/>
      <c r="E378" s="21"/>
      <c r="F378" s="21"/>
      <c r="G378" s="86"/>
      <c r="H378" s="21"/>
      <c r="I378" s="21"/>
      <c r="J378" s="21"/>
      <c r="K378" s="21"/>
      <c r="L378" s="21"/>
      <c r="M378" s="21"/>
      <c r="N378" s="86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</row>
    <row r="379" ht="15.75" customHeight="1">
      <c r="A379" s="21"/>
      <c r="B379" s="21"/>
      <c r="C379" s="21"/>
      <c r="D379" s="21"/>
      <c r="E379" s="21"/>
      <c r="F379" s="21"/>
      <c r="G379" s="86"/>
      <c r="H379" s="21"/>
      <c r="I379" s="21"/>
      <c r="J379" s="21"/>
      <c r="K379" s="21"/>
      <c r="L379" s="21"/>
      <c r="M379" s="21"/>
      <c r="N379" s="86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</row>
    <row r="380" ht="15.75" customHeight="1">
      <c r="A380" s="21"/>
      <c r="B380" s="21"/>
      <c r="C380" s="21"/>
      <c r="D380" s="21"/>
      <c r="E380" s="21"/>
      <c r="F380" s="21"/>
      <c r="G380" s="86"/>
      <c r="H380" s="21"/>
      <c r="I380" s="21"/>
      <c r="J380" s="21"/>
      <c r="K380" s="21"/>
      <c r="L380" s="21"/>
      <c r="M380" s="21"/>
      <c r="N380" s="86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</row>
    <row r="381" ht="15.75" customHeight="1">
      <c r="A381" s="21"/>
      <c r="B381" s="21"/>
      <c r="C381" s="21"/>
      <c r="D381" s="21"/>
      <c r="E381" s="21"/>
      <c r="F381" s="21"/>
      <c r="G381" s="86"/>
      <c r="H381" s="21"/>
      <c r="I381" s="21"/>
      <c r="J381" s="21"/>
      <c r="K381" s="21"/>
      <c r="L381" s="21"/>
      <c r="M381" s="21"/>
      <c r="N381" s="86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</row>
    <row r="382" ht="15.75" customHeight="1">
      <c r="A382" s="21"/>
      <c r="B382" s="21"/>
      <c r="C382" s="21"/>
      <c r="D382" s="21"/>
      <c r="E382" s="21"/>
      <c r="F382" s="21"/>
      <c r="G382" s="86"/>
      <c r="H382" s="21"/>
      <c r="I382" s="21"/>
      <c r="J382" s="21"/>
      <c r="K382" s="21"/>
      <c r="L382" s="21"/>
      <c r="M382" s="21"/>
      <c r="N382" s="86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</row>
    <row r="383" ht="15.75" customHeight="1">
      <c r="A383" s="21"/>
      <c r="B383" s="21"/>
      <c r="C383" s="21"/>
      <c r="D383" s="21"/>
      <c r="E383" s="21"/>
      <c r="F383" s="21"/>
      <c r="G383" s="86"/>
      <c r="H383" s="21"/>
      <c r="I383" s="21"/>
      <c r="J383" s="21"/>
      <c r="K383" s="21"/>
      <c r="L383" s="21"/>
      <c r="M383" s="21"/>
      <c r="N383" s="86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</row>
    <row r="384" ht="15.75" customHeight="1">
      <c r="A384" s="21"/>
      <c r="B384" s="21"/>
      <c r="C384" s="21"/>
      <c r="D384" s="21"/>
      <c r="E384" s="21"/>
      <c r="F384" s="21"/>
      <c r="G384" s="86"/>
      <c r="H384" s="21"/>
      <c r="I384" s="21"/>
      <c r="J384" s="21"/>
      <c r="K384" s="21"/>
      <c r="L384" s="21"/>
      <c r="M384" s="21"/>
      <c r="N384" s="86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</row>
    <row r="385" ht="15.75" customHeight="1">
      <c r="A385" s="21"/>
      <c r="B385" s="21"/>
      <c r="C385" s="21"/>
      <c r="D385" s="21"/>
      <c r="E385" s="21"/>
      <c r="F385" s="21"/>
      <c r="G385" s="86"/>
      <c r="H385" s="21"/>
      <c r="I385" s="21"/>
      <c r="J385" s="21"/>
      <c r="K385" s="21"/>
      <c r="L385" s="21"/>
      <c r="M385" s="21"/>
      <c r="N385" s="86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</row>
    <row r="386" ht="15.75" customHeight="1">
      <c r="A386" s="21"/>
      <c r="B386" s="21"/>
      <c r="C386" s="21"/>
      <c r="D386" s="21"/>
      <c r="E386" s="21"/>
      <c r="F386" s="21"/>
      <c r="G386" s="86"/>
      <c r="H386" s="21"/>
      <c r="I386" s="21"/>
      <c r="J386" s="21"/>
      <c r="K386" s="21"/>
      <c r="L386" s="21"/>
      <c r="M386" s="21"/>
      <c r="N386" s="86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</row>
    <row r="387" ht="15.75" customHeight="1">
      <c r="A387" s="21"/>
      <c r="B387" s="21"/>
      <c r="C387" s="21"/>
      <c r="D387" s="21"/>
      <c r="E387" s="21"/>
      <c r="F387" s="21"/>
      <c r="G387" s="86"/>
      <c r="H387" s="21"/>
      <c r="I387" s="21"/>
      <c r="J387" s="21"/>
      <c r="K387" s="21"/>
      <c r="L387" s="21"/>
      <c r="M387" s="21"/>
      <c r="N387" s="86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</row>
    <row r="388" ht="15.75" customHeight="1">
      <c r="A388" s="21"/>
      <c r="B388" s="21"/>
      <c r="C388" s="21"/>
      <c r="D388" s="21"/>
      <c r="E388" s="21"/>
      <c r="F388" s="21"/>
      <c r="G388" s="86"/>
      <c r="H388" s="21"/>
      <c r="I388" s="21"/>
      <c r="J388" s="21"/>
      <c r="K388" s="21"/>
      <c r="L388" s="21"/>
      <c r="M388" s="21"/>
      <c r="N388" s="86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</row>
    <row r="389" ht="15.75" customHeight="1">
      <c r="A389" s="21"/>
      <c r="B389" s="21"/>
      <c r="C389" s="21"/>
      <c r="D389" s="21"/>
      <c r="E389" s="21"/>
      <c r="F389" s="21"/>
      <c r="G389" s="86"/>
      <c r="H389" s="21"/>
      <c r="I389" s="21"/>
      <c r="J389" s="21"/>
      <c r="K389" s="21"/>
      <c r="L389" s="21"/>
      <c r="M389" s="21"/>
      <c r="N389" s="86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</row>
    <row r="390" ht="15.75" customHeight="1">
      <c r="A390" s="21"/>
      <c r="B390" s="21"/>
      <c r="C390" s="21"/>
      <c r="D390" s="21"/>
      <c r="E390" s="21"/>
      <c r="F390" s="21"/>
      <c r="G390" s="86"/>
      <c r="H390" s="21"/>
      <c r="I390" s="21"/>
      <c r="J390" s="21"/>
      <c r="K390" s="21"/>
      <c r="L390" s="21"/>
      <c r="M390" s="21"/>
      <c r="N390" s="86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</row>
    <row r="391" ht="15.75" customHeight="1">
      <c r="A391" s="21"/>
      <c r="B391" s="21"/>
      <c r="C391" s="21"/>
      <c r="D391" s="21"/>
      <c r="E391" s="21"/>
      <c r="F391" s="21"/>
      <c r="G391" s="86"/>
      <c r="H391" s="21"/>
      <c r="I391" s="21"/>
      <c r="J391" s="21"/>
      <c r="K391" s="21"/>
      <c r="L391" s="21"/>
      <c r="M391" s="21"/>
      <c r="N391" s="86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</row>
    <row r="392" ht="15.75" customHeight="1">
      <c r="A392" s="21"/>
      <c r="B392" s="21"/>
      <c r="C392" s="21"/>
      <c r="D392" s="21"/>
      <c r="E392" s="21"/>
      <c r="F392" s="21"/>
      <c r="G392" s="86"/>
      <c r="H392" s="21"/>
      <c r="I392" s="21"/>
      <c r="J392" s="21"/>
      <c r="K392" s="21"/>
      <c r="L392" s="21"/>
      <c r="M392" s="21"/>
      <c r="N392" s="86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</row>
    <row r="393" ht="15.75" customHeight="1">
      <c r="A393" s="21"/>
      <c r="B393" s="21"/>
      <c r="C393" s="21"/>
      <c r="D393" s="21"/>
      <c r="E393" s="21"/>
      <c r="F393" s="21"/>
      <c r="G393" s="86"/>
      <c r="H393" s="21"/>
      <c r="I393" s="21"/>
      <c r="J393" s="21"/>
      <c r="K393" s="21"/>
      <c r="L393" s="21"/>
      <c r="M393" s="21"/>
      <c r="N393" s="86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</row>
    <row r="394" ht="15.75" customHeight="1">
      <c r="A394" s="21"/>
      <c r="B394" s="21"/>
      <c r="C394" s="21"/>
      <c r="D394" s="21"/>
      <c r="E394" s="21"/>
      <c r="F394" s="21"/>
      <c r="G394" s="86"/>
      <c r="H394" s="21"/>
      <c r="I394" s="21"/>
      <c r="J394" s="21"/>
      <c r="K394" s="21"/>
      <c r="L394" s="21"/>
      <c r="M394" s="21"/>
      <c r="N394" s="86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</row>
    <row r="395" ht="15.75" customHeight="1">
      <c r="A395" s="21"/>
      <c r="B395" s="21"/>
      <c r="C395" s="21"/>
      <c r="D395" s="21"/>
      <c r="E395" s="21"/>
      <c r="F395" s="21"/>
      <c r="G395" s="86"/>
      <c r="H395" s="21"/>
      <c r="I395" s="21"/>
      <c r="J395" s="21"/>
      <c r="K395" s="21"/>
      <c r="L395" s="21"/>
      <c r="M395" s="21"/>
      <c r="N395" s="86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</row>
    <row r="396" ht="15.75" customHeight="1">
      <c r="A396" s="21"/>
      <c r="B396" s="21"/>
      <c r="C396" s="21"/>
      <c r="D396" s="21"/>
      <c r="E396" s="21"/>
      <c r="F396" s="21"/>
      <c r="G396" s="86"/>
      <c r="H396" s="21"/>
      <c r="I396" s="21"/>
      <c r="J396" s="21"/>
      <c r="K396" s="21"/>
      <c r="L396" s="21"/>
      <c r="M396" s="21"/>
      <c r="N396" s="86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</row>
    <row r="397" ht="15.75" customHeight="1">
      <c r="A397" s="21"/>
      <c r="B397" s="21"/>
      <c r="C397" s="21"/>
      <c r="D397" s="21"/>
      <c r="E397" s="21"/>
      <c r="F397" s="21"/>
      <c r="G397" s="86"/>
      <c r="H397" s="21"/>
      <c r="I397" s="21"/>
      <c r="J397" s="21"/>
      <c r="K397" s="21"/>
      <c r="L397" s="21"/>
      <c r="M397" s="21"/>
      <c r="N397" s="86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</row>
    <row r="398" ht="15.75" customHeight="1">
      <c r="A398" s="21"/>
      <c r="B398" s="21"/>
      <c r="C398" s="21"/>
      <c r="D398" s="21"/>
      <c r="E398" s="21"/>
      <c r="F398" s="21"/>
      <c r="G398" s="86"/>
      <c r="H398" s="21"/>
      <c r="I398" s="21"/>
      <c r="J398" s="21"/>
      <c r="K398" s="21"/>
      <c r="L398" s="21"/>
      <c r="M398" s="21"/>
      <c r="N398" s="86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</row>
    <row r="399" ht="15.75" customHeight="1">
      <c r="A399" s="21"/>
      <c r="B399" s="21"/>
      <c r="C399" s="21"/>
      <c r="D399" s="21"/>
      <c r="E399" s="21"/>
      <c r="F399" s="21"/>
      <c r="G399" s="86"/>
      <c r="H399" s="21"/>
      <c r="I399" s="21"/>
      <c r="J399" s="21"/>
      <c r="K399" s="21"/>
      <c r="L399" s="21"/>
      <c r="M399" s="21"/>
      <c r="N399" s="86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</row>
    <row r="400" ht="15.75" customHeight="1">
      <c r="A400" s="21"/>
      <c r="B400" s="21"/>
      <c r="C400" s="21"/>
      <c r="D400" s="21"/>
      <c r="E400" s="21"/>
      <c r="F400" s="21"/>
      <c r="G400" s="86"/>
      <c r="H400" s="21"/>
      <c r="I400" s="21"/>
      <c r="J400" s="21"/>
      <c r="K400" s="21"/>
      <c r="L400" s="21"/>
      <c r="M400" s="21"/>
      <c r="N400" s="86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</row>
    <row r="401" ht="15.75" customHeight="1">
      <c r="A401" s="21"/>
      <c r="B401" s="21"/>
      <c r="C401" s="21"/>
      <c r="D401" s="21"/>
      <c r="E401" s="21"/>
      <c r="F401" s="21"/>
      <c r="G401" s="86"/>
      <c r="H401" s="21"/>
      <c r="I401" s="21"/>
      <c r="J401" s="21"/>
      <c r="K401" s="21"/>
      <c r="L401" s="21"/>
      <c r="M401" s="21"/>
      <c r="N401" s="86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</row>
    <row r="402" ht="15.75" customHeight="1">
      <c r="A402" s="21"/>
      <c r="B402" s="21"/>
      <c r="C402" s="21"/>
      <c r="D402" s="21"/>
      <c r="E402" s="21"/>
      <c r="F402" s="21"/>
      <c r="G402" s="86"/>
      <c r="H402" s="21"/>
      <c r="I402" s="21"/>
      <c r="J402" s="21"/>
      <c r="K402" s="21"/>
      <c r="L402" s="21"/>
      <c r="M402" s="21"/>
      <c r="N402" s="86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</row>
    <row r="403" ht="15.75" customHeight="1">
      <c r="A403" s="21"/>
      <c r="B403" s="21"/>
      <c r="C403" s="21"/>
      <c r="D403" s="21"/>
      <c r="E403" s="21"/>
      <c r="F403" s="21"/>
      <c r="G403" s="86"/>
      <c r="H403" s="21"/>
      <c r="I403" s="21"/>
      <c r="J403" s="21"/>
      <c r="K403" s="21"/>
      <c r="L403" s="21"/>
      <c r="M403" s="21"/>
      <c r="N403" s="86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</row>
    <row r="404" ht="15.75" customHeight="1">
      <c r="A404" s="21"/>
      <c r="B404" s="21"/>
      <c r="C404" s="21"/>
      <c r="D404" s="21"/>
      <c r="E404" s="21"/>
      <c r="F404" s="21"/>
      <c r="G404" s="86"/>
      <c r="H404" s="21"/>
      <c r="I404" s="21"/>
      <c r="J404" s="21"/>
      <c r="K404" s="21"/>
      <c r="L404" s="21"/>
      <c r="M404" s="21"/>
      <c r="N404" s="86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</row>
    <row r="405" ht="15.75" customHeight="1">
      <c r="A405" s="21"/>
      <c r="B405" s="21"/>
      <c r="C405" s="21"/>
      <c r="D405" s="21"/>
      <c r="E405" s="21"/>
      <c r="F405" s="21"/>
      <c r="G405" s="86"/>
      <c r="H405" s="21"/>
      <c r="I405" s="21"/>
      <c r="J405" s="21"/>
      <c r="K405" s="21"/>
      <c r="L405" s="21"/>
      <c r="M405" s="21"/>
      <c r="N405" s="86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</row>
    <row r="406" ht="15.75" customHeight="1">
      <c r="A406" s="21"/>
      <c r="B406" s="21"/>
      <c r="C406" s="21"/>
      <c r="D406" s="21"/>
      <c r="E406" s="21"/>
      <c r="F406" s="21"/>
      <c r="G406" s="86"/>
      <c r="H406" s="21"/>
      <c r="I406" s="21"/>
      <c r="J406" s="21"/>
      <c r="K406" s="21"/>
      <c r="L406" s="21"/>
      <c r="M406" s="21"/>
      <c r="N406" s="86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</row>
    <row r="407" ht="15.75" customHeight="1">
      <c r="A407" s="21"/>
      <c r="B407" s="21"/>
      <c r="C407" s="21"/>
      <c r="D407" s="21"/>
      <c r="E407" s="21"/>
      <c r="F407" s="21"/>
      <c r="G407" s="86"/>
      <c r="H407" s="21"/>
      <c r="I407" s="21"/>
      <c r="J407" s="21"/>
      <c r="K407" s="21"/>
      <c r="L407" s="21"/>
      <c r="M407" s="21"/>
      <c r="N407" s="86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</row>
    <row r="408" ht="15.75" customHeight="1">
      <c r="A408" s="21"/>
      <c r="B408" s="21"/>
      <c r="C408" s="21"/>
      <c r="D408" s="21"/>
      <c r="E408" s="21"/>
      <c r="F408" s="21"/>
      <c r="G408" s="86"/>
      <c r="H408" s="21"/>
      <c r="I408" s="21"/>
      <c r="J408" s="21"/>
      <c r="K408" s="21"/>
      <c r="L408" s="21"/>
      <c r="M408" s="21"/>
      <c r="N408" s="86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</row>
    <row r="409" ht="15.75" customHeight="1">
      <c r="A409" s="21"/>
      <c r="B409" s="21"/>
      <c r="C409" s="21"/>
      <c r="D409" s="21"/>
      <c r="E409" s="21"/>
      <c r="F409" s="21"/>
      <c r="G409" s="86"/>
      <c r="H409" s="21"/>
      <c r="I409" s="21"/>
      <c r="J409" s="21"/>
      <c r="K409" s="21"/>
      <c r="L409" s="21"/>
      <c r="M409" s="21"/>
      <c r="N409" s="86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</row>
    <row r="410" ht="15.75" customHeight="1">
      <c r="A410" s="21"/>
      <c r="B410" s="21"/>
      <c r="C410" s="21"/>
      <c r="D410" s="21"/>
      <c r="E410" s="21"/>
      <c r="F410" s="21"/>
      <c r="G410" s="86"/>
      <c r="H410" s="21"/>
      <c r="I410" s="21"/>
      <c r="J410" s="21"/>
      <c r="K410" s="21"/>
      <c r="L410" s="21"/>
      <c r="M410" s="21"/>
      <c r="N410" s="86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</row>
    <row r="411" ht="15.75" customHeight="1">
      <c r="A411" s="21"/>
      <c r="B411" s="21"/>
      <c r="C411" s="21"/>
      <c r="D411" s="21"/>
      <c r="E411" s="21"/>
      <c r="F411" s="21"/>
      <c r="G411" s="86"/>
      <c r="H411" s="21"/>
      <c r="I411" s="21"/>
      <c r="J411" s="21"/>
      <c r="K411" s="21"/>
      <c r="L411" s="21"/>
      <c r="M411" s="21"/>
      <c r="N411" s="86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</row>
    <row r="412" ht="15.75" customHeight="1">
      <c r="A412" s="21"/>
      <c r="B412" s="21"/>
      <c r="C412" s="21"/>
      <c r="D412" s="21"/>
      <c r="E412" s="21"/>
      <c r="F412" s="21"/>
      <c r="G412" s="86"/>
      <c r="H412" s="21"/>
      <c r="I412" s="21"/>
      <c r="J412" s="21"/>
      <c r="K412" s="21"/>
      <c r="L412" s="21"/>
      <c r="M412" s="21"/>
      <c r="N412" s="86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</row>
    <row r="413" ht="15.75" customHeight="1">
      <c r="A413" s="21"/>
      <c r="B413" s="21"/>
      <c r="C413" s="21"/>
      <c r="D413" s="21"/>
      <c r="E413" s="21"/>
      <c r="F413" s="21"/>
      <c r="G413" s="86"/>
      <c r="H413" s="21"/>
      <c r="I413" s="21"/>
      <c r="J413" s="21"/>
      <c r="K413" s="21"/>
      <c r="L413" s="21"/>
      <c r="M413" s="21"/>
      <c r="N413" s="86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</row>
    <row r="414" ht="15.75" customHeight="1">
      <c r="A414" s="21"/>
      <c r="B414" s="21"/>
      <c r="C414" s="21"/>
      <c r="D414" s="21"/>
      <c r="E414" s="21"/>
      <c r="F414" s="21"/>
      <c r="G414" s="86"/>
      <c r="H414" s="21"/>
      <c r="I414" s="21"/>
      <c r="J414" s="21"/>
      <c r="K414" s="21"/>
      <c r="L414" s="21"/>
      <c r="M414" s="21"/>
      <c r="N414" s="86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</row>
    <row r="415" ht="15.75" customHeight="1">
      <c r="A415" s="21"/>
      <c r="B415" s="21"/>
      <c r="C415" s="21"/>
      <c r="D415" s="21"/>
      <c r="E415" s="21"/>
      <c r="F415" s="21"/>
      <c r="G415" s="86"/>
      <c r="H415" s="21"/>
      <c r="I415" s="21"/>
      <c r="J415" s="21"/>
      <c r="K415" s="21"/>
      <c r="L415" s="21"/>
      <c r="M415" s="21"/>
      <c r="N415" s="86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</row>
    <row r="416" ht="15.75" customHeight="1">
      <c r="A416" s="21"/>
      <c r="B416" s="21"/>
      <c r="C416" s="21"/>
      <c r="D416" s="21"/>
      <c r="E416" s="21"/>
      <c r="F416" s="21"/>
      <c r="G416" s="86"/>
      <c r="H416" s="21"/>
      <c r="I416" s="21"/>
      <c r="J416" s="21"/>
      <c r="K416" s="21"/>
      <c r="L416" s="21"/>
      <c r="M416" s="21"/>
      <c r="N416" s="86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</row>
    <row r="417" ht="15.75" customHeight="1">
      <c r="A417" s="21"/>
      <c r="B417" s="21"/>
      <c r="C417" s="21"/>
      <c r="D417" s="21"/>
      <c r="E417" s="21"/>
      <c r="F417" s="21"/>
      <c r="G417" s="86"/>
      <c r="H417" s="21"/>
      <c r="I417" s="21"/>
      <c r="J417" s="21"/>
      <c r="K417" s="21"/>
      <c r="L417" s="21"/>
      <c r="M417" s="21"/>
      <c r="N417" s="86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</row>
    <row r="418" ht="15.75" customHeight="1">
      <c r="A418" s="21"/>
      <c r="B418" s="21"/>
      <c r="C418" s="21"/>
      <c r="D418" s="21"/>
      <c r="E418" s="21"/>
      <c r="F418" s="21"/>
      <c r="G418" s="86"/>
      <c r="H418" s="21"/>
      <c r="I418" s="21"/>
      <c r="J418" s="21"/>
      <c r="K418" s="21"/>
      <c r="L418" s="21"/>
      <c r="M418" s="21"/>
      <c r="N418" s="86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</row>
    <row r="419" ht="15.75" customHeight="1">
      <c r="A419" s="21"/>
      <c r="B419" s="21"/>
      <c r="C419" s="21"/>
      <c r="D419" s="21"/>
      <c r="E419" s="21"/>
      <c r="F419" s="21"/>
      <c r="G419" s="86"/>
      <c r="H419" s="21"/>
      <c r="I419" s="21"/>
      <c r="J419" s="21"/>
      <c r="K419" s="21"/>
      <c r="L419" s="21"/>
      <c r="M419" s="21"/>
      <c r="N419" s="86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</row>
    <row r="420" ht="15.75" customHeight="1">
      <c r="A420" s="21"/>
      <c r="B420" s="21"/>
      <c r="C420" s="21"/>
      <c r="D420" s="21"/>
      <c r="E420" s="21"/>
      <c r="F420" s="21"/>
      <c r="G420" s="86"/>
      <c r="H420" s="21"/>
      <c r="I420" s="21"/>
      <c r="J420" s="21"/>
      <c r="K420" s="21"/>
      <c r="L420" s="21"/>
      <c r="M420" s="21"/>
      <c r="N420" s="86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</row>
    <row r="421" ht="15.75" customHeight="1">
      <c r="A421" s="21"/>
      <c r="B421" s="21"/>
      <c r="C421" s="21"/>
      <c r="D421" s="21"/>
      <c r="E421" s="21"/>
      <c r="F421" s="21"/>
      <c r="G421" s="86"/>
      <c r="H421" s="21"/>
      <c r="I421" s="21"/>
      <c r="J421" s="21"/>
      <c r="K421" s="21"/>
      <c r="L421" s="21"/>
      <c r="M421" s="21"/>
      <c r="N421" s="86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</row>
    <row r="422" ht="15.75" customHeight="1">
      <c r="A422" s="21"/>
      <c r="B422" s="21"/>
      <c r="C422" s="21"/>
      <c r="D422" s="21"/>
      <c r="E422" s="21"/>
      <c r="F422" s="21"/>
      <c r="G422" s="86"/>
      <c r="H422" s="21"/>
      <c r="I422" s="21"/>
      <c r="J422" s="21"/>
      <c r="K422" s="21"/>
      <c r="L422" s="21"/>
      <c r="M422" s="21"/>
      <c r="N422" s="86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</row>
    <row r="423" ht="15.75" customHeight="1">
      <c r="A423" s="21"/>
      <c r="B423" s="21"/>
      <c r="C423" s="21"/>
      <c r="D423" s="21"/>
      <c r="E423" s="21"/>
      <c r="F423" s="21"/>
      <c r="G423" s="86"/>
      <c r="H423" s="21"/>
      <c r="I423" s="21"/>
      <c r="J423" s="21"/>
      <c r="K423" s="21"/>
      <c r="L423" s="21"/>
      <c r="M423" s="21"/>
      <c r="N423" s="86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</row>
    <row r="424" ht="15.75" customHeight="1">
      <c r="A424" s="21"/>
      <c r="B424" s="21"/>
      <c r="C424" s="21"/>
      <c r="D424" s="21"/>
      <c r="E424" s="21"/>
      <c r="F424" s="21"/>
      <c r="G424" s="86"/>
      <c r="H424" s="21"/>
      <c r="I424" s="21"/>
      <c r="J424" s="21"/>
      <c r="K424" s="21"/>
      <c r="L424" s="21"/>
      <c r="M424" s="21"/>
      <c r="N424" s="86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</row>
    <row r="425" ht="15.75" customHeight="1">
      <c r="A425" s="21"/>
      <c r="B425" s="21"/>
      <c r="C425" s="21"/>
      <c r="D425" s="21"/>
      <c r="E425" s="21"/>
      <c r="F425" s="21"/>
      <c r="G425" s="86"/>
      <c r="H425" s="21"/>
      <c r="I425" s="21"/>
      <c r="J425" s="21"/>
      <c r="K425" s="21"/>
      <c r="L425" s="21"/>
      <c r="M425" s="21"/>
      <c r="N425" s="86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</row>
    <row r="426" ht="15.75" customHeight="1">
      <c r="A426" s="21"/>
      <c r="B426" s="21"/>
      <c r="C426" s="21"/>
      <c r="D426" s="21"/>
      <c r="E426" s="21"/>
      <c r="F426" s="21"/>
      <c r="G426" s="86"/>
      <c r="H426" s="21"/>
      <c r="I426" s="21"/>
      <c r="J426" s="21"/>
      <c r="K426" s="21"/>
      <c r="L426" s="21"/>
      <c r="M426" s="21"/>
      <c r="N426" s="86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</row>
    <row r="427" ht="15.75" customHeight="1">
      <c r="A427" s="21"/>
      <c r="B427" s="21"/>
      <c r="C427" s="21"/>
      <c r="D427" s="21"/>
      <c r="E427" s="21"/>
      <c r="F427" s="21"/>
      <c r="G427" s="86"/>
      <c r="H427" s="21"/>
      <c r="I427" s="21"/>
      <c r="J427" s="21"/>
      <c r="K427" s="21"/>
      <c r="L427" s="21"/>
      <c r="M427" s="21"/>
      <c r="N427" s="86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</row>
    <row r="428" ht="15.75" customHeight="1">
      <c r="A428" s="21"/>
      <c r="B428" s="21"/>
      <c r="C428" s="21"/>
      <c r="D428" s="21"/>
      <c r="E428" s="21"/>
      <c r="F428" s="21"/>
      <c r="G428" s="86"/>
      <c r="H428" s="21"/>
      <c r="I428" s="21"/>
      <c r="J428" s="21"/>
      <c r="K428" s="21"/>
      <c r="L428" s="21"/>
      <c r="M428" s="21"/>
      <c r="N428" s="86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</row>
    <row r="429" ht="15.75" customHeight="1">
      <c r="A429" s="21"/>
      <c r="B429" s="21"/>
      <c r="C429" s="21"/>
      <c r="D429" s="21"/>
      <c r="E429" s="21"/>
      <c r="F429" s="21"/>
      <c r="G429" s="86"/>
      <c r="H429" s="21"/>
      <c r="I429" s="21"/>
      <c r="J429" s="21"/>
      <c r="K429" s="21"/>
      <c r="L429" s="21"/>
      <c r="M429" s="21"/>
      <c r="N429" s="86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</row>
    <row r="430" ht="15.75" customHeight="1">
      <c r="A430" s="21"/>
      <c r="B430" s="21"/>
      <c r="C430" s="21"/>
      <c r="D430" s="21"/>
      <c r="E430" s="21"/>
      <c r="F430" s="21"/>
      <c r="G430" s="86"/>
      <c r="H430" s="21"/>
      <c r="I430" s="21"/>
      <c r="J430" s="21"/>
      <c r="K430" s="21"/>
      <c r="L430" s="21"/>
      <c r="M430" s="21"/>
      <c r="N430" s="86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</row>
    <row r="431" ht="15.75" customHeight="1">
      <c r="A431" s="21"/>
      <c r="B431" s="21"/>
      <c r="C431" s="21"/>
      <c r="D431" s="21"/>
      <c r="E431" s="21"/>
      <c r="F431" s="21"/>
      <c r="G431" s="86"/>
      <c r="H431" s="21"/>
      <c r="I431" s="21"/>
      <c r="J431" s="21"/>
      <c r="K431" s="21"/>
      <c r="L431" s="21"/>
      <c r="M431" s="21"/>
      <c r="N431" s="86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</row>
    <row r="432" ht="15.75" customHeight="1">
      <c r="A432" s="21"/>
      <c r="B432" s="21"/>
      <c r="C432" s="21"/>
      <c r="D432" s="21"/>
      <c r="E432" s="21"/>
      <c r="F432" s="21"/>
      <c r="G432" s="86"/>
      <c r="H432" s="21"/>
      <c r="I432" s="21"/>
      <c r="J432" s="21"/>
      <c r="K432" s="21"/>
      <c r="L432" s="21"/>
      <c r="M432" s="21"/>
      <c r="N432" s="86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</row>
    <row r="433" ht="15.75" customHeight="1">
      <c r="A433" s="21"/>
      <c r="B433" s="21"/>
      <c r="C433" s="21"/>
      <c r="D433" s="21"/>
      <c r="E433" s="21"/>
      <c r="F433" s="21"/>
      <c r="G433" s="86"/>
      <c r="H433" s="21"/>
      <c r="I433" s="21"/>
      <c r="J433" s="21"/>
      <c r="K433" s="21"/>
      <c r="L433" s="21"/>
      <c r="M433" s="21"/>
      <c r="N433" s="86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</row>
    <row r="434" ht="15.75" customHeight="1">
      <c r="A434" s="21"/>
      <c r="B434" s="21"/>
      <c r="C434" s="21"/>
      <c r="D434" s="21"/>
      <c r="E434" s="21"/>
      <c r="F434" s="21"/>
      <c r="G434" s="86"/>
      <c r="H434" s="21"/>
      <c r="I434" s="21"/>
      <c r="J434" s="21"/>
      <c r="K434" s="21"/>
      <c r="L434" s="21"/>
      <c r="M434" s="21"/>
      <c r="N434" s="86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</row>
    <row r="435" ht="15.75" customHeight="1">
      <c r="A435" s="21"/>
      <c r="B435" s="21"/>
      <c r="C435" s="21"/>
      <c r="D435" s="21"/>
      <c r="E435" s="21"/>
      <c r="F435" s="21"/>
      <c r="G435" s="86"/>
      <c r="H435" s="21"/>
      <c r="I435" s="21"/>
      <c r="J435" s="21"/>
      <c r="K435" s="21"/>
      <c r="L435" s="21"/>
      <c r="M435" s="21"/>
      <c r="N435" s="86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</row>
    <row r="436" ht="15.75" customHeight="1">
      <c r="A436" s="21"/>
      <c r="B436" s="21"/>
      <c r="C436" s="21"/>
      <c r="D436" s="21"/>
      <c r="E436" s="21"/>
      <c r="F436" s="21"/>
      <c r="G436" s="86"/>
      <c r="H436" s="21"/>
      <c r="I436" s="21"/>
      <c r="J436" s="21"/>
      <c r="K436" s="21"/>
      <c r="L436" s="21"/>
      <c r="M436" s="21"/>
      <c r="N436" s="86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</row>
    <row r="437" ht="15.75" customHeight="1">
      <c r="A437" s="21"/>
      <c r="B437" s="21"/>
      <c r="C437" s="21"/>
      <c r="D437" s="21"/>
      <c r="E437" s="21"/>
      <c r="F437" s="21"/>
      <c r="G437" s="86"/>
      <c r="H437" s="21"/>
      <c r="I437" s="21"/>
      <c r="J437" s="21"/>
      <c r="K437" s="21"/>
      <c r="L437" s="21"/>
      <c r="M437" s="21"/>
      <c r="N437" s="86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</row>
    <row r="438" ht="15.75" customHeight="1">
      <c r="A438" s="21"/>
      <c r="B438" s="21"/>
      <c r="C438" s="21"/>
      <c r="D438" s="21"/>
      <c r="E438" s="21"/>
      <c r="F438" s="21"/>
      <c r="G438" s="86"/>
      <c r="H438" s="21"/>
      <c r="I438" s="21"/>
      <c r="J438" s="21"/>
      <c r="K438" s="21"/>
      <c r="L438" s="21"/>
      <c r="M438" s="21"/>
      <c r="N438" s="86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</row>
    <row r="439" ht="15.75" customHeight="1">
      <c r="A439" s="21"/>
      <c r="B439" s="21"/>
      <c r="C439" s="21"/>
      <c r="D439" s="21"/>
      <c r="E439" s="21"/>
      <c r="F439" s="21"/>
      <c r="G439" s="86"/>
      <c r="H439" s="21"/>
      <c r="I439" s="21"/>
      <c r="J439" s="21"/>
      <c r="K439" s="21"/>
      <c r="L439" s="21"/>
      <c r="M439" s="21"/>
      <c r="N439" s="86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</row>
    <row r="440" ht="15.75" customHeight="1">
      <c r="A440" s="21"/>
      <c r="B440" s="21"/>
      <c r="C440" s="21"/>
      <c r="D440" s="21"/>
      <c r="E440" s="21"/>
      <c r="F440" s="21"/>
      <c r="G440" s="86"/>
      <c r="H440" s="21"/>
      <c r="I440" s="21"/>
      <c r="J440" s="21"/>
      <c r="K440" s="21"/>
      <c r="L440" s="21"/>
      <c r="M440" s="21"/>
      <c r="N440" s="86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</row>
    <row r="441" ht="15.75" customHeight="1">
      <c r="A441" s="21"/>
      <c r="B441" s="21"/>
      <c r="C441" s="21"/>
      <c r="D441" s="21"/>
      <c r="E441" s="21"/>
      <c r="F441" s="21"/>
      <c r="G441" s="86"/>
      <c r="H441" s="21"/>
      <c r="I441" s="21"/>
      <c r="J441" s="21"/>
      <c r="K441" s="21"/>
      <c r="L441" s="21"/>
      <c r="M441" s="21"/>
      <c r="N441" s="86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</row>
    <row r="442" ht="15.75" customHeight="1">
      <c r="A442" s="21"/>
      <c r="B442" s="21"/>
      <c r="C442" s="21"/>
      <c r="D442" s="21"/>
      <c r="E442" s="21"/>
      <c r="F442" s="21"/>
      <c r="G442" s="86"/>
      <c r="H442" s="21"/>
      <c r="I442" s="21"/>
      <c r="J442" s="21"/>
      <c r="K442" s="21"/>
      <c r="L442" s="21"/>
      <c r="M442" s="21"/>
      <c r="N442" s="86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</row>
    <row r="443" ht="15.75" customHeight="1">
      <c r="A443" s="21"/>
      <c r="B443" s="21"/>
      <c r="C443" s="21"/>
      <c r="D443" s="21"/>
      <c r="E443" s="21"/>
      <c r="F443" s="21"/>
      <c r="G443" s="86"/>
      <c r="H443" s="21"/>
      <c r="I443" s="21"/>
      <c r="J443" s="21"/>
      <c r="K443" s="21"/>
      <c r="L443" s="21"/>
      <c r="M443" s="21"/>
      <c r="N443" s="86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</row>
    <row r="444" ht="15.75" customHeight="1">
      <c r="A444" s="21"/>
      <c r="B444" s="21"/>
      <c r="C444" s="21"/>
      <c r="D444" s="21"/>
      <c r="E444" s="21"/>
      <c r="F444" s="21"/>
      <c r="G444" s="86"/>
      <c r="H444" s="21"/>
      <c r="I444" s="21"/>
      <c r="J444" s="21"/>
      <c r="K444" s="21"/>
      <c r="L444" s="21"/>
      <c r="M444" s="21"/>
      <c r="N444" s="86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</row>
    <row r="445" ht="15.75" customHeight="1">
      <c r="A445" s="21"/>
      <c r="B445" s="21"/>
      <c r="C445" s="21"/>
      <c r="D445" s="21"/>
      <c r="E445" s="21"/>
      <c r="F445" s="21"/>
      <c r="G445" s="86"/>
      <c r="H445" s="21"/>
      <c r="I445" s="21"/>
      <c r="J445" s="21"/>
      <c r="K445" s="21"/>
      <c r="L445" s="21"/>
      <c r="M445" s="21"/>
      <c r="N445" s="86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</row>
    <row r="446" ht="15.75" customHeight="1">
      <c r="A446" s="21"/>
      <c r="B446" s="21"/>
      <c r="C446" s="21"/>
      <c r="D446" s="21"/>
      <c r="E446" s="21"/>
      <c r="F446" s="21"/>
      <c r="G446" s="86"/>
      <c r="H446" s="21"/>
      <c r="I446" s="21"/>
      <c r="J446" s="21"/>
      <c r="K446" s="21"/>
      <c r="L446" s="21"/>
      <c r="M446" s="21"/>
      <c r="N446" s="86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</row>
    <row r="447" ht="15.75" customHeight="1">
      <c r="A447" s="21"/>
      <c r="B447" s="21"/>
      <c r="C447" s="21"/>
      <c r="D447" s="21"/>
      <c r="E447" s="21"/>
      <c r="F447" s="21"/>
      <c r="G447" s="86"/>
      <c r="H447" s="21"/>
      <c r="I447" s="21"/>
      <c r="J447" s="21"/>
      <c r="K447" s="21"/>
      <c r="L447" s="21"/>
      <c r="M447" s="21"/>
      <c r="N447" s="86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</row>
    <row r="448" ht="15.75" customHeight="1">
      <c r="A448" s="21"/>
      <c r="B448" s="21"/>
      <c r="C448" s="21"/>
      <c r="D448" s="21"/>
      <c r="E448" s="21"/>
      <c r="F448" s="21"/>
      <c r="G448" s="86"/>
      <c r="H448" s="21"/>
      <c r="I448" s="21"/>
      <c r="J448" s="21"/>
      <c r="K448" s="21"/>
      <c r="L448" s="21"/>
      <c r="M448" s="21"/>
      <c r="N448" s="86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</row>
    <row r="449" ht="15.75" customHeight="1">
      <c r="A449" s="21"/>
      <c r="B449" s="21"/>
      <c r="C449" s="21"/>
      <c r="D449" s="21"/>
      <c r="E449" s="21"/>
      <c r="F449" s="21"/>
      <c r="G449" s="86"/>
      <c r="H449" s="21"/>
      <c r="I449" s="21"/>
      <c r="J449" s="21"/>
      <c r="K449" s="21"/>
      <c r="L449" s="21"/>
      <c r="M449" s="21"/>
      <c r="N449" s="86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</row>
    <row r="450" ht="15.75" customHeight="1">
      <c r="A450" s="21"/>
      <c r="B450" s="21"/>
      <c r="C450" s="21"/>
      <c r="D450" s="21"/>
      <c r="E450" s="21"/>
      <c r="F450" s="21"/>
      <c r="G450" s="86"/>
      <c r="H450" s="21"/>
      <c r="I450" s="21"/>
      <c r="J450" s="21"/>
      <c r="K450" s="21"/>
      <c r="L450" s="21"/>
      <c r="M450" s="21"/>
      <c r="N450" s="86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</row>
    <row r="451" ht="15.75" customHeight="1">
      <c r="A451" s="21"/>
      <c r="B451" s="21"/>
      <c r="C451" s="21"/>
      <c r="D451" s="21"/>
      <c r="E451" s="21"/>
      <c r="F451" s="21"/>
      <c r="G451" s="86"/>
      <c r="H451" s="21"/>
      <c r="I451" s="21"/>
      <c r="J451" s="21"/>
      <c r="K451" s="21"/>
      <c r="L451" s="21"/>
      <c r="M451" s="21"/>
      <c r="N451" s="86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</row>
    <row r="452" ht="15.75" customHeight="1">
      <c r="A452" s="21"/>
      <c r="B452" s="21"/>
      <c r="C452" s="21"/>
      <c r="D452" s="21"/>
      <c r="E452" s="21"/>
      <c r="F452" s="21"/>
      <c r="G452" s="86"/>
      <c r="H452" s="21"/>
      <c r="I452" s="21"/>
      <c r="J452" s="21"/>
      <c r="K452" s="21"/>
      <c r="L452" s="21"/>
      <c r="M452" s="21"/>
      <c r="N452" s="86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</row>
    <row r="453" ht="15.75" customHeight="1">
      <c r="A453" s="21"/>
      <c r="B453" s="21"/>
      <c r="C453" s="21"/>
      <c r="D453" s="21"/>
      <c r="E453" s="21"/>
      <c r="F453" s="21"/>
      <c r="G453" s="86"/>
      <c r="H453" s="21"/>
      <c r="I453" s="21"/>
      <c r="J453" s="21"/>
      <c r="K453" s="21"/>
      <c r="L453" s="21"/>
      <c r="M453" s="21"/>
      <c r="N453" s="86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</row>
    <row r="454" ht="15.75" customHeight="1">
      <c r="A454" s="21"/>
      <c r="B454" s="21"/>
      <c r="C454" s="21"/>
      <c r="D454" s="21"/>
      <c r="E454" s="21"/>
      <c r="F454" s="21"/>
      <c r="G454" s="86"/>
      <c r="H454" s="21"/>
      <c r="I454" s="21"/>
      <c r="J454" s="21"/>
      <c r="K454" s="21"/>
      <c r="L454" s="21"/>
      <c r="M454" s="21"/>
      <c r="N454" s="86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</row>
    <row r="455" ht="15.75" customHeight="1">
      <c r="A455" s="21"/>
      <c r="B455" s="21"/>
      <c r="C455" s="21"/>
      <c r="D455" s="21"/>
      <c r="E455" s="21"/>
      <c r="F455" s="21"/>
      <c r="G455" s="86"/>
      <c r="H455" s="21"/>
      <c r="I455" s="21"/>
      <c r="J455" s="21"/>
      <c r="K455" s="21"/>
      <c r="L455" s="21"/>
      <c r="M455" s="21"/>
      <c r="N455" s="86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</row>
    <row r="456" ht="15.75" customHeight="1">
      <c r="A456" s="21"/>
      <c r="B456" s="21"/>
      <c r="C456" s="21"/>
      <c r="D456" s="21"/>
      <c r="E456" s="21"/>
      <c r="F456" s="21"/>
      <c r="G456" s="86"/>
      <c r="H456" s="21"/>
      <c r="I456" s="21"/>
      <c r="J456" s="21"/>
      <c r="K456" s="21"/>
      <c r="L456" s="21"/>
      <c r="M456" s="21"/>
      <c r="N456" s="86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</row>
    <row r="457" ht="15.75" customHeight="1">
      <c r="A457" s="21"/>
      <c r="B457" s="21"/>
      <c r="C457" s="21"/>
      <c r="D457" s="21"/>
      <c r="E457" s="21"/>
      <c r="F457" s="21"/>
      <c r="G457" s="86"/>
      <c r="H457" s="21"/>
      <c r="I457" s="21"/>
      <c r="J457" s="21"/>
      <c r="K457" s="21"/>
      <c r="L457" s="21"/>
      <c r="M457" s="21"/>
      <c r="N457" s="86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</row>
    <row r="458" ht="15.75" customHeight="1">
      <c r="A458" s="21"/>
      <c r="B458" s="21"/>
      <c r="C458" s="21"/>
      <c r="D458" s="21"/>
      <c r="E458" s="21"/>
      <c r="F458" s="21"/>
      <c r="G458" s="86"/>
      <c r="H458" s="21"/>
      <c r="I458" s="21"/>
      <c r="J458" s="21"/>
      <c r="K458" s="21"/>
      <c r="L458" s="21"/>
      <c r="M458" s="21"/>
      <c r="N458" s="86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</row>
    <row r="459" ht="15.75" customHeight="1">
      <c r="A459" s="21"/>
      <c r="B459" s="21"/>
      <c r="C459" s="21"/>
      <c r="D459" s="21"/>
      <c r="E459" s="21"/>
      <c r="F459" s="21"/>
      <c r="G459" s="86"/>
      <c r="H459" s="21"/>
      <c r="I459" s="21"/>
      <c r="J459" s="21"/>
      <c r="K459" s="21"/>
      <c r="L459" s="21"/>
      <c r="M459" s="21"/>
      <c r="N459" s="86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</row>
    <row r="460" ht="15.75" customHeight="1">
      <c r="A460" s="21"/>
      <c r="B460" s="21"/>
      <c r="C460" s="21"/>
      <c r="D460" s="21"/>
      <c r="E460" s="21"/>
      <c r="F460" s="21"/>
      <c r="G460" s="86"/>
      <c r="H460" s="21"/>
      <c r="I460" s="21"/>
      <c r="J460" s="21"/>
      <c r="K460" s="21"/>
      <c r="L460" s="21"/>
      <c r="M460" s="21"/>
      <c r="N460" s="86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</row>
    <row r="461" ht="15.75" customHeight="1">
      <c r="A461" s="21"/>
      <c r="B461" s="21"/>
      <c r="C461" s="21"/>
      <c r="D461" s="21"/>
      <c r="E461" s="21"/>
      <c r="F461" s="21"/>
      <c r="G461" s="86"/>
      <c r="H461" s="21"/>
      <c r="I461" s="21"/>
      <c r="J461" s="21"/>
      <c r="K461" s="21"/>
      <c r="L461" s="21"/>
      <c r="M461" s="21"/>
      <c r="N461" s="86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</row>
    <row r="462" ht="15.75" customHeight="1">
      <c r="A462" s="21"/>
      <c r="B462" s="21"/>
      <c r="C462" s="21"/>
      <c r="D462" s="21"/>
      <c r="E462" s="21"/>
      <c r="F462" s="21"/>
      <c r="G462" s="86"/>
      <c r="H462" s="21"/>
      <c r="I462" s="21"/>
      <c r="J462" s="21"/>
      <c r="K462" s="21"/>
      <c r="L462" s="21"/>
      <c r="M462" s="21"/>
      <c r="N462" s="86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</row>
    <row r="463" ht="15.75" customHeight="1">
      <c r="A463" s="21"/>
      <c r="B463" s="21"/>
      <c r="C463" s="21"/>
      <c r="D463" s="21"/>
      <c r="E463" s="21"/>
      <c r="F463" s="21"/>
      <c r="G463" s="86"/>
      <c r="H463" s="21"/>
      <c r="I463" s="21"/>
      <c r="J463" s="21"/>
      <c r="K463" s="21"/>
      <c r="L463" s="21"/>
      <c r="M463" s="21"/>
      <c r="N463" s="86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</row>
    <row r="464" ht="15.75" customHeight="1">
      <c r="A464" s="21"/>
      <c r="B464" s="21"/>
      <c r="C464" s="21"/>
      <c r="D464" s="21"/>
      <c r="E464" s="21"/>
      <c r="F464" s="21"/>
      <c r="G464" s="86"/>
      <c r="H464" s="21"/>
      <c r="I464" s="21"/>
      <c r="J464" s="21"/>
      <c r="K464" s="21"/>
      <c r="L464" s="21"/>
      <c r="M464" s="21"/>
      <c r="N464" s="86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</row>
    <row r="465" ht="15.75" customHeight="1">
      <c r="A465" s="21"/>
      <c r="B465" s="21"/>
      <c r="C465" s="21"/>
      <c r="D465" s="21"/>
      <c r="E465" s="21"/>
      <c r="F465" s="21"/>
      <c r="G465" s="86"/>
      <c r="H465" s="21"/>
      <c r="I465" s="21"/>
      <c r="J465" s="21"/>
      <c r="K465" s="21"/>
      <c r="L465" s="21"/>
      <c r="M465" s="21"/>
      <c r="N465" s="86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</row>
    <row r="466" ht="15.75" customHeight="1">
      <c r="A466" s="21"/>
      <c r="B466" s="21"/>
      <c r="C466" s="21"/>
      <c r="D466" s="21"/>
      <c r="E466" s="21"/>
      <c r="F466" s="21"/>
      <c r="G466" s="86"/>
      <c r="H466" s="21"/>
      <c r="I466" s="21"/>
      <c r="J466" s="21"/>
      <c r="K466" s="21"/>
      <c r="L466" s="21"/>
      <c r="M466" s="21"/>
      <c r="N466" s="86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</row>
    <row r="467" ht="15.75" customHeight="1">
      <c r="A467" s="21"/>
      <c r="B467" s="21"/>
      <c r="C467" s="21"/>
      <c r="D467" s="21"/>
      <c r="E467" s="21"/>
      <c r="F467" s="21"/>
      <c r="G467" s="86"/>
      <c r="H467" s="21"/>
      <c r="I467" s="21"/>
      <c r="J467" s="21"/>
      <c r="K467" s="21"/>
      <c r="L467" s="21"/>
      <c r="M467" s="21"/>
      <c r="N467" s="86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</row>
    <row r="468" ht="15.75" customHeight="1">
      <c r="A468" s="21"/>
      <c r="B468" s="21"/>
      <c r="C468" s="21"/>
      <c r="D468" s="21"/>
      <c r="E468" s="21"/>
      <c r="F468" s="21"/>
      <c r="G468" s="86"/>
      <c r="H468" s="21"/>
      <c r="I468" s="21"/>
      <c r="J468" s="21"/>
      <c r="K468" s="21"/>
      <c r="L468" s="21"/>
      <c r="M468" s="21"/>
      <c r="N468" s="86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</row>
    <row r="469" ht="15.75" customHeight="1">
      <c r="A469" s="21"/>
      <c r="B469" s="21"/>
      <c r="C469" s="21"/>
      <c r="D469" s="21"/>
      <c r="E469" s="21"/>
      <c r="F469" s="21"/>
      <c r="G469" s="86"/>
      <c r="H469" s="21"/>
      <c r="I469" s="21"/>
      <c r="J469" s="21"/>
      <c r="K469" s="21"/>
      <c r="L469" s="21"/>
      <c r="M469" s="21"/>
      <c r="N469" s="86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</row>
    <row r="470" ht="15.75" customHeight="1">
      <c r="A470" s="21"/>
      <c r="B470" s="21"/>
      <c r="C470" s="21"/>
      <c r="D470" s="21"/>
      <c r="E470" s="21"/>
      <c r="F470" s="21"/>
      <c r="G470" s="86"/>
      <c r="H470" s="21"/>
      <c r="I470" s="21"/>
      <c r="J470" s="21"/>
      <c r="K470" s="21"/>
      <c r="L470" s="21"/>
      <c r="M470" s="21"/>
      <c r="N470" s="86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</row>
    <row r="471" ht="15.75" customHeight="1">
      <c r="A471" s="21"/>
      <c r="B471" s="21"/>
      <c r="C471" s="21"/>
      <c r="D471" s="21"/>
      <c r="E471" s="21"/>
      <c r="F471" s="21"/>
      <c r="G471" s="86"/>
      <c r="H471" s="21"/>
      <c r="I471" s="21"/>
      <c r="J471" s="21"/>
      <c r="K471" s="21"/>
      <c r="L471" s="21"/>
      <c r="M471" s="21"/>
      <c r="N471" s="86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</row>
    <row r="472" ht="15.75" customHeight="1">
      <c r="A472" s="21"/>
      <c r="B472" s="21"/>
      <c r="C472" s="21"/>
      <c r="D472" s="21"/>
      <c r="E472" s="21"/>
      <c r="F472" s="21"/>
      <c r="G472" s="86"/>
      <c r="H472" s="21"/>
      <c r="I472" s="21"/>
      <c r="J472" s="21"/>
      <c r="K472" s="21"/>
      <c r="L472" s="21"/>
      <c r="M472" s="21"/>
      <c r="N472" s="86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</row>
    <row r="473" ht="15.75" customHeight="1">
      <c r="A473" s="21"/>
      <c r="B473" s="21"/>
      <c r="C473" s="21"/>
      <c r="D473" s="21"/>
      <c r="E473" s="21"/>
      <c r="F473" s="21"/>
      <c r="G473" s="86"/>
      <c r="H473" s="21"/>
      <c r="I473" s="21"/>
      <c r="J473" s="21"/>
      <c r="K473" s="21"/>
      <c r="L473" s="21"/>
      <c r="M473" s="21"/>
      <c r="N473" s="86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</row>
    <row r="474" ht="15.75" customHeight="1">
      <c r="A474" s="21"/>
      <c r="B474" s="21"/>
      <c r="C474" s="21"/>
      <c r="D474" s="21"/>
      <c r="E474" s="21"/>
      <c r="F474" s="21"/>
      <c r="G474" s="86"/>
      <c r="H474" s="21"/>
      <c r="I474" s="21"/>
      <c r="J474" s="21"/>
      <c r="K474" s="21"/>
      <c r="L474" s="21"/>
      <c r="M474" s="21"/>
      <c r="N474" s="86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</row>
    <row r="475" ht="15.75" customHeight="1">
      <c r="A475" s="21"/>
      <c r="B475" s="21"/>
      <c r="C475" s="21"/>
      <c r="D475" s="21"/>
      <c r="E475" s="21"/>
      <c r="F475" s="21"/>
      <c r="G475" s="86"/>
      <c r="H475" s="21"/>
      <c r="I475" s="21"/>
      <c r="J475" s="21"/>
      <c r="K475" s="21"/>
      <c r="L475" s="21"/>
      <c r="M475" s="21"/>
      <c r="N475" s="86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</row>
    <row r="476" ht="15.75" customHeight="1">
      <c r="A476" s="21"/>
      <c r="B476" s="21"/>
      <c r="C476" s="21"/>
      <c r="D476" s="21"/>
      <c r="E476" s="21"/>
      <c r="F476" s="21"/>
      <c r="G476" s="86"/>
      <c r="H476" s="21"/>
      <c r="I476" s="21"/>
      <c r="J476" s="21"/>
      <c r="K476" s="21"/>
      <c r="L476" s="21"/>
      <c r="M476" s="21"/>
      <c r="N476" s="86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</row>
    <row r="477" ht="15.75" customHeight="1">
      <c r="A477" s="21"/>
      <c r="B477" s="21"/>
      <c r="C477" s="21"/>
      <c r="D477" s="21"/>
      <c r="E477" s="21"/>
      <c r="F477" s="21"/>
      <c r="G477" s="86"/>
      <c r="H477" s="21"/>
      <c r="I477" s="21"/>
      <c r="J477" s="21"/>
      <c r="K477" s="21"/>
      <c r="L477" s="21"/>
      <c r="M477" s="21"/>
      <c r="N477" s="86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</row>
    <row r="478" ht="15.75" customHeight="1">
      <c r="A478" s="21"/>
      <c r="B478" s="21"/>
      <c r="C478" s="21"/>
      <c r="D478" s="21"/>
      <c r="E478" s="21"/>
      <c r="F478" s="21"/>
      <c r="G478" s="86"/>
      <c r="H478" s="21"/>
      <c r="I478" s="21"/>
      <c r="J478" s="21"/>
      <c r="K478" s="21"/>
      <c r="L478" s="21"/>
      <c r="M478" s="21"/>
      <c r="N478" s="86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</row>
    <row r="479" ht="15.75" customHeight="1">
      <c r="A479" s="21"/>
      <c r="B479" s="21"/>
      <c r="C479" s="21"/>
      <c r="D479" s="21"/>
      <c r="E479" s="21"/>
      <c r="F479" s="21"/>
      <c r="G479" s="86"/>
      <c r="H479" s="21"/>
      <c r="I479" s="21"/>
      <c r="J479" s="21"/>
      <c r="K479" s="21"/>
      <c r="L479" s="21"/>
      <c r="M479" s="21"/>
      <c r="N479" s="86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</row>
    <row r="480" ht="15.75" customHeight="1">
      <c r="A480" s="21"/>
      <c r="B480" s="21"/>
      <c r="C480" s="21"/>
      <c r="D480" s="21"/>
      <c r="E480" s="21"/>
      <c r="F480" s="21"/>
      <c r="G480" s="86"/>
      <c r="H480" s="21"/>
      <c r="I480" s="21"/>
      <c r="J480" s="21"/>
      <c r="K480" s="21"/>
      <c r="L480" s="21"/>
      <c r="M480" s="21"/>
      <c r="N480" s="86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</row>
    <row r="481" ht="15.75" customHeight="1">
      <c r="A481" s="21"/>
      <c r="B481" s="21"/>
      <c r="C481" s="21"/>
      <c r="D481" s="21"/>
      <c r="E481" s="21"/>
      <c r="F481" s="21"/>
      <c r="G481" s="86"/>
      <c r="H481" s="21"/>
      <c r="I481" s="21"/>
      <c r="J481" s="21"/>
      <c r="K481" s="21"/>
      <c r="L481" s="21"/>
      <c r="M481" s="21"/>
      <c r="N481" s="86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</row>
    <row r="482" ht="15.75" customHeight="1">
      <c r="A482" s="21"/>
      <c r="B482" s="21"/>
      <c r="C482" s="21"/>
      <c r="D482" s="21"/>
      <c r="E482" s="21"/>
      <c r="F482" s="21"/>
      <c r="G482" s="86"/>
      <c r="H482" s="21"/>
      <c r="I482" s="21"/>
      <c r="J482" s="21"/>
      <c r="K482" s="21"/>
      <c r="L482" s="21"/>
      <c r="M482" s="21"/>
      <c r="N482" s="86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</row>
    <row r="483" ht="15.75" customHeight="1">
      <c r="A483" s="21"/>
      <c r="B483" s="21"/>
      <c r="C483" s="21"/>
      <c r="D483" s="21"/>
      <c r="E483" s="21"/>
      <c r="F483" s="21"/>
      <c r="G483" s="86"/>
      <c r="H483" s="21"/>
      <c r="I483" s="21"/>
      <c r="J483" s="21"/>
      <c r="K483" s="21"/>
      <c r="L483" s="21"/>
      <c r="M483" s="21"/>
      <c r="N483" s="86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</row>
    <row r="484" ht="15.75" customHeight="1">
      <c r="A484" s="21"/>
      <c r="B484" s="21"/>
      <c r="C484" s="21"/>
      <c r="D484" s="21"/>
      <c r="E484" s="21"/>
      <c r="F484" s="21"/>
      <c r="G484" s="86"/>
      <c r="H484" s="21"/>
      <c r="I484" s="21"/>
      <c r="J484" s="21"/>
      <c r="K484" s="21"/>
      <c r="L484" s="21"/>
      <c r="M484" s="21"/>
      <c r="N484" s="86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</row>
    <row r="485" ht="15.75" customHeight="1">
      <c r="A485" s="21"/>
      <c r="B485" s="21"/>
      <c r="C485" s="21"/>
      <c r="D485" s="21"/>
      <c r="E485" s="21"/>
      <c r="F485" s="21"/>
      <c r="G485" s="86"/>
      <c r="H485" s="21"/>
      <c r="I485" s="21"/>
      <c r="J485" s="21"/>
      <c r="K485" s="21"/>
      <c r="L485" s="21"/>
      <c r="M485" s="21"/>
      <c r="N485" s="86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</row>
    <row r="486" ht="15.75" customHeight="1">
      <c r="A486" s="21"/>
      <c r="B486" s="21"/>
      <c r="C486" s="21"/>
      <c r="D486" s="21"/>
      <c r="E486" s="21"/>
      <c r="F486" s="21"/>
      <c r="G486" s="86"/>
      <c r="H486" s="21"/>
      <c r="I486" s="21"/>
      <c r="J486" s="21"/>
      <c r="K486" s="21"/>
      <c r="L486" s="21"/>
      <c r="M486" s="21"/>
      <c r="N486" s="86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</row>
    <row r="487" ht="15.75" customHeight="1">
      <c r="A487" s="21"/>
      <c r="B487" s="21"/>
      <c r="C487" s="21"/>
      <c r="D487" s="21"/>
      <c r="E487" s="21"/>
      <c r="F487" s="21"/>
      <c r="G487" s="86"/>
      <c r="H487" s="21"/>
      <c r="I487" s="21"/>
      <c r="J487" s="21"/>
      <c r="K487" s="21"/>
      <c r="L487" s="21"/>
      <c r="M487" s="21"/>
      <c r="N487" s="86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</row>
    <row r="488" ht="15.75" customHeight="1">
      <c r="A488" s="21"/>
      <c r="B488" s="21"/>
      <c r="C488" s="21"/>
      <c r="D488" s="21"/>
      <c r="E488" s="21"/>
      <c r="F488" s="21"/>
      <c r="G488" s="86"/>
      <c r="H488" s="21"/>
      <c r="I488" s="21"/>
      <c r="J488" s="21"/>
      <c r="K488" s="21"/>
      <c r="L488" s="21"/>
      <c r="M488" s="21"/>
      <c r="N488" s="86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</row>
    <row r="489" ht="15.75" customHeight="1">
      <c r="A489" s="21"/>
      <c r="B489" s="21"/>
      <c r="C489" s="21"/>
      <c r="D489" s="21"/>
      <c r="E489" s="21"/>
      <c r="F489" s="21"/>
      <c r="G489" s="86"/>
      <c r="H489" s="21"/>
      <c r="I489" s="21"/>
      <c r="J489" s="21"/>
      <c r="K489" s="21"/>
      <c r="L489" s="21"/>
      <c r="M489" s="21"/>
      <c r="N489" s="86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</row>
    <row r="490" ht="15.75" customHeight="1">
      <c r="A490" s="21"/>
      <c r="B490" s="21"/>
      <c r="C490" s="21"/>
      <c r="D490" s="21"/>
      <c r="E490" s="21"/>
      <c r="F490" s="21"/>
      <c r="G490" s="86"/>
      <c r="H490" s="21"/>
      <c r="I490" s="21"/>
      <c r="J490" s="21"/>
      <c r="K490" s="21"/>
      <c r="L490" s="21"/>
      <c r="M490" s="21"/>
      <c r="N490" s="86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</row>
    <row r="491" ht="15.75" customHeight="1">
      <c r="A491" s="21"/>
      <c r="B491" s="21"/>
      <c r="C491" s="21"/>
      <c r="D491" s="21"/>
      <c r="E491" s="21"/>
      <c r="F491" s="21"/>
      <c r="G491" s="86"/>
      <c r="H491" s="21"/>
      <c r="I491" s="21"/>
      <c r="J491" s="21"/>
      <c r="K491" s="21"/>
      <c r="L491" s="21"/>
      <c r="M491" s="21"/>
      <c r="N491" s="86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</row>
    <row r="492" ht="15.75" customHeight="1">
      <c r="A492" s="21"/>
      <c r="B492" s="21"/>
      <c r="C492" s="21"/>
      <c r="D492" s="21"/>
      <c r="E492" s="21"/>
      <c r="F492" s="21"/>
      <c r="G492" s="86"/>
      <c r="H492" s="21"/>
      <c r="I492" s="21"/>
      <c r="J492" s="21"/>
      <c r="K492" s="21"/>
      <c r="L492" s="21"/>
      <c r="M492" s="21"/>
      <c r="N492" s="86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</row>
    <row r="493" ht="15.75" customHeight="1">
      <c r="A493" s="21"/>
      <c r="B493" s="21"/>
      <c r="C493" s="21"/>
      <c r="D493" s="21"/>
      <c r="E493" s="21"/>
      <c r="F493" s="21"/>
      <c r="G493" s="86"/>
      <c r="H493" s="21"/>
      <c r="I493" s="21"/>
      <c r="J493" s="21"/>
      <c r="K493" s="21"/>
      <c r="L493" s="21"/>
      <c r="M493" s="21"/>
      <c r="N493" s="86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</row>
    <row r="494" ht="15.75" customHeight="1">
      <c r="A494" s="21"/>
      <c r="B494" s="21"/>
      <c r="C494" s="21"/>
      <c r="D494" s="21"/>
      <c r="E494" s="21"/>
      <c r="F494" s="21"/>
      <c r="G494" s="86"/>
      <c r="H494" s="21"/>
      <c r="I494" s="21"/>
      <c r="J494" s="21"/>
      <c r="K494" s="21"/>
      <c r="L494" s="21"/>
      <c r="M494" s="21"/>
      <c r="N494" s="86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</row>
    <row r="495" ht="15.75" customHeight="1">
      <c r="A495" s="21"/>
      <c r="B495" s="21"/>
      <c r="C495" s="21"/>
      <c r="D495" s="21"/>
      <c r="E495" s="21"/>
      <c r="F495" s="21"/>
      <c r="G495" s="86"/>
      <c r="H495" s="21"/>
      <c r="I495" s="21"/>
      <c r="J495" s="21"/>
      <c r="K495" s="21"/>
      <c r="L495" s="21"/>
      <c r="M495" s="21"/>
      <c r="N495" s="86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</row>
    <row r="496" ht="15.75" customHeight="1">
      <c r="A496" s="21"/>
      <c r="B496" s="21"/>
      <c r="C496" s="21"/>
      <c r="D496" s="21"/>
      <c r="E496" s="21"/>
      <c r="F496" s="21"/>
      <c r="G496" s="86"/>
      <c r="H496" s="21"/>
      <c r="I496" s="21"/>
      <c r="J496" s="21"/>
      <c r="K496" s="21"/>
      <c r="L496" s="21"/>
      <c r="M496" s="21"/>
      <c r="N496" s="86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</row>
    <row r="497" ht="15.75" customHeight="1">
      <c r="A497" s="21"/>
      <c r="B497" s="21"/>
      <c r="C497" s="21"/>
      <c r="D497" s="21"/>
      <c r="E497" s="21"/>
      <c r="F497" s="21"/>
      <c r="G497" s="86"/>
      <c r="H497" s="21"/>
      <c r="I497" s="21"/>
      <c r="J497" s="21"/>
      <c r="K497" s="21"/>
      <c r="L497" s="21"/>
      <c r="M497" s="21"/>
      <c r="N497" s="86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</row>
    <row r="498" ht="15.75" customHeight="1">
      <c r="A498" s="21"/>
      <c r="B498" s="21"/>
      <c r="C498" s="21"/>
      <c r="D498" s="21"/>
      <c r="E498" s="21"/>
      <c r="F498" s="21"/>
      <c r="G498" s="86"/>
      <c r="H498" s="21"/>
      <c r="I498" s="21"/>
      <c r="J498" s="21"/>
      <c r="K498" s="21"/>
      <c r="L498" s="21"/>
      <c r="M498" s="21"/>
      <c r="N498" s="86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</row>
    <row r="499" ht="15.75" customHeight="1">
      <c r="A499" s="21"/>
      <c r="B499" s="21"/>
      <c r="C499" s="21"/>
      <c r="D499" s="21"/>
      <c r="E499" s="21"/>
      <c r="F499" s="21"/>
      <c r="G499" s="86"/>
      <c r="H499" s="21"/>
      <c r="I499" s="21"/>
      <c r="J499" s="21"/>
      <c r="K499" s="21"/>
      <c r="L499" s="21"/>
      <c r="M499" s="21"/>
      <c r="N499" s="86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</row>
    <row r="500" ht="15.75" customHeight="1">
      <c r="A500" s="21"/>
      <c r="B500" s="21"/>
      <c r="C500" s="21"/>
      <c r="D500" s="21"/>
      <c r="E500" s="21"/>
      <c r="F500" s="21"/>
      <c r="G500" s="86"/>
      <c r="H500" s="21"/>
      <c r="I500" s="21"/>
      <c r="J500" s="21"/>
      <c r="K500" s="21"/>
      <c r="L500" s="21"/>
      <c r="M500" s="21"/>
      <c r="N500" s="86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</row>
    <row r="501" ht="15.75" customHeight="1">
      <c r="A501" s="21"/>
      <c r="B501" s="21"/>
      <c r="C501" s="21"/>
      <c r="D501" s="21"/>
      <c r="E501" s="21"/>
      <c r="F501" s="21"/>
      <c r="G501" s="86"/>
      <c r="H501" s="21"/>
      <c r="I501" s="21"/>
      <c r="J501" s="21"/>
      <c r="K501" s="21"/>
      <c r="L501" s="21"/>
      <c r="M501" s="21"/>
      <c r="N501" s="86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</row>
    <row r="502" ht="15.75" customHeight="1">
      <c r="A502" s="21"/>
      <c r="B502" s="21"/>
      <c r="C502" s="21"/>
      <c r="D502" s="21"/>
      <c r="E502" s="21"/>
      <c r="F502" s="21"/>
      <c r="G502" s="86"/>
      <c r="H502" s="21"/>
      <c r="I502" s="21"/>
      <c r="J502" s="21"/>
      <c r="K502" s="21"/>
      <c r="L502" s="21"/>
      <c r="M502" s="21"/>
      <c r="N502" s="86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</row>
    <row r="503" ht="15.75" customHeight="1">
      <c r="A503" s="21"/>
      <c r="B503" s="21"/>
      <c r="C503" s="21"/>
      <c r="D503" s="21"/>
      <c r="E503" s="21"/>
      <c r="F503" s="21"/>
      <c r="G503" s="86"/>
      <c r="H503" s="21"/>
      <c r="I503" s="21"/>
      <c r="J503" s="21"/>
      <c r="K503" s="21"/>
      <c r="L503" s="21"/>
      <c r="M503" s="21"/>
      <c r="N503" s="86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</row>
    <row r="504" ht="15.75" customHeight="1">
      <c r="A504" s="21"/>
      <c r="B504" s="21"/>
      <c r="C504" s="21"/>
      <c r="D504" s="21"/>
      <c r="E504" s="21"/>
      <c r="F504" s="21"/>
      <c r="G504" s="86"/>
      <c r="H504" s="21"/>
      <c r="I504" s="21"/>
      <c r="J504" s="21"/>
      <c r="K504" s="21"/>
      <c r="L504" s="21"/>
      <c r="M504" s="21"/>
      <c r="N504" s="86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</row>
    <row r="505" ht="15.75" customHeight="1">
      <c r="A505" s="21"/>
      <c r="B505" s="21"/>
      <c r="C505" s="21"/>
      <c r="D505" s="21"/>
      <c r="E505" s="21"/>
      <c r="F505" s="21"/>
      <c r="G505" s="86"/>
      <c r="H505" s="21"/>
      <c r="I505" s="21"/>
      <c r="J505" s="21"/>
      <c r="K505" s="21"/>
      <c r="L505" s="21"/>
      <c r="M505" s="21"/>
      <c r="N505" s="86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</row>
    <row r="506" ht="15.75" customHeight="1">
      <c r="A506" s="21"/>
      <c r="B506" s="21"/>
      <c r="C506" s="21"/>
      <c r="D506" s="21"/>
      <c r="E506" s="21"/>
      <c r="F506" s="21"/>
      <c r="G506" s="86"/>
      <c r="H506" s="21"/>
      <c r="I506" s="21"/>
      <c r="J506" s="21"/>
      <c r="K506" s="21"/>
      <c r="L506" s="21"/>
      <c r="M506" s="21"/>
      <c r="N506" s="86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</row>
    <row r="507" ht="15.75" customHeight="1">
      <c r="A507" s="21"/>
      <c r="B507" s="21"/>
      <c r="C507" s="21"/>
      <c r="D507" s="21"/>
      <c r="E507" s="21"/>
      <c r="F507" s="21"/>
      <c r="G507" s="86"/>
      <c r="H507" s="21"/>
      <c r="I507" s="21"/>
      <c r="J507" s="21"/>
      <c r="K507" s="21"/>
      <c r="L507" s="21"/>
      <c r="M507" s="21"/>
      <c r="N507" s="86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</row>
    <row r="508" ht="15.75" customHeight="1">
      <c r="A508" s="21"/>
      <c r="B508" s="21"/>
      <c r="C508" s="21"/>
      <c r="D508" s="21"/>
      <c r="E508" s="21"/>
      <c r="F508" s="21"/>
      <c r="G508" s="86"/>
      <c r="H508" s="21"/>
      <c r="I508" s="21"/>
      <c r="J508" s="21"/>
      <c r="K508" s="21"/>
      <c r="L508" s="21"/>
      <c r="M508" s="21"/>
      <c r="N508" s="86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</row>
    <row r="509" ht="15.75" customHeight="1">
      <c r="A509" s="21"/>
      <c r="B509" s="21"/>
      <c r="C509" s="21"/>
      <c r="D509" s="21"/>
      <c r="E509" s="21"/>
      <c r="F509" s="21"/>
      <c r="G509" s="86"/>
      <c r="H509" s="21"/>
      <c r="I509" s="21"/>
      <c r="J509" s="21"/>
      <c r="K509" s="21"/>
      <c r="L509" s="21"/>
      <c r="M509" s="21"/>
      <c r="N509" s="86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</row>
    <row r="510" ht="15.75" customHeight="1">
      <c r="A510" s="21"/>
      <c r="B510" s="21"/>
      <c r="C510" s="21"/>
      <c r="D510" s="21"/>
      <c r="E510" s="21"/>
      <c r="F510" s="21"/>
      <c r="G510" s="86"/>
      <c r="H510" s="21"/>
      <c r="I510" s="21"/>
      <c r="J510" s="21"/>
      <c r="K510" s="21"/>
      <c r="L510" s="21"/>
      <c r="M510" s="21"/>
      <c r="N510" s="86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</row>
    <row r="511" ht="15.75" customHeight="1">
      <c r="A511" s="21"/>
      <c r="B511" s="21"/>
      <c r="C511" s="21"/>
      <c r="D511" s="21"/>
      <c r="E511" s="21"/>
      <c r="F511" s="21"/>
      <c r="G511" s="86"/>
      <c r="H511" s="21"/>
      <c r="I511" s="21"/>
      <c r="J511" s="21"/>
      <c r="K511" s="21"/>
      <c r="L511" s="21"/>
      <c r="M511" s="21"/>
      <c r="N511" s="86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</row>
    <row r="512" ht="15.75" customHeight="1">
      <c r="A512" s="21"/>
      <c r="B512" s="21"/>
      <c r="C512" s="21"/>
      <c r="D512" s="21"/>
      <c r="E512" s="21"/>
      <c r="F512" s="21"/>
      <c r="G512" s="86"/>
      <c r="H512" s="21"/>
      <c r="I512" s="21"/>
      <c r="J512" s="21"/>
      <c r="K512" s="21"/>
      <c r="L512" s="21"/>
      <c r="M512" s="21"/>
      <c r="N512" s="86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</row>
    <row r="513" ht="15.75" customHeight="1">
      <c r="A513" s="21"/>
      <c r="B513" s="21"/>
      <c r="C513" s="21"/>
      <c r="D513" s="21"/>
      <c r="E513" s="21"/>
      <c r="F513" s="21"/>
      <c r="G513" s="86"/>
      <c r="H513" s="21"/>
      <c r="I513" s="21"/>
      <c r="J513" s="21"/>
      <c r="K513" s="21"/>
      <c r="L513" s="21"/>
      <c r="M513" s="21"/>
      <c r="N513" s="86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</row>
    <row r="514" ht="15.75" customHeight="1">
      <c r="A514" s="21"/>
      <c r="B514" s="21"/>
      <c r="C514" s="21"/>
      <c r="D514" s="21"/>
      <c r="E514" s="21"/>
      <c r="F514" s="21"/>
      <c r="G514" s="86"/>
      <c r="H514" s="21"/>
      <c r="I514" s="21"/>
      <c r="J514" s="21"/>
      <c r="K514" s="21"/>
      <c r="L514" s="21"/>
      <c r="M514" s="21"/>
      <c r="N514" s="86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</row>
    <row r="515" ht="15.75" customHeight="1">
      <c r="A515" s="21"/>
      <c r="B515" s="21"/>
      <c r="C515" s="21"/>
      <c r="D515" s="21"/>
      <c r="E515" s="21"/>
      <c r="F515" s="21"/>
      <c r="G515" s="86"/>
      <c r="H515" s="21"/>
      <c r="I515" s="21"/>
      <c r="J515" s="21"/>
      <c r="K515" s="21"/>
      <c r="L515" s="21"/>
      <c r="M515" s="21"/>
      <c r="N515" s="86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</row>
    <row r="516" ht="15.75" customHeight="1">
      <c r="A516" s="21"/>
      <c r="B516" s="21"/>
      <c r="C516" s="21"/>
      <c r="D516" s="21"/>
      <c r="E516" s="21"/>
      <c r="F516" s="21"/>
      <c r="G516" s="86"/>
      <c r="H516" s="21"/>
      <c r="I516" s="21"/>
      <c r="J516" s="21"/>
      <c r="K516" s="21"/>
      <c r="L516" s="21"/>
      <c r="M516" s="21"/>
      <c r="N516" s="86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</row>
    <row r="517" ht="15.75" customHeight="1">
      <c r="A517" s="21"/>
      <c r="B517" s="21"/>
      <c r="C517" s="21"/>
      <c r="D517" s="21"/>
      <c r="E517" s="21"/>
      <c r="F517" s="21"/>
      <c r="G517" s="86"/>
      <c r="H517" s="21"/>
      <c r="I517" s="21"/>
      <c r="J517" s="21"/>
      <c r="K517" s="21"/>
      <c r="L517" s="21"/>
      <c r="M517" s="21"/>
      <c r="N517" s="86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</row>
    <row r="518" ht="15.75" customHeight="1">
      <c r="A518" s="21"/>
      <c r="B518" s="21"/>
      <c r="C518" s="21"/>
      <c r="D518" s="21"/>
      <c r="E518" s="21"/>
      <c r="F518" s="21"/>
      <c r="G518" s="86"/>
      <c r="H518" s="21"/>
      <c r="I518" s="21"/>
      <c r="J518" s="21"/>
      <c r="K518" s="21"/>
      <c r="L518" s="21"/>
      <c r="M518" s="21"/>
      <c r="N518" s="86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</row>
    <row r="519" ht="15.75" customHeight="1">
      <c r="A519" s="21"/>
      <c r="B519" s="21"/>
      <c r="C519" s="21"/>
      <c r="D519" s="21"/>
      <c r="E519" s="21"/>
      <c r="F519" s="21"/>
      <c r="G519" s="86"/>
      <c r="H519" s="21"/>
      <c r="I519" s="21"/>
      <c r="J519" s="21"/>
      <c r="K519" s="21"/>
      <c r="L519" s="21"/>
      <c r="M519" s="21"/>
      <c r="N519" s="86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</row>
    <row r="520" ht="15.75" customHeight="1">
      <c r="A520" s="21"/>
      <c r="B520" s="21"/>
      <c r="C520" s="21"/>
      <c r="D520" s="21"/>
      <c r="E520" s="21"/>
      <c r="F520" s="21"/>
      <c r="G520" s="86"/>
      <c r="H520" s="21"/>
      <c r="I520" s="21"/>
      <c r="J520" s="21"/>
      <c r="K520" s="21"/>
      <c r="L520" s="21"/>
      <c r="M520" s="21"/>
      <c r="N520" s="86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</row>
    <row r="521" ht="15.75" customHeight="1">
      <c r="A521" s="21"/>
      <c r="B521" s="21"/>
      <c r="C521" s="21"/>
      <c r="D521" s="21"/>
      <c r="E521" s="21"/>
      <c r="F521" s="21"/>
      <c r="G521" s="86"/>
      <c r="H521" s="21"/>
      <c r="I521" s="21"/>
      <c r="J521" s="21"/>
      <c r="K521" s="21"/>
      <c r="L521" s="21"/>
      <c r="M521" s="21"/>
      <c r="N521" s="86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</row>
    <row r="522" ht="15.75" customHeight="1">
      <c r="A522" s="21"/>
      <c r="B522" s="21"/>
      <c r="C522" s="21"/>
      <c r="D522" s="21"/>
      <c r="E522" s="21"/>
      <c r="F522" s="21"/>
      <c r="G522" s="86"/>
      <c r="H522" s="21"/>
      <c r="I522" s="21"/>
      <c r="J522" s="21"/>
      <c r="K522" s="21"/>
      <c r="L522" s="21"/>
      <c r="M522" s="21"/>
      <c r="N522" s="86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</row>
    <row r="523" ht="15.75" customHeight="1">
      <c r="A523" s="21"/>
      <c r="B523" s="21"/>
      <c r="C523" s="21"/>
      <c r="D523" s="21"/>
      <c r="E523" s="21"/>
      <c r="F523" s="21"/>
      <c r="G523" s="86"/>
      <c r="H523" s="21"/>
      <c r="I523" s="21"/>
      <c r="J523" s="21"/>
      <c r="K523" s="21"/>
      <c r="L523" s="21"/>
      <c r="M523" s="21"/>
      <c r="N523" s="86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</row>
    <row r="524" ht="15.75" customHeight="1">
      <c r="A524" s="21"/>
      <c r="B524" s="21"/>
      <c r="C524" s="21"/>
      <c r="D524" s="21"/>
      <c r="E524" s="21"/>
      <c r="F524" s="21"/>
      <c r="G524" s="86"/>
      <c r="H524" s="21"/>
      <c r="I524" s="21"/>
      <c r="J524" s="21"/>
      <c r="K524" s="21"/>
      <c r="L524" s="21"/>
      <c r="M524" s="21"/>
      <c r="N524" s="86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</row>
    <row r="525" ht="15.75" customHeight="1">
      <c r="A525" s="21"/>
      <c r="B525" s="21"/>
      <c r="C525" s="21"/>
      <c r="D525" s="21"/>
      <c r="E525" s="21"/>
      <c r="F525" s="21"/>
      <c r="G525" s="86"/>
      <c r="H525" s="21"/>
      <c r="I525" s="21"/>
      <c r="J525" s="21"/>
      <c r="K525" s="21"/>
      <c r="L525" s="21"/>
      <c r="M525" s="21"/>
      <c r="N525" s="86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</row>
    <row r="526" ht="15.75" customHeight="1">
      <c r="A526" s="21"/>
      <c r="B526" s="21"/>
      <c r="C526" s="21"/>
      <c r="D526" s="21"/>
      <c r="E526" s="21"/>
      <c r="F526" s="21"/>
      <c r="G526" s="86"/>
      <c r="H526" s="21"/>
      <c r="I526" s="21"/>
      <c r="J526" s="21"/>
      <c r="K526" s="21"/>
      <c r="L526" s="21"/>
      <c r="M526" s="21"/>
      <c r="N526" s="86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</row>
    <row r="527" ht="15.75" customHeight="1">
      <c r="A527" s="21"/>
      <c r="B527" s="21"/>
      <c r="C527" s="21"/>
      <c r="D527" s="21"/>
      <c r="E527" s="21"/>
      <c r="F527" s="21"/>
      <c r="G527" s="86"/>
      <c r="H527" s="21"/>
      <c r="I527" s="21"/>
      <c r="J527" s="21"/>
      <c r="K527" s="21"/>
      <c r="L527" s="21"/>
      <c r="M527" s="21"/>
      <c r="N527" s="86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</row>
    <row r="528" ht="15.75" customHeight="1">
      <c r="A528" s="21"/>
      <c r="B528" s="21"/>
      <c r="C528" s="21"/>
      <c r="D528" s="21"/>
      <c r="E528" s="21"/>
      <c r="F528" s="21"/>
      <c r="G528" s="86"/>
      <c r="H528" s="21"/>
      <c r="I528" s="21"/>
      <c r="J528" s="21"/>
      <c r="K528" s="21"/>
      <c r="L528" s="21"/>
      <c r="M528" s="21"/>
      <c r="N528" s="86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</row>
    <row r="529" ht="15.75" customHeight="1">
      <c r="A529" s="21"/>
      <c r="B529" s="21"/>
      <c r="C529" s="21"/>
      <c r="D529" s="21"/>
      <c r="E529" s="21"/>
      <c r="F529" s="21"/>
      <c r="G529" s="86"/>
      <c r="H529" s="21"/>
      <c r="I529" s="21"/>
      <c r="J529" s="21"/>
      <c r="K529" s="21"/>
      <c r="L529" s="21"/>
      <c r="M529" s="21"/>
      <c r="N529" s="86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</row>
    <row r="530" ht="15.75" customHeight="1">
      <c r="A530" s="21"/>
      <c r="B530" s="21"/>
      <c r="C530" s="21"/>
      <c r="D530" s="21"/>
      <c r="E530" s="21"/>
      <c r="F530" s="21"/>
      <c r="G530" s="86"/>
      <c r="H530" s="21"/>
      <c r="I530" s="21"/>
      <c r="J530" s="21"/>
      <c r="K530" s="21"/>
      <c r="L530" s="21"/>
      <c r="M530" s="21"/>
      <c r="N530" s="86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</row>
    <row r="531" ht="15.75" customHeight="1">
      <c r="A531" s="21"/>
      <c r="B531" s="21"/>
      <c r="C531" s="21"/>
      <c r="D531" s="21"/>
      <c r="E531" s="21"/>
      <c r="F531" s="21"/>
      <c r="G531" s="86"/>
      <c r="H531" s="21"/>
      <c r="I531" s="21"/>
      <c r="J531" s="21"/>
      <c r="K531" s="21"/>
      <c r="L531" s="21"/>
      <c r="M531" s="21"/>
      <c r="N531" s="86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</row>
    <row r="532" ht="15.75" customHeight="1">
      <c r="A532" s="21"/>
      <c r="B532" s="21"/>
      <c r="C532" s="21"/>
      <c r="D532" s="21"/>
      <c r="E532" s="21"/>
      <c r="F532" s="21"/>
      <c r="G532" s="86"/>
      <c r="H532" s="21"/>
      <c r="I532" s="21"/>
      <c r="J532" s="21"/>
      <c r="K532" s="21"/>
      <c r="L532" s="21"/>
      <c r="M532" s="21"/>
      <c r="N532" s="86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</row>
    <row r="533" ht="15.75" customHeight="1">
      <c r="A533" s="21"/>
      <c r="B533" s="21"/>
      <c r="C533" s="21"/>
      <c r="D533" s="21"/>
      <c r="E533" s="21"/>
      <c r="F533" s="21"/>
      <c r="G533" s="86"/>
      <c r="H533" s="21"/>
      <c r="I533" s="21"/>
      <c r="J533" s="21"/>
      <c r="K533" s="21"/>
      <c r="L533" s="21"/>
      <c r="M533" s="21"/>
      <c r="N533" s="86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</row>
    <row r="534" ht="15.75" customHeight="1">
      <c r="A534" s="21"/>
      <c r="B534" s="21"/>
      <c r="C534" s="21"/>
      <c r="D534" s="21"/>
      <c r="E534" s="21"/>
      <c r="F534" s="21"/>
      <c r="G534" s="86"/>
      <c r="H534" s="21"/>
      <c r="I534" s="21"/>
      <c r="J534" s="21"/>
      <c r="K534" s="21"/>
      <c r="L534" s="21"/>
      <c r="M534" s="21"/>
      <c r="N534" s="86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</row>
    <row r="535" ht="15.75" customHeight="1">
      <c r="A535" s="21"/>
      <c r="B535" s="21"/>
      <c r="C535" s="21"/>
      <c r="D535" s="21"/>
      <c r="E535" s="21"/>
      <c r="F535" s="21"/>
      <c r="G535" s="86"/>
      <c r="H535" s="21"/>
      <c r="I535" s="21"/>
      <c r="J535" s="21"/>
      <c r="K535" s="21"/>
      <c r="L535" s="21"/>
      <c r="M535" s="21"/>
      <c r="N535" s="86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</row>
    <row r="536" ht="15.75" customHeight="1">
      <c r="A536" s="21"/>
      <c r="B536" s="21"/>
      <c r="C536" s="21"/>
      <c r="D536" s="21"/>
      <c r="E536" s="21"/>
      <c r="F536" s="21"/>
      <c r="G536" s="86"/>
      <c r="H536" s="21"/>
      <c r="I536" s="21"/>
      <c r="J536" s="21"/>
      <c r="K536" s="21"/>
      <c r="L536" s="21"/>
      <c r="M536" s="21"/>
      <c r="N536" s="86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</row>
    <row r="537" ht="15.75" customHeight="1">
      <c r="A537" s="21"/>
      <c r="B537" s="21"/>
      <c r="C537" s="21"/>
      <c r="D537" s="21"/>
      <c r="E537" s="21"/>
      <c r="F537" s="21"/>
      <c r="G537" s="86"/>
      <c r="H537" s="21"/>
      <c r="I537" s="21"/>
      <c r="J537" s="21"/>
      <c r="K537" s="21"/>
      <c r="L537" s="21"/>
      <c r="M537" s="21"/>
      <c r="N537" s="86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</row>
    <row r="538" ht="15.75" customHeight="1">
      <c r="A538" s="21"/>
      <c r="B538" s="21"/>
      <c r="C538" s="21"/>
      <c r="D538" s="21"/>
      <c r="E538" s="21"/>
      <c r="F538" s="21"/>
      <c r="G538" s="86"/>
      <c r="H538" s="21"/>
      <c r="I538" s="21"/>
      <c r="J538" s="21"/>
      <c r="K538" s="21"/>
      <c r="L538" s="21"/>
      <c r="M538" s="21"/>
      <c r="N538" s="86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</row>
    <row r="539" ht="15.75" customHeight="1">
      <c r="A539" s="21"/>
      <c r="B539" s="21"/>
      <c r="C539" s="21"/>
      <c r="D539" s="21"/>
      <c r="E539" s="21"/>
      <c r="F539" s="21"/>
      <c r="G539" s="86"/>
      <c r="H539" s="21"/>
      <c r="I539" s="21"/>
      <c r="J539" s="21"/>
      <c r="K539" s="21"/>
      <c r="L539" s="21"/>
      <c r="M539" s="21"/>
      <c r="N539" s="86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</row>
    <row r="540" ht="15.75" customHeight="1">
      <c r="A540" s="21"/>
      <c r="B540" s="21"/>
      <c r="C540" s="21"/>
      <c r="D540" s="21"/>
      <c r="E540" s="21"/>
      <c r="F540" s="21"/>
      <c r="G540" s="86"/>
      <c r="H540" s="21"/>
      <c r="I540" s="21"/>
      <c r="J540" s="21"/>
      <c r="K540" s="21"/>
      <c r="L540" s="21"/>
      <c r="M540" s="21"/>
      <c r="N540" s="86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</row>
    <row r="541" ht="15.75" customHeight="1">
      <c r="A541" s="21"/>
      <c r="B541" s="21"/>
      <c r="C541" s="21"/>
      <c r="D541" s="21"/>
      <c r="E541" s="21"/>
      <c r="F541" s="21"/>
      <c r="G541" s="86"/>
      <c r="H541" s="21"/>
      <c r="I541" s="21"/>
      <c r="J541" s="21"/>
      <c r="K541" s="21"/>
      <c r="L541" s="21"/>
      <c r="M541" s="21"/>
      <c r="N541" s="86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</row>
    <row r="542" ht="15.75" customHeight="1">
      <c r="A542" s="21"/>
      <c r="B542" s="21"/>
      <c r="C542" s="21"/>
      <c r="D542" s="21"/>
      <c r="E542" s="21"/>
      <c r="F542" s="21"/>
      <c r="G542" s="86"/>
      <c r="H542" s="21"/>
      <c r="I542" s="21"/>
      <c r="J542" s="21"/>
      <c r="K542" s="21"/>
      <c r="L542" s="21"/>
      <c r="M542" s="21"/>
      <c r="N542" s="86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</row>
    <row r="543" ht="15.75" customHeight="1">
      <c r="A543" s="21"/>
      <c r="B543" s="21"/>
      <c r="C543" s="21"/>
      <c r="D543" s="21"/>
      <c r="E543" s="21"/>
      <c r="F543" s="21"/>
      <c r="G543" s="86"/>
      <c r="H543" s="21"/>
      <c r="I543" s="21"/>
      <c r="J543" s="21"/>
      <c r="K543" s="21"/>
      <c r="L543" s="21"/>
      <c r="M543" s="21"/>
      <c r="N543" s="86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</row>
    <row r="544" ht="15.75" customHeight="1">
      <c r="A544" s="21"/>
      <c r="B544" s="21"/>
      <c r="C544" s="21"/>
      <c r="D544" s="21"/>
      <c r="E544" s="21"/>
      <c r="F544" s="21"/>
      <c r="G544" s="86"/>
      <c r="H544" s="21"/>
      <c r="I544" s="21"/>
      <c r="J544" s="21"/>
      <c r="K544" s="21"/>
      <c r="L544" s="21"/>
      <c r="M544" s="21"/>
      <c r="N544" s="86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</row>
    <row r="545" ht="15.75" customHeight="1">
      <c r="A545" s="21"/>
      <c r="B545" s="21"/>
      <c r="C545" s="21"/>
      <c r="D545" s="21"/>
      <c r="E545" s="21"/>
      <c r="F545" s="21"/>
      <c r="G545" s="86"/>
      <c r="H545" s="21"/>
      <c r="I545" s="21"/>
      <c r="J545" s="21"/>
      <c r="K545" s="21"/>
      <c r="L545" s="21"/>
      <c r="M545" s="21"/>
      <c r="N545" s="86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</row>
    <row r="546" ht="15.75" customHeight="1">
      <c r="A546" s="21"/>
      <c r="B546" s="21"/>
      <c r="C546" s="21"/>
      <c r="D546" s="21"/>
      <c r="E546" s="21"/>
      <c r="F546" s="21"/>
      <c r="G546" s="86"/>
      <c r="H546" s="21"/>
      <c r="I546" s="21"/>
      <c r="J546" s="21"/>
      <c r="K546" s="21"/>
      <c r="L546" s="21"/>
      <c r="M546" s="21"/>
      <c r="N546" s="86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</row>
    <row r="547" ht="15.75" customHeight="1">
      <c r="A547" s="21"/>
      <c r="B547" s="21"/>
      <c r="C547" s="21"/>
      <c r="D547" s="21"/>
      <c r="E547" s="21"/>
      <c r="F547" s="21"/>
      <c r="G547" s="86"/>
      <c r="H547" s="21"/>
      <c r="I547" s="21"/>
      <c r="J547" s="21"/>
      <c r="K547" s="21"/>
      <c r="L547" s="21"/>
      <c r="M547" s="21"/>
      <c r="N547" s="86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</row>
    <row r="548" ht="15.75" customHeight="1">
      <c r="A548" s="21"/>
      <c r="B548" s="21"/>
      <c r="C548" s="21"/>
      <c r="D548" s="21"/>
      <c r="E548" s="21"/>
      <c r="F548" s="21"/>
      <c r="G548" s="86"/>
      <c r="H548" s="21"/>
      <c r="I548" s="21"/>
      <c r="J548" s="21"/>
      <c r="K548" s="21"/>
      <c r="L548" s="21"/>
      <c r="M548" s="21"/>
      <c r="N548" s="86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</row>
    <row r="549" ht="15.75" customHeight="1">
      <c r="A549" s="21"/>
      <c r="B549" s="21"/>
      <c r="C549" s="21"/>
      <c r="D549" s="21"/>
      <c r="E549" s="21"/>
      <c r="F549" s="21"/>
      <c r="G549" s="86"/>
      <c r="H549" s="21"/>
      <c r="I549" s="21"/>
      <c r="J549" s="21"/>
      <c r="K549" s="21"/>
      <c r="L549" s="21"/>
      <c r="M549" s="21"/>
      <c r="N549" s="86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</row>
    <row r="550" ht="15.75" customHeight="1">
      <c r="A550" s="21"/>
      <c r="B550" s="21"/>
      <c r="C550" s="21"/>
      <c r="D550" s="21"/>
      <c r="E550" s="21"/>
      <c r="F550" s="21"/>
      <c r="G550" s="86"/>
      <c r="H550" s="21"/>
      <c r="I550" s="21"/>
      <c r="J550" s="21"/>
      <c r="K550" s="21"/>
      <c r="L550" s="21"/>
      <c r="M550" s="21"/>
      <c r="N550" s="86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</row>
    <row r="551" ht="15.75" customHeight="1">
      <c r="A551" s="21"/>
      <c r="B551" s="21"/>
      <c r="C551" s="21"/>
      <c r="D551" s="21"/>
      <c r="E551" s="21"/>
      <c r="F551" s="21"/>
      <c r="G551" s="86"/>
      <c r="H551" s="21"/>
      <c r="I551" s="21"/>
      <c r="J551" s="21"/>
      <c r="K551" s="21"/>
      <c r="L551" s="21"/>
      <c r="M551" s="21"/>
      <c r="N551" s="86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</row>
    <row r="552" ht="15.75" customHeight="1">
      <c r="A552" s="21"/>
      <c r="B552" s="21"/>
      <c r="C552" s="21"/>
      <c r="D552" s="21"/>
      <c r="E552" s="21"/>
      <c r="F552" s="21"/>
      <c r="G552" s="86"/>
      <c r="H552" s="21"/>
      <c r="I552" s="21"/>
      <c r="J552" s="21"/>
      <c r="K552" s="21"/>
      <c r="L552" s="21"/>
      <c r="M552" s="21"/>
      <c r="N552" s="86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</row>
    <row r="553" ht="15.75" customHeight="1">
      <c r="A553" s="21"/>
      <c r="B553" s="21"/>
      <c r="C553" s="21"/>
      <c r="D553" s="21"/>
      <c r="E553" s="21"/>
      <c r="F553" s="21"/>
      <c r="G553" s="86"/>
      <c r="H553" s="21"/>
      <c r="I553" s="21"/>
      <c r="J553" s="21"/>
      <c r="K553" s="21"/>
      <c r="L553" s="21"/>
      <c r="M553" s="21"/>
      <c r="N553" s="86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</row>
    <row r="554" ht="15.75" customHeight="1">
      <c r="A554" s="21"/>
      <c r="B554" s="21"/>
      <c r="C554" s="21"/>
      <c r="D554" s="21"/>
      <c r="E554" s="21"/>
      <c r="F554" s="21"/>
      <c r="G554" s="86"/>
      <c r="H554" s="21"/>
      <c r="I554" s="21"/>
      <c r="J554" s="21"/>
      <c r="K554" s="21"/>
      <c r="L554" s="21"/>
      <c r="M554" s="21"/>
      <c r="N554" s="86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</row>
    <row r="555" ht="15.75" customHeight="1">
      <c r="A555" s="21"/>
      <c r="B555" s="21"/>
      <c r="C555" s="21"/>
      <c r="D555" s="21"/>
      <c r="E555" s="21"/>
      <c r="F555" s="21"/>
      <c r="G555" s="86"/>
      <c r="H555" s="21"/>
      <c r="I555" s="21"/>
      <c r="J555" s="21"/>
      <c r="K555" s="21"/>
      <c r="L555" s="21"/>
      <c r="M555" s="21"/>
      <c r="N555" s="86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</row>
    <row r="556" ht="15.75" customHeight="1">
      <c r="A556" s="21"/>
      <c r="B556" s="21"/>
      <c r="C556" s="21"/>
      <c r="D556" s="21"/>
      <c r="E556" s="21"/>
      <c r="F556" s="21"/>
      <c r="G556" s="86"/>
      <c r="H556" s="21"/>
      <c r="I556" s="21"/>
      <c r="J556" s="21"/>
      <c r="K556" s="21"/>
      <c r="L556" s="21"/>
      <c r="M556" s="21"/>
      <c r="N556" s="86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</row>
    <row r="557" ht="15.75" customHeight="1">
      <c r="A557" s="21"/>
      <c r="B557" s="21"/>
      <c r="C557" s="21"/>
      <c r="D557" s="21"/>
      <c r="E557" s="21"/>
      <c r="F557" s="21"/>
      <c r="G557" s="86"/>
      <c r="H557" s="21"/>
      <c r="I557" s="21"/>
      <c r="J557" s="21"/>
      <c r="K557" s="21"/>
      <c r="L557" s="21"/>
      <c r="M557" s="21"/>
      <c r="N557" s="86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</row>
    <row r="558" ht="15.75" customHeight="1">
      <c r="A558" s="21"/>
      <c r="B558" s="21"/>
      <c r="C558" s="21"/>
      <c r="D558" s="21"/>
      <c r="E558" s="21"/>
      <c r="F558" s="21"/>
      <c r="G558" s="86"/>
      <c r="H558" s="21"/>
      <c r="I558" s="21"/>
      <c r="J558" s="21"/>
      <c r="K558" s="21"/>
      <c r="L558" s="21"/>
      <c r="M558" s="21"/>
      <c r="N558" s="86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</row>
    <row r="559" ht="15.75" customHeight="1">
      <c r="A559" s="21"/>
      <c r="B559" s="21"/>
      <c r="C559" s="21"/>
      <c r="D559" s="21"/>
      <c r="E559" s="21"/>
      <c r="F559" s="21"/>
      <c r="G559" s="86"/>
      <c r="H559" s="21"/>
      <c r="I559" s="21"/>
      <c r="J559" s="21"/>
      <c r="K559" s="21"/>
      <c r="L559" s="21"/>
      <c r="M559" s="21"/>
      <c r="N559" s="86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</row>
    <row r="560" ht="15.75" customHeight="1">
      <c r="A560" s="21"/>
      <c r="B560" s="21"/>
      <c r="C560" s="21"/>
      <c r="D560" s="21"/>
      <c r="E560" s="21"/>
      <c r="F560" s="21"/>
      <c r="G560" s="86"/>
      <c r="H560" s="21"/>
      <c r="I560" s="21"/>
      <c r="J560" s="21"/>
      <c r="K560" s="21"/>
      <c r="L560" s="21"/>
      <c r="M560" s="21"/>
      <c r="N560" s="86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</row>
    <row r="561" ht="15.75" customHeight="1">
      <c r="A561" s="21"/>
      <c r="B561" s="21"/>
      <c r="C561" s="21"/>
      <c r="D561" s="21"/>
      <c r="E561" s="21"/>
      <c r="F561" s="21"/>
      <c r="G561" s="86"/>
      <c r="H561" s="21"/>
      <c r="I561" s="21"/>
      <c r="J561" s="21"/>
      <c r="K561" s="21"/>
      <c r="L561" s="21"/>
      <c r="M561" s="21"/>
      <c r="N561" s="86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</row>
    <row r="562" ht="15.75" customHeight="1">
      <c r="A562" s="21"/>
      <c r="B562" s="21"/>
      <c r="C562" s="21"/>
      <c r="D562" s="21"/>
      <c r="E562" s="21"/>
      <c r="F562" s="21"/>
      <c r="G562" s="86"/>
      <c r="H562" s="21"/>
      <c r="I562" s="21"/>
      <c r="J562" s="21"/>
      <c r="K562" s="21"/>
      <c r="L562" s="21"/>
      <c r="M562" s="21"/>
      <c r="N562" s="86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</row>
    <row r="563" ht="15.75" customHeight="1">
      <c r="A563" s="21"/>
      <c r="B563" s="21"/>
      <c r="C563" s="21"/>
      <c r="D563" s="21"/>
      <c r="E563" s="21"/>
      <c r="F563" s="21"/>
      <c r="G563" s="86"/>
      <c r="H563" s="21"/>
      <c r="I563" s="21"/>
      <c r="J563" s="21"/>
      <c r="K563" s="21"/>
      <c r="L563" s="21"/>
      <c r="M563" s="21"/>
      <c r="N563" s="86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</row>
    <row r="564" ht="15.75" customHeight="1">
      <c r="A564" s="21"/>
      <c r="B564" s="21"/>
      <c r="C564" s="21"/>
      <c r="D564" s="21"/>
      <c r="E564" s="21"/>
      <c r="F564" s="21"/>
      <c r="G564" s="86"/>
      <c r="H564" s="21"/>
      <c r="I564" s="21"/>
      <c r="J564" s="21"/>
      <c r="K564" s="21"/>
      <c r="L564" s="21"/>
      <c r="M564" s="21"/>
      <c r="N564" s="86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</row>
    <row r="565" ht="15.75" customHeight="1">
      <c r="A565" s="21"/>
      <c r="B565" s="21"/>
      <c r="C565" s="21"/>
      <c r="D565" s="21"/>
      <c r="E565" s="21"/>
      <c r="F565" s="21"/>
      <c r="G565" s="86"/>
      <c r="H565" s="21"/>
      <c r="I565" s="21"/>
      <c r="J565" s="21"/>
      <c r="K565" s="21"/>
      <c r="L565" s="21"/>
      <c r="M565" s="21"/>
      <c r="N565" s="86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</row>
    <row r="566" ht="15.75" customHeight="1">
      <c r="A566" s="21"/>
      <c r="B566" s="21"/>
      <c r="C566" s="21"/>
      <c r="D566" s="21"/>
      <c r="E566" s="21"/>
      <c r="F566" s="21"/>
      <c r="G566" s="86"/>
      <c r="H566" s="21"/>
      <c r="I566" s="21"/>
      <c r="J566" s="21"/>
      <c r="K566" s="21"/>
      <c r="L566" s="21"/>
      <c r="M566" s="21"/>
      <c r="N566" s="86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</row>
    <row r="567" ht="15.75" customHeight="1">
      <c r="A567" s="21"/>
      <c r="B567" s="21"/>
      <c r="C567" s="21"/>
      <c r="D567" s="21"/>
      <c r="E567" s="21"/>
      <c r="F567" s="21"/>
      <c r="G567" s="86"/>
      <c r="H567" s="21"/>
      <c r="I567" s="21"/>
      <c r="J567" s="21"/>
      <c r="K567" s="21"/>
      <c r="L567" s="21"/>
      <c r="M567" s="21"/>
      <c r="N567" s="86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</row>
    <row r="568" ht="15.75" customHeight="1">
      <c r="A568" s="21"/>
      <c r="B568" s="21"/>
      <c r="C568" s="21"/>
      <c r="D568" s="21"/>
      <c r="E568" s="21"/>
      <c r="F568" s="21"/>
      <c r="G568" s="86"/>
      <c r="H568" s="21"/>
      <c r="I568" s="21"/>
      <c r="J568" s="21"/>
      <c r="K568" s="21"/>
      <c r="L568" s="21"/>
      <c r="M568" s="21"/>
      <c r="N568" s="86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</row>
    <row r="569" ht="15.75" customHeight="1">
      <c r="A569" s="21"/>
      <c r="B569" s="21"/>
      <c r="C569" s="21"/>
      <c r="D569" s="21"/>
      <c r="E569" s="21"/>
      <c r="F569" s="21"/>
      <c r="G569" s="86"/>
      <c r="H569" s="21"/>
      <c r="I569" s="21"/>
      <c r="J569" s="21"/>
      <c r="K569" s="21"/>
      <c r="L569" s="21"/>
      <c r="M569" s="21"/>
      <c r="N569" s="86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</row>
    <row r="570" ht="15.75" customHeight="1">
      <c r="A570" s="21"/>
      <c r="B570" s="21"/>
      <c r="C570" s="21"/>
      <c r="D570" s="21"/>
      <c r="E570" s="21"/>
      <c r="F570" s="21"/>
      <c r="G570" s="86"/>
      <c r="H570" s="21"/>
      <c r="I570" s="21"/>
      <c r="J570" s="21"/>
      <c r="K570" s="21"/>
      <c r="L570" s="21"/>
      <c r="M570" s="21"/>
      <c r="N570" s="86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</row>
    <row r="571" ht="15.75" customHeight="1">
      <c r="A571" s="21"/>
      <c r="B571" s="21"/>
      <c r="C571" s="21"/>
      <c r="D571" s="21"/>
      <c r="E571" s="21"/>
      <c r="F571" s="21"/>
      <c r="G571" s="86"/>
      <c r="H571" s="21"/>
      <c r="I571" s="21"/>
      <c r="J571" s="21"/>
      <c r="K571" s="21"/>
      <c r="L571" s="21"/>
      <c r="M571" s="21"/>
      <c r="N571" s="86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</row>
    <row r="572" ht="15.75" customHeight="1">
      <c r="A572" s="21"/>
      <c r="B572" s="21"/>
      <c r="C572" s="21"/>
      <c r="D572" s="21"/>
      <c r="E572" s="21"/>
      <c r="F572" s="21"/>
      <c r="G572" s="86"/>
      <c r="H572" s="21"/>
      <c r="I572" s="21"/>
      <c r="J572" s="21"/>
      <c r="K572" s="21"/>
      <c r="L572" s="21"/>
      <c r="M572" s="21"/>
      <c r="N572" s="86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</row>
    <row r="573" ht="15.75" customHeight="1">
      <c r="A573" s="21"/>
      <c r="B573" s="21"/>
      <c r="C573" s="21"/>
      <c r="D573" s="21"/>
      <c r="E573" s="21"/>
      <c r="F573" s="21"/>
      <c r="G573" s="86"/>
      <c r="H573" s="21"/>
      <c r="I573" s="21"/>
      <c r="J573" s="21"/>
      <c r="K573" s="21"/>
      <c r="L573" s="21"/>
      <c r="M573" s="21"/>
      <c r="N573" s="86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</row>
    <row r="574" ht="15.75" customHeight="1">
      <c r="A574" s="21"/>
      <c r="B574" s="21"/>
      <c r="C574" s="21"/>
      <c r="D574" s="21"/>
      <c r="E574" s="21"/>
      <c r="F574" s="21"/>
      <c r="G574" s="86"/>
      <c r="H574" s="21"/>
      <c r="I574" s="21"/>
      <c r="J574" s="21"/>
      <c r="K574" s="21"/>
      <c r="L574" s="21"/>
      <c r="M574" s="21"/>
      <c r="N574" s="86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</row>
    <row r="575" ht="15.75" customHeight="1">
      <c r="A575" s="21"/>
      <c r="B575" s="21"/>
      <c r="C575" s="21"/>
      <c r="D575" s="21"/>
      <c r="E575" s="21"/>
      <c r="F575" s="21"/>
      <c r="G575" s="86"/>
      <c r="H575" s="21"/>
      <c r="I575" s="21"/>
      <c r="J575" s="21"/>
      <c r="K575" s="21"/>
      <c r="L575" s="21"/>
      <c r="M575" s="21"/>
      <c r="N575" s="86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</row>
    <row r="576" ht="15.75" customHeight="1">
      <c r="A576" s="21"/>
      <c r="B576" s="21"/>
      <c r="C576" s="21"/>
      <c r="D576" s="21"/>
      <c r="E576" s="21"/>
      <c r="F576" s="21"/>
      <c r="G576" s="86"/>
      <c r="H576" s="21"/>
      <c r="I576" s="21"/>
      <c r="J576" s="21"/>
      <c r="K576" s="21"/>
      <c r="L576" s="21"/>
      <c r="M576" s="21"/>
      <c r="N576" s="86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</row>
    <row r="577" ht="15.75" customHeight="1">
      <c r="A577" s="21"/>
      <c r="B577" s="21"/>
      <c r="C577" s="21"/>
      <c r="D577" s="21"/>
      <c r="E577" s="21"/>
      <c r="F577" s="21"/>
      <c r="G577" s="86"/>
      <c r="H577" s="21"/>
      <c r="I577" s="21"/>
      <c r="J577" s="21"/>
      <c r="K577" s="21"/>
      <c r="L577" s="21"/>
      <c r="M577" s="21"/>
      <c r="N577" s="86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</row>
    <row r="578" ht="15.75" customHeight="1">
      <c r="A578" s="21"/>
      <c r="B578" s="21"/>
      <c r="C578" s="21"/>
      <c r="D578" s="21"/>
      <c r="E578" s="21"/>
      <c r="F578" s="21"/>
      <c r="G578" s="86"/>
      <c r="H578" s="21"/>
      <c r="I578" s="21"/>
      <c r="J578" s="21"/>
      <c r="K578" s="21"/>
      <c r="L578" s="21"/>
      <c r="M578" s="21"/>
      <c r="N578" s="86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</row>
    <row r="579" ht="15.75" customHeight="1">
      <c r="A579" s="21"/>
      <c r="B579" s="21"/>
      <c r="C579" s="21"/>
      <c r="D579" s="21"/>
      <c r="E579" s="21"/>
      <c r="F579" s="21"/>
      <c r="G579" s="86"/>
      <c r="H579" s="21"/>
      <c r="I579" s="21"/>
      <c r="J579" s="21"/>
      <c r="K579" s="21"/>
      <c r="L579" s="21"/>
      <c r="M579" s="21"/>
      <c r="N579" s="86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</row>
    <row r="580" ht="15.75" customHeight="1">
      <c r="A580" s="21"/>
      <c r="B580" s="21"/>
      <c r="C580" s="21"/>
      <c r="D580" s="21"/>
      <c r="E580" s="21"/>
      <c r="F580" s="21"/>
      <c r="G580" s="86"/>
      <c r="H580" s="21"/>
      <c r="I580" s="21"/>
      <c r="J580" s="21"/>
      <c r="K580" s="21"/>
      <c r="L580" s="21"/>
      <c r="M580" s="21"/>
      <c r="N580" s="86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</row>
    <row r="581" ht="15.75" customHeight="1">
      <c r="A581" s="21"/>
      <c r="B581" s="21"/>
      <c r="C581" s="21"/>
      <c r="D581" s="21"/>
      <c r="E581" s="21"/>
      <c r="F581" s="21"/>
      <c r="G581" s="86"/>
      <c r="H581" s="21"/>
      <c r="I581" s="21"/>
      <c r="J581" s="21"/>
      <c r="K581" s="21"/>
      <c r="L581" s="21"/>
      <c r="M581" s="21"/>
      <c r="N581" s="86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</row>
    <row r="582" ht="15.75" customHeight="1">
      <c r="A582" s="21"/>
      <c r="B582" s="21"/>
      <c r="C582" s="21"/>
      <c r="D582" s="21"/>
      <c r="E582" s="21"/>
      <c r="F582" s="21"/>
      <c r="G582" s="86"/>
      <c r="H582" s="21"/>
      <c r="I582" s="21"/>
      <c r="J582" s="21"/>
      <c r="K582" s="21"/>
      <c r="L582" s="21"/>
      <c r="M582" s="21"/>
      <c r="N582" s="86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</row>
    <row r="583" ht="15.75" customHeight="1">
      <c r="A583" s="21"/>
      <c r="B583" s="21"/>
      <c r="C583" s="21"/>
      <c r="D583" s="21"/>
      <c r="E583" s="21"/>
      <c r="F583" s="21"/>
      <c r="G583" s="86"/>
      <c r="H583" s="21"/>
      <c r="I583" s="21"/>
      <c r="J583" s="21"/>
      <c r="K583" s="21"/>
      <c r="L583" s="21"/>
      <c r="M583" s="21"/>
      <c r="N583" s="86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</row>
    <row r="584" ht="15.75" customHeight="1">
      <c r="A584" s="21"/>
      <c r="B584" s="21"/>
      <c r="C584" s="21"/>
      <c r="D584" s="21"/>
      <c r="E584" s="21"/>
      <c r="F584" s="21"/>
      <c r="G584" s="86"/>
      <c r="H584" s="21"/>
      <c r="I584" s="21"/>
      <c r="J584" s="21"/>
      <c r="K584" s="21"/>
      <c r="L584" s="21"/>
      <c r="M584" s="21"/>
      <c r="N584" s="86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</row>
    <row r="585" ht="15.75" customHeight="1">
      <c r="A585" s="21"/>
      <c r="B585" s="21"/>
      <c r="C585" s="21"/>
      <c r="D585" s="21"/>
      <c r="E585" s="21"/>
      <c r="F585" s="21"/>
      <c r="G585" s="86"/>
      <c r="H585" s="21"/>
      <c r="I585" s="21"/>
      <c r="J585" s="21"/>
      <c r="K585" s="21"/>
      <c r="L585" s="21"/>
      <c r="M585" s="21"/>
      <c r="N585" s="86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</row>
    <row r="586" ht="15.75" customHeight="1">
      <c r="A586" s="21"/>
      <c r="B586" s="21"/>
      <c r="C586" s="21"/>
      <c r="D586" s="21"/>
      <c r="E586" s="21"/>
      <c r="F586" s="21"/>
      <c r="G586" s="86"/>
      <c r="H586" s="21"/>
      <c r="I586" s="21"/>
      <c r="J586" s="21"/>
      <c r="K586" s="21"/>
      <c r="L586" s="21"/>
      <c r="M586" s="21"/>
      <c r="N586" s="86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</row>
    <row r="587" ht="15.75" customHeight="1">
      <c r="A587" s="21"/>
      <c r="B587" s="21"/>
      <c r="C587" s="21"/>
      <c r="D587" s="21"/>
      <c r="E587" s="21"/>
      <c r="F587" s="21"/>
      <c r="G587" s="86"/>
      <c r="H587" s="21"/>
      <c r="I587" s="21"/>
      <c r="J587" s="21"/>
      <c r="K587" s="21"/>
      <c r="L587" s="21"/>
      <c r="M587" s="21"/>
      <c r="N587" s="86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</row>
    <row r="588" ht="15.75" customHeight="1">
      <c r="A588" s="21"/>
      <c r="B588" s="21"/>
      <c r="C588" s="21"/>
      <c r="D588" s="21"/>
      <c r="E588" s="21"/>
      <c r="F588" s="21"/>
      <c r="G588" s="86"/>
      <c r="H588" s="21"/>
      <c r="I588" s="21"/>
      <c r="J588" s="21"/>
      <c r="K588" s="21"/>
      <c r="L588" s="21"/>
      <c r="M588" s="21"/>
      <c r="N588" s="86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</row>
    <row r="589" ht="15.75" customHeight="1">
      <c r="A589" s="21"/>
      <c r="B589" s="21"/>
      <c r="C589" s="21"/>
      <c r="D589" s="21"/>
      <c r="E589" s="21"/>
      <c r="F589" s="21"/>
      <c r="G589" s="86"/>
      <c r="H589" s="21"/>
      <c r="I589" s="21"/>
      <c r="J589" s="21"/>
      <c r="K589" s="21"/>
      <c r="L589" s="21"/>
      <c r="M589" s="21"/>
      <c r="N589" s="86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</row>
    <row r="590" ht="15.75" customHeight="1">
      <c r="A590" s="21"/>
      <c r="B590" s="21"/>
      <c r="C590" s="21"/>
      <c r="D590" s="21"/>
      <c r="E590" s="21"/>
      <c r="F590" s="21"/>
      <c r="G590" s="86"/>
      <c r="H590" s="21"/>
      <c r="I590" s="21"/>
      <c r="J590" s="21"/>
      <c r="K590" s="21"/>
      <c r="L590" s="21"/>
      <c r="M590" s="21"/>
      <c r="N590" s="86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</row>
    <row r="591" ht="15.75" customHeight="1">
      <c r="A591" s="21"/>
      <c r="B591" s="21"/>
      <c r="C591" s="21"/>
      <c r="D591" s="21"/>
      <c r="E591" s="21"/>
      <c r="F591" s="21"/>
      <c r="G591" s="86"/>
      <c r="H591" s="21"/>
      <c r="I591" s="21"/>
      <c r="J591" s="21"/>
      <c r="K591" s="21"/>
      <c r="L591" s="21"/>
      <c r="M591" s="21"/>
      <c r="N591" s="86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</row>
    <row r="592" ht="15.75" customHeight="1">
      <c r="A592" s="21"/>
      <c r="B592" s="21"/>
      <c r="C592" s="21"/>
      <c r="D592" s="21"/>
      <c r="E592" s="21"/>
      <c r="F592" s="21"/>
      <c r="G592" s="86"/>
      <c r="H592" s="21"/>
      <c r="I592" s="21"/>
      <c r="J592" s="21"/>
      <c r="K592" s="21"/>
      <c r="L592" s="21"/>
      <c r="M592" s="21"/>
      <c r="N592" s="86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</row>
    <row r="593" ht="15.75" customHeight="1">
      <c r="A593" s="21"/>
      <c r="B593" s="21"/>
      <c r="C593" s="21"/>
      <c r="D593" s="21"/>
      <c r="E593" s="21"/>
      <c r="F593" s="21"/>
      <c r="G593" s="86"/>
      <c r="H593" s="21"/>
      <c r="I593" s="21"/>
      <c r="J593" s="21"/>
      <c r="K593" s="21"/>
      <c r="L593" s="21"/>
      <c r="M593" s="21"/>
      <c r="N593" s="86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</row>
    <row r="594" ht="15.75" customHeight="1">
      <c r="A594" s="21"/>
      <c r="B594" s="21"/>
      <c r="C594" s="21"/>
      <c r="D594" s="21"/>
      <c r="E594" s="21"/>
      <c r="F594" s="21"/>
      <c r="G594" s="86"/>
      <c r="H594" s="21"/>
      <c r="I594" s="21"/>
      <c r="J594" s="21"/>
      <c r="K594" s="21"/>
      <c r="L594" s="21"/>
      <c r="M594" s="21"/>
      <c r="N594" s="86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</row>
    <row r="595" ht="15.75" customHeight="1">
      <c r="A595" s="21"/>
      <c r="B595" s="21"/>
      <c r="C595" s="21"/>
      <c r="D595" s="21"/>
      <c r="E595" s="21"/>
      <c r="F595" s="21"/>
      <c r="G595" s="86"/>
      <c r="H595" s="21"/>
      <c r="I595" s="21"/>
      <c r="J595" s="21"/>
      <c r="K595" s="21"/>
      <c r="L595" s="21"/>
      <c r="M595" s="21"/>
      <c r="N595" s="86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</row>
    <row r="596" ht="15.75" customHeight="1">
      <c r="A596" s="21"/>
      <c r="B596" s="21"/>
      <c r="C596" s="21"/>
      <c r="D596" s="21"/>
      <c r="E596" s="21"/>
      <c r="F596" s="21"/>
      <c r="G596" s="86"/>
      <c r="H596" s="21"/>
      <c r="I596" s="21"/>
      <c r="J596" s="21"/>
      <c r="K596" s="21"/>
      <c r="L596" s="21"/>
      <c r="M596" s="21"/>
      <c r="N596" s="86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</row>
    <row r="597" ht="15.75" customHeight="1">
      <c r="A597" s="21"/>
      <c r="B597" s="21"/>
      <c r="C597" s="21"/>
      <c r="D597" s="21"/>
      <c r="E597" s="21"/>
      <c r="F597" s="21"/>
      <c r="G597" s="86"/>
      <c r="H597" s="21"/>
      <c r="I597" s="21"/>
      <c r="J597" s="21"/>
      <c r="K597" s="21"/>
      <c r="L597" s="21"/>
      <c r="M597" s="21"/>
      <c r="N597" s="86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</row>
    <row r="598" ht="15.75" customHeight="1">
      <c r="A598" s="21"/>
      <c r="B598" s="21"/>
      <c r="C598" s="21"/>
      <c r="D598" s="21"/>
      <c r="E598" s="21"/>
      <c r="F598" s="21"/>
      <c r="G598" s="86"/>
      <c r="H598" s="21"/>
      <c r="I598" s="21"/>
      <c r="J598" s="21"/>
      <c r="K598" s="21"/>
      <c r="L598" s="21"/>
      <c r="M598" s="21"/>
      <c r="N598" s="86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</row>
    <row r="599" ht="15.75" customHeight="1">
      <c r="A599" s="21"/>
      <c r="B599" s="21"/>
      <c r="C599" s="21"/>
      <c r="D599" s="21"/>
      <c r="E599" s="21"/>
      <c r="F599" s="21"/>
      <c r="G599" s="86"/>
      <c r="H599" s="21"/>
      <c r="I599" s="21"/>
      <c r="J599" s="21"/>
      <c r="K599" s="21"/>
      <c r="L599" s="21"/>
      <c r="M599" s="21"/>
      <c r="N599" s="86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</row>
    <row r="600" ht="15.75" customHeight="1">
      <c r="A600" s="21"/>
      <c r="B600" s="21"/>
      <c r="C600" s="21"/>
      <c r="D600" s="21"/>
      <c r="E600" s="21"/>
      <c r="F600" s="21"/>
      <c r="G600" s="86"/>
      <c r="H600" s="21"/>
      <c r="I600" s="21"/>
      <c r="J600" s="21"/>
      <c r="K600" s="21"/>
      <c r="L600" s="21"/>
      <c r="M600" s="21"/>
      <c r="N600" s="86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</row>
    <row r="601" ht="15.75" customHeight="1">
      <c r="A601" s="21"/>
      <c r="B601" s="21"/>
      <c r="C601" s="21"/>
      <c r="D601" s="21"/>
      <c r="E601" s="21"/>
      <c r="F601" s="21"/>
      <c r="G601" s="86"/>
      <c r="H601" s="21"/>
      <c r="I601" s="21"/>
      <c r="J601" s="21"/>
      <c r="K601" s="21"/>
      <c r="L601" s="21"/>
      <c r="M601" s="21"/>
      <c r="N601" s="86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</row>
    <row r="602" ht="15.75" customHeight="1">
      <c r="A602" s="21"/>
      <c r="B602" s="21"/>
      <c r="C602" s="21"/>
      <c r="D602" s="21"/>
      <c r="E602" s="21"/>
      <c r="F602" s="21"/>
      <c r="G602" s="86"/>
      <c r="H602" s="21"/>
      <c r="I602" s="21"/>
      <c r="J602" s="21"/>
      <c r="K602" s="21"/>
      <c r="L602" s="21"/>
      <c r="M602" s="21"/>
      <c r="N602" s="86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</row>
    <row r="603" ht="15.75" customHeight="1">
      <c r="A603" s="21"/>
      <c r="B603" s="21"/>
      <c r="C603" s="21"/>
      <c r="D603" s="21"/>
      <c r="E603" s="21"/>
      <c r="F603" s="21"/>
      <c r="G603" s="86"/>
      <c r="H603" s="21"/>
      <c r="I603" s="21"/>
      <c r="J603" s="21"/>
      <c r="K603" s="21"/>
      <c r="L603" s="21"/>
      <c r="M603" s="21"/>
      <c r="N603" s="86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</row>
    <row r="604" ht="15.75" customHeight="1">
      <c r="A604" s="21"/>
      <c r="B604" s="21"/>
      <c r="C604" s="21"/>
      <c r="D604" s="21"/>
      <c r="E604" s="21"/>
      <c r="F604" s="21"/>
      <c r="G604" s="86"/>
      <c r="H604" s="21"/>
      <c r="I604" s="21"/>
      <c r="J604" s="21"/>
      <c r="K604" s="21"/>
      <c r="L604" s="21"/>
      <c r="M604" s="21"/>
      <c r="N604" s="86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</row>
    <row r="605" ht="15.75" customHeight="1">
      <c r="A605" s="21"/>
      <c r="B605" s="21"/>
      <c r="C605" s="21"/>
      <c r="D605" s="21"/>
      <c r="E605" s="21"/>
      <c r="F605" s="21"/>
      <c r="G605" s="86"/>
      <c r="H605" s="21"/>
      <c r="I605" s="21"/>
      <c r="J605" s="21"/>
      <c r="K605" s="21"/>
      <c r="L605" s="21"/>
      <c r="M605" s="21"/>
      <c r="N605" s="86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</row>
    <row r="606" ht="15.75" customHeight="1">
      <c r="A606" s="21"/>
      <c r="B606" s="21"/>
      <c r="C606" s="21"/>
      <c r="D606" s="21"/>
      <c r="E606" s="21"/>
      <c r="F606" s="21"/>
      <c r="G606" s="86"/>
      <c r="H606" s="21"/>
      <c r="I606" s="21"/>
      <c r="J606" s="21"/>
      <c r="K606" s="21"/>
      <c r="L606" s="21"/>
      <c r="M606" s="21"/>
      <c r="N606" s="86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</row>
    <row r="607" ht="15.75" customHeight="1">
      <c r="A607" s="21"/>
      <c r="B607" s="21"/>
      <c r="C607" s="21"/>
      <c r="D607" s="21"/>
      <c r="E607" s="21"/>
      <c r="F607" s="21"/>
      <c r="G607" s="86"/>
      <c r="H607" s="21"/>
      <c r="I607" s="21"/>
      <c r="J607" s="21"/>
      <c r="K607" s="21"/>
      <c r="L607" s="21"/>
      <c r="M607" s="21"/>
      <c r="N607" s="86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</row>
    <row r="608" ht="15.75" customHeight="1">
      <c r="A608" s="21"/>
      <c r="B608" s="21"/>
      <c r="C608" s="21"/>
      <c r="D608" s="21"/>
      <c r="E608" s="21"/>
      <c r="F608" s="21"/>
      <c r="G608" s="86"/>
      <c r="H608" s="21"/>
      <c r="I608" s="21"/>
      <c r="J608" s="21"/>
      <c r="K608" s="21"/>
      <c r="L608" s="21"/>
      <c r="M608" s="21"/>
      <c r="N608" s="86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</row>
    <row r="609" ht="15.75" customHeight="1">
      <c r="A609" s="21"/>
      <c r="B609" s="21"/>
      <c r="C609" s="21"/>
      <c r="D609" s="21"/>
      <c r="E609" s="21"/>
      <c r="F609" s="21"/>
      <c r="G609" s="86"/>
      <c r="H609" s="21"/>
      <c r="I609" s="21"/>
      <c r="J609" s="21"/>
      <c r="K609" s="21"/>
      <c r="L609" s="21"/>
      <c r="M609" s="21"/>
      <c r="N609" s="86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</row>
    <row r="610" ht="15.75" customHeight="1">
      <c r="A610" s="21"/>
      <c r="B610" s="21"/>
      <c r="C610" s="21"/>
      <c r="D610" s="21"/>
      <c r="E610" s="21"/>
      <c r="F610" s="21"/>
      <c r="G610" s="86"/>
      <c r="H610" s="21"/>
      <c r="I610" s="21"/>
      <c r="J610" s="21"/>
      <c r="K610" s="21"/>
      <c r="L610" s="21"/>
      <c r="M610" s="21"/>
      <c r="N610" s="86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</row>
    <row r="611" ht="15.75" customHeight="1">
      <c r="A611" s="21"/>
      <c r="B611" s="21"/>
      <c r="C611" s="21"/>
      <c r="D611" s="21"/>
      <c r="E611" s="21"/>
      <c r="F611" s="21"/>
      <c r="G611" s="86"/>
      <c r="H611" s="21"/>
      <c r="I611" s="21"/>
      <c r="J611" s="21"/>
      <c r="K611" s="21"/>
      <c r="L611" s="21"/>
      <c r="M611" s="21"/>
      <c r="N611" s="86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</row>
    <row r="612" ht="15.75" customHeight="1">
      <c r="A612" s="21"/>
      <c r="B612" s="21"/>
      <c r="C612" s="21"/>
      <c r="D612" s="21"/>
      <c r="E612" s="21"/>
      <c r="F612" s="21"/>
      <c r="G612" s="86"/>
      <c r="H612" s="21"/>
      <c r="I612" s="21"/>
      <c r="J612" s="21"/>
      <c r="K612" s="21"/>
      <c r="L612" s="21"/>
      <c r="M612" s="21"/>
      <c r="N612" s="86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</row>
    <row r="613" ht="15.75" customHeight="1">
      <c r="A613" s="21"/>
      <c r="B613" s="21"/>
      <c r="C613" s="21"/>
      <c r="D613" s="21"/>
      <c r="E613" s="21"/>
      <c r="F613" s="21"/>
      <c r="G613" s="86"/>
      <c r="H613" s="21"/>
      <c r="I613" s="21"/>
      <c r="J613" s="21"/>
      <c r="K613" s="21"/>
      <c r="L613" s="21"/>
      <c r="M613" s="21"/>
      <c r="N613" s="86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</row>
    <row r="614" ht="15.75" customHeight="1">
      <c r="A614" s="21"/>
      <c r="B614" s="21"/>
      <c r="C614" s="21"/>
      <c r="D614" s="21"/>
      <c r="E614" s="21"/>
      <c r="F614" s="21"/>
      <c r="G614" s="86"/>
      <c r="H614" s="21"/>
      <c r="I614" s="21"/>
      <c r="J614" s="21"/>
      <c r="K614" s="21"/>
      <c r="L614" s="21"/>
      <c r="M614" s="21"/>
      <c r="N614" s="86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</row>
    <row r="615" ht="15.75" customHeight="1">
      <c r="A615" s="21"/>
      <c r="B615" s="21"/>
      <c r="C615" s="21"/>
      <c r="D615" s="21"/>
      <c r="E615" s="21"/>
      <c r="F615" s="21"/>
      <c r="G615" s="86"/>
      <c r="H615" s="21"/>
      <c r="I615" s="21"/>
      <c r="J615" s="21"/>
      <c r="K615" s="21"/>
      <c r="L615" s="21"/>
      <c r="M615" s="21"/>
      <c r="N615" s="86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</row>
    <row r="616" ht="15.75" customHeight="1">
      <c r="A616" s="21"/>
      <c r="B616" s="21"/>
      <c r="C616" s="21"/>
      <c r="D616" s="21"/>
      <c r="E616" s="21"/>
      <c r="F616" s="21"/>
      <c r="G616" s="86"/>
      <c r="H616" s="21"/>
      <c r="I616" s="21"/>
      <c r="J616" s="21"/>
      <c r="K616" s="21"/>
      <c r="L616" s="21"/>
      <c r="M616" s="21"/>
      <c r="N616" s="86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</row>
    <row r="617" ht="15.75" customHeight="1">
      <c r="A617" s="21"/>
      <c r="B617" s="21"/>
      <c r="C617" s="21"/>
      <c r="D617" s="21"/>
      <c r="E617" s="21"/>
      <c r="F617" s="21"/>
      <c r="G617" s="86"/>
      <c r="H617" s="21"/>
      <c r="I617" s="21"/>
      <c r="J617" s="21"/>
      <c r="K617" s="21"/>
      <c r="L617" s="21"/>
      <c r="M617" s="21"/>
      <c r="N617" s="86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</row>
    <row r="618" ht="15.75" customHeight="1">
      <c r="A618" s="21"/>
      <c r="B618" s="21"/>
      <c r="C618" s="21"/>
      <c r="D618" s="21"/>
      <c r="E618" s="21"/>
      <c r="F618" s="21"/>
      <c r="G618" s="86"/>
      <c r="H618" s="21"/>
      <c r="I618" s="21"/>
      <c r="J618" s="21"/>
      <c r="K618" s="21"/>
      <c r="L618" s="21"/>
      <c r="M618" s="21"/>
      <c r="N618" s="86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</row>
    <row r="619" ht="15.75" customHeight="1">
      <c r="A619" s="21"/>
      <c r="B619" s="21"/>
      <c r="C619" s="21"/>
      <c r="D619" s="21"/>
      <c r="E619" s="21"/>
      <c r="F619" s="21"/>
      <c r="G619" s="86"/>
      <c r="H619" s="21"/>
      <c r="I619" s="21"/>
      <c r="J619" s="21"/>
      <c r="K619" s="21"/>
      <c r="L619" s="21"/>
      <c r="M619" s="21"/>
      <c r="N619" s="86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</row>
    <row r="620" ht="15.75" customHeight="1">
      <c r="A620" s="21"/>
      <c r="B620" s="21"/>
      <c r="C620" s="21"/>
      <c r="D620" s="21"/>
      <c r="E620" s="21"/>
      <c r="F620" s="21"/>
      <c r="G620" s="86"/>
      <c r="H620" s="21"/>
      <c r="I620" s="21"/>
      <c r="J620" s="21"/>
      <c r="K620" s="21"/>
      <c r="L620" s="21"/>
      <c r="M620" s="21"/>
      <c r="N620" s="86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</row>
    <row r="621" ht="15.75" customHeight="1">
      <c r="A621" s="21"/>
      <c r="B621" s="21"/>
      <c r="C621" s="21"/>
      <c r="D621" s="21"/>
      <c r="E621" s="21"/>
      <c r="F621" s="21"/>
      <c r="G621" s="86"/>
      <c r="H621" s="21"/>
      <c r="I621" s="21"/>
      <c r="J621" s="21"/>
      <c r="K621" s="21"/>
      <c r="L621" s="21"/>
      <c r="M621" s="21"/>
      <c r="N621" s="86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</row>
    <row r="622" ht="15.75" customHeight="1">
      <c r="A622" s="21"/>
      <c r="B622" s="21"/>
      <c r="C622" s="21"/>
      <c r="D622" s="21"/>
      <c r="E622" s="21"/>
      <c r="F622" s="21"/>
      <c r="G622" s="86"/>
      <c r="H622" s="21"/>
      <c r="I622" s="21"/>
      <c r="J622" s="21"/>
      <c r="K622" s="21"/>
      <c r="L622" s="21"/>
      <c r="M622" s="21"/>
      <c r="N622" s="86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</row>
    <row r="623" ht="15.75" customHeight="1">
      <c r="A623" s="21"/>
      <c r="B623" s="21"/>
      <c r="C623" s="21"/>
      <c r="D623" s="21"/>
      <c r="E623" s="21"/>
      <c r="F623" s="21"/>
      <c r="G623" s="86"/>
      <c r="H623" s="21"/>
      <c r="I623" s="21"/>
      <c r="J623" s="21"/>
      <c r="K623" s="21"/>
      <c r="L623" s="21"/>
      <c r="M623" s="21"/>
      <c r="N623" s="86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</row>
    <row r="624" ht="15.75" customHeight="1">
      <c r="A624" s="21"/>
      <c r="B624" s="21"/>
      <c r="C624" s="21"/>
      <c r="D624" s="21"/>
      <c r="E624" s="21"/>
      <c r="F624" s="21"/>
      <c r="G624" s="86"/>
      <c r="H624" s="21"/>
      <c r="I624" s="21"/>
      <c r="J624" s="21"/>
      <c r="K624" s="21"/>
      <c r="L624" s="21"/>
      <c r="M624" s="21"/>
      <c r="N624" s="86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</row>
    <row r="625" ht="15.75" customHeight="1">
      <c r="A625" s="21"/>
      <c r="B625" s="21"/>
      <c r="C625" s="21"/>
      <c r="D625" s="21"/>
      <c r="E625" s="21"/>
      <c r="F625" s="21"/>
      <c r="G625" s="86"/>
      <c r="H625" s="21"/>
      <c r="I625" s="21"/>
      <c r="J625" s="21"/>
      <c r="K625" s="21"/>
      <c r="L625" s="21"/>
      <c r="M625" s="21"/>
      <c r="N625" s="86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</row>
    <row r="626" ht="15.75" customHeight="1">
      <c r="A626" s="21"/>
      <c r="B626" s="21"/>
      <c r="C626" s="21"/>
      <c r="D626" s="21"/>
      <c r="E626" s="21"/>
      <c r="F626" s="21"/>
      <c r="G626" s="86"/>
      <c r="H626" s="21"/>
      <c r="I626" s="21"/>
      <c r="J626" s="21"/>
      <c r="K626" s="21"/>
      <c r="L626" s="21"/>
      <c r="M626" s="21"/>
      <c r="N626" s="86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</row>
    <row r="627" ht="15.75" customHeight="1">
      <c r="A627" s="21"/>
      <c r="B627" s="21"/>
      <c r="C627" s="21"/>
      <c r="D627" s="21"/>
      <c r="E627" s="21"/>
      <c r="F627" s="21"/>
      <c r="G627" s="86"/>
      <c r="H627" s="21"/>
      <c r="I627" s="21"/>
      <c r="J627" s="21"/>
      <c r="K627" s="21"/>
      <c r="L627" s="21"/>
      <c r="M627" s="21"/>
      <c r="N627" s="86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</row>
    <row r="628" ht="15.75" customHeight="1">
      <c r="A628" s="21"/>
      <c r="B628" s="21"/>
      <c r="C628" s="21"/>
      <c r="D628" s="21"/>
      <c r="E628" s="21"/>
      <c r="F628" s="21"/>
      <c r="G628" s="86"/>
      <c r="H628" s="21"/>
      <c r="I628" s="21"/>
      <c r="J628" s="21"/>
      <c r="K628" s="21"/>
      <c r="L628" s="21"/>
      <c r="M628" s="21"/>
      <c r="N628" s="86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</row>
    <row r="629" ht="15.75" customHeight="1">
      <c r="A629" s="21"/>
      <c r="B629" s="21"/>
      <c r="C629" s="21"/>
      <c r="D629" s="21"/>
      <c r="E629" s="21"/>
      <c r="F629" s="21"/>
      <c r="G629" s="86"/>
      <c r="H629" s="21"/>
      <c r="I629" s="21"/>
      <c r="J629" s="21"/>
      <c r="K629" s="21"/>
      <c r="L629" s="21"/>
      <c r="M629" s="21"/>
      <c r="N629" s="86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</row>
    <row r="630" ht="15.75" customHeight="1">
      <c r="A630" s="21"/>
      <c r="B630" s="21"/>
      <c r="C630" s="21"/>
      <c r="D630" s="21"/>
      <c r="E630" s="21"/>
      <c r="F630" s="21"/>
      <c r="G630" s="86"/>
      <c r="H630" s="21"/>
      <c r="I630" s="21"/>
      <c r="J630" s="21"/>
      <c r="K630" s="21"/>
      <c r="L630" s="21"/>
      <c r="M630" s="21"/>
      <c r="N630" s="86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</row>
    <row r="631" ht="15.75" customHeight="1">
      <c r="A631" s="21"/>
      <c r="B631" s="21"/>
      <c r="C631" s="21"/>
      <c r="D631" s="21"/>
      <c r="E631" s="21"/>
      <c r="F631" s="21"/>
      <c r="G631" s="86"/>
      <c r="H631" s="21"/>
      <c r="I631" s="21"/>
      <c r="J631" s="21"/>
      <c r="K631" s="21"/>
      <c r="L631" s="21"/>
      <c r="M631" s="21"/>
      <c r="N631" s="86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</row>
    <row r="632" ht="15.75" customHeight="1">
      <c r="A632" s="21"/>
      <c r="B632" s="21"/>
      <c r="C632" s="21"/>
      <c r="D632" s="21"/>
      <c r="E632" s="21"/>
      <c r="F632" s="21"/>
      <c r="G632" s="86"/>
      <c r="H632" s="21"/>
      <c r="I632" s="21"/>
      <c r="J632" s="21"/>
      <c r="K632" s="21"/>
      <c r="L632" s="21"/>
      <c r="M632" s="21"/>
      <c r="N632" s="86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</row>
    <row r="633" ht="15.75" customHeight="1">
      <c r="A633" s="21"/>
      <c r="B633" s="21"/>
      <c r="C633" s="21"/>
      <c r="D633" s="21"/>
      <c r="E633" s="21"/>
      <c r="F633" s="21"/>
      <c r="G633" s="86"/>
      <c r="H633" s="21"/>
      <c r="I633" s="21"/>
      <c r="J633" s="21"/>
      <c r="K633" s="21"/>
      <c r="L633" s="21"/>
      <c r="M633" s="21"/>
      <c r="N633" s="86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</row>
    <row r="634" ht="15.75" customHeight="1">
      <c r="A634" s="21"/>
      <c r="B634" s="21"/>
      <c r="C634" s="21"/>
      <c r="D634" s="21"/>
      <c r="E634" s="21"/>
      <c r="F634" s="21"/>
      <c r="G634" s="86"/>
      <c r="H634" s="21"/>
      <c r="I634" s="21"/>
      <c r="J634" s="21"/>
      <c r="K634" s="21"/>
      <c r="L634" s="21"/>
      <c r="M634" s="21"/>
      <c r="N634" s="86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</row>
    <row r="635" ht="15.75" customHeight="1">
      <c r="A635" s="21"/>
      <c r="B635" s="21"/>
      <c r="C635" s="21"/>
      <c r="D635" s="21"/>
      <c r="E635" s="21"/>
      <c r="F635" s="21"/>
      <c r="G635" s="86"/>
      <c r="H635" s="21"/>
      <c r="I635" s="21"/>
      <c r="J635" s="21"/>
      <c r="K635" s="21"/>
      <c r="L635" s="21"/>
      <c r="M635" s="21"/>
      <c r="N635" s="86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</row>
    <row r="636" ht="15.75" customHeight="1">
      <c r="A636" s="21"/>
      <c r="B636" s="21"/>
      <c r="C636" s="21"/>
      <c r="D636" s="21"/>
      <c r="E636" s="21"/>
      <c r="F636" s="21"/>
      <c r="G636" s="86"/>
      <c r="H636" s="21"/>
      <c r="I636" s="21"/>
      <c r="J636" s="21"/>
      <c r="K636" s="21"/>
      <c r="L636" s="21"/>
      <c r="M636" s="21"/>
      <c r="N636" s="86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</row>
    <row r="637" ht="15.75" customHeight="1">
      <c r="A637" s="21"/>
      <c r="B637" s="21"/>
      <c r="C637" s="21"/>
      <c r="D637" s="21"/>
      <c r="E637" s="21"/>
      <c r="F637" s="21"/>
      <c r="G637" s="86"/>
      <c r="H637" s="21"/>
      <c r="I637" s="21"/>
      <c r="J637" s="21"/>
      <c r="K637" s="21"/>
      <c r="L637" s="21"/>
      <c r="M637" s="21"/>
      <c r="N637" s="86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</row>
    <row r="638" ht="15.75" customHeight="1">
      <c r="A638" s="21"/>
      <c r="B638" s="21"/>
      <c r="C638" s="21"/>
      <c r="D638" s="21"/>
      <c r="E638" s="21"/>
      <c r="F638" s="21"/>
      <c r="G638" s="86"/>
      <c r="H638" s="21"/>
      <c r="I638" s="21"/>
      <c r="J638" s="21"/>
      <c r="K638" s="21"/>
      <c r="L638" s="21"/>
      <c r="M638" s="21"/>
      <c r="N638" s="86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</row>
    <row r="639" ht="15.75" customHeight="1">
      <c r="A639" s="21"/>
      <c r="B639" s="21"/>
      <c r="C639" s="21"/>
      <c r="D639" s="21"/>
      <c r="E639" s="21"/>
      <c r="F639" s="21"/>
      <c r="G639" s="86"/>
      <c r="H639" s="21"/>
      <c r="I639" s="21"/>
      <c r="J639" s="21"/>
      <c r="K639" s="21"/>
      <c r="L639" s="21"/>
      <c r="M639" s="21"/>
      <c r="N639" s="86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</row>
    <row r="640" ht="15.75" customHeight="1">
      <c r="A640" s="21"/>
      <c r="B640" s="21"/>
      <c r="C640" s="21"/>
      <c r="D640" s="21"/>
      <c r="E640" s="21"/>
      <c r="F640" s="21"/>
      <c r="G640" s="86"/>
      <c r="H640" s="21"/>
      <c r="I640" s="21"/>
      <c r="J640" s="21"/>
      <c r="K640" s="21"/>
      <c r="L640" s="21"/>
      <c r="M640" s="21"/>
      <c r="N640" s="86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</row>
    <row r="641" ht="15.75" customHeight="1">
      <c r="A641" s="21"/>
      <c r="B641" s="21"/>
      <c r="C641" s="21"/>
      <c r="D641" s="21"/>
      <c r="E641" s="21"/>
      <c r="F641" s="21"/>
      <c r="G641" s="86"/>
      <c r="H641" s="21"/>
      <c r="I641" s="21"/>
      <c r="J641" s="21"/>
      <c r="K641" s="21"/>
      <c r="L641" s="21"/>
      <c r="M641" s="21"/>
      <c r="N641" s="86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</row>
    <row r="642" ht="15.75" customHeight="1">
      <c r="A642" s="21"/>
      <c r="B642" s="21"/>
      <c r="C642" s="21"/>
      <c r="D642" s="21"/>
      <c r="E642" s="21"/>
      <c r="F642" s="21"/>
      <c r="G642" s="86"/>
      <c r="H642" s="21"/>
      <c r="I642" s="21"/>
      <c r="J642" s="21"/>
      <c r="K642" s="21"/>
      <c r="L642" s="21"/>
      <c r="M642" s="21"/>
      <c r="N642" s="86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</row>
    <row r="643" ht="15.75" customHeight="1">
      <c r="A643" s="21"/>
      <c r="B643" s="21"/>
      <c r="C643" s="21"/>
      <c r="D643" s="21"/>
      <c r="E643" s="21"/>
      <c r="F643" s="21"/>
      <c r="G643" s="86"/>
      <c r="H643" s="21"/>
      <c r="I643" s="21"/>
      <c r="J643" s="21"/>
      <c r="K643" s="21"/>
      <c r="L643" s="21"/>
      <c r="M643" s="21"/>
      <c r="N643" s="86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</row>
    <row r="644" ht="15.75" customHeight="1">
      <c r="A644" s="21"/>
      <c r="B644" s="21"/>
      <c r="C644" s="21"/>
      <c r="D644" s="21"/>
      <c r="E644" s="21"/>
      <c r="F644" s="21"/>
      <c r="G644" s="86"/>
      <c r="H644" s="21"/>
      <c r="I644" s="21"/>
      <c r="J644" s="21"/>
      <c r="K644" s="21"/>
      <c r="L644" s="21"/>
      <c r="M644" s="21"/>
      <c r="N644" s="86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</row>
    <row r="645" ht="15.75" customHeight="1">
      <c r="A645" s="21"/>
      <c r="B645" s="21"/>
      <c r="C645" s="21"/>
      <c r="D645" s="21"/>
      <c r="E645" s="21"/>
      <c r="F645" s="21"/>
      <c r="G645" s="86"/>
      <c r="H645" s="21"/>
      <c r="I645" s="21"/>
      <c r="J645" s="21"/>
      <c r="K645" s="21"/>
      <c r="L645" s="21"/>
      <c r="M645" s="21"/>
      <c r="N645" s="86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</row>
    <row r="646" ht="15.75" customHeight="1">
      <c r="A646" s="21"/>
      <c r="B646" s="21"/>
      <c r="C646" s="21"/>
      <c r="D646" s="21"/>
      <c r="E646" s="21"/>
      <c r="F646" s="21"/>
      <c r="G646" s="86"/>
      <c r="H646" s="21"/>
      <c r="I646" s="21"/>
      <c r="J646" s="21"/>
      <c r="K646" s="21"/>
      <c r="L646" s="21"/>
      <c r="M646" s="21"/>
      <c r="N646" s="86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</row>
    <row r="647" ht="15.75" customHeight="1">
      <c r="A647" s="21"/>
      <c r="B647" s="21"/>
      <c r="C647" s="21"/>
      <c r="D647" s="21"/>
      <c r="E647" s="21"/>
      <c r="F647" s="21"/>
      <c r="G647" s="86"/>
      <c r="H647" s="21"/>
      <c r="I647" s="21"/>
      <c r="J647" s="21"/>
      <c r="K647" s="21"/>
      <c r="L647" s="21"/>
      <c r="M647" s="21"/>
      <c r="N647" s="86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</row>
    <row r="648" ht="15.75" customHeight="1">
      <c r="A648" s="21"/>
      <c r="B648" s="21"/>
      <c r="C648" s="21"/>
      <c r="D648" s="21"/>
      <c r="E648" s="21"/>
      <c r="F648" s="21"/>
      <c r="G648" s="86"/>
      <c r="H648" s="21"/>
      <c r="I648" s="21"/>
      <c r="J648" s="21"/>
      <c r="K648" s="21"/>
      <c r="L648" s="21"/>
      <c r="M648" s="21"/>
      <c r="N648" s="86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</row>
    <row r="649" ht="15.75" customHeight="1">
      <c r="A649" s="21"/>
      <c r="B649" s="21"/>
      <c r="C649" s="21"/>
      <c r="D649" s="21"/>
      <c r="E649" s="21"/>
      <c r="F649" s="21"/>
      <c r="G649" s="86"/>
      <c r="H649" s="21"/>
      <c r="I649" s="21"/>
      <c r="J649" s="21"/>
      <c r="K649" s="21"/>
      <c r="L649" s="21"/>
      <c r="M649" s="21"/>
      <c r="N649" s="86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</row>
    <row r="650" ht="15.75" customHeight="1">
      <c r="A650" s="21"/>
      <c r="B650" s="21"/>
      <c r="C650" s="21"/>
      <c r="D650" s="21"/>
      <c r="E650" s="21"/>
      <c r="F650" s="21"/>
      <c r="G650" s="86"/>
      <c r="H650" s="21"/>
      <c r="I650" s="21"/>
      <c r="J650" s="21"/>
      <c r="K650" s="21"/>
      <c r="L650" s="21"/>
      <c r="M650" s="21"/>
      <c r="N650" s="86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</row>
    <row r="651" ht="15.75" customHeight="1">
      <c r="A651" s="21"/>
      <c r="B651" s="21"/>
      <c r="C651" s="21"/>
      <c r="D651" s="21"/>
      <c r="E651" s="21"/>
      <c r="F651" s="21"/>
      <c r="G651" s="86"/>
      <c r="H651" s="21"/>
      <c r="I651" s="21"/>
      <c r="J651" s="21"/>
      <c r="K651" s="21"/>
      <c r="L651" s="21"/>
      <c r="M651" s="21"/>
      <c r="N651" s="86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</row>
    <row r="652" ht="15.75" customHeight="1">
      <c r="A652" s="21"/>
      <c r="B652" s="21"/>
      <c r="C652" s="21"/>
      <c r="D652" s="21"/>
      <c r="E652" s="21"/>
      <c r="F652" s="21"/>
      <c r="G652" s="86"/>
      <c r="H652" s="21"/>
      <c r="I652" s="21"/>
      <c r="J652" s="21"/>
      <c r="K652" s="21"/>
      <c r="L652" s="21"/>
      <c r="M652" s="21"/>
      <c r="N652" s="86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</row>
    <row r="653" ht="15.75" customHeight="1">
      <c r="A653" s="21"/>
      <c r="B653" s="21"/>
      <c r="C653" s="21"/>
      <c r="D653" s="21"/>
      <c r="E653" s="21"/>
      <c r="F653" s="21"/>
      <c r="G653" s="86"/>
      <c r="H653" s="21"/>
      <c r="I653" s="21"/>
      <c r="J653" s="21"/>
      <c r="K653" s="21"/>
      <c r="L653" s="21"/>
      <c r="M653" s="21"/>
      <c r="N653" s="86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</row>
    <row r="654" ht="15.75" customHeight="1">
      <c r="A654" s="21"/>
      <c r="B654" s="21"/>
      <c r="C654" s="21"/>
      <c r="D654" s="21"/>
      <c r="E654" s="21"/>
      <c r="F654" s="21"/>
      <c r="G654" s="86"/>
      <c r="H654" s="21"/>
      <c r="I654" s="21"/>
      <c r="J654" s="21"/>
      <c r="K654" s="21"/>
      <c r="L654" s="21"/>
      <c r="M654" s="21"/>
      <c r="N654" s="86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</row>
    <row r="655" ht="15.75" customHeight="1">
      <c r="A655" s="21"/>
      <c r="B655" s="21"/>
      <c r="C655" s="21"/>
      <c r="D655" s="21"/>
      <c r="E655" s="21"/>
      <c r="F655" s="21"/>
      <c r="G655" s="86"/>
      <c r="H655" s="21"/>
      <c r="I655" s="21"/>
      <c r="J655" s="21"/>
      <c r="K655" s="21"/>
      <c r="L655" s="21"/>
      <c r="M655" s="21"/>
      <c r="N655" s="86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</row>
    <row r="656" ht="15.75" customHeight="1">
      <c r="A656" s="21"/>
      <c r="B656" s="21"/>
      <c r="C656" s="21"/>
      <c r="D656" s="21"/>
      <c r="E656" s="21"/>
      <c r="F656" s="21"/>
      <c r="G656" s="86"/>
      <c r="H656" s="21"/>
      <c r="I656" s="21"/>
      <c r="J656" s="21"/>
      <c r="K656" s="21"/>
      <c r="L656" s="21"/>
      <c r="M656" s="21"/>
      <c r="N656" s="86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</row>
    <row r="657" ht="15.75" customHeight="1">
      <c r="A657" s="21"/>
      <c r="B657" s="21"/>
      <c r="C657" s="21"/>
      <c r="D657" s="21"/>
      <c r="E657" s="21"/>
      <c r="F657" s="21"/>
      <c r="G657" s="86"/>
      <c r="H657" s="21"/>
      <c r="I657" s="21"/>
      <c r="J657" s="21"/>
      <c r="K657" s="21"/>
      <c r="L657" s="21"/>
      <c r="M657" s="21"/>
      <c r="N657" s="86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</row>
    <row r="658" ht="15.75" customHeight="1">
      <c r="A658" s="21"/>
      <c r="B658" s="21"/>
      <c r="C658" s="21"/>
      <c r="D658" s="21"/>
      <c r="E658" s="21"/>
      <c r="F658" s="21"/>
      <c r="G658" s="86"/>
      <c r="H658" s="21"/>
      <c r="I658" s="21"/>
      <c r="J658" s="21"/>
      <c r="K658" s="21"/>
      <c r="L658" s="21"/>
      <c r="M658" s="21"/>
      <c r="N658" s="86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</row>
    <row r="659" ht="15.75" customHeight="1">
      <c r="A659" s="21"/>
      <c r="B659" s="21"/>
      <c r="C659" s="21"/>
      <c r="D659" s="21"/>
      <c r="E659" s="21"/>
      <c r="F659" s="21"/>
      <c r="G659" s="86"/>
      <c r="H659" s="21"/>
      <c r="I659" s="21"/>
      <c r="J659" s="21"/>
      <c r="K659" s="21"/>
      <c r="L659" s="21"/>
      <c r="M659" s="21"/>
      <c r="N659" s="86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</row>
    <row r="660" ht="15.75" customHeight="1">
      <c r="A660" s="21"/>
      <c r="B660" s="21"/>
      <c r="C660" s="21"/>
      <c r="D660" s="21"/>
      <c r="E660" s="21"/>
      <c r="F660" s="21"/>
      <c r="G660" s="86"/>
      <c r="H660" s="21"/>
      <c r="I660" s="21"/>
      <c r="J660" s="21"/>
      <c r="K660" s="21"/>
      <c r="L660" s="21"/>
      <c r="M660" s="21"/>
      <c r="N660" s="86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</row>
    <row r="661" ht="15.75" customHeight="1">
      <c r="A661" s="21"/>
      <c r="B661" s="21"/>
      <c r="C661" s="21"/>
      <c r="D661" s="21"/>
      <c r="E661" s="21"/>
      <c r="F661" s="21"/>
      <c r="G661" s="86"/>
      <c r="H661" s="21"/>
      <c r="I661" s="21"/>
      <c r="J661" s="21"/>
      <c r="K661" s="21"/>
      <c r="L661" s="21"/>
      <c r="M661" s="21"/>
      <c r="N661" s="86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</row>
    <row r="662" ht="15.75" customHeight="1">
      <c r="A662" s="21"/>
      <c r="B662" s="21"/>
      <c r="C662" s="21"/>
      <c r="D662" s="21"/>
      <c r="E662" s="21"/>
      <c r="F662" s="21"/>
      <c r="G662" s="86"/>
      <c r="H662" s="21"/>
      <c r="I662" s="21"/>
      <c r="J662" s="21"/>
      <c r="K662" s="21"/>
      <c r="L662" s="21"/>
      <c r="M662" s="21"/>
      <c r="N662" s="86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</row>
    <row r="663" ht="15.75" customHeight="1">
      <c r="A663" s="21"/>
      <c r="B663" s="21"/>
      <c r="C663" s="21"/>
      <c r="D663" s="21"/>
      <c r="E663" s="21"/>
      <c r="F663" s="21"/>
      <c r="G663" s="86"/>
      <c r="H663" s="21"/>
      <c r="I663" s="21"/>
      <c r="J663" s="21"/>
      <c r="K663" s="21"/>
      <c r="L663" s="21"/>
      <c r="M663" s="21"/>
      <c r="N663" s="86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</row>
    <row r="664" ht="15.75" customHeight="1">
      <c r="A664" s="21"/>
      <c r="B664" s="21"/>
      <c r="C664" s="21"/>
      <c r="D664" s="21"/>
      <c r="E664" s="21"/>
      <c r="F664" s="21"/>
      <c r="G664" s="86"/>
      <c r="H664" s="21"/>
      <c r="I664" s="21"/>
      <c r="J664" s="21"/>
      <c r="K664" s="21"/>
      <c r="L664" s="21"/>
      <c r="M664" s="21"/>
      <c r="N664" s="86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</row>
    <row r="665" ht="15.75" customHeight="1">
      <c r="A665" s="21"/>
      <c r="B665" s="21"/>
      <c r="C665" s="21"/>
      <c r="D665" s="21"/>
      <c r="E665" s="21"/>
      <c r="F665" s="21"/>
      <c r="G665" s="86"/>
      <c r="H665" s="21"/>
      <c r="I665" s="21"/>
      <c r="J665" s="21"/>
      <c r="K665" s="21"/>
      <c r="L665" s="21"/>
      <c r="M665" s="21"/>
      <c r="N665" s="86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</row>
    <row r="666" ht="15.75" customHeight="1">
      <c r="A666" s="21"/>
      <c r="B666" s="21"/>
      <c r="C666" s="21"/>
      <c r="D666" s="21"/>
      <c r="E666" s="21"/>
      <c r="F666" s="21"/>
      <c r="G666" s="86"/>
      <c r="H666" s="21"/>
      <c r="I666" s="21"/>
      <c r="J666" s="21"/>
      <c r="K666" s="21"/>
      <c r="L666" s="21"/>
      <c r="M666" s="21"/>
      <c r="N666" s="86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</row>
    <row r="667" ht="15.75" customHeight="1">
      <c r="A667" s="21"/>
      <c r="B667" s="21"/>
      <c r="C667" s="21"/>
      <c r="D667" s="21"/>
      <c r="E667" s="21"/>
      <c r="F667" s="21"/>
      <c r="G667" s="86"/>
      <c r="H667" s="21"/>
      <c r="I667" s="21"/>
      <c r="J667" s="21"/>
      <c r="K667" s="21"/>
      <c r="L667" s="21"/>
      <c r="M667" s="21"/>
      <c r="N667" s="86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</row>
    <row r="668" ht="15.75" customHeight="1">
      <c r="A668" s="21"/>
      <c r="B668" s="21"/>
      <c r="C668" s="21"/>
      <c r="D668" s="21"/>
      <c r="E668" s="21"/>
      <c r="F668" s="21"/>
      <c r="G668" s="86"/>
      <c r="H668" s="21"/>
      <c r="I668" s="21"/>
      <c r="J668" s="21"/>
      <c r="K668" s="21"/>
      <c r="L668" s="21"/>
      <c r="M668" s="21"/>
      <c r="N668" s="86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</row>
    <row r="669" ht="15.75" customHeight="1">
      <c r="A669" s="21"/>
      <c r="B669" s="21"/>
      <c r="C669" s="21"/>
      <c r="D669" s="21"/>
      <c r="E669" s="21"/>
      <c r="F669" s="21"/>
      <c r="G669" s="86"/>
      <c r="H669" s="21"/>
      <c r="I669" s="21"/>
      <c r="J669" s="21"/>
      <c r="K669" s="21"/>
      <c r="L669" s="21"/>
      <c r="M669" s="21"/>
      <c r="N669" s="86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</row>
    <row r="670" ht="15.75" customHeight="1">
      <c r="A670" s="21"/>
      <c r="B670" s="21"/>
      <c r="C670" s="21"/>
      <c r="D670" s="21"/>
      <c r="E670" s="21"/>
      <c r="F670" s="21"/>
      <c r="G670" s="86"/>
      <c r="H670" s="21"/>
      <c r="I670" s="21"/>
      <c r="J670" s="21"/>
      <c r="K670" s="21"/>
      <c r="L670" s="21"/>
      <c r="M670" s="21"/>
      <c r="N670" s="86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</row>
    <row r="671" ht="15.75" customHeight="1">
      <c r="A671" s="21"/>
      <c r="B671" s="21"/>
      <c r="C671" s="21"/>
      <c r="D671" s="21"/>
      <c r="E671" s="21"/>
      <c r="F671" s="21"/>
      <c r="G671" s="86"/>
      <c r="H671" s="21"/>
      <c r="I671" s="21"/>
      <c r="J671" s="21"/>
      <c r="K671" s="21"/>
      <c r="L671" s="21"/>
      <c r="M671" s="21"/>
      <c r="N671" s="86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</row>
    <row r="672" ht="15.75" customHeight="1">
      <c r="A672" s="21"/>
      <c r="B672" s="21"/>
      <c r="C672" s="21"/>
      <c r="D672" s="21"/>
      <c r="E672" s="21"/>
      <c r="F672" s="21"/>
      <c r="G672" s="86"/>
      <c r="H672" s="21"/>
      <c r="I672" s="21"/>
      <c r="J672" s="21"/>
      <c r="K672" s="21"/>
      <c r="L672" s="21"/>
      <c r="M672" s="21"/>
      <c r="N672" s="86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</row>
    <row r="673" ht="15.75" customHeight="1">
      <c r="A673" s="21"/>
      <c r="B673" s="21"/>
      <c r="C673" s="21"/>
      <c r="D673" s="21"/>
      <c r="E673" s="21"/>
      <c r="F673" s="21"/>
      <c r="G673" s="86"/>
      <c r="H673" s="21"/>
      <c r="I673" s="21"/>
      <c r="J673" s="21"/>
      <c r="K673" s="21"/>
      <c r="L673" s="21"/>
      <c r="M673" s="21"/>
      <c r="N673" s="86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</row>
    <row r="674" ht="15.75" customHeight="1">
      <c r="A674" s="21"/>
      <c r="B674" s="21"/>
      <c r="C674" s="21"/>
      <c r="D674" s="21"/>
      <c r="E674" s="21"/>
      <c r="F674" s="21"/>
      <c r="G674" s="86"/>
      <c r="H674" s="21"/>
      <c r="I674" s="21"/>
      <c r="J674" s="21"/>
      <c r="K674" s="21"/>
      <c r="L674" s="21"/>
      <c r="M674" s="21"/>
      <c r="N674" s="86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</row>
    <row r="675" ht="15.75" customHeight="1">
      <c r="A675" s="21"/>
      <c r="B675" s="21"/>
      <c r="C675" s="21"/>
      <c r="D675" s="21"/>
      <c r="E675" s="21"/>
      <c r="F675" s="21"/>
      <c r="G675" s="86"/>
      <c r="H675" s="21"/>
      <c r="I675" s="21"/>
      <c r="J675" s="21"/>
      <c r="K675" s="21"/>
      <c r="L675" s="21"/>
      <c r="M675" s="21"/>
      <c r="N675" s="86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</row>
    <row r="676" ht="15.75" customHeight="1">
      <c r="A676" s="21"/>
      <c r="B676" s="21"/>
      <c r="C676" s="21"/>
      <c r="D676" s="21"/>
      <c r="E676" s="21"/>
      <c r="F676" s="21"/>
      <c r="G676" s="86"/>
      <c r="H676" s="21"/>
      <c r="I676" s="21"/>
      <c r="J676" s="21"/>
      <c r="K676" s="21"/>
      <c r="L676" s="21"/>
      <c r="M676" s="21"/>
      <c r="N676" s="86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</row>
    <row r="677" ht="15.75" customHeight="1">
      <c r="A677" s="21"/>
      <c r="B677" s="21"/>
      <c r="C677" s="21"/>
      <c r="D677" s="21"/>
      <c r="E677" s="21"/>
      <c r="F677" s="21"/>
      <c r="G677" s="86"/>
      <c r="H677" s="21"/>
      <c r="I677" s="21"/>
      <c r="J677" s="21"/>
      <c r="K677" s="21"/>
      <c r="L677" s="21"/>
      <c r="M677" s="21"/>
      <c r="N677" s="86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</row>
    <row r="678" ht="15.75" customHeight="1">
      <c r="A678" s="21"/>
      <c r="B678" s="21"/>
      <c r="C678" s="21"/>
      <c r="D678" s="21"/>
      <c r="E678" s="21"/>
      <c r="F678" s="21"/>
      <c r="G678" s="86"/>
      <c r="H678" s="21"/>
      <c r="I678" s="21"/>
      <c r="J678" s="21"/>
      <c r="K678" s="21"/>
      <c r="L678" s="21"/>
      <c r="M678" s="21"/>
      <c r="N678" s="86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</row>
    <row r="679" ht="15.75" customHeight="1">
      <c r="A679" s="21"/>
      <c r="B679" s="21"/>
      <c r="C679" s="21"/>
      <c r="D679" s="21"/>
      <c r="E679" s="21"/>
      <c r="F679" s="21"/>
      <c r="G679" s="86"/>
      <c r="H679" s="21"/>
      <c r="I679" s="21"/>
      <c r="J679" s="21"/>
      <c r="K679" s="21"/>
      <c r="L679" s="21"/>
      <c r="M679" s="21"/>
      <c r="N679" s="86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</row>
    <row r="680" ht="15.75" customHeight="1">
      <c r="A680" s="21"/>
      <c r="B680" s="21"/>
      <c r="C680" s="21"/>
      <c r="D680" s="21"/>
      <c r="E680" s="21"/>
      <c r="F680" s="21"/>
      <c r="G680" s="86"/>
      <c r="H680" s="21"/>
      <c r="I680" s="21"/>
      <c r="J680" s="21"/>
      <c r="K680" s="21"/>
      <c r="L680" s="21"/>
      <c r="M680" s="21"/>
      <c r="N680" s="86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</row>
    <row r="681" ht="15.75" customHeight="1">
      <c r="A681" s="21"/>
      <c r="B681" s="21"/>
      <c r="C681" s="21"/>
      <c r="D681" s="21"/>
      <c r="E681" s="21"/>
      <c r="F681" s="21"/>
      <c r="G681" s="86"/>
      <c r="H681" s="21"/>
      <c r="I681" s="21"/>
      <c r="J681" s="21"/>
      <c r="K681" s="21"/>
      <c r="L681" s="21"/>
      <c r="M681" s="21"/>
      <c r="N681" s="86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</row>
    <row r="682" ht="15.75" customHeight="1">
      <c r="A682" s="21"/>
      <c r="B682" s="21"/>
      <c r="C682" s="21"/>
      <c r="D682" s="21"/>
      <c r="E682" s="21"/>
      <c r="F682" s="21"/>
      <c r="G682" s="86"/>
      <c r="H682" s="21"/>
      <c r="I682" s="21"/>
      <c r="J682" s="21"/>
      <c r="K682" s="21"/>
      <c r="L682" s="21"/>
      <c r="M682" s="21"/>
      <c r="N682" s="86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</row>
    <row r="683" ht="15.75" customHeight="1">
      <c r="A683" s="21"/>
      <c r="B683" s="21"/>
      <c r="C683" s="21"/>
      <c r="D683" s="21"/>
      <c r="E683" s="21"/>
      <c r="F683" s="21"/>
      <c r="G683" s="86"/>
      <c r="H683" s="21"/>
      <c r="I683" s="21"/>
      <c r="J683" s="21"/>
      <c r="K683" s="21"/>
      <c r="L683" s="21"/>
      <c r="M683" s="21"/>
      <c r="N683" s="86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</row>
    <row r="684" ht="15.75" customHeight="1">
      <c r="A684" s="21"/>
      <c r="B684" s="21"/>
      <c r="C684" s="21"/>
      <c r="D684" s="21"/>
      <c r="E684" s="21"/>
      <c r="F684" s="21"/>
      <c r="G684" s="86"/>
      <c r="H684" s="21"/>
      <c r="I684" s="21"/>
      <c r="J684" s="21"/>
      <c r="K684" s="21"/>
      <c r="L684" s="21"/>
      <c r="M684" s="21"/>
      <c r="N684" s="86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</row>
    <row r="685" ht="15.75" customHeight="1">
      <c r="A685" s="21"/>
      <c r="B685" s="21"/>
      <c r="C685" s="21"/>
      <c r="D685" s="21"/>
      <c r="E685" s="21"/>
      <c r="F685" s="21"/>
      <c r="G685" s="86"/>
      <c r="H685" s="21"/>
      <c r="I685" s="21"/>
      <c r="J685" s="21"/>
      <c r="K685" s="21"/>
      <c r="L685" s="21"/>
      <c r="M685" s="21"/>
      <c r="N685" s="86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</row>
    <row r="686" ht="15.75" customHeight="1">
      <c r="A686" s="21"/>
      <c r="B686" s="21"/>
      <c r="C686" s="21"/>
      <c r="D686" s="21"/>
      <c r="E686" s="21"/>
      <c r="F686" s="21"/>
      <c r="G686" s="86"/>
      <c r="H686" s="21"/>
      <c r="I686" s="21"/>
      <c r="J686" s="21"/>
      <c r="K686" s="21"/>
      <c r="L686" s="21"/>
      <c r="M686" s="21"/>
      <c r="N686" s="86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</row>
    <row r="687" ht="15.75" customHeight="1">
      <c r="A687" s="21"/>
      <c r="B687" s="21"/>
      <c r="C687" s="21"/>
      <c r="D687" s="21"/>
      <c r="E687" s="21"/>
      <c r="F687" s="21"/>
      <c r="G687" s="86"/>
      <c r="H687" s="21"/>
      <c r="I687" s="21"/>
      <c r="J687" s="21"/>
      <c r="K687" s="21"/>
      <c r="L687" s="21"/>
      <c r="M687" s="21"/>
      <c r="N687" s="86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</row>
    <row r="688" ht="15.75" customHeight="1">
      <c r="A688" s="21"/>
      <c r="B688" s="21"/>
      <c r="C688" s="21"/>
      <c r="D688" s="21"/>
      <c r="E688" s="21"/>
      <c r="F688" s="21"/>
      <c r="G688" s="86"/>
      <c r="H688" s="21"/>
      <c r="I688" s="21"/>
      <c r="J688" s="21"/>
      <c r="K688" s="21"/>
      <c r="L688" s="21"/>
      <c r="M688" s="21"/>
      <c r="N688" s="86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</row>
    <row r="689" ht="15.75" customHeight="1">
      <c r="A689" s="21"/>
      <c r="B689" s="21"/>
      <c r="C689" s="21"/>
      <c r="D689" s="21"/>
      <c r="E689" s="21"/>
      <c r="F689" s="21"/>
      <c r="G689" s="86"/>
      <c r="H689" s="21"/>
      <c r="I689" s="21"/>
      <c r="J689" s="21"/>
      <c r="K689" s="21"/>
      <c r="L689" s="21"/>
      <c r="M689" s="21"/>
      <c r="N689" s="86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</row>
    <row r="690" ht="15.75" customHeight="1">
      <c r="A690" s="21"/>
      <c r="B690" s="21"/>
      <c r="C690" s="21"/>
      <c r="D690" s="21"/>
      <c r="E690" s="21"/>
      <c r="F690" s="21"/>
      <c r="G690" s="86"/>
      <c r="H690" s="21"/>
      <c r="I690" s="21"/>
      <c r="J690" s="21"/>
      <c r="K690" s="21"/>
      <c r="L690" s="21"/>
      <c r="M690" s="21"/>
      <c r="N690" s="86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</row>
    <row r="691" ht="15.75" customHeight="1">
      <c r="A691" s="21"/>
      <c r="B691" s="21"/>
      <c r="C691" s="21"/>
      <c r="D691" s="21"/>
      <c r="E691" s="21"/>
      <c r="F691" s="21"/>
      <c r="G691" s="86"/>
      <c r="H691" s="21"/>
      <c r="I691" s="21"/>
      <c r="J691" s="21"/>
      <c r="K691" s="21"/>
      <c r="L691" s="21"/>
      <c r="M691" s="21"/>
      <c r="N691" s="86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</row>
    <row r="692" ht="15.75" customHeight="1">
      <c r="A692" s="21"/>
      <c r="B692" s="21"/>
      <c r="C692" s="21"/>
      <c r="D692" s="21"/>
      <c r="E692" s="21"/>
      <c r="F692" s="21"/>
      <c r="G692" s="86"/>
      <c r="H692" s="21"/>
      <c r="I692" s="21"/>
      <c r="J692" s="21"/>
      <c r="K692" s="21"/>
      <c r="L692" s="21"/>
      <c r="M692" s="21"/>
      <c r="N692" s="86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</row>
    <row r="693" ht="15.75" customHeight="1">
      <c r="A693" s="21"/>
      <c r="B693" s="21"/>
      <c r="C693" s="21"/>
      <c r="D693" s="21"/>
      <c r="E693" s="21"/>
      <c r="F693" s="21"/>
      <c r="G693" s="86"/>
      <c r="H693" s="21"/>
      <c r="I693" s="21"/>
      <c r="J693" s="21"/>
      <c r="K693" s="21"/>
      <c r="L693" s="21"/>
      <c r="M693" s="21"/>
      <c r="N693" s="86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</row>
    <row r="694" ht="15.75" customHeight="1">
      <c r="A694" s="21"/>
      <c r="B694" s="21"/>
      <c r="C694" s="21"/>
      <c r="D694" s="21"/>
      <c r="E694" s="21"/>
      <c r="F694" s="21"/>
      <c r="G694" s="86"/>
      <c r="H694" s="21"/>
      <c r="I694" s="21"/>
      <c r="J694" s="21"/>
      <c r="K694" s="21"/>
      <c r="L694" s="21"/>
      <c r="M694" s="21"/>
      <c r="N694" s="86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</row>
    <row r="695" ht="15.75" customHeight="1">
      <c r="A695" s="21"/>
      <c r="B695" s="21"/>
      <c r="C695" s="21"/>
      <c r="D695" s="21"/>
      <c r="E695" s="21"/>
      <c r="F695" s="21"/>
      <c r="G695" s="86"/>
      <c r="H695" s="21"/>
      <c r="I695" s="21"/>
      <c r="J695" s="21"/>
      <c r="K695" s="21"/>
      <c r="L695" s="21"/>
      <c r="M695" s="21"/>
      <c r="N695" s="86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</row>
    <row r="696" ht="15.75" customHeight="1">
      <c r="A696" s="21"/>
      <c r="B696" s="21"/>
      <c r="C696" s="21"/>
      <c r="D696" s="21"/>
      <c r="E696" s="21"/>
      <c r="F696" s="21"/>
      <c r="G696" s="86"/>
      <c r="H696" s="21"/>
      <c r="I696" s="21"/>
      <c r="J696" s="21"/>
      <c r="K696" s="21"/>
      <c r="L696" s="21"/>
      <c r="M696" s="21"/>
      <c r="N696" s="86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</row>
    <row r="697" ht="15.75" customHeight="1">
      <c r="A697" s="21"/>
      <c r="B697" s="21"/>
      <c r="C697" s="21"/>
      <c r="D697" s="21"/>
      <c r="E697" s="21"/>
      <c r="F697" s="21"/>
      <c r="G697" s="86"/>
      <c r="H697" s="21"/>
      <c r="I697" s="21"/>
      <c r="J697" s="21"/>
      <c r="K697" s="21"/>
      <c r="L697" s="21"/>
      <c r="M697" s="21"/>
      <c r="N697" s="86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</row>
    <row r="698" ht="15.75" customHeight="1">
      <c r="A698" s="21"/>
      <c r="B698" s="21"/>
      <c r="C698" s="21"/>
      <c r="D698" s="21"/>
      <c r="E698" s="21"/>
      <c r="F698" s="21"/>
      <c r="G698" s="86"/>
      <c r="H698" s="21"/>
      <c r="I698" s="21"/>
      <c r="J698" s="21"/>
      <c r="K698" s="21"/>
      <c r="L698" s="21"/>
      <c r="M698" s="21"/>
      <c r="N698" s="86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</row>
    <row r="699" ht="15.75" customHeight="1">
      <c r="A699" s="21"/>
      <c r="B699" s="21"/>
      <c r="C699" s="21"/>
      <c r="D699" s="21"/>
      <c r="E699" s="21"/>
      <c r="F699" s="21"/>
      <c r="G699" s="86"/>
      <c r="H699" s="21"/>
      <c r="I699" s="21"/>
      <c r="J699" s="21"/>
      <c r="K699" s="21"/>
      <c r="L699" s="21"/>
      <c r="M699" s="21"/>
      <c r="N699" s="86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</row>
    <row r="700" ht="15.75" customHeight="1">
      <c r="A700" s="21"/>
      <c r="B700" s="21"/>
      <c r="C700" s="21"/>
      <c r="D700" s="21"/>
      <c r="E700" s="21"/>
      <c r="F700" s="21"/>
      <c r="G700" s="86"/>
      <c r="H700" s="21"/>
      <c r="I700" s="21"/>
      <c r="J700" s="21"/>
      <c r="K700" s="21"/>
      <c r="L700" s="21"/>
      <c r="M700" s="21"/>
      <c r="N700" s="86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</row>
    <row r="701" ht="15.75" customHeight="1">
      <c r="A701" s="21"/>
      <c r="B701" s="21"/>
      <c r="C701" s="21"/>
      <c r="D701" s="21"/>
      <c r="E701" s="21"/>
      <c r="F701" s="21"/>
      <c r="G701" s="86"/>
      <c r="H701" s="21"/>
      <c r="I701" s="21"/>
      <c r="J701" s="21"/>
      <c r="K701" s="21"/>
      <c r="L701" s="21"/>
      <c r="M701" s="21"/>
      <c r="N701" s="86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</row>
    <row r="702" ht="15.75" customHeight="1">
      <c r="A702" s="21"/>
      <c r="B702" s="21"/>
      <c r="C702" s="21"/>
      <c r="D702" s="21"/>
      <c r="E702" s="21"/>
      <c r="F702" s="21"/>
      <c r="G702" s="86"/>
      <c r="H702" s="21"/>
      <c r="I702" s="21"/>
      <c r="J702" s="21"/>
      <c r="K702" s="21"/>
      <c r="L702" s="21"/>
      <c r="M702" s="21"/>
      <c r="N702" s="86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</row>
    <row r="703" ht="15.75" customHeight="1">
      <c r="A703" s="21"/>
      <c r="B703" s="21"/>
      <c r="C703" s="21"/>
      <c r="D703" s="21"/>
      <c r="E703" s="21"/>
      <c r="F703" s="21"/>
      <c r="G703" s="86"/>
      <c r="H703" s="21"/>
      <c r="I703" s="21"/>
      <c r="J703" s="21"/>
      <c r="K703" s="21"/>
      <c r="L703" s="21"/>
      <c r="M703" s="21"/>
      <c r="N703" s="86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</row>
    <row r="704" ht="15.75" customHeight="1">
      <c r="A704" s="21"/>
      <c r="B704" s="21"/>
      <c r="C704" s="21"/>
      <c r="D704" s="21"/>
      <c r="E704" s="21"/>
      <c r="F704" s="21"/>
      <c r="G704" s="86"/>
      <c r="H704" s="21"/>
      <c r="I704" s="21"/>
      <c r="J704" s="21"/>
      <c r="K704" s="21"/>
      <c r="L704" s="21"/>
      <c r="M704" s="21"/>
      <c r="N704" s="86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</row>
    <row r="705" ht="15.75" customHeight="1">
      <c r="A705" s="21"/>
      <c r="B705" s="21"/>
      <c r="C705" s="21"/>
      <c r="D705" s="21"/>
      <c r="E705" s="21"/>
      <c r="F705" s="21"/>
      <c r="G705" s="86"/>
      <c r="H705" s="21"/>
      <c r="I705" s="21"/>
      <c r="J705" s="21"/>
      <c r="K705" s="21"/>
      <c r="L705" s="21"/>
      <c r="M705" s="21"/>
      <c r="N705" s="86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</row>
    <row r="706" ht="15.75" customHeight="1">
      <c r="A706" s="21"/>
      <c r="B706" s="21"/>
      <c r="C706" s="21"/>
      <c r="D706" s="21"/>
      <c r="E706" s="21"/>
      <c r="F706" s="21"/>
      <c r="G706" s="86"/>
      <c r="H706" s="21"/>
      <c r="I706" s="21"/>
      <c r="J706" s="21"/>
      <c r="K706" s="21"/>
      <c r="L706" s="21"/>
      <c r="M706" s="21"/>
      <c r="N706" s="86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</row>
    <row r="707" ht="15.75" customHeight="1">
      <c r="A707" s="21"/>
      <c r="B707" s="21"/>
      <c r="C707" s="21"/>
      <c r="D707" s="21"/>
      <c r="E707" s="21"/>
      <c r="F707" s="21"/>
      <c r="G707" s="86"/>
      <c r="H707" s="21"/>
      <c r="I707" s="21"/>
      <c r="J707" s="21"/>
      <c r="K707" s="21"/>
      <c r="L707" s="21"/>
      <c r="M707" s="21"/>
      <c r="N707" s="86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</row>
    <row r="708" ht="15.75" customHeight="1">
      <c r="A708" s="21"/>
      <c r="B708" s="21"/>
      <c r="C708" s="21"/>
      <c r="D708" s="21"/>
      <c r="E708" s="21"/>
      <c r="F708" s="21"/>
      <c r="G708" s="86"/>
      <c r="H708" s="21"/>
      <c r="I708" s="21"/>
      <c r="J708" s="21"/>
      <c r="K708" s="21"/>
      <c r="L708" s="21"/>
      <c r="M708" s="21"/>
      <c r="N708" s="86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</row>
    <row r="709" ht="15.75" customHeight="1">
      <c r="A709" s="21"/>
      <c r="B709" s="21"/>
      <c r="C709" s="21"/>
      <c r="D709" s="21"/>
      <c r="E709" s="21"/>
      <c r="F709" s="21"/>
      <c r="G709" s="86"/>
      <c r="H709" s="21"/>
      <c r="I709" s="21"/>
      <c r="J709" s="21"/>
      <c r="K709" s="21"/>
      <c r="L709" s="21"/>
      <c r="M709" s="21"/>
      <c r="N709" s="86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</row>
    <row r="710" ht="15.75" customHeight="1">
      <c r="A710" s="21"/>
      <c r="B710" s="21"/>
      <c r="C710" s="21"/>
      <c r="D710" s="21"/>
      <c r="E710" s="21"/>
      <c r="F710" s="21"/>
      <c r="G710" s="86"/>
      <c r="H710" s="21"/>
      <c r="I710" s="21"/>
      <c r="J710" s="21"/>
      <c r="K710" s="21"/>
      <c r="L710" s="21"/>
      <c r="M710" s="21"/>
      <c r="N710" s="86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</row>
    <row r="711" ht="15.75" customHeight="1">
      <c r="A711" s="21"/>
      <c r="B711" s="21"/>
      <c r="C711" s="21"/>
      <c r="D711" s="21"/>
      <c r="E711" s="21"/>
      <c r="F711" s="21"/>
      <c r="G711" s="86"/>
      <c r="H711" s="21"/>
      <c r="I711" s="21"/>
      <c r="J711" s="21"/>
      <c r="K711" s="21"/>
      <c r="L711" s="21"/>
      <c r="M711" s="21"/>
      <c r="N711" s="86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</row>
    <row r="712" ht="15.75" customHeight="1">
      <c r="A712" s="21"/>
      <c r="B712" s="21"/>
      <c r="C712" s="21"/>
      <c r="D712" s="21"/>
      <c r="E712" s="21"/>
      <c r="F712" s="21"/>
      <c r="G712" s="86"/>
      <c r="H712" s="21"/>
      <c r="I712" s="21"/>
      <c r="J712" s="21"/>
      <c r="K712" s="21"/>
      <c r="L712" s="21"/>
      <c r="M712" s="21"/>
      <c r="N712" s="86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</row>
    <row r="713" ht="15.75" customHeight="1">
      <c r="A713" s="21"/>
      <c r="B713" s="21"/>
      <c r="C713" s="21"/>
      <c r="D713" s="21"/>
      <c r="E713" s="21"/>
      <c r="F713" s="21"/>
      <c r="G713" s="86"/>
      <c r="H713" s="21"/>
      <c r="I713" s="21"/>
      <c r="J713" s="21"/>
      <c r="K713" s="21"/>
      <c r="L713" s="21"/>
      <c r="M713" s="21"/>
      <c r="N713" s="86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</row>
    <row r="714" ht="15.75" customHeight="1">
      <c r="A714" s="21"/>
      <c r="B714" s="21"/>
      <c r="C714" s="21"/>
      <c r="D714" s="21"/>
      <c r="E714" s="21"/>
      <c r="F714" s="21"/>
      <c r="G714" s="86"/>
      <c r="H714" s="21"/>
      <c r="I714" s="21"/>
      <c r="J714" s="21"/>
      <c r="K714" s="21"/>
      <c r="L714" s="21"/>
      <c r="M714" s="21"/>
      <c r="N714" s="86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</row>
    <row r="715" ht="15.75" customHeight="1">
      <c r="A715" s="21"/>
      <c r="B715" s="21"/>
      <c r="C715" s="21"/>
      <c r="D715" s="21"/>
      <c r="E715" s="21"/>
      <c r="F715" s="21"/>
      <c r="G715" s="86"/>
      <c r="H715" s="21"/>
      <c r="I715" s="21"/>
      <c r="J715" s="21"/>
      <c r="K715" s="21"/>
      <c r="L715" s="21"/>
      <c r="M715" s="21"/>
      <c r="N715" s="86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</row>
    <row r="716" ht="15.75" customHeight="1">
      <c r="A716" s="21"/>
      <c r="B716" s="21"/>
      <c r="C716" s="21"/>
      <c r="D716" s="21"/>
      <c r="E716" s="21"/>
      <c r="F716" s="21"/>
      <c r="G716" s="86"/>
      <c r="H716" s="21"/>
      <c r="I716" s="21"/>
      <c r="J716" s="21"/>
      <c r="K716" s="21"/>
      <c r="L716" s="21"/>
      <c r="M716" s="21"/>
      <c r="N716" s="86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</row>
    <row r="717" ht="15.75" customHeight="1">
      <c r="A717" s="21"/>
      <c r="B717" s="21"/>
      <c r="C717" s="21"/>
      <c r="D717" s="21"/>
      <c r="E717" s="21"/>
      <c r="F717" s="21"/>
      <c r="G717" s="86"/>
      <c r="H717" s="21"/>
      <c r="I717" s="21"/>
      <c r="J717" s="21"/>
      <c r="K717" s="21"/>
      <c r="L717" s="21"/>
      <c r="M717" s="21"/>
      <c r="N717" s="86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</row>
    <row r="718" ht="15.75" customHeight="1">
      <c r="A718" s="21"/>
      <c r="B718" s="21"/>
      <c r="C718" s="21"/>
      <c r="D718" s="21"/>
      <c r="E718" s="21"/>
      <c r="F718" s="21"/>
      <c r="G718" s="86"/>
      <c r="H718" s="21"/>
      <c r="I718" s="21"/>
      <c r="J718" s="21"/>
      <c r="K718" s="21"/>
      <c r="L718" s="21"/>
      <c r="M718" s="21"/>
      <c r="N718" s="86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</row>
    <row r="719" ht="15.75" customHeight="1">
      <c r="A719" s="21"/>
      <c r="B719" s="21"/>
      <c r="C719" s="21"/>
      <c r="D719" s="21"/>
      <c r="E719" s="21"/>
      <c r="F719" s="21"/>
      <c r="G719" s="86"/>
      <c r="H719" s="21"/>
      <c r="I719" s="21"/>
      <c r="J719" s="21"/>
      <c r="K719" s="21"/>
      <c r="L719" s="21"/>
      <c r="M719" s="21"/>
      <c r="N719" s="86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</row>
    <row r="720" ht="15.75" customHeight="1">
      <c r="A720" s="21"/>
      <c r="B720" s="21"/>
      <c r="C720" s="21"/>
      <c r="D720" s="21"/>
      <c r="E720" s="21"/>
      <c r="F720" s="21"/>
      <c r="G720" s="86"/>
      <c r="H720" s="21"/>
      <c r="I720" s="21"/>
      <c r="J720" s="21"/>
      <c r="K720" s="21"/>
      <c r="L720" s="21"/>
      <c r="M720" s="21"/>
      <c r="N720" s="86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</row>
    <row r="721" ht="15.75" customHeight="1">
      <c r="A721" s="21"/>
      <c r="B721" s="21"/>
      <c r="C721" s="21"/>
      <c r="D721" s="21"/>
      <c r="E721" s="21"/>
      <c r="F721" s="21"/>
      <c r="G721" s="86"/>
      <c r="H721" s="21"/>
      <c r="I721" s="21"/>
      <c r="J721" s="21"/>
      <c r="K721" s="21"/>
      <c r="L721" s="21"/>
      <c r="M721" s="21"/>
      <c r="N721" s="86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</row>
    <row r="722" ht="15.75" customHeight="1">
      <c r="A722" s="21"/>
      <c r="B722" s="21"/>
      <c r="C722" s="21"/>
      <c r="D722" s="21"/>
      <c r="E722" s="21"/>
      <c r="F722" s="21"/>
      <c r="G722" s="86"/>
      <c r="H722" s="21"/>
      <c r="I722" s="21"/>
      <c r="J722" s="21"/>
      <c r="K722" s="21"/>
      <c r="L722" s="21"/>
      <c r="M722" s="21"/>
      <c r="N722" s="86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</row>
    <row r="723" ht="15.75" customHeight="1">
      <c r="A723" s="21"/>
      <c r="B723" s="21"/>
      <c r="C723" s="21"/>
      <c r="D723" s="21"/>
      <c r="E723" s="21"/>
      <c r="F723" s="21"/>
      <c r="G723" s="86"/>
      <c r="H723" s="21"/>
      <c r="I723" s="21"/>
      <c r="J723" s="21"/>
      <c r="K723" s="21"/>
      <c r="L723" s="21"/>
      <c r="M723" s="21"/>
      <c r="N723" s="86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</row>
    <row r="724" ht="15.75" customHeight="1">
      <c r="A724" s="21"/>
      <c r="B724" s="21"/>
      <c r="C724" s="21"/>
      <c r="D724" s="21"/>
      <c r="E724" s="21"/>
      <c r="F724" s="21"/>
      <c r="G724" s="86"/>
      <c r="H724" s="21"/>
      <c r="I724" s="21"/>
      <c r="J724" s="21"/>
      <c r="K724" s="21"/>
      <c r="L724" s="21"/>
      <c r="M724" s="21"/>
      <c r="N724" s="86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</row>
    <row r="725" ht="15.75" customHeight="1">
      <c r="A725" s="21"/>
      <c r="B725" s="21"/>
      <c r="C725" s="21"/>
      <c r="D725" s="21"/>
      <c r="E725" s="21"/>
      <c r="F725" s="21"/>
      <c r="G725" s="86"/>
      <c r="H725" s="21"/>
      <c r="I725" s="21"/>
      <c r="J725" s="21"/>
      <c r="K725" s="21"/>
      <c r="L725" s="21"/>
      <c r="M725" s="21"/>
      <c r="N725" s="86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</row>
    <row r="726" ht="15.75" customHeight="1">
      <c r="A726" s="21"/>
      <c r="B726" s="21"/>
      <c r="C726" s="21"/>
      <c r="D726" s="21"/>
      <c r="E726" s="21"/>
      <c r="F726" s="21"/>
      <c r="G726" s="86"/>
      <c r="H726" s="21"/>
      <c r="I726" s="21"/>
      <c r="J726" s="21"/>
      <c r="K726" s="21"/>
      <c r="L726" s="21"/>
      <c r="M726" s="21"/>
      <c r="N726" s="86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</row>
    <row r="727" ht="15.75" customHeight="1">
      <c r="A727" s="21"/>
      <c r="B727" s="21"/>
      <c r="C727" s="21"/>
      <c r="D727" s="21"/>
      <c r="E727" s="21"/>
      <c r="F727" s="21"/>
      <c r="G727" s="86"/>
      <c r="H727" s="21"/>
      <c r="I727" s="21"/>
      <c r="J727" s="21"/>
      <c r="K727" s="21"/>
      <c r="L727" s="21"/>
      <c r="M727" s="21"/>
      <c r="N727" s="86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</row>
    <row r="728" ht="15.75" customHeight="1">
      <c r="A728" s="21"/>
      <c r="B728" s="21"/>
      <c r="C728" s="21"/>
      <c r="D728" s="21"/>
      <c r="E728" s="21"/>
      <c r="F728" s="21"/>
      <c r="G728" s="86"/>
      <c r="H728" s="21"/>
      <c r="I728" s="21"/>
      <c r="J728" s="21"/>
      <c r="K728" s="21"/>
      <c r="L728" s="21"/>
      <c r="M728" s="21"/>
      <c r="N728" s="86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</row>
    <row r="729" ht="15.75" customHeight="1">
      <c r="A729" s="21"/>
      <c r="B729" s="21"/>
      <c r="C729" s="21"/>
      <c r="D729" s="21"/>
      <c r="E729" s="21"/>
      <c r="F729" s="21"/>
      <c r="G729" s="86"/>
      <c r="H729" s="21"/>
      <c r="I729" s="21"/>
      <c r="J729" s="21"/>
      <c r="K729" s="21"/>
      <c r="L729" s="21"/>
      <c r="M729" s="21"/>
      <c r="N729" s="86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</row>
    <row r="730" ht="15.75" customHeight="1">
      <c r="A730" s="21"/>
      <c r="B730" s="21"/>
      <c r="C730" s="21"/>
      <c r="D730" s="21"/>
      <c r="E730" s="21"/>
      <c r="F730" s="21"/>
      <c r="G730" s="86"/>
      <c r="H730" s="21"/>
      <c r="I730" s="21"/>
      <c r="J730" s="21"/>
      <c r="K730" s="21"/>
      <c r="L730" s="21"/>
      <c r="M730" s="21"/>
      <c r="N730" s="86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</row>
    <row r="731" ht="15.75" customHeight="1">
      <c r="A731" s="21"/>
      <c r="B731" s="21"/>
      <c r="C731" s="21"/>
      <c r="D731" s="21"/>
      <c r="E731" s="21"/>
      <c r="F731" s="21"/>
      <c r="G731" s="86"/>
      <c r="H731" s="21"/>
      <c r="I731" s="21"/>
      <c r="J731" s="21"/>
      <c r="K731" s="21"/>
      <c r="L731" s="21"/>
      <c r="M731" s="21"/>
      <c r="N731" s="86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</row>
    <row r="732" ht="15.75" customHeight="1">
      <c r="A732" s="21"/>
      <c r="B732" s="21"/>
      <c r="C732" s="21"/>
      <c r="D732" s="21"/>
      <c r="E732" s="21"/>
      <c r="F732" s="21"/>
      <c r="G732" s="86"/>
      <c r="H732" s="21"/>
      <c r="I732" s="21"/>
      <c r="J732" s="21"/>
      <c r="K732" s="21"/>
      <c r="L732" s="21"/>
      <c r="M732" s="21"/>
      <c r="N732" s="86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</row>
    <row r="733" ht="15.75" customHeight="1">
      <c r="A733" s="21"/>
      <c r="B733" s="21"/>
      <c r="C733" s="21"/>
      <c r="D733" s="21"/>
      <c r="E733" s="21"/>
      <c r="F733" s="21"/>
      <c r="G733" s="86"/>
      <c r="H733" s="21"/>
      <c r="I733" s="21"/>
      <c r="J733" s="21"/>
      <c r="K733" s="21"/>
      <c r="L733" s="21"/>
      <c r="M733" s="21"/>
      <c r="N733" s="86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</row>
    <row r="734" ht="15.75" customHeight="1">
      <c r="A734" s="21"/>
      <c r="B734" s="21"/>
      <c r="C734" s="21"/>
      <c r="D734" s="21"/>
      <c r="E734" s="21"/>
      <c r="F734" s="21"/>
      <c r="G734" s="86"/>
      <c r="H734" s="21"/>
      <c r="I734" s="21"/>
      <c r="J734" s="21"/>
      <c r="K734" s="21"/>
      <c r="L734" s="21"/>
      <c r="M734" s="21"/>
      <c r="N734" s="86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</row>
    <row r="735" ht="15.75" customHeight="1">
      <c r="A735" s="21"/>
      <c r="B735" s="21"/>
      <c r="C735" s="21"/>
      <c r="D735" s="21"/>
      <c r="E735" s="21"/>
      <c r="F735" s="21"/>
      <c r="G735" s="86"/>
      <c r="H735" s="21"/>
      <c r="I735" s="21"/>
      <c r="J735" s="21"/>
      <c r="K735" s="21"/>
      <c r="L735" s="21"/>
      <c r="M735" s="21"/>
      <c r="N735" s="86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</row>
    <row r="736" ht="15.75" customHeight="1">
      <c r="A736" s="21"/>
      <c r="B736" s="21"/>
      <c r="C736" s="21"/>
      <c r="D736" s="21"/>
      <c r="E736" s="21"/>
      <c r="F736" s="21"/>
      <c r="G736" s="86"/>
      <c r="H736" s="21"/>
      <c r="I736" s="21"/>
      <c r="J736" s="21"/>
      <c r="K736" s="21"/>
      <c r="L736" s="21"/>
      <c r="M736" s="21"/>
      <c r="N736" s="86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</row>
    <row r="737" ht="15.75" customHeight="1">
      <c r="A737" s="21"/>
      <c r="B737" s="21"/>
      <c r="C737" s="21"/>
      <c r="D737" s="21"/>
      <c r="E737" s="21"/>
      <c r="F737" s="21"/>
      <c r="G737" s="86"/>
      <c r="H737" s="21"/>
      <c r="I737" s="21"/>
      <c r="J737" s="21"/>
      <c r="K737" s="21"/>
      <c r="L737" s="21"/>
      <c r="M737" s="21"/>
      <c r="N737" s="86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</row>
    <row r="738" ht="15.75" customHeight="1">
      <c r="A738" s="21"/>
      <c r="B738" s="21"/>
      <c r="C738" s="21"/>
      <c r="D738" s="21"/>
      <c r="E738" s="21"/>
      <c r="F738" s="21"/>
      <c r="G738" s="86"/>
      <c r="H738" s="21"/>
      <c r="I738" s="21"/>
      <c r="J738" s="21"/>
      <c r="K738" s="21"/>
      <c r="L738" s="21"/>
      <c r="M738" s="21"/>
      <c r="N738" s="86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</row>
    <row r="739" ht="15.75" customHeight="1">
      <c r="A739" s="21"/>
      <c r="B739" s="21"/>
      <c r="C739" s="21"/>
      <c r="D739" s="21"/>
      <c r="E739" s="21"/>
      <c r="F739" s="21"/>
      <c r="G739" s="86"/>
      <c r="H739" s="21"/>
      <c r="I739" s="21"/>
      <c r="J739" s="21"/>
      <c r="K739" s="21"/>
      <c r="L739" s="21"/>
      <c r="M739" s="21"/>
      <c r="N739" s="86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</row>
    <row r="740" ht="15.75" customHeight="1">
      <c r="A740" s="21"/>
      <c r="B740" s="21"/>
      <c r="C740" s="21"/>
      <c r="D740" s="21"/>
      <c r="E740" s="21"/>
      <c r="F740" s="21"/>
      <c r="G740" s="86"/>
      <c r="H740" s="21"/>
      <c r="I740" s="21"/>
      <c r="J740" s="21"/>
      <c r="K740" s="21"/>
      <c r="L740" s="21"/>
      <c r="M740" s="21"/>
      <c r="N740" s="86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</row>
    <row r="741" ht="15.75" customHeight="1">
      <c r="A741" s="21"/>
      <c r="B741" s="21"/>
      <c r="C741" s="21"/>
      <c r="D741" s="21"/>
      <c r="E741" s="21"/>
      <c r="F741" s="21"/>
      <c r="G741" s="86"/>
      <c r="H741" s="21"/>
      <c r="I741" s="21"/>
      <c r="J741" s="21"/>
      <c r="K741" s="21"/>
      <c r="L741" s="21"/>
      <c r="M741" s="21"/>
      <c r="N741" s="86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</row>
    <row r="742" ht="15.75" customHeight="1">
      <c r="A742" s="21"/>
      <c r="B742" s="21"/>
      <c r="C742" s="21"/>
      <c r="D742" s="21"/>
      <c r="E742" s="21"/>
      <c r="F742" s="21"/>
      <c r="G742" s="86"/>
      <c r="H742" s="21"/>
      <c r="I742" s="21"/>
      <c r="J742" s="21"/>
      <c r="K742" s="21"/>
      <c r="L742" s="21"/>
      <c r="M742" s="21"/>
      <c r="N742" s="86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</row>
    <row r="743" ht="15.75" customHeight="1">
      <c r="A743" s="21"/>
      <c r="B743" s="21"/>
      <c r="C743" s="21"/>
      <c r="D743" s="21"/>
      <c r="E743" s="21"/>
      <c r="F743" s="21"/>
      <c r="G743" s="86"/>
      <c r="H743" s="21"/>
      <c r="I743" s="21"/>
      <c r="J743" s="21"/>
      <c r="K743" s="21"/>
      <c r="L743" s="21"/>
      <c r="M743" s="21"/>
      <c r="N743" s="86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</row>
    <row r="744" ht="15.75" customHeight="1">
      <c r="A744" s="21"/>
      <c r="B744" s="21"/>
      <c r="C744" s="21"/>
      <c r="D744" s="21"/>
      <c r="E744" s="21"/>
      <c r="F744" s="21"/>
      <c r="G744" s="86"/>
      <c r="H744" s="21"/>
      <c r="I744" s="21"/>
      <c r="J744" s="21"/>
      <c r="K744" s="21"/>
      <c r="L744" s="21"/>
      <c r="M744" s="21"/>
      <c r="N744" s="86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</row>
    <row r="745" ht="15.75" customHeight="1">
      <c r="A745" s="21"/>
      <c r="B745" s="21"/>
      <c r="C745" s="21"/>
      <c r="D745" s="21"/>
      <c r="E745" s="21"/>
      <c r="F745" s="21"/>
      <c r="G745" s="86"/>
      <c r="H745" s="21"/>
      <c r="I745" s="21"/>
      <c r="J745" s="21"/>
      <c r="K745" s="21"/>
      <c r="L745" s="21"/>
      <c r="M745" s="21"/>
      <c r="N745" s="86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</row>
    <row r="746" ht="15.75" customHeight="1">
      <c r="A746" s="21"/>
      <c r="B746" s="21"/>
      <c r="C746" s="21"/>
      <c r="D746" s="21"/>
      <c r="E746" s="21"/>
      <c r="F746" s="21"/>
      <c r="G746" s="86"/>
      <c r="H746" s="21"/>
      <c r="I746" s="21"/>
      <c r="J746" s="21"/>
      <c r="K746" s="21"/>
      <c r="L746" s="21"/>
      <c r="M746" s="21"/>
      <c r="N746" s="86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</row>
    <row r="747" ht="15.75" customHeight="1">
      <c r="A747" s="21"/>
      <c r="B747" s="21"/>
      <c r="C747" s="21"/>
      <c r="D747" s="21"/>
      <c r="E747" s="21"/>
      <c r="F747" s="21"/>
      <c r="G747" s="86"/>
      <c r="H747" s="21"/>
      <c r="I747" s="21"/>
      <c r="J747" s="21"/>
      <c r="K747" s="21"/>
      <c r="L747" s="21"/>
      <c r="M747" s="21"/>
      <c r="N747" s="86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</row>
    <row r="748" ht="15.75" customHeight="1">
      <c r="A748" s="21"/>
      <c r="B748" s="21"/>
      <c r="C748" s="21"/>
      <c r="D748" s="21"/>
      <c r="E748" s="21"/>
      <c r="F748" s="21"/>
      <c r="G748" s="86"/>
      <c r="H748" s="21"/>
      <c r="I748" s="21"/>
      <c r="J748" s="21"/>
      <c r="K748" s="21"/>
      <c r="L748" s="21"/>
      <c r="M748" s="21"/>
      <c r="N748" s="86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</row>
    <row r="749" ht="15.75" customHeight="1">
      <c r="A749" s="21"/>
      <c r="B749" s="21"/>
      <c r="C749" s="21"/>
      <c r="D749" s="21"/>
      <c r="E749" s="21"/>
      <c r="F749" s="21"/>
      <c r="G749" s="86"/>
      <c r="H749" s="21"/>
      <c r="I749" s="21"/>
      <c r="J749" s="21"/>
      <c r="K749" s="21"/>
      <c r="L749" s="21"/>
      <c r="M749" s="21"/>
      <c r="N749" s="86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</row>
    <row r="750" ht="15.75" customHeight="1">
      <c r="A750" s="21"/>
      <c r="B750" s="21"/>
      <c r="C750" s="21"/>
      <c r="D750" s="21"/>
      <c r="E750" s="21"/>
      <c r="F750" s="21"/>
      <c r="G750" s="86"/>
      <c r="H750" s="21"/>
      <c r="I750" s="21"/>
      <c r="J750" s="21"/>
      <c r="K750" s="21"/>
      <c r="L750" s="21"/>
      <c r="M750" s="21"/>
      <c r="N750" s="86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</row>
    <row r="751" ht="15.75" customHeight="1">
      <c r="A751" s="21"/>
      <c r="B751" s="21"/>
      <c r="C751" s="21"/>
      <c r="D751" s="21"/>
      <c r="E751" s="21"/>
      <c r="F751" s="21"/>
      <c r="G751" s="86"/>
      <c r="H751" s="21"/>
      <c r="I751" s="21"/>
      <c r="J751" s="21"/>
      <c r="K751" s="21"/>
      <c r="L751" s="21"/>
      <c r="M751" s="21"/>
      <c r="N751" s="86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</row>
    <row r="752" ht="15.75" customHeight="1">
      <c r="A752" s="21"/>
      <c r="B752" s="21"/>
      <c r="C752" s="21"/>
      <c r="D752" s="21"/>
      <c r="E752" s="21"/>
      <c r="F752" s="21"/>
      <c r="G752" s="86"/>
      <c r="H752" s="21"/>
      <c r="I752" s="21"/>
      <c r="J752" s="21"/>
      <c r="K752" s="21"/>
      <c r="L752" s="21"/>
      <c r="M752" s="21"/>
      <c r="N752" s="86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</row>
    <row r="753" ht="15.75" customHeight="1">
      <c r="A753" s="21"/>
      <c r="B753" s="21"/>
      <c r="C753" s="21"/>
      <c r="D753" s="21"/>
      <c r="E753" s="21"/>
      <c r="F753" s="21"/>
      <c r="G753" s="86"/>
      <c r="H753" s="21"/>
      <c r="I753" s="21"/>
      <c r="J753" s="21"/>
      <c r="K753" s="21"/>
      <c r="L753" s="21"/>
      <c r="M753" s="21"/>
      <c r="N753" s="86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</row>
    <row r="754" ht="15.75" customHeight="1">
      <c r="A754" s="21"/>
      <c r="B754" s="21"/>
      <c r="C754" s="21"/>
      <c r="D754" s="21"/>
      <c r="E754" s="21"/>
      <c r="F754" s="21"/>
      <c r="G754" s="86"/>
      <c r="H754" s="21"/>
      <c r="I754" s="21"/>
      <c r="J754" s="21"/>
      <c r="K754" s="21"/>
      <c r="L754" s="21"/>
      <c r="M754" s="21"/>
      <c r="N754" s="86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</row>
    <row r="755" ht="15.75" customHeight="1">
      <c r="A755" s="21"/>
      <c r="B755" s="21"/>
      <c r="C755" s="21"/>
      <c r="D755" s="21"/>
      <c r="E755" s="21"/>
      <c r="F755" s="21"/>
      <c r="G755" s="86"/>
      <c r="H755" s="21"/>
      <c r="I755" s="21"/>
      <c r="J755" s="21"/>
      <c r="K755" s="21"/>
      <c r="L755" s="21"/>
      <c r="M755" s="21"/>
      <c r="N755" s="86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</row>
    <row r="756" ht="15.75" customHeight="1">
      <c r="A756" s="21"/>
      <c r="B756" s="21"/>
      <c r="C756" s="21"/>
      <c r="D756" s="21"/>
      <c r="E756" s="21"/>
      <c r="F756" s="21"/>
      <c r="G756" s="86"/>
      <c r="H756" s="21"/>
      <c r="I756" s="21"/>
      <c r="J756" s="21"/>
      <c r="K756" s="21"/>
      <c r="L756" s="21"/>
      <c r="M756" s="21"/>
      <c r="N756" s="86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</row>
    <row r="757" ht="15.75" customHeight="1">
      <c r="A757" s="21"/>
      <c r="B757" s="21"/>
      <c r="C757" s="21"/>
      <c r="D757" s="21"/>
      <c r="E757" s="21"/>
      <c r="F757" s="21"/>
      <c r="G757" s="86"/>
      <c r="H757" s="21"/>
      <c r="I757" s="21"/>
      <c r="J757" s="21"/>
      <c r="K757" s="21"/>
      <c r="L757" s="21"/>
      <c r="M757" s="21"/>
      <c r="N757" s="86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</row>
    <row r="758" ht="15.75" customHeight="1">
      <c r="A758" s="21"/>
      <c r="B758" s="21"/>
      <c r="C758" s="21"/>
      <c r="D758" s="21"/>
      <c r="E758" s="21"/>
      <c r="F758" s="21"/>
      <c r="G758" s="86"/>
      <c r="H758" s="21"/>
      <c r="I758" s="21"/>
      <c r="J758" s="21"/>
      <c r="K758" s="21"/>
      <c r="L758" s="21"/>
      <c r="M758" s="21"/>
      <c r="N758" s="86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</row>
    <row r="759" ht="15.75" customHeight="1">
      <c r="A759" s="21"/>
      <c r="B759" s="21"/>
      <c r="C759" s="21"/>
      <c r="D759" s="21"/>
      <c r="E759" s="21"/>
      <c r="F759" s="21"/>
      <c r="G759" s="86"/>
      <c r="H759" s="21"/>
      <c r="I759" s="21"/>
      <c r="J759" s="21"/>
      <c r="K759" s="21"/>
      <c r="L759" s="21"/>
      <c r="M759" s="21"/>
      <c r="N759" s="86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</row>
    <row r="760" ht="15.75" customHeight="1">
      <c r="A760" s="21"/>
      <c r="B760" s="21"/>
      <c r="C760" s="21"/>
      <c r="D760" s="21"/>
      <c r="E760" s="21"/>
      <c r="F760" s="21"/>
      <c r="G760" s="86"/>
      <c r="H760" s="21"/>
      <c r="I760" s="21"/>
      <c r="J760" s="21"/>
      <c r="K760" s="21"/>
      <c r="L760" s="21"/>
      <c r="M760" s="21"/>
      <c r="N760" s="86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</row>
    <row r="761" ht="15.75" customHeight="1">
      <c r="A761" s="21"/>
      <c r="B761" s="21"/>
      <c r="C761" s="21"/>
      <c r="D761" s="21"/>
      <c r="E761" s="21"/>
      <c r="F761" s="21"/>
      <c r="G761" s="86"/>
      <c r="H761" s="21"/>
      <c r="I761" s="21"/>
      <c r="J761" s="21"/>
      <c r="K761" s="21"/>
      <c r="L761" s="21"/>
      <c r="M761" s="21"/>
      <c r="N761" s="86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</row>
    <row r="762" ht="15.75" customHeight="1">
      <c r="A762" s="21"/>
      <c r="B762" s="21"/>
      <c r="C762" s="21"/>
      <c r="D762" s="21"/>
      <c r="E762" s="21"/>
      <c r="F762" s="21"/>
      <c r="G762" s="86"/>
      <c r="H762" s="21"/>
      <c r="I762" s="21"/>
      <c r="J762" s="21"/>
      <c r="K762" s="21"/>
      <c r="L762" s="21"/>
      <c r="M762" s="21"/>
      <c r="N762" s="86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</row>
    <row r="763" ht="15.75" customHeight="1">
      <c r="A763" s="21"/>
      <c r="B763" s="21"/>
      <c r="C763" s="21"/>
      <c r="D763" s="21"/>
      <c r="E763" s="21"/>
      <c r="F763" s="21"/>
      <c r="G763" s="86"/>
      <c r="H763" s="21"/>
      <c r="I763" s="21"/>
      <c r="J763" s="21"/>
      <c r="K763" s="21"/>
      <c r="L763" s="21"/>
      <c r="M763" s="21"/>
      <c r="N763" s="86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</row>
    <row r="764" ht="15.75" customHeight="1">
      <c r="A764" s="21"/>
      <c r="B764" s="21"/>
      <c r="C764" s="21"/>
      <c r="D764" s="21"/>
      <c r="E764" s="21"/>
      <c r="F764" s="21"/>
      <c r="G764" s="86"/>
      <c r="H764" s="21"/>
      <c r="I764" s="21"/>
      <c r="J764" s="21"/>
      <c r="K764" s="21"/>
      <c r="L764" s="21"/>
      <c r="M764" s="21"/>
      <c r="N764" s="86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</row>
    <row r="765" ht="15.75" customHeight="1">
      <c r="A765" s="21"/>
      <c r="B765" s="21"/>
      <c r="C765" s="21"/>
      <c r="D765" s="21"/>
      <c r="E765" s="21"/>
      <c r="F765" s="21"/>
      <c r="G765" s="86"/>
      <c r="H765" s="21"/>
      <c r="I765" s="21"/>
      <c r="J765" s="21"/>
      <c r="K765" s="21"/>
      <c r="L765" s="21"/>
      <c r="M765" s="21"/>
      <c r="N765" s="86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</row>
    <row r="766" ht="15.75" customHeight="1">
      <c r="A766" s="21"/>
      <c r="B766" s="21"/>
      <c r="C766" s="21"/>
      <c r="D766" s="21"/>
      <c r="E766" s="21"/>
      <c r="F766" s="21"/>
      <c r="G766" s="86"/>
      <c r="H766" s="21"/>
      <c r="I766" s="21"/>
      <c r="J766" s="21"/>
      <c r="K766" s="21"/>
      <c r="L766" s="21"/>
      <c r="M766" s="21"/>
      <c r="N766" s="86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</row>
    <row r="767" ht="15.75" customHeight="1">
      <c r="A767" s="21"/>
      <c r="B767" s="21"/>
      <c r="C767" s="21"/>
      <c r="D767" s="21"/>
      <c r="E767" s="21"/>
      <c r="F767" s="21"/>
      <c r="G767" s="86"/>
      <c r="H767" s="21"/>
      <c r="I767" s="21"/>
      <c r="J767" s="21"/>
      <c r="K767" s="21"/>
      <c r="L767" s="21"/>
      <c r="M767" s="21"/>
      <c r="N767" s="86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</row>
    <row r="768" ht="15.75" customHeight="1">
      <c r="A768" s="21"/>
      <c r="B768" s="21"/>
      <c r="C768" s="21"/>
      <c r="D768" s="21"/>
      <c r="E768" s="21"/>
      <c r="F768" s="21"/>
      <c r="G768" s="86"/>
      <c r="H768" s="21"/>
      <c r="I768" s="21"/>
      <c r="J768" s="21"/>
      <c r="K768" s="21"/>
      <c r="L768" s="21"/>
      <c r="M768" s="21"/>
      <c r="N768" s="86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</row>
    <row r="769" ht="15.75" customHeight="1">
      <c r="A769" s="21"/>
      <c r="B769" s="21"/>
      <c r="C769" s="21"/>
      <c r="D769" s="21"/>
      <c r="E769" s="21"/>
      <c r="F769" s="21"/>
      <c r="G769" s="86"/>
      <c r="H769" s="21"/>
      <c r="I769" s="21"/>
      <c r="J769" s="21"/>
      <c r="K769" s="21"/>
      <c r="L769" s="21"/>
      <c r="M769" s="21"/>
      <c r="N769" s="86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</row>
    <row r="770" ht="15.75" customHeight="1">
      <c r="A770" s="21"/>
      <c r="B770" s="21"/>
      <c r="C770" s="21"/>
      <c r="D770" s="21"/>
      <c r="E770" s="21"/>
      <c r="F770" s="21"/>
      <c r="G770" s="86"/>
      <c r="H770" s="21"/>
      <c r="I770" s="21"/>
      <c r="J770" s="21"/>
      <c r="K770" s="21"/>
      <c r="L770" s="21"/>
      <c r="M770" s="21"/>
      <c r="N770" s="86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</row>
    <row r="771" ht="15.75" customHeight="1">
      <c r="A771" s="21"/>
      <c r="B771" s="21"/>
      <c r="C771" s="21"/>
      <c r="D771" s="21"/>
      <c r="E771" s="21"/>
      <c r="F771" s="21"/>
      <c r="G771" s="86"/>
      <c r="H771" s="21"/>
      <c r="I771" s="21"/>
      <c r="J771" s="21"/>
      <c r="K771" s="21"/>
      <c r="L771" s="21"/>
      <c r="M771" s="21"/>
      <c r="N771" s="86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</row>
    <row r="772" ht="15.75" customHeight="1">
      <c r="A772" s="21"/>
      <c r="B772" s="21"/>
      <c r="C772" s="21"/>
      <c r="D772" s="21"/>
      <c r="E772" s="21"/>
      <c r="F772" s="21"/>
      <c r="G772" s="86"/>
      <c r="H772" s="21"/>
      <c r="I772" s="21"/>
      <c r="J772" s="21"/>
      <c r="K772" s="21"/>
      <c r="L772" s="21"/>
      <c r="M772" s="21"/>
      <c r="N772" s="86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</row>
    <row r="773" ht="15.75" customHeight="1">
      <c r="A773" s="21"/>
      <c r="B773" s="21"/>
      <c r="C773" s="21"/>
      <c r="D773" s="21"/>
      <c r="E773" s="21"/>
      <c r="F773" s="21"/>
      <c r="G773" s="86"/>
      <c r="H773" s="21"/>
      <c r="I773" s="21"/>
      <c r="J773" s="21"/>
      <c r="K773" s="21"/>
      <c r="L773" s="21"/>
      <c r="M773" s="21"/>
      <c r="N773" s="86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</row>
    <row r="774" ht="15.75" customHeight="1">
      <c r="A774" s="21"/>
      <c r="B774" s="21"/>
      <c r="C774" s="21"/>
      <c r="D774" s="21"/>
      <c r="E774" s="21"/>
      <c r="F774" s="21"/>
      <c r="G774" s="86"/>
      <c r="H774" s="21"/>
      <c r="I774" s="21"/>
      <c r="J774" s="21"/>
      <c r="K774" s="21"/>
      <c r="L774" s="21"/>
      <c r="M774" s="21"/>
      <c r="N774" s="86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</row>
    <row r="775" ht="15.75" customHeight="1">
      <c r="A775" s="21"/>
      <c r="B775" s="21"/>
      <c r="C775" s="21"/>
      <c r="D775" s="21"/>
      <c r="E775" s="21"/>
      <c r="F775" s="21"/>
      <c r="G775" s="86"/>
      <c r="H775" s="21"/>
      <c r="I775" s="21"/>
      <c r="J775" s="21"/>
      <c r="K775" s="21"/>
      <c r="L775" s="21"/>
      <c r="M775" s="21"/>
      <c r="N775" s="86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</row>
    <row r="776" ht="15.75" customHeight="1">
      <c r="A776" s="21"/>
      <c r="B776" s="21"/>
      <c r="C776" s="21"/>
      <c r="D776" s="21"/>
      <c r="E776" s="21"/>
      <c r="F776" s="21"/>
      <c r="G776" s="86"/>
      <c r="H776" s="21"/>
      <c r="I776" s="21"/>
      <c r="J776" s="21"/>
      <c r="K776" s="21"/>
      <c r="L776" s="21"/>
      <c r="M776" s="21"/>
      <c r="N776" s="86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</row>
    <row r="777" ht="15.75" customHeight="1">
      <c r="A777" s="21"/>
      <c r="B777" s="21"/>
      <c r="C777" s="21"/>
      <c r="D777" s="21"/>
      <c r="E777" s="21"/>
      <c r="F777" s="21"/>
      <c r="G777" s="86"/>
      <c r="H777" s="21"/>
      <c r="I777" s="21"/>
      <c r="J777" s="21"/>
      <c r="K777" s="21"/>
      <c r="L777" s="21"/>
      <c r="M777" s="21"/>
      <c r="N777" s="86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</row>
    <row r="778" ht="15.75" customHeight="1">
      <c r="A778" s="21"/>
      <c r="B778" s="21"/>
      <c r="C778" s="21"/>
      <c r="D778" s="21"/>
      <c r="E778" s="21"/>
      <c r="F778" s="21"/>
      <c r="G778" s="86"/>
      <c r="H778" s="21"/>
      <c r="I778" s="21"/>
      <c r="J778" s="21"/>
      <c r="K778" s="21"/>
      <c r="L778" s="21"/>
      <c r="M778" s="21"/>
      <c r="N778" s="86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</row>
    <row r="779" ht="15.75" customHeight="1">
      <c r="A779" s="21"/>
      <c r="B779" s="21"/>
      <c r="C779" s="21"/>
      <c r="D779" s="21"/>
      <c r="E779" s="21"/>
      <c r="F779" s="21"/>
      <c r="G779" s="86"/>
      <c r="H779" s="21"/>
      <c r="I779" s="21"/>
      <c r="J779" s="21"/>
      <c r="K779" s="21"/>
      <c r="L779" s="21"/>
      <c r="M779" s="21"/>
      <c r="N779" s="86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</row>
    <row r="780" ht="15.75" customHeight="1">
      <c r="A780" s="21"/>
      <c r="B780" s="21"/>
      <c r="C780" s="21"/>
      <c r="D780" s="21"/>
      <c r="E780" s="21"/>
      <c r="F780" s="21"/>
      <c r="G780" s="86"/>
      <c r="H780" s="21"/>
      <c r="I780" s="21"/>
      <c r="J780" s="21"/>
      <c r="K780" s="21"/>
      <c r="L780" s="21"/>
      <c r="M780" s="21"/>
      <c r="N780" s="86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</row>
    <row r="781" ht="15.75" customHeight="1">
      <c r="A781" s="21"/>
      <c r="B781" s="21"/>
      <c r="C781" s="21"/>
      <c r="D781" s="21"/>
      <c r="E781" s="21"/>
      <c r="F781" s="21"/>
      <c r="G781" s="86"/>
      <c r="H781" s="21"/>
      <c r="I781" s="21"/>
      <c r="J781" s="21"/>
      <c r="K781" s="21"/>
      <c r="L781" s="21"/>
      <c r="M781" s="21"/>
      <c r="N781" s="86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</row>
    <row r="782" ht="15.75" customHeight="1">
      <c r="A782" s="21"/>
      <c r="B782" s="21"/>
      <c r="C782" s="21"/>
      <c r="D782" s="21"/>
      <c r="E782" s="21"/>
      <c r="F782" s="21"/>
      <c r="G782" s="86"/>
      <c r="H782" s="21"/>
      <c r="I782" s="21"/>
      <c r="J782" s="21"/>
      <c r="K782" s="21"/>
      <c r="L782" s="21"/>
      <c r="M782" s="21"/>
      <c r="N782" s="86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</row>
    <row r="783" ht="15.75" customHeight="1">
      <c r="A783" s="21"/>
      <c r="B783" s="21"/>
      <c r="C783" s="21"/>
      <c r="D783" s="21"/>
      <c r="E783" s="21"/>
      <c r="F783" s="21"/>
      <c r="G783" s="86"/>
      <c r="H783" s="21"/>
      <c r="I783" s="21"/>
      <c r="J783" s="21"/>
      <c r="K783" s="21"/>
      <c r="L783" s="21"/>
      <c r="M783" s="21"/>
      <c r="N783" s="86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</row>
    <row r="784" ht="15.75" customHeight="1">
      <c r="A784" s="21"/>
      <c r="B784" s="21"/>
      <c r="C784" s="21"/>
      <c r="D784" s="21"/>
      <c r="E784" s="21"/>
      <c r="F784" s="21"/>
      <c r="G784" s="86"/>
      <c r="H784" s="21"/>
      <c r="I784" s="21"/>
      <c r="J784" s="21"/>
      <c r="K784" s="21"/>
      <c r="L784" s="21"/>
      <c r="M784" s="21"/>
      <c r="N784" s="86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</row>
    <row r="785" ht="15.75" customHeight="1">
      <c r="A785" s="21"/>
      <c r="B785" s="21"/>
      <c r="C785" s="21"/>
      <c r="D785" s="21"/>
      <c r="E785" s="21"/>
      <c r="F785" s="21"/>
      <c r="G785" s="86"/>
      <c r="H785" s="21"/>
      <c r="I785" s="21"/>
      <c r="J785" s="21"/>
      <c r="K785" s="21"/>
      <c r="L785" s="21"/>
      <c r="M785" s="21"/>
      <c r="N785" s="86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</row>
    <row r="786" ht="15.75" customHeight="1">
      <c r="A786" s="21"/>
      <c r="B786" s="21"/>
      <c r="C786" s="21"/>
      <c r="D786" s="21"/>
      <c r="E786" s="21"/>
      <c r="F786" s="21"/>
      <c r="G786" s="86"/>
      <c r="H786" s="21"/>
      <c r="I786" s="21"/>
      <c r="J786" s="21"/>
      <c r="K786" s="21"/>
      <c r="L786" s="21"/>
      <c r="M786" s="21"/>
      <c r="N786" s="86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</row>
    <row r="787" ht="15.75" customHeight="1">
      <c r="A787" s="21"/>
      <c r="B787" s="21"/>
      <c r="C787" s="21"/>
      <c r="D787" s="21"/>
      <c r="E787" s="21"/>
      <c r="F787" s="21"/>
      <c r="G787" s="86"/>
      <c r="H787" s="21"/>
      <c r="I787" s="21"/>
      <c r="J787" s="21"/>
      <c r="K787" s="21"/>
      <c r="L787" s="21"/>
      <c r="M787" s="21"/>
      <c r="N787" s="86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</row>
    <row r="788" ht="15.75" customHeight="1">
      <c r="A788" s="21"/>
      <c r="B788" s="21"/>
      <c r="C788" s="21"/>
      <c r="D788" s="21"/>
      <c r="E788" s="21"/>
      <c r="F788" s="21"/>
      <c r="G788" s="86"/>
      <c r="H788" s="21"/>
      <c r="I788" s="21"/>
      <c r="J788" s="21"/>
      <c r="K788" s="21"/>
      <c r="L788" s="21"/>
      <c r="M788" s="21"/>
      <c r="N788" s="86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</row>
    <row r="789" ht="15.75" customHeight="1">
      <c r="A789" s="21"/>
      <c r="B789" s="21"/>
      <c r="C789" s="21"/>
      <c r="D789" s="21"/>
      <c r="E789" s="21"/>
      <c r="F789" s="21"/>
      <c r="G789" s="86"/>
      <c r="H789" s="21"/>
      <c r="I789" s="21"/>
      <c r="J789" s="21"/>
      <c r="K789" s="21"/>
      <c r="L789" s="21"/>
      <c r="M789" s="21"/>
      <c r="N789" s="86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</row>
    <row r="790" ht="15.75" customHeight="1">
      <c r="A790" s="21"/>
      <c r="B790" s="21"/>
      <c r="C790" s="21"/>
      <c r="D790" s="21"/>
      <c r="E790" s="21"/>
      <c r="F790" s="21"/>
      <c r="G790" s="86"/>
      <c r="H790" s="21"/>
      <c r="I790" s="21"/>
      <c r="J790" s="21"/>
      <c r="K790" s="21"/>
      <c r="L790" s="21"/>
      <c r="M790" s="21"/>
      <c r="N790" s="86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</row>
    <row r="791" ht="15.75" customHeight="1">
      <c r="A791" s="21"/>
      <c r="B791" s="21"/>
      <c r="C791" s="21"/>
      <c r="D791" s="21"/>
      <c r="E791" s="21"/>
      <c r="F791" s="21"/>
      <c r="G791" s="86"/>
      <c r="H791" s="21"/>
      <c r="I791" s="21"/>
      <c r="J791" s="21"/>
      <c r="K791" s="21"/>
      <c r="L791" s="21"/>
      <c r="M791" s="21"/>
      <c r="N791" s="86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</row>
    <row r="792" ht="15.75" customHeight="1">
      <c r="A792" s="21"/>
      <c r="B792" s="21"/>
      <c r="C792" s="21"/>
      <c r="D792" s="21"/>
      <c r="E792" s="21"/>
      <c r="F792" s="21"/>
      <c r="G792" s="86"/>
      <c r="H792" s="21"/>
      <c r="I792" s="21"/>
      <c r="J792" s="21"/>
      <c r="K792" s="21"/>
      <c r="L792" s="21"/>
      <c r="M792" s="21"/>
      <c r="N792" s="86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</row>
    <row r="793" ht="15.75" customHeight="1">
      <c r="A793" s="21"/>
      <c r="B793" s="21"/>
      <c r="C793" s="21"/>
      <c r="D793" s="21"/>
      <c r="E793" s="21"/>
      <c r="F793" s="21"/>
      <c r="G793" s="86"/>
      <c r="H793" s="21"/>
      <c r="I793" s="21"/>
      <c r="J793" s="21"/>
      <c r="K793" s="21"/>
      <c r="L793" s="21"/>
      <c r="M793" s="21"/>
      <c r="N793" s="86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</row>
    <row r="794" ht="15.75" customHeight="1">
      <c r="A794" s="21"/>
      <c r="B794" s="21"/>
      <c r="C794" s="21"/>
      <c r="D794" s="21"/>
      <c r="E794" s="21"/>
      <c r="F794" s="21"/>
      <c r="G794" s="86"/>
      <c r="H794" s="21"/>
      <c r="I794" s="21"/>
      <c r="J794" s="21"/>
      <c r="K794" s="21"/>
      <c r="L794" s="21"/>
      <c r="M794" s="21"/>
      <c r="N794" s="86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</row>
    <row r="795" ht="15.75" customHeight="1">
      <c r="A795" s="21"/>
      <c r="B795" s="21"/>
      <c r="C795" s="21"/>
      <c r="D795" s="21"/>
      <c r="E795" s="21"/>
      <c r="F795" s="21"/>
      <c r="G795" s="86"/>
      <c r="H795" s="21"/>
      <c r="I795" s="21"/>
      <c r="J795" s="21"/>
      <c r="K795" s="21"/>
      <c r="L795" s="21"/>
      <c r="M795" s="21"/>
      <c r="N795" s="86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</row>
    <row r="796" ht="15.75" customHeight="1">
      <c r="A796" s="21"/>
      <c r="B796" s="21"/>
      <c r="C796" s="21"/>
      <c r="D796" s="21"/>
      <c r="E796" s="21"/>
      <c r="F796" s="21"/>
      <c r="G796" s="86"/>
      <c r="H796" s="21"/>
      <c r="I796" s="21"/>
      <c r="J796" s="21"/>
      <c r="K796" s="21"/>
      <c r="L796" s="21"/>
      <c r="M796" s="21"/>
      <c r="N796" s="86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</row>
    <row r="797" ht="15.75" customHeight="1">
      <c r="A797" s="21"/>
      <c r="B797" s="21"/>
      <c r="C797" s="21"/>
      <c r="D797" s="21"/>
      <c r="E797" s="21"/>
      <c r="F797" s="21"/>
      <c r="G797" s="86"/>
      <c r="H797" s="21"/>
      <c r="I797" s="21"/>
      <c r="J797" s="21"/>
      <c r="K797" s="21"/>
      <c r="L797" s="21"/>
      <c r="M797" s="21"/>
      <c r="N797" s="86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</row>
    <row r="798" ht="15.75" customHeight="1">
      <c r="A798" s="21"/>
      <c r="B798" s="21"/>
      <c r="C798" s="21"/>
      <c r="D798" s="21"/>
      <c r="E798" s="21"/>
      <c r="F798" s="21"/>
      <c r="G798" s="86"/>
      <c r="H798" s="21"/>
      <c r="I798" s="21"/>
      <c r="J798" s="21"/>
      <c r="K798" s="21"/>
      <c r="L798" s="21"/>
      <c r="M798" s="21"/>
      <c r="N798" s="86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</row>
    <row r="799" ht="15.75" customHeight="1">
      <c r="A799" s="21"/>
      <c r="B799" s="21"/>
      <c r="C799" s="21"/>
      <c r="D799" s="21"/>
      <c r="E799" s="21"/>
      <c r="F799" s="21"/>
      <c r="G799" s="86"/>
      <c r="H799" s="21"/>
      <c r="I799" s="21"/>
      <c r="J799" s="21"/>
      <c r="K799" s="21"/>
      <c r="L799" s="21"/>
      <c r="M799" s="21"/>
      <c r="N799" s="86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</row>
    <row r="800" ht="15.75" customHeight="1">
      <c r="A800" s="21"/>
      <c r="B800" s="21"/>
      <c r="C800" s="21"/>
      <c r="D800" s="21"/>
      <c r="E800" s="21"/>
      <c r="F800" s="21"/>
      <c r="G800" s="86"/>
      <c r="H800" s="21"/>
      <c r="I800" s="21"/>
      <c r="J800" s="21"/>
      <c r="K800" s="21"/>
      <c r="L800" s="21"/>
      <c r="M800" s="21"/>
      <c r="N800" s="86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</row>
    <row r="801" ht="15.75" customHeight="1">
      <c r="A801" s="21"/>
      <c r="B801" s="21"/>
      <c r="C801" s="21"/>
      <c r="D801" s="21"/>
      <c r="E801" s="21"/>
      <c r="F801" s="21"/>
      <c r="G801" s="86"/>
      <c r="H801" s="21"/>
      <c r="I801" s="21"/>
      <c r="J801" s="21"/>
      <c r="K801" s="21"/>
      <c r="L801" s="21"/>
      <c r="M801" s="21"/>
      <c r="N801" s="86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</row>
    <row r="802" ht="15.75" customHeight="1">
      <c r="A802" s="21"/>
      <c r="B802" s="21"/>
      <c r="C802" s="21"/>
      <c r="D802" s="21"/>
      <c r="E802" s="21"/>
      <c r="F802" s="21"/>
      <c r="G802" s="86"/>
      <c r="H802" s="21"/>
      <c r="I802" s="21"/>
      <c r="J802" s="21"/>
      <c r="K802" s="21"/>
      <c r="L802" s="21"/>
      <c r="M802" s="21"/>
      <c r="N802" s="86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</row>
    <row r="803" ht="15.75" customHeight="1">
      <c r="A803" s="21"/>
      <c r="B803" s="21"/>
      <c r="C803" s="21"/>
      <c r="D803" s="21"/>
      <c r="E803" s="21"/>
      <c r="F803" s="21"/>
      <c r="G803" s="86"/>
      <c r="H803" s="21"/>
      <c r="I803" s="21"/>
      <c r="J803" s="21"/>
      <c r="K803" s="21"/>
      <c r="L803" s="21"/>
      <c r="M803" s="21"/>
      <c r="N803" s="86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</row>
    <row r="804" ht="15.75" customHeight="1">
      <c r="A804" s="21"/>
      <c r="B804" s="21"/>
      <c r="C804" s="21"/>
      <c r="D804" s="21"/>
      <c r="E804" s="21"/>
      <c r="F804" s="21"/>
      <c r="G804" s="86"/>
      <c r="H804" s="21"/>
      <c r="I804" s="21"/>
      <c r="J804" s="21"/>
      <c r="K804" s="21"/>
      <c r="L804" s="21"/>
      <c r="M804" s="21"/>
      <c r="N804" s="86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</row>
    <row r="805" ht="15.75" customHeight="1">
      <c r="A805" s="21"/>
      <c r="B805" s="21"/>
      <c r="C805" s="21"/>
      <c r="D805" s="21"/>
      <c r="E805" s="21"/>
      <c r="F805" s="21"/>
      <c r="G805" s="86"/>
      <c r="H805" s="21"/>
      <c r="I805" s="21"/>
      <c r="J805" s="21"/>
      <c r="K805" s="21"/>
      <c r="L805" s="21"/>
      <c r="M805" s="21"/>
      <c r="N805" s="86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</row>
    <row r="806" ht="15.75" customHeight="1">
      <c r="A806" s="21"/>
      <c r="B806" s="21"/>
      <c r="C806" s="21"/>
      <c r="D806" s="21"/>
      <c r="E806" s="21"/>
      <c r="F806" s="21"/>
      <c r="G806" s="86"/>
      <c r="H806" s="21"/>
      <c r="I806" s="21"/>
      <c r="J806" s="21"/>
      <c r="K806" s="21"/>
      <c r="L806" s="21"/>
      <c r="M806" s="21"/>
      <c r="N806" s="86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</row>
    <row r="807" ht="15.75" customHeight="1">
      <c r="A807" s="21"/>
      <c r="B807" s="21"/>
      <c r="C807" s="21"/>
      <c r="D807" s="21"/>
      <c r="E807" s="21"/>
      <c r="F807" s="21"/>
      <c r="G807" s="86"/>
      <c r="H807" s="21"/>
      <c r="I807" s="21"/>
      <c r="J807" s="21"/>
      <c r="K807" s="21"/>
      <c r="L807" s="21"/>
      <c r="M807" s="21"/>
      <c r="N807" s="86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</row>
    <row r="808" ht="15.75" customHeight="1">
      <c r="A808" s="21"/>
      <c r="B808" s="21"/>
      <c r="C808" s="21"/>
      <c r="D808" s="21"/>
      <c r="E808" s="21"/>
      <c r="F808" s="21"/>
      <c r="G808" s="86"/>
      <c r="H808" s="21"/>
      <c r="I808" s="21"/>
      <c r="J808" s="21"/>
      <c r="K808" s="21"/>
      <c r="L808" s="21"/>
      <c r="M808" s="21"/>
      <c r="N808" s="86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</row>
    <row r="809" ht="15.75" customHeight="1">
      <c r="A809" s="21"/>
      <c r="B809" s="21"/>
      <c r="C809" s="21"/>
      <c r="D809" s="21"/>
      <c r="E809" s="21"/>
      <c r="F809" s="21"/>
      <c r="G809" s="86"/>
      <c r="H809" s="21"/>
      <c r="I809" s="21"/>
      <c r="J809" s="21"/>
      <c r="K809" s="21"/>
      <c r="L809" s="21"/>
      <c r="M809" s="21"/>
      <c r="N809" s="86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</row>
    <row r="810" ht="15.75" customHeight="1">
      <c r="A810" s="21"/>
      <c r="B810" s="21"/>
      <c r="C810" s="21"/>
      <c r="D810" s="21"/>
      <c r="E810" s="21"/>
      <c r="F810" s="21"/>
      <c r="G810" s="86"/>
      <c r="H810" s="21"/>
      <c r="I810" s="21"/>
      <c r="J810" s="21"/>
      <c r="K810" s="21"/>
      <c r="L810" s="21"/>
      <c r="M810" s="21"/>
      <c r="N810" s="86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</row>
    <row r="811" ht="15.75" customHeight="1">
      <c r="A811" s="21"/>
      <c r="B811" s="21"/>
      <c r="C811" s="21"/>
      <c r="D811" s="21"/>
      <c r="E811" s="21"/>
      <c r="F811" s="21"/>
      <c r="G811" s="86"/>
      <c r="H811" s="21"/>
      <c r="I811" s="21"/>
      <c r="J811" s="21"/>
      <c r="K811" s="21"/>
      <c r="L811" s="21"/>
      <c r="M811" s="21"/>
      <c r="N811" s="86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</row>
    <row r="812" ht="15.75" customHeight="1">
      <c r="A812" s="21"/>
      <c r="B812" s="21"/>
      <c r="C812" s="21"/>
      <c r="D812" s="21"/>
      <c r="E812" s="21"/>
      <c r="F812" s="21"/>
      <c r="G812" s="86"/>
      <c r="H812" s="21"/>
      <c r="I812" s="21"/>
      <c r="J812" s="21"/>
      <c r="K812" s="21"/>
      <c r="L812" s="21"/>
      <c r="M812" s="21"/>
      <c r="N812" s="86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</row>
    <row r="813" ht="15.75" customHeight="1">
      <c r="A813" s="21"/>
      <c r="B813" s="21"/>
      <c r="C813" s="21"/>
      <c r="D813" s="21"/>
      <c r="E813" s="21"/>
      <c r="F813" s="21"/>
      <c r="G813" s="86"/>
      <c r="H813" s="21"/>
      <c r="I813" s="21"/>
      <c r="J813" s="21"/>
      <c r="K813" s="21"/>
      <c r="L813" s="21"/>
      <c r="M813" s="21"/>
      <c r="N813" s="86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</row>
    <row r="814" ht="15.75" customHeight="1">
      <c r="A814" s="21"/>
      <c r="B814" s="21"/>
      <c r="C814" s="21"/>
      <c r="D814" s="21"/>
      <c r="E814" s="21"/>
      <c r="F814" s="21"/>
      <c r="G814" s="86"/>
      <c r="H814" s="21"/>
      <c r="I814" s="21"/>
      <c r="J814" s="21"/>
      <c r="K814" s="21"/>
      <c r="L814" s="21"/>
      <c r="M814" s="21"/>
      <c r="N814" s="86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</row>
    <row r="815" ht="15.75" customHeight="1">
      <c r="A815" s="21"/>
      <c r="B815" s="21"/>
      <c r="C815" s="21"/>
      <c r="D815" s="21"/>
      <c r="E815" s="21"/>
      <c r="F815" s="21"/>
      <c r="G815" s="86"/>
      <c r="H815" s="21"/>
      <c r="I815" s="21"/>
      <c r="J815" s="21"/>
      <c r="K815" s="21"/>
      <c r="L815" s="21"/>
      <c r="M815" s="21"/>
      <c r="N815" s="86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</row>
    <row r="816" ht="15.75" customHeight="1">
      <c r="A816" s="21"/>
      <c r="B816" s="21"/>
      <c r="C816" s="21"/>
      <c r="D816" s="21"/>
      <c r="E816" s="21"/>
      <c r="F816" s="21"/>
      <c r="G816" s="86"/>
      <c r="H816" s="21"/>
      <c r="I816" s="21"/>
      <c r="J816" s="21"/>
      <c r="K816" s="21"/>
      <c r="L816" s="21"/>
      <c r="M816" s="21"/>
      <c r="N816" s="86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</row>
    <row r="817" ht="15.75" customHeight="1">
      <c r="A817" s="21"/>
      <c r="B817" s="21"/>
      <c r="C817" s="21"/>
      <c r="D817" s="21"/>
      <c r="E817" s="21"/>
      <c r="F817" s="21"/>
      <c r="G817" s="86"/>
      <c r="H817" s="21"/>
      <c r="I817" s="21"/>
      <c r="J817" s="21"/>
      <c r="K817" s="21"/>
      <c r="L817" s="21"/>
      <c r="M817" s="21"/>
      <c r="N817" s="86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</row>
    <row r="818" ht="15.75" customHeight="1">
      <c r="A818" s="21"/>
      <c r="B818" s="21"/>
      <c r="C818" s="21"/>
      <c r="D818" s="21"/>
      <c r="E818" s="21"/>
      <c r="F818" s="21"/>
      <c r="G818" s="86"/>
      <c r="H818" s="21"/>
      <c r="I818" s="21"/>
      <c r="J818" s="21"/>
      <c r="K818" s="21"/>
      <c r="L818" s="21"/>
      <c r="M818" s="21"/>
      <c r="N818" s="86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</row>
    <row r="819" ht="15.75" customHeight="1">
      <c r="A819" s="21"/>
      <c r="B819" s="21"/>
      <c r="C819" s="21"/>
      <c r="D819" s="21"/>
      <c r="E819" s="21"/>
      <c r="F819" s="21"/>
      <c r="G819" s="86"/>
      <c r="H819" s="21"/>
      <c r="I819" s="21"/>
      <c r="J819" s="21"/>
      <c r="K819" s="21"/>
      <c r="L819" s="21"/>
      <c r="M819" s="21"/>
      <c r="N819" s="86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</row>
    <row r="820" ht="15.75" customHeight="1">
      <c r="A820" s="21"/>
      <c r="B820" s="21"/>
      <c r="C820" s="21"/>
      <c r="D820" s="21"/>
      <c r="E820" s="21"/>
      <c r="F820" s="21"/>
      <c r="G820" s="86"/>
      <c r="H820" s="21"/>
      <c r="I820" s="21"/>
      <c r="J820" s="21"/>
      <c r="K820" s="21"/>
      <c r="L820" s="21"/>
      <c r="M820" s="21"/>
      <c r="N820" s="86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</row>
    <row r="821" ht="15.75" customHeight="1">
      <c r="A821" s="21"/>
      <c r="B821" s="21"/>
      <c r="C821" s="21"/>
      <c r="D821" s="21"/>
      <c r="E821" s="21"/>
      <c r="F821" s="21"/>
      <c r="G821" s="86"/>
      <c r="H821" s="21"/>
      <c r="I821" s="21"/>
      <c r="J821" s="21"/>
      <c r="K821" s="21"/>
      <c r="L821" s="21"/>
      <c r="M821" s="21"/>
      <c r="N821" s="86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</row>
    <row r="822" ht="15.75" customHeight="1">
      <c r="A822" s="21"/>
      <c r="B822" s="21"/>
      <c r="C822" s="21"/>
      <c r="D822" s="21"/>
      <c r="E822" s="21"/>
      <c r="F822" s="21"/>
      <c r="G822" s="86"/>
      <c r="H822" s="21"/>
      <c r="I822" s="21"/>
      <c r="J822" s="21"/>
      <c r="K822" s="21"/>
      <c r="L822" s="21"/>
      <c r="M822" s="21"/>
      <c r="N822" s="86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</row>
    <row r="823" ht="15.75" customHeight="1">
      <c r="A823" s="21"/>
      <c r="B823" s="21"/>
      <c r="C823" s="21"/>
      <c r="D823" s="21"/>
      <c r="E823" s="21"/>
      <c r="F823" s="21"/>
      <c r="G823" s="86"/>
      <c r="H823" s="21"/>
      <c r="I823" s="21"/>
      <c r="J823" s="21"/>
      <c r="K823" s="21"/>
      <c r="L823" s="21"/>
      <c r="M823" s="21"/>
      <c r="N823" s="86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</row>
    <row r="824" ht="15.75" customHeight="1">
      <c r="A824" s="21"/>
      <c r="B824" s="21"/>
      <c r="C824" s="21"/>
      <c r="D824" s="21"/>
      <c r="E824" s="21"/>
      <c r="F824" s="21"/>
      <c r="G824" s="86"/>
      <c r="H824" s="21"/>
      <c r="I824" s="21"/>
      <c r="J824" s="21"/>
      <c r="K824" s="21"/>
      <c r="L824" s="21"/>
      <c r="M824" s="21"/>
      <c r="N824" s="86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</row>
    <row r="825" ht="15.75" customHeight="1">
      <c r="A825" s="21"/>
      <c r="B825" s="21"/>
      <c r="C825" s="21"/>
      <c r="D825" s="21"/>
      <c r="E825" s="21"/>
      <c r="F825" s="21"/>
      <c r="G825" s="86"/>
      <c r="H825" s="21"/>
      <c r="I825" s="21"/>
      <c r="J825" s="21"/>
      <c r="K825" s="21"/>
      <c r="L825" s="21"/>
      <c r="M825" s="21"/>
      <c r="N825" s="86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</row>
    <row r="826" ht="15.75" customHeight="1">
      <c r="A826" s="21"/>
      <c r="B826" s="21"/>
      <c r="C826" s="21"/>
      <c r="D826" s="21"/>
      <c r="E826" s="21"/>
      <c r="F826" s="21"/>
      <c r="G826" s="86"/>
      <c r="H826" s="21"/>
      <c r="I826" s="21"/>
      <c r="J826" s="21"/>
      <c r="K826" s="21"/>
      <c r="L826" s="21"/>
      <c r="M826" s="21"/>
      <c r="N826" s="86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</row>
    <row r="827" ht="15.75" customHeight="1">
      <c r="A827" s="21"/>
      <c r="B827" s="21"/>
      <c r="C827" s="21"/>
      <c r="D827" s="21"/>
      <c r="E827" s="21"/>
      <c r="F827" s="21"/>
      <c r="G827" s="86"/>
      <c r="H827" s="21"/>
      <c r="I827" s="21"/>
      <c r="J827" s="21"/>
      <c r="K827" s="21"/>
      <c r="L827" s="21"/>
      <c r="M827" s="21"/>
      <c r="N827" s="86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</row>
    <row r="828" ht="15.75" customHeight="1">
      <c r="A828" s="21"/>
      <c r="B828" s="21"/>
      <c r="C828" s="21"/>
      <c r="D828" s="21"/>
      <c r="E828" s="21"/>
      <c r="F828" s="21"/>
      <c r="G828" s="86"/>
      <c r="H828" s="21"/>
      <c r="I828" s="21"/>
      <c r="J828" s="21"/>
      <c r="K828" s="21"/>
      <c r="L828" s="21"/>
      <c r="M828" s="21"/>
      <c r="N828" s="86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</row>
    <row r="829" ht="15.75" customHeight="1">
      <c r="A829" s="21"/>
      <c r="B829" s="21"/>
      <c r="C829" s="21"/>
      <c r="D829" s="21"/>
      <c r="E829" s="21"/>
      <c r="F829" s="21"/>
      <c r="G829" s="86"/>
      <c r="H829" s="21"/>
      <c r="I829" s="21"/>
      <c r="J829" s="21"/>
      <c r="K829" s="21"/>
      <c r="L829" s="21"/>
      <c r="M829" s="21"/>
      <c r="N829" s="86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</row>
    <row r="830" ht="15.75" customHeight="1">
      <c r="A830" s="21"/>
      <c r="B830" s="21"/>
      <c r="C830" s="21"/>
      <c r="D830" s="21"/>
      <c r="E830" s="21"/>
      <c r="F830" s="21"/>
      <c r="G830" s="86"/>
      <c r="H830" s="21"/>
      <c r="I830" s="21"/>
      <c r="J830" s="21"/>
      <c r="K830" s="21"/>
      <c r="L830" s="21"/>
      <c r="M830" s="21"/>
      <c r="N830" s="86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</row>
    <row r="831" ht="15.75" customHeight="1">
      <c r="A831" s="21"/>
      <c r="B831" s="21"/>
      <c r="C831" s="21"/>
      <c r="D831" s="21"/>
      <c r="E831" s="21"/>
      <c r="F831" s="21"/>
      <c r="G831" s="86"/>
      <c r="H831" s="21"/>
      <c r="I831" s="21"/>
      <c r="J831" s="21"/>
      <c r="K831" s="21"/>
      <c r="L831" s="21"/>
      <c r="M831" s="21"/>
      <c r="N831" s="86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</row>
    <row r="832" ht="15.75" customHeight="1">
      <c r="A832" s="21"/>
      <c r="B832" s="21"/>
      <c r="C832" s="21"/>
      <c r="D832" s="21"/>
      <c r="E832" s="21"/>
      <c r="F832" s="21"/>
      <c r="G832" s="86"/>
      <c r="H832" s="21"/>
      <c r="I832" s="21"/>
      <c r="J832" s="21"/>
      <c r="K832" s="21"/>
      <c r="L832" s="21"/>
      <c r="M832" s="21"/>
      <c r="N832" s="86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</row>
    <row r="833" ht="15.75" customHeight="1">
      <c r="A833" s="21"/>
      <c r="B833" s="21"/>
      <c r="C833" s="21"/>
      <c r="D833" s="21"/>
      <c r="E833" s="21"/>
      <c r="F833" s="21"/>
      <c r="G833" s="86"/>
      <c r="H833" s="21"/>
      <c r="I833" s="21"/>
      <c r="J833" s="21"/>
      <c r="K833" s="21"/>
      <c r="L833" s="21"/>
      <c r="M833" s="21"/>
      <c r="N833" s="86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</row>
    <row r="834" ht="15.75" customHeight="1">
      <c r="A834" s="21"/>
      <c r="B834" s="21"/>
      <c r="C834" s="21"/>
      <c r="D834" s="21"/>
      <c r="E834" s="21"/>
      <c r="F834" s="21"/>
      <c r="G834" s="86"/>
      <c r="H834" s="21"/>
      <c r="I834" s="21"/>
      <c r="J834" s="21"/>
      <c r="K834" s="21"/>
      <c r="L834" s="21"/>
      <c r="M834" s="21"/>
      <c r="N834" s="86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</row>
    <row r="835" ht="15.75" customHeight="1">
      <c r="A835" s="21"/>
      <c r="B835" s="21"/>
      <c r="C835" s="21"/>
      <c r="D835" s="21"/>
      <c r="E835" s="21"/>
      <c r="F835" s="21"/>
      <c r="G835" s="86"/>
      <c r="H835" s="21"/>
      <c r="I835" s="21"/>
      <c r="J835" s="21"/>
      <c r="K835" s="21"/>
      <c r="L835" s="21"/>
      <c r="M835" s="21"/>
      <c r="N835" s="86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</row>
    <row r="836" ht="15.75" customHeight="1">
      <c r="A836" s="21"/>
      <c r="B836" s="21"/>
      <c r="C836" s="21"/>
      <c r="D836" s="21"/>
      <c r="E836" s="21"/>
      <c r="F836" s="21"/>
      <c r="G836" s="86"/>
      <c r="H836" s="21"/>
      <c r="I836" s="21"/>
      <c r="J836" s="21"/>
      <c r="K836" s="21"/>
      <c r="L836" s="21"/>
      <c r="M836" s="21"/>
      <c r="N836" s="86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</row>
    <row r="837" ht="15.75" customHeight="1">
      <c r="A837" s="21"/>
      <c r="B837" s="21"/>
      <c r="C837" s="21"/>
      <c r="D837" s="21"/>
      <c r="E837" s="21"/>
      <c r="F837" s="21"/>
      <c r="G837" s="86"/>
      <c r="H837" s="21"/>
      <c r="I837" s="21"/>
      <c r="J837" s="21"/>
      <c r="K837" s="21"/>
      <c r="L837" s="21"/>
      <c r="M837" s="21"/>
      <c r="N837" s="86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</row>
    <row r="838" ht="15.75" customHeight="1">
      <c r="A838" s="21"/>
      <c r="B838" s="21"/>
      <c r="C838" s="21"/>
      <c r="D838" s="21"/>
      <c r="E838" s="21"/>
      <c r="F838" s="21"/>
      <c r="G838" s="86"/>
      <c r="H838" s="21"/>
      <c r="I838" s="21"/>
      <c r="J838" s="21"/>
      <c r="K838" s="21"/>
      <c r="L838" s="21"/>
      <c r="M838" s="21"/>
      <c r="N838" s="86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</row>
    <row r="839" ht="15.75" customHeight="1">
      <c r="A839" s="21"/>
      <c r="B839" s="21"/>
      <c r="C839" s="21"/>
      <c r="D839" s="21"/>
      <c r="E839" s="21"/>
      <c r="F839" s="21"/>
      <c r="G839" s="86"/>
      <c r="H839" s="21"/>
      <c r="I839" s="21"/>
      <c r="J839" s="21"/>
      <c r="K839" s="21"/>
      <c r="L839" s="21"/>
      <c r="M839" s="21"/>
      <c r="N839" s="86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</row>
    <row r="840" ht="15.75" customHeight="1">
      <c r="A840" s="21"/>
      <c r="B840" s="21"/>
      <c r="C840" s="21"/>
      <c r="D840" s="21"/>
      <c r="E840" s="21"/>
      <c r="F840" s="21"/>
      <c r="G840" s="86"/>
      <c r="H840" s="21"/>
      <c r="I840" s="21"/>
      <c r="J840" s="21"/>
      <c r="K840" s="21"/>
      <c r="L840" s="21"/>
      <c r="M840" s="21"/>
      <c r="N840" s="86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</row>
    <row r="841" ht="15.75" customHeight="1">
      <c r="A841" s="21"/>
      <c r="B841" s="21"/>
      <c r="C841" s="21"/>
      <c r="D841" s="21"/>
      <c r="E841" s="21"/>
      <c r="F841" s="21"/>
      <c r="G841" s="86"/>
      <c r="H841" s="21"/>
      <c r="I841" s="21"/>
      <c r="J841" s="21"/>
      <c r="K841" s="21"/>
      <c r="L841" s="21"/>
      <c r="M841" s="21"/>
      <c r="N841" s="86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</row>
    <row r="842" ht="15.75" customHeight="1">
      <c r="A842" s="21"/>
      <c r="B842" s="21"/>
      <c r="C842" s="21"/>
      <c r="D842" s="21"/>
      <c r="E842" s="21"/>
      <c r="F842" s="21"/>
      <c r="G842" s="86"/>
      <c r="H842" s="21"/>
      <c r="I842" s="21"/>
      <c r="J842" s="21"/>
      <c r="K842" s="21"/>
      <c r="L842" s="21"/>
      <c r="M842" s="21"/>
      <c r="N842" s="86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</row>
    <row r="843" ht="15.75" customHeight="1">
      <c r="A843" s="21"/>
      <c r="B843" s="21"/>
      <c r="C843" s="21"/>
      <c r="D843" s="21"/>
      <c r="E843" s="21"/>
      <c r="F843" s="21"/>
      <c r="G843" s="86"/>
      <c r="H843" s="21"/>
      <c r="I843" s="21"/>
      <c r="J843" s="21"/>
      <c r="K843" s="21"/>
      <c r="L843" s="21"/>
      <c r="M843" s="21"/>
      <c r="N843" s="86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</row>
    <row r="844" ht="15.75" customHeight="1">
      <c r="A844" s="21"/>
      <c r="B844" s="21"/>
      <c r="C844" s="21"/>
      <c r="D844" s="21"/>
      <c r="E844" s="21"/>
      <c r="F844" s="21"/>
      <c r="G844" s="86"/>
      <c r="H844" s="21"/>
      <c r="I844" s="21"/>
      <c r="J844" s="21"/>
      <c r="K844" s="21"/>
      <c r="L844" s="21"/>
      <c r="M844" s="21"/>
      <c r="N844" s="86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</row>
    <row r="845" ht="15.75" customHeight="1">
      <c r="A845" s="21"/>
      <c r="B845" s="21"/>
      <c r="C845" s="21"/>
      <c r="D845" s="21"/>
      <c r="E845" s="21"/>
      <c r="F845" s="21"/>
      <c r="G845" s="86"/>
      <c r="H845" s="21"/>
      <c r="I845" s="21"/>
      <c r="J845" s="21"/>
      <c r="K845" s="21"/>
      <c r="L845" s="21"/>
      <c r="M845" s="21"/>
      <c r="N845" s="86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</row>
    <row r="846" ht="15.75" customHeight="1">
      <c r="A846" s="21"/>
      <c r="B846" s="21"/>
      <c r="C846" s="21"/>
      <c r="D846" s="21"/>
      <c r="E846" s="21"/>
      <c r="F846" s="21"/>
      <c r="G846" s="86"/>
      <c r="H846" s="21"/>
      <c r="I846" s="21"/>
      <c r="J846" s="21"/>
      <c r="K846" s="21"/>
      <c r="L846" s="21"/>
      <c r="M846" s="21"/>
      <c r="N846" s="86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</row>
    <row r="847" ht="15.75" customHeight="1">
      <c r="A847" s="21"/>
      <c r="B847" s="21"/>
      <c r="C847" s="21"/>
      <c r="D847" s="21"/>
      <c r="E847" s="21"/>
      <c r="F847" s="21"/>
      <c r="G847" s="86"/>
      <c r="H847" s="21"/>
      <c r="I847" s="21"/>
      <c r="J847" s="21"/>
      <c r="K847" s="21"/>
      <c r="L847" s="21"/>
      <c r="M847" s="21"/>
      <c r="N847" s="86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</row>
    <row r="848" ht="15.75" customHeight="1">
      <c r="A848" s="21"/>
      <c r="B848" s="21"/>
      <c r="C848" s="21"/>
      <c r="D848" s="21"/>
      <c r="E848" s="21"/>
      <c r="F848" s="21"/>
      <c r="G848" s="86"/>
      <c r="H848" s="21"/>
      <c r="I848" s="21"/>
      <c r="J848" s="21"/>
      <c r="K848" s="21"/>
      <c r="L848" s="21"/>
      <c r="M848" s="21"/>
      <c r="N848" s="86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</row>
    <row r="849" ht="15.75" customHeight="1">
      <c r="A849" s="21"/>
      <c r="B849" s="21"/>
      <c r="C849" s="21"/>
      <c r="D849" s="21"/>
      <c r="E849" s="21"/>
      <c r="F849" s="21"/>
      <c r="G849" s="86"/>
      <c r="H849" s="21"/>
      <c r="I849" s="21"/>
      <c r="J849" s="21"/>
      <c r="K849" s="21"/>
      <c r="L849" s="21"/>
      <c r="M849" s="21"/>
      <c r="N849" s="86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</row>
    <row r="850" ht="15.75" customHeight="1">
      <c r="A850" s="21"/>
      <c r="B850" s="21"/>
      <c r="C850" s="21"/>
      <c r="D850" s="21"/>
      <c r="E850" s="21"/>
      <c r="F850" s="21"/>
      <c r="G850" s="86"/>
      <c r="H850" s="21"/>
      <c r="I850" s="21"/>
      <c r="J850" s="21"/>
      <c r="K850" s="21"/>
      <c r="L850" s="21"/>
      <c r="M850" s="21"/>
      <c r="N850" s="86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</row>
    <row r="851" ht="15.75" customHeight="1">
      <c r="A851" s="21"/>
      <c r="B851" s="21"/>
      <c r="C851" s="21"/>
      <c r="D851" s="21"/>
      <c r="E851" s="21"/>
      <c r="F851" s="21"/>
      <c r="G851" s="86"/>
      <c r="H851" s="21"/>
      <c r="I851" s="21"/>
      <c r="J851" s="21"/>
      <c r="K851" s="21"/>
      <c r="L851" s="21"/>
      <c r="M851" s="21"/>
      <c r="N851" s="86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</row>
    <row r="852" ht="15.75" customHeight="1">
      <c r="A852" s="21"/>
      <c r="B852" s="21"/>
      <c r="C852" s="21"/>
      <c r="D852" s="21"/>
      <c r="E852" s="21"/>
      <c r="F852" s="21"/>
      <c r="G852" s="86"/>
      <c r="H852" s="21"/>
      <c r="I852" s="21"/>
      <c r="J852" s="21"/>
      <c r="K852" s="21"/>
      <c r="L852" s="21"/>
      <c r="M852" s="21"/>
      <c r="N852" s="86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</row>
    <row r="853" ht="15.75" customHeight="1">
      <c r="A853" s="21"/>
      <c r="B853" s="21"/>
      <c r="C853" s="21"/>
      <c r="D853" s="21"/>
      <c r="E853" s="21"/>
      <c r="F853" s="21"/>
      <c r="G853" s="86"/>
      <c r="H853" s="21"/>
      <c r="I853" s="21"/>
      <c r="J853" s="21"/>
      <c r="K853" s="21"/>
      <c r="L853" s="21"/>
      <c r="M853" s="21"/>
      <c r="N853" s="86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</row>
    <row r="854" ht="15.75" customHeight="1">
      <c r="A854" s="21"/>
      <c r="B854" s="21"/>
      <c r="C854" s="21"/>
      <c r="D854" s="21"/>
      <c r="E854" s="21"/>
      <c r="F854" s="21"/>
      <c r="G854" s="86"/>
      <c r="H854" s="21"/>
      <c r="I854" s="21"/>
      <c r="J854" s="21"/>
      <c r="K854" s="21"/>
      <c r="L854" s="21"/>
      <c r="M854" s="21"/>
      <c r="N854" s="86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</row>
    <row r="855" ht="15.75" customHeight="1">
      <c r="A855" s="21"/>
      <c r="B855" s="21"/>
      <c r="C855" s="21"/>
      <c r="D855" s="21"/>
      <c r="E855" s="21"/>
      <c r="F855" s="21"/>
      <c r="G855" s="86"/>
      <c r="H855" s="21"/>
      <c r="I855" s="21"/>
      <c r="J855" s="21"/>
      <c r="K855" s="21"/>
      <c r="L855" s="21"/>
      <c r="M855" s="21"/>
      <c r="N855" s="86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</row>
    <row r="856" ht="15.75" customHeight="1">
      <c r="A856" s="21"/>
      <c r="B856" s="21"/>
      <c r="C856" s="21"/>
      <c r="D856" s="21"/>
      <c r="E856" s="21"/>
      <c r="F856" s="21"/>
      <c r="G856" s="86"/>
      <c r="H856" s="21"/>
      <c r="I856" s="21"/>
      <c r="J856" s="21"/>
      <c r="K856" s="21"/>
      <c r="L856" s="21"/>
      <c r="M856" s="21"/>
      <c r="N856" s="86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</row>
    <row r="857" ht="15.75" customHeight="1">
      <c r="A857" s="21"/>
      <c r="B857" s="21"/>
      <c r="C857" s="21"/>
      <c r="D857" s="21"/>
      <c r="E857" s="21"/>
      <c r="F857" s="21"/>
      <c r="G857" s="86"/>
      <c r="H857" s="21"/>
      <c r="I857" s="21"/>
      <c r="J857" s="21"/>
      <c r="K857" s="21"/>
      <c r="L857" s="21"/>
      <c r="M857" s="21"/>
      <c r="N857" s="86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</row>
    <row r="858" ht="15.75" customHeight="1">
      <c r="A858" s="21"/>
      <c r="B858" s="21"/>
      <c r="C858" s="21"/>
      <c r="D858" s="21"/>
      <c r="E858" s="21"/>
      <c r="F858" s="21"/>
      <c r="G858" s="86"/>
      <c r="H858" s="21"/>
      <c r="I858" s="21"/>
      <c r="J858" s="21"/>
      <c r="K858" s="21"/>
      <c r="L858" s="21"/>
      <c r="M858" s="21"/>
      <c r="N858" s="86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</row>
    <row r="859" ht="15.75" customHeight="1">
      <c r="A859" s="21"/>
      <c r="B859" s="21"/>
      <c r="C859" s="21"/>
      <c r="D859" s="21"/>
      <c r="E859" s="21"/>
      <c r="F859" s="21"/>
      <c r="G859" s="86"/>
      <c r="H859" s="21"/>
      <c r="I859" s="21"/>
      <c r="J859" s="21"/>
      <c r="K859" s="21"/>
      <c r="L859" s="21"/>
      <c r="M859" s="21"/>
      <c r="N859" s="86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</row>
    <row r="860" ht="15.75" customHeight="1">
      <c r="A860" s="21"/>
      <c r="B860" s="21"/>
      <c r="C860" s="21"/>
      <c r="D860" s="21"/>
      <c r="E860" s="21"/>
      <c r="F860" s="21"/>
      <c r="G860" s="86"/>
      <c r="H860" s="21"/>
      <c r="I860" s="21"/>
      <c r="J860" s="21"/>
      <c r="K860" s="21"/>
      <c r="L860" s="21"/>
      <c r="M860" s="21"/>
      <c r="N860" s="86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</row>
    <row r="861" ht="15.75" customHeight="1">
      <c r="A861" s="21"/>
      <c r="B861" s="21"/>
      <c r="C861" s="21"/>
      <c r="D861" s="21"/>
      <c r="E861" s="21"/>
      <c r="F861" s="21"/>
      <c r="G861" s="86"/>
      <c r="H861" s="21"/>
      <c r="I861" s="21"/>
      <c r="J861" s="21"/>
      <c r="K861" s="21"/>
      <c r="L861" s="21"/>
      <c r="M861" s="21"/>
      <c r="N861" s="86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</row>
    <row r="862" ht="15.75" customHeight="1">
      <c r="A862" s="21"/>
      <c r="B862" s="21"/>
      <c r="C862" s="21"/>
      <c r="D862" s="21"/>
      <c r="E862" s="21"/>
      <c r="F862" s="21"/>
      <c r="G862" s="86"/>
      <c r="H862" s="21"/>
      <c r="I862" s="21"/>
      <c r="J862" s="21"/>
      <c r="K862" s="21"/>
      <c r="L862" s="21"/>
      <c r="M862" s="21"/>
      <c r="N862" s="86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</row>
    <row r="863" ht="15.75" customHeight="1">
      <c r="A863" s="21"/>
      <c r="B863" s="21"/>
      <c r="C863" s="21"/>
      <c r="D863" s="21"/>
      <c r="E863" s="21"/>
      <c r="F863" s="21"/>
      <c r="G863" s="86"/>
      <c r="H863" s="21"/>
      <c r="I863" s="21"/>
      <c r="J863" s="21"/>
      <c r="K863" s="21"/>
      <c r="L863" s="21"/>
      <c r="M863" s="21"/>
      <c r="N863" s="86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</row>
    <row r="864" ht="15.75" customHeight="1">
      <c r="A864" s="21"/>
      <c r="B864" s="21"/>
      <c r="C864" s="21"/>
      <c r="D864" s="21"/>
      <c r="E864" s="21"/>
      <c r="F864" s="21"/>
      <c r="G864" s="86"/>
      <c r="H864" s="21"/>
      <c r="I864" s="21"/>
      <c r="J864" s="21"/>
      <c r="K864" s="21"/>
      <c r="L864" s="21"/>
      <c r="M864" s="21"/>
      <c r="N864" s="86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</row>
    <row r="865" ht="15.75" customHeight="1">
      <c r="A865" s="21"/>
      <c r="B865" s="21"/>
      <c r="C865" s="21"/>
      <c r="D865" s="21"/>
      <c r="E865" s="21"/>
      <c r="F865" s="21"/>
      <c r="G865" s="86"/>
      <c r="H865" s="21"/>
      <c r="I865" s="21"/>
      <c r="J865" s="21"/>
      <c r="K865" s="21"/>
      <c r="L865" s="21"/>
      <c r="M865" s="21"/>
      <c r="N865" s="86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</row>
    <row r="866" ht="15.75" customHeight="1">
      <c r="A866" s="21"/>
      <c r="B866" s="21"/>
      <c r="C866" s="21"/>
      <c r="D866" s="21"/>
      <c r="E866" s="21"/>
      <c r="F866" s="21"/>
      <c r="G866" s="86"/>
      <c r="H866" s="21"/>
      <c r="I866" s="21"/>
      <c r="J866" s="21"/>
      <c r="K866" s="21"/>
      <c r="L866" s="21"/>
      <c r="M866" s="21"/>
      <c r="N866" s="86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</row>
    <row r="867" ht="15.75" customHeight="1">
      <c r="A867" s="21"/>
      <c r="B867" s="21"/>
      <c r="C867" s="21"/>
      <c r="D867" s="21"/>
      <c r="E867" s="21"/>
      <c r="F867" s="21"/>
      <c r="G867" s="86"/>
      <c r="H867" s="21"/>
      <c r="I867" s="21"/>
      <c r="J867" s="21"/>
      <c r="K867" s="21"/>
      <c r="L867" s="21"/>
      <c r="M867" s="21"/>
      <c r="N867" s="86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</row>
    <row r="868" ht="15.75" customHeight="1">
      <c r="A868" s="21"/>
      <c r="B868" s="21"/>
      <c r="C868" s="21"/>
      <c r="D868" s="21"/>
      <c r="E868" s="21"/>
      <c r="F868" s="21"/>
      <c r="G868" s="86"/>
      <c r="H868" s="21"/>
      <c r="I868" s="21"/>
      <c r="J868" s="21"/>
      <c r="K868" s="21"/>
      <c r="L868" s="21"/>
      <c r="M868" s="21"/>
      <c r="N868" s="86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</row>
    <row r="869" ht="15.75" customHeight="1">
      <c r="A869" s="21"/>
      <c r="B869" s="21"/>
      <c r="C869" s="21"/>
      <c r="D869" s="21"/>
      <c r="E869" s="21"/>
      <c r="F869" s="21"/>
      <c r="G869" s="86"/>
      <c r="H869" s="21"/>
      <c r="I869" s="21"/>
      <c r="J869" s="21"/>
      <c r="K869" s="21"/>
      <c r="L869" s="21"/>
      <c r="M869" s="21"/>
      <c r="N869" s="86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</row>
    <row r="870" ht="15.75" customHeight="1">
      <c r="A870" s="21"/>
      <c r="B870" s="21"/>
      <c r="C870" s="21"/>
      <c r="D870" s="21"/>
      <c r="E870" s="21"/>
      <c r="F870" s="21"/>
      <c r="G870" s="86"/>
      <c r="H870" s="21"/>
      <c r="I870" s="21"/>
      <c r="J870" s="21"/>
      <c r="K870" s="21"/>
      <c r="L870" s="21"/>
      <c r="M870" s="21"/>
      <c r="N870" s="86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</row>
    <row r="871" ht="15.75" customHeight="1">
      <c r="A871" s="21"/>
      <c r="B871" s="21"/>
      <c r="C871" s="21"/>
      <c r="D871" s="21"/>
      <c r="E871" s="21"/>
      <c r="F871" s="21"/>
      <c r="G871" s="86"/>
      <c r="H871" s="21"/>
      <c r="I871" s="21"/>
      <c r="J871" s="21"/>
      <c r="K871" s="21"/>
      <c r="L871" s="21"/>
      <c r="M871" s="21"/>
      <c r="N871" s="86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</row>
    <row r="872" ht="15.75" customHeight="1">
      <c r="A872" s="21"/>
      <c r="B872" s="21"/>
      <c r="C872" s="21"/>
      <c r="D872" s="21"/>
      <c r="E872" s="21"/>
      <c r="F872" s="21"/>
      <c r="G872" s="86"/>
      <c r="H872" s="21"/>
      <c r="I872" s="21"/>
      <c r="J872" s="21"/>
      <c r="K872" s="21"/>
      <c r="L872" s="21"/>
      <c r="M872" s="21"/>
      <c r="N872" s="86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</row>
    <row r="873" ht="15.75" customHeight="1">
      <c r="A873" s="21"/>
      <c r="B873" s="21"/>
      <c r="C873" s="21"/>
      <c r="D873" s="21"/>
      <c r="E873" s="21"/>
      <c r="F873" s="21"/>
      <c r="G873" s="86"/>
      <c r="H873" s="21"/>
      <c r="I873" s="21"/>
      <c r="J873" s="21"/>
      <c r="K873" s="21"/>
      <c r="L873" s="21"/>
      <c r="M873" s="21"/>
      <c r="N873" s="86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</row>
    <row r="874" ht="15.75" customHeight="1">
      <c r="A874" s="21"/>
      <c r="B874" s="21"/>
      <c r="C874" s="21"/>
      <c r="D874" s="21"/>
      <c r="E874" s="21"/>
      <c r="F874" s="21"/>
      <c r="G874" s="86"/>
      <c r="H874" s="21"/>
      <c r="I874" s="21"/>
      <c r="J874" s="21"/>
      <c r="K874" s="21"/>
      <c r="L874" s="21"/>
      <c r="M874" s="21"/>
      <c r="N874" s="86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</row>
    <row r="875" ht="15.75" customHeight="1">
      <c r="A875" s="21"/>
      <c r="B875" s="21"/>
      <c r="C875" s="21"/>
      <c r="D875" s="21"/>
      <c r="E875" s="21"/>
      <c r="F875" s="21"/>
      <c r="G875" s="86"/>
      <c r="H875" s="21"/>
      <c r="I875" s="21"/>
      <c r="J875" s="21"/>
      <c r="K875" s="21"/>
      <c r="L875" s="21"/>
      <c r="M875" s="21"/>
      <c r="N875" s="86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</row>
    <row r="876" ht="15.75" customHeight="1">
      <c r="A876" s="21"/>
      <c r="B876" s="21"/>
      <c r="C876" s="21"/>
      <c r="D876" s="21"/>
      <c r="E876" s="21"/>
      <c r="F876" s="21"/>
      <c r="G876" s="86"/>
      <c r="H876" s="21"/>
      <c r="I876" s="21"/>
      <c r="J876" s="21"/>
      <c r="K876" s="21"/>
      <c r="L876" s="21"/>
      <c r="M876" s="21"/>
      <c r="N876" s="86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</row>
    <row r="877" ht="15.75" customHeight="1">
      <c r="A877" s="21"/>
      <c r="B877" s="21"/>
      <c r="C877" s="21"/>
      <c r="D877" s="21"/>
      <c r="E877" s="21"/>
      <c r="F877" s="21"/>
      <c r="G877" s="86"/>
      <c r="H877" s="21"/>
      <c r="I877" s="21"/>
      <c r="J877" s="21"/>
      <c r="K877" s="21"/>
      <c r="L877" s="21"/>
      <c r="M877" s="21"/>
      <c r="N877" s="86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</row>
    <row r="878" ht="15.75" customHeight="1">
      <c r="A878" s="21"/>
      <c r="B878" s="21"/>
      <c r="C878" s="21"/>
      <c r="D878" s="21"/>
      <c r="E878" s="21"/>
      <c r="F878" s="21"/>
      <c r="G878" s="86"/>
      <c r="H878" s="21"/>
      <c r="I878" s="21"/>
      <c r="J878" s="21"/>
      <c r="K878" s="21"/>
      <c r="L878" s="21"/>
      <c r="M878" s="21"/>
      <c r="N878" s="86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</row>
    <row r="879" ht="15.75" customHeight="1">
      <c r="A879" s="21"/>
      <c r="B879" s="21"/>
      <c r="C879" s="21"/>
      <c r="D879" s="21"/>
      <c r="E879" s="21"/>
      <c r="F879" s="21"/>
      <c r="G879" s="86"/>
      <c r="H879" s="21"/>
      <c r="I879" s="21"/>
      <c r="J879" s="21"/>
      <c r="K879" s="21"/>
      <c r="L879" s="21"/>
      <c r="M879" s="21"/>
      <c r="N879" s="86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</row>
    <row r="880" ht="15.75" customHeight="1">
      <c r="A880" s="21"/>
      <c r="B880" s="21"/>
      <c r="C880" s="21"/>
      <c r="D880" s="21"/>
      <c r="E880" s="21"/>
      <c r="F880" s="21"/>
      <c r="G880" s="86"/>
      <c r="H880" s="21"/>
      <c r="I880" s="21"/>
      <c r="J880" s="21"/>
      <c r="K880" s="21"/>
      <c r="L880" s="21"/>
      <c r="M880" s="21"/>
      <c r="N880" s="86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</row>
    <row r="881" ht="15.75" customHeight="1">
      <c r="A881" s="21"/>
      <c r="B881" s="21"/>
      <c r="C881" s="21"/>
      <c r="D881" s="21"/>
      <c r="E881" s="21"/>
      <c r="F881" s="21"/>
      <c r="G881" s="86"/>
      <c r="H881" s="21"/>
      <c r="I881" s="21"/>
      <c r="J881" s="21"/>
      <c r="K881" s="21"/>
      <c r="L881" s="21"/>
      <c r="M881" s="21"/>
      <c r="N881" s="86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</row>
    <row r="882" ht="15.75" customHeight="1">
      <c r="A882" s="21"/>
      <c r="B882" s="21"/>
      <c r="C882" s="21"/>
      <c r="D882" s="21"/>
      <c r="E882" s="21"/>
      <c r="F882" s="21"/>
      <c r="G882" s="86"/>
      <c r="H882" s="21"/>
      <c r="I882" s="21"/>
      <c r="J882" s="21"/>
      <c r="K882" s="21"/>
      <c r="L882" s="21"/>
      <c r="M882" s="21"/>
      <c r="N882" s="86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</row>
    <row r="883" ht="15.75" customHeight="1">
      <c r="A883" s="21"/>
      <c r="B883" s="21"/>
      <c r="C883" s="21"/>
      <c r="D883" s="21"/>
      <c r="E883" s="21"/>
      <c r="F883" s="21"/>
      <c r="G883" s="86"/>
      <c r="H883" s="21"/>
      <c r="I883" s="21"/>
      <c r="J883" s="21"/>
      <c r="K883" s="21"/>
      <c r="L883" s="21"/>
      <c r="M883" s="21"/>
      <c r="N883" s="86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</row>
    <row r="884" ht="15.75" customHeight="1">
      <c r="A884" s="21"/>
      <c r="B884" s="21"/>
      <c r="C884" s="21"/>
      <c r="D884" s="21"/>
      <c r="E884" s="21"/>
      <c r="F884" s="21"/>
      <c r="G884" s="86"/>
      <c r="H884" s="21"/>
      <c r="I884" s="21"/>
      <c r="J884" s="21"/>
      <c r="K884" s="21"/>
      <c r="L884" s="21"/>
      <c r="M884" s="21"/>
      <c r="N884" s="86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</row>
    <row r="885" ht="15.75" customHeight="1">
      <c r="A885" s="21"/>
      <c r="B885" s="21"/>
      <c r="C885" s="21"/>
      <c r="D885" s="21"/>
      <c r="E885" s="21"/>
      <c r="F885" s="21"/>
      <c r="G885" s="86"/>
      <c r="H885" s="21"/>
      <c r="I885" s="21"/>
      <c r="J885" s="21"/>
      <c r="K885" s="21"/>
      <c r="L885" s="21"/>
      <c r="M885" s="21"/>
      <c r="N885" s="86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</row>
    <row r="886" ht="15.75" customHeight="1">
      <c r="A886" s="21"/>
      <c r="B886" s="21"/>
      <c r="C886" s="21"/>
      <c r="D886" s="21"/>
      <c r="E886" s="21"/>
      <c r="F886" s="21"/>
      <c r="G886" s="86"/>
      <c r="H886" s="21"/>
      <c r="I886" s="21"/>
      <c r="J886" s="21"/>
      <c r="K886" s="21"/>
      <c r="L886" s="21"/>
      <c r="M886" s="21"/>
      <c r="N886" s="86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</row>
    <row r="887" ht="15.75" customHeight="1">
      <c r="A887" s="21"/>
      <c r="B887" s="21"/>
      <c r="C887" s="21"/>
      <c r="D887" s="21"/>
      <c r="E887" s="21"/>
      <c r="F887" s="21"/>
      <c r="G887" s="86"/>
      <c r="H887" s="21"/>
      <c r="I887" s="21"/>
      <c r="J887" s="21"/>
      <c r="K887" s="21"/>
      <c r="L887" s="21"/>
      <c r="M887" s="21"/>
      <c r="N887" s="86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</row>
    <row r="888" ht="15.75" customHeight="1">
      <c r="A888" s="21"/>
      <c r="B888" s="21"/>
      <c r="C888" s="21"/>
      <c r="D888" s="21"/>
      <c r="E888" s="21"/>
      <c r="F888" s="21"/>
      <c r="G888" s="86"/>
      <c r="H888" s="21"/>
      <c r="I888" s="21"/>
      <c r="J888" s="21"/>
      <c r="K888" s="21"/>
      <c r="L888" s="21"/>
      <c r="M888" s="21"/>
      <c r="N888" s="86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</row>
    <row r="889" ht="15.75" customHeight="1">
      <c r="A889" s="21"/>
      <c r="B889" s="21"/>
      <c r="C889" s="21"/>
      <c r="D889" s="21"/>
      <c r="E889" s="21"/>
      <c r="F889" s="21"/>
      <c r="G889" s="86"/>
      <c r="H889" s="21"/>
      <c r="I889" s="21"/>
      <c r="J889" s="21"/>
      <c r="K889" s="21"/>
      <c r="L889" s="21"/>
      <c r="M889" s="21"/>
      <c r="N889" s="86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</row>
    <row r="890" ht="15.75" customHeight="1">
      <c r="A890" s="21"/>
      <c r="B890" s="21"/>
      <c r="C890" s="21"/>
      <c r="D890" s="21"/>
      <c r="E890" s="21"/>
      <c r="F890" s="21"/>
      <c r="G890" s="86"/>
      <c r="H890" s="21"/>
      <c r="I890" s="21"/>
      <c r="J890" s="21"/>
      <c r="K890" s="21"/>
      <c r="L890" s="21"/>
      <c r="M890" s="21"/>
      <c r="N890" s="86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</row>
    <row r="891" ht="15.75" customHeight="1">
      <c r="A891" s="21"/>
      <c r="B891" s="21"/>
      <c r="C891" s="21"/>
      <c r="D891" s="21"/>
      <c r="E891" s="21"/>
      <c r="F891" s="21"/>
      <c r="G891" s="86"/>
      <c r="H891" s="21"/>
      <c r="I891" s="21"/>
      <c r="J891" s="21"/>
      <c r="K891" s="21"/>
      <c r="L891" s="21"/>
      <c r="M891" s="21"/>
      <c r="N891" s="86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</row>
    <row r="892" ht="15.75" customHeight="1">
      <c r="A892" s="21"/>
      <c r="B892" s="21"/>
      <c r="C892" s="21"/>
      <c r="D892" s="21"/>
      <c r="E892" s="21"/>
      <c r="F892" s="21"/>
      <c r="G892" s="86"/>
      <c r="H892" s="21"/>
      <c r="I892" s="21"/>
      <c r="J892" s="21"/>
      <c r="K892" s="21"/>
      <c r="L892" s="21"/>
      <c r="M892" s="21"/>
      <c r="N892" s="86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</row>
    <row r="893" ht="15.75" customHeight="1">
      <c r="A893" s="21"/>
      <c r="B893" s="21"/>
      <c r="C893" s="21"/>
      <c r="D893" s="21"/>
      <c r="E893" s="21"/>
      <c r="F893" s="21"/>
      <c r="G893" s="86"/>
      <c r="H893" s="21"/>
      <c r="I893" s="21"/>
      <c r="J893" s="21"/>
      <c r="K893" s="21"/>
      <c r="L893" s="21"/>
      <c r="M893" s="21"/>
      <c r="N893" s="86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</row>
    <row r="894" ht="15.75" customHeight="1">
      <c r="A894" s="21"/>
      <c r="B894" s="21"/>
      <c r="C894" s="21"/>
      <c r="D894" s="21"/>
      <c r="E894" s="21"/>
      <c r="F894" s="21"/>
      <c r="G894" s="86"/>
      <c r="H894" s="21"/>
      <c r="I894" s="21"/>
      <c r="J894" s="21"/>
      <c r="K894" s="21"/>
      <c r="L894" s="21"/>
      <c r="M894" s="21"/>
      <c r="N894" s="86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</row>
    <row r="895" ht="15.75" customHeight="1">
      <c r="A895" s="21"/>
      <c r="B895" s="21"/>
      <c r="C895" s="21"/>
      <c r="D895" s="21"/>
      <c r="E895" s="21"/>
      <c r="F895" s="21"/>
      <c r="G895" s="86"/>
      <c r="H895" s="21"/>
      <c r="I895" s="21"/>
      <c r="J895" s="21"/>
      <c r="K895" s="21"/>
      <c r="L895" s="21"/>
      <c r="M895" s="21"/>
      <c r="N895" s="86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</row>
    <row r="896" ht="15.75" customHeight="1">
      <c r="A896" s="21"/>
      <c r="B896" s="21"/>
      <c r="C896" s="21"/>
      <c r="D896" s="21"/>
      <c r="E896" s="21"/>
      <c r="F896" s="21"/>
      <c r="G896" s="86"/>
      <c r="H896" s="21"/>
      <c r="I896" s="21"/>
      <c r="J896" s="21"/>
      <c r="K896" s="21"/>
      <c r="L896" s="21"/>
      <c r="M896" s="21"/>
      <c r="N896" s="86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</row>
    <row r="897" ht="15.75" customHeight="1">
      <c r="A897" s="21"/>
      <c r="B897" s="21"/>
      <c r="C897" s="21"/>
      <c r="D897" s="21"/>
      <c r="E897" s="21"/>
      <c r="F897" s="21"/>
      <c r="G897" s="86"/>
      <c r="H897" s="21"/>
      <c r="I897" s="21"/>
      <c r="J897" s="21"/>
      <c r="K897" s="21"/>
      <c r="L897" s="21"/>
      <c r="M897" s="21"/>
      <c r="N897" s="86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</row>
    <row r="898" ht="15.75" customHeight="1">
      <c r="A898" s="21"/>
      <c r="B898" s="21"/>
      <c r="C898" s="21"/>
      <c r="D898" s="21"/>
      <c r="E898" s="21"/>
      <c r="F898" s="21"/>
      <c r="G898" s="86"/>
      <c r="H898" s="21"/>
      <c r="I898" s="21"/>
      <c r="J898" s="21"/>
      <c r="K898" s="21"/>
      <c r="L898" s="21"/>
      <c r="M898" s="21"/>
      <c r="N898" s="86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</row>
    <row r="899" ht="15.75" customHeight="1">
      <c r="A899" s="21"/>
      <c r="B899" s="21"/>
      <c r="C899" s="21"/>
      <c r="D899" s="21"/>
      <c r="E899" s="21"/>
      <c r="F899" s="21"/>
      <c r="G899" s="86"/>
      <c r="H899" s="21"/>
      <c r="I899" s="21"/>
      <c r="J899" s="21"/>
      <c r="K899" s="21"/>
      <c r="L899" s="21"/>
      <c r="M899" s="21"/>
      <c r="N899" s="86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</row>
    <row r="900" ht="15.75" customHeight="1">
      <c r="A900" s="21"/>
      <c r="B900" s="21"/>
      <c r="C900" s="21"/>
      <c r="D900" s="21"/>
      <c r="E900" s="21"/>
      <c r="F900" s="21"/>
      <c r="G900" s="86"/>
      <c r="H900" s="21"/>
      <c r="I900" s="21"/>
      <c r="J900" s="21"/>
      <c r="K900" s="21"/>
      <c r="L900" s="21"/>
      <c r="M900" s="21"/>
      <c r="N900" s="86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</row>
    <row r="901" ht="15.75" customHeight="1">
      <c r="A901" s="21"/>
      <c r="B901" s="21"/>
      <c r="C901" s="21"/>
      <c r="D901" s="21"/>
      <c r="E901" s="21"/>
      <c r="F901" s="21"/>
      <c r="G901" s="86"/>
      <c r="H901" s="21"/>
      <c r="I901" s="21"/>
      <c r="J901" s="21"/>
      <c r="K901" s="21"/>
      <c r="L901" s="21"/>
      <c r="M901" s="21"/>
      <c r="N901" s="86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</row>
    <row r="902" ht="15.75" customHeight="1">
      <c r="A902" s="21"/>
      <c r="B902" s="21"/>
      <c r="C902" s="21"/>
      <c r="D902" s="21"/>
      <c r="E902" s="21"/>
      <c r="F902" s="21"/>
      <c r="G902" s="86"/>
      <c r="H902" s="21"/>
      <c r="I902" s="21"/>
      <c r="J902" s="21"/>
      <c r="K902" s="21"/>
      <c r="L902" s="21"/>
      <c r="M902" s="21"/>
      <c r="N902" s="86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</row>
    <row r="903" ht="15.75" customHeight="1">
      <c r="A903" s="21"/>
      <c r="B903" s="21"/>
      <c r="C903" s="21"/>
      <c r="D903" s="21"/>
      <c r="E903" s="21"/>
      <c r="F903" s="21"/>
      <c r="G903" s="86"/>
      <c r="H903" s="21"/>
      <c r="I903" s="21"/>
      <c r="J903" s="21"/>
      <c r="K903" s="21"/>
      <c r="L903" s="21"/>
      <c r="M903" s="21"/>
      <c r="N903" s="86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</row>
    <row r="904" ht="15.75" customHeight="1">
      <c r="A904" s="21"/>
      <c r="B904" s="21"/>
      <c r="C904" s="21"/>
      <c r="D904" s="21"/>
      <c r="E904" s="21"/>
      <c r="F904" s="21"/>
      <c r="G904" s="86"/>
      <c r="H904" s="21"/>
      <c r="I904" s="21"/>
      <c r="J904" s="21"/>
      <c r="K904" s="21"/>
      <c r="L904" s="21"/>
      <c r="M904" s="21"/>
      <c r="N904" s="86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</row>
    <row r="905" ht="15.75" customHeight="1">
      <c r="A905" s="21"/>
      <c r="B905" s="21"/>
      <c r="C905" s="21"/>
      <c r="D905" s="21"/>
      <c r="E905" s="21"/>
      <c r="F905" s="21"/>
      <c r="G905" s="86"/>
      <c r="H905" s="21"/>
      <c r="I905" s="21"/>
      <c r="J905" s="21"/>
      <c r="K905" s="21"/>
      <c r="L905" s="21"/>
      <c r="M905" s="21"/>
      <c r="N905" s="86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</row>
    <row r="906" ht="15.75" customHeight="1">
      <c r="A906" s="21"/>
      <c r="B906" s="21"/>
      <c r="C906" s="21"/>
      <c r="D906" s="21"/>
      <c r="E906" s="21"/>
      <c r="F906" s="21"/>
      <c r="G906" s="86"/>
      <c r="H906" s="21"/>
      <c r="I906" s="21"/>
      <c r="J906" s="21"/>
      <c r="K906" s="21"/>
      <c r="L906" s="21"/>
      <c r="M906" s="21"/>
      <c r="N906" s="86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</row>
    <row r="907" ht="15.75" customHeight="1">
      <c r="A907" s="21"/>
      <c r="B907" s="21"/>
      <c r="C907" s="21"/>
      <c r="D907" s="21"/>
      <c r="E907" s="21"/>
      <c r="F907" s="21"/>
      <c r="G907" s="86"/>
      <c r="H907" s="21"/>
      <c r="I907" s="21"/>
      <c r="J907" s="21"/>
      <c r="K907" s="21"/>
      <c r="L907" s="21"/>
      <c r="M907" s="21"/>
      <c r="N907" s="86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</row>
    <row r="908" ht="15.75" customHeight="1">
      <c r="A908" s="21"/>
      <c r="B908" s="21"/>
      <c r="C908" s="21"/>
      <c r="D908" s="21"/>
      <c r="E908" s="21"/>
      <c r="F908" s="21"/>
      <c r="G908" s="86"/>
      <c r="H908" s="21"/>
      <c r="I908" s="21"/>
      <c r="J908" s="21"/>
      <c r="K908" s="21"/>
      <c r="L908" s="21"/>
      <c r="M908" s="21"/>
      <c r="N908" s="86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</row>
    <row r="909" ht="15.75" customHeight="1">
      <c r="A909" s="21"/>
      <c r="B909" s="21"/>
      <c r="C909" s="21"/>
      <c r="D909" s="21"/>
      <c r="E909" s="21"/>
      <c r="F909" s="21"/>
      <c r="G909" s="86"/>
      <c r="H909" s="21"/>
      <c r="I909" s="21"/>
      <c r="J909" s="21"/>
      <c r="K909" s="21"/>
      <c r="L909" s="21"/>
      <c r="M909" s="21"/>
      <c r="N909" s="86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</row>
    <row r="910" ht="15.75" customHeight="1">
      <c r="A910" s="21"/>
      <c r="B910" s="21"/>
      <c r="C910" s="21"/>
      <c r="D910" s="21"/>
      <c r="E910" s="21"/>
      <c r="F910" s="21"/>
      <c r="G910" s="86"/>
      <c r="H910" s="21"/>
      <c r="I910" s="21"/>
      <c r="J910" s="21"/>
      <c r="K910" s="21"/>
      <c r="L910" s="21"/>
      <c r="M910" s="21"/>
      <c r="N910" s="86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</row>
    <row r="911" ht="15.75" customHeight="1">
      <c r="A911" s="21"/>
      <c r="B911" s="21"/>
      <c r="C911" s="21"/>
      <c r="D911" s="21"/>
      <c r="E911" s="21"/>
      <c r="F911" s="21"/>
      <c r="G911" s="86"/>
      <c r="H911" s="21"/>
      <c r="I911" s="21"/>
      <c r="J911" s="21"/>
      <c r="K911" s="21"/>
      <c r="L911" s="21"/>
      <c r="M911" s="21"/>
      <c r="N911" s="86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</row>
    <row r="912" ht="15.75" customHeight="1">
      <c r="A912" s="21"/>
      <c r="B912" s="21"/>
      <c r="C912" s="21"/>
      <c r="D912" s="21"/>
      <c r="E912" s="21"/>
      <c r="F912" s="21"/>
      <c r="G912" s="86"/>
      <c r="H912" s="21"/>
      <c r="I912" s="21"/>
      <c r="J912" s="21"/>
      <c r="K912" s="21"/>
      <c r="L912" s="21"/>
      <c r="M912" s="21"/>
      <c r="N912" s="86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</row>
    <row r="913" ht="15.75" customHeight="1">
      <c r="A913" s="21"/>
      <c r="B913" s="21"/>
      <c r="C913" s="21"/>
      <c r="D913" s="21"/>
      <c r="E913" s="21"/>
      <c r="F913" s="21"/>
      <c r="G913" s="86"/>
      <c r="H913" s="21"/>
      <c r="I913" s="21"/>
      <c r="J913" s="21"/>
      <c r="K913" s="21"/>
      <c r="L913" s="21"/>
      <c r="M913" s="21"/>
      <c r="N913" s="86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</row>
    <row r="914" ht="15.75" customHeight="1">
      <c r="A914" s="21"/>
      <c r="B914" s="21"/>
      <c r="C914" s="21"/>
      <c r="D914" s="21"/>
      <c r="E914" s="21"/>
      <c r="F914" s="21"/>
      <c r="G914" s="86"/>
      <c r="H914" s="21"/>
      <c r="I914" s="21"/>
      <c r="J914" s="21"/>
      <c r="K914" s="21"/>
      <c r="L914" s="21"/>
      <c r="M914" s="21"/>
      <c r="N914" s="86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</row>
    <row r="915" ht="15.75" customHeight="1">
      <c r="A915" s="21"/>
      <c r="B915" s="21"/>
      <c r="C915" s="21"/>
      <c r="D915" s="21"/>
      <c r="E915" s="21"/>
      <c r="F915" s="21"/>
      <c r="G915" s="86"/>
      <c r="H915" s="21"/>
      <c r="I915" s="21"/>
      <c r="J915" s="21"/>
      <c r="K915" s="21"/>
      <c r="L915" s="21"/>
      <c r="M915" s="21"/>
      <c r="N915" s="86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</row>
    <row r="916" ht="15.75" customHeight="1">
      <c r="A916" s="21"/>
      <c r="B916" s="21"/>
      <c r="C916" s="21"/>
      <c r="D916" s="21"/>
      <c r="E916" s="21"/>
      <c r="F916" s="21"/>
      <c r="G916" s="86"/>
      <c r="H916" s="21"/>
      <c r="I916" s="21"/>
      <c r="J916" s="21"/>
      <c r="K916" s="21"/>
      <c r="L916" s="21"/>
      <c r="M916" s="21"/>
      <c r="N916" s="86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</row>
    <row r="917" ht="15.75" customHeight="1">
      <c r="A917" s="21"/>
      <c r="B917" s="21"/>
      <c r="C917" s="21"/>
      <c r="D917" s="21"/>
      <c r="E917" s="21"/>
      <c r="F917" s="21"/>
      <c r="G917" s="86"/>
      <c r="H917" s="21"/>
      <c r="I917" s="21"/>
      <c r="J917" s="21"/>
      <c r="K917" s="21"/>
      <c r="L917" s="21"/>
      <c r="M917" s="21"/>
      <c r="N917" s="86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</row>
    <row r="918" ht="15.75" customHeight="1">
      <c r="A918" s="21"/>
      <c r="B918" s="21"/>
      <c r="C918" s="21"/>
      <c r="D918" s="21"/>
      <c r="E918" s="21"/>
      <c r="F918" s="21"/>
      <c r="G918" s="86"/>
      <c r="H918" s="21"/>
      <c r="I918" s="21"/>
      <c r="J918" s="21"/>
      <c r="K918" s="21"/>
      <c r="L918" s="21"/>
      <c r="M918" s="21"/>
      <c r="N918" s="86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</row>
    <row r="919" ht="15.75" customHeight="1">
      <c r="A919" s="21"/>
      <c r="B919" s="21"/>
      <c r="C919" s="21"/>
      <c r="D919" s="21"/>
      <c r="E919" s="21"/>
      <c r="F919" s="21"/>
      <c r="G919" s="86"/>
      <c r="H919" s="21"/>
      <c r="I919" s="21"/>
      <c r="J919" s="21"/>
      <c r="K919" s="21"/>
      <c r="L919" s="21"/>
      <c r="M919" s="21"/>
      <c r="N919" s="86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</row>
    <row r="920" ht="15.75" customHeight="1">
      <c r="A920" s="21"/>
      <c r="B920" s="21"/>
      <c r="C920" s="21"/>
      <c r="D920" s="21"/>
      <c r="E920" s="21"/>
      <c r="F920" s="21"/>
      <c r="G920" s="86"/>
      <c r="H920" s="21"/>
      <c r="I920" s="21"/>
      <c r="J920" s="21"/>
      <c r="K920" s="21"/>
      <c r="L920" s="21"/>
      <c r="M920" s="21"/>
      <c r="N920" s="86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</row>
    <row r="921" ht="15.75" customHeight="1">
      <c r="A921" s="21"/>
      <c r="B921" s="21"/>
      <c r="C921" s="21"/>
      <c r="D921" s="21"/>
      <c r="E921" s="21"/>
      <c r="F921" s="21"/>
      <c r="G921" s="86"/>
      <c r="H921" s="21"/>
      <c r="I921" s="21"/>
      <c r="J921" s="21"/>
      <c r="K921" s="21"/>
      <c r="L921" s="21"/>
      <c r="M921" s="21"/>
      <c r="N921" s="86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</row>
    <row r="922" ht="15.75" customHeight="1">
      <c r="A922" s="21"/>
      <c r="B922" s="21"/>
      <c r="C922" s="21"/>
      <c r="D922" s="21"/>
      <c r="E922" s="21"/>
      <c r="F922" s="21"/>
      <c r="G922" s="86"/>
      <c r="H922" s="21"/>
      <c r="I922" s="21"/>
      <c r="J922" s="21"/>
      <c r="K922" s="21"/>
      <c r="L922" s="21"/>
      <c r="M922" s="21"/>
      <c r="N922" s="86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</row>
    <row r="923" ht="15.75" customHeight="1">
      <c r="A923" s="21"/>
      <c r="B923" s="21"/>
      <c r="C923" s="21"/>
      <c r="D923" s="21"/>
      <c r="E923" s="21"/>
      <c r="F923" s="21"/>
      <c r="G923" s="86"/>
      <c r="H923" s="21"/>
      <c r="I923" s="21"/>
      <c r="J923" s="21"/>
      <c r="K923" s="21"/>
      <c r="L923" s="21"/>
      <c r="M923" s="21"/>
      <c r="N923" s="86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</row>
    <row r="924" ht="15.75" customHeight="1">
      <c r="A924" s="21"/>
      <c r="B924" s="21"/>
      <c r="C924" s="21"/>
      <c r="D924" s="21"/>
      <c r="E924" s="21"/>
      <c r="F924" s="21"/>
      <c r="G924" s="86"/>
      <c r="H924" s="21"/>
      <c r="I924" s="21"/>
      <c r="J924" s="21"/>
      <c r="K924" s="21"/>
      <c r="L924" s="21"/>
      <c r="M924" s="21"/>
      <c r="N924" s="86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</row>
    <row r="925" ht="15.75" customHeight="1">
      <c r="A925" s="21"/>
      <c r="B925" s="21"/>
      <c r="C925" s="21"/>
      <c r="D925" s="21"/>
      <c r="E925" s="21"/>
      <c r="F925" s="21"/>
      <c r="G925" s="86"/>
      <c r="H925" s="21"/>
      <c r="I925" s="21"/>
      <c r="J925" s="21"/>
      <c r="K925" s="21"/>
      <c r="L925" s="21"/>
      <c r="M925" s="21"/>
      <c r="N925" s="86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</row>
    <row r="926" ht="15.75" customHeight="1">
      <c r="A926" s="21"/>
      <c r="B926" s="21"/>
      <c r="C926" s="21"/>
      <c r="D926" s="21"/>
      <c r="E926" s="21"/>
      <c r="F926" s="21"/>
      <c r="G926" s="86"/>
      <c r="H926" s="21"/>
      <c r="I926" s="21"/>
      <c r="J926" s="21"/>
      <c r="K926" s="21"/>
      <c r="L926" s="21"/>
      <c r="M926" s="21"/>
      <c r="N926" s="86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</row>
    <row r="927" ht="15.75" customHeight="1">
      <c r="A927" s="21"/>
      <c r="B927" s="21"/>
      <c r="C927" s="21"/>
      <c r="D927" s="21"/>
      <c r="E927" s="21"/>
      <c r="F927" s="21"/>
      <c r="G927" s="86"/>
      <c r="H927" s="21"/>
      <c r="I927" s="21"/>
      <c r="J927" s="21"/>
      <c r="K927" s="21"/>
      <c r="L927" s="21"/>
      <c r="M927" s="21"/>
      <c r="N927" s="86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</row>
    <row r="928" ht="15.75" customHeight="1">
      <c r="A928" s="21"/>
      <c r="B928" s="21"/>
      <c r="C928" s="21"/>
      <c r="D928" s="21"/>
      <c r="E928" s="21"/>
      <c r="F928" s="21"/>
      <c r="G928" s="86"/>
      <c r="H928" s="21"/>
      <c r="I928" s="21"/>
      <c r="J928" s="21"/>
      <c r="K928" s="21"/>
      <c r="L928" s="21"/>
      <c r="M928" s="21"/>
      <c r="N928" s="86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</row>
    <row r="929" ht="15.75" customHeight="1">
      <c r="A929" s="21"/>
      <c r="B929" s="21"/>
      <c r="C929" s="21"/>
      <c r="D929" s="21"/>
      <c r="E929" s="21"/>
      <c r="F929" s="21"/>
      <c r="G929" s="86"/>
      <c r="H929" s="21"/>
      <c r="I929" s="21"/>
      <c r="J929" s="21"/>
      <c r="K929" s="21"/>
      <c r="L929" s="21"/>
      <c r="M929" s="21"/>
      <c r="N929" s="86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</row>
    <row r="930" ht="15.75" customHeight="1">
      <c r="A930" s="21"/>
      <c r="B930" s="21"/>
      <c r="C930" s="21"/>
      <c r="D930" s="21"/>
      <c r="E930" s="21"/>
      <c r="F930" s="21"/>
      <c r="G930" s="86"/>
      <c r="H930" s="21"/>
      <c r="I930" s="21"/>
      <c r="J930" s="21"/>
      <c r="K930" s="21"/>
      <c r="L930" s="21"/>
      <c r="M930" s="21"/>
      <c r="N930" s="86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</row>
    <row r="931" ht="15.75" customHeight="1">
      <c r="A931" s="21"/>
      <c r="B931" s="21"/>
      <c r="C931" s="21"/>
      <c r="D931" s="21"/>
      <c r="E931" s="21"/>
      <c r="F931" s="21"/>
      <c r="G931" s="86"/>
      <c r="H931" s="21"/>
      <c r="I931" s="21"/>
      <c r="J931" s="21"/>
      <c r="K931" s="21"/>
      <c r="L931" s="21"/>
      <c r="M931" s="21"/>
      <c r="N931" s="86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</row>
    <row r="932" ht="15.75" customHeight="1">
      <c r="A932" s="21"/>
      <c r="B932" s="21"/>
      <c r="C932" s="21"/>
      <c r="D932" s="21"/>
      <c r="E932" s="21"/>
      <c r="F932" s="21"/>
      <c r="G932" s="86"/>
      <c r="H932" s="21"/>
      <c r="I932" s="21"/>
      <c r="J932" s="21"/>
      <c r="K932" s="21"/>
      <c r="L932" s="21"/>
      <c r="M932" s="21"/>
      <c r="N932" s="86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</row>
    <row r="933" ht="15.75" customHeight="1">
      <c r="A933" s="21"/>
      <c r="B933" s="21"/>
      <c r="C933" s="21"/>
      <c r="D933" s="21"/>
      <c r="E933" s="21"/>
      <c r="F933" s="21"/>
      <c r="G933" s="86"/>
      <c r="H933" s="21"/>
      <c r="I933" s="21"/>
      <c r="J933" s="21"/>
      <c r="K933" s="21"/>
      <c r="L933" s="21"/>
      <c r="M933" s="21"/>
      <c r="N933" s="86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</row>
    <row r="934" ht="15.75" customHeight="1">
      <c r="A934" s="21"/>
      <c r="B934" s="21"/>
      <c r="C934" s="21"/>
      <c r="D934" s="21"/>
      <c r="E934" s="21"/>
      <c r="F934" s="21"/>
      <c r="G934" s="86"/>
      <c r="H934" s="21"/>
      <c r="I934" s="21"/>
      <c r="J934" s="21"/>
      <c r="K934" s="21"/>
      <c r="L934" s="21"/>
      <c r="M934" s="21"/>
      <c r="N934" s="86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</row>
    <row r="935" ht="15.75" customHeight="1">
      <c r="A935" s="21"/>
      <c r="B935" s="21"/>
      <c r="C935" s="21"/>
      <c r="D935" s="21"/>
      <c r="E935" s="21"/>
      <c r="F935" s="21"/>
      <c r="G935" s="86"/>
      <c r="H935" s="21"/>
      <c r="I935" s="21"/>
      <c r="J935" s="21"/>
      <c r="K935" s="21"/>
      <c r="L935" s="21"/>
      <c r="M935" s="21"/>
      <c r="N935" s="86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</row>
    <row r="936" ht="15.75" customHeight="1">
      <c r="A936" s="21"/>
      <c r="B936" s="21"/>
      <c r="C936" s="21"/>
      <c r="D936" s="21"/>
      <c r="E936" s="21"/>
      <c r="F936" s="21"/>
      <c r="G936" s="86"/>
      <c r="H936" s="21"/>
      <c r="I936" s="21"/>
      <c r="J936" s="21"/>
      <c r="K936" s="21"/>
      <c r="L936" s="21"/>
      <c r="M936" s="21"/>
      <c r="N936" s="86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</row>
    <row r="937" ht="15.75" customHeight="1">
      <c r="A937" s="21"/>
      <c r="B937" s="21"/>
      <c r="C937" s="21"/>
      <c r="D937" s="21"/>
      <c r="E937" s="21"/>
      <c r="F937" s="21"/>
      <c r="G937" s="86"/>
      <c r="H937" s="21"/>
      <c r="I937" s="21"/>
      <c r="J937" s="21"/>
      <c r="K937" s="21"/>
      <c r="L937" s="21"/>
      <c r="M937" s="21"/>
      <c r="N937" s="86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</row>
    <row r="938" ht="15.75" customHeight="1">
      <c r="A938" s="21"/>
      <c r="B938" s="21"/>
      <c r="C938" s="21"/>
      <c r="D938" s="21"/>
      <c r="E938" s="21"/>
      <c r="F938" s="21"/>
      <c r="G938" s="86"/>
      <c r="H938" s="21"/>
      <c r="I938" s="21"/>
      <c r="J938" s="21"/>
      <c r="K938" s="21"/>
      <c r="L938" s="21"/>
      <c r="M938" s="21"/>
      <c r="N938" s="86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</row>
    <row r="939" ht="15.75" customHeight="1">
      <c r="A939" s="21"/>
      <c r="B939" s="21"/>
      <c r="C939" s="21"/>
      <c r="D939" s="21"/>
      <c r="E939" s="21"/>
      <c r="F939" s="21"/>
      <c r="G939" s="86"/>
      <c r="H939" s="21"/>
      <c r="I939" s="21"/>
      <c r="J939" s="21"/>
      <c r="K939" s="21"/>
      <c r="L939" s="21"/>
      <c r="M939" s="21"/>
      <c r="N939" s="86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</row>
    <row r="940" ht="15.75" customHeight="1">
      <c r="A940" s="21"/>
      <c r="B940" s="21"/>
      <c r="C940" s="21"/>
      <c r="D940" s="21"/>
      <c r="E940" s="21"/>
      <c r="F940" s="21"/>
      <c r="G940" s="86"/>
      <c r="H940" s="21"/>
      <c r="I940" s="21"/>
      <c r="J940" s="21"/>
      <c r="K940" s="21"/>
      <c r="L940" s="21"/>
      <c r="M940" s="21"/>
      <c r="N940" s="86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</row>
    <row r="941" ht="15.75" customHeight="1">
      <c r="A941" s="21"/>
      <c r="B941" s="21"/>
      <c r="C941" s="21"/>
      <c r="D941" s="21"/>
      <c r="E941" s="21"/>
      <c r="F941" s="21"/>
      <c r="G941" s="86"/>
      <c r="H941" s="21"/>
      <c r="I941" s="21"/>
      <c r="J941" s="21"/>
      <c r="K941" s="21"/>
      <c r="L941" s="21"/>
      <c r="M941" s="21"/>
      <c r="N941" s="86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</row>
    <row r="942" ht="15.75" customHeight="1">
      <c r="A942" s="21"/>
      <c r="B942" s="21"/>
      <c r="C942" s="21"/>
      <c r="D942" s="21"/>
      <c r="E942" s="21"/>
      <c r="F942" s="21"/>
      <c r="G942" s="86"/>
      <c r="H942" s="21"/>
      <c r="I942" s="21"/>
      <c r="J942" s="21"/>
      <c r="K942" s="21"/>
      <c r="L942" s="21"/>
      <c r="M942" s="21"/>
      <c r="N942" s="86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</row>
    <row r="943" ht="15.75" customHeight="1">
      <c r="A943" s="21"/>
      <c r="B943" s="21"/>
      <c r="C943" s="21"/>
      <c r="D943" s="21"/>
      <c r="E943" s="21"/>
      <c r="F943" s="21"/>
      <c r="G943" s="86"/>
      <c r="H943" s="21"/>
      <c r="I943" s="21"/>
      <c r="J943" s="21"/>
      <c r="K943" s="21"/>
      <c r="L943" s="21"/>
      <c r="M943" s="21"/>
      <c r="N943" s="86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</row>
    <row r="944" ht="15.75" customHeight="1">
      <c r="A944" s="21"/>
      <c r="B944" s="21"/>
      <c r="C944" s="21"/>
      <c r="D944" s="21"/>
      <c r="E944" s="21"/>
      <c r="F944" s="21"/>
      <c r="G944" s="86"/>
      <c r="H944" s="21"/>
      <c r="I944" s="21"/>
      <c r="J944" s="21"/>
      <c r="K944" s="21"/>
      <c r="L944" s="21"/>
      <c r="M944" s="21"/>
      <c r="N944" s="86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</row>
    <row r="945" ht="15.75" customHeight="1">
      <c r="A945" s="21"/>
      <c r="B945" s="21"/>
      <c r="C945" s="21"/>
      <c r="D945" s="21"/>
      <c r="E945" s="21"/>
      <c r="F945" s="21"/>
      <c r="G945" s="86"/>
      <c r="H945" s="21"/>
      <c r="I945" s="21"/>
      <c r="J945" s="21"/>
      <c r="K945" s="21"/>
      <c r="L945" s="21"/>
      <c r="M945" s="21"/>
      <c r="N945" s="86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</row>
    <row r="946" ht="15.75" customHeight="1">
      <c r="A946" s="21"/>
      <c r="B946" s="21"/>
      <c r="C946" s="21"/>
      <c r="D946" s="21"/>
      <c r="E946" s="21"/>
      <c r="F946" s="21"/>
      <c r="G946" s="86"/>
      <c r="H946" s="21"/>
      <c r="I946" s="21"/>
      <c r="J946" s="21"/>
      <c r="K946" s="21"/>
      <c r="L946" s="21"/>
      <c r="M946" s="21"/>
      <c r="N946" s="86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</row>
    <row r="947" ht="15.75" customHeight="1">
      <c r="A947" s="21"/>
      <c r="B947" s="21"/>
      <c r="C947" s="21"/>
      <c r="D947" s="21"/>
      <c r="E947" s="21"/>
      <c r="F947" s="21"/>
      <c r="G947" s="86"/>
      <c r="H947" s="21"/>
      <c r="I947" s="21"/>
      <c r="J947" s="21"/>
      <c r="K947" s="21"/>
      <c r="L947" s="21"/>
      <c r="M947" s="21"/>
      <c r="N947" s="86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</row>
    <row r="948" ht="15.75" customHeight="1">
      <c r="A948" s="21"/>
      <c r="B948" s="21"/>
      <c r="C948" s="21"/>
      <c r="D948" s="21"/>
      <c r="E948" s="21"/>
      <c r="F948" s="21"/>
      <c r="G948" s="86"/>
      <c r="H948" s="21"/>
      <c r="I948" s="21"/>
      <c r="J948" s="21"/>
      <c r="K948" s="21"/>
      <c r="L948" s="21"/>
      <c r="M948" s="21"/>
      <c r="N948" s="86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</row>
    <row r="949" ht="15.75" customHeight="1">
      <c r="A949" s="21"/>
      <c r="B949" s="21"/>
      <c r="C949" s="21"/>
      <c r="D949" s="21"/>
      <c r="E949" s="21"/>
      <c r="F949" s="21"/>
      <c r="G949" s="86"/>
      <c r="H949" s="21"/>
      <c r="I949" s="21"/>
      <c r="J949" s="21"/>
      <c r="K949" s="21"/>
      <c r="L949" s="21"/>
      <c r="M949" s="21"/>
      <c r="N949" s="86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</row>
    <row r="950" ht="15.75" customHeight="1">
      <c r="A950" s="21"/>
      <c r="B950" s="21"/>
      <c r="C950" s="21"/>
      <c r="D950" s="21"/>
      <c r="E950" s="21"/>
      <c r="F950" s="21"/>
      <c r="G950" s="86"/>
      <c r="H950" s="21"/>
      <c r="I950" s="21"/>
      <c r="J950" s="21"/>
      <c r="K950" s="21"/>
      <c r="L950" s="21"/>
      <c r="M950" s="21"/>
      <c r="N950" s="86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</row>
    <row r="951" ht="15.75" customHeight="1">
      <c r="A951" s="21"/>
      <c r="B951" s="21"/>
      <c r="C951" s="21"/>
      <c r="D951" s="21"/>
      <c r="E951" s="21"/>
      <c r="F951" s="21"/>
      <c r="G951" s="86"/>
      <c r="H951" s="21"/>
      <c r="I951" s="21"/>
      <c r="J951" s="21"/>
      <c r="K951" s="21"/>
      <c r="L951" s="21"/>
      <c r="M951" s="21"/>
      <c r="N951" s="86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</row>
    <row r="952" ht="15.75" customHeight="1">
      <c r="A952" s="21"/>
      <c r="B952" s="21"/>
      <c r="C952" s="21"/>
      <c r="D952" s="21"/>
      <c r="E952" s="21"/>
      <c r="F952" s="21"/>
      <c r="G952" s="86"/>
      <c r="H952" s="21"/>
      <c r="I952" s="21"/>
      <c r="J952" s="21"/>
      <c r="K952" s="21"/>
      <c r="L952" s="21"/>
      <c r="M952" s="21"/>
      <c r="N952" s="86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</row>
    <row r="953" ht="15.75" customHeight="1">
      <c r="A953" s="21"/>
      <c r="B953" s="21"/>
      <c r="C953" s="21"/>
      <c r="D953" s="21"/>
      <c r="E953" s="21"/>
      <c r="F953" s="21"/>
      <c r="G953" s="86"/>
      <c r="H953" s="21"/>
      <c r="I953" s="21"/>
      <c r="J953" s="21"/>
      <c r="K953" s="21"/>
      <c r="L953" s="21"/>
      <c r="M953" s="21"/>
      <c r="N953" s="86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</row>
    <row r="954" ht="15.75" customHeight="1">
      <c r="A954" s="21"/>
      <c r="B954" s="21"/>
      <c r="C954" s="21"/>
      <c r="D954" s="21"/>
      <c r="E954" s="21"/>
      <c r="F954" s="21"/>
      <c r="G954" s="86"/>
      <c r="H954" s="21"/>
      <c r="I954" s="21"/>
      <c r="J954" s="21"/>
      <c r="K954" s="21"/>
      <c r="L954" s="21"/>
      <c r="M954" s="21"/>
      <c r="N954" s="86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</row>
    <row r="955" ht="15.75" customHeight="1">
      <c r="A955" s="21"/>
      <c r="B955" s="21"/>
      <c r="C955" s="21"/>
      <c r="D955" s="21"/>
      <c r="E955" s="21"/>
      <c r="F955" s="21"/>
      <c r="G955" s="86"/>
      <c r="H955" s="21"/>
      <c r="I955" s="21"/>
      <c r="J955" s="21"/>
      <c r="K955" s="21"/>
      <c r="L955" s="21"/>
      <c r="M955" s="21"/>
      <c r="N955" s="86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</row>
    <row r="956" ht="15.75" customHeight="1">
      <c r="A956" s="21"/>
      <c r="B956" s="21"/>
      <c r="C956" s="21"/>
      <c r="D956" s="21"/>
      <c r="E956" s="21"/>
      <c r="F956" s="21"/>
      <c r="G956" s="86"/>
      <c r="H956" s="21"/>
      <c r="I956" s="21"/>
      <c r="J956" s="21"/>
      <c r="K956" s="21"/>
      <c r="L956" s="21"/>
      <c r="M956" s="21"/>
      <c r="N956" s="86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</row>
    <row r="957" ht="15.75" customHeight="1">
      <c r="A957" s="21"/>
      <c r="B957" s="21"/>
      <c r="C957" s="21"/>
      <c r="D957" s="21"/>
      <c r="E957" s="21"/>
      <c r="F957" s="21"/>
      <c r="G957" s="86"/>
      <c r="H957" s="21"/>
      <c r="I957" s="21"/>
      <c r="J957" s="21"/>
      <c r="K957" s="21"/>
      <c r="L957" s="21"/>
      <c r="M957" s="21"/>
      <c r="N957" s="86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</row>
    <row r="958" ht="15.75" customHeight="1">
      <c r="A958" s="21"/>
      <c r="B958" s="21"/>
      <c r="C958" s="21"/>
      <c r="D958" s="21"/>
      <c r="E958" s="21"/>
      <c r="F958" s="21"/>
      <c r="G958" s="86"/>
      <c r="H958" s="21"/>
      <c r="I958" s="21"/>
      <c r="J958" s="21"/>
      <c r="K958" s="21"/>
      <c r="L958" s="21"/>
      <c r="M958" s="21"/>
      <c r="N958" s="86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</row>
    <row r="959" ht="15.75" customHeight="1">
      <c r="A959" s="21"/>
      <c r="B959" s="21"/>
      <c r="C959" s="21"/>
      <c r="D959" s="21"/>
      <c r="E959" s="21"/>
      <c r="F959" s="21"/>
      <c r="G959" s="86"/>
      <c r="H959" s="21"/>
      <c r="I959" s="21"/>
      <c r="J959" s="21"/>
      <c r="K959" s="21"/>
      <c r="L959" s="21"/>
      <c r="M959" s="21"/>
      <c r="N959" s="86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</row>
    <row r="960" ht="15.75" customHeight="1">
      <c r="A960" s="21"/>
      <c r="B960" s="21"/>
      <c r="C960" s="21"/>
      <c r="D960" s="21"/>
      <c r="E960" s="21"/>
      <c r="F960" s="21"/>
      <c r="G960" s="86"/>
      <c r="H960" s="21"/>
      <c r="I960" s="21"/>
      <c r="J960" s="21"/>
      <c r="K960" s="21"/>
      <c r="L960" s="21"/>
      <c r="M960" s="21"/>
      <c r="N960" s="86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</row>
    <row r="961" ht="15.75" customHeight="1">
      <c r="A961" s="21"/>
      <c r="B961" s="21"/>
      <c r="C961" s="21"/>
      <c r="D961" s="21"/>
      <c r="E961" s="21"/>
      <c r="F961" s="21"/>
      <c r="G961" s="86"/>
      <c r="H961" s="21"/>
      <c r="I961" s="21"/>
      <c r="J961" s="21"/>
      <c r="K961" s="21"/>
      <c r="L961" s="21"/>
      <c r="M961" s="21"/>
      <c r="N961" s="86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</row>
    <row r="962" ht="15.75" customHeight="1">
      <c r="A962" s="21"/>
      <c r="B962" s="21"/>
      <c r="C962" s="21"/>
      <c r="D962" s="21"/>
      <c r="E962" s="21"/>
      <c r="F962" s="21"/>
      <c r="G962" s="86"/>
      <c r="H962" s="21"/>
      <c r="I962" s="21"/>
      <c r="J962" s="21"/>
      <c r="K962" s="21"/>
      <c r="L962" s="21"/>
      <c r="M962" s="21"/>
      <c r="N962" s="86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</row>
    <row r="963" ht="15.75" customHeight="1">
      <c r="A963" s="21"/>
      <c r="B963" s="21"/>
      <c r="C963" s="21"/>
      <c r="D963" s="21"/>
      <c r="E963" s="21"/>
      <c r="F963" s="21"/>
      <c r="G963" s="86"/>
      <c r="H963" s="21"/>
      <c r="I963" s="21"/>
      <c r="J963" s="21"/>
      <c r="K963" s="21"/>
      <c r="L963" s="21"/>
      <c r="M963" s="21"/>
      <c r="N963" s="86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21"/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</row>
    <row r="964" ht="15.75" customHeight="1">
      <c r="A964" s="21"/>
      <c r="B964" s="21"/>
      <c r="C964" s="21"/>
      <c r="D964" s="21"/>
      <c r="E964" s="21"/>
      <c r="F964" s="21"/>
      <c r="G964" s="86"/>
      <c r="H964" s="21"/>
      <c r="I964" s="21"/>
      <c r="J964" s="21"/>
      <c r="K964" s="21"/>
      <c r="L964" s="21"/>
      <c r="M964" s="21"/>
      <c r="N964" s="86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</row>
    <row r="965" ht="15.75" customHeight="1">
      <c r="A965" s="21"/>
      <c r="B965" s="21"/>
      <c r="C965" s="21"/>
      <c r="D965" s="21"/>
      <c r="E965" s="21"/>
      <c r="F965" s="21"/>
      <c r="G965" s="86"/>
      <c r="H965" s="21"/>
      <c r="I965" s="21"/>
      <c r="J965" s="21"/>
      <c r="K965" s="21"/>
      <c r="L965" s="21"/>
      <c r="M965" s="21"/>
      <c r="N965" s="86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</row>
    <row r="966" ht="15.75" customHeight="1">
      <c r="A966" s="21"/>
      <c r="B966" s="21"/>
      <c r="C966" s="21"/>
      <c r="D966" s="21"/>
      <c r="E966" s="21"/>
      <c r="F966" s="21"/>
      <c r="G966" s="86"/>
      <c r="H966" s="21"/>
      <c r="I966" s="21"/>
      <c r="J966" s="21"/>
      <c r="K966" s="21"/>
      <c r="L966" s="21"/>
      <c r="M966" s="21"/>
      <c r="N966" s="86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</row>
    <row r="967" ht="15.75" customHeight="1">
      <c r="A967" s="21"/>
      <c r="B967" s="21"/>
      <c r="C967" s="21"/>
      <c r="D967" s="21"/>
      <c r="E967" s="21"/>
      <c r="F967" s="21"/>
      <c r="G967" s="86"/>
      <c r="H967" s="21"/>
      <c r="I967" s="21"/>
      <c r="J967" s="21"/>
      <c r="K967" s="21"/>
      <c r="L967" s="21"/>
      <c r="M967" s="21"/>
      <c r="N967" s="86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</row>
    <row r="968" ht="15.75" customHeight="1">
      <c r="A968" s="21"/>
      <c r="B968" s="21"/>
      <c r="C968" s="21"/>
      <c r="D968" s="21"/>
      <c r="E968" s="21"/>
      <c r="F968" s="21"/>
      <c r="G968" s="86"/>
      <c r="H968" s="21"/>
      <c r="I968" s="21"/>
      <c r="J968" s="21"/>
      <c r="K968" s="21"/>
      <c r="L968" s="21"/>
      <c r="M968" s="21"/>
      <c r="N968" s="86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</row>
    <row r="969" ht="15.75" customHeight="1">
      <c r="A969" s="21"/>
      <c r="B969" s="21"/>
      <c r="C969" s="21"/>
      <c r="D969" s="21"/>
      <c r="E969" s="21"/>
      <c r="F969" s="21"/>
      <c r="G969" s="86"/>
      <c r="H969" s="21"/>
      <c r="I969" s="21"/>
      <c r="J969" s="21"/>
      <c r="K969" s="21"/>
      <c r="L969" s="21"/>
      <c r="M969" s="21"/>
      <c r="N969" s="86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</row>
    <row r="970" ht="15.75" customHeight="1">
      <c r="A970" s="21"/>
      <c r="B970" s="21"/>
      <c r="C970" s="21"/>
      <c r="D970" s="21"/>
      <c r="E970" s="21"/>
      <c r="F970" s="21"/>
      <c r="G970" s="86"/>
      <c r="H970" s="21"/>
      <c r="I970" s="21"/>
      <c r="J970" s="21"/>
      <c r="K970" s="21"/>
      <c r="L970" s="21"/>
      <c r="M970" s="21"/>
      <c r="N970" s="86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</row>
    <row r="971" ht="15.75" customHeight="1">
      <c r="A971" s="21"/>
      <c r="B971" s="21"/>
      <c r="C971" s="21"/>
      <c r="D971" s="21"/>
      <c r="E971" s="21"/>
      <c r="F971" s="21"/>
      <c r="G971" s="86"/>
      <c r="H971" s="21"/>
      <c r="I971" s="21"/>
      <c r="J971" s="21"/>
      <c r="K971" s="21"/>
      <c r="L971" s="21"/>
      <c r="M971" s="21"/>
      <c r="N971" s="86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</row>
    <row r="972" ht="15.75" customHeight="1">
      <c r="A972" s="21"/>
      <c r="B972" s="21"/>
      <c r="C972" s="21"/>
      <c r="D972" s="21"/>
      <c r="E972" s="21"/>
      <c r="F972" s="21"/>
      <c r="G972" s="86"/>
      <c r="H972" s="21"/>
      <c r="I972" s="21"/>
      <c r="J972" s="21"/>
      <c r="K972" s="21"/>
      <c r="L972" s="21"/>
      <c r="M972" s="21"/>
      <c r="N972" s="86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</row>
    <row r="973" ht="15.75" customHeight="1">
      <c r="A973" s="21"/>
      <c r="B973" s="21"/>
      <c r="C973" s="21"/>
      <c r="D973" s="21"/>
      <c r="E973" s="21"/>
      <c r="F973" s="21"/>
      <c r="G973" s="86"/>
      <c r="H973" s="21"/>
      <c r="I973" s="21"/>
      <c r="J973" s="21"/>
      <c r="K973" s="21"/>
      <c r="L973" s="21"/>
      <c r="M973" s="21"/>
      <c r="N973" s="86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</row>
    <row r="974" ht="15.75" customHeight="1">
      <c r="A974" s="21"/>
      <c r="B974" s="21"/>
      <c r="C974" s="21"/>
      <c r="D974" s="21"/>
      <c r="E974" s="21"/>
      <c r="F974" s="21"/>
      <c r="G974" s="86"/>
      <c r="H974" s="21"/>
      <c r="I974" s="21"/>
      <c r="J974" s="21"/>
      <c r="K974" s="21"/>
      <c r="L974" s="21"/>
      <c r="M974" s="21"/>
      <c r="N974" s="86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</row>
    <row r="975" ht="15.75" customHeight="1">
      <c r="A975" s="21"/>
      <c r="B975" s="21"/>
      <c r="C975" s="21"/>
      <c r="D975" s="21"/>
      <c r="E975" s="21"/>
      <c r="F975" s="21"/>
      <c r="G975" s="86"/>
      <c r="H975" s="21"/>
      <c r="I975" s="21"/>
      <c r="J975" s="21"/>
      <c r="K975" s="21"/>
      <c r="L975" s="21"/>
      <c r="M975" s="21"/>
      <c r="N975" s="86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</row>
    <row r="976" ht="15.75" customHeight="1">
      <c r="A976" s="21"/>
      <c r="B976" s="21"/>
      <c r="C976" s="21"/>
      <c r="D976" s="21"/>
      <c r="E976" s="21"/>
      <c r="F976" s="21"/>
      <c r="G976" s="86"/>
      <c r="H976" s="21"/>
      <c r="I976" s="21"/>
      <c r="J976" s="21"/>
      <c r="K976" s="21"/>
      <c r="L976" s="21"/>
      <c r="M976" s="21"/>
      <c r="N976" s="86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</row>
    <row r="977" ht="15.75" customHeight="1">
      <c r="A977" s="21"/>
      <c r="B977" s="21"/>
      <c r="C977" s="21"/>
      <c r="D977" s="21"/>
      <c r="E977" s="21"/>
      <c r="F977" s="21"/>
      <c r="G977" s="86"/>
      <c r="H977" s="21"/>
      <c r="I977" s="21"/>
      <c r="J977" s="21"/>
      <c r="K977" s="21"/>
      <c r="L977" s="21"/>
      <c r="M977" s="21"/>
      <c r="N977" s="86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</row>
    <row r="978" ht="15.75" customHeight="1">
      <c r="A978" s="21"/>
      <c r="B978" s="21"/>
      <c r="C978" s="21"/>
      <c r="D978" s="21"/>
      <c r="E978" s="21"/>
      <c r="F978" s="21"/>
      <c r="G978" s="86"/>
      <c r="H978" s="21"/>
      <c r="I978" s="21"/>
      <c r="J978" s="21"/>
      <c r="K978" s="21"/>
      <c r="L978" s="21"/>
      <c r="M978" s="21"/>
      <c r="N978" s="86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</row>
    <row r="979" ht="15.75" customHeight="1">
      <c r="A979" s="21"/>
      <c r="B979" s="21"/>
      <c r="C979" s="21"/>
      <c r="D979" s="21"/>
      <c r="E979" s="21"/>
      <c r="F979" s="21"/>
      <c r="G979" s="86"/>
      <c r="H979" s="21"/>
      <c r="I979" s="21"/>
      <c r="J979" s="21"/>
      <c r="K979" s="21"/>
      <c r="L979" s="21"/>
      <c r="M979" s="21"/>
      <c r="N979" s="86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</row>
    <row r="980" ht="15.75" customHeight="1">
      <c r="A980" s="21"/>
      <c r="B980" s="21"/>
      <c r="C980" s="21"/>
      <c r="D980" s="21"/>
      <c r="E980" s="21"/>
      <c r="F980" s="21"/>
      <c r="G980" s="86"/>
      <c r="H980" s="21"/>
      <c r="I980" s="21"/>
      <c r="J980" s="21"/>
      <c r="K980" s="21"/>
      <c r="L980" s="21"/>
      <c r="M980" s="21"/>
      <c r="N980" s="86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</row>
    <row r="981" ht="15.75" customHeight="1">
      <c r="A981" s="21"/>
      <c r="B981" s="21"/>
      <c r="C981" s="21"/>
      <c r="D981" s="21"/>
      <c r="E981" s="21"/>
      <c r="F981" s="21"/>
      <c r="G981" s="86"/>
      <c r="H981" s="21"/>
      <c r="I981" s="21"/>
      <c r="J981" s="21"/>
      <c r="K981" s="21"/>
      <c r="L981" s="21"/>
      <c r="M981" s="21"/>
      <c r="N981" s="86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</row>
    <row r="982" ht="15.75" customHeight="1">
      <c r="A982" s="21"/>
      <c r="B982" s="21"/>
      <c r="C982" s="21"/>
      <c r="D982" s="21"/>
      <c r="E982" s="21"/>
      <c r="F982" s="21"/>
      <c r="G982" s="86"/>
      <c r="H982" s="21"/>
      <c r="I982" s="21"/>
      <c r="J982" s="21"/>
      <c r="K982" s="21"/>
      <c r="L982" s="21"/>
      <c r="M982" s="21"/>
      <c r="N982" s="86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</row>
    <row r="983" ht="15.75" customHeight="1">
      <c r="A983" s="21"/>
      <c r="B983" s="21"/>
      <c r="C983" s="21"/>
      <c r="D983" s="21"/>
      <c r="E983" s="21"/>
      <c r="F983" s="21"/>
      <c r="G983" s="86"/>
      <c r="H983" s="21"/>
      <c r="I983" s="21"/>
      <c r="J983" s="21"/>
      <c r="K983" s="21"/>
      <c r="L983" s="21"/>
      <c r="M983" s="21"/>
      <c r="N983" s="86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</row>
    <row r="984" ht="15.75" customHeight="1">
      <c r="A984" s="21"/>
      <c r="B984" s="21"/>
      <c r="C984" s="21"/>
      <c r="D984" s="21"/>
      <c r="E984" s="21"/>
      <c r="F984" s="21"/>
      <c r="G984" s="86"/>
      <c r="H984" s="21"/>
      <c r="I984" s="21"/>
      <c r="J984" s="21"/>
      <c r="K984" s="21"/>
      <c r="L984" s="21"/>
      <c r="M984" s="21"/>
      <c r="N984" s="86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</row>
    <row r="985" ht="15.75" customHeight="1">
      <c r="A985" s="21"/>
      <c r="B985" s="21"/>
      <c r="C985" s="21"/>
      <c r="D985" s="21"/>
      <c r="E985" s="21"/>
      <c r="F985" s="21"/>
      <c r="G985" s="86"/>
      <c r="H985" s="21"/>
      <c r="I985" s="21"/>
      <c r="J985" s="21"/>
      <c r="K985" s="21"/>
      <c r="L985" s="21"/>
      <c r="M985" s="21"/>
      <c r="N985" s="86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</row>
    <row r="986" ht="15.75" customHeight="1">
      <c r="A986" s="21"/>
      <c r="B986" s="21"/>
      <c r="C986" s="21"/>
      <c r="D986" s="21"/>
      <c r="E986" s="21"/>
      <c r="F986" s="21"/>
      <c r="G986" s="86"/>
      <c r="H986" s="21"/>
      <c r="I986" s="21"/>
      <c r="J986" s="21"/>
      <c r="K986" s="21"/>
      <c r="L986" s="21"/>
      <c r="M986" s="21"/>
      <c r="N986" s="86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</row>
    <row r="987" ht="15.75" customHeight="1">
      <c r="A987" s="21"/>
      <c r="B987" s="21"/>
      <c r="C987" s="21"/>
      <c r="D987" s="21"/>
      <c r="E987" s="21"/>
      <c r="F987" s="21"/>
      <c r="G987" s="86"/>
      <c r="H987" s="21"/>
      <c r="I987" s="21"/>
      <c r="J987" s="21"/>
      <c r="K987" s="21"/>
      <c r="L987" s="21"/>
      <c r="M987" s="21"/>
      <c r="N987" s="86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</row>
    <row r="988" ht="15.75" customHeight="1">
      <c r="A988" s="21"/>
      <c r="B988" s="21"/>
      <c r="C988" s="21"/>
      <c r="D988" s="21"/>
      <c r="E988" s="21"/>
      <c r="F988" s="21"/>
      <c r="G988" s="86"/>
      <c r="H988" s="21"/>
      <c r="I988" s="21"/>
      <c r="J988" s="21"/>
      <c r="K988" s="21"/>
      <c r="L988" s="21"/>
      <c r="M988" s="21"/>
      <c r="N988" s="86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</row>
    <row r="989" ht="15.75" customHeight="1">
      <c r="A989" s="21"/>
      <c r="B989" s="21"/>
      <c r="C989" s="21"/>
      <c r="D989" s="21"/>
      <c r="E989" s="21"/>
      <c r="F989" s="21"/>
      <c r="G989" s="86"/>
      <c r="H989" s="21"/>
      <c r="I989" s="21"/>
      <c r="J989" s="21"/>
      <c r="K989" s="21"/>
      <c r="L989" s="21"/>
      <c r="M989" s="21"/>
      <c r="N989" s="86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</row>
    <row r="990" ht="15.75" customHeight="1">
      <c r="A990" s="21"/>
      <c r="B990" s="21"/>
      <c r="C990" s="21"/>
      <c r="D990" s="21"/>
      <c r="E990" s="21"/>
      <c r="F990" s="21"/>
      <c r="G990" s="86"/>
      <c r="H990" s="21"/>
      <c r="I990" s="21"/>
      <c r="J990" s="21"/>
      <c r="K990" s="21"/>
      <c r="L990" s="21"/>
      <c r="M990" s="21"/>
      <c r="N990" s="86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</row>
    <row r="991" ht="15.75" customHeight="1">
      <c r="A991" s="21"/>
      <c r="B991" s="21"/>
      <c r="C991" s="21"/>
      <c r="D991" s="21"/>
      <c r="E991" s="21"/>
      <c r="F991" s="21"/>
      <c r="G991" s="86"/>
      <c r="H991" s="21"/>
      <c r="I991" s="21"/>
      <c r="J991" s="21"/>
      <c r="K991" s="21"/>
      <c r="L991" s="21"/>
      <c r="M991" s="21"/>
      <c r="N991" s="86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</row>
    <row r="992" ht="15.75" customHeight="1">
      <c r="A992" s="21"/>
      <c r="B992" s="21"/>
      <c r="C992" s="21"/>
      <c r="D992" s="21"/>
      <c r="E992" s="21"/>
      <c r="F992" s="21"/>
      <c r="G992" s="86"/>
      <c r="H992" s="21"/>
      <c r="I992" s="21"/>
      <c r="J992" s="21"/>
      <c r="K992" s="21"/>
      <c r="L992" s="21"/>
      <c r="M992" s="21"/>
      <c r="N992" s="86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</row>
    <row r="993" ht="15.75" customHeight="1">
      <c r="A993" s="21"/>
      <c r="B993" s="21"/>
      <c r="C993" s="21"/>
      <c r="D993" s="21"/>
      <c r="E993" s="21"/>
      <c r="F993" s="21"/>
      <c r="G993" s="86"/>
      <c r="H993" s="21"/>
      <c r="I993" s="21"/>
      <c r="J993" s="21"/>
      <c r="K993" s="21"/>
      <c r="L993" s="21"/>
      <c r="M993" s="21"/>
      <c r="N993" s="86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</row>
    <row r="994" ht="15.75" customHeight="1">
      <c r="A994" s="21"/>
      <c r="B994" s="21"/>
      <c r="C994" s="21"/>
      <c r="D994" s="21"/>
      <c r="E994" s="21"/>
      <c r="F994" s="21"/>
      <c r="G994" s="86"/>
      <c r="H994" s="21"/>
      <c r="I994" s="21"/>
      <c r="J994" s="21"/>
      <c r="K994" s="21"/>
      <c r="L994" s="21"/>
      <c r="M994" s="21"/>
      <c r="N994" s="86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</row>
    <row r="995" ht="15.75" customHeight="1">
      <c r="A995" s="21"/>
      <c r="B995" s="21"/>
      <c r="C995" s="21"/>
      <c r="D995" s="21"/>
      <c r="E995" s="21"/>
      <c r="F995" s="21"/>
      <c r="G995" s="86"/>
      <c r="H995" s="21"/>
      <c r="I995" s="21"/>
      <c r="J995" s="21"/>
      <c r="K995" s="21"/>
      <c r="L995" s="21"/>
      <c r="M995" s="21"/>
      <c r="N995" s="86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</row>
    <row r="996" ht="15.75" customHeight="1">
      <c r="A996" s="21"/>
      <c r="B996" s="21"/>
      <c r="C996" s="21"/>
      <c r="D996" s="21"/>
      <c r="E996" s="21"/>
      <c r="F996" s="21"/>
      <c r="G996" s="86"/>
      <c r="H996" s="21"/>
      <c r="I996" s="21"/>
      <c r="J996" s="21"/>
      <c r="K996" s="21"/>
      <c r="L996" s="21"/>
      <c r="M996" s="21"/>
      <c r="N996" s="86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</row>
    <row r="997" ht="15.75" customHeight="1">
      <c r="A997" s="21"/>
      <c r="B997" s="21"/>
      <c r="C997" s="21"/>
      <c r="D997" s="21"/>
      <c r="E997" s="21"/>
      <c r="F997" s="21"/>
      <c r="G997" s="86"/>
      <c r="H997" s="21"/>
      <c r="I997" s="21"/>
      <c r="J997" s="21"/>
      <c r="K997" s="21"/>
      <c r="L997" s="21"/>
      <c r="M997" s="21"/>
      <c r="N997" s="86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21"/>
      <c r="AO997" s="21"/>
      <c r="AP997" s="21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</row>
  </sheetData>
  <mergeCells count="20">
    <mergeCell ref="P12:U12"/>
    <mergeCell ref="V12:AA12"/>
    <mergeCell ref="B53:C53"/>
    <mergeCell ref="B57:C57"/>
    <mergeCell ref="B58:C58"/>
    <mergeCell ref="B59:C59"/>
    <mergeCell ref="AB12:AG12"/>
    <mergeCell ref="AH12:AM12"/>
    <mergeCell ref="AN12:AS12"/>
    <mergeCell ref="AU12:BF12"/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printOptions/>
  <pageMargins bottom="0.75" footer="0.0" header="0.0" left="0.7" right="0.7" top="0.75"/>
  <pageSetup orientation="landscape"/>
  <headerFooter>
    <oddHeader>&amp;LDepartment of CSE, ULAB&amp;CCO_POAttainmentAnalysis&amp;RCSE004(00)</oddHeader>
    <oddFooter>&amp;RPage 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71"/>
    <col customWidth="1" min="4" max="4" width="16.86"/>
    <col customWidth="1" min="5" max="24" width="9.14"/>
  </cols>
  <sheetData>
    <row r="1" ht="35.25" customHeight="1">
      <c r="A1" s="201" t="s">
        <v>190</v>
      </c>
      <c r="B1" s="98"/>
      <c r="C1" s="98"/>
      <c r="D1" s="99"/>
      <c r="E1" s="202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</row>
    <row r="2">
      <c r="A2" s="204" t="s">
        <v>45</v>
      </c>
      <c r="B2" s="208" t="str">
        <f>GradeSheet!$G$2</f>
        <v>CSE 2203</v>
      </c>
      <c r="C2" s="209" t="s">
        <v>47</v>
      </c>
      <c r="D2" s="210">
        <f>GradeSheet!$K$2</f>
        <v>2</v>
      </c>
      <c r="E2" s="202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</row>
    <row r="3" ht="16.5" customHeight="1">
      <c r="A3" s="204" t="s">
        <v>48</v>
      </c>
      <c r="B3" s="208" t="str">
        <f>GradeSheet!$G$3</f>
        <v>Computer Organization and Architecture</v>
      </c>
      <c r="C3" s="215" t="s">
        <v>50</v>
      </c>
      <c r="D3" s="217" t="str">
        <f>GradeSheet!$K$3</f>
        <v>Spring 2026</v>
      </c>
      <c r="E3" s="202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</row>
    <row r="4">
      <c r="A4" s="204" t="s">
        <v>52</v>
      </c>
      <c r="B4" s="218">
        <f>GradeSheet!$G$4</f>
        <v>3</v>
      </c>
      <c r="C4" s="219" t="s">
        <v>192</v>
      </c>
      <c r="D4" s="220">
        <f>GradeSheet!$G$62</f>
        <v>37</v>
      </c>
      <c r="E4" s="202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</row>
    <row r="5">
      <c r="A5" s="202"/>
      <c r="B5" s="202"/>
      <c r="C5" s="202"/>
      <c r="D5" s="202"/>
      <c r="E5" s="202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</row>
    <row r="6">
      <c r="A6" s="221" t="s">
        <v>194</v>
      </c>
      <c r="B6" s="223"/>
      <c r="C6" s="224" t="s">
        <v>196</v>
      </c>
      <c r="D6" s="225" t="s">
        <v>97</v>
      </c>
      <c r="E6" s="202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</row>
    <row r="7">
      <c r="A7" s="226" t="s">
        <v>11</v>
      </c>
      <c r="B7" s="227"/>
      <c r="C7" s="228" t="s">
        <v>198</v>
      </c>
      <c r="D7" s="230">
        <f>CO_PO_AttainmentAnalysis!AN53/(GradeSheet!G62-GradeSheet!G61-GradeSheet!G60)</f>
        <v>0.3333333333</v>
      </c>
      <c r="E7" s="202"/>
      <c r="F7" s="203"/>
      <c r="G7" s="203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</row>
    <row r="8">
      <c r="A8" s="221" t="s">
        <v>13</v>
      </c>
      <c r="B8" s="98"/>
      <c r="C8" s="231"/>
      <c r="D8" s="230">
        <f>CO_PO_AttainmentAnalysis!$AO$53/(GradeSheet!G62-GradeSheet!G61-GradeSheet!G60)</f>
        <v>0.2083333333</v>
      </c>
      <c r="E8" s="202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</row>
    <row r="9">
      <c r="A9" s="226" t="s">
        <v>15</v>
      </c>
      <c r="B9" s="227"/>
      <c r="C9" s="231"/>
      <c r="D9" s="230">
        <f>CO_PO_AttainmentAnalysis!$AP$53/(GradeSheet!G62-GradeSheet!G61-GradeSheet!G60)</f>
        <v>0.4583333333</v>
      </c>
      <c r="E9" s="202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</row>
    <row r="10">
      <c r="A10" s="226" t="s">
        <v>16</v>
      </c>
      <c r="B10" s="227"/>
      <c r="C10" s="231"/>
      <c r="D10" s="230">
        <f>CO_PO_AttainmentAnalysis!$AQ$53/(GradeSheet!G62-GradeSheet!G61-GradeSheet!G60)</f>
        <v>0</v>
      </c>
      <c r="E10" s="202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</row>
    <row r="11">
      <c r="A11" s="226" t="s">
        <v>17</v>
      </c>
      <c r="B11" s="227"/>
      <c r="C11" s="231"/>
      <c r="D11" s="230">
        <f>CO_PO_AttainmentAnalysis!$AR$53/(GradeSheet!G62-GradeSheet!G61-GradeSheet!G60)</f>
        <v>0</v>
      </c>
      <c r="E11" s="202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</row>
    <row r="12">
      <c r="A12" s="226" t="s">
        <v>18</v>
      </c>
      <c r="B12" s="227"/>
      <c r="C12" s="235"/>
      <c r="D12" s="230">
        <f>CO_PO_AttainmentAnalysis!$AS$53/(GradeSheet!G62-GradeSheet!G61-GradeSheet!G60)</f>
        <v>0</v>
      </c>
      <c r="E12" s="202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</row>
    <row r="13">
      <c r="A13" s="202"/>
      <c r="B13" s="202"/>
      <c r="C13" s="202"/>
      <c r="D13" s="202"/>
      <c r="E13" s="202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</row>
    <row r="14" ht="27.0" customHeight="1">
      <c r="A14" s="237" t="s">
        <v>202</v>
      </c>
      <c r="B14" s="214"/>
      <c r="C14" s="214"/>
      <c r="D14" s="214"/>
      <c r="E14" s="202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</row>
    <row r="15">
      <c r="A15" s="238"/>
      <c r="B15" s="41"/>
      <c r="C15" s="41"/>
      <c r="D15" s="42"/>
      <c r="E15" s="239"/>
      <c r="F15" s="241"/>
      <c r="G15" s="241"/>
      <c r="H15" s="241"/>
      <c r="I15" s="241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</row>
    <row r="16" ht="16.5" customHeight="1">
      <c r="A16" s="242" t="s">
        <v>203</v>
      </c>
      <c r="B16" s="41"/>
      <c r="C16" s="41"/>
      <c r="D16" s="42"/>
      <c r="E16" s="239"/>
      <c r="F16" s="241"/>
      <c r="G16" s="241"/>
      <c r="H16" s="241"/>
      <c r="I16" s="241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</row>
    <row r="17">
      <c r="A17" s="243" t="s">
        <v>204</v>
      </c>
      <c r="B17" s="41"/>
      <c r="C17" s="41"/>
      <c r="D17" s="42"/>
      <c r="E17" s="239"/>
      <c r="F17" s="241"/>
      <c r="G17" s="241"/>
      <c r="H17" s="241"/>
      <c r="I17" s="241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</row>
    <row r="18">
      <c r="A18" s="243" t="s">
        <v>205</v>
      </c>
      <c r="B18" s="41"/>
      <c r="C18" s="41"/>
      <c r="D18" s="42"/>
      <c r="E18" s="239"/>
      <c r="F18" s="241"/>
      <c r="G18" s="241"/>
      <c r="H18" s="241"/>
      <c r="I18" s="241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</row>
    <row r="19">
      <c r="A19" s="244"/>
      <c r="B19" s="41"/>
      <c r="C19" s="41"/>
      <c r="D19" s="42"/>
      <c r="E19" s="239"/>
      <c r="F19" s="241"/>
      <c r="G19" s="241"/>
      <c r="H19" s="241"/>
      <c r="I19" s="241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</row>
    <row r="20">
      <c r="A20" s="244"/>
      <c r="B20" s="41"/>
      <c r="C20" s="41"/>
      <c r="D20" s="42"/>
      <c r="E20" s="239"/>
      <c r="F20" s="241"/>
      <c r="G20" s="241"/>
      <c r="H20" s="241"/>
      <c r="I20" s="241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</row>
    <row r="21" ht="15.75" customHeight="1">
      <c r="A21" s="246"/>
      <c r="B21" s="247"/>
      <c r="C21" s="247"/>
      <c r="D21" s="248"/>
      <c r="E21" s="239"/>
      <c r="F21" s="241"/>
      <c r="G21" s="241"/>
      <c r="H21" s="241"/>
      <c r="I21" s="241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</row>
    <row r="22" ht="15.75" customHeight="1">
      <c r="A22" s="244"/>
      <c r="B22" s="41"/>
      <c r="C22" s="41"/>
      <c r="D22" s="42"/>
      <c r="E22" s="239"/>
      <c r="F22" s="241"/>
      <c r="G22" s="241"/>
      <c r="H22" s="241"/>
      <c r="I22" s="241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</row>
    <row r="23" ht="15.75" customHeight="1">
      <c r="A23" s="249"/>
      <c r="B23" s="41"/>
      <c r="C23" s="41"/>
      <c r="D23" s="42"/>
      <c r="E23" s="202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</row>
    <row r="24" ht="15.75" customHeight="1">
      <c r="A24" s="249"/>
      <c r="B24" s="41"/>
      <c r="C24" s="41"/>
      <c r="D24" s="42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</row>
    <row r="25" ht="15.75" customHeight="1">
      <c r="A25" s="249"/>
      <c r="B25" s="41"/>
      <c r="C25" s="41"/>
      <c r="D25" s="42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</row>
    <row r="26" ht="15.75" customHeight="1">
      <c r="A26" s="203"/>
      <c r="B26" s="203"/>
      <c r="C26" s="203"/>
      <c r="D26" s="251" t="s">
        <v>208</v>
      </c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</row>
    <row r="27" ht="15.75" customHeight="1">
      <c r="A27" s="203"/>
      <c r="B27" s="203"/>
      <c r="C27" s="203"/>
      <c r="D27" s="251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</row>
    <row r="28" ht="15.75" customHeight="1">
      <c r="A28" s="203"/>
      <c r="B28" s="203"/>
      <c r="C28" s="203"/>
      <c r="D28" s="251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</row>
    <row r="29" ht="15.75" customHeight="1">
      <c r="A29" s="203"/>
      <c r="B29" s="203"/>
      <c r="C29" s="203"/>
      <c r="D29" s="251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</row>
    <row r="30" ht="15.75" customHeight="1">
      <c r="A30" s="203"/>
      <c r="B30" s="203"/>
      <c r="C30" s="203"/>
      <c r="D30" s="251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</row>
    <row r="31" ht="15.75" customHeight="1">
      <c r="A31" s="203"/>
      <c r="B31" s="203"/>
      <c r="C31" s="203"/>
      <c r="D31" s="251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</row>
    <row r="32" ht="15.75" customHeight="1">
      <c r="A32" s="203"/>
      <c r="B32" s="203"/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</row>
    <row r="33" ht="15.75" customHeight="1">
      <c r="A33" s="256" t="s">
        <v>214</v>
      </c>
      <c r="B33" s="257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</row>
    <row r="34" ht="15.75" customHeight="1">
      <c r="A34" s="256" t="s">
        <v>216</v>
      </c>
      <c r="B34" s="258" t="str">
        <f>GradeSheet!$G$5</f>
        <v>Rubaiya Hafiz</v>
      </c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</row>
    <row r="35" ht="15.75" customHeight="1">
      <c r="A35" s="256" t="s">
        <v>218</v>
      </c>
      <c r="B35" s="259">
        <f>TODAY()</f>
        <v>46235</v>
      </c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</row>
    <row r="36" ht="15.75" customHeight="1">
      <c r="A36" s="256"/>
      <c r="B36" s="259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</row>
    <row r="37" ht="15.75" customHeight="1">
      <c r="A37" s="261"/>
      <c r="B37" s="6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</row>
    <row r="38" ht="15.75" customHeight="1">
      <c r="A38" s="203"/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</row>
    <row r="39" ht="15.75" customHeight="1">
      <c r="A39" s="203"/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</row>
    <row r="40" ht="15.75" customHeight="1">
      <c r="A40" s="203"/>
      <c r="B40" s="203"/>
      <c r="C40" s="203"/>
      <c r="D40" s="203"/>
      <c r="E40" s="203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</row>
    <row r="41" ht="15.75" customHeight="1">
      <c r="A41" s="203"/>
      <c r="B41" s="203"/>
      <c r="C41" s="203"/>
      <c r="D41" s="203"/>
      <c r="E41" s="203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</row>
    <row r="42" ht="15.75" customHeight="1">
      <c r="A42" s="203"/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</row>
    <row r="43" ht="15.75" customHeight="1">
      <c r="A43" s="203"/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</row>
    <row r="44" ht="15.75" customHeight="1">
      <c r="A44" s="203"/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</row>
    <row r="45" ht="15.75" customHeight="1">
      <c r="A45" s="203"/>
      <c r="B45" s="203"/>
      <c r="C45" s="203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</row>
    <row r="46" ht="15.75" customHeight="1">
      <c r="A46" s="203"/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</row>
    <row r="47" ht="15.75" customHeight="1">
      <c r="A47" s="203"/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</row>
    <row r="48" ht="15.75" customHeight="1">
      <c r="A48" s="203"/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</row>
    <row r="49" ht="15.75" customHeight="1">
      <c r="A49" s="203"/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</row>
    <row r="50" ht="15.75" customHeight="1">
      <c r="A50" s="203"/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</row>
    <row r="51" ht="15.75" customHeight="1">
      <c r="A51" s="203"/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</row>
    <row r="52" ht="15.75" customHeight="1">
      <c r="A52" s="203"/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</row>
    <row r="53" ht="15.75" customHeight="1">
      <c r="A53" s="203"/>
      <c r="B53" s="203"/>
      <c r="C53" s="203"/>
      <c r="D53" s="203"/>
      <c r="E53" s="203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</row>
    <row r="54" ht="15.75" customHeight="1">
      <c r="A54" s="203"/>
      <c r="B54" s="203"/>
      <c r="C54" s="203"/>
      <c r="D54" s="203"/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</row>
    <row r="55" ht="15.75" customHeight="1">
      <c r="A55" s="203"/>
      <c r="B55" s="203"/>
      <c r="C55" s="203"/>
      <c r="D55" s="203"/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</row>
    <row r="56" ht="15.75" customHeight="1">
      <c r="A56" s="203"/>
      <c r="B56" s="203"/>
      <c r="C56" s="203"/>
      <c r="D56" s="203"/>
      <c r="E56" s="203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</row>
    <row r="57" ht="15.75" customHeight="1">
      <c r="A57" s="203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</row>
    <row r="58" ht="15.75" customHeight="1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</row>
    <row r="59" ht="15.75" customHeight="1">
      <c r="A59" s="203"/>
      <c r="B59" s="203"/>
      <c r="C59" s="203"/>
      <c r="D59" s="203"/>
      <c r="E59" s="203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</row>
    <row r="60" ht="15.75" customHeight="1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</row>
    <row r="61" ht="15.75" customHeight="1">
      <c r="A61" s="203"/>
      <c r="B61" s="203"/>
      <c r="C61" s="203"/>
      <c r="D61" s="203"/>
      <c r="E61" s="203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</row>
    <row r="62" ht="15.75" customHeight="1">
      <c r="A62" s="203"/>
      <c r="B62" s="203"/>
      <c r="C62" s="203"/>
      <c r="D62" s="203"/>
      <c r="E62" s="203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</row>
    <row r="63" ht="15.75" customHeight="1">
      <c r="A63" s="203"/>
      <c r="B63" s="203"/>
      <c r="C63" s="203"/>
      <c r="D63" s="203"/>
      <c r="E63" s="203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</row>
    <row r="64" ht="15.75" customHeight="1">
      <c r="A64" s="203"/>
      <c r="B64" s="203"/>
      <c r="C64" s="203"/>
      <c r="D64" s="203"/>
      <c r="E64" s="203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</row>
    <row r="65" ht="15.75" customHeight="1">
      <c r="A65" s="203"/>
      <c r="B65" s="203"/>
      <c r="C65" s="203"/>
      <c r="D65" s="203"/>
      <c r="E65" s="203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</row>
    <row r="66" ht="15.75" customHeight="1">
      <c r="A66" s="203"/>
      <c r="B66" s="203"/>
      <c r="C66" s="203"/>
      <c r="D66" s="203"/>
      <c r="E66" s="203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</row>
    <row r="67" ht="15.75" customHeight="1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</row>
    <row r="68" ht="15.75" customHeight="1">
      <c r="A68" s="203"/>
      <c r="B68" s="203"/>
      <c r="C68" s="203"/>
      <c r="D68" s="203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</row>
    <row r="69" ht="15.75" customHeight="1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</row>
    <row r="70" ht="15.75" customHeight="1">
      <c r="A70" s="203"/>
      <c r="B70" s="203"/>
      <c r="C70" s="203"/>
      <c r="D70" s="203"/>
      <c r="E70" s="203"/>
      <c r="F70" s="203"/>
      <c r="G70" s="203"/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</row>
    <row r="71" ht="15.75" customHeight="1">
      <c r="A71" s="203"/>
      <c r="B71" s="203"/>
      <c r="C71" s="203"/>
      <c r="D71" s="203"/>
      <c r="E71" s="203"/>
      <c r="F71" s="203"/>
      <c r="G71" s="203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</row>
    <row r="72" ht="15.75" customHeight="1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</row>
    <row r="73" ht="15.75" customHeight="1">
      <c r="A73" s="203"/>
      <c r="B73" s="203"/>
      <c r="C73" s="203"/>
      <c r="D73" s="203"/>
      <c r="E73" s="203"/>
      <c r="F73" s="203"/>
      <c r="G73" s="203"/>
      <c r="H73" s="203"/>
      <c r="I73" s="203"/>
      <c r="J73" s="203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</row>
    <row r="74" ht="15.75" customHeight="1">
      <c r="A74" s="203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</row>
    <row r="75" ht="15.75" customHeight="1">
      <c r="A75" s="203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</row>
    <row r="76" ht="15.75" customHeight="1">
      <c r="A76" s="203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</row>
    <row r="77" ht="15.75" customHeight="1">
      <c r="A77" s="203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</row>
    <row r="78" ht="15.75" customHeight="1">
      <c r="A78" s="203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</row>
    <row r="79" ht="15.75" customHeight="1">
      <c r="A79" s="203"/>
      <c r="B79" s="203"/>
      <c r="C79" s="203"/>
      <c r="D79" s="203"/>
      <c r="E79" s="203"/>
      <c r="F79" s="203"/>
      <c r="G79" s="203"/>
      <c r="H79" s="203"/>
      <c r="I79" s="203"/>
      <c r="J79" s="203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</row>
    <row r="80" ht="15.75" customHeight="1">
      <c r="A80" s="203"/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</row>
    <row r="81" ht="15.75" customHeight="1">
      <c r="A81" s="203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</row>
    <row r="82" ht="15.75" customHeight="1">
      <c r="A82" s="203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</row>
    <row r="83" ht="15.75" customHeight="1">
      <c r="A83" s="203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</row>
    <row r="84" ht="15.75" customHeight="1">
      <c r="A84" s="203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</row>
    <row r="85" ht="15.75" customHeight="1">
      <c r="A85" s="203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</row>
    <row r="86" ht="15.75" customHeight="1">
      <c r="A86" s="203"/>
      <c r="B86" s="203"/>
      <c r="C86" s="203"/>
      <c r="D86" s="203"/>
      <c r="E86" s="203"/>
      <c r="F86" s="203"/>
      <c r="G86" s="203"/>
      <c r="H86" s="203"/>
      <c r="I86" s="203"/>
      <c r="J86" s="203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</row>
    <row r="87" ht="15.75" customHeight="1">
      <c r="A87" s="203"/>
      <c r="B87" s="203"/>
      <c r="C87" s="203"/>
      <c r="D87" s="203"/>
      <c r="E87" s="203"/>
      <c r="F87" s="203"/>
      <c r="G87" s="203"/>
      <c r="H87" s="203"/>
      <c r="I87" s="203"/>
      <c r="J87" s="203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</row>
    <row r="88" ht="15.75" customHeight="1">
      <c r="A88" s="203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</row>
    <row r="89" ht="15.75" customHeight="1">
      <c r="A89" s="203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</row>
    <row r="90" ht="15.75" customHeight="1">
      <c r="A90" s="203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</row>
    <row r="91" ht="15.75" customHeight="1">
      <c r="A91" s="203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</row>
    <row r="92" ht="15.75" customHeight="1">
      <c r="A92" s="203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</row>
    <row r="93" ht="15.75" customHeight="1">
      <c r="A93" s="203"/>
      <c r="B93" s="203"/>
      <c r="C93" s="203"/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</row>
    <row r="94" ht="15.75" customHeight="1">
      <c r="A94" s="203"/>
      <c r="B94" s="203"/>
      <c r="C94" s="203"/>
      <c r="D94" s="203"/>
      <c r="E94" s="203"/>
      <c r="F94" s="203"/>
      <c r="G94" s="203"/>
      <c r="H94" s="203"/>
      <c r="I94" s="203"/>
      <c r="J94" s="203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</row>
    <row r="95" ht="15.75" customHeight="1">
      <c r="A95" s="203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</row>
    <row r="96" ht="15.75" customHeight="1">
      <c r="A96" s="203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</row>
    <row r="97" ht="15.75" customHeight="1">
      <c r="A97" s="203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</row>
    <row r="98" ht="15.75" customHeight="1">
      <c r="A98" s="203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</row>
    <row r="99" ht="15.75" customHeight="1">
      <c r="A99" s="203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</row>
    <row r="100" ht="15.75" customHeight="1">
      <c r="A100" s="203"/>
      <c r="B100" s="203"/>
      <c r="C100" s="203"/>
      <c r="D100" s="203"/>
      <c r="E100" s="203"/>
      <c r="F100" s="203"/>
      <c r="G100" s="203"/>
      <c r="H100" s="203"/>
      <c r="I100" s="203"/>
      <c r="J100" s="203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</row>
    <row r="101" ht="15.75" customHeight="1">
      <c r="A101" s="203"/>
      <c r="B101" s="203"/>
      <c r="C101" s="203"/>
      <c r="D101" s="203"/>
      <c r="E101" s="203"/>
      <c r="F101" s="203"/>
      <c r="G101" s="203"/>
      <c r="H101" s="203"/>
      <c r="I101" s="203"/>
      <c r="J101" s="203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</row>
    <row r="102" ht="15.75" customHeight="1">
      <c r="A102" s="203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</row>
    <row r="103" ht="15.75" customHeight="1">
      <c r="A103" s="203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</row>
    <row r="104" ht="15.75" customHeight="1">
      <c r="A104" s="203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</row>
    <row r="105" ht="15.75" customHeight="1">
      <c r="A105" s="203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</row>
    <row r="106" ht="15.75" customHeight="1">
      <c r="A106" s="203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</row>
    <row r="107" ht="15.75" customHeight="1">
      <c r="A107" s="203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</row>
    <row r="108" ht="15.75" customHeight="1">
      <c r="A108" s="203"/>
      <c r="B108" s="203"/>
      <c r="C108" s="203"/>
      <c r="D108" s="203"/>
      <c r="E108" s="203"/>
      <c r="F108" s="203"/>
      <c r="G108" s="203"/>
      <c r="H108" s="203"/>
      <c r="I108" s="203"/>
      <c r="J108" s="203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</row>
    <row r="109" ht="15.75" customHeight="1">
      <c r="A109" s="203"/>
      <c r="B109" s="20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</row>
    <row r="110" ht="15.75" customHeight="1">
      <c r="A110" s="203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</row>
    <row r="111" ht="15.75" customHeight="1">
      <c r="A111" s="203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</row>
    <row r="112" ht="15.75" customHeight="1">
      <c r="A112" s="203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</row>
    <row r="113" ht="15.75" customHeight="1">
      <c r="A113" s="203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</row>
    <row r="114" ht="15.75" customHeight="1">
      <c r="A114" s="203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</row>
    <row r="115" ht="15.75" customHeight="1">
      <c r="A115" s="203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</row>
    <row r="116" ht="15.75" customHeight="1">
      <c r="A116" s="203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</row>
    <row r="117" ht="15.75" customHeight="1">
      <c r="A117" s="203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</row>
    <row r="118" ht="15.75" customHeight="1">
      <c r="A118" s="203"/>
      <c r="B118" s="203"/>
      <c r="C118" s="203"/>
      <c r="D118" s="203"/>
      <c r="E118" s="203"/>
      <c r="F118" s="203"/>
      <c r="G118" s="203"/>
      <c r="H118" s="203"/>
      <c r="I118" s="203"/>
      <c r="J118" s="203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</row>
    <row r="119" ht="15.75" customHeight="1">
      <c r="A119" s="203"/>
      <c r="B119" s="20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</row>
    <row r="120" ht="15.75" customHeight="1">
      <c r="A120" s="203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</row>
    <row r="121" ht="15.75" customHeight="1">
      <c r="A121" s="203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</row>
    <row r="122" ht="15.75" customHeight="1">
      <c r="A122" s="203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</row>
    <row r="123" ht="15.75" customHeight="1">
      <c r="A123" s="203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</row>
    <row r="124" ht="15.75" customHeight="1">
      <c r="A124" s="203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</row>
    <row r="125" ht="15.75" customHeight="1">
      <c r="A125" s="203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</row>
    <row r="126" ht="15.75" customHeight="1">
      <c r="A126" s="203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</row>
    <row r="127" ht="15.75" customHeight="1">
      <c r="A127" s="203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</row>
    <row r="128" ht="15.75" customHeight="1">
      <c r="A128" s="203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</row>
    <row r="129" ht="15.75" customHeight="1">
      <c r="A129" s="203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</row>
    <row r="130" ht="15.75" customHeight="1">
      <c r="A130" s="203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</row>
    <row r="131" ht="15.75" customHeight="1">
      <c r="A131" s="203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</row>
    <row r="132" ht="15.75" customHeight="1">
      <c r="A132" s="203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</row>
    <row r="133" ht="15.75" customHeight="1">
      <c r="A133" s="203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</row>
    <row r="134" ht="15.75" customHeight="1">
      <c r="A134" s="203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</row>
    <row r="135" ht="15.75" customHeight="1">
      <c r="A135" s="203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</row>
    <row r="136" ht="15.75" customHeight="1">
      <c r="A136" s="203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</row>
    <row r="137" ht="15.75" customHeight="1">
      <c r="A137" s="203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</row>
    <row r="138" ht="15.75" customHeight="1">
      <c r="A138" s="203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</row>
    <row r="139" ht="15.75" customHeight="1">
      <c r="A139" s="203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</row>
    <row r="140" ht="15.75" customHeight="1">
      <c r="A140" s="203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</row>
    <row r="141" ht="15.75" customHeight="1">
      <c r="A141" s="203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</row>
    <row r="142" ht="15.75" customHeight="1">
      <c r="A142" s="203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</row>
    <row r="143" ht="15.75" customHeight="1">
      <c r="A143" s="203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</row>
    <row r="144" ht="15.75" customHeight="1">
      <c r="A144" s="203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</row>
    <row r="145" ht="15.75" customHeight="1">
      <c r="A145" s="203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</row>
    <row r="146" ht="15.75" customHeight="1">
      <c r="A146" s="203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</row>
    <row r="147" ht="15.75" customHeight="1">
      <c r="A147" s="203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</row>
    <row r="148" ht="15.75" customHeight="1">
      <c r="A148" s="203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</row>
    <row r="149" ht="15.75" customHeight="1">
      <c r="A149" s="203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</row>
    <row r="150" ht="15.75" customHeight="1">
      <c r="A150" s="203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</row>
    <row r="151" ht="15.75" customHeight="1">
      <c r="A151" s="203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</row>
    <row r="152" ht="15.75" customHeight="1">
      <c r="A152" s="203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</row>
    <row r="153" ht="15.75" customHeight="1">
      <c r="A153" s="203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</row>
    <row r="154" ht="15.75" customHeight="1">
      <c r="A154" s="203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</row>
    <row r="155" ht="15.75" customHeight="1">
      <c r="A155" s="203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</row>
    <row r="156" ht="15.75" customHeight="1">
      <c r="A156" s="203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</row>
    <row r="157" ht="15.75" customHeight="1">
      <c r="A157" s="203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</row>
    <row r="158" ht="15.75" customHeight="1">
      <c r="A158" s="203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</row>
    <row r="159" ht="15.75" customHeight="1">
      <c r="A159" s="203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</row>
    <row r="160" ht="15.75" customHeight="1">
      <c r="A160" s="203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</row>
    <row r="161" ht="15.75" customHeight="1">
      <c r="A161" s="203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</row>
    <row r="162" ht="15.75" customHeight="1">
      <c r="A162" s="203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</row>
    <row r="163" ht="15.75" customHeight="1">
      <c r="A163" s="203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</row>
    <row r="164" ht="15.75" customHeight="1">
      <c r="A164" s="203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</row>
    <row r="165" ht="15.75" customHeight="1">
      <c r="A165" s="203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</row>
    <row r="166" ht="15.75" customHeight="1">
      <c r="A166" s="203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</row>
    <row r="167" ht="15.75" customHeight="1">
      <c r="A167" s="203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</row>
    <row r="168" ht="15.75" customHeight="1">
      <c r="A168" s="203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</row>
    <row r="169" ht="15.75" customHeight="1">
      <c r="A169" s="203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</row>
    <row r="170" ht="15.75" customHeight="1">
      <c r="A170" s="203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</row>
    <row r="171" ht="15.75" customHeight="1">
      <c r="A171" s="203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</row>
    <row r="172" ht="15.75" customHeight="1">
      <c r="A172" s="203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</row>
    <row r="173" ht="15.75" customHeight="1">
      <c r="A173" s="203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</row>
    <row r="174" ht="15.75" customHeight="1">
      <c r="A174" s="203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</row>
    <row r="175" ht="15.75" customHeight="1">
      <c r="A175" s="203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</row>
    <row r="176" ht="15.75" customHeight="1">
      <c r="A176" s="203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</row>
    <row r="177" ht="15.75" customHeight="1">
      <c r="A177" s="203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</row>
    <row r="178" ht="15.75" customHeight="1">
      <c r="A178" s="203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</row>
    <row r="179" ht="15.75" customHeight="1">
      <c r="A179" s="203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</row>
    <row r="180" ht="15.75" customHeight="1">
      <c r="A180" s="203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</row>
    <row r="181" ht="15.75" customHeight="1">
      <c r="A181" s="203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</row>
    <row r="182" ht="15.75" customHeight="1">
      <c r="A182" s="203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</row>
    <row r="183" ht="15.75" customHeight="1">
      <c r="A183" s="203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</row>
    <row r="184" ht="15.75" customHeight="1">
      <c r="A184" s="203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</row>
    <row r="185" ht="15.75" customHeight="1">
      <c r="A185" s="203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</row>
    <row r="186" ht="15.75" customHeight="1">
      <c r="A186" s="203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</row>
    <row r="187" ht="15.75" customHeight="1">
      <c r="A187" s="203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</row>
    <row r="188" ht="15.75" customHeight="1">
      <c r="A188" s="203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</row>
    <row r="189" ht="15.75" customHeight="1">
      <c r="A189" s="203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</row>
    <row r="190" ht="15.75" customHeight="1">
      <c r="A190" s="203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</row>
    <row r="191" ht="15.75" customHeight="1">
      <c r="A191" s="203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</row>
    <row r="192" ht="15.75" customHeight="1">
      <c r="A192" s="203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</row>
    <row r="193" ht="15.75" customHeight="1">
      <c r="A193" s="203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</row>
    <row r="194" ht="15.75" customHeight="1">
      <c r="A194" s="203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</row>
    <row r="195" ht="15.75" customHeight="1">
      <c r="A195" s="203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</row>
    <row r="196" ht="15.75" customHeight="1">
      <c r="A196" s="203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</row>
    <row r="197" ht="15.75" customHeight="1">
      <c r="A197" s="203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</row>
    <row r="198" ht="15.75" customHeight="1">
      <c r="A198" s="203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</row>
    <row r="199" ht="15.75" customHeight="1">
      <c r="A199" s="203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</row>
    <row r="200" ht="15.75" customHeight="1">
      <c r="A200" s="203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</row>
    <row r="201" ht="15.75" customHeight="1">
      <c r="A201" s="203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</row>
    <row r="202" ht="15.75" customHeight="1">
      <c r="A202" s="203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</row>
    <row r="203" ht="15.75" customHeight="1">
      <c r="A203" s="203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</row>
    <row r="204" ht="15.75" customHeight="1">
      <c r="A204" s="203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</row>
    <row r="205" ht="15.75" customHeight="1">
      <c r="A205" s="203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</row>
    <row r="206" ht="15.75" customHeight="1">
      <c r="A206" s="203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</row>
    <row r="207" ht="15.75" customHeight="1">
      <c r="A207" s="203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</row>
    <row r="208" ht="15.75" customHeight="1">
      <c r="A208" s="203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</row>
    <row r="209" ht="15.75" customHeight="1">
      <c r="A209" s="203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</row>
    <row r="210" ht="15.75" customHeight="1">
      <c r="A210" s="203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</row>
    <row r="211" ht="15.75" customHeight="1">
      <c r="A211" s="203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</row>
    <row r="212" ht="15.75" customHeight="1">
      <c r="A212" s="203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</row>
    <row r="213" ht="15.75" customHeight="1">
      <c r="A213" s="203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</row>
    <row r="214" ht="15.75" customHeight="1">
      <c r="A214" s="203"/>
      <c r="B214" s="203"/>
      <c r="C214" s="203"/>
      <c r="D214" s="203"/>
      <c r="E214" s="203"/>
      <c r="F214" s="203"/>
      <c r="G214" s="203"/>
      <c r="H214" s="203"/>
      <c r="I214" s="203"/>
      <c r="J214" s="203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</row>
    <row r="215" ht="15.75" customHeight="1">
      <c r="A215" s="203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</row>
    <row r="216" ht="15.75" customHeight="1">
      <c r="A216" s="203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</row>
    <row r="217" ht="15.75" customHeight="1">
      <c r="A217" s="203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</row>
    <row r="218" ht="15.75" customHeight="1">
      <c r="A218" s="203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</row>
    <row r="219" ht="15.75" customHeight="1">
      <c r="A219" s="203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</row>
    <row r="220" ht="15.75" customHeight="1">
      <c r="A220" s="203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</row>
    <row r="221" ht="15.75" customHeight="1">
      <c r="A221" s="203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</row>
    <row r="222" ht="15.75" customHeight="1">
      <c r="A222" s="203"/>
      <c r="B222" s="203"/>
      <c r="C222" s="203"/>
      <c r="D222" s="203"/>
      <c r="E222" s="203"/>
      <c r="F222" s="203"/>
      <c r="G222" s="203"/>
      <c r="H222" s="203"/>
      <c r="I222" s="203"/>
      <c r="J222" s="203"/>
      <c r="K222" s="203"/>
      <c r="L222" s="203"/>
      <c r="M222" s="203"/>
      <c r="N222" s="203"/>
      <c r="O222" s="203"/>
      <c r="P222" s="203"/>
      <c r="Q222" s="203"/>
      <c r="R222" s="203"/>
      <c r="S222" s="203"/>
      <c r="T222" s="203"/>
      <c r="U222" s="203"/>
      <c r="V222" s="203"/>
      <c r="W222" s="203"/>
      <c r="X222" s="203"/>
    </row>
    <row r="223" ht="15.75" customHeight="1">
      <c r="A223" s="203"/>
      <c r="B223" s="203"/>
      <c r="C223" s="203"/>
      <c r="D223" s="203"/>
      <c r="E223" s="203"/>
      <c r="F223" s="203"/>
      <c r="G223" s="203"/>
      <c r="H223" s="203"/>
      <c r="I223" s="203"/>
      <c r="J223" s="203"/>
      <c r="K223" s="203"/>
      <c r="L223" s="203"/>
      <c r="M223" s="203"/>
      <c r="N223" s="203"/>
      <c r="O223" s="203"/>
      <c r="P223" s="203"/>
      <c r="Q223" s="203"/>
      <c r="R223" s="203"/>
      <c r="S223" s="203"/>
      <c r="T223" s="203"/>
      <c r="U223" s="203"/>
      <c r="V223" s="203"/>
      <c r="W223" s="203"/>
      <c r="X223" s="203"/>
    </row>
    <row r="224" ht="15.75" customHeight="1">
      <c r="A224" s="203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3"/>
      <c r="W224" s="203"/>
      <c r="X224" s="203"/>
    </row>
    <row r="225" ht="15.75" customHeight="1">
      <c r="A225" s="203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3"/>
      <c r="W225" s="203"/>
      <c r="X225" s="203"/>
    </row>
    <row r="226" ht="15.75" customHeight="1">
      <c r="A226" s="203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3"/>
      <c r="W226" s="203"/>
      <c r="X226" s="203"/>
    </row>
    <row r="227" ht="15.75" customHeight="1">
      <c r="A227" s="203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3"/>
      <c r="W227" s="203"/>
      <c r="X227" s="203"/>
    </row>
    <row r="228" ht="15.75" customHeight="1">
      <c r="A228" s="203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3"/>
      <c r="W228" s="203"/>
      <c r="X228" s="203"/>
    </row>
    <row r="229" ht="15.75" customHeight="1">
      <c r="A229" s="203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3"/>
      <c r="W229" s="203"/>
      <c r="X229" s="203"/>
    </row>
    <row r="230" ht="15.75" customHeight="1">
      <c r="A230" s="203"/>
      <c r="B230" s="203"/>
      <c r="C230" s="203"/>
      <c r="D230" s="203"/>
      <c r="E230" s="203"/>
      <c r="F230" s="203"/>
      <c r="G230" s="203"/>
      <c r="H230" s="203"/>
      <c r="I230" s="203"/>
      <c r="J230" s="203"/>
      <c r="K230" s="203"/>
      <c r="L230" s="203"/>
      <c r="M230" s="203"/>
      <c r="N230" s="203"/>
      <c r="O230" s="203"/>
      <c r="P230" s="203"/>
      <c r="Q230" s="203"/>
      <c r="R230" s="203"/>
      <c r="S230" s="203"/>
      <c r="T230" s="203"/>
      <c r="U230" s="203"/>
      <c r="V230" s="203"/>
      <c r="W230" s="203"/>
      <c r="X230" s="203"/>
    </row>
    <row r="231" ht="15.75" customHeight="1">
      <c r="A231" s="203"/>
      <c r="B231" s="203"/>
      <c r="C231" s="203"/>
      <c r="D231" s="203"/>
      <c r="E231" s="203"/>
      <c r="F231" s="203"/>
      <c r="G231" s="203"/>
      <c r="H231" s="203"/>
      <c r="I231" s="203"/>
      <c r="J231" s="203"/>
      <c r="K231" s="203"/>
      <c r="L231" s="203"/>
      <c r="M231" s="203"/>
      <c r="N231" s="203"/>
      <c r="O231" s="203"/>
      <c r="P231" s="203"/>
      <c r="Q231" s="203"/>
      <c r="R231" s="203"/>
      <c r="S231" s="203"/>
      <c r="T231" s="203"/>
      <c r="U231" s="203"/>
      <c r="V231" s="203"/>
      <c r="W231" s="203"/>
      <c r="X231" s="203"/>
    </row>
    <row r="232" ht="15.75" customHeight="1">
      <c r="A232" s="203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3"/>
      <c r="W232" s="203"/>
      <c r="X232" s="203"/>
    </row>
    <row r="233" ht="15.75" customHeight="1">
      <c r="A233" s="203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3"/>
      <c r="W233" s="203"/>
      <c r="X233" s="203"/>
    </row>
    <row r="234" ht="15.75" customHeight="1">
      <c r="A234" s="203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3"/>
      <c r="W234" s="203"/>
      <c r="X234" s="203"/>
    </row>
    <row r="235" ht="15.75" customHeight="1">
      <c r="A235" s="203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</mergeCells>
  <dataValidations>
    <dataValidation type="list" allowBlank="1" showErrorMessage="1" sqref="B2:B3">
      <formula1>Course_Code</formula1>
    </dataValidation>
  </dataValidations>
  <printOptions/>
  <pageMargins bottom="0.75" footer="0.0" header="0.0" left="0.7" right="0.7" top="0.75"/>
  <pageSetup paperSize="9" orientation="portrait"/>
  <headerFooter>
    <oddHeader>&amp;LDepartment of CSE, ULAB&amp;CCQI Form&amp;RCSE005(00)</oddHeader>
    <oddFooter>&amp;LGenerated on &amp;D &amp;T&amp;CPage &amp;P of&amp;RCSE005(00) Page &amp;P of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2019-05-06T03:48:27Z</dcterms:created>
  <dc:creator>Dr. Muhammad Golam Kibria</dc:creator>
</cp:coreProperties>
</file>