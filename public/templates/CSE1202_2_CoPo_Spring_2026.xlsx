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heet" sheetId="1" r:id="rId4"/>
    <sheet state="visible" name="Sheet1" sheetId="2" r:id="rId5"/>
    <sheet state="visible" name="GradingPolicy" sheetId="3" r:id="rId6"/>
    <sheet state="visible" name="CO_PO_AttainmentAnalysis" sheetId="4" r:id="rId7"/>
    <sheet state="visible" name="CourseSummary" sheetId="5" r:id="rId8"/>
    <sheet state="visible" name="ContinuousQualityImprovement" sheetId="6" r:id="rId9"/>
  </sheets>
  <definedNames/>
  <calcPr/>
  <extLst>
    <ext uri="GoogleSheetsCustomDataVersion2">
      <go:sheetsCustomData xmlns:go="http://customooxmlschemas.google.com/" r:id="rId10" roundtripDataChecksum="+e0Rue6YxBpwDAKWCg5DouIg7HQSjy/BhnYB1bYKOXE="/>
    </ext>
  </extLst>
</workbook>
</file>

<file path=xl/sharedStrings.xml><?xml version="1.0" encoding="utf-8"?>
<sst xmlns="http://schemas.openxmlformats.org/spreadsheetml/2006/main" count="498" uniqueCount="244">
  <si>
    <t>Ahmed-El-Alam</t>
  </si>
  <si>
    <t>A- (Minus)</t>
  </si>
  <si>
    <t>Munshi Abir Hossain</t>
  </si>
  <si>
    <t>Numerical Grade</t>
  </si>
  <si>
    <t>B+ (Plus)</t>
  </si>
  <si>
    <t>Imtiaz Ahmed Siam</t>
  </si>
  <si>
    <t>B (Plain)</t>
  </si>
  <si>
    <t>Mohammad Azizul Hoque Alsami</t>
  </si>
  <si>
    <t>F (Fail)</t>
  </si>
  <si>
    <t>Minimum Number</t>
  </si>
  <si>
    <t>Ariful Islam Ohid</t>
  </si>
  <si>
    <t>C (Plain)</t>
  </si>
  <si>
    <t>Letter Grade</t>
  </si>
  <si>
    <t>Shoheb Ahmed Khan</t>
  </si>
  <si>
    <t>Jannatul Takowa Tasnova</t>
  </si>
  <si>
    <t>kamroun Nahar Keya</t>
  </si>
  <si>
    <t>B- (Minus)</t>
  </si>
  <si>
    <t>Jannatun Nayem</t>
  </si>
  <si>
    <t>Below 50%</t>
  </si>
  <si>
    <t>Argha Kanti Sheel</t>
  </si>
  <si>
    <t>C+ (Plus)</t>
  </si>
  <si>
    <t>Md. Alvi Hossain</t>
  </si>
  <si>
    <t>Salma</t>
  </si>
  <si>
    <t>A (Plain)</t>
  </si>
  <si>
    <t>Khadija</t>
  </si>
  <si>
    <t>50% to 54%</t>
  </si>
  <si>
    <t>Bushra Islam</t>
  </si>
  <si>
    <t>D (Plain)</t>
  </si>
  <si>
    <t>Md Tarek Alam</t>
  </si>
  <si>
    <t>Samiur Jubayer</t>
  </si>
  <si>
    <t>55% to 59%</t>
  </si>
  <si>
    <t>Ayesha Alamgir Aniha</t>
  </si>
  <si>
    <t>Saima Khanom Mou</t>
  </si>
  <si>
    <t>Gourab Paul</t>
  </si>
  <si>
    <t>60% to 64%</t>
  </si>
  <si>
    <t>Samia Hoque Tista</t>
  </si>
  <si>
    <t>Mst Thamina Sultana</t>
  </si>
  <si>
    <t>CO-PO Attainment Analysis Form</t>
  </si>
  <si>
    <t>65% to 69%</t>
  </si>
  <si>
    <t>Afra Anjum</t>
  </si>
  <si>
    <t>Nijhum Akter Rim</t>
  </si>
  <si>
    <t>Mst.Marzia Al Eva</t>
  </si>
  <si>
    <t>70% to 74%</t>
  </si>
  <si>
    <t>Md. Imam Hossain</t>
  </si>
  <si>
    <t>A+ (Plus)</t>
  </si>
  <si>
    <t>Mehrab Mursalin</t>
  </si>
  <si>
    <t>Md. Sadiq Musfiq</t>
  </si>
  <si>
    <t>Rakibul Hasan Shawon</t>
  </si>
  <si>
    <t>75% to 79%</t>
  </si>
  <si>
    <t>Saad Raiyan Rafid</t>
  </si>
  <si>
    <t>Bayazid Ahmed</t>
  </si>
  <si>
    <t>Muhammad Musa Kazem</t>
  </si>
  <si>
    <t>Fahim Imrose</t>
  </si>
  <si>
    <t>Labib Khan</t>
  </si>
  <si>
    <t>Fairuj Sadia</t>
  </si>
  <si>
    <t>Mahabub Rushed</t>
  </si>
  <si>
    <t>80% to 84%</t>
  </si>
  <si>
    <t>85% to 94%</t>
  </si>
  <si>
    <t>95% and above</t>
  </si>
  <si>
    <t>Mapping of COs to POs</t>
  </si>
  <si>
    <t>Assessment Items</t>
  </si>
  <si>
    <t>CO1</t>
  </si>
  <si>
    <t>CO2</t>
  </si>
  <si>
    <t>CO3</t>
  </si>
  <si>
    <t>CO4</t>
  </si>
  <si>
    <t>CO5</t>
  </si>
  <si>
    <t>CO6</t>
  </si>
  <si>
    <t>Course Code</t>
  </si>
  <si>
    <t>0613-014-1202</t>
  </si>
  <si>
    <t>PO1</t>
  </si>
  <si>
    <t>Section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</si>
  <si>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</si>
  <si>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</si>
  <si>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</si>
  <si>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</si>
  <si>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</si>
  <si>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</si>
  <si>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</si>
  <si>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</si>
  <si>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</si>
  <si>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</si>
  <si>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</si>
  <si>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Course Title</t>
  </si>
  <si>
    <t>Structured Programming Lab</t>
  </si>
  <si>
    <t>Semester</t>
  </si>
  <si>
    <t>Open Ended Lab 1</t>
  </si>
  <si>
    <t>Spring 2026</t>
  </si>
  <si>
    <t>Credit</t>
  </si>
  <si>
    <t>Instructor</t>
  </si>
  <si>
    <t>Suravi Akhter</t>
  </si>
  <si>
    <t>Open Ended Lab 2</t>
  </si>
  <si>
    <t>Attendance</t>
  </si>
  <si>
    <t>Assignment</t>
  </si>
  <si>
    <t>Presentation</t>
  </si>
  <si>
    <t>Quiz</t>
  </si>
  <si>
    <t>Assignment 1</t>
  </si>
  <si>
    <t>Assignment 2</t>
  </si>
  <si>
    <t>Assignment 3</t>
  </si>
  <si>
    <t>Assignment 4</t>
  </si>
  <si>
    <t>OEL 1</t>
  </si>
  <si>
    <t>Lab Final</t>
  </si>
  <si>
    <t>No.</t>
  </si>
  <si>
    <t>Student ID</t>
  </si>
  <si>
    <t>Name</t>
  </si>
  <si>
    <t>Project</t>
  </si>
  <si>
    <t>OEL 1(40)</t>
  </si>
  <si>
    <t>Course Topic/Content Covered</t>
  </si>
  <si>
    <t>Exam Total (100)</t>
  </si>
  <si>
    <t>Percent Total (100%)</t>
  </si>
  <si>
    <t>Grade</t>
  </si>
  <si>
    <t>Md. Tahfimul Tasin</t>
  </si>
  <si>
    <t>Topics Taught (based on course outline)</t>
  </si>
  <si>
    <t>Total</t>
  </si>
  <si>
    <t>Number of Sessions</t>
  </si>
  <si>
    <t>Md. Nafij Iqbal Sazid</t>
  </si>
  <si>
    <t>Najni Nawar Supti</t>
  </si>
  <si>
    <t>Md. Ishfaq Alam</t>
  </si>
  <si>
    <t>CO Attainment Analysis</t>
  </si>
  <si>
    <t>Pavel Ahamed Sarkar</t>
  </si>
  <si>
    <t>PO Attainment Analysis</t>
  </si>
  <si>
    <t>What percentage of topics/content planned were actually taught?</t>
  </si>
  <si>
    <t>Nusrat Jahan Autoshi</t>
  </si>
  <si>
    <t>a.</t>
  </si>
  <si>
    <t>&gt;90%</t>
  </si>
  <si>
    <t>√</t>
  </si>
  <si>
    <t>Total Marks</t>
  </si>
  <si>
    <t>b.</t>
  </si>
  <si>
    <t>70%-90%</t>
  </si>
  <si>
    <t>Percentage</t>
  </si>
  <si>
    <t>c.</t>
  </si>
  <si>
    <t>&lt;70%</t>
  </si>
  <si>
    <t>CO Attainment</t>
  </si>
  <si>
    <t>If &lt;70%, please write the reason for not teaching all topics/content planned</t>
  </si>
  <si>
    <t>PO Attainment</t>
  </si>
  <si>
    <t>Avro Mostafi Hassan</t>
  </si>
  <si>
    <t>Teaching and Learning Methods</t>
  </si>
  <si>
    <t>Md. Abu Ashraf Patwary Noor</t>
  </si>
  <si>
    <t>Grade Distribution</t>
  </si>
  <si>
    <t>Teaching Methods</t>
  </si>
  <si>
    <t xml:space="preserve">Percentage 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</si>
  <si>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</si>
  <si>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</si>
  <si>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</si>
  <si>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</si>
  <si>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</si>
  <si>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</si>
  <si>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</si>
  <si>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</si>
  <si>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</si>
  <si>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</si>
  <si>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I</t>
  </si>
  <si>
    <t>W</t>
  </si>
  <si>
    <t>S/N</t>
  </si>
  <si>
    <t>Lectures</t>
  </si>
  <si>
    <t>* Md. Minhajur Rahman</t>
  </si>
  <si>
    <t>Md. Mahadi Hasan</t>
  </si>
  <si>
    <t>Group Discussion</t>
  </si>
  <si>
    <t>If CO achieved (≥65%) then 1, else 0</t>
  </si>
  <si>
    <t>Mohammad Jubayed Islam Jihad</t>
  </si>
  <si>
    <t>If PO achieved (≥65%) then 1, else 0</t>
  </si>
  <si>
    <t>Classwork</t>
  </si>
  <si>
    <t>Md. Abdul Hamid</t>
  </si>
  <si>
    <t>Statistical Information</t>
  </si>
  <si>
    <t>%</t>
  </si>
  <si>
    <t>* Hasan Jawad Mahmud Rafid</t>
  </si>
  <si>
    <t>No</t>
  </si>
  <si>
    <t>Students enrolled</t>
  </si>
  <si>
    <t>Session Planned</t>
  </si>
  <si>
    <t>Active Learning</t>
  </si>
  <si>
    <t>Students who withdrew</t>
  </si>
  <si>
    <t>Sessions Missed</t>
  </si>
  <si>
    <t>* Wasima Rouf</t>
  </si>
  <si>
    <t>Students who took final exam</t>
  </si>
  <si>
    <t>Sessions Made Up</t>
  </si>
  <si>
    <t>* Md. Shahed Arafin</t>
  </si>
  <si>
    <t>Students passed</t>
  </si>
  <si>
    <t>Total Sessions Conducted (excluding midterm and final exams)</t>
  </si>
  <si>
    <t>Ekra Bintey Foysal</t>
  </si>
  <si>
    <t>Sajnoor Haque</t>
  </si>
  <si>
    <t>Average Number Per Session</t>
  </si>
  <si>
    <t>Sadia Binte Azmal</t>
  </si>
  <si>
    <t>Teaching Aids</t>
  </si>
  <si>
    <t>Tardy Students</t>
  </si>
  <si>
    <t>Guest Lectures Invited</t>
  </si>
  <si>
    <t>Md. Shahajalal</t>
  </si>
  <si>
    <t>N/A</t>
  </si>
  <si>
    <t>Whiteboard</t>
  </si>
  <si>
    <t>Arshiana Azad</t>
  </si>
  <si>
    <t>Absent Students</t>
  </si>
  <si>
    <t>Field Trips Taken</t>
  </si>
  <si>
    <t>Computer</t>
  </si>
  <si>
    <t>Shafia Alam Shanta</t>
  </si>
  <si>
    <t>Handout</t>
  </si>
  <si>
    <t>Video and Audio</t>
  </si>
  <si>
    <t>* Annas Ansary</t>
  </si>
  <si>
    <t>Nubaiya Bahalul Neha</t>
  </si>
  <si>
    <t>Asmit Roy Kabbo</t>
  </si>
  <si>
    <t xml:space="preserve">Signature of the Course Instructor    </t>
  </si>
  <si>
    <t>Md. Sohel Rana</t>
  </si>
  <si>
    <t>Sumaiya Samad</t>
  </si>
  <si>
    <t>Md. Sayem Shahriar</t>
  </si>
  <si>
    <t>* Ovi Ghosh</t>
  </si>
  <si>
    <t xml:space="preserve">   CO Attainment</t>
  </si>
  <si>
    <t>Md Jabir Hasan</t>
  </si>
  <si>
    <t>Number of Students</t>
  </si>
  <si>
    <t>* Most. Mithila Farzana Maya</t>
  </si>
  <si>
    <t>Average Score</t>
  </si>
  <si>
    <t>Tawhid Raiyan Tajbi</t>
  </si>
  <si>
    <t>Rubaiya Islam Tanni</t>
  </si>
  <si>
    <t>* Sarna Rani Pal</t>
  </si>
  <si>
    <t>Anam Shahriar</t>
  </si>
  <si>
    <t>Md Saad Sadik Jashim</t>
  </si>
  <si>
    <t>Continuous Quality Improvement (CQI) Form</t>
  </si>
  <si>
    <t>MD. Mahadi Hassan</t>
  </si>
  <si>
    <t>Course Outcomes (CO)</t>
  </si>
  <si>
    <t>Criteria for Achievement</t>
  </si>
  <si>
    <t>60% of the students to achieve 65% of the allocated mark</t>
  </si>
  <si>
    <t>Assessment</t>
  </si>
  <si>
    <t>Marks Distribution</t>
  </si>
  <si>
    <t>Freq</t>
  </si>
  <si>
    <t>MAX</t>
  </si>
  <si>
    <t>AVG</t>
  </si>
  <si>
    <t>Plan for Course Improvement: (Based on inputs from Course Outcome Analysis above, results and other sources)*</t>
  </si>
  <si>
    <t>The class participation of the students need to improve</t>
  </si>
  <si>
    <t>Understanding of math is relatively poor. Students will be encouraged to review related maths at the beginning of semester</t>
  </si>
  <si>
    <t>MIN</t>
  </si>
  <si>
    <t xml:space="preserve">Assignment </t>
  </si>
  <si>
    <t>* attach additional sheet, if required</t>
  </si>
  <si>
    <t>Signature of the Instructor:</t>
  </si>
  <si>
    <t>Name of the Instructor:</t>
  </si>
  <si>
    <t>Date:</t>
  </si>
  <si>
    <t>No exam</t>
  </si>
  <si>
    <r>
      <rPr>
        <rFont val="Calibri"/>
        <color rgb="FF000000"/>
        <sz val="11.0"/>
      </rPr>
      <t xml:space="preserve">CSE005(00) Page </t>
    </r>
    <r>
      <rPr>
        <rFont val="Calibri"/>
        <b/>
        <color rgb="FF000000"/>
        <sz val="11.0"/>
      </rPr>
      <t>1</t>
    </r>
    <r>
      <rPr>
        <rFont val="Calibri"/>
        <color rgb="FF000000"/>
        <sz val="11.0"/>
      </rPr>
      <t xml:space="preserve"> of </t>
    </r>
    <r>
      <rPr>
        <rFont val="Calibri"/>
        <b/>
        <color rgb="FF000000"/>
        <sz val="11.0"/>
      </rPr>
      <t>1</t>
    </r>
  </si>
  <si>
    <t>Withdrawn</t>
  </si>
  <si>
    <r>
      <rPr>
        <rFont val="Calibri"/>
        <color rgb="FF000000"/>
        <sz val="11.0"/>
      </rPr>
      <t xml:space="preserve">CSE005(00) Page 2 of </t>
    </r>
    <r>
      <rPr>
        <rFont val="Calibri"/>
        <b/>
        <color rgb="FF000000"/>
        <sz val="12.0"/>
      </rPr>
      <t>2</t>
    </r>
  </si>
  <si>
    <t>Lecturer</t>
  </si>
  <si>
    <t>No of students</t>
  </si>
  <si>
    <t>Department of CSE, ULAB</t>
  </si>
  <si>
    <t>Number of Students Achieveing CO</t>
  </si>
  <si>
    <t>Number of Students Achieveing PO</t>
  </si>
  <si>
    <t>Class Average</t>
  </si>
  <si>
    <t>Faculty Name:</t>
  </si>
  <si>
    <r>
      <rPr>
        <rFont val="Calibri"/>
        <color rgb="FF000000"/>
        <sz val="11.0"/>
      </rPr>
      <t xml:space="preserve">CSE004(00) Page </t>
    </r>
    <r>
      <rPr>
        <rFont val="Calibri"/>
        <b/>
        <color rgb="FF000000"/>
        <sz val="12.0"/>
      </rPr>
      <t>1</t>
    </r>
    <r>
      <rPr>
        <rFont val="Calibri"/>
        <color rgb="FF000000"/>
        <sz val="11.0"/>
      </rPr>
      <t xml:space="preserve"> of </t>
    </r>
    <r>
      <rPr>
        <rFont val="Calibri"/>
        <b/>
        <color rgb="FF000000"/>
        <sz val="12.0"/>
      </rPr>
      <t>2</t>
    </r>
  </si>
  <si>
    <r>
      <rPr>
        <rFont val="Calibri"/>
        <color rgb="FF000000"/>
        <sz val="11.0"/>
      </rPr>
      <t xml:space="preserve">CSE004(00) Page </t>
    </r>
    <r>
      <rPr>
        <rFont val="Calibri"/>
        <b/>
        <color rgb="FF000000"/>
        <sz val="11.0"/>
      </rPr>
      <t>2</t>
    </r>
    <r>
      <rPr>
        <rFont val="Calibri"/>
        <color rgb="FF000000"/>
        <sz val="11.0"/>
      </rPr>
      <t xml:space="preserve"> of </t>
    </r>
    <r>
      <rPr>
        <rFont val="Calibri"/>
        <b/>
        <color rgb="FF000000"/>
        <sz val="12.0"/>
      </rPr>
      <t>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</si>
</sst>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-409]mmmm\ d\,\ yyyy"/>
  </numFmts>
  <fonts count="43">
    <font>
      <sz val="9.0"/>
      <color rgb="FF000000"/>
      <name val="Arimo"/>
      <scheme val="minor"/>
    </font>
    <font>
      <sz val="12.0"/>
      <color theme="1"/>
      <name val="Times New Roman"/>
    </font>
    <font>
      <sz val="9.0"/>
      <color theme="1"/>
      <name val="Arimo"/>
    </font>
    <font>
      <sz val="11.0"/>
      <color theme="1"/>
      <name val="Times New Roman"/>
    </font>
    <font>
      <b/>
      <sz val="16.0"/>
      <color rgb="FF000000"/>
      <name val="Calibri"/>
    </font>
    <font>
      <b/>
      <sz val="16.0"/>
      <color theme="1"/>
      <name val="Times New Roman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b/>
      <sz val="12.0"/>
      <color rgb="FF000000"/>
      <name val="Times New Roman"/>
    </font>
    <font>
      <b/>
      <sz val="10.0"/>
      <color rgb="FF000000"/>
      <name val="Arial Narrow"/>
    </font>
    <font>
      <b/>
      <sz val="11.0"/>
      <color rgb="FF000000"/>
      <name val="Arial Narrow"/>
    </font>
    <font>
      <sz val="11.0"/>
      <color rgb="FF000000"/>
      <name val="Times New Roman"/>
    </font>
    <font>
      <b/>
      <sz val="11.0"/>
      <color rgb="FF000000"/>
      <name val="Times New Roman"/>
    </font>
    <font>
      <sz val="12.0"/>
      <color rgb="FF000000"/>
      <name val="Calibri"/>
    </font>
    <font>
      <sz val="11.0"/>
      <color rgb="FF000000"/>
      <name val="Arial Narrow"/>
    </font>
    <font>
      <b/>
      <sz val="11.0"/>
      <color theme="1"/>
      <name val="Arial"/>
    </font>
    <font>
      <sz val="11.0"/>
      <color rgb="FF000000"/>
      <name val="Calibri"/>
    </font>
    <font>
      <sz val="11.0"/>
      <color theme="1"/>
      <name val="Arial"/>
    </font>
    <font>
      <b/>
      <sz val="11.0"/>
      <color rgb="FF000000"/>
      <name val="Arial"/>
    </font>
    <font>
      <sz val="12.0"/>
      <color rgb="FF000000"/>
      <name val="Times New Roman"/>
    </font>
    <font>
      <b/>
      <sz val="12.0"/>
      <color rgb="FF000000"/>
      <name val="Arial Narrow"/>
    </font>
    <font>
      <sz val="14.0"/>
      <color rgb="FF000000"/>
      <name val="Arial Narrow"/>
    </font>
    <font>
      <sz val="10.0"/>
      <color rgb="FF000000"/>
      <name val="Arial Narrow"/>
    </font>
    <font>
      <b/>
      <sz val="13.0"/>
      <color theme="1"/>
      <name val="Calibri"/>
    </font>
    <font>
      <sz val="11.0"/>
      <color theme="1"/>
      <name val="Calibri"/>
    </font>
    <font>
      <sz val="11.0"/>
      <color theme="1"/>
      <name val="Arial Narrow"/>
    </font>
    <font>
      <sz val="13.0"/>
      <color theme="1"/>
      <name val="Arial Narrow"/>
    </font>
    <font>
      <b/>
      <vertAlign val="superscript"/>
      <sz val="10.0"/>
      <color rgb="FF000000"/>
      <name val="Arial"/>
    </font>
    <font>
      <sz val="9.0"/>
      <color rgb="FF000000"/>
      <name val="Arimo"/>
    </font>
    <font>
      <u/>
      <sz val="10.0"/>
      <color rgb="FF000000"/>
      <name val="Arial Narrow"/>
    </font>
    <font>
      <sz val="11.0"/>
      <color rgb="FFFF0000"/>
      <name val="Arial Narrow"/>
    </font>
    <font>
      <i/>
      <sz val="11.0"/>
      <color rgb="FF000000"/>
      <name val="Arial Narrow"/>
    </font>
    <font>
      <sz val="13.0"/>
      <color theme="1"/>
      <name val="Calibri"/>
    </font>
    <font>
      <vertAlign val="superscript"/>
      <sz val="10.0"/>
      <color rgb="FF000000"/>
      <name val="Arial Narrow"/>
    </font>
    <font>
      <u/>
      <sz val="10.0"/>
      <color rgb="FF000000"/>
      <name val="Arial Narrow"/>
    </font>
    <font>
      <sz val="12.0"/>
      <color rgb="FF000000"/>
      <name val="Arimo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Times New Roman"/>
    </font>
    <font>
      <sz val="16.0"/>
      <color rgb="FF000000"/>
      <name val="Arimo"/>
    </font>
    <font>
      <sz val="16.0"/>
      <color rgb="FF000000"/>
      <name val="Times New Roman"/>
    </font>
    <font>
      <sz val="16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4BACC6"/>
        <bgColor rgb="FF4BACC6"/>
      </patternFill>
    </fill>
    <fill>
      <patternFill patternType="solid">
        <fgColor rgb="FFE5DFEC"/>
        <bgColor rgb="FFE5DFEC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</fills>
  <borders count="8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</borders>
  <cellStyleXfs count="1">
    <xf borderId="0" fillId="0" fontId="0" numFmtId="1" applyAlignment="1" applyFont="1" applyNumberFormat="1"/>
  </cellStyleXfs>
  <cellXfs count="282">
    <xf borderId="0" fillId="0" fontId="0" numFmtId="1" xfId="0" applyAlignment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horizontal="left"/>
    </xf>
    <xf borderId="0" fillId="0" fontId="2" numFmtId="1" xfId="0" applyFont="1" applyNumberFormat="1"/>
    <xf borderId="2" fillId="0" fontId="1" numFmtId="1" xfId="0" applyAlignment="1" applyBorder="1" applyFont="1" applyNumberFormat="1">
      <alignment horizontal="center" shrinkToFit="0" vertical="center" wrapText="1"/>
    </xf>
    <xf borderId="2" fillId="0" fontId="1" numFmtId="1" xfId="0" applyBorder="1" applyFont="1" applyNumberFormat="1"/>
    <xf borderId="0" fillId="0" fontId="3" numFmtId="1" xfId="0" applyFont="1" applyNumberFormat="1"/>
    <xf borderId="0" fillId="0" fontId="1" numFmtId="1" xfId="0" applyFont="1" applyNumberFormat="1"/>
    <xf borderId="0" fillId="0" fontId="3" numFmtId="1" xfId="0" applyAlignment="1" applyFont="1" applyNumberFormat="1">
      <alignment horizontal="center"/>
    </xf>
    <xf borderId="3" fillId="0" fontId="1" numFmtId="1" xfId="0" applyAlignment="1" applyBorder="1" applyFont="1" applyNumberFormat="1">
      <alignment horizontal="center" shrinkToFit="0" vertical="top" wrapText="1"/>
    </xf>
    <xf borderId="3" fillId="0" fontId="1" numFmtId="1" xfId="0" applyAlignment="1" applyBorder="1" applyFont="1" applyNumberFormat="1">
      <alignment horizontal="center" vertical="center"/>
    </xf>
    <xf borderId="4" fillId="0" fontId="1" numFmtId="1" xfId="0" applyAlignment="1" applyBorder="1" applyFont="1" applyNumberFormat="1">
      <alignment horizontal="center" shrinkToFit="0" vertical="top" wrapText="1"/>
    </xf>
    <xf borderId="4" fillId="0" fontId="1" numFmtId="1" xfId="0" applyAlignment="1" applyBorder="1" applyFont="1" applyNumberFormat="1">
      <alignment horizontal="center" vertical="center"/>
    </xf>
    <xf borderId="0" fillId="0" fontId="4" numFmtId="1" xfId="0" applyFont="1" applyNumberFormat="1"/>
    <xf borderId="0" fillId="0" fontId="5" numFmtId="1" xfId="0" applyFont="1" applyNumberFormat="1"/>
    <xf borderId="1" fillId="2" fontId="1" numFmtId="1" xfId="0" applyAlignment="1" applyBorder="1" applyFill="1" applyFont="1" applyNumberFormat="1">
      <alignment horizontal="left"/>
    </xf>
    <xf borderId="0" fillId="0" fontId="6" numFmtId="1" xfId="0" applyAlignment="1" applyFont="1" applyNumberFormat="1">
      <alignment horizontal="center"/>
    </xf>
    <xf borderId="0" fillId="0" fontId="2" numFmtId="0" xfId="0" applyFont="1"/>
    <xf borderId="4" fillId="0" fontId="1" numFmtId="9" xfId="0" applyAlignment="1" applyBorder="1" applyFont="1" applyNumberFormat="1">
      <alignment horizontal="center" vertical="center"/>
    </xf>
    <xf borderId="5" fillId="0" fontId="1" numFmtId="1" xfId="0" applyAlignment="1" applyBorder="1" applyFont="1" applyNumberFormat="1">
      <alignment horizontal="center" shrinkToFit="0" vertical="center" wrapText="1"/>
    </xf>
    <xf borderId="5" fillId="0" fontId="1" numFmtId="1" xfId="0" applyAlignment="1" applyBorder="1" applyFont="1" applyNumberFormat="1">
      <alignment horizontal="center" vertical="center"/>
    </xf>
    <xf borderId="5" fillId="0" fontId="1" numFmtId="9" xfId="0" applyAlignment="1" applyBorder="1" applyFont="1" applyNumberFormat="1">
      <alignment horizontal="center" vertical="center"/>
    </xf>
    <xf borderId="6" fillId="0" fontId="6" numFmtId="1" xfId="0" applyAlignment="1" applyBorder="1" applyFont="1" applyNumberFormat="1">
      <alignment horizontal="center"/>
    </xf>
    <xf borderId="7" fillId="0" fontId="7" numFmtId="0" xfId="0" applyBorder="1" applyFont="1"/>
    <xf borderId="8" fillId="0" fontId="7" numFmtId="0" xfId="0" applyBorder="1" applyFont="1"/>
    <xf borderId="9" fillId="0" fontId="6" numFmtId="1" xfId="0" applyAlignment="1" applyBorder="1" applyFont="1" applyNumberFormat="1">
      <alignment horizontal="center"/>
    </xf>
    <xf borderId="9" fillId="0" fontId="3" numFmtId="1" xfId="0" applyAlignment="1" applyBorder="1" applyFont="1" applyNumberFormat="1">
      <alignment horizontal="center" vertical="center"/>
    </xf>
    <xf borderId="10" fillId="0" fontId="3" numFmtId="1" xfId="0" applyAlignment="1" applyBorder="1" applyFont="1" applyNumberFormat="1">
      <alignment horizontal="center" vertical="center"/>
    </xf>
    <xf borderId="11" fillId="0" fontId="3" numFmtId="1" xfId="0" applyAlignment="1" applyBorder="1" applyFont="1" applyNumberFormat="1">
      <alignment horizontal="center" vertical="center"/>
    </xf>
    <xf borderId="1" fillId="0" fontId="8" numFmtId="1" xfId="0" applyBorder="1" applyFont="1" applyNumberFormat="1"/>
    <xf borderId="12" fillId="3" fontId="1" numFmtId="1" xfId="0" applyAlignment="1" applyBorder="1" applyFill="1" applyFont="1" applyNumberFormat="1">
      <alignment horizontal="center" vertical="center"/>
    </xf>
    <xf borderId="6" fillId="0" fontId="3" numFmtId="1" xfId="0" applyAlignment="1" applyBorder="1" applyFont="1" applyNumberFormat="1">
      <alignment horizontal="center" vertical="center"/>
    </xf>
    <xf borderId="13" fillId="0" fontId="7" numFmtId="0" xfId="0" applyBorder="1" applyFont="1"/>
    <xf borderId="1" fillId="3" fontId="1" numFmtId="1" xfId="0" applyAlignment="1" applyBorder="1" applyFont="1" applyNumberFormat="1">
      <alignment horizontal="center" vertical="center"/>
    </xf>
    <xf borderId="14" fillId="0" fontId="3" numFmtId="1" xfId="0" applyAlignment="1" applyBorder="1" applyFont="1" applyNumberFormat="1">
      <alignment horizontal="center"/>
    </xf>
    <xf borderId="15" fillId="3" fontId="3" numFmtId="164" xfId="0" applyAlignment="1" applyBorder="1" applyFont="1" applyNumberFormat="1">
      <alignment horizontal="center" vertical="center"/>
    </xf>
    <xf borderId="16" fillId="3" fontId="3" numFmtId="164" xfId="0" applyAlignment="1" applyBorder="1" applyFont="1" applyNumberFormat="1">
      <alignment horizontal="center" vertical="center"/>
    </xf>
    <xf borderId="16" fillId="3" fontId="3" numFmtId="1" xfId="0" applyAlignment="1" applyBorder="1" applyFont="1" applyNumberFormat="1">
      <alignment horizontal="center" vertical="center"/>
    </xf>
    <xf borderId="17" fillId="3" fontId="3" numFmtId="1" xfId="0" applyAlignment="1" applyBorder="1" applyFont="1" applyNumberFormat="1">
      <alignment horizontal="center" vertical="center"/>
    </xf>
    <xf borderId="1" fillId="0" fontId="1" numFmtId="1" xfId="0" applyBorder="1" applyFont="1" applyNumberFormat="1"/>
    <xf borderId="1" fillId="3" fontId="1" numFmtId="1" xfId="0" applyBorder="1" applyFont="1" applyNumberFormat="1"/>
    <xf borderId="18" fillId="0" fontId="3" numFmtId="1" xfId="0" applyAlignment="1" applyBorder="1" applyFont="1" applyNumberFormat="1">
      <alignment horizontal="center" vertical="center"/>
    </xf>
    <xf borderId="19" fillId="3" fontId="3" numFmtId="1" xfId="0" applyAlignment="1" applyBorder="1" applyFont="1" applyNumberFormat="1">
      <alignment horizontal="center" vertical="center"/>
    </xf>
    <xf borderId="20" fillId="0" fontId="3" numFmtId="1" xfId="0" applyAlignment="1" applyBorder="1" applyFont="1" applyNumberFormat="1">
      <alignment horizontal="center"/>
    </xf>
    <xf borderId="21" fillId="3" fontId="3" numFmtId="164" xfId="0" applyAlignment="1" applyBorder="1" applyFont="1" applyNumberFormat="1">
      <alignment horizontal="center" vertical="center"/>
    </xf>
    <xf borderId="22" fillId="3" fontId="3" numFmtId="164" xfId="0" applyAlignment="1" applyBorder="1" applyFont="1" applyNumberFormat="1">
      <alignment horizontal="center" vertical="center"/>
    </xf>
    <xf borderId="22" fillId="3" fontId="3" numFmtId="1" xfId="0" applyAlignment="1" applyBorder="1" applyFont="1" applyNumberFormat="1">
      <alignment horizontal="center" vertical="center"/>
    </xf>
    <xf borderId="23" fillId="3" fontId="3" numFmtId="1" xfId="0" applyAlignment="1" applyBorder="1" applyFont="1" applyNumberFormat="1">
      <alignment horizontal="center" vertical="center"/>
    </xf>
    <xf borderId="24" fillId="0" fontId="3" numFmtId="1" xfId="0" applyAlignment="1" applyBorder="1" applyFont="1" applyNumberFormat="1">
      <alignment horizontal="center" vertical="center"/>
    </xf>
    <xf borderId="12" fillId="4" fontId="8" numFmtId="1" xfId="0" applyAlignment="1" applyBorder="1" applyFill="1" applyFont="1" applyNumberFormat="1">
      <alignment horizontal="center" vertical="center"/>
    </xf>
    <xf borderId="25" fillId="0" fontId="7" numFmtId="0" xfId="0" applyBorder="1" applyFont="1"/>
    <xf borderId="1" fillId="5" fontId="8" numFmtId="1" xfId="0" applyAlignment="1" applyBorder="1" applyFill="1" applyFont="1" applyNumberFormat="1">
      <alignment horizontal="center" vertical="center"/>
    </xf>
    <xf borderId="9" fillId="0" fontId="3" numFmtId="1" xfId="0" applyAlignment="1" applyBorder="1" applyFont="1" applyNumberFormat="1">
      <alignment horizontal="center"/>
    </xf>
    <xf borderId="1" fillId="5" fontId="9" numFmtId="1" xfId="0" applyAlignment="1" applyBorder="1" applyFont="1" applyNumberFormat="1">
      <alignment horizontal="center" shrinkToFit="0" vertical="center" wrapText="1"/>
    </xf>
    <xf borderId="9" fillId="3" fontId="3" numFmtId="164" xfId="0" applyAlignment="1" applyBorder="1" applyFont="1" applyNumberFormat="1">
      <alignment horizontal="center" vertical="center"/>
    </xf>
    <xf borderId="26" fillId="3" fontId="3" numFmtId="164" xfId="0" applyAlignment="1" applyBorder="1" applyFont="1" applyNumberFormat="1">
      <alignment horizontal="center" vertical="center"/>
    </xf>
    <xf borderId="1" fillId="5" fontId="8" numFmtId="1" xfId="0" applyAlignment="1" applyBorder="1" applyFont="1" applyNumberFormat="1">
      <alignment horizontal="center" shrinkToFit="0" vertical="center" wrapText="1"/>
    </xf>
    <xf borderId="26" fillId="3" fontId="3" numFmtId="1" xfId="0" applyAlignment="1" applyBorder="1" applyFont="1" applyNumberFormat="1">
      <alignment horizontal="center" vertical="center"/>
    </xf>
    <xf borderId="27" fillId="3" fontId="3" numFmtId="1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" fillId="0" fontId="8" numFmtId="1" xfId="0" applyAlignment="1" applyBorder="1" applyFont="1" applyNumberFormat="1">
      <alignment shrinkToFit="0" vertical="center" wrapText="1"/>
    </xf>
    <xf borderId="1" fillId="0" fontId="9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28" fillId="0" fontId="3" numFmtId="1" xfId="0" applyAlignment="1" applyBorder="1" applyFont="1" applyNumberFormat="1">
      <alignment horizontal="center" vertical="center"/>
    </xf>
    <xf borderId="1" fillId="0" fontId="8" numFmtId="1" xfId="0" applyAlignment="1" applyBorder="1" applyFont="1" applyNumberFormat="1">
      <alignment horizontal="center" shrinkToFit="0" vertical="center" wrapText="1"/>
    </xf>
    <xf borderId="12" fillId="6" fontId="10" numFmtId="0" xfId="0" applyAlignment="1" applyBorder="1" applyFill="1" applyFont="1">
      <alignment horizontal="center" vertical="center"/>
    </xf>
    <xf borderId="1" fillId="4" fontId="8" numFmtId="1" xfId="0" applyAlignment="1" applyBorder="1" applyFont="1" applyNumberFormat="1">
      <alignment horizontal="center" shrinkToFit="0" vertical="center" wrapText="1"/>
    </xf>
    <xf borderId="29" fillId="3" fontId="3" numFmtId="164" xfId="0" applyAlignment="1" applyBorder="1" applyFont="1" applyNumberFormat="1">
      <alignment horizontal="center" vertical="center"/>
    </xf>
    <xf borderId="12" fillId="6" fontId="10" numFmtId="1" xfId="0" applyAlignment="1" applyBorder="1" applyFont="1" applyNumberFormat="1">
      <alignment horizontal="center" vertical="center"/>
    </xf>
    <xf borderId="30" fillId="3" fontId="3" numFmtId="164" xfId="0" applyAlignment="1" applyBorder="1" applyFont="1" applyNumberFormat="1">
      <alignment horizontal="center" vertical="center"/>
    </xf>
    <xf borderId="30" fillId="3" fontId="3" numFmtId="1" xfId="0" applyAlignment="1" applyBorder="1" applyFont="1" applyNumberFormat="1">
      <alignment horizontal="center" vertical="center"/>
    </xf>
    <xf borderId="31" fillId="3" fontId="3" numFmtId="1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8" numFmtId="1" xfId="0" applyAlignment="1" applyFont="1" applyNumberFormat="1">
      <alignment shrinkToFit="0" vertical="center" wrapText="1"/>
    </xf>
    <xf borderId="12" fillId="7" fontId="12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vertical="center"/>
    </xf>
    <xf borderId="1" fillId="0" fontId="1" numFmtId="1" xfId="0" applyAlignment="1" applyBorder="1" applyFont="1" applyNumberFormat="1">
      <alignment horizontal="center"/>
    </xf>
    <xf borderId="12" fillId="8" fontId="10" numFmtId="0" xfId="0" applyAlignment="1" applyBorder="1" applyFill="1" applyFont="1">
      <alignment horizontal="center" vertical="center"/>
    </xf>
    <xf borderId="12" fillId="8" fontId="10" numFmtId="1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32" fillId="0" fontId="3" numFmtId="1" xfId="0" applyAlignment="1" applyBorder="1" applyFont="1" applyNumberFormat="1">
      <alignment horizontal="center" vertical="center"/>
    </xf>
    <xf borderId="1" fillId="4" fontId="1" numFmtId="9" xfId="0" applyAlignment="1" applyBorder="1" applyFont="1" applyNumberFormat="1">
      <alignment horizontal="center" vertical="center"/>
    </xf>
    <xf borderId="12" fillId="9" fontId="10" numFmtId="164" xfId="0" applyAlignment="1" applyBorder="1" applyFont="1" applyNumberFormat="1">
      <alignment horizontal="center" vertical="center"/>
    </xf>
    <xf borderId="1" fillId="4" fontId="1" numFmtId="1" xfId="0" applyAlignment="1" applyBorder="1" applyFont="1" applyNumberFormat="1">
      <alignment horizontal="center" vertical="center"/>
    </xf>
    <xf borderId="1" fillId="5" fontId="1" numFmtId="2" xfId="0" applyAlignment="1" applyBorder="1" applyFont="1" applyNumberFormat="1">
      <alignment horizontal="center" vertical="center"/>
    </xf>
    <xf borderId="12" fillId="3" fontId="12" numFmtId="0" xfId="0" applyAlignment="1" applyBorder="1" applyFont="1">
      <alignment horizontal="center" shrinkToFit="0" vertical="center" wrapText="1"/>
    </xf>
    <xf borderId="12" fillId="3" fontId="1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" fillId="0" fontId="14" numFmtId="0" xfId="0" applyAlignment="1" applyBorder="1" applyFont="1">
      <alignment horizontal="left" vertical="top"/>
    </xf>
    <xf borderId="1" fillId="0" fontId="14" numFmtId="1" xfId="0" applyAlignment="1" applyBorder="1" applyFont="1" applyNumberFormat="1">
      <alignment horizontal="left" shrinkToFit="0" vertical="top" wrapText="1"/>
    </xf>
    <xf borderId="1" fillId="0" fontId="1" numFmtId="1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33" fillId="0" fontId="3" numFmtId="1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34" fillId="0" fontId="16" numFmtId="1" xfId="0" applyAlignment="1" applyBorder="1" applyFont="1" applyNumberFormat="1">
      <alignment horizontal="center" shrinkToFit="0" vertical="center" wrapText="1"/>
    </xf>
    <xf borderId="35" fillId="0" fontId="7" numFmtId="0" xfId="0" applyBorder="1" applyFont="1"/>
    <xf borderId="35" fillId="0" fontId="16" numFmtId="1" xfId="0" applyBorder="1" applyFont="1" applyNumberFormat="1"/>
    <xf borderId="36" fillId="0" fontId="16" numFmtId="1" xfId="0" applyBorder="1" applyFont="1" applyNumberFormat="1"/>
    <xf borderId="6" fillId="10" fontId="16" numFmtId="1" xfId="0" applyAlignment="1" applyBorder="1" applyFill="1" applyFont="1" applyNumberFormat="1">
      <alignment horizontal="center"/>
    </xf>
    <xf borderId="6" fillId="8" fontId="6" numFmtId="1" xfId="0" applyAlignment="1" applyBorder="1" applyFont="1" applyNumberFormat="1">
      <alignment horizontal="center"/>
    </xf>
    <xf borderId="37" fillId="0" fontId="7" numFmtId="0" xfId="0" applyBorder="1" applyFont="1"/>
    <xf borderId="6" fillId="0" fontId="16" numFmtId="1" xfId="0" applyAlignment="1" applyBorder="1" applyFont="1" applyNumberFormat="1">
      <alignment horizontal="center"/>
    </xf>
    <xf borderId="0" fillId="0" fontId="12" numFmtId="0" xfId="0" applyAlignment="1" applyFont="1">
      <alignment horizontal="left" vertical="center"/>
    </xf>
    <xf borderId="12" fillId="0" fontId="17" numFmtId="0" xfId="0" applyAlignment="1" applyBorder="1" applyFont="1">
      <alignment horizontal="center" vertical="center"/>
    </xf>
    <xf borderId="35" fillId="0" fontId="16" numFmtId="1" xfId="0" applyAlignment="1" applyBorder="1" applyFont="1" applyNumberFormat="1">
      <alignment horizontal="center"/>
    </xf>
    <xf borderId="36" fillId="0" fontId="7" numFmtId="0" xfId="0" applyBorder="1" applyFont="1"/>
    <xf borderId="34" fillId="0" fontId="6" numFmtId="1" xfId="0" applyAlignment="1" applyBorder="1" applyFont="1" applyNumberFormat="1">
      <alignment horizontal="center"/>
    </xf>
    <xf borderId="38" fillId="0" fontId="18" numFmtId="1" xfId="0" applyAlignment="1" applyBorder="1" applyFont="1" applyNumberFormat="1">
      <alignment horizontal="center" vertical="center"/>
    </xf>
    <xf borderId="39" fillId="0" fontId="18" numFmtId="1" xfId="0" applyAlignment="1" applyBorder="1" applyFont="1" applyNumberFormat="1">
      <alignment horizontal="center" vertical="center"/>
    </xf>
    <xf borderId="40" fillId="0" fontId="12" numFmtId="0" xfId="0" applyAlignment="1" applyBorder="1" applyFont="1">
      <alignment horizontal="center" shrinkToFit="0" vertical="center" wrapText="1"/>
    </xf>
    <xf borderId="41" fillId="0" fontId="7" numFmtId="0" xfId="0" applyBorder="1" applyFont="1"/>
    <xf borderId="42" fillId="0" fontId="18" numFmtId="1" xfId="0" applyAlignment="1" applyBorder="1" applyFont="1" applyNumberFormat="1">
      <alignment horizontal="center" vertical="center"/>
    </xf>
    <xf borderId="43" fillId="0" fontId="7" numFmtId="0" xfId="0" applyBorder="1" applyFont="1"/>
    <xf borderId="44" fillId="0" fontId="18" numFmtId="1" xfId="0" applyAlignment="1" applyBorder="1" applyFont="1" applyNumberFormat="1">
      <alignment horizontal="center" vertical="center"/>
    </xf>
    <xf borderId="45" fillId="0" fontId="7" numFmtId="0" xfId="0" applyBorder="1" applyFont="1"/>
    <xf borderId="46" fillId="0" fontId="7" numFmtId="0" xfId="0" applyBorder="1" applyFont="1"/>
    <xf borderId="20" fillId="0" fontId="18" numFmtId="1" xfId="0" applyAlignment="1" applyBorder="1" applyFont="1" applyNumberFormat="1">
      <alignment horizontal="center" vertical="center"/>
    </xf>
    <xf borderId="47" fillId="0" fontId="18" numFmtId="1" xfId="0" applyAlignment="1" applyBorder="1" applyFont="1" applyNumberFormat="1">
      <alignment horizontal="center" vertical="center"/>
    </xf>
    <xf borderId="45" fillId="0" fontId="18" numFmtId="1" xfId="0" applyAlignment="1" applyBorder="1" applyFont="1" applyNumberFormat="1">
      <alignment horizontal="center" vertical="center"/>
    </xf>
    <xf borderId="48" fillId="0" fontId="7" numFmtId="0" xfId="0" applyBorder="1" applyFont="1"/>
    <xf borderId="49" fillId="0" fontId="18" numFmtId="1" xfId="0" applyAlignment="1" applyBorder="1" applyFont="1" applyNumberFormat="1">
      <alignment horizontal="center" vertical="center"/>
    </xf>
    <xf borderId="50" fillId="0" fontId="7" numFmtId="0" xfId="0" applyBorder="1" applyFont="1"/>
    <xf borderId="20" fillId="0" fontId="18" numFmtId="1" xfId="0" applyAlignment="1" applyBorder="1" applyFont="1" applyNumberFormat="1">
      <alignment horizontal="center"/>
    </xf>
    <xf borderId="46" fillId="0" fontId="18" numFmtId="1" xfId="0" applyAlignment="1" applyBorder="1" applyFont="1" applyNumberFormat="1">
      <alignment horizontal="center"/>
    </xf>
    <xf borderId="51" fillId="0" fontId="7" numFmtId="0" xfId="0" applyBorder="1" applyFont="1"/>
    <xf borderId="52" fillId="0" fontId="18" numFmtId="1" xfId="0" applyAlignment="1" applyBorder="1" applyFont="1" applyNumberFormat="1">
      <alignment horizontal="center"/>
    </xf>
    <xf borderId="32" fillId="0" fontId="18" numFmtId="1" xfId="0" applyAlignment="1" applyBorder="1" applyFont="1" applyNumberFormat="1">
      <alignment horizontal="center" vertical="center"/>
    </xf>
    <xf borderId="9" fillId="0" fontId="18" numFmtId="1" xfId="0" applyAlignment="1" applyBorder="1" applyFont="1" applyNumberFormat="1">
      <alignment horizontal="center" vertical="center"/>
    </xf>
    <xf borderId="53" fillId="0" fontId="18" numFmtId="1" xfId="0" applyAlignment="1" applyBorder="1" applyFont="1" applyNumberFormat="1">
      <alignment horizontal="center" vertical="center"/>
    </xf>
    <xf borderId="54" fillId="0" fontId="18" numFmtId="1" xfId="0" applyAlignment="1" applyBorder="1" applyFont="1" applyNumberFormat="1">
      <alignment horizontal="center" vertical="center"/>
    </xf>
    <xf borderId="55" fillId="0" fontId="18" numFmtId="1" xfId="0" applyAlignment="1" applyBorder="1" applyFont="1" applyNumberFormat="1">
      <alignment horizontal="center" vertical="center"/>
    </xf>
    <xf borderId="56" fillId="0" fontId="18" numFmtId="1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53" fillId="0" fontId="3" numFmtId="1" xfId="0" applyAlignment="1" applyBorder="1" applyFont="1" applyNumberFormat="1">
      <alignment horizontal="center" vertical="center"/>
    </xf>
    <xf borderId="12" fillId="11" fontId="9" numFmtId="0" xfId="0" applyAlignment="1" applyBorder="1" applyFill="1" applyFont="1">
      <alignment horizontal="center" vertical="center"/>
    </xf>
    <xf borderId="54" fillId="0" fontId="3" numFmtId="1" xfId="0" applyAlignment="1" applyBorder="1" applyFont="1" applyNumberFormat="1">
      <alignment horizontal="center" vertical="center"/>
    </xf>
    <xf borderId="55" fillId="0" fontId="3" numFmtId="1" xfId="0" applyAlignment="1" applyBorder="1" applyFont="1" applyNumberFormat="1">
      <alignment horizontal="center" vertical="center"/>
    </xf>
    <xf borderId="1" fillId="6" fontId="9" numFmtId="0" xfId="0" applyAlignment="1" applyBorder="1" applyFont="1">
      <alignment horizontal="center" vertical="center"/>
    </xf>
    <xf borderId="1" fillId="0" fontId="16" numFmtId="1" xfId="0" applyAlignment="1" applyBorder="1" applyFont="1" applyNumberFormat="1">
      <alignment horizontal="center" shrinkToFit="0" vertical="center" wrapText="1"/>
    </xf>
    <xf borderId="12" fillId="6" fontId="11" numFmtId="0" xfId="0" applyAlignment="1" applyBorder="1" applyFont="1">
      <alignment horizontal="center" vertical="center"/>
    </xf>
    <xf borderId="1" fillId="0" fontId="19" numFmtId="1" xfId="0" applyAlignment="1" applyBorder="1" applyFont="1" applyNumberFormat="1">
      <alignment horizontal="center" vertical="center"/>
    </xf>
    <xf borderId="1" fillId="0" fontId="19" numFmtId="1" xfId="0" applyAlignment="1" applyBorder="1" applyFont="1" applyNumberFormat="1">
      <alignment horizontal="left" vertical="center"/>
    </xf>
    <xf borderId="19" fillId="7" fontId="18" numFmtId="1" xfId="0" applyAlignment="1" applyBorder="1" applyFont="1" applyNumberFormat="1">
      <alignment horizontal="center" vertical="center"/>
    </xf>
    <xf borderId="12" fillId="0" fontId="12" numFmtId="10" xfId="0" applyAlignment="1" applyBorder="1" applyFont="1" applyNumberFormat="1">
      <alignment horizontal="center" vertical="center"/>
    </xf>
    <xf borderId="1" fillId="7" fontId="18" numFmtId="1" xfId="0" applyAlignment="1" applyBorder="1" applyFont="1" applyNumberFormat="1">
      <alignment horizontal="center" vertical="center"/>
    </xf>
    <xf borderId="19" fillId="9" fontId="20" numFmtId="1" xfId="0" applyAlignment="1" applyBorder="1" applyFont="1" applyNumberFormat="1">
      <alignment horizontal="center" vertical="center"/>
    </xf>
    <xf borderId="1" fillId="7" fontId="18" numFmtId="1" xfId="0" applyAlignment="1" applyBorder="1" applyFont="1" applyNumberFormat="1">
      <alignment horizontal="center"/>
    </xf>
    <xf borderId="57" fillId="7" fontId="18" numFmtId="1" xfId="0" applyAlignment="1" applyBorder="1" applyFont="1" applyNumberFormat="1">
      <alignment horizontal="center" vertical="center"/>
    </xf>
    <xf borderId="58" fillId="9" fontId="20" numFmtId="1" xfId="0" applyAlignment="1" applyBorder="1" applyFont="1" applyNumberFormat="1">
      <alignment horizontal="center" vertical="center"/>
    </xf>
    <xf borderId="59" fillId="7" fontId="18" numFmtId="1" xfId="0" applyAlignment="1" applyBorder="1" applyFont="1" applyNumberFormat="1">
      <alignment horizontal="center" vertical="center"/>
    </xf>
    <xf borderId="60" fillId="0" fontId="7" numFmtId="0" xfId="0" applyBorder="1" applyFont="1"/>
    <xf borderId="61" fillId="7" fontId="18" numFmtId="9" xfId="0" applyAlignment="1" applyBorder="1" applyFont="1" applyNumberFormat="1">
      <alignment horizontal="center" vertical="center"/>
    </xf>
    <xf borderId="59" fillId="7" fontId="18" numFmtId="9" xfId="0" applyAlignment="1" applyBorder="1" applyFont="1" applyNumberFormat="1">
      <alignment horizontal="center" vertical="center"/>
    </xf>
    <xf borderId="62" fillId="7" fontId="18" numFmtId="9" xfId="0" applyAlignment="1" applyBorder="1" applyFont="1" applyNumberFormat="1">
      <alignment horizontal="center" vertical="center"/>
    </xf>
    <xf borderId="63" fillId="7" fontId="18" numFmtId="9" xfId="0" applyAlignment="1" applyBorder="1" applyFont="1" applyNumberFormat="1">
      <alignment horizontal="center" vertical="center"/>
    </xf>
    <xf borderId="1" fillId="9" fontId="20" numFmtId="9" xfId="0" applyAlignment="1" applyBorder="1" applyFont="1" applyNumberFormat="1">
      <alignment horizontal="center" vertical="center"/>
    </xf>
    <xf borderId="64" fillId="7" fontId="18" numFmtId="1" xfId="0" applyAlignment="1" applyBorder="1" applyFont="1" applyNumberFormat="1">
      <alignment horizontal="center" vertical="center"/>
    </xf>
    <xf borderId="65" fillId="0" fontId="7" numFmtId="0" xfId="0" applyBorder="1" applyFont="1"/>
    <xf borderId="66" fillId="0" fontId="7" numFmtId="0" xfId="0" applyBorder="1" applyFont="1"/>
    <xf borderId="61" fillId="7" fontId="3" numFmtId="9" xfId="0" applyAlignment="1" applyBorder="1" applyFont="1" applyNumberFormat="1">
      <alignment horizontal="center" vertical="center"/>
    </xf>
    <xf borderId="59" fillId="7" fontId="3" numFmtId="9" xfId="0" applyAlignment="1" applyBorder="1" applyFont="1" applyNumberFormat="1">
      <alignment horizontal="center" vertical="center"/>
    </xf>
    <xf borderId="62" fillId="7" fontId="3" numFmtId="9" xfId="0" applyAlignment="1" applyBorder="1" applyFont="1" applyNumberFormat="1">
      <alignment horizontal="center" vertical="center"/>
    </xf>
    <xf borderId="12" fillId="9" fontId="20" numFmtId="9" xfId="0" applyAlignment="1" applyBorder="1" applyFont="1" applyNumberFormat="1">
      <alignment horizontal="center" vertical="center"/>
    </xf>
    <xf borderId="67" fillId="7" fontId="3" numFmtId="1" xfId="0" applyAlignment="1" applyBorder="1" applyFont="1" applyNumberFormat="1">
      <alignment horizontal="center" vertical="center"/>
    </xf>
    <xf borderId="1" fillId="0" fontId="18" numFmtId="1" xfId="0" applyAlignment="1" applyBorder="1" applyFont="1" applyNumberFormat="1">
      <alignment horizontal="center"/>
    </xf>
    <xf borderId="1" fillId="0" fontId="18" numFmtId="0" xfId="0" applyAlignment="1" applyBorder="1" applyFont="1">
      <alignment horizontal="center"/>
    </xf>
    <xf borderId="1" fillId="0" fontId="18" numFmtId="1" xfId="0" applyAlignment="1" applyBorder="1" applyFont="1" applyNumberFormat="1">
      <alignment horizontal="left"/>
    </xf>
    <xf borderId="1" fillId="3" fontId="18" numFmtId="2" xfId="0" applyAlignment="1" applyBorder="1" applyFont="1" applyNumberFormat="1">
      <alignment horizontal="center" vertical="center"/>
    </xf>
    <xf borderId="1" fillId="3" fontId="18" numFmtId="2" xfId="0" applyBorder="1" applyFont="1" applyNumberFormat="1"/>
    <xf borderId="0" fillId="0" fontId="21" numFmtId="0" xfId="0" applyAlignment="1" applyFont="1">
      <alignment vertical="center"/>
    </xf>
    <xf borderId="1" fillId="0" fontId="18" numFmtId="1" xfId="0" applyAlignment="1" applyBorder="1" applyFont="1" applyNumberFormat="1">
      <alignment horizontal="center" vertical="center"/>
    </xf>
    <xf borderId="1" fillId="0" fontId="18" numFmtId="9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2" numFmtId="1" xfId="0" applyAlignment="1" applyBorder="1" applyFont="1" applyNumberFormat="1">
      <alignment horizontal="center" vertical="center"/>
    </xf>
    <xf borderId="1" fillId="0" fontId="12" numFmtId="10" xfId="0" applyAlignment="1" applyBorder="1" applyFont="1" applyNumberFormat="1">
      <alignment horizontal="center" vertical="center"/>
    </xf>
    <xf borderId="1" fillId="3" fontId="12" numFmtId="0" xfId="0" applyAlignment="1" applyBorder="1" applyFont="1">
      <alignment horizontal="center" vertical="center"/>
    </xf>
    <xf borderId="46" fillId="0" fontId="15" numFmtId="0" xfId="0" applyAlignment="1" applyBorder="1" applyFont="1">
      <alignment horizontal="center" vertical="center"/>
    </xf>
    <xf borderId="1" fillId="3" fontId="12" numFmtId="1" xfId="0" applyAlignment="1" applyBorder="1" applyFont="1" applyNumberFormat="1">
      <alignment horizontal="center" vertical="center"/>
    </xf>
    <xf borderId="68" fillId="3" fontId="12" numFmtId="0" xfId="0" applyAlignment="1" applyBorder="1" applyFon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68" fillId="0" fontId="12" numFmtId="10" xfId="0" applyAlignment="1" applyBorder="1" applyFont="1" applyNumberFormat="1">
      <alignment horizontal="center" vertical="center"/>
    </xf>
    <xf borderId="47" fillId="0" fontId="7" numFmtId="0" xfId="0" applyBorder="1" applyFont="1"/>
    <xf borderId="69" fillId="0" fontId="7" numFmtId="0" xfId="0" applyBorder="1" applyFont="1"/>
    <xf borderId="12" fillId="0" fontId="13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70" fillId="0" fontId="15" numFmtId="0" xfId="0" applyAlignment="1" applyBorder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2" fillId="11" fontId="15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12" fillId="9" fontId="15" numFmtId="0" xfId="0" applyAlignment="1" applyBorder="1" applyFont="1">
      <alignment horizontal="center" vertical="center"/>
    </xf>
    <xf borderId="1" fillId="9" fontId="20" numFmtId="1" xfId="0" applyAlignment="1" applyBorder="1" applyFont="1" applyNumberFormat="1">
      <alignment horizontal="center" vertical="center"/>
    </xf>
    <xf borderId="0" fillId="0" fontId="20" numFmtId="9" xfId="0" applyAlignment="1" applyFont="1" applyNumberFormat="1">
      <alignment vertical="center"/>
    </xf>
    <xf borderId="6" fillId="0" fontId="22" numFmtId="0" xfId="0" applyAlignment="1" applyBorder="1" applyFont="1">
      <alignment horizontal="center" vertical="center"/>
    </xf>
    <xf borderId="0" fillId="0" fontId="15" numFmtId="0" xfId="0" applyFont="1"/>
    <xf borderId="0" fillId="0" fontId="17" numFmtId="0" xfId="0" applyFont="1"/>
    <xf borderId="15" fillId="12" fontId="23" numFmtId="0" xfId="0" applyAlignment="1" applyBorder="1" applyFill="1" applyFont="1">
      <alignment horizontal="center" vertical="center"/>
    </xf>
    <xf borderId="39" fillId="12" fontId="23" numFmtId="164" xfId="0" applyAlignment="1" applyBorder="1" applyFont="1" applyNumberFormat="1">
      <alignment horizontal="center" vertical="center"/>
    </xf>
    <xf borderId="16" fillId="12" fontId="23" numFmtId="0" xfId="0" applyAlignment="1" applyBorder="1" applyFont="1">
      <alignment horizontal="center" vertical="center"/>
    </xf>
    <xf borderId="17" fillId="12" fontId="23" numFmtId="1" xfId="0" applyAlignment="1" applyBorder="1" applyFont="1" applyNumberFormat="1">
      <alignment horizontal="center" vertical="center"/>
    </xf>
    <xf borderId="0" fillId="0" fontId="24" numFmtId="0" xfId="0" applyFont="1"/>
    <xf borderId="0" fillId="0" fontId="25" numFmtId="0" xfId="0" applyFont="1"/>
    <xf borderId="1" fillId="12" fontId="23" numFmtId="0" xfId="0" applyAlignment="1" applyBorder="1" applyFont="1">
      <alignment horizontal="center" shrinkToFit="0" vertical="center" wrapText="1"/>
    </xf>
    <xf borderId="0" fillId="0" fontId="26" numFmtId="0" xfId="0" applyFont="1"/>
    <xf borderId="39" fillId="12" fontId="23" numFmtId="0" xfId="0" applyAlignment="1" applyBorder="1" applyFont="1">
      <alignment horizontal="center" vertical="center"/>
    </xf>
    <xf borderId="44" fillId="12" fontId="23" numFmtId="1" xfId="0" applyAlignment="1" applyBorder="1" applyFont="1" applyNumberFormat="1">
      <alignment horizontal="center" vertical="center"/>
    </xf>
    <xf borderId="6" fillId="0" fontId="23" numFmtId="0" xfId="0" applyAlignment="1" applyBorder="1" applyFont="1">
      <alignment horizontal="center" vertical="center"/>
    </xf>
    <xf borderId="32" fillId="0" fontId="7" numFmtId="0" xfId="0" applyBorder="1" applyFont="1"/>
    <xf borderId="54" fillId="0" fontId="23" numFmtId="0" xfId="0" applyAlignment="1" applyBorder="1" applyFont="1">
      <alignment horizontal="center" vertical="center"/>
    </xf>
    <xf borderId="11" fillId="0" fontId="23" numFmtId="0" xfId="0" applyAlignment="1" applyBorder="1" applyFont="1">
      <alignment horizontal="center" vertical="center"/>
    </xf>
    <xf borderId="18" fillId="0" fontId="23" numFmtId="0" xfId="0" applyAlignment="1" applyBorder="1" applyFont="1">
      <alignment horizontal="center" vertical="center"/>
    </xf>
    <xf borderId="71" fillId="0" fontId="7" numFmtId="0" xfId="0" applyBorder="1" applyFont="1"/>
    <xf borderId="72" fillId="0" fontId="15" numFmtId="9" xfId="0" applyAlignment="1" applyBorder="1" applyFont="1" applyNumberFormat="1">
      <alignment horizontal="center" shrinkToFit="0" vertical="center" wrapText="1"/>
    </xf>
    <xf borderId="1" fillId="0" fontId="8" numFmtId="1" xfId="0" applyAlignment="1" applyBorder="1" applyFont="1" applyNumberFormat="1">
      <alignment horizontal="center" vertical="center"/>
    </xf>
    <xf borderId="73" fillId="0" fontId="23" numFmtId="9" xfId="0" applyAlignment="1" applyBorder="1" applyFont="1" applyNumberFormat="1">
      <alignment horizontal="center" vertical="center"/>
    </xf>
    <xf borderId="0" fillId="0" fontId="27" numFmtId="0" xfId="0" applyAlignment="1" applyFont="1">
      <alignment horizontal="left" shrinkToFit="0" vertical="center" wrapText="1"/>
    </xf>
    <xf borderId="0" fillId="0" fontId="8" numFmtId="1" xfId="0" applyAlignment="1" applyFont="1" applyNumberFormat="1">
      <alignment horizontal="center"/>
    </xf>
    <xf borderId="1" fillId="0" fontId="8" numFmtId="1" xfId="0" applyAlignment="1" applyBorder="1" applyFont="1" applyNumberFormat="1">
      <alignment horizontal="center" shrinkToFit="0" wrapText="1"/>
    </xf>
    <xf borderId="74" fillId="0" fontId="7" numFmtId="0" xfId="0" applyBorder="1" applyFont="1"/>
    <xf borderId="1" fillId="3" fontId="1" numFmtId="1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" fillId="0" fontId="1" numFmtId="1" xfId="0" applyAlignment="1" applyBorder="1" applyFont="1" applyNumberFormat="1">
      <alignment horizontal="center" shrinkToFit="0" vertical="top" wrapText="1"/>
    </xf>
    <xf borderId="1" fillId="0" fontId="1" numFmtId="9" xfId="0" applyAlignment="1" applyBorder="1" applyFont="1" applyNumberFormat="1">
      <alignment horizontal="center" vertical="center"/>
    </xf>
    <xf borderId="1" fillId="13" fontId="1" numFmtId="1" xfId="0" applyBorder="1" applyFill="1" applyFont="1" applyNumberFormat="1"/>
    <xf borderId="75" fillId="0" fontId="7" numFmtId="0" xfId="0" applyBorder="1" applyFont="1"/>
    <xf borderId="0" fillId="0" fontId="28" numFmtId="0" xfId="0" applyFont="1"/>
    <xf borderId="0" fillId="0" fontId="29" numFmtId="1" xfId="0" applyFont="1" applyNumberFormat="1"/>
    <xf borderId="50" fillId="0" fontId="30" numFmtId="0" xfId="0" applyAlignment="1" applyBorder="1" applyFont="1">
      <alignment horizontal="left" shrinkToFit="0" wrapText="1"/>
    </xf>
    <xf borderId="12" fillId="14" fontId="31" numFmtId="0" xfId="0" applyAlignment="1" applyBorder="1" applyFill="1" applyFont="1">
      <alignment horizontal="center" vertical="center"/>
    </xf>
    <xf borderId="12" fillId="14" fontId="15" numFmtId="0" xfId="0" applyAlignment="1" applyBorder="1" applyFont="1">
      <alignment horizontal="center" shrinkToFit="0" wrapText="1"/>
    </xf>
    <xf borderId="12" fillId="14" fontId="15" numFmtId="0" xfId="0" applyAlignment="1" applyBorder="1" applyFont="1">
      <alignment horizontal="center"/>
    </xf>
    <xf borderId="0" fillId="0" fontId="12" numFmtId="1" xfId="0" applyAlignment="1" applyFont="1" applyNumberFormat="1">
      <alignment vertical="center"/>
    </xf>
    <xf borderId="76" fillId="14" fontId="15" numFmtId="0" xfId="0" applyAlignment="1" applyBorder="1" applyFont="1">
      <alignment horizontal="center"/>
    </xf>
    <xf borderId="77" fillId="14" fontId="15" numFmtId="0" xfId="0" applyAlignment="1" applyBorder="1" applyFont="1">
      <alignment horizontal="center"/>
    </xf>
    <xf borderId="78" fillId="14" fontId="15" numFmtId="0" xfId="0" applyAlignment="1" applyBorder="1" applyFont="1">
      <alignment horizontal="center"/>
    </xf>
    <xf borderId="0" fillId="0" fontId="17" numFmtId="1" xfId="0" applyFont="1" applyNumberFormat="1"/>
    <xf borderId="0" fillId="0" fontId="1" numFmtId="164" xfId="0" applyFont="1" applyNumberFormat="1"/>
    <xf borderId="12" fillId="14" fontId="15" numFmtId="0" xfId="0" applyAlignment="1" applyBorder="1" applyFont="1">
      <alignment horizontal="center" vertical="center"/>
    </xf>
    <xf borderId="0" fillId="0" fontId="32" numFmtId="0" xfId="0" applyAlignment="1" applyFont="1">
      <alignment horizontal="right"/>
    </xf>
    <xf borderId="0" fillId="0" fontId="33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right"/>
    </xf>
    <xf borderId="50" fillId="0" fontId="34" numFmtId="0" xfId="0" applyBorder="1" applyFont="1"/>
    <xf borderId="0" fillId="0" fontId="1" numFmtId="1" xfId="0" applyAlignment="1" applyFont="1" applyNumberFormat="1">
      <alignment horizontal="center" vertical="center"/>
    </xf>
    <xf borderId="0" fillId="0" fontId="23" numFmtId="1" xfId="0" applyAlignment="1" applyFont="1" applyNumberFormat="1">
      <alignment horizontal="center" vertical="center"/>
    </xf>
    <xf borderId="0" fillId="0" fontId="23" numFmtId="165" xfId="0" applyAlignment="1" applyFont="1" applyNumberFormat="1">
      <alignment horizontal="center" vertical="center"/>
    </xf>
    <xf borderId="0" fillId="0" fontId="35" numFmtId="0" xfId="0" applyFont="1"/>
    <xf borderId="0" fillId="0" fontId="23" numFmtId="0" xfId="0" applyAlignment="1" applyFont="1">
      <alignment horizontal="center" vertical="center"/>
    </xf>
    <xf borderId="1" fillId="0" fontId="20" numFmtId="9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left"/>
    </xf>
    <xf borderId="0" fillId="0" fontId="17" numFmtId="1" xfId="0" applyAlignment="1" applyFont="1" applyNumberFormat="1">
      <alignment vertical="center"/>
    </xf>
    <xf borderId="79" fillId="3" fontId="1" numFmtId="1" xfId="0" applyAlignment="1" applyBorder="1" applyFont="1" applyNumberFormat="1">
      <alignment horizontal="left"/>
    </xf>
    <xf borderId="80" fillId="0" fontId="7" numFmtId="0" xfId="0" applyBorder="1" applyFont="1"/>
    <xf borderId="1" fillId="0" fontId="18" numFmtId="1" xfId="0" applyBorder="1" applyFont="1" applyNumberFormat="1"/>
    <xf borderId="0" fillId="0" fontId="18" numFmtId="1" xfId="0" applyFont="1" applyNumberFormat="1"/>
    <xf borderId="81" fillId="0" fontId="16" numFmtId="1" xfId="0" applyAlignment="1" applyBorder="1" applyFont="1" applyNumberFormat="1">
      <alignment horizontal="center"/>
    </xf>
    <xf borderId="70" fillId="0" fontId="7" numFmtId="0" xfId="0" applyBorder="1" applyFont="1"/>
    <xf borderId="82" fillId="0" fontId="7" numFmtId="0" xfId="0" applyBorder="1" applyFont="1"/>
    <xf borderId="1" fillId="0" fontId="3" numFmtId="1" xfId="0" applyBorder="1" applyFont="1" applyNumberFormat="1"/>
    <xf borderId="70" fillId="0" fontId="6" numFmtId="1" xfId="0" applyAlignment="1" applyBorder="1" applyFont="1" applyNumberFormat="1">
      <alignment horizontal="center"/>
    </xf>
    <xf borderId="83" fillId="7" fontId="16" numFmtId="1" xfId="0" applyAlignment="1" applyBorder="1" applyFont="1" applyNumberFormat="1">
      <alignment horizontal="center" vertical="center"/>
    </xf>
    <xf borderId="84" fillId="7" fontId="16" numFmtId="1" xfId="0" applyAlignment="1" applyBorder="1" applyFont="1" applyNumberFormat="1">
      <alignment horizontal="center" vertical="center"/>
    </xf>
    <xf borderId="85" fillId="0" fontId="7" numFmtId="0" xfId="0" applyBorder="1" applyFont="1"/>
    <xf borderId="86" fillId="7" fontId="18" numFmtId="2" xfId="0" applyAlignment="1" applyBorder="1" applyFont="1" applyNumberFormat="1">
      <alignment horizontal="center" vertical="center"/>
    </xf>
    <xf borderId="9" fillId="7" fontId="18" numFmtId="2" xfId="0" applyAlignment="1" applyBorder="1" applyFont="1" applyNumberFormat="1">
      <alignment horizontal="center" vertical="center"/>
    </xf>
    <xf borderId="9" fillId="7" fontId="18" numFmtId="9" xfId="0" applyAlignment="1" applyBorder="1" applyFont="1" applyNumberFormat="1">
      <alignment horizontal="center" vertical="center"/>
    </xf>
    <xf borderId="9" fillId="7" fontId="18" numFmtId="1" xfId="0" applyAlignment="1" applyBorder="1" applyFont="1" applyNumberFormat="1">
      <alignment horizontal="center" vertical="center"/>
    </xf>
    <xf borderId="1" fillId="7" fontId="3" numFmtId="9" xfId="0" applyAlignment="1" applyBorder="1" applyFont="1" applyNumberFormat="1">
      <alignment horizontal="center" vertical="center"/>
    </xf>
    <xf borderId="26" fillId="7" fontId="3" numFmtId="1" xfId="0" applyAlignment="1" applyBorder="1" applyFont="1" applyNumberFormat="1">
      <alignment horizontal="center" vertical="center"/>
    </xf>
    <xf borderId="9" fillId="7" fontId="3" numFmtId="1" xfId="0" applyAlignment="1" applyBorder="1" applyFont="1" applyNumberFormat="1">
      <alignment horizontal="center" vertical="center"/>
    </xf>
    <xf borderId="0" fillId="0" fontId="3" numFmtId="9" xfId="0" applyFont="1" applyNumberFormat="1"/>
    <xf borderId="0" fillId="0" fontId="36" numFmtId="1" xfId="0" applyFont="1" applyNumberFormat="1"/>
    <xf borderId="0" fillId="0" fontId="37" numFmtId="0" xfId="0" applyFont="1"/>
    <xf borderId="0" fillId="0" fontId="38" numFmtId="0" xfId="0" applyFont="1"/>
    <xf borderId="0" fillId="0" fontId="39" numFmtId="1" xfId="0" applyFont="1" applyNumberFormat="1"/>
    <xf borderId="0" fillId="0" fontId="40" numFmtId="1" xfId="0" applyFont="1" applyNumberFormat="1"/>
    <xf borderId="0" fillId="0" fontId="41" numFmtId="1" xfId="0" applyAlignment="1" applyFont="1" applyNumberFormat="1">
      <alignment vertical="center"/>
    </xf>
    <xf borderId="0" fillId="0" fontId="6" numFmtId="1" xfId="0" applyFont="1" applyNumberFormat="1"/>
    <xf borderId="0" fillId="0" fontId="4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GradeSheet!$G$49:$G$60</c:f>
            </c:strRef>
          </c:cat>
          <c:val>
            <c:numRef>
              <c:f>GradeSheet!$H$49:$H$60</c:f>
              <c:numCache/>
            </c:numRef>
          </c:val>
        </c:ser>
        <c:axId val="1371115258"/>
        <c:axId val="723922092"/>
      </c:barChart>
      <c:catAx>
        <c:axId val="1371115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3922092"/>
      </c:catAx>
      <c:valAx>
        <c:axId val="723922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111525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Arial Narrow"/>
              </a:defRPr>
            </a:pPr>
            <a:r>
              <a:rPr b="0" i="0" sz="1400">
                <a:solidFill>
                  <a:srgbClr val="595959"/>
                </a:solidFill>
                <a:latin typeface="Arial Narrow"/>
              </a:rPr>
              <a:t>Grade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CourseSummary!$B$23:$M$23</c:f>
            </c:strRef>
          </c:cat>
          <c:val>
            <c:numRef>
              <c:f>CourseSummary!$B$24:$M$24</c:f>
              <c:numCache/>
            </c:numRef>
          </c:val>
        </c:ser>
        <c:ser>
          <c:idx val="1"/>
          <c:order val="1"/>
          <c:spPr>
            <a:solidFill>
              <a:srgbClr val="4BACC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CourseSummary!$B$23:$M$23</c:f>
            </c:strRef>
          </c:cat>
          <c:val>
            <c:numRef>
              <c:f>CourseSummary!$B$25:$M$25</c:f>
              <c:numCache/>
            </c:numRef>
          </c:val>
        </c:ser>
        <c:axId val="1525387987"/>
        <c:axId val="456295663"/>
      </c:barChart>
      <c:catAx>
        <c:axId val="1525387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 Narrow"/>
              </a:defRPr>
            </a:pPr>
          </a:p>
        </c:txPr>
        <c:crossAx val="456295663"/>
      </c:catAx>
      <c:valAx>
        <c:axId val="456295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Arial Narrow"/>
                  </a:rPr>
                  <a:t>Percentage of Students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FFFFFF"/>
                </a:solidFill>
                <a:latin typeface="Arial Narrow"/>
              </a:defRPr>
            </a:pPr>
          </a:p>
        </c:txPr>
        <c:crossAx val="1525387987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Arial Narrow"/>
              </a:defRPr>
            </a:pPr>
            <a:r>
              <a:rPr b="0" i="0" sz="1400">
                <a:solidFill>
                  <a:srgbClr val="595959"/>
                </a:solidFill>
                <a:latin typeface="Arial Narrow"/>
              </a:rPr>
              <a:t>PO Attainment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CO_PO_AttainmentAnalysis!$BG$19:$BR$19</c:f>
            </c:strRef>
          </c:cat>
          <c:val>
            <c:numRef>
              <c:f>CO_PO_AttainmentAnalysis!$BG$58:$BR$58</c:f>
              <c:numCache/>
            </c:numRef>
          </c:val>
        </c:ser>
        <c:ser>
          <c:idx val="1"/>
          <c:order val="1"/>
          <c:spPr>
            <a:solidFill>
              <a:srgbClr val="ED7D31"/>
            </a:solidFill>
            <a:ln cmpd="sng">
              <a:noFill/>
            </a:ln>
          </c:spPr>
          <c:cat>
            <c:strRef>
              <c:f>CO_PO_AttainmentAnalysis!$BG$19:$BR$19</c:f>
            </c:strRef>
          </c:cat>
          <c:val>
            <c:numRef>
              <c:f>CO_PO_AttainmentAnalysis!$AU$58:$BF$58</c:f>
              <c:numCache/>
            </c:numRef>
          </c:val>
        </c:ser>
        <c:axId val="1034605332"/>
        <c:axId val="1049313305"/>
      </c:barChart>
      <c:catAx>
        <c:axId val="1034605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 Narrow"/>
              </a:defRPr>
            </a:pPr>
          </a:p>
        </c:txPr>
        <c:crossAx val="1049313305"/>
      </c:catAx>
      <c:valAx>
        <c:axId val="10493133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34605332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Arial Narrow"/>
              </a:defRPr>
            </a:pPr>
            <a:r>
              <a:rPr b="0" i="0" sz="1400">
                <a:solidFill>
                  <a:srgbClr val="595959"/>
                </a:solidFill>
                <a:latin typeface="Arial Narrow"/>
              </a:rPr>
              <a:t>CO Attainment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CourseSummary!$H$58:$M$58</c:f>
            </c:strRef>
          </c:cat>
          <c:val>
            <c:numRef>
              <c:f>CourseSummary!$H$59:$M$59</c:f>
              <c:numCache/>
            </c:numRef>
          </c:val>
        </c:ser>
        <c:ser>
          <c:idx val="1"/>
          <c:order val="1"/>
          <c:spPr>
            <a:solidFill>
              <a:srgbClr val="ED7D31"/>
            </a:solidFill>
            <a:ln cmpd="sng">
              <a:noFill/>
            </a:ln>
          </c:spPr>
          <c:cat>
            <c:strRef>
              <c:f>CourseSummary!$H$58:$M$58</c:f>
            </c:strRef>
          </c:cat>
          <c:val>
            <c:numRef>
              <c:f>CourseSummary!$H$60:$M$60</c:f>
              <c:numCache/>
            </c:numRef>
          </c:val>
        </c:ser>
        <c:axId val="1369496942"/>
        <c:axId val="116964496"/>
      </c:barChart>
      <c:catAx>
        <c:axId val="1369496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 Narrow"/>
              </a:defRPr>
            </a:pPr>
          </a:p>
        </c:txPr>
        <c:crossAx val="116964496"/>
      </c:catAx>
      <c:valAx>
        <c:axId val="116964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69496942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45</xdr:row>
      <xdr:rowOff>0</xdr:rowOff>
    </xdr:from>
    <xdr:ext cx="5124450" cy="3286125"/>
    <xdr:graphicFrame>
      <xdr:nvGraphicFramePr>
        <xdr:cNvPr id="35370180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5</xdr:row>
      <xdr:rowOff>85725</xdr:rowOff>
    </xdr:from>
    <xdr:ext cx="6591300" cy="2714625"/>
    <xdr:graphicFrame>
      <xdr:nvGraphicFramePr>
        <xdr:cNvPr id="93092461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76</xdr:row>
      <xdr:rowOff>142875</xdr:rowOff>
    </xdr:from>
    <xdr:ext cx="6057900" cy="2762250"/>
    <xdr:graphicFrame>
      <xdr:nvGraphicFramePr>
        <xdr:cNvPr id="108164471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61</xdr:row>
      <xdr:rowOff>19050</xdr:rowOff>
    </xdr:from>
    <xdr:ext cx="6057900" cy="2838450"/>
    <xdr:graphicFrame>
      <xdr:nvGraphicFramePr>
        <xdr:cNvPr id="194750289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95250</xdr:colOff>
      <xdr:row>67</xdr:row>
      <xdr:rowOff>76200</xdr:rowOff>
    </xdr:from>
    <xdr:ext cx="4248150" cy="38100"/>
    <xdr:grpSp>
      <xdr:nvGrpSpPr>
        <xdr:cNvPr id="2" name="Shape 2"/>
        <xdr:cNvGrpSpPr/>
      </xdr:nvGrpSpPr>
      <xdr:grpSpPr>
        <a:xfrm>
          <a:off x="3221925" y="3760950"/>
          <a:ext cx="4248150" cy="38100"/>
          <a:chOff x="3221925" y="3760950"/>
          <a:chExt cx="4248150" cy="38100"/>
        </a:xfrm>
      </xdr:grpSpPr>
      <xdr:grpSp>
        <xdr:nvGrpSpPr>
          <xdr:cNvPr id="3" name="Shape 3"/>
          <xdr:cNvGrpSpPr/>
        </xdr:nvGrpSpPr>
        <xdr:grpSpPr>
          <a:xfrm>
            <a:off x="3221925" y="3760950"/>
            <a:ext cx="4248150" cy="38100"/>
            <a:chOff x="3221925" y="3760950"/>
            <a:chExt cx="4248150" cy="38100"/>
          </a:xfrm>
        </xdr:grpSpPr>
        <xdr:sp>
          <xdr:nvSpPr>
            <xdr:cNvPr id="4" name="Shape 4"/>
            <xdr:cNvSpPr/>
          </xdr:nvSpPr>
          <xdr:spPr>
            <a:xfrm>
              <a:off x="3221925" y="3760950"/>
              <a:ext cx="42481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221925" y="3760950"/>
              <a:ext cx="4248150" cy="38100"/>
              <a:chOff x="3221925" y="3760950"/>
              <a:chExt cx="4248150" cy="38100"/>
            </a:xfrm>
          </xdr:grpSpPr>
          <xdr:sp>
            <xdr:nvSpPr>
              <xdr:cNvPr id="6" name="Shape 6"/>
              <xdr:cNvSpPr/>
            </xdr:nvSpPr>
            <xdr:spPr>
              <a:xfrm>
                <a:off x="3221925" y="3760950"/>
                <a:ext cx="42481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221925" y="3760950"/>
                <a:ext cx="4248150" cy="38100"/>
                <a:chOff x="3221925" y="3760950"/>
                <a:chExt cx="4248150" cy="38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221925" y="3760950"/>
                  <a:ext cx="42481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221925" y="3760950"/>
                  <a:ext cx="4248150" cy="38100"/>
                  <a:chOff x="3221925" y="3760950"/>
                  <a:chExt cx="4248150" cy="381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221925" y="3760950"/>
                    <a:ext cx="42481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221925" y="3760950"/>
                    <a:ext cx="4248150" cy="38100"/>
                    <a:chOff x="3221925" y="3760950"/>
                    <a:chExt cx="4248150" cy="381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3221925" y="3760950"/>
                      <a:ext cx="42481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3221925" y="3760950"/>
                      <a:ext cx="4248150" cy="38100"/>
                      <a:chOff x="3221925" y="3760950"/>
                      <a:chExt cx="4248150" cy="3810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3221925" y="3760950"/>
                        <a:ext cx="42481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/>
                      <xdr:cNvGrpSpPr/>
                    </xdr:nvGrpSpPr>
                    <xdr:grpSpPr>
                      <a:xfrm>
                        <a:off x="3221925" y="3760950"/>
                        <a:ext cx="4248150" cy="38100"/>
                        <a:chOff x="3221925" y="3760950"/>
                        <a:chExt cx="4248150" cy="3810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3221925" y="3760950"/>
                          <a:ext cx="42481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/>
                        <xdr:cNvGrpSpPr/>
                      </xdr:nvGrpSpPr>
                      <xdr:grpSpPr>
                        <a:xfrm>
                          <a:off x="3221925" y="3760950"/>
                          <a:ext cx="4248150" cy="38100"/>
                          <a:chOff x="3221925" y="3760950"/>
                          <a:chExt cx="4248150" cy="38101"/>
                        </a:xfrm>
                      </xdr:grpSpPr>
                      <xdr:sp>
                        <xdr:nvSpPr>
                          <xdr:cNvPr id="18" name="Shape 18"/>
                          <xdr:cNvSpPr/>
                        </xdr:nvSpPr>
                        <xdr:spPr>
                          <a:xfrm>
                            <a:off x="3221925" y="3760950"/>
                            <a:ext cx="42481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/>
                          <xdr:cNvGrpSpPr/>
                        </xdr:nvGrpSpPr>
                        <xdr:grpSpPr>
                          <a:xfrm>
                            <a:off x="3221925" y="3760950"/>
                            <a:ext cx="4248150" cy="38101"/>
                            <a:chOff x="3221925" y="3760949"/>
                            <a:chExt cx="4248150" cy="38101"/>
                          </a:xfrm>
                        </xdr:grpSpPr>
                        <xdr:sp>
                          <xdr:nvSpPr>
                            <xdr:cNvPr id="20" name="Shape 20"/>
                            <xdr:cNvSpPr/>
                          </xdr:nvSpPr>
                          <xdr:spPr>
                            <a:xfrm>
                              <a:off x="3221925" y="3760949"/>
                              <a:ext cx="42481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/>
                            <xdr:cNvGrpSpPr/>
                          </xdr:nvGrpSpPr>
                          <xdr:grpSpPr>
                            <a:xfrm>
                              <a:off x="3221925" y="3760949"/>
                              <a:ext cx="4248150" cy="38101"/>
                              <a:chOff x="3221925" y="3760948"/>
                              <a:chExt cx="4248150" cy="38101"/>
                            </a:xfrm>
                          </xdr:grpSpPr>
                          <xdr:sp>
                            <xdr:nvSpPr>
                              <xdr:cNvPr id="22" name="Shape 22"/>
                              <xdr:cNvSpPr/>
                            </xdr:nvSpPr>
                            <xdr:spPr>
                              <a:xfrm>
                                <a:off x="3221925" y="3760949"/>
                                <a:ext cx="42481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" name="Shape 23"/>
                              <xdr:cNvGrpSpPr/>
                            </xdr:nvGrpSpPr>
                            <xdr:grpSpPr>
                              <a:xfrm>
                                <a:off x="3221925" y="3760948"/>
                                <a:ext cx="4248150" cy="38100"/>
                                <a:chOff x="3221925" y="3775238"/>
                                <a:chExt cx="4248150" cy="9525"/>
                              </a:xfrm>
                            </xdr:grpSpPr>
                            <xdr:sp>
                              <xdr:nvSpPr>
                                <xdr:cNvPr id="24" name="Shape 24"/>
                                <xdr:cNvSpPr/>
                              </xdr:nvSpPr>
                              <xdr:spPr>
                                <a:xfrm>
                                  <a:off x="3221925" y="3775238"/>
                                  <a:ext cx="4248150" cy="9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l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cxnSp>
                              <xdr:nvCxnSpPr>
                                <xdr:cNvPr id="25" name="Shape 25"/>
                                <xdr:cNvCxnSpPr/>
                              </xdr:nvCxnSpPr>
                              <xdr:spPr>
                                <a:xfrm flipH="1" rot="10800000">
                                  <a:off x="3221925" y="3775238"/>
                                  <a:ext cx="4248150" cy="9525"/>
                                </a:xfrm>
                                <a:prstGeom prst="straightConnector1">
                                  <a:avLst/>
                                </a:prstGeom>
                                <a:noFill/>
                                <a:ln cap="flat" cmpd="sng" w="9525">
                                  <a:solidFill>
                                    <a:srgbClr val="FF0000"/>
                                  </a:solidFill>
                                  <a:prstDash val="solid"/>
                                  <a:round/>
                                  <a:headEnd len="sm" w="sm" type="none"/>
                                  <a:tailEnd len="sm" w="sm" type="none"/>
                                </a:ln>
                              </xdr:spPr>
                            </xdr:cxn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0"/>
    <col customWidth="1" min="3" max="3" width="36.86"/>
    <col customWidth="1" min="4" max="4" width="19.14"/>
    <col customWidth="1" min="5" max="5" width="20.43"/>
    <col customWidth="1" min="6" max="6" width="18.57"/>
    <col customWidth="1" min="7" max="7" width="18.86"/>
    <col customWidth="1" min="8" max="8" width="19.0"/>
    <col customWidth="1" min="9" max="9" width="17.86"/>
    <col customWidth="1" min="10" max="10" width="19.57"/>
    <col customWidth="1" min="11" max="11" width="20.57"/>
    <col customWidth="1" min="12" max="12" width="19.57"/>
    <col customWidth="1" min="13" max="13" width="8.43"/>
    <col customWidth="1" min="14" max="14" width="7.14"/>
    <col customWidth="1" min="15" max="15" width="17.86"/>
    <col customWidth="1" min="16" max="16" width="16.43"/>
    <col customWidth="1" min="17" max="17" width="10.14"/>
    <col customWidth="1" min="22" max="23" width="16.86"/>
    <col customWidth="1" min="24" max="24" width="15.86"/>
    <col customWidth="1" min="25" max="25" width="42.0"/>
    <col customWidth="1" min="26" max="27" width="9.14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6"/>
      <c r="B2" s="6"/>
      <c r="C2" s="6"/>
      <c r="D2" s="6"/>
      <c r="E2" s="6"/>
      <c r="F2" s="6"/>
      <c r="G2" s="28" t="s">
        <v>67</v>
      </c>
      <c r="H2" s="29" t="s">
        <v>68</v>
      </c>
      <c r="I2" s="31"/>
      <c r="J2" s="28" t="s">
        <v>70</v>
      </c>
      <c r="K2" s="32">
        <v>2.0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6"/>
      <c r="B3" s="6"/>
      <c r="C3" s="6"/>
      <c r="D3" s="6"/>
      <c r="E3" s="6"/>
      <c r="F3" s="6"/>
      <c r="G3" s="28" t="s">
        <v>82</v>
      </c>
      <c r="H3" s="29" t="s">
        <v>83</v>
      </c>
      <c r="I3" s="31"/>
      <c r="J3" s="28" t="s">
        <v>84</v>
      </c>
      <c r="K3" s="32" t="s">
        <v>86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6"/>
      <c r="B4" s="6"/>
      <c r="C4" s="6"/>
      <c r="D4" s="6"/>
      <c r="E4" s="6"/>
      <c r="F4" s="6"/>
      <c r="G4" s="28" t="s">
        <v>87</v>
      </c>
      <c r="H4" s="29">
        <v>1.0</v>
      </c>
      <c r="I4" s="31"/>
      <c r="J4" s="38"/>
      <c r="K4" s="3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6"/>
      <c r="B5" s="6"/>
      <c r="C5" s="6"/>
      <c r="D5" s="6"/>
      <c r="E5" s="6"/>
      <c r="F5" s="6"/>
      <c r="G5" s="28" t="s">
        <v>88</v>
      </c>
      <c r="H5" s="29" t="s">
        <v>89</v>
      </c>
      <c r="I5" s="31"/>
      <c r="J5" s="38"/>
      <c r="K5" s="3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48" t="str">
        <f>CONCATENATE("Grade Sheet of ",GradeSheet!$H$2, " [",GradeSheet!$H$3, "] ", "(Section ",GradeSheet!$K$2, ") ", "[Semester - ",GradeSheet!$K$3,"]" )</f>
        <v>Grade Sheet of 0613-014-1202 [Structured Programming Lab] (Section 2) [Semester - Spring 2026]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3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4.0" customHeight="1">
      <c r="M8" s="6"/>
      <c r="N8" s="6"/>
      <c r="O8" s="50" t="s">
        <v>91</v>
      </c>
      <c r="P8" s="52" t="s">
        <v>93</v>
      </c>
      <c r="Q8" s="52" t="s">
        <v>94</v>
      </c>
      <c r="R8" s="55" t="s">
        <v>95</v>
      </c>
      <c r="S8" s="55" t="s">
        <v>96</v>
      </c>
      <c r="T8" s="55" t="s">
        <v>97</v>
      </c>
      <c r="U8" s="55" t="s">
        <v>98</v>
      </c>
      <c r="V8" s="55" t="s">
        <v>99</v>
      </c>
      <c r="W8" s="55" t="s">
        <v>100</v>
      </c>
      <c r="X8" s="6"/>
      <c r="Z8" s="6"/>
      <c r="AA8" s="6"/>
    </row>
    <row r="9" ht="31.5" customHeight="1">
      <c r="A9" s="59" t="s">
        <v>101</v>
      </c>
      <c r="B9" s="60" t="s">
        <v>102</v>
      </c>
      <c r="C9" s="60" t="s">
        <v>103</v>
      </c>
      <c r="D9" s="63" t="str">
        <f>CONCATENATE("Attendance (",GradeSheet!$C$49, ")")</f>
        <v>Attendance (0)</v>
      </c>
      <c r="E9" s="65" t="str">
        <f>CONCATENATE("Presentation (",GradeSheet!$C$50, ")")</f>
        <v>Presentation (0)</v>
      </c>
      <c r="F9" s="60" t="str">
        <f>CONCATENATE("Quiz (",GradeSheet!$C$51, ")")</f>
        <v>Quiz (0)</v>
      </c>
      <c r="G9" s="63" t="str">
        <f>CONCATENATE("Assignment (",GradeSheet!$C$52, ")")</f>
        <v>Assignment (30)</v>
      </c>
      <c r="H9" s="60" t="s">
        <v>105</v>
      </c>
      <c r="I9" s="60" t="str">
        <f>CONCATENATE("Lab Final (",GradeSheet!$C$54, ")")</f>
        <v>Lab Final (30)</v>
      </c>
      <c r="J9" s="65" t="s">
        <v>107</v>
      </c>
      <c r="K9" s="65" t="s">
        <v>108</v>
      </c>
      <c r="L9" s="65" t="s">
        <v>109</v>
      </c>
      <c r="M9" s="72"/>
      <c r="N9" s="72"/>
      <c r="O9" s="55">
        <v>0.0</v>
      </c>
      <c r="P9" s="55">
        <v>0.0</v>
      </c>
      <c r="Q9" s="55">
        <v>0.0</v>
      </c>
      <c r="R9" s="55">
        <v>6.0</v>
      </c>
      <c r="S9" s="55">
        <v>7.0</v>
      </c>
      <c r="T9" s="55">
        <v>7.0</v>
      </c>
      <c r="U9" s="55">
        <v>10.0</v>
      </c>
      <c r="V9" s="55">
        <v>40.0</v>
      </c>
      <c r="W9" s="55">
        <v>30.0</v>
      </c>
      <c r="X9" s="60" t="s">
        <v>102</v>
      </c>
      <c r="Y9" s="60" t="s">
        <v>103</v>
      </c>
      <c r="Z9" s="72"/>
      <c r="AA9" s="72"/>
    </row>
    <row r="10" ht="15.75" customHeight="1">
      <c r="A10" s="75">
        <v>1.0</v>
      </c>
      <c r="B10" s="1">
        <v>2.51014052E8</v>
      </c>
      <c r="C10" s="1" t="s">
        <v>110</v>
      </c>
      <c r="D10" s="78">
        <f t="shared" ref="D10:D45" si="2">O10</f>
        <v>0</v>
      </c>
      <c r="E10" s="79">
        <v>0.0</v>
      </c>
      <c r="F10" s="78">
        <v>0.0</v>
      </c>
      <c r="G10" s="78">
        <f t="shared" ref="G10:G45" si="3">SUM(R10:U10)</f>
        <v>30</v>
      </c>
      <c r="H10" s="78">
        <f t="shared" ref="H10:I10" si="1">V10</f>
        <v>33.33333333</v>
      </c>
      <c r="I10" s="78">
        <f t="shared" si="1"/>
        <v>12</v>
      </c>
      <c r="J10" s="81">
        <f t="shared" ref="J10:J45" si="5">ROUNDUP(SUM(D10:I10),0)</f>
        <v>76</v>
      </c>
      <c r="K10" s="84">
        <f t="shared" ref="K10:K45" si="6">J10/100</f>
        <v>0.76</v>
      </c>
      <c r="L10" s="86" t="str">
        <f>VLOOKUP(J10,GradingPolicy!$B$2:$C$11,2)</f>
        <v>B+ (Plus)</v>
      </c>
      <c r="M10" s="6"/>
      <c r="N10" s="6"/>
      <c r="O10" s="87">
        <v>0.0</v>
      </c>
      <c r="P10" s="87">
        <v>0.0</v>
      </c>
      <c r="Q10" s="87">
        <f t="shared" ref="Q10:Q45" si="7">0</f>
        <v>0</v>
      </c>
      <c r="R10" s="87">
        <v>6.0</v>
      </c>
      <c r="S10" s="87">
        <v>7.0</v>
      </c>
      <c r="T10" s="87">
        <v>7.0</v>
      </c>
      <c r="U10" s="87">
        <v>10.0</v>
      </c>
      <c r="V10" s="87">
        <f>(SUM(CO_PO_AttainmentAnalysis!D21:F21)/12)*40</f>
        <v>33.33333333</v>
      </c>
      <c r="W10" s="87">
        <v>12.0</v>
      </c>
      <c r="X10" s="91">
        <v>2.51014052E8</v>
      </c>
      <c r="Y10" s="92" t="s">
        <v>110</v>
      </c>
      <c r="Z10" s="6"/>
      <c r="AA10" s="6"/>
    </row>
    <row r="11" ht="15.75" customHeight="1">
      <c r="A11" s="93">
        <v>2.0</v>
      </c>
      <c r="B11" s="1">
        <v>2.51014053E8</v>
      </c>
      <c r="C11" s="1" t="s">
        <v>114</v>
      </c>
      <c r="D11" s="78">
        <f t="shared" si="2"/>
        <v>0</v>
      </c>
      <c r="E11" s="79">
        <v>0.0</v>
      </c>
      <c r="F11" s="78">
        <v>0.0</v>
      </c>
      <c r="G11" s="78">
        <f t="shared" si="3"/>
        <v>30</v>
      </c>
      <c r="H11" s="78">
        <f t="shared" ref="H11:I11" si="4">V11</f>
        <v>33.33333333</v>
      </c>
      <c r="I11" s="78">
        <f t="shared" si="4"/>
        <v>14</v>
      </c>
      <c r="J11" s="81">
        <f t="shared" si="5"/>
        <v>78</v>
      </c>
      <c r="K11" s="84">
        <f t="shared" si="6"/>
        <v>0.78</v>
      </c>
      <c r="L11" s="86" t="str">
        <f>VLOOKUP(J11,GradingPolicy!$B$2:$C$11,2)</f>
        <v>B+ (Plus)</v>
      </c>
      <c r="M11" s="6"/>
      <c r="N11" s="6"/>
      <c r="O11" s="87">
        <v>0.0</v>
      </c>
      <c r="P11" s="87">
        <v>0.0</v>
      </c>
      <c r="Q11" s="87">
        <f t="shared" si="7"/>
        <v>0</v>
      </c>
      <c r="R11" s="87">
        <v>6.0</v>
      </c>
      <c r="S11" s="87">
        <v>7.0</v>
      </c>
      <c r="T11" s="87">
        <v>7.0</v>
      </c>
      <c r="U11" s="87">
        <v>10.0</v>
      </c>
      <c r="V11" s="87">
        <f>(SUM(CO_PO_AttainmentAnalysis!D22:F22)/12)*40</f>
        <v>33.33333333</v>
      </c>
      <c r="W11" s="87">
        <v>14.0</v>
      </c>
      <c r="X11" s="91">
        <v>2.51014053E8</v>
      </c>
      <c r="Y11" s="92" t="s">
        <v>114</v>
      </c>
      <c r="Z11" s="6"/>
      <c r="AA11" s="6"/>
    </row>
    <row r="12" ht="15.75" customHeight="1">
      <c r="A12" s="75">
        <v>3.0</v>
      </c>
      <c r="B12" s="1">
        <v>2.51014059E8</v>
      </c>
      <c r="C12" s="1" t="s">
        <v>115</v>
      </c>
      <c r="D12" s="78">
        <f t="shared" si="2"/>
        <v>0</v>
      </c>
      <c r="E12" s="79">
        <v>0.0</v>
      </c>
      <c r="F12" s="78">
        <v>0.0</v>
      </c>
      <c r="G12" s="78">
        <f t="shared" si="3"/>
        <v>30</v>
      </c>
      <c r="H12" s="78">
        <f t="shared" ref="H12:I12" si="8">V12</f>
        <v>33.33333333</v>
      </c>
      <c r="I12" s="78">
        <f t="shared" si="8"/>
        <v>16</v>
      </c>
      <c r="J12" s="81">
        <f t="shared" si="5"/>
        <v>80</v>
      </c>
      <c r="K12" s="84">
        <f t="shared" si="6"/>
        <v>0.8</v>
      </c>
      <c r="L12" s="86" t="str">
        <f>VLOOKUP(J12,GradingPolicy!$B$2:$C$11,2)</f>
        <v>A- (Minus)</v>
      </c>
      <c r="M12" s="6"/>
      <c r="N12" s="6"/>
      <c r="O12" s="87">
        <v>0.0</v>
      </c>
      <c r="P12" s="87">
        <v>0.0</v>
      </c>
      <c r="Q12" s="87">
        <f t="shared" si="7"/>
        <v>0</v>
      </c>
      <c r="R12" s="87">
        <v>6.0</v>
      </c>
      <c r="S12" s="87">
        <v>7.0</v>
      </c>
      <c r="T12" s="87">
        <v>7.0</v>
      </c>
      <c r="U12" s="87">
        <v>10.0</v>
      </c>
      <c r="V12" s="87">
        <f>(SUM(CO_PO_AttainmentAnalysis!D23:F23)/12)*40</f>
        <v>33.33333333</v>
      </c>
      <c r="W12" s="87">
        <v>16.0</v>
      </c>
      <c r="X12" s="91">
        <v>2.51014059E8</v>
      </c>
      <c r="Y12" s="92" t="s">
        <v>115</v>
      </c>
      <c r="Z12" s="6"/>
      <c r="AA12" s="6"/>
    </row>
    <row r="13" ht="15.75" customHeight="1">
      <c r="A13" s="93">
        <v>4.0</v>
      </c>
      <c r="B13" s="1">
        <v>2.52014038E8</v>
      </c>
      <c r="C13" s="1" t="s">
        <v>116</v>
      </c>
      <c r="D13" s="78">
        <f t="shared" si="2"/>
        <v>0</v>
      </c>
      <c r="E13" s="79">
        <v>0.0</v>
      </c>
      <c r="F13" s="78">
        <v>0.0</v>
      </c>
      <c r="G13" s="78">
        <f t="shared" si="3"/>
        <v>23</v>
      </c>
      <c r="H13" s="78">
        <f t="shared" ref="H13:I13" si="9">V13</f>
        <v>40</v>
      </c>
      <c r="I13" s="78">
        <f t="shared" si="9"/>
        <v>22</v>
      </c>
      <c r="J13" s="81">
        <f t="shared" si="5"/>
        <v>85</v>
      </c>
      <c r="K13" s="84">
        <f t="shared" si="6"/>
        <v>0.85</v>
      </c>
      <c r="L13" s="86" t="str">
        <f>VLOOKUP(J13,GradingPolicy!$B$2:$C$11,2)</f>
        <v>A (Plain)</v>
      </c>
      <c r="M13" s="6"/>
      <c r="N13" s="6"/>
      <c r="O13" s="87">
        <v>0.0</v>
      </c>
      <c r="P13" s="87">
        <v>0.0</v>
      </c>
      <c r="Q13" s="87">
        <f t="shared" si="7"/>
        <v>0</v>
      </c>
      <c r="R13" s="87">
        <v>6.0</v>
      </c>
      <c r="S13" s="87">
        <v>0.0</v>
      </c>
      <c r="T13" s="87">
        <v>7.0</v>
      </c>
      <c r="U13" s="87">
        <v>10.0</v>
      </c>
      <c r="V13" s="87">
        <f>(SUM(CO_PO_AttainmentAnalysis!D24:F24)/12)*40</f>
        <v>40</v>
      </c>
      <c r="W13" s="87">
        <v>22.0</v>
      </c>
      <c r="X13" s="91">
        <v>2.52014038E8</v>
      </c>
      <c r="Y13" s="92" t="s">
        <v>116</v>
      </c>
      <c r="Z13" s="6"/>
      <c r="AA13" s="6"/>
    </row>
    <row r="14" ht="15.75" customHeight="1">
      <c r="A14" s="75">
        <v>5.0</v>
      </c>
      <c r="B14" s="1">
        <v>2.52014076E8</v>
      </c>
      <c r="C14" s="1" t="s">
        <v>118</v>
      </c>
      <c r="D14" s="78">
        <f t="shared" si="2"/>
        <v>0</v>
      </c>
      <c r="E14" s="79">
        <v>0.0</v>
      </c>
      <c r="F14" s="78">
        <v>0.0</v>
      </c>
      <c r="G14" s="78">
        <f t="shared" si="3"/>
        <v>13</v>
      </c>
      <c r="H14" s="78">
        <f t="shared" ref="H14:I14" si="10">V14</f>
        <v>40</v>
      </c>
      <c r="I14" s="78">
        <f t="shared" si="10"/>
        <v>22</v>
      </c>
      <c r="J14" s="81">
        <f t="shared" si="5"/>
        <v>75</v>
      </c>
      <c r="K14" s="84">
        <f t="shared" si="6"/>
        <v>0.75</v>
      </c>
      <c r="L14" s="86" t="str">
        <f>VLOOKUP(J14,GradingPolicy!$B$2:$C$11,2)</f>
        <v>B+ (Plus)</v>
      </c>
      <c r="M14" s="6"/>
      <c r="N14" s="6"/>
      <c r="O14" s="87">
        <v>0.0</v>
      </c>
      <c r="P14" s="87">
        <v>0.0</v>
      </c>
      <c r="Q14" s="87">
        <f t="shared" si="7"/>
        <v>0</v>
      </c>
      <c r="R14" s="87">
        <v>6.0</v>
      </c>
      <c r="S14" s="87">
        <v>7.0</v>
      </c>
      <c r="T14" s="87">
        <v>0.0</v>
      </c>
      <c r="U14" s="87">
        <v>0.0</v>
      </c>
      <c r="V14" s="87">
        <f>(SUM(CO_PO_AttainmentAnalysis!D25:F25)/12)*40</f>
        <v>40</v>
      </c>
      <c r="W14" s="87">
        <v>22.0</v>
      </c>
      <c r="X14" s="91">
        <v>2.52014076E8</v>
      </c>
      <c r="Y14" s="92" t="s">
        <v>118</v>
      </c>
      <c r="Z14" s="6"/>
      <c r="AA14" s="6"/>
    </row>
    <row r="15" ht="15.75" customHeight="1">
      <c r="A15" s="93">
        <v>6.0</v>
      </c>
      <c r="B15" s="1">
        <v>2.52014084E8</v>
      </c>
      <c r="C15" s="1" t="s">
        <v>121</v>
      </c>
      <c r="D15" s="78">
        <f t="shared" si="2"/>
        <v>0</v>
      </c>
      <c r="E15" s="79">
        <v>0.0</v>
      </c>
      <c r="F15" s="78">
        <v>0.0</v>
      </c>
      <c r="G15" s="78">
        <f t="shared" si="3"/>
        <v>30</v>
      </c>
      <c r="H15" s="78">
        <f t="shared" ref="H15:I15" si="11">V15</f>
        <v>0</v>
      </c>
      <c r="I15" s="78">
        <f t="shared" si="11"/>
        <v>0</v>
      </c>
      <c r="J15" s="81">
        <f t="shared" si="5"/>
        <v>30</v>
      </c>
      <c r="K15" s="84">
        <f t="shared" si="6"/>
        <v>0.3</v>
      </c>
      <c r="L15" s="86" t="str">
        <f>VLOOKUP(J15,GradingPolicy!$B$2:$C$11,2)</f>
        <v>F (Fail)</v>
      </c>
      <c r="M15" s="6"/>
      <c r="N15" s="6"/>
      <c r="O15" s="87">
        <v>0.0</v>
      </c>
      <c r="P15" s="87">
        <v>0.0</v>
      </c>
      <c r="Q15" s="87">
        <f t="shared" si="7"/>
        <v>0</v>
      </c>
      <c r="R15" s="87">
        <v>6.0</v>
      </c>
      <c r="S15" s="87">
        <v>7.0</v>
      </c>
      <c r="T15" s="87">
        <v>7.0</v>
      </c>
      <c r="U15" s="87">
        <v>10.0</v>
      </c>
      <c r="V15" s="87">
        <f>(SUM(CO_PO_AttainmentAnalysis!D26:F26)/12)*40</f>
        <v>0</v>
      </c>
      <c r="W15" s="87">
        <v>0.0</v>
      </c>
      <c r="X15" s="91">
        <v>2.52014084E8</v>
      </c>
      <c r="Y15" s="92" t="s">
        <v>121</v>
      </c>
      <c r="Z15" s="6"/>
      <c r="AA15" s="6"/>
    </row>
    <row r="16" ht="15.75" customHeight="1">
      <c r="A16" s="75">
        <v>7.0</v>
      </c>
      <c r="B16" s="1">
        <v>2.52014086E8</v>
      </c>
      <c r="C16" s="1" t="s">
        <v>134</v>
      </c>
      <c r="D16" s="78">
        <f t="shared" si="2"/>
        <v>0</v>
      </c>
      <c r="E16" s="79">
        <v>0.0</v>
      </c>
      <c r="F16" s="78">
        <v>0.0</v>
      </c>
      <c r="G16" s="78">
        <f t="shared" si="3"/>
        <v>30</v>
      </c>
      <c r="H16" s="78">
        <f t="shared" ref="H16:I16" si="12">V16</f>
        <v>40</v>
      </c>
      <c r="I16" s="78">
        <f t="shared" si="12"/>
        <v>10</v>
      </c>
      <c r="J16" s="81">
        <f t="shared" si="5"/>
        <v>80</v>
      </c>
      <c r="K16" s="84">
        <f t="shared" si="6"/>
        <v>0.8</v>
      </c>
      <c r="L16" s="86" t="str">
        <f>VLOOKUP(J16,GradingPolicy!$B$2:$C$11,2)</f>
        <v>A- (Minus)</v>
      </c>
      <c r="M16" s="6"/>
      <c r="N16" s="6"/>
      <c r="O16" s="87">
        <v>0.0</v>
      </c>
      <c r="P16" s="87">
        <v>0.0</v>
      </c>
      <c r="Q16" s="87">
        <f t="shared" si="7"/>
        <v>0</v>
      </c>
      <c r="R16" s="87">
        <v>6.0</v>
      </c>
      <c r="S16" s="87">
        <v>7.0</v>
      </c>
      <c r="T16" s="87">
        <v>7.0</v>
      </c>
      <c r="U16" s="87">
        <v>10.0</v>
      </c>
      <c r="V16" s="87">
        <f>(SUM(CO_PO_AttainmentAnalysis!D27:F27)/12)*40</f>
        <v>40</v>
      </c>
      <c r="W16" s="87">
        <v>10.0</v>
      </c>
      <c r="X16" s="91">
        <v>2.52014086E8</v>
      </c>
      <c r="Y16" s="92" t="s">
        <v>134</v>
      </c>
      <c r="Z16" s="6"/>
      <c r="AA16" s="6"/>
    </row>
    <row r="17" ht="15.75" customHeight="1">
      <c r="A17" s="93">
        <v>8.0</v>
      </c>
      <c r="B17" s="1">
        <v>2.52014106E8</v>
      </c>
      <c r="C17" s="1" t="s">
        <v>136</v>
      </c>
      <c r="D17" s="78">
        <f t="shared" si="2"/>
        <v>0</v>
      </c>
      <c r="E17" s="79">
        <v>0.0</v>
      </c>
      <c r="F17" s="78">
        <v>0.0</v>
      </c>
      <c r="G17" s="78">
        <f t="shared" si="3"/>
        <v>30</v>
      </c>
      <c r="H17" s="78">
        <f t="shared" ref="H17:I17" si="13">V17</f>
        <v>33.33333333</v>
      </c>
      <c r="I17" s="78">
        <f t="shared" si="13"/>
        <v>16</v>
      </c>
      <c r="J17" s="81">
        <f t="shared" si="5"/>
        <v>80</v>
      </c>
      <c r="K17" s="84">
        <f t="shared" si="6"/>
        <v>0.8</v>
      </c>
      <c r="L17" s="86" t="str">
        <f>VLOOKUP(J17,GradingPolicy!$B$2:$C$11,2)</f>
        <v>A- (Minus)</v>
      </c>
      <c r="M17" s="6"/>
      <c r="N17" s="6"/>
      <c r="O17" s="87">
        <v>0.0</v>
      </c>
      <c r="P17" s="87">
        <v>0.0</v>
      </c>
      <c r="Q17" s="87">
        <f t="shared" si="7"/>
        <v>0</v>
      </c>
      <c r="R17" s="87">
        <v>6.0</v>
      </c>
      <c r="S17" s="87">
        <v>7.0</v>
      </c>
      <c r="T17" s="87">
        <v>7.0</v>
      </c>
      <c r="U17" s="87">
        <v>10.0</v>
      </c>
      <c r="V17" s="87">
        <f>(SUM(CO_PO_AttainmentAnalysis!D28:F28)/12)*40</f>
        <v>33.33333333</v>
      </c>
      <c r="W17" s="87">
        <v>16.0</v>
      </c>
      <c r="X17" s="91">
        <v>2.52014106E8</v>
      </c>
      <c r="Y17" s="92" t="s">
        <v>136</v>
      </c>
      <c r="Z17" s="6"/>
      <c r="AA17" s="6"/>
    </row>
    <row r="18" ht="15.75" customHeight="1">
      <c r="A18" s="75">
        <v>9.0</v>
      </c>
      <c r="B18" s="1">
        <v>2.53014001E8</v>
      </c>
      <c r="C18" s="1" t="s">
        <v>154</v>
      </c>
      <c r="D18" s="78">
        <f t="shared" si="2"/>
        <v>0</v>
      </c>
      <c r="E18" s="79">
        <v>0.0</v>
      </c>
      <c r="F18" s="78">
        <v>0.0</v>
      </c>
      <c r="G18" s="78">
        <f t="shared" si="3"/>
        <v>30</v>
      </c>
      <c r="H18" s="78">
        <f t="shared" ref="H18:I18" si="14">V18</f>
        <v>33.33333333</v>
      </c>
      <c r="I18" s="78">
        <f t="shared" si="14"/>
        <v>16</v>
      </c>
      <c r="J18" s="81">
        <f t="shared" si="5"/>
        <v>80</v>
      </c>
      <c r="K18" s="84">
        <f t="shared" si="6"/>
        <v>0.8</v>
      </c>
      <c r="L18" s="86" t="str">
        <f>VLOOKUP(J18,GradingPolicy!$B$2:$C$11,2)</f>
        <v>A- (Minus)</v>
      </c>
      <c r="M18" s="6"/>
      <c r="N18" s="6"/>
      <c r="O18" s="87">
        <v>0.0</v>
      </c>
      <c r="P18" s="87">
        <v>0.0</v>
      </c>
      <c r="Q18" s="87">
        <f t="shared" si="7"/>
        <v>0</v>
      </c>
      <c r="R18" s="87">
        <v>6.0</v>
      </c>
      <c r="S18" s="87">
        <v>7.0</v>
      </c>
      <c r="T18" s="87">
        <v>7.0</v>
      </c>
      <c r="U18" s="87">
        <v>10.0</v>
      </c>
      <c r="V18" s="87">
        <f>(SUM(CO_PO_AttainmentAnalysis!D29:F29)/12)*40</f>
        <v>33.33333333</v>
      </c>
      <c r="W18" s="87">
        <v>16.0</v>
      </c>
      <c r="X18" s="91">
        <v>2.53014001E8</v>
      </c>
      <c r="Y18" s="92" t="s">
        <v>154</v>
      </c>
      <c r="Z18" s="6"/>
      <c r="AA18" s="6"/>
    </row>
    <row r="19" ht="15.75" customHeight="1">
      <c r="A19" s="93">
        <v>10.0</v>
      </c>
      <c r="B19" s="1">
        <v>2.53014005E8</v>
      </c>
      <c r="C19" s="1" t="s">
        <v>155</v>
      </c>
      <c r="D19" s="78">
        <f t="shared" si="2"/>
        <v>0</v>
      </c>
      <c r="E19" s="79">
        <v>0.0</v>
      </c>
      <c r="F19" s="78">
        <v>0.0</v>
      </c>
      <c r="G19" s="78">
        <f t="shared" si="3"/>
        <v>24</v>
      </c>
      <c r="H19" s="78">
        <f t="shared" ref="H19:I19" si="15">V19</f>
        <v>40</v>
      </c>
      <c r="I19" s="78">
        <f t="shared" si="15"/>
        <v>21</v>
      </c>
      <c r="J19" s="81">
        <f t="shared" si="5"/>
        <v>85</v>
      </c>
      <c r="K19" s="84">
        <f t="shared" si="6"/>
        <v>0.85</v>
      </c>
      <c r="L19" s="86" t="str">
        <f>VLOOKUP(J19,GradingPolicy!$B$2:$C$11,2)</f>
        <v>A (Plain)</v>
      </c>
      <c r="M19" s="6"/>
      <c r="N19" s="6"/>
      <c r="O19" s="87">
        <v>0.0</v>
      </c>
      <c r="P19" s="87">
        <v>0.0</v>
      </c>
      <c r="Q19" s="87">
        <f t="shared" si="7"/>
        <v>0</v>
      </c>
      <c r="R19" s="87">
        <v>0.0</v>
      </c>
      <c r="S19" s="87">
        <v>7.0</v>
      </c>
      <c r="T19" s="87">
        <v>7.0</v>
      </c>
      <c r="U19" s="87">
        <v>10.0</v>
      </c>
      <c r="V19" s="87">
        <f>(SUM(CO_PO_AttainmentAnalysis!D30:F30)/12)*40</f>
        <v>40</v>
      </c>
      <c r="W19" s="87">
        <v>21.0</v>
      </c>
      <c r="X19" s="91">
        <v>2.53014005E8</v>
      </c>
      <c r="Y19" s="92" t="s">
        <v>155</v>
      </c>
      <c r="Z19" s="6"/>
      <c r="AA19" s="6"/>
    </row>
    <row r="20" ht="15.75" customHeight="1">
      <c r="A20" s="75">
        <v>11.0</v>
      </c>
      <c r="B20" s="1">
        <v>2.53014006E8</v>
      </c>
      <c r="C20" s="1" t="s">
        <v>158</v>
      </c>
      <c r="D20" s="78">
        <f t="shared" si="2"/>
        <v>0</v>
      </c>
      <c r="E20" s="79">
        <v>0.0</v>
      </c>
      <c r="F20" s="78">
        <v>0.0</v>
      </c>
      <c r="G20" s="78">
        <f t="shared" si="3"/>
        <v>30</v>
      </c>
      <c r="H20" s="78">
        <f t="shared" ref="H20:I20" si="16">V20</f>
        <v>40</v>
      </c>
      <c r="I20" s="78">
        <f t="shared" si="16"/>
        <v>26</v>
      </c>
      <c r="J20" s="81">
        <f t="shared" si="5"/>
        <v>96</v>
      </c>
      <c r="K20" s="84">
        <f t="shared" si="6"/>
        <v>0.96</v>
      </c>
      <c r="L20" s="86" t="str">
        <f>VLOOKUP(J20,GradingPolicy!$B$2:$C$11,2)</f>
        <v>A+ (Plus)</v>
      </c>
      <c r="M20" s="6"/>
      <c r="N20" s="6"/>
      <c r="O20" s="87">
        <v>0.0</v>
      </c>
      <c r="P20" s="87">
        <v>0.0</v>
      </c>
      <c r="Q20" s="87">
        <f t="shared" si="7"/>
        <v>0</v>
      </c>
      <c r="R20" s="87">
        <v>6.0</v>
      </c>
      <c r="S20" s="87">
        <v>7.0</v>
      </c>
      <c r="T20" s="87">
        <v>7.0</v>
      </c>
      <c r="U20" s="87">
        <v>10.0</v>
      </c>
      <c r="V20" s="87">
        <f>(SUM(CO_PO_AttainmentAnalysis!D31:F31)/12)*40</f>
        <v>40</v>
      </c>
      <c r="W20" s="87">
        <v>26.0</v>
      </c>
      <c r="X20" s="91">
        <v>2.53014006E8</v>
      </c>
      <c r="Y20" s="92" t="s">
        <v>158</v>
      </c>
      <c r="Z20" s="6"/>
      <c r="AA20" s="6"/>
    </row>
    <row r="21" ht="15.75" customHeight="1">
      <c r="A21" s="93">
        <v>12.0</v>
      </c>
      <c r="B21" s="1">
        <v>2.5301401E8</v>
      </c>
      <c r="C21" s="1" t="s">
        <v>161</v>
      </c>
      <c r="D21" s="78">
        <f t="shared" si="2"/>
        <v>0</v>
      </c>
      <c r="E21" s="79">
        <v>0.0</v>
      </c>
      <c r="F21" s="78">
        <v>0.0</v>
      </c>
      <c r="G21" s="78">
        <f t="shared" si="3"/>
        <v>30</v>
      </c>
      <c r="H21" s="78">
        <f t="shared" ref="H21:I21" si="17">V21</f>
        <v>40</v>
      </c>
      <c r="I21" s="78">
        <f t="shared" si="17"/>
        <v>20</v>
      </c>
      <c r="J21" s="81">
        <f t="shared" si="5"/>
        <v>90</v>
      </c>
      <c r="K21" s="84">
        <f t="shared" si="6"/>
        <v>0.9</v>
      </c>
      <c r="L21" s="86" t="str">
        <f>VLOOKUP(J21,GradingPolicy!$B$2:$C$11,2)</f>
        <v>A (Plain)</v>
      </c>
      <c r="M21" s="6"/>
      <c r="N21" s="6"/>
      <c r="O21" s="87">
        <v>0.0</v>
      </c>
      <c r="P21" s="87">
        <v>0.0</v>
      </c>
      <c r="Q21" s="87">
        <f t="shared" si="7"/>
        <v>0</v>
      </c>
      <c r="R21" s="87">
        <v>6.0</v>
      </c>
      <c r="S21" s="87">
        <v>7.0</v>
      </c>
      <c r="T21" s="87">
        <v>7.0</v>
      </c>
      <c r="U21" s="87">
        <v>10.0</v>
      </c>
      <c r="V21" s="87">
        <f>(SUM(CO_PO_AttainmentAnalysis!D32:F32)/12)*40</f>
        <v>40</v>
      </c>
      <c r="W21" s="87">
        <v>20.0</v>
      </c>
      <c r="X21" s="91">
        <v>2.5301401E8</v>
      </c>
      <c r="Y21" s="92" t="s">
        <v>161</v>
      </c>
      <c r="Z21" s="6"/>
      <c r="AA21" s="6"/>
    </row>
    <row r="22" ht="15.75" customHeight="1">
      <c r="A22" s="75">
        <v>13.0</v>
      </c>
      <c r="B22" s="1">
        <v>2.53014012E8</v>
      </c>
      <c r="C22" s="1" t="s">
        <v>164</v>
      </c>
      <c r="D22" s="78">
        <f t="shared" si="2"/>
        <v>0</v>
      </c>
      <c r="E22" s="79">
        <v>0.0</v>
      </c>
      <c r="F22" s="78">
        <v>0.0</v>
      </c>
      <c r="G22" s="78">
        <f t="shared" si="3"/>
        <v>30</v>
      </c>
      <c r="H22" s="78">
        <f t="shared" ref="H22:I22" si="18">V22</f>
        <v>0</v>
      </c>
      <c r="I22" s="78">
        <f t="shared" si="18"/>
        <v>20</v>
      </c>
      <c r="J22" s="81">
        <f t="shared" si="5"/>
        <v>50</v>
      </c>
      <c r="K22" s="84">
        <f t="shared" si="6"/>
        <v>0.5</v>
      </c>
      <c r="L22" s="86" t="str">
        <f>VLOOKUP(J22,GradingPolicy!$B$2:$C$11,2)</f>
        <v>D (Plain)</v>
      </c>
      <c r="M22" s="6"/>
      <c r="N22" s="6"/>
      <c r="O22" s="87">
        <v>0.0</v>
      </c>
      <c r="P22" s="87">
        <v>0.0</v>
      </c>
      <c r="Q22" s="87">
        <f t="shared" si="7"/>
        <v>0</v>
      </c>
      <c r="R22" s="87">
        <v>6.0</v>
      </c>
      <c r="S22" s="87">
        <v>7.0</v>
      </c>
      <c r="T22" s="87">
        <v>7.0</v>
      </c>
      <c r="U22" s="87">
        <v>10.0</v>
      </c>
      <c r="V22" s="87">
        <f>(SUM(CO_PO_AttainmentAnalysis!D33:F33)/12)*40</f>
        <v>0</v>
      </c>
      <c r="W22" s="87">
        <v>20.0</v>
      </c>
      <c r="X22" s="91">
        <v>2.53014012E8</v>
      </c>
      <c r="Y22" s="92" t="s">
        <v>164</v>
      </c>
      <c r="Z22" s="6"/>
      <c r="AA22" s="6"/>
    </row>
    <row r="23" ht="15.75" customHeight="1">
      <c r="A23" s="93">
        <v>14.0</v>
      </c>
      <c r="B23" s="1">
        <v>2.53014016E8</v>
      </c>
      <c r="C23" s="1" t="s">
        <v>171</v>
      </c>
      <c r="D23" s="78">
        <f t="shared" si="2"/>
        <v>0</v>
      </c>
      <c r="E23" s="79">
        <v>0.0</v>
      </c>
      <c r="F23" s="78">
        <v>0.0</v>
      </c>
      <c r="G23" s="78">
        <f t="shared" si="3"/>
        <v>30</v>
      </c>
      <c r="H23" s="78">
        <f t="shared" ref="H23:I23" si="19">V23</f>
        <v>40</v>
      </c>
      <c r="I23" s="78">
        <f t="shared" si="19"/>
        <v>16</v>
      </c>
      <c r="J23" s="81">
        <f t="shared" si="5"/>
        <v>86</v>
      </c>
      <c r="K23" s="84">
        <f t="shared" si="6"/>
        <v>0.86</v>
      </c>
      <c r="L23" s="86" t="str">
        <f>VLOOKUP(J23,GradingPolicy!$B$2:$C$11,2)</f>
        <v>A (Plain)</v>
      </c>
      <c r="M23" s="6"/>
      <c r="N23" s="6"/>
      <c r="O23" s="87">
        <v>0.0</v>
      </c>
      <c r="P23" s="87">
        <v>0.0</v>
      </c>
      <c r="Q23" s="87">
        <f t="shared" si="7"/>
        <v>0</v>
      </c>
      <c r="R23" s="87">
        <v>6.0</v>
      </c>
      <c r="S23" s="87">
        <v>7.0</v>
      </c>
      <c r="T23" s="87">
        <v>7.0</v>
      </c>
      <c r="U23" s="87">
        <v>10.0</v>
      </c>
      <c r="V23" s="87">
        <f>(SUM(CO_PO_AttainmentAnalysis!D34:F34)/12)*40</f>
        <v>40</v>
      </c>
      <c r="W23" s="87">
        <v>16.0</v>
      </c>
      <c r="X23" s="91">
        <v>2.53014016E8</v>
      </c>
      <c r="Y23" s="92" t="s">
        <v>171</v>
      </c>
      <c r="Z23" s="6"/>
      <c r="AA23" s="6"/>
    </row>
    <row r="24" ht="15.75" customHeight="1">
      <c r="A24" s="75">
        <v>15.0</v>
      </c>
      <c r="B24" s="1">
        <v>2.53014021E8</v>
      </c>
      <c r="C24" s="1" t="s">
        <v>174</v>
      </c>
      <c r="D24" s="78">
        <f t="shared" si="2"/>
        <v>0</v>
      </c>
      <c r="E24" s="79">
        <v>0.0</v>
      </c>
      <c r="F24" s="78">
        <v>0.0</v>
      </c>
      <c r="G24" s="78">
        <f t="shared" si="3"/>
        <v>0</v>
      </c>
      <c r="H24" s="78">
        <f t="shared" ref="H24:I24" si="20">V24</f>
        <v>0</v>
      </c>
      <c r="I24" s="78">
        <f t="shared" si="20"/>
        <v>0</v>
      </c>
      <c r="J24" s="81">
        <f t="shared" si="5"/>
        <v>0</v>
      </c>
      <c r="K24" s="84">
        <f t="shared" si="6"/>
        <v>0</v>
      </c>
      <c r="L24" s="86" t="str">
        <f>VLOOKUP(J24,GradingPolicy!$B$2:$C$11,2)</f>
        <v>F (Fail)</v>
      </c>
      <c r="M24" s="6"/>
      <c r="N24" s="6"/>
      <c r="O24" s="87">
        <v>0.0</v>
      </c>
      <c r="P24" s="87">
        <v>0.0</v>
      </c>
      <c r="Q24" s="87">
        <f t="shared" si="7"/>
        <v>0</v>
      </c>
      <c r="R24" s="87">
        <v>0.0</v>
      </c>
      <c r="S24" s="87">
        <v>0.0</v>
      </c>
      <c r="T24" s="87">
        <v>0.0</v>
      </c>
      <c r="U24" s="87">
        <v>0.0</v>
      </c>
      <c r="V24" s="87">
        <f>(SUM(CO_PO_AttainmentAnalysis!D35:F35)/12)*40</f>
        <v>0</v>
      </c>
      <c r="W24" s="87">
        <v>0.0</v>
      </c>
      <c r="X24" s="91">
        <v>2.53014021E8</v>
      </c>
      <c r="Y24" s="92" t="s">
        <v>174</v>
      </c>
      <c r="Z24" s="6"/>
      <c r="AA24" s="6"/>
    </row>
    <row r="25" ht="15.75" customHeight="1">
      <c r="A25" s="93">
        <v>16.0</v>
      </c>
      <c r="B25" s="1">
        <v>2.53014027E8</v>
      </c>
      <c r="C25" s="1" t="s">
        <v>177</v>
      </c>
      <c r="D25" s="78">
        <f t="shared" si="2"/>
        <v>0</v>
      </c>
      <c r="E25" s="79">
        <v>0.0</v>
      </c>
      <c r="F25" s="78">
        <v>0.0</v>
      </c>
      <c r="G25" s="78">
        <f t="shared" si="3"/>
        <v>30</v>
      </c>
      <c r="H25" s="78">
        <f t="shared" ref="H25:I25" si="21">V25</f>
        <v>33.33333333</v>
      </c>
      <c r="I25" s="78">
        <f t="shared" si="21"/>
        <v>14</v>
      </c>
      <c r="J25" s="81">
        <f t="shared" si="5"/>
        <v>78</v>
      </c>
      <c r="K25" s="84">
        <f t="shared" si="6"/>
        <v>0.78</v>
      </c>
      <c r="L25" s="86" t="str">
        <f>VLOOKUP(J25,GradingPolicy!$B$2:$C$11,2)</f>
        <v>B+ (Plus)</v>
      </c>
      <c r="M25" s="6"/>
      <c r="N25" s="6"/>
      <c r="O25" s="87">
        <v>0.0</v>
      </c>
      <c r="P25" s="87">
        <v>0.0</v>
      </c>
      <c r="Q25" s="87">
        <f t="shared" si="7"/>
        <v>0</v>
      </c>
      <c r="R25" s="87">
        <v>6.0</v>
      </c>
      <c r="S25" s="87">
        <v>7.0</v>
      </c>
      <c r="T25" s="87">
        <v>7.0</v>
      </c>
      <c r="U25" s="87">
        <v>10.0</v>
      </c>
      <c r="V25" s="87">
        <f>(SUM(CO_PO_AttainmentAnalysis!D36:F36)/12)*40</f>
        <v>33.33333333</v>
      </c>
      <c r="W25" s="87">
        <v>14.0</v>
      </c>
      <c r="X25" s="91">
        <v>2.53014027E8</v>
      </c>
      <c r="Y25" s="92" t="s">
        <v>177</v>
      </c>
      <c r="Z25" s="6"/>
      <c r="AA25" s="6"/>
    </row>
    <row r="26" ht="15.75" customHeight="1">
      <c r="A26" s="75">
        <v>17.0</v>
      </c>
      <c r="B26" s="1">
        <v>2.53014035E8</v>
      </c>
      <c r="C26" s="1" t="s">
        <v>178</v>
      </c>
      <c r="D26" s="78">
        <f t="shared" si="2"/>
        <v>0</v>
      </c>
      <c r="E26" s="79">
        <v>0.0</v>
      </c>
      <c r="F26" s="78">
        <v>0.0</v>
      </c>
      <c r="G26" s="78">
        <f t="shared" si="3"/>
        <v>30</v>
      </c>
      <c r="H26" s="78">
        <f t="shared" ref="H26:I26" si="22">V26</f>
        <v>40</v>
      </c>
      <c r="I26" s="78">
        <f t="shared" si="22"/>
        <v>20</v>
      </c>
      <c r="J26" s="81">
        <f t="shared" si="5"/>
        <v>90</v>
      </c>
      <c r="K26" s="84">
        <f t="shared" si="6"/>
        <v>0.9</v>
      </c>
      <c r="L26" s="86" t="str">
        <f>VLOOKUP(J26,GradingPolicy!$B$2:$C$11,2)</f>
        <v>A (Plain)</v>
      </c>
      <c r="M26" s="6"/>
      <c r="N26" s="6"/>
      <c r="O26" s="87">
        <v>0.0</v>
      </c>
      <c r="P26" s="87">
        <v>0.0</v>
      </c>
      <c r="Q26" s="87">
        <f t="shared" si="7"/>
        <v>0</v>
      </c>
      <c r="R26" s="87">
        <v>6.0</v>
      </c>
      <c r="S26" s="87">
        <v>7.0</v>
      </c>
      <c r="T26" s="87">
        <v>7.0</v>
      </c>
      <c r="U26" s="87">
        <v>10.0</v>
      </c>
      <c r="V26" s="87">
        <f>(SUM(CO_PO_AttainmentAnalysis!D37:F37)/12)*40</f>
        <v>40</v>
      </c>
      <c r="W26" s="87">
        <v>20.0</v>
      </c>
      <c r="X26" s="91">
        <v>2.53014035E8</v>
      </c>
      <c r="Y26" s="92" t="s">
        <v>178</v>
      </c>
      <c r="Z26" s="6"/>
      <c r="AA26" s="6"/>
    </row>
    <row r="27" ht="15.75" customHeight="1">
      <c r="A27" s="93">
        <v>18.0</v>
      </c>
      <c r="B27" s="1">
        <v>2.5301404E8</v>
      </c>
      <c r="C27" s="1" t="s">
        <v>180</v>
      </c>
      <c r="D27" s="78">
        <f t="shared" si="2"/>
        <v>0</v>
      </c>
      <c r="E27" s="79">
        <v>0.0</v>
      </c>
      <c r="F27" s="78">
        <v>0.0</v>
      </c>
      <c r="G27" s="78">
        <f t="shared" si="3"/>
        <v>30</v>
      </c>
      <c r="H27" s="78">
        <f t="shared" ref="H27:I27" si="23">V27</f>
        <v>40</v>
      </c>
      <c r="I27" s="78">
        <f t="shared" si="23"/>
        <v>26</v>
      </c>
      <c r="J27" s="81">
        <f t="shared" si="5"/>
        <v>96</v>
      </c>
      <c r="K27" s="84">
        <f t="shared" si="6"/>
        <v>0.96</v>
      </c>
      <c r="L27" s="86" t="str">
        <f>VLOOKUP(J27,GradingPolicy!$B$2:$C$11,2)</f>
        <v>A+ (Plus)</v>
      </c>
      <c r="M27" s="6"/>
      <c r="N27" s="6"/>
      <c r="O27" s="87">
        <v>0.0</v>
      </c>
      <c r="P27" s="87">
        <v>0.0</v>
      </c>
      <c r="Q27" s="87">
        <f t="shared" si="7"/>
        <v>0</v>
      </c>
      <c r="R27" s="87">
        <v>6.0</v>
      </c>
      <c r="S27" s="87">
        <v>7.0</v>
      </c>
      <c r="T27" s="87">
        <v>7.0</v>
      </c>
      <c r="U27" s="87">
        <v>10.0</v>
      </c>
      <c r="V27" s="87">
        <f>(SUM(CO_PO_AttainmentAnalysis!D38:F38)/12)*40</f>
        <v>40</v>
      </c>
      <c r="W27" s="87">
        <v>26.0</v>
      </c>
      <c r="X27" s="91">
        <v>2.5301404E8</v>
      </c>
      <c r="Y27" s="92" t="s">
        <v>180</v>
      </c>
      <c r="Z27" s="6"/>
      <c r="AA27" s="6"/>
    </row>
    <row r="28" ht="15.75" customHeight="1">
      <c r="A28" s="75">
        <v>19.0</v>
      </c>
      <c r="B28" s="1">
        <v>2.53014042E8</v>
      </c>
      <c r="C28" s="1" t="s">
        <v>184</v>
      </c>
      <c r="D28" s="78">
        <f t="shared" si="2"/>
        <v>0</v>
      </c>
      <c r="E28" s="79">
        <v>0.0</v>
      </c>
      <c r="F28" s="78">
        <v>0.0</v>
      </c>
      <c r="G28" s="78">
        <f t="shared" si="3"/>
        <v>30</v>
      </c>
      <c r="H28" s="78">
        <f t="shared" ref="H28:I28" si="24">V28</f>
        <v>20</v>
      </c>
      <c r="I28" s="78">
        <f t="shared" si="24"/>
        <v>12</v>
      </c>
      <c r="J28" s="81">
        <f t="shared" si="5"/>
        <v>62</v>
      </c>
      <c r="K28" s="84">
        <f t="shared" si="6"/>
        <v>0.62</v>
      </c>
      <c r="L28" s="86" t="str">
        <f>VLOOKUP(J28,GradingPolicy!$B$2:$C$11,2)</f>
        <v>C+ (Plus)</v>
      </c>
      <c r="M28" s="6"/>
      <c r="N28" s="6"/>
      <c r="O28" s="87">
        <v>0.0</v>
      </c>
      <c r="P28" s="87">
        <v>0.0</v>
      </c>
      <c r="Q28" s="87">
        <f t="shared" si="7"/>
        <v>0</v>
      </c>
      <c r="R28" s="87">
        <v>6.0</v>
      </c>
      <c r="S28" s="87">
        <v>7.0</v>
      </c>
      <c r="T28" s="87">
        <v>7.0</v>
      </c>
      <c r="U28" s="87">
        <v>10.0</v>
      </c>
      <c r="V28" s="87">
        <f>(SUM(CO_PO_AttainmentAnalysis!D39:F39)/12)*40</f>
        <v>20</v>
      </c>
      <c r="W28" s="87">
        <v>12.0</v>
      </c>
      <c r="X28" s="91">
        <v>2.53014042E8</v>
      </c>
      <c r="Y28" s="92" t="s">
        <v>184</v>
      </c>
      <c r="Z28" s="6"/>
      <c r="AA28" s="6"/>
    </row>
    <row r="29" ht="15.75" customHeight="1">
      <c r="A29" s="93">
        <v>20.0</v>
      </c>
      <c r="B29" s="1">
        <v>2.53014043E8</v>
      </c>
      <c r="C29" s="1" t="s">
        <v>187</v>
      </c>
      <c r="D29" s="78">
        <f t="shared" si="2"/>
        <v>0</v>
      </c>
      <c r="E29" s="79">
        <v>0.0</v>
      </c>
      <c r="F29" s="78">
        <v>0.0</v>
      </c>
      <c r="G29" s="78">
        <f t="shared" si="3"/>
        <v>30</v>
      </c>
      <c r="H29" s="78">
        <f t="shared" ref="H29:I29" si="25">V29</f>
        <v>26.66666667</v>
      </c>
      <c r="I29" s="78">
        <f t="shared" si="25"/>
        <v>20</v>
      </c>
      <c r="J29" s="81">
        <f t="shared" si="5"/>
        <v>77</v>
      </c>
      <c r="K29" s="84">
        <f t="shared" si="6"/>
        <v>0.77</v>
      </c>
      <c r="L29" s="86" t="str">
        <f>VLOOKUP(J29,GradingPolicy!$B$2:$C$11,2)</f>
        <v>B+ (Plus)</v>
      </c>
      <c r="M29" s="6"/>
      <c r="N29" s="6"/>
      <c r="O29" s="87">
        <v>0.0</v>
      </c>
      <c r="P29" s="87">
        <v>0.0</v>
      </c>
      <c r="Q29" s="87">
        <f t="shared" si="7"/>
        <v>0</v>
      </c>
      <c r="R29" s="87">
        <v>6.0</v>
      </c>
      <c r="S29" s="87">
        <v>7.0</v>
      </c>
      <c r="T29" s="87">
        <v>7.0</v>
      </c>
      <c r="U29" s="87">
        <v>10.0</v>
      </c>
      <c r="V29" s="87">
        <f>(SUM(CO_PO_AttainmentAnalysis!D40:F40)/12)*40</f>
        <v>26.66666667</v>
      </c>
      <c r="W29" s="87">
        <v>20.0</v>
      </c>
      <c r="X29" s="91">
        <v>2.53014043E8</v>
      </c>
      <c r="Y29" s="92" t="s">
        <v>187</v>
      </c>
      <c r="Z29" s="6"/>
      <c r="AA29" s="6"/>
    </row>
    <row r="30" ht="15.75" customHeight="1">
      <c r="A30" s="75">
        <v>21.0</v>
      </c>
      <c r="B30" s="1">
        <v>2.53014045E8</v>
      </c>
      <c r="C30" s="1" t="s">
        <v>191</v>
      </c>
      <c r="D30" s="78">
        <f t="shared" si="2"/>
        <v>0</v>
      </c>
      <c r="E30" s="79">
        <v>0.0</v>
      </c>
      <c r="F30" s="78">
        <v>0.0</v>
      </c>
      <c r="G30" s="78">
        <f t="shared" si="3"/>
        <v>20</v>
      </c>
      <c r="H30" s="78">
        <f t="shared" ref="H30:I30" si="26">V30</f>
        <v>33.33333333</v>
      </c>
      <c r="I30" s="78">
        <f t="shared" si="26"/>
        <v>21</v>
      </c>
      <c r="J30" s="81">
        <f t="shared" si="5"/>
        <v>75</v>
      </c>
      <c r="K30" s="84">
        <f t="shared" si="6"/>
        <v>0.75</v>
      </c>
      <c r="L30" s="86" t="str">
        <f>VLOOKUP(J30,GradingPolicy!$B$2:$C$11,2)</f>
        <v>B+ (Plus)</v>
      </c>
      <c r="M30" s="6"/>
      <c r="N30" s="6"/>
      <c r="O30" s="87">
        <v>0.0</v>
      </c>
      <c r="P30" s="87">
        <v>0.0</v>
      </c>
      <c r="Q30" s="87">
        <f t="shared" si="7"/>
        <v>0</v>
      </c>
      <c r="R30" s="87">
        <v>6.0</v>
      </c>
      <c r="S30" s="87">
        <v>7.0</v>
      </c>
      <c r="T30" s="87">
        <v>7.0</v>
      </c>
      <c r="U30" s="87">
        <v>0.0</v>
      </c>
      <c r="V30" s="87">
        <f>(SUM(CO_PO_AttainmentAnalysis!D41:F41)/12)*40</f>
        <v>33.33333333</v>
      </c>
      <c r="W30" s="87">
        <v>21.0</v>
      </c>
      <c r="X30" s="91">
        <v>2.53014045E8</v>
      </c>
      <c r="Y30" s="92" t="s">
        <v>191</v>
      </c>
      <c r="Z30" s="6"/>
      <c r="AA30" s="6"/>
    </row>
    <row r="31" ht="15.75" customHeight="1">
      <c r="A31" s="93">
        <v>22.0</v>
      </c>
      <c r="B31" s="1">
        <v>2.53014051E8</v>
      </c>
      <c r="C31" s="1" t="s">
        <v>194</v>
      </c>
      <c r="D31" s="78">
        <f t="shared" si="2"/>
        <v>0</v>
      </c>
      <c r="E31" s="79">
        <v>0.0</v>
      </c>
      <c r="F31" s="78">
        <v>0.0</v>
      </c>
      <c r="G31" s="78">
        <f t="shared" si="3"/>
        <v>30</v>
      </c>
      <c r="H31" s="78">
        <f t="shared" ref="H31:I31" si="27">V31</f>
        <v>33.33333333</v>
      </c>
      <c r="I31" s="78">
        <f t="shared" si="27"/>
        <v>6</v>
      </c>
      <c r="J31" s="81">
        <f t="shared" si="5"/>
        <v>70</v>
      </c>
      <c r="K31" s="84">
        <f t="shared" si="6"/>
        <v>0.7</v>
      </c>
      <c r="L31" s="86" t="str">
        <f>VLOOKUP(J31,GradingPolicy!$B$2:$C$11,2)</f>
        <v>B (Plain)</v>
      </c>
      <c r="M31" s="6"/>
      <c r="N31" s="6"/>
      <c r="O31" s="87">
        <v>0.0</v>
      </c>
      <c r="P31" s="87">
        <v>0.0</v>
      </c>
      <c r="Q31" s="87">
        <f t="shared" si="7"/>
        <v>0</v>
      </c>
      <c r="R31" s="87">
        <v>6.0</v>
      </c>
      <c r="S31" s="87">
        <v>7.0</v>
      </c>
      <c r="T31" s="87">
        <v>7.0</v>
      </c>
      <c r="U31" s="87">
        <v>10.0</v>
      </c>
      <c r="V31" s="87">
        <f>(SUM(CO_PO_AttainmentAnalysis!D42:F42)/12)*40</f>
        <v>33.33333333</v>
      </c>
      <c r="W31" s="87">
        <v>6.0</v>
      </c>
      <c r="X31" s="91">
        <v>2.53014051E8</v>
      </c>
      <c r="Y31" s="92" t="s">
        <v>194</v>
      </c>
      <c r="Z31" s="6"/>
      <c r="AA31" s="6"/>
    </row>
    <row r="32" ht="15.75" customHeight="1">
      <c r="A32" s="75">
        <v>23.0</v>
      </c>
      <c r="B32" s="1">
        <v>2.53014056E8</v>
      </c>
      <c r="C32" s="1" t="s">
        <v>195</v>
      </c>
      <c r="D32" s="78">
        <f t="shared" si="2"/>
        <v>0</v>
      </c>
      <c r="E32" s="79">
        <v>0.0</v>
      </c>
      <c r="F32" s="78">
        <v>0.0</v>
      </c>
      <c r="G32" s="78">
        <f t="shared" si="3"/>
        <v>30</v>
      </c>
      <c r="H32" s="78">
        <f t="shared" ref="H32:I32" si="28">V32</f>
        <v>33.33333333</v>
      </c>
      <c r="I32" s="78">
        <f t="shared" si="28"/>
        <v>16</v>
      </c>
      <c r="J32" s="81">
        <f t="shared" si="5"/>
        <v>80</v>
      </c>
      <c r="K32" s="84">
        <f t="shared" si="6"/>
        <v>0.8</v>
      </c>
      <c r="L32" s="86" t="str">
        <f>VLOOKUP(J32,GradingPolicy!$B$2:$C$11,2)</f>
        <v>A- (Minus)</v>
      </c>
      <c r="M32" s="6"/>
      <c r="N32" s="6"/>
      <c r="O32" s="87">
        <v>0.0</v>
      </c>
      <c r="P32" s="87">
        <v>0.0</v>
      </c>
      <c r="Q32" s="87">
        <f t="shared" si="7"/>
        <v>0</v>
      </c>
      <c r="R32" s="87">
        <v>6.0</v>
      </c>
      <c r="S32" s="87">
        <v>7.0</v>
      </c>
      <c r="T32" s="87">
        <v>7.0</v>
      </c>
      <c r="U32" s="87">
        <v>10.0</v>
      </c>
      <c r="V32" s="87">
        <f>(SUM(CO_PO_AttainmentAnalysis!D43:F43)/12)*40</f>
        <v>33.33333333</v>
      </c>
      <c r="W32" s="87">
        <v>16.0</v>
      </c>
      <c r="X32" s="91">
        <v>2.53014056E8</v>
      </c>
      <c r="Y32" s="92" t="s">
        <v>195</v>
      </c>
      <c r="Z32" s="6"/>
      <c r="AA32" s="6"/>
    </row>
    <row r="33" ht="15.75" customHeight="1">
      <c r="A33" s="93">
        <v>24.0</v>
      </c>
      <c r="B33" s="1">
        <v>2.53014061E8</v>
      </c>
      <c r="C33" s="1" t="s">
        <v>196</v>
      </c>
      <c r="D33" s="78">
        <f t="shared" si="2"/>
        <v>0</v>
      </c>
      <c r="E33" s="79">
        <v>0.0</v>
      </c>
      <c r="F33" s="78">
        <v>0.0</v>
      </c>
      <c r="G33" s="78">
        <f t="shared" si="3"/>
        <v>30</v>
      </c>
      <c r="H33" s="78">
        <f t="shared" ref="H33:I33" si="29">V33</f>
        <v>33.33333333</v>
      </c>
      <c r="I33" s="78">
        <f t="shared" si="29"/>
        <v>12</v>
      </c>
      <c r="J33" s="81">
        <f t="shared" si="5"/>
        <v>76</v>
      </c>
      <c r="K33" s="84">
        <f t="shared" si="6"/>
        <v>0.76</v>
      </c>
      <c r="L33" s="86" t="str">
        <f>VLOOKUP(J33,GradingPolicy!$B$2:$C$11,2)</f>
        <v>B+ (Plus)</v>
      </c>
      <c r="M33" s="6"/>
      <c r="N33" s="6"/>
      <c r="O33" s="87">
        <v>0.0</v>
      </c>
      <c r="P33" s="87">
        <v>0.0</v>
      </c>
      <c r="Q33" s="87">
        <f t="shared" si="7"/>
        <v>0</v>
      </c>
      <c r="R33" s="87">
        <v>6.0</v>
      </c>
      <c r="S33" s="87">
        <v>7.0</v>
      </c>
      <c r="T33" s="87">
        <v>7.0</v>
      </c>
      <c r="U33" s="87">
        <v>10.0</v>
      </c>
      <c r="V33" s="87">
        <f>(SUM(CO_PO_AttainmentAnalysis!D44:F44)/12)*40</f>
        <v>33.33333333</v>
      </c>
      <c r="W33" s="87">
        <v>12.0</v>
      </c>
      <c r="X33" s="91">
        <v>2.53014061E8</v>
      </c>
      <c r="Y33" s="92" t="s">
        <v>196</v>
      </c>
      <c r="Z33" s="6"/>
      <c r="AA33" s="6"/>
    </row>
    <row r="34" ht="15.75" customHeight="1">
      <c r="A34" s="75">
        <v>25.0</v>
      </c>
      <c r="B34" s="1">
        <v>2.53014063E8</v>
      </c>
      <c r="C34" s="1" t="s">
        <v>198</v>
      </c>
      <c r="D34" s="78">
        <f t="shared" si="2"/>
        <v>0</v>
      </c>
      <c r="E34" s="79">
        <v>0.0</v>
      </c>
      <c r="F34" s="78">
        <v>0.0</v>
      </c>
      <c r="G34" s="78">
        <f t="shared" si="3"/>
        <v>30</v>
      </c>
      <c r="H34" s="78">
        <f t="shared" ref="H34:I34" si="30">V34</f>
        <v>0</v>
      </c>
      <c r="I34" s="78">
        <f t="shared" si="30"/>
        <v>20</v>
      </c>
      <c r="J34" s="81">
        <f t="shared" si="5"/>
        <v>50</v>
      </c>
      <c r="K34" s="84">
        <f t="shared" si="6"/>
        <v>0.5</v>
      </c>
      <c r="L34" s="86" t="str">
        <f>VLOOKUP(J34,GradingPolicy!$B$2:$C$11,2)</f>
        <v>D (Plain)</v>
      </c>
      <c r="M34" s="6"/>
      <c r="N34" s="6"/>
      <c r="O34" s="87">
        <v>0.0</v>
      </c>
      <c r="P34" s="87">
        <v>0.0</v>
      </c>
      <c r="Q34" s="87">
        <f t="shared" si="7"/>
        <v>0</v>
      </c>
      <c r="R34" s="87">
        <v>6.0</v>
      </c>
      <c r="S34" s="87">
        <v>7.0</v>
      </c>
      <c r="T34" s="87">
        <v>7.0</v>
      </c>
      <c r="U34" s="87">
        <v>10.0</v>
      </c>
      <c r="V34" s="87">
        <f>(SUM(CO_PO_AttainmentAnalysis!D45:F45)/12)*40</f>
        <v>0</v>
      </c>
      <c r="W34" s="87">
        <v>20.0</v>
      </c>
      <c r="X34" s="1">
        <v>2.53014063E8</v>
      </c>
      <c r="Y34" s="1" t="s">
        <v>198</v>
      </c>
      <c r="Z34" s="6"/>
      <c r="AA34" s="6"/>
    </row>
    <row r="35" ht="15.75" customHeight="1">
      <c r="A35" s="93">
        <v>26.0</v>
      </c>
      <c r="B35" s="1">
        <v>2.53014064E8</v>
      </c>
      <c r="C35" s="1" t="s">
        <v>199</v>
      </c>
      <c r="D35" s="78">
        <f t="shared" si="2"/>
        <v>0</v>
      </c>
      <c r="E35" s="79">
        <v>0.0</v>
      </c>
      <c r="F35" s="78">
        <v>0.0</v>
      </c>
      <c r="G35" s="78">
        <f t="shared" si="3"/>
        <v>17</v>
      </c>
      <c r="H35" s="78">
        <f t="shared" ref="H35:I35" si="31">V35</f>
        <v>33.33333333</v>
      </c>
      <c r="I35" s="78">
        <f t="shared" si="31"/>
        <v>19</v>
      </c>
      <c r="J35" s="81">
        <f t="shared" si="5"/>
        <v>70</v>
      </c>
      <c r="K35" s="84">
        <f t="shared" si="6"/>
        <v>0.7</v>
      </c>
      <c r="L35" s="86" t="str">
        <f>VLOOKUP(J35,GradingPolicy!$B$2:$C$11,2)</f>
        <v>B (Plain)</v>
      </c>
      <c r="M35" s="6"/>
      <c r="N35" s="6"/>
      <c r="O35" s="87">
        <v>0.0</v>
      </c>
      <c r="P35" s="87">
        <v>0.0</v>
      </c>
      <c r="Q35" s="87">
        <f t="shared" si="7"/>
        <v>0</v>
      </c>
      <c r="R35" s="87">
        <v>0.0</v>
      </c>
      <c r="S35" s="87">
        <v>0.0</v>
      </c>
      <c r="T35" s="87">
        <v>7.0</v>
      </c>
      <c r="U35" s="87">
        <v>10.0</v>
      </c>
      <c r="V35" s="87">
        <f>(SUM(CO_PO_AttainmentAnalysis!D46:F46)/12)*40</f>
        <v>33.33333333</v>
      </c>
      <c r="W35" s="87">
        <v>19.0</v>
      </c>
      <c r="X35" s="1">
        <v>2.53014064E8</v>
      </c>
      <c r="Y35" s="1" t="s">
        <v>199</v>
      </c>
      <c r="Z35" s="6"/>
      <c r="AA35" s="6"/>
    </row>
    <row r="36" ht="15.75" customHeight="1">
      <c r="A36" s="75">
        <v>27.0</v>
      </c>
      <c r="B36" s="1">
        <v>2.53014065E8</v>
      </c>
      <c r="C36" s="1" t="s">
        <v>200</v>
      </c>
      <c r="D36" s="78">
        <f t="shared" si="2"/>
        <v>0</v>
      </c>
      <c r="E36" s="79">
        <v>0.0</v>
      </c>
      <c r="F36" s="78">
        <v>0.0</v>
      </c>
      <c r="G36" s="78">
        <f t="shared" si="3"/>
        <v>30</v>
      </c>
      <c r="H36" s="78">
        <f t="shared" ref="H36:I36" si="32">V36</f>
        <v>40</v>
      </c>
      <c r="I36" s="78">
        <f t="shared" si="32"/>
        <v>16</v>
      </c>
      <c r="J36" s="81">
        <f t="shared" si="5"/>
        <v>86</v>
      </c>
      <c r="K36" s="84">
        <f t="shared" si="6"/>
        <v>0.86</v>
      </c>
      <c r="L36" s="86" t="str">
        <f>VLOOKUP(J36,GradingPolicy!$B$2:$C$11,2)</f>
        <v>A (Plain)</v>
      </c>
      <c r="M36" s="6"/>
      <c r="N36" s="6"/>
      <c r="O36" s="87">
        <v>0.0</v>
      </c>
      <c r="P36" s="87">
        <v>0.0</v>
      </c>
      <c r="Q36" s="87">
        <f t="shared" si="7"/>
        <v>0</v>
      </c>
      <c r="R36" s="87">
        <v>6.0</v>
      </c>
      <c r="S36" s="87">
        <v>7.0</v>
      </c>
      <c r="T36" s="87">
        <v>7.0</v>
      </c>
      <c r="U36" s="87">
        <v>10.0</v>
      </c>
      <c r="V36" s="87">
        <f>(SUM(CO_PO_AttainmentAnalysis!D47:F47)/12)*40</f>
        <v>40</v>
      </c>
      <c r="W36" s="87">
        <v>16.0</v>
      </c>
      <c r="X36" s="1">
        <v>2.53014065E8</v>
      </c>
      <c r="Y36" s="1" t="s">
        <v>200</v>
      </c>
      <c r="Z36" s="6"/>
      <c r="AA36" s="6"/>
    </row>
    <row r="37" ht="15.75" customHeight="1">
      <c r="A37" s="93">
        <v>28.0</v>
      </c>
      <c r="B37" s="1">
        <v>2.53014068E8</v>
      </c>
      <c r="C37" s="1" t="s">
        <v>201</v>
      </c>
      <c r="D37" s="78">
        <f t="shared" si="2"/>
        <v>0</v>
      </c>
      <c r="E37" s="79">
        <v>0.0</v>
      </c>
      <c r="F37" s="78">
        <v>0.0</v>
      </c>
      <c r="G37" s="78">
        <f t="shared" si="3"/>
        <v>30</v>
      </c>
      <c r="H37" s="78">
        <f t="shared" ref="H37:I37" si="33">V37</f>
        <v>0</v>
      </c>
      <c r="I37" s="78">
        <f t="shared" si="33"/>
        <v>0</v>
      </c>
      <c r="J37" s="81">
        <f t="shared" si="5"/>
        <v>30</v>
      </c>
      <c r="K37" s="84">
        <f t="shared" si="6"/>
        <v>0.3</v>
      </c>
      <c r="L37" s="86" t="str">
        <f>VLOOKUP(J37,GradingPolicy!$B$2:$C$11,2)</f>
        <v>F (Fail)</v>
      </c>
      <c r="M37" s="6"/>
      <c r="N37" s="6"/>
      <c r="O37" s="87">
        <v>0.0</v>
      </c>
      <c r="P37" s="87">
        <v>0.0</v>
      </c>
      <c r="Q37" s="87">
        <f t="shared" si="7"/>
        <v>0</v>
      </c>
      <c r="R37" s="87">
        <v>6.0</v>
      </c>
      <c r="S37" s="87">
        <v>7.0</v>
      </c>
      <c r="T37" s="87">
        <v>7.0</v>
      </c>
      <c r="U37" s="87">
        <v>10.0</v>
      </c>
      <c r="V37" s="87">
        <f>(SUM(CO_PO_AttainmentAnalysis!D48:F48)/12)*40</f>
        <v>0</v>
      </c>
      <c r="W37" s="87">
        <v>0.0</v>
      </c>
      <c r="X37" s="1">
        <v>2.53014068E8</v>
      </c>
      <c r="Y37" s="1" t="s">
        <v>201</v>
      </c>
      <c r="Z37" s="6"/>
      <c r="AA37" s="6"/>
    </row>
    <row r="38" ht="15.75" customHeight="1">
      <c r="A38" s="75">
        <v>29.0</v>
      </c>
      <c r="B38" s="1">
        <v>2.5301407E8</v>
      </c>
      <c r="C38" s="1" t="s">
        <v>203</v>
      </c>
      <c r="D38" s="78">
        <f t="shared" si="2"/>
        <v>0</v>
      </c>
      <c r="E38" s="79">
        <v>0.0</v>
      </c>
      <c r="F38" s="78">
        <v>0.0</v>
      </c>
      <c r="G38" s="78">
        <f t="shared" si="3"/>
        <v>30</v>
      </c>
      <c r="H38" s="78">
        <f t="shared" ref="H38:I38" si="34">V38</f>
        <v>33.33333333</v>
      </c>
      <c r="I38" s="78">
        <f t="shared" si="34"/>
        <v>18</v>
      </c>
      <c r="J38" s="81">
        <f t="shared" si="5"/>
        <v>82</v>
      </c>
      <c r="K38" s="84">
        <f t="shared" si="6"/>
        <v>0.82</v>
      </c>
      <c r="L38" s="86" t="str">
        <f>VLOOKUP(J38,GradingPolicy!$B$2:$C$11,2)</f>
        <v>A- (Minus)</v>
      </c>
      <c r="M38" s="6"/>
      <c r="N38" s="6"/>
      <c r="O38" s="87">
        <v>0.0</v>
      </c>
      <c r="P38" s="87">
        <v>0.0</v>
      </c>
      <c r="Q38" s="87">
        <f t="shared" si="7"/>
        <v>0</v>
      </c>
      <c r="R38" s="87">
        <v>6.0</v>
      </c>
      <c r="S38" s="87">
        <v>7.0</v>
      </c>
      <c r="T38" s="87">
        <v>7.0</v>
      </c>
      <c r="U38" s="87">
        <v>10.0</v>
      </c>
      <c r="V38" s="87">
        <f>(SUM(CO_PO_AttainmentAnalysis!D49:F49)/12)*40</f>
        <v>33.33333333</v>
      </c>
      <c r="W38" s="87">
        <v>18.0</v>
      </c>
      <c r="X38" s="1">
        <v>2.5301407E8</v>
      </c>
      <c r="Y38" s="1" t="s">
        <v>203</v>
      </c>
      <c r="Z38" s="6"/>
      <c r="AA38" s="6"/>
    </row>
    <row r="39" ht="15.75" customHeight="1">
      <c r="A39" s="93">
        <v>30.0</v>
      </c>
      <c r="B39" s="1">
        <v>2.53014074E8</v>
      </c>
      <c r="C39" s="1" t="s">
        <v>205</v>
      </c>
      <c r="D39" s="78">
        <f t="shared" si="2"/>
        <v>0</v>
      </c>
      <c r="E39" s="79">
        <v>0.0</v>
      </c>
      <c r="F39" s="78">
        <v>0.0</v>
      </c>
      <c r="G39" s="78">
        <f t="shared" si="3"/>
        <v>30</v>
      </c>
      <c r="H39" s="78">
        <f t="shared" ref="H39:I39" si="35">V39</f>
        <v>33.33333333</v>
      </c>
      <c r="I39" s="78">
        <f t="shared" si="35"/>
        <v>14</v>
      </c>
      <c r="J39" s="81">
        <f t="shared" si="5"/>
        <v>78</v>
      </c>
      <c r="K39" s="84">
        <f t="shared" si="6"/>
        <v>0.78</v>
      </c>
      <c r="L39" s="86" t="str">
        <f>VLOOKUP(J39,GradingPolicy!$B$2:$C$11,2)</f>
        <v>B+ (Plus)</v>
      </c>
      <c r="M39" s="6"/>
      <c r="N39" s="6"/>
      <c r="O39" s="87">
        <v>0.0</v>
      </c>
      <c r="P39" s="87">
        <v>0.0</v>
      </c>
      <c r="Q39" s="87">
        <f t="shared" si="7"/>
        <v>0</v>
      </c>
      <c r="R39" s="87">
        <v>6.0</v>
      </c>
      <c r="S39" s="87">
        <v>7.0</v>
      </c>
      <c r="T39" s="87">
        <v>7.0</v>
      </c>
      <c r="U39" s="87">
        <v>10.0</v>
      </c>
      <c r="V39" s="87">
        <f>(SUM(CO_PO_AttainmentAnalysis!D50:F50)/12)*40</f>
        <v>33.33333333</v>
      </c>
      <c r="W39" s="87">
        <v>14.0</v>
      </c>
      <c r="X39" s="1">
        <v>2.53014074E8</v>
      </c>
      <c r="Y39" s="1" t="s">
        <v>205</v>
      </c>
      <c r="Z39" s="6"/>
      <c r="AA39" s="6"/>
    </row>
    <row r="40" ht="15.75" customHeight="1">
      <c r="A40" s="75">
        <v>31.0</v>
      </c>
      <c r="B40" s="1">
        <v>2.53014076E8</v>
      </c>
      <c r="C40" s="1" t="s">
        <v>207</v>
      </c>
      <c r="D40" s="78">
        <f t="shared" si="2"/>
        <v>0</v>
      </c>
      <c r="E40" s="79">
        <v>0.0</v>
      </c>
      <c r="F40" s="78">
        <v>0.0</v>
      </c>
      <c r="G40" s="78">
        <f t="shared" si="3"/>
        <v>30</v>
      </c>
      <c r="H40" s="78">
        <f t="shared" ref="H40:I40" si="36">V40</f>
        <v>40</v>
      </c>
      <c r="I40" s="78">
        <f t="shared" si="36"/>
        <v>30</v>
      </c>
      <c r="J40" s="81">
        <f t="shared" si="5"/>
        <v>100</v>
      </c>
      <c r="K40" s="84">
        <f t="shared" si="6"/>
        <v>1</v>
      </c>
      <c r="L40" s="86" t="str">
        <f>VLOOKUP(J40,GradingPolicy!$B$2:$C$11,2)</f>
        <v>A+ (Plus)</v>
      </c>
      <c r="M40" s="6"/>
      <c r="N40" s="6"/>
      <c r="O40" s="87">
        <v>0.0</v>
      </c>
      <c r="P40" s="87">
        <v>0.0</v>
      </c>
      <c r="Q40" s="87">
        <f t="shared" si="7"/>
        <v>0</v>
      </c>
      <c r="R40" s="87">
        <v>6.0</v>
      </c>
      <c r="S40" s="87">
        <v>7.0</v>
      </c>
      <c r="T40" s="87">
        <v>7.0</v>
      </c>
      <c r="U40" s="87">
        <v>10.0</v>
      </c>
      <c r="V40" s="87">
        <f>(SUM(CO_PO_AttainmentAnalysis!D51:F51)/12)*40</f>
        <v>40</v>
      </c>
      <c r="W40" s="87">
        <v>30.0</v>
      </c>
      <c r="X40" s="1">
        <v>2.53014076E8</v>
      </c>
      <c r="Y40" s="1" t="s">
        <v>207</v>
      </c>
      <c r="Z40" s="6"/>
      <c r="AA40" s="6"/>
    </row>
    <row r="41" ht="15.75" customHeight="1">
      <c r="A41" s="93">
        <v>32.0</v>
      </c>
      <c r="B41" s="1">
        <v>2.53014081E8</v>
      </c>
      <c r="C41" s="1" t="s">
        <v>208</v>
      </c>
      <c r="D41" s="78">
        <f t="shared" si="2"/>
        <v>0</v>
      </c>
      <c r="E41" s="79">
        <v>0.0</v>
      </c>
      <c r="F41" s="78">
        <v>0.0</v>
      </c>
      <c r="G41" s="78">
        <f t="shared" si="3"/>
        <v>0</v>
      </c>
      <c r="H41" s="78">
        <f t="shared" ref="H41:I41" si="37">V41</f>
        <v>33.33333333</v>
      </c>
      <c r="I41" s="78">
        <f t="shared" si="37"/>
        <v>16</v>
      </c>
      <c r="J41" s="81">
        <f t="shared" si="5"/>
        <v>50</v>
      </c>
      <c r="K41" s="84">
        <f t="shared" si="6"/>
        <v>0.5</v>
      </c>
      <c r="L41" s="86" t="str">
        <f>VLOOKUP(J41,GradingPolicy!$B$2:$C$11,2)</f>
        <v>D (Plain)</v>
      </c>
      <c r="M41" s="6"/>
      <c r="N41" s="6"/>
      <c r="O41" s="87">
        <v>0.0</v>
      </c>
      <c r="P41" s="87">
        <v>0.0</v>
      </c>
      <c r="Q41" s="87">
        <f t="shared" si="7"/>
        <v>0</v>
      </c>
      <c r="R41" s="87">
        <v>0.0</v>
      </c>
      <c r="S41" s="87">
        <v>0.0</v>
      </c>
      <c r="T41" s="87">
        <v>0.0</v>
      </c>
      <c r="U41" s="87">
        <v>0.0</v>
      </c>
      <c r="V41" s="87">
        <f>(SUM(CO_PO_AttainmentAnalysis!D52:F52)/12)*40</f>
        <v>33.33333333</v>
      </c>
      <c r="W41" s="87">
        <v>16.0</v>
      </c>
      <c r="X41" s="1">
        <v>2.53014081E8</v>
      </c>
      <c r="Y41" s="1" t="s">
        <v>208</v>
      </c>
      <c r="Z41" s="6"/>
      <c r="AA41" s="6"/>
    </row>
    <row r="42" ht="15.75" customHeight="1">
      <c r="A42" s="75">
        <v>33.0</v>
      </c>
      <c r="B42" s="1">
        <v>2.53014086E8</v>
      </c>
      <c r="C42" s="1" t="s">
        <v>209</v>
      </c>
      <c r="D42" s="78">
        <f t="shared" si="2"/>
        <v>0</v>
      </c>
      <c r="E42" s="79">
        <v>0.0</v>
      </c>
      <c r="F42" s="78">
        <v>0.0</v>
      </c>
      <c r="G42" s="78">
        <f t="shared" si="3"/>
        <v>20</v>
      </c>
      <c r="H42" s="78">
        <f t="shared" ref="H42:I42" si="38">V42</f>
        <v>0</v>
      </c>
      <c r="I42" s="78">
        <f t="shared" si="38"/>
        <v>2</v>
      </c>
      <c r="J42" s="81">
        <f t="shared" si="5"/>
        <v>22</v>
      </c>
      <c r="K42" s="84">
        <f t="shared" si="6"/>
        <v>0.22</v>
      </c>
      <c r="L42" s="86" t="str">
        <f>VLOOKUP(J42,GradingPolicy!$B$2:$C$11,2)</f>
        <v>F (Fail)</v>
      </c>
      <c r="M42" s="6"/>
      <c r="N42" s="6"/>
      <c r="O42" s="87">
        <v>0.0</v>
      </c>
      <c r="P42" s="87">
        <v>0.0</v>
      </c>
      <c r="Q42" s="87">
        <f t="shared" si="7"/>
        <v>0</v>
      </c>
      <c r="R42" s="87">
        <v>6.0</v>
      </c>
      <c r="S42" s="87">
        <v>7.0</v>
      </c>
      <c r="T42" s="87">
        <v>7.0</v>
      </c>
      <c r="U42" s="87">
        <v>0.0</v>
      </c>
      <c r="V42" s="87">
        <f>(SUM(CO_PO_AttainmentAnalysis!D53:F53)/12)*40</f>
        <v>0</v>
      </c>
      <c r="W42" s="87">
        <v>2.0</v>
      </c>
      <c r="X42" s="1">
        <v>2.53014086E8</v>
      </c>
      <c r="Y42" s="1" t="s">
        <v>209</v>
      </c>
      <c r="Z42" s="6"/>
      <c r="AA42" s="6"/>
    </row>
    <row r="43" ht="15.75" customHeight="1">
      <c r="A43" s="93">
        <v>34.0</v>
      </c>
      <c r="B43" s="1">
        <v>2.5301409E8</v>
      </c>
      <c r="C43" s="1" t="s">
        <v>210</v>
      </c>
      <c r="D43" s="78">
        <f t="shared" si="2"/>
        <v>0</v>
      </c>
      <c r="E43" s="79">
        <v>0.0</v>
      </c>
      <c r="F43" s="78">
        <v>0.0</v>
      </c>
      <c r="G43" s="78">
        <f t="shared" si="3"/>
        <v>30</v>
      </c>
      <c r="H43" s="78">
        <f t="shared" ref="H43:I43" si="39">V43</f>
        <v>40</v>
      </c>
      <c r="I43" s="78">
        <f t="shared" si="39"/>
        <v>17</v>
      </c>
      <c r="J43" s="81">
        <f t="shared" si="5"/>
        <v>87</v>
      </c>
      <c r="K43" s="84">
        <f t="shared" si="6"/>
        <v>0.87</v>
      </c>
      <c r="L43" s="86" t="str">
        <f>VLOOKUP(J43,GradingPolicy!$B$2:$C$11,2)</f>
        <v>A (Plain)</v>
      </c>
      <c r="M43" s="6"/>
      <c r="N43" s="6"/>
      <c r="O43" s="87">
        <v>0.0</v>
      </c>
      <c r="P43" s="87">
        <v>0.0</v>
      </c>
      <c r="Q43" s="87">
        <f t="shared" si="7"/>
        <v>0</v>
      </c>
      <c r="R43" s="87">
        <v>6.0</v>
      </c>
      <c r="S43" s="87">
        <v>7.0</v>
      </c>
      <c r="T43" s="87">
        <v>7.0</v>
      </c>
      <c r="U43" s="87">
        <v>10.0</v>
      </c>
      <c r="V43" s="87">
        <f>(SUM(CO_PO_AttainmentAnalysis!D54:F54)/12)*40</f>
        <v>40</v>
      </c>
      <c r="W43" s="87">
        <v>17.0</v>
      </c>
      <c r="X43" s="1">
        <v>2.5301409E8</v>
      </c>
      <c r="Y43" s="1" t="s">
        <v>210</v>
      </c>
      <c r="Z43" s="6"/>
      <c r="AA43" s="6"/>
    </row>
    <row r="44" ht="15.75" customHeight="1">
      <c r="A44" s="75">
        <v>35.0</v>
      </c>
      <c r="B44" s="1">
        <v>2.53014093E8</v>
      </c>
      <c r="C44" s="1" t="s">
        <v>211</v>
      </c>
      <c r="D44" s="78">
        <f t="shared" si="2"/>
        <v>0</v>
      </c>
      <c r="E44" s="79">
        <v>0.0</v>
      </c>
      <c r="F44" s="78">
        <v>0.0</v>
      </c>
      <c r="G44" s="78">
        <f t="shared" si="3"/>
        <v>7</v>
      </c>
      <c r="H44" s="78">
        <f t="shared" ref="H44:I44" si="40">V44</f>
        <v>40</v>
      </c>
      <c r="I44" s="78">
        <f t="shared" si="40"/>
        <v>20</v>
      </c>
      <c r="J44" s="81">
        <f t="shared" si="5"/>
        <v>67</v>
      </c>
      <c r="K44" s="84">
        <f t="shared" si="6"/>
        <v>0.67</v>
      </c>
      <c r="L44" s="86" t="str">
        <f>VLOOKUP(J44,GradingPolicy!$B$2:$C$11,2)</f>
        <v>B- (Minus)</v>
      </c>
      <c r="M44" s="6"/>
      <c r="N44" s="6"/>
      <c r="O44" s="87">
        <v>0.0</v>
      </c>
      <c r="P44" s="87">
        <v>0.0</v>
      </c>
      <c r="Q44" s="87">
        <f t="shared" si="7"/>
        <v>0</v>
      </c>
      <c r="R44" s="87">
        <v>0.0</v>
      </c>
      <c r="S44" s="87">
        <v>0.0</v>
      </c>
      <c r="T44" s="87">
        <v>7.0</v>
      </c>
      <c r="U44" s="87">
        <v>0.0</v>
      </c>
      <c r="V44" s="87">
        <f>(SUM(CO_PO_AttainmentAnalysis!D55:F55)/12)*40</f>
        <v>40</v>
      </c>
      <c r="W44" s="87">
        <v>20.0</v>
      </c>
      <c r="X44" s="1">
        <v>2.53014093E8</v>
      </c>
      <c r="Y44" s="1" t="s">
        <v>211</v>
      </c>
      <c r="Z44" s="6"/>
      <c r="AA44" s="6"/>
    </row>
    <row r="45" ht="15.75" customHeight="1">
      <c r="A45" s="75">
        <v>36.0</v>
      </c>
      <c r="B45" s="1">
        <v>2.53014094E8</v>
      </c>
      <c r="C45" s="1" t="s">
        <v>213</v>
      </c>
      <c r="D45" s="78">
        <f t="shared" si="2"/>
        <v>0</v>
      </c>
      <c r="E45" s="79">
        <v>0.0</v>
      </c>
      <c r="F45" s="78">
        <v>0.0</v>
      </c>
      <c r="G45" s="78">
        <f t="shared" si="3"/>
        <v>20</v>
      </c>
      <c r="H45" s="78">
        <f t="shared" ref="H45:I45" si="41">V45</f>
        <v>33.33333333</v>
      </c>
      <c r="I45" s="78">
        <f t="shared" si="41"/>
        <v>11</v>
      </c>
      <c r="J45" s="81">
        <f t="shared" si="5"/>
        <v>65</v>
      </c>
      <c r="K45" s="84">
        <f t="shared" si="6"/>
        <v>0.65</v>
      </c>
      <c r="L45" s="86" t="str">
        <f>VLOOKUP(J45,GradingPolicy!$B$2:$C$11,2)</f>
        <v>B- (Minus)</v>
      </c>
      <c r="M45" s="6"/>
      <c r="N45" s="6"/>
      <c r="O45" s="87">
        <v>0.0</v>
      </c>
      <c r="P45" s="87">
        <v>0.0</v>
      </c>
      <c r="Q45" s="87">
        <f t="shared" si="7"/>
        <v>0</v>
      </c>
      <c r="R45" s="87">
        <v>6.0</v>
      </c>
      <c r="S45" s="87">
        <v>7.0</v>
      </c>
      <c r="T45" s="87">
        <v>7.0</v>
      </c>
      <c r="U45" s="87">
        <v>0.0</v>
      </c>
      <c r="V45" s="87">
        <f>(SUM(CO_PO_AttainmentAnalysis!D56:F56)/12)*40</f>
        <v>33.33333333</v>
      </c>
      <c r="W45" s="87">
        <v>11.0</v>
      </c>
      <c r="X45" s="1">
        <v>2.53014094E8</v>
      </c>
      <c r="Y45" s="1" t="s">
        <v>213</v>
      </c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217" t="s">
        <v>217</v>
      </c>
      <c r="C48" s="217" t="s">
        <v>218</v>
      </c>
      <c r="D48" s="220"/>
      <c r="E48" s="220"/>
      <c r="F48" s="221" t="s">
        <v>3</v>
      </c>
      <c r="G48" s="221" t="s">
        <v>12</v>
      </c>
      <c r="H48" s="63" t="s">
        <v>219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75" t="s">
        <v>91</v>
      </c>
      <c r="C49" s="223">
        <v>0.0</v>
      </c>
      <c r="D49" s="224"/>
      <c r="E49" s="224"/>
      <c r="F49" s="225" t="s">
        <v>58</v>
      </c>
      <c r="G49" s="226" t="s">
        <v>140</v>
      </c>
      <c r="H49" s="81">
        <f>COUNTIF(L10:L45, "A+ (Plus)")</f>
        <v>3</v>
      </c>
      <c r="I49" s="6"/>
      <c r="J49" s="6"/>
      <c r="K49" s="6"/>
      <c r="L49" s="6"/>
      <c r="M49" s="6"/>
      <c r="N49" s="227" t="s">
        <v>220</v>
      </c>
      <c r="O49" s="78">
        <f t="shared" ref="O49:W49" si="42">MAX(O10:O45)</f>
        <v>0</v>
      </c>
      <c r="P49" s="78">
        <f t="shared" si="42"/>
        <v>0</v>
      </c>
      <c r="Q49" s="78">
        <f t="shared" si="42"/>
        <v>0</v>
      </c>
      <c r="R49" s="78">
        <f t="shared" si="42"/>
        <v>6</v>
      </c>
      <c r="S49" s="78">
        <f t="shared" si="42"/>
        <v>7</v>
      </c>
      <c r="T49" s="78">
        <f t="shared" si="42"/>
        <v>7</v>
      </c>
      <c r="U49" s="78">
        <f t="shared" si="42"/>
        <v>10</v>
      </c>
      <c r="V49" s="78">
        <f t="shared" si="42"/>
        <v>40</v>
      </c>
      <c r="W49" s="78">
        <f t="shared" si="42"/>
        <v>30</v>
      </c>
      <c r="X49" s="6"/>
      <c r="Y49" s="6"/>
      <c r="Z49" s="6"/>
      <c r="AA49" s="6"/>
    </row>
    <row r="50" ht="15.75" customHeight="1">
      <c r="A50" s="6"/>
      <c r="B50" s="81" t="s">
        <v>93</v>
      </c>
      <c r="C50" s="32">
        <v>0.0</v>
      </c>
      <c r="D50" s="224"/>
      <c r="E50" s="224"/>
      <c r="F50" s="225" t="s">
        <v>57</v>
      </c>
      <c r="G50" s="81" t="s">
        <v>141</v>
      </c>
      <c r="H50" s="81">
        <f>COUNTIF(L10:L45, "A (Plain)")</f>
        <v>7</v>
      </c>
      <c r="I50" s="6"/>
      <c r="J50" s="6"/>
      <c r="K50" s="6"/>
      <c r="L50" s="6"/>
      <c r="M50" s="6"/>
      <c r="N50" s="227" t="s">
        <v>221</v>
      </c>
      <c r="O50" s="78">
        <f t="shared" ref="O50:W50" si="43">AVERAGE(O10:O45)</f>
        <v>0</v>
      </c>
      <c r="P50" s="78">
        <f t="shared" si="43"/>
        <v>0</v>
      </c>
      <c r="Q50" s="78">
        <f t="shared" si="43"/>
        <v>0</v>
      </c>
      <c r="R50" s="78">
        <f t="shared" si="43"/>
        <v>5.166666667</v>
      </c>
      <c r="S50" s="78">
        <f t="shared" si="43"/>
        <v>6.027777778</v>
      </c>
      <c r="T50" s="78">
        <f t="shared" si="43"/>
        <v>6.416666667</v>
      </c>
      <c r="U50" s="78">
        <f t="shared" si="43"/>
        <v>8.055555556</v>
      </c>
      <c r="V50" s="78">
        <f t="shared" si="43"/>
        <v>29.62962963</v>
      </c>
      <c r="W50" s="78">
        <f t="shared" si="43"/>
        <v>15.58333333</v>
      </c>
      <c r="X50" s="6"/>
      <c r="Y50" s="6"/>
      <c r="Z50" s="6"/>
      <c r="AA50" s="6"/>
    </row>
    <row r="51" ht="15.75" customHeight="1">
      <c r="A51" s="6"/>
      <c r="B51" s="75" t="s">
        <v>94</v>
      </c>
      <c r="C51" s="223">
        <v>0.0</v>
      </c>
      <c r="D51" s="224"/>
      <c r="E51" s="224"/>
      <c r="F51" s="225" t="s">
        <v>56</v>
      </c>
      <c r="G51" s="81" t="s">
        <v>142</v>
      </c>
      <c r="H51" s="81">
        <f>COUNTIF(L10:L45, "A- (Minus)")</f>
        <v>6</v>
      </c>
      <c r="I51" s="6"/>
      <c r="J51" s="6"/>
      <c r="K51" s="6"/>
      <c r="L51" s="6"/>
      <c r="M51" s="6"/>
      <c r="N51" s="227" t="s">
        <v>225</v>
      </c>
      <c r="O51" s="78">
        <f t="shared" ref="O51:W51" si="44">MIN(O10:O45)</f>
        <v>0</v>
      </c>
      <c r="P51" s="78">
        <f t="shared" si="44"/>
        <v>0</v>
      </c>
      <c r="Q51" s="78">
        <f t="shared" si="44"/>
        <v>0</v>
      </c>
      <c r="R51" s="78">
        <f t="shared" si="44"/>
        <v>0</v>
      </c>
      <c r="S51" s="78">
        <f t="shared" si="44"/>
        <v>0</v>
      </c>
      <c r="T51" s="78">
        <f t="shared" si="44"/>
        <v>0</v>
      </c>
      <c r="U51" s="78">
        <f t="shared" si="44"/>
        <v>0</v>
      </c>
      <c r="V51" s="78">
        <f t="shared" si="44"/>
        <v>0</v>
      </c>
      <c r="W51" s="78">
        <f t="shared" si="44"/>
        <v>0</v>
      </c>
      <c r="X51" s="6"/>
      <c r="Y51" s="6"/>
      <c r="Z51" s="6"/>
      <c r="AA51" s="6"/>
    </row>
    <row r="52" ht="15.75" customHeight="1">
      <c r="A52" s="6"/>
      <c r="B52" s="75" t="s">
        <v>226</v>
      </c>
      <c r="C52" s="223">
        <v>30.0</v>
      </c>
      <c r="D52" s="224"/>
      <c r="E52" s="224"/>
      <c r="F52" s="225" t="s">
        <v>48</v>
      </c>
      <c r="G52" s="81" t="s">
        <v>143</v>
      </c>
      <c r="H52" s="81">
        <f>COUNTIF(L10:L45, "B+ (Plus)")</f>
        <v>8</v>
      </c>
      <c r="I52" s="6"/>
      <c r="J52" s="6"/>
      <c r="K52" s="6"/>
      <c r="L52" s="6"/>
      <c r="M52" s="6"/>
      <c r="N52" s="6"/>
      <c r="O52" s="6"/>
      <c r="P52" s="240"/>
      <c r="Q52" s="240"/>
      <c r="R52" s="240"/>
      <c r="S52" s="240"/>
      <c r="T52" s="240"/>
      <c r="U52" s="240"/>
      <c r="V52" s="240"/>
      <c r="W52" s="240"/>
      <c r="X52" s="6"/>
      <c r="Y52" s="6"/>
      <c r="Z52" s="6"/>
      <c r="AA52" s="6"/>
    </row>
    <row r="53" ht="15.75" customHeight="1">
      <c r="A53" s="6"/>
      <c r="B53" s="75" t="s">
        <v>85</v>
      </c>
      <c r="C53" s="223">
        <v>40.0</v>
      </c>
      <c r="D53" s="224"/>
      <c r="E53" s="224"/>
      <c r="F53" s="225" t="s">
        <v>42</v>
      </c>
      <c r="G53" s="81" t="s">
        <v>144</v>
      </c>
      <c r="H53" s="81">
        <f>COUNTIF(L10:L45, "B (Plain)")</f>
        <v>2</v>
      </c>
      <c r="I53" s="6"/>
      <c r="J53" s="6"/>
      <c r="K53" s="6"/>
      <c r="L53" s="6"/>
      <c r="M53" s="6"/>
      <c r="N53" s="6"/>
      <c r="O53" s="6"/>
      <c r="P53" s="240"/>
      <c r="Q53" s="240"/>
      <c r="R53" s="240"/>
      <c r="S53" s="240"/>
      <c r="T53" s="240"/>
      <c r="U53" s="240"/>
      <c r="V53" s="240"/>
      <c r="W53" s="240"/>
      <c r="X53" s="6"/>
      <c r="Y53" s="6"/>
      <c r="Z53" s="6"/>
      <c r="AA53" s="6"/>
    </row>
    <row r="54" ht="15.75" customHeight="1">
      <c r="A54" s="6"/>
      <c r="B54" s="75" t="s">
        <v>100</v>
      </c>
      <c r="C54" s="223">
        <v>30.0</v>
      </c>
      <c r="D54" s="224"/>
      <c r="E54" s="224"/>
      <c r="F54" s="225" t="s">
        <v>38</v>
      </c>
      <c r="G54" s="81" t="s">
        <v>145</v>
      </c>
      <c r="H54" s="81">
        <f>COUNTIF(L10:L45, "B- (Minus)")</f>
        <v>2</v>
      </c>
      <c r="I54" s="6"/>
      <c r="J54" s="6"/>
      <c r="K54" s="6"/>
      <c r="L54" s="6"/>
      <c r="M54" s="6"/>
      <c r="N54" s="6"/>
      <c r="O54" s="6"/>
      <c r="P54" s="240"/>
      <c r="Q54" s="240"/>
      <c r="R54" s="240"/>
      <c r="S54" s="240"/>
      <c r="T54" s="240"/>
      <c r="U54" s="240"/>
      <c r="V54" s="240"/>
      <c r="W54" s="240"/>
      <c r="X54" s="6"/>
      <c r="Y54" s="6"/>
      <c r="Z54" s="6"/>
      <c r="AA54" s="6"/>
    </row>
    <row r="55" ht="15.75" customHeight="1">
      <c r="A55" s="6"/>
      <c r="B55" s="75" t="s">
        <v>104</v>
      </c>
      <c r="C55" s="223">
        <v>0.0</v>
      </c>
      <c r="D55" s="224"/>
      <c r="E55" s="224"/>
      <c r="F55" s="225" t="s">
        <v>34</v>
      </c>
      <c r="G55" s="81" t="s">
        <v>146</v>
      </c>
      <c r="H55" s="81">
        <f>COUNTIF(L10:L45, "C+ (Plus)")</f>
        <v>1</v>
      </c>
      <c r="I55" s="6"/>
      <c r="J55" s="6"/>
      <c r="K55" s="6"/>
      <c r="L55" s="6"/>
      <c r="M55" s="6"/>
      <c r="N55" s="6"/>
      <c r="O55" s="6"/>
      <c r="P55" s="240"/>
      <c r="Q55" s="240"/>
      <c r="R55" s="240"/>
      <c r="S55" s="240"/>
      <c r="T55" s="240"/>
      <c r="U55" s="240"/>
      <c r="V55" s="240"/>
      <c r="W55" s="240"/>
      <c r="X55" s="6"/>
      <c r="Y55" s="6"/>
      <c r="Z55" s="6"/>
      <c r="AA55" s="6"/>
    </row>
    <row r="56" ht="15.75" customHeight="1">
      <c r="A56" s="6"/>
      <c r="B56" s="75" t="s">
        <v>112</v>
      </c>
      <c r="C56" s="75">
        <f>SUM(C49:C55)</f>
        <v>100</v>
      </c>
      <c r="D56" s="246"/>
      <c r="E56" s="246"/>
      <c r="F56" s="225" t="s">
        <v>30</v>
      </c>
      <c r="G56" s="81" t="s">
        <v>147</v>
      </c>
      <c r="H56" s="81">
        <f>COUNTIF(L10:L45, "C (Plain)")</f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225" t="s">
        <v>25</v>
      </c>
      <c r="G57" s="81" t="s">
        <v>148</v>
      </c>
      <c r="H57" s="81">
        <f>COUNTIF(L10:L45, "D (Plain)")</f>
        <v>3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225" t="s">
        <v>18</v>
      </c>
      <c r="G58" s="81" t="s">
        <v>149</v>
      </c>
      <c r="H58" s="81">
        <f>COUNTIF(L10:L45, "F (Fail)")</f>
        <v>4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251" t="s">
        <v>231</v>
      </c>
      <c r="G59" s="81" t="s">
        <v>150</v>
      </c>
      <c r="H59" s="81">
        <f>COUNTIF(L10:L45, "I (Incomplete)")</f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252" t="str">
        <f>GradeSheet!$H$5</f>
        <v>Suravi Akhter</v>
      </c>
      <c r="D60" s="6"/>
      <c r="E60" s="6"/>
      <c r="F60" s="251" t="s">
        <v>233</v>
      </c>
      <c r="G60" s="81" t="s">
        <v>151</v>
      </c>
      <c r="H60" s="81">
        <f>COUNTIF(L10:L45, "W (Withdrawn)")</f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254" t="s">
        <v>235</v>
      </c>
      <c r="C61" s="255"/>
      <c r="D61" s="6"/>
      <c r="E61" s="6"/>
      <c r="F61" s="251" t="s">
        <v>236</v>
      </c>
      <c r="G61" s="251"/>
      <c r="H61" s="81">
        <f>SUM(H49:H60)</f>
        <v>36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254" t="s">
        <v>237</v>
      </c>
      <c r="C62" s="255"/>
      <c r="D62" s="6"/>
      <c r="E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22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8">
    <mergeCell ref="H2:I2"/>
    <mergeCell ref="H3:I3"/>
    <mergeCell ref="H4:I4"/>
    <mergeCell ref="H5:I5"/>
    <mergeCell ref="A7:L7"/>
    <mergeCell ref="B60:C60"/>
    <mergeCell ref="B61:C61"/>
    <mergeCell ref="B62:C62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32.71"/>
  </cols>
  <sheetData>
    <row r="1" ht="15.0" customHeight="1">
      <c r="A1" s="1" t="s">
        <v>0</v>
      </c>
      <c r="B1" s="1" t="s">
        <v>1</v>
      </c>
      <c r="C1" s="2"/>
    </row>
    <row r="2" ht="15.0" customHeight="1">
      <c r="A2" s="1" t="s">
        <v>2</v>
      </c>
      <c r="B2" s="1" t="s">
        <v>4</v>
      </c>
      <c r="C2" s="2"/>
    </row>
    <row r="3" ht="15.0" customHeight="1">
      <c r="A3" s="1" t="s">
        <v>5</v>
      </c>
      <c r="B3" s="1" t="s">
        <v>6</v>
      </c>
      <c r="C3" s="2"/>
    </row>
    <row r="4" ht="15.0" customHeight="1">
      <c r="A4" s="1" t="s">
        <v>7</v>
      </c>
      <c r="B4" s="1" t="s">
        <v>8</v>
      </c>
      <c r="C4" s="2"/>
    </row>
    <row r="5" ht="15.0" customHeight="1">
      <c r="A5" s="1" t="s">
        <v>10</v>
      </c>
      <c r="B5" s="1" t="s">
        <v>11</v>
      </c>
      <c r="C5" s="2"/>
    </row>
    <row r="6" ht="15.0" customHeight="1">
      <c r="A6" s="1" t="s">
        <v>13</v>
      </c>
      <c r="B6" s="1" t="s">
        <v>8</v>
      </c>
      <c r="C6" s="2"/>
    </row>
    <row r="7" ht="15.0" customHeight="1">
      <c r="A7" s="1" t="s">
        <v>14</v>
      </c>
      <c r="B7" s="1" t="s">
        <v>8</v>
      </c>
      <c r="C7" s="2"/>
    </row>
    <row r="8" ht="15.0" customHeight="1">
      <c r="A8" s="1" t="s">
        <v>15</v>
      </c>
      <c r="B8" s="1" t="s">
        <v>16</v>
      </c>
      <c r="C8" s="2"/>
    </row>
    <row r="9" ht="15.0" customHeight="1">
      <c r="A9" s="1" t="s">
        <v>17</v>
      </c>
      <c r="B9" s="1" t="s">
        <v>8</v>
      </c>
      <c r="C9" s="2"/>
    </row>
    <row r="10" ht="15.0" customHeight="1">
      <c r="A10" s="1" t="s">
        <v>19</v>
      </c>
      <c r="B10" s="1" t="s">
        <v>20</v>
      </c>
      <c r="C10" s="2"/>
    </row>
    <row r="11" ht="15.0" customHeight="1">
      <c r="A11" s="1" t="s">
        <v>21</v>
      </c>
      <c r="B11" s="1" t="s">
        <v>16</v>
      </c>
      <c r="C11" s="2"/>
    </row>
    <row r="12" ht="15.0" customHeight="1">
      <c r="A12" s="1" t="s">
        <v>22</v>
      </c>
      <c r="B12" s="1" t="s">
        <v>23</v>
      </c>
      <c r="C12" s="2"/>
    </row>
    <row r="13" ht="15.0" customHeight="1">
      <c r="A13" s="1" t="s">
        <v>24</v>
      </c>
      <c r="B13" s="1" t="s">
        <v>1</v>
      </c>
      <c r="C13" s="2"/>
    </row>
    <row r="14" ht="15.0" customHeight="1">
      <c r="A14" s="1" t="s">
        <v>26</v>
      </c>
      <c r="B14" s="1" t="s">
        <v>8</v>
      </c>
      <c r="C14" s="2"/>
    </row>
    <row r="15" ht="15.0" customHeight="1">
      <c r="A15" s="1" t="s">
        <v>28</v>
      </c>
      <c r="B15" s="1" t="s">
        <v>23</v>
      </c>
      <c r="C15" s="2"/>
    </row>
    <row r="16" ht="15.0" customHeight="1">
      <c r="A16" s="1" t="s">
        <v>29</v>
      </c>
      <c r="B16" s="1" t="s">
        <v>23</v>
      </c>
      <c r="C16" s="2"/>
    </row>
    <row r="17" ht="15.0" customHeight="1">
      <c r="A17" s="1" t="s">
        <v>31</v>
      </c>
      <c r="B17" s="1" t="s">
        <v>1</v>
      </c>
      <c r="C17" s="2"/>
    </row>
    <row r="18" ht="15.0" customHeight="1">
      <c r="A18" s="1" t="s">
        <v>32</v>
      </c>
      <c r="B18" s="1" t="s">
        <v>8</v>
      </c>
      <c r="C18" s="2"/>
    </row>
    <row r="19" ht="15.0" customHeight="1">
      <c r="A19" s="1" t="s">
        <v>33</v>
      </c>
      <c r="B19" s="1" t="s">
        <v>20</v>
      </c>
      <c r="C19" s="2"/>
    </row>
    <row r="20" ht="15.0" customHeight="1">
      <c r="A20" s="1" t="s">
        <v>35</v>
      </c>
      <c r="B20" s="1" t="s">
        <v>4</v>
      </c>
      <c r="C20" s="2"/>
    </row>
    <row r="21" ht="15.0" customHeight="1">
      <c r="A21" s="1" t="s">
        <v>36</v>
      </c>
      <c r="B21" s="1" t="s">
        <v>20</v>
      </c>
      <c r="C21" s="2"/>
    </row>
    <row r="22" ht="15.0" customHeight="1">
      <c r="A22" s="1" t="s">
        <v>39</v>
      </c>
      <c r="B22" s="1" t="s">
        <v>8</v>
      </c>
      <c r="C22" s="2"/>
    </row>
    <row r="23" ht="15.0" customHeight="1">
      <c r="A23" s="1" t="s">
        <v>40</v>
      </c>
      <c r="B23" s="1" t="s">
        <v>1</v>
      </c>
      <c r="C23" s="2"/>
    </row>
    <row r="24" ht="15.0" customHeight="1">
      <c r="A24" s="1" t="s">
        <v>41</v>
      </c>
      <c r="B24" s="1" t="s">
        <v>8</v>
      </c>
      <c r="C24" s="2"/>
    </row>
    <row r="25" ht="15.0" customHeight="1">
      <c r="A25" s="1" t="s">
        <v>43</v>
      </c>
      <c r="B25" s="14" t="s">
        <v>44</v>
      </c>
      <c r="C25" s="2"/>
    </row>
    <row r="26">
      <c r="A26" s="2" t="s">
        <v>45</v>
      </c>
      <c r="B26" s="2" t="s">
        <v>1</v>
      </c>
    </row>
    <row r="27">
      <c r="A27" s="2" t="s">
        <v>46</v>
      </c>
      <c r="B27" s="2" t="s">
        <v>44</v>
      </c>
    </row>
    <row r="28">
      <c r="A28" s="2" t="s">
        <v>47</v>
      </c>
      <c r="B28" s="2" t="s">
        <v>23</v>
      </c>
    </row>
    <row r="29">
      <c r="A29" s="2" t="s">
        <v>49</v>
      </c>
      <c r="B29" s="2" t="s">
        <v>8</v>
      </c>
    </row>
    <row r="30">
      <c r="A30" s="2" t="s">
        <v>50</v>
      </c>
      <c r="B30" s="2" t="s">
        <v>27</v>
      </c>
    </row>
    <row r="31">
      <c r="A31" s="2" t="s">
        <v>51</v>
      </c>
      <c r="B31" s="2" t="s">
        <v>4</v>
      </c>
    </row>
    <row r="32">
      <c r="A32" s="2" t="s">
        <v>52</v>
      </c>
      <c r="B32" s="2" t="s">
        <v>1</v>
      </c>
    </row>
    <row r="33">
      <c r="A33" s="2" t="s">
        <v>53</v>
      </c>
      <c r="B33" s="2" t="s">
        <v>16</v>
      </c>
    </row>
    <row r="34">
      <c r="A34" s="2" t="s">
        <v>54</v>
      </c>
      <c r="B34" s="2" t="s">
        <v>4</v>
      </c>
    </row>
    <row r="35">
      <c r="A35" s="2" t="s">
        <v>55</v>
      </c>
      <c r="B35" s="2" t="s">
        <v>16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6.43"/>
    <col customWidth="1" min="3" max="3" width="16.86"/>
    <col customWidth="1" min="4" max="23" width="9.14"/>
  </cols>
  <sheetData>
    <row r="1" ht="15.75" customHeight="1">
      <c r="A1" s="3" t="s">
        <v>3</v>
      </c>
      <c r="B1" s="4" t="s">
        <v>9</v>
      </c>
      <c r="C1" s="3" t="s">
        <v>12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8" t="s">
        <v>18</v>
      </c>
      <c r="B2" s="9">
        <v>0.0</v>
      </c>
      <c r="C2" s="9" t="s">
        <v>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5.75" customHeight="1">
      <c r="A3" s="10" t="s">
        <v>25</v>
      </c>
      <c r="B3" s="11">
        <v>50.0</v>
      </c>
      <c r="C3" s="11" t="s">
        <v>27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10" t="s">
        <v>30</v>
      </c>
      <c r="B4" s="11">
        <v>55.0</v>
      </c>
      <c r="C4" s="11" t="s">
        <v>11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10" t="s">
        <v>34</v>
      </c>
      <c r="B5" s="11">
        <v>60.0</v>
      </c>
      <c r="C5" s="11" t="s">
        <v>20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10" t="s">
        <v>38</v>
      </c>
      <c r="B6" s="11">
        <v>65.0</v>
      </c>
      <c r="C6" s="11" t="s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10" t="s">
        <v>42</v>
      </c>
      <c r="B7" s="11">
        <v>70.0</v>
      </c>
      <c r="C7" s="11" t="s">
        <v>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10" t="s">
        <v>48</v>
      </c>
      <c r="B8" s="11">
        <v>75.0</v>
      </c>
      <c r="C8" s="11" t="s">
        <v>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10" t="s">
        <v>56</v>
      </c>
      <c r="B9" s="11">
        <v>80.0</v>
      </c>
      <c r="C9" s="11" t="s">
        <v>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17" t="s">
        <v>57</v>
      </c>
      <c r="B10" s="11">
        <v>85.0</v>
      </c>
      <c r="C10" s="11" t="s">
        <v>23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18" t="s">
        <v>58</v>
      </c>
      <c r="B11" s="19">
        <v>95.0</v>
      </c>
      <c r="C11" s="20" t="s">
        <v>44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86"/>
    <col customWidth="1" min="3" max="3" width="37.43"/>
    <col customWidth="1" min="4" max="4" width="7.14"/>
    <col customWidth="1" min="5" max="22" width="7.43"/>
    <col customWidth="1" min="23" max="23" width="7.86"/>
    <col customWidth="1" min="24" max="27" width="7.43"/>
    <col customWidth="1" min="28" max="29" width="7.86"/>
    <col customWidth="1" min="30" max="33" width="7.43"/>
    <col customWidth="1" min="34" max="34" width="7.57"/>
    <col customWidth="1" min="35" max="35" width="11.14"/>
    <col customWidth="1" min="36" max="39" width="7.43"/>
    <col customWidth="1" min="40" max="42" width="9.14"/>
    <col customWidth="1" min="43" max="45" width="10.43"/>
    <col customWidth="1" min="46" max="46" width="8.86"/>
    <col customWidth="1" min="47" max="47" width="10.14"/>
    <col customWidth="1" min="48" max="58" width="9.14"/>
    <col customWidth="1" min="59" max="59" width="9.86"/>
    <col customWidth="1" min="60" max="70" width="9.14"/>
  </cols>
  <sheetData>
    <row r="1">
      <c r="A1" s="5"/>
      <c r="B1" s="5"/>
      <c r="C1" s="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</row>
    <row r="2">
      <c r="A2" s="5"/>
      <c r="B2" s="5"/>
      <c r="C2" s="7"/>
      <c r="J2" s="5"/>
      <c r="K2" s="5"/>
      <c r="L2" s="5"/>
      <c r="M2" s="5"/>
      <c r="N2" s="12" t="s">
        <v>37</v>
      </c>
      <c r="O2" s="13"/>
      <c r="P2" s="13"/>
      <c r="Q2" s="13"/>
      <c r="R2" s="13"/>
      <c r="S2" s="13"/>
      <c r="T2" s="13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15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5"/>
      <c r="BI2" s="5"/>
      <c r="BJ2" s="5"/>
      <c r="BK2" s="5"/>
      <c r="BL2" s="5"/>
      <c r="BM2" s="5"/>
      <c r="BO2" s="5"/>
      <c r="BP2" s="5"/>
      <c r="BQ2" s="5"/>
      <c r="BR2" s="5"/>
    </row>
    <row r="3">
      <c r="A3" s="5"/>
      <c r="B3" s="5"/>
      <c r="C3" s="7"/>
      <c r="J3" s="5"/>
      <c r="K3" s="5"/>
      <c r="L3" s="5"/>
      <c r="M3" s="5"/>
      <c r="N3" s="13"/>
      <c r="O3" s="13"/>
      <c r="P3" s="13"/>
      <c r="Q3" s="13"/>
      <c r="R3" s="13"/>
      <c r="S3" s="13"/>
      <c r="T3" s="1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15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</row>
    <row r="4">
      <c r="A4" s="5"/>
      <c r="B4" s="5"/>
      <c r="C4" s="7"/>
      <c r="J4" s="5"/>
      <c r="K4" s="5"/>
      <c r="L4" s="5"/>
      <c r="M4" s="5"/>
      <c r="N4" s="13"/>
      <c r="O4" s="13"/>
      <c r="P4" s="13"/>
      <c r="Q4" s="13"/>
      <c r="R4" s="13"/>
      <c r="S4" s="13"/>
      <c r="T4" s="13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15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</row>
    <row r="5">
      <c r="A5" s="5"/>
      <c r="B5" s="5"/>
      <c r="C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15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</row>
    <row r="6">
      <c r="A6" s="5"/>
      <c r="B6" s="5"/>
      <c r="C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15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</row>
    <row r="7">
      <c r="A7" s="5"/>
      <c r="B7" s="5"/>
      <c r="C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21" t="s">
        <v>59</v>
      </c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3"/>
      <c r="BF7" s="16"/>
      <c r="BG7" s="16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</row>
    <row r="8">
      <c r="A8" s="5"/>
      <c r="B8" s="5"/>
      <c r="C8" s="24" t="s">
        <v>60</v>
      </c>
      <c r="D8" s="25" t="s">
        <v>61</v>
      </c>
      <c r="E8" s="26" t="s">
        <v>62</v>
      </c>
      <c r="F8" s="26" t="s">
        <v>63</v>
      </c>
      <c r="G8" s="27" t="s">
        <v>64</v>
      </c>
      <c r="H8" s="27" t="s">
        <v>65</v>
      </c>
      <c r="I8" s="27" t="s">
        <v>66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30"/>
      <c r="AT8" s="25" t="s">
        <v>69</v>
      </c>
      <c r="AU8" s="26" t="s">
        <v>71</v>
      </c>
      <c r="AV8" s="26" t="s">
        <v>72</v>
      </c>
      <c r="AW8" s="26" t="s">
        <v>73</v>
      </c>
      <c r="AX8" s="26" t="s">
        <v>74</v>
      </c>
      <c r="AY8" s="26" t="s">
        <v>75</v>
      </c>
      <c r="AZ8" s="26" t="s">
        <v>76</v>
      </c>
      <c r="BA8" s="26" t="s">
        <v>77</v>
      </c>
      <c r="BB8" s="26" t="s">
        <v>78</v>
      </c>
      <c r="BC8" s="26" t="s">
        <v>79</v>
      </c>
      <c r="BD8" s="26" t="s">
        <v>80</v>
      </c>
      <c r="BE8" s="27" t="s">
        <v>81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>
      <c r="A9" s="5"/>
      <c r="B9" s="5"/>
      <c r="C9" s="33" t="s">
        <v>85</v>
      </c>
      <c r="D9" s="34">
        <v>6.0</v>
      </c>
      <c r="E9" s="35">
        <v>6.0</v>
      </c>
      <c r="F9" s="36"/>
      <c r="G9" s="37"/>
      <c r="H9" s="37"/>
      <c r="I9" s="3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40" t="s">
        <v>61</v>
      </c>
      <c r="AT9" s="41">
        <v>0.0</v>
      </c>
      <c r="AU9" s="41">
        <v>0.0</v>
      </c>
      <c r="AV9" s="41">
        <v>0.0</v>
      </c>
      <c r="AW9" s="41">
        <v>0.0</v>
      </c>
      <c r="AX9" s="41">
        <v>0.0</v>
      </c>
      <c r="AY9" s="41">
        <v>0.0</v>
      </c>
      <c r="AZ9" s="41">
        <v>0.0</v>
      </c>
      <c r="BA9" s="41">
        <v>0.0</v>
      </c>
      <c r="BB9" s="41">
        <v>0.0</v>
      </c>
      <c r="BC9" s="41">
        <v>0.0</v>
      </c>
      <c r="BD9" s="41">
        <v>0.0</v>
      </c>
      <c r="BE9" s="41">
        <v>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>
      <c r="A10" s="5"/>
      <c r="B10" s="5"/>
      <c r="C10" s="42" t="s">
        <v>90</v>
      </c>
      <c r="D10" s="43"/>
      <c r="E10" s="44"/>
      <c r="F10" s="45"/>
      <c r="G10" s="46"/>
      <c r="H10" s="46"/>
      <c r="I10" s="4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47" t="s">
        <v>62</v>
      </c>
      <c r="AT10" s="41">
        <v>0.0</v>
      </c>
      <c r="AU10" s="41">
        <v>0.0</v>
      </c>
      <c r="AV10" s="41">
        <v>0.0</v>
      </c>
      <c r="AW10" s="41">
        <v>0.0</v>
      </c>
      <c r="AX10" s="41">
        <v>0.0</v>
      </c>
      <c r="AY10" s="41">
        <v>0.0</v>
      </c>
      <c r="AZ10" s="41">
        <v>0.0</v>
      </c>
      <c r="BA10" s="41">
        <v>0.0</v>
      </c>
      <c r="BB10" s="41">
        <v>0.0</v>
      </c>
      <c r="BC10" s="41">
        <v>0.0</v>
      </c>
      <c r="BD10" s="41">
        <v>0.0</v>
      </c>
      <c r="BE10" s="41">
        <v>0.0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>
      <c r="A11" s="5"/>
      <c r="B11" s="5"/>
      <c r="C11" s="51" t="s">
        <v>92</v>
      </c>
      <c r="D11" s="53"/>
      <c r="E11" s="54"/>
      <c r="F11" s="56"/>
      <c r="G11" s="57"/>
      <c r="H11" s="57"/>
      <c r="I11" s="5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62" t="s">
        <v>63</v>
      </c>
      <c r="AT11" s="41">
        <v>0.0</v>
      </c>
      <c r="AU11" s="41">
        <v>0.0</v>
      </c>
      <c r="AV11" s="41">
        <v>0.0</v>
      </c>
      <c r="AW11" s="41">
        <v>0.0</v>
      </c>
      <c r="AX11" s="41">
        <v>0.0</v>
      </c>
      <c r="AY11" s="41">
        <v>0.0</v>
      </c>
      <c r="AZ11" s="41">
        <v>0.0</v>
      </c>
      <c r="BA11" s="41">
        <v>0.0</v>
      </c>
      <c r="BB11" s="41">
        <v>0.0</v>
      </c>
      <c r="BC11" s="41">
        <v>0.0</v>
      </c>
      <c r="BD11" s="41">
        <v>0.0</v>
      </c>
      <c r="BE11" s="41">
        <v>0.0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>
      <c r="A12" s="5"/>
      <c r="B12" s="5"/>
      <c r="C12" s="42" t="s">
        <v>104</v>
      </c>
      <c r="D12" s="66"/>
      <c r="E12" s="68"/>
      <c r="F12" s="69"/>
      <c r="G12" s="70"/>
      <c r="H12" s="70"/>
      <c r="I12" s="70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62" t="s">
        <v>64</v>
      </c>
      <c r="AT12" s="41">
        <v>0.0</v>
      </c>
      <c r="AU12" s="41">
        <v>0.0</v>
      </c>
      <c r="AV12" s="41">
        <v>0.0</v>
      </c>
      <c r="AW12" s="41">
        <v>0.0</v>
      </c>
      <c r="AX12" s="41">
        <v>0.0</v>
      </c>
      <c r="AY12" s="41">
        <v>0.0</v>
      </c>
      <c r="AZ12" s="41">
        <v>0.0</v>
      </c>
      <c r="BA12" s="41">
        <v>0.0</v>
      </c>
      <c r="BB12" s="41">
        <v>0.0</v>
      </c>
      <c r="BC12" s="41">
        <v>0.0</v>
      </c>
      <c r="BD12" s="41">
        <v>0.0</v>
      </c>
      <c r="BE12" s="41">
        <v>0.0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>
      <c r="A13" s="5"/>
      <c r="B13" s="5"/>
      <c r="C13" s="24" t="s">
        <v>112</v>
      </c>
      <c r="D13" s="25">
        <f t="shared" ref="D13:I13" si="1">SUM(D9:D12)</f>
        <v>6</v>
      </c>
      <c r="E13" s="25">
        <f t="shared" si="1"/>
        <v>6</v>
      </c>
      <c r="F13" s="83">
        <f t="shared" si="1"/>
        <v>0</v>
      </c>
      <c r="G13" s="83">
        <f t="shared" si="1"/>
        <v>0</v>
      </c>
      <c r="H13" s="83">
        <f t="shared" si="1"/>
        <v>0</v>
      </c>
      <c r="I13" s="83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62" t="s">
        <v>65</v>
      </c>
      <c r="AT13" s="41">
        <v>0.0</v>
      </c>
      <c r="AU13" s="41">
        <v>0.0</v>
      </c>
      <c r="AV13" s="41">
        <v>0.0</v>
      </c>
      <c r="AW13" s="41">
        <v>0.0</v>
      </c>
      <c r="AX13" s="41">
        <v>0.0</v>
      </c>
      <c r="AY13" s="41">
        <v>0.0</v>
      </c>
      <c r="AZ13" s="41">
        <v>0.0</v>
      </c>
      <c r="BA13" s="41">
        <v>0.0</v>
      </c>
      <c r="BB13" s="41">
        <v>0.0</v>
      </c>
      <c r="BC13" s="41">
        <v>0.0</v>
      </c>
      <c r="BD13" s="41">
        <v>0.0</v>
      </c>
      <c r="BE13" s="41">
        <v>0.0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>
      <c r="A14" s="5"/>
      <c r="B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95" t="s">
        <v>66</v>
      </c>
      <c r="AT14" s="41">
        <v>0.0</v>
      </c>
      <c r="AU14" s="41">
        <v>0.0</v>
      </c>
      <c r="AV14" s="41">
        <v>0.0</v>
      </c>
      <c r="AW14" s="41">
        <v>0.0</v>
      </c>
      <c r="AX14" s="41">
        <v>0.0</v>
      </c>
      <c r="AY14" s="41">
        <v>0.0</v>
      </c>
      <c r="AZ14" s="41">
        <v>0.0</v>
      </c>
      <c r="BA14" s="41">
        <v>0.0</v>
      </c>
      <c r="BB14" s="41">
        <v>0.0</v>
      </c>
      <c r="BC14" s="41">
        <v>0.0</v>
      </c>
      <c r="BD14" s="41">
        <v>0.0</v>
      </c>
      <c r="BE14" s="41">
        <v>0.0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>
      <c r="A15" s="5"/>
      <c r="B15" s="5"/>
      <c r="C15" s="5"/>
      <c r="D15" s="15"/>
      <c r="E15" s="15"/>
      <c r="F15" s="1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30" t="s">
        <v>112</v>
      </c>
      <c r="AT15" s="25">
        <f t="shared" ref="AT15:BE15" si="2">SUM(AT9:AT14)</f>
        <v>0</v>
      </c>
      <c r="AU15" s="26">
        <f t="shared" si="2"/>
        <v>0</v>
      </c>
      <c r="AV15" s="26">
        <f t="shared" si="2"/>
        <v>0</v>
      </c>
      <c r="AW15" s="26">
        <f t="shared" si="2"/>
        <v>0</v>
      </c>
      <c r="AX15" s="26">
        <f t="shared" si="2"/>
        <v>0</v>
      </c>
      <c r="AY15" s="26">
        <f t="shared" si="2"/>
        <v>0</v>
      </c>
      <c r="AZ15" s="26">
        <f t="shared" si="2"/>
        <v>0</v>
      </c>
      <c r="BA15" s="26">
        <f t="shared" si="2"/>
        <v>0</v>
      </c>
      <c r="BB15" s="26">
        <f t="shared" si="2"/>
        <v>0</v>
      </c>
      <c r="BC15" s="26">
        <f t="shared" si="2"/>
        <v>0</v>
      </c>
      <c r="BD15" s="26">
        <f t="shared" si="2"/>
        <v>0</v>
      </c>
      <c r="BE15" s="27">
        <f t="shared" si="2"/>
        <v>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</row>
    <row r="16">
      <c r="A16" s="5"/>
      <c r="B16" s="5"/>
      <c r="C16" s="5"/>
      <c r="D16" s="15"/>
      <c r="E16" s="15"/>
      <c r="F16" s="1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</row>
    <row r="17">
      <c r="A17" s="98" t="str">
        <f>CONCATENATE("Course Outcome (CO) Attainment Analysis of ",GradeSheet!$H$2, " [",GradeSheet!$H$3, "] ", "(Section ",GradeSheet!$K$2, ") ", "[Semester - ",GradeSheet!$K$3,"]" )</f>
        <v>Course Outcome (CO) Attainment Analysis of 0613-014-1202 [Structured Programming Lab] (Section 2) [Semester - Spring 2026]</v>
      </c>
      <c r="B17" s="99"/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1"/>
      <c r="AB17" s="102" t="s">
        <v>117</v>
      </c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3"/>
      <c r="AT17" s="15"/>
      <c r="AU17" s="103" t="s">
        <v>119</v>
      </c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3"/>
    </row>
    <row r="18">
      <c r="A18" s="104"/>
      <c r="D18" s="105" t="str">
        <f>C9</f>
        <v>Open Ended Lab 1</v>
      </c>
      <c r="E18" s="22"/>
      <c r="F18" s="22"/>
      <c r="G18" s="22"/>
      <c r="H18" s="22"/>
      <c r="I18" s="23"/>
      <c r="J18" s="105" t="str">
        <f>C10</f>
        <v>Open Ended Lab 2</v>
      </c>
      <c r="K18" s="22"/>
      <c r="L18" s="22"/>
      <c r="M18" s="22"/>
      <c r="N18" s="22"/>
      <c r="O18" s="23"/>
      <c r="P18" s="105" t="str">
        <f>C11</f>
        <v>Assignment</v>
      </c>
      <c r="Q18" s="22"/>
      <c r="R18" s="22"/>
      <c r="S18" s="22"/>
      <c r="T18" s="22"/>
      <c r="U18" s="23"/>
      <c r="V18" s="105" t="str">
        <f>C12</f>
        <v>Project</v>
      </c>
      <c r="W18" s="22"/>
      <c r="X18" s="22"/>
      <c r="Y18" s="22"/>
      <c r="Z18" s="22"/>
      <c r="AA18" s="23"/>
      <c r="AB18" s="108" t="s">
        <v>125</v>
      </c>
      <c r="AC18" s="99"/>
      <c r="AD18" s="99"/>
      <c r="AE18" s="99"/>
      <c r="AF18" s="99"/>
      <c r="AG18" s="109"/>
      <c r="AH18" s="105" t="s">
        <v>128</v>
      </c>
      <c r="AI18" s="22"/>
      <c r="AJ18" s="22"/>
      <c r="AK18" s="22"/>
      <c r="AL18" s="22"/>
      <c r="AM18" s="23"/>
      <c r="AN18" s="105" t="s">
        <v>131</v>
      </c>
      <c r="AO18" s="22"/>
      <c r="AP18" s="22"/>
      <c r="AQ18" s="22"/>
      <c r="AR18" s="22"/>
      <c r="AS18" s="23"/>
      <c r="AT18" s="15"/>
      <c r="AU18" s="110" t="s">
        <v>128</v>
      </c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109"/>
      <c r="BG18" s="110" t="s">
        <v>133</v>
      </c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109"/>
    </row>
    <row r="19">
      <c r="A19" s="104"/>
      <c r="D19" s="111" t="s">
        <v>61</v>
      </c>
      <c r="E19" s="112" t="s">
        <v>62</v>
      </c>
      <c r="F19" s="112" t="s">
        <v>63</v>
      </c>
      <c r="G19" s="115" t="s">
        <v>64</v>
      </c>
      <c r="H19" s="115" t="s">
        <v>65</v>
      </c>
      <c r="I19" s="117" t="s">
        <v>66</v>
      </c>
      <c r="J19" s="120" t="s">
        <v>61</v>
      </c>
      <c r="K19" s="121" t="s">
        <v>62</v>
      </c>
      <c r="L19" s="121" t="s">
        <v>63</v>
      </c>
      <c r="M19" s="122" t="s">
        <v>64</v>
      </c>
      <c r="N19" s="122" t="s">
        <v>65</v>
      </c>
      <c r="O19" s="124" t="s">
        <v>66</v>
      </c>
      <c r="P19" s="126" t="s">
        <v>61</v>
      </c>
      <c r="Q19" s="127" t="s">
        <v>62</v>
      </c>
      <c r="R19" s="127" t="s">
        <v>63</v>
      </c>
      <c r="S19" s="127" t="s">
        <v>64</v>
      </c>
      <c r="T19" s="127" t="s">
        <v>65</v>
      </c>
      <c r="U19" s="129" t="s">
        <v>66</v>
      </c>
      <c r="V19" s="126" t="s">
        <v>61</v>
      </c>
      <c r="W19" s="127" t="s">
        <v>62</v>
      </c>
      <c r="X19" s="127" t="s">
        <v>63</v>
      </c>
      <c r="Y19" s="127" t="s">
        <v>64</v>
      </c>
      <c r="Z19" s="127" t="s">
        <v>65</v>
      </c>
      <c r="AA19" s="129" t="s">
        <v>66</v>
      </c>
      <c r="AB19" s="130" t="s">
        <v>61</v>
      </c>
      <c r="AC19" s="131" t="s">
        <v>62</v>
      </c>
      <c r="AD19" s="131" t="s">
        <v>63</v>
      </c>
      <c r="AE19" s="131" t="s">
        <v>64</v>
      </c>
      <c r="AF19" s="131" t="s">
        <v>65</v>
      </c>
      <c r="AG19" s="131" t="s">
        <v>66</v>
      </c>
      <c r="AH19" s="132" t="s">
        <v>61</v>
      </c>
      <c r="AI19" s="133" t="s">
        <v>62</v>
      </c>
      <c r="AJ19" s="133" t="s">
        <v>63</v>
      </c>
      <c r="AK19" s="134" t="s">
        <v>64</v>
      </c>
      <c r="AL19" s="135" t="s">
        <v>65</v>
      </c>
      <c r="AM19" s="134" t="s">
        <v>66</v>
      </c>
      <c r="AN19" s="132" t="s">
        <v>61</v>
      </c>
      <c r="AO19" s="133" t="s">
        <v>62</v>
      </c>
      <c r="AP19" s="133" t="s">
        <v>63</v>
      </c>
      <c r="AQ19" s="135" t="s">
        <v>64</v>
      </c>
      <c r="AR19" s="135" t="s">
        <v>65</v>
      </c>
      <c r="AS19" s="134" t="s">
        <v>66</v>
      </c>
      <c r="AT19" s="136"/>
      <c r="AU19" s="137" t="s">
        <v>69</v>
      </c>
      <c r="AV19" s="139" t="s">
        <v>71</v>
      </c>
      <c r="AW19" s="139" t="s">
        <v>72</v>
      </c>
      <c r="AX19" s="139" t="s">
        <v>73</v>
      </c>
      <c r="AY19" s="139" t="s">
        <v>74</v>
      </c>
      <c r="AZ19" s="139" t="s">
        <v>75</v>
      </c>
      <c r="BA19" s="139" t="s">
        <v>76</v>
      </c>
      <c r="BB19" s="139" t="s">
        <v>77</v>
      </c>
      <c r="BC19" s="139" t="s">
        <v>78</v>
      </c>
      <c r="BD19" s="139" t="s">
        <v>79</v>
      </c>
      <c r="BE19" s="139" t="s">
        <v>80</v>
      </c>
      <c r="BF19" s="140" t="s">
        <v>81</v>
      </c>
      <c r="BG19" s="25" t="s">
        <v>69</v>
      </c>
      <c r="BH19" s="26" t="s">
        <v>71</v>
      </c>
      <c r="BI19" s="26" t="s">
        <v>72</v>
      </c>
      <c r="BJ19" s="26" t="s">
        <v>73</v>
      </c>
      <c r="BK19" s="26" t="s">
        <v>74</v>
      </c>
      <c r="BL19" s="26" t="s">
        <v>75</v>
      </c>
      <c r="BM19" s="26" t="s">
        <v>76</v>
      </c>
      <c r="BN19" s="26" t="s">
        <v>77</v>
      </c>
      <c r="BO19" s="26" t="s">
        <v>78</v>
      </c>
      <c r="BP19" s="26" t="s">
        <v>79</v>
      </c>
      <c r="BQ19" s="26" t="s">
        <v>80</v>
      </c>
      <c r="BR19" s="27" t="s">
        <v>81</v>
      </c>
    </row>
    <row r="20">
      <c r="A20" s="142" t="s">
        <v>152</v>
      </c>
      <c r="B20" s="144" t="s">
        <v>102</v>
      </c>
      <c r="C20" s="145" t="s">
        <v>103</v>
      </c>
      <c r="D20" s="146">
        <v>6.0</v>
      </c>
      <c r="E20" s="146">
        <v>6.0</v>
      </c>
      <c r="F20" s="146" t="str">
        <f t="shared" ref="F20:I20" si="3">F9</f>
        <v/>
      </c>
      <c r="G20" s="146" t="str">
        <f t="shared" si="3"/>
        <v/>
      </c>
      <c r="H20" s="146" t="str">
        <f t="shared" si="3"/>
        <v/>
      </c>
      <c r="I20" s="146" t="str">
        <f t="shared" si="3"/>
        <v/>
      </c>
      <c r="J20" s="148"/>
      <c r="K20" s="148"/>
      <c r="L20" s="148"/>
      <c r="M20" s="148" t="str">
        <f t="shared" ref="M20:O20" si="4">G10</f>
        <v/>
      </c>
      <c r="N20" s="148" t="str">
        <f t="shared" si="4"/>
        <v/>
      </c>
      <c r="O20" s="148" t="str">
        <f t="shared" si="4"/>
        <v/>
      </c>
      <c r="P20" s="150" t="str">
        <f t="shared" ref="P20:U20" si="5">D11</f>
        <v/>
      </c>
      <c r="Q20" s="150" t="str">
        <f t="shared" si="5"/>
        <v/>
      </c>
      <c r="R20" s="150" t="str">
        <f t="shared" si="5"/>
        <v/>
      </c>
      <c r="S20" s="150" t="str">
        <f t="shared" si="5"/>
        <v/>
      </c>
      <c r="T20" s="150" t="str">
        <f t="shared" si="5"/>
        <v/>
      </c>
      <c r="U20" s="150" t="str">
        <f t="shared" si="5"/>
        <v/>
      </c>
      <c r="V20" s="150" t="str">
        <f t="shared" ref="V20:AA20" si="6">D12</f>
        <v/>
      </c>
      <c r="W20" s="150" t="str">
        <f t="shared" si="6"/>
        <v/>
      </c>
      <c r="X20" s="150" t="str">
        <f t="shared" si="6"/>
        <v/>
      </c>
      <c r="Y20" s="150" t="str">
        <f t="shared" si="6"/>
        <v/>
      </c>
      <c r="Z20" s="150" t="str">
        <f t="shared" si="6"/>
        <v/>
      </c>
      <c r="AA20" s="150" t="str">
        <f t="shared" si="6"/>
        <v/>
      </c>
      <c r="AB20" s="151">
        <f t="shared" ref="AB20:AG20" si="7">SUM(D20,J20,P20,V20)</f>
        <v>6</v>
      </c>
      <c r="AC20" s="153">
        <f t="shared" si="7"/>
        <v>6</v>
      </c>
      <c r="AD20" s="153">
        <f t="shared" si="7"/>
        <v>0</v>
      </c>
      <c r="AE20" s="153">
        <f t="shared" si="7"/>
        <v>0</v>
      </c>
      <c r="AF20" s="153">
        <f t="shared" si="7"/>
        <v>0</v>
      </c>
      <c r="AG20" s="153">
        <f t="shared" si="7"/>
        <v>0</v>
      </c>
      <c r="AH20" s="155">
        <v>1.0</v>
      </c>
      <c r="AI20" s="156">
        <v>1.0</v>
      </c>
      <c r="AJ20" s="156">
        <v>0.0</v>
      </c>
      <c r="AK20" s="157">
        <v>0.0</v>
      </c>
      <c r="AL20" s="158">
        <v>0.0</v>
      </c>
      <c r="AM20" s="157">
        <v>0.0</v>
      </c>
      <c r="AN20" s="160" t="s">
        <v>157</v>
      </c>
      <c r="AO20" s="161"/>
      <c r="AP20" s="161"/>
      <c r="AQ20" s="161"/>
      <c r="AR20" s="161"/>
      <c r="AS20" s="162"/>
      <c r="AT20" s="136"/>
      <c r="AU20" s="163">
        <v>1.0</v>
      </c>
      <c r="AV20" s="164">
        <v>1.0</v>
      </c>
      <c r="AW20" s="164">
        <v>1.0</v>
      </c>
      <c r="AX20" s="164">
        <v>1.0</v>
      </c>
      <c r="AY20" s="164">
        <v>1.0</v>
      </c>
      <c r="AZ20" s="164">
        <v>1.0</v>
      </c>
      <c r="BA20" s="164">
        <v>1.0</v>
      </c>
      <c r="BB20" s="164">
        <v>1.0</v>
      </c>
      <c r="BC20" s="164">
        <v>1.0</v>
      </c>
      <c r="BD20" s="164">
        <v>1.0</v>
      </c>
      <c r="BE20" s="164">
        <v>1.0</v>
      </c>
      <c r="BF20" s="165">
        <v>1.0</v>
      </c>
      <c r="BG20" s="167" t="s">
        <v>159</v>
      </c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2"/>
    </row>
    <row r="21" ht="15.75" customHeight="1">
      <c r="A21" s="168">
        <v>1.0</v>
      </c>
      <c r="B21" s="169">
        <v>2.51014052E8</v>
      </c>
      <c r="C21" s="170" t="s">
        <v>110</v>
      </c>
      <c r="D21" s="171">
        <v>6.0</v>
      </c>
      <c r="E21" s="171">
        <v>4.0</v>
      </c>
      <c r="F21" s="171">
        <v>0.0</v>
      </c>
      <c r="G21" s="171">
        <v>0.0</v>
      </c>
      <c r="H21" s="171">
        <v>0.0</v>
      </c>
      <c r="I21" s="171">
        <v>0.0</v>
      </c>
      <c r="J21" s="171">
        <v>0.0</v>
      </c>
      <c r="K21" s="171">
        <v>0.0</v>
      </c>
      <c r="L21" s="171">
        <v>0.0</v>
      </c>
      <c r="M21" s="171">
        <v>0.0</v>
      </c>
      <c r="N21" s="171">
        <v>0.0</v>
      </c>
      <c r="O21" s="171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  <c r="X21" s="172">
        <v>0.0</v>
      </c>
      <c r="Y21" s="172">
        <v>0.0</v>
      </c>
      <c r="Z21" s="172">
        <v>0.0</v>
      </c>
      <c r="AA21" s="172">
        <v>0.0</v>
      </c>
      <c r="AB21" s="174">
        <f t="shared" ref="AB21:AG21" si="8">SUM(D21,J21,P21,V21)</f>
        <v>6</v>
      </c>
      <c r="AC21" s="174">
        <f t="shared" si="8"/>
        <v>4</v>
      </c>
      <c r="AD21" s="174">
        <f t="shared" si="8"/>
        <v>0</v>
      </c>
      <c r="AE21" s="174">
        <f t="shared" si="8"/>
        <v>0</v>
      </c>
      <c r="AF21" s="174">
        <f t="shared" si="8"/>
        <v>0</v>
      </c>
      <c r="AG21" s="174">
        <f t="shared" si="8"/>
        <v>0</v>
      </c>
      <c r="AH21" s="175">
        <f t="shared" ref="AH21:AL21" si="9">IF(AB21 = 0, 0, AB21/AB$20)</f>
        <v>1</v>
      </c>
      <c r="AI21" s="175">
        <f t="shared" si="9"/>
        <v>0.6666666667</v>
      </c>
      <c r="AJ21" s="175">
        <f t="shared" si="9"/>
        <v>0</v>
      </c>
      <c r="AK21" s="175">
        <f t="shared" si="9"/>
        <v>0</v>
      </c>
      <c r="AL21" s="175">
        <f t="shared" si="9"/>
        <v>0</v>
      </c>
      <c r="AM21" s="175">
        <f t="shared" ref="AM21:AM54" si="12">IF(AG21 = 0, 0,#REF!/ AG$20)</f>
        <v>0</v>
      </c>
      <c r="AN21" s="174">
        <f>IF(OR(GradeSheet!$L10="W (Withdrawn)", GradeSheet!$L10="I (Incomplete)"), 0, IF(AH21&gt;=55%, 1, 0))</f>
        <v>1</v>
      </c>
      <c r="AO21" s="174">
        <f>IF(OR(GradeSheet!$L10="W (Withdrawn)", GradeSheet!$L10="I (Incomplete)"), 0, IF(AI21&gt;=55%, 1, 0))</f>
        <v>1</v>
      </c>
      <c r="AP21" s="174">
        <f>IF(OR(GradeSheet!$L10="W (Withdrawn)", GradeSheet!$L10="I (Incomplete)"), 0, IF(AJ21&gt;=55%, 1, 0))</f>
        <v>0</v>
      </c>
      <c r="AQ21" s="174">
        <f>IF(OR(GradeSheet!$L10="W (Withdrawn)", GradeSheet!$L10="I (Incomplete)"), 0, IF(AK21&gt;=55%, 1, 0))</f>
        <v>0</v>
      </c>
      <c r="AR21" s="174">
        <f>IF(OR(GradeSheet!$L10="W (Withdrawn)", GradeSheet!$L10="I (Incomplete)"), 0, IF(AL21&gt;=55%, 1, 0))</f>
        <v>0</v>
      </c>
      <c r="AS21" s="174">
        <f>IF(OR(GradeSheet!$L10="W (Withdrawn)", GradeSheet!$L10="I (Incomplete)"), 0, IF(AM21&gt;=55%, 1, 0))</f>
        <v>0</v>
      </c>
      <c r="AT21" s="136"/>
      <c r="AU21" s="183">
        <f t="array" ref="AU21">IF($AT$15=0,0,MMULT($AH21:$AM21, AT$9:AT$14)/$AT$15)</f>
        <v>0</v>
      </c>
      <c r="AV21" s="183">
        <f t="array" ref="AV21">IF($AT$15=0,0,MMULT($AH21:$AM21, AU$9:AU$14)/$AT$15)</f>
        <v>0</v>
      </c>
      <c r="AW21" s="183">
        <f t="array" ref="AW21">IF($AT$15=0,0,MMULT($AH21:$AM21, AV$9:AV$14)/$AT$15)</f>
        <v>0</v>
      </c>
      <c r="AX21" s="183">
        <f t="array" ref="AX21">IF($AT$15=0,0,MMULT($AH21:$AM21, AW$9:AW$14)/$AT$15)</f>
        <v>0</v>
      </c>
      <c r="AY21" s="183">
        <f t="array" ref="AY21">IF($AT$15=0,0,MMULT($AH21:$AM21, AX$9:AX$14)/$AT$15)</f>
        <v>0</v>
      </c>
      <c r="AZ21" s="183">
        <f t="array" ref="AZ21">IF($AT$15=0,0,MMULT($AH21:$AM21, AY$9:AY$14)/$AT$15)</f>
        <v>0</v>
      </c>
      <c r="BA21" s="183">
        <f t="array" ref="BA21">IF($AT$15=0,0,MMULT($AH21:$AM21, AZ$9:AZ$14)/$AT$15)</f>
        <v>0</v>
      </c>
      <c r="BB21" s="183">
        <f t="array" ref="BB21">IF($AT$15=0,0,MMULT($AH21:$AM21, BA$9:BA$14)/$AT$15)</f>
        <v>0</v>
      </c>
      <c r="BC21" s="183">
        <f t="array" ref="BC21">IF($AT$15=0,0,MMULT($AH21:$AM21, BB$9:BB$14)/$AT$15)</f>
        <v>0</v>
      </c>
      <c r="BD21" s="183">
        <f t="array" ref="BD21">IF($AT$15=0,0,MMULT($AH21:$AM21, BC$9:BC$14)/$AT$15)</f>
        <v>0</v>
      </c>
      <c r="BE21" s="183">
        <f t="array" ref="BE21">IF($AT$15=0,0,MMULT($AH21:$AM21, BD$9:BD$14)/$AT$15)</f>
        <v>0</v>
      </c>
      <c r="BF21" s="183">
        <f t="array" ref="BF21">IF($AT$15=0,0,MMULT($AH21:$AM21, BE$9:BE$14)/$AT$15)</f>
        <v>0</v>
      </c>
      <c r="BG21" s="188">
        <f>IF(OR(GradeSheet!$L10="W (Withdrawn)", GradeSheet!$L10="I (Incomplete)"), 0, IF(AU21&gt;=65%, 1, 0))</f>
        <v>0</v>
      </c>
      <c r="BH21" s="188">
        <f>IF(OR(GradeSheet!$L10="W (Withdrawn)", GradeSheet!$L10="I (Incomplete)"), 0, IF(AV21&gt;=65%, 1, 0))</f>
        <v>0</v>
      </c>
      <c r="BI21" s="188">
        <f>IF(OR(GradeSheet!$L10="W (Withdrawn)", GradeSheet!$L10="I (Incomplete)"), 0, IF(AW21&gt;=65%, 1, 0))</f>
        <v>0</v>
      </c>
      <c r="BJ21" s="188">
        <f>IF(OR(GradeSheet!$L10="W (Withdrawn)", GradeSheet!$L10="I (Incomplete)"), 0, IF(AX21&gt;=65%, 1, 0))</f>
        <v>0</v>
      </c>
      <c r="BK21" s="188">
        <f>IF(OR(GradeSheet!$L10="W (Withdrawn)", GradeSheet!$L10="I (Incomplete)"), 0, IF(AY21&gt;=65%, 1, 0))</f>
        <v>0</v>
      </c>
      <c r="BL21" s="188">
        <f>IF(OR(GradeSheet!$L10="W (Withdrawn)", GradeSheet!$L10="I (Incomplete)"), 0, IF(AZ21&gt;=65%, 1, 0))</f>
        <v>0</v>
      </c>
      <c r="BM21" s="188">
        <f>IF(OR(GradeSheet!$L10="W (Withdrawn)", GradeSheet!$L10="I (Incomplete)"), 0, IF(BA21&gt;=65%, 1, 0))</f>
        <v>0</v>
      </c>
      <c r="BN21" s="188">
        <f>IF(OR(GradeSheet!$L10="W (Withdrawn)", GradeSheet!$L10="I (Incomplete)"), 0, IF(BB21&gt;=65%, 1, 0))</f>
        <v>0</v>
      </c>
      <c r="BO21" s="188">
        <f>IF(OR(GradeSheet!$L10="W (Withdrawn)", GradeSheet!$L10="I (Incomplete)"), 0, IF(BC21&gt;=65%, 1, 0))</f>
        <v>0</v>
      </c>
      <c r="BP21" s="188">
        <f>IF(OR(GradeSheet!$L10="W (Withdrawn)", GradeSheet!$L10="I (Incomplete)"), 0, IF(BD21&gt;=65%, 1, 0))</f>
        <v>0</v>
      </c>
      <c r="BQ21" s="188">
        <f>IF(OR(GradeSheet!$L10="W (Withdrawn)", GradeSheet!$L10="I (Incomplete)"), 0, IF(BE21&gt;=65%, 1, 0))</f>
        <v>0</v>
      </c>
      <c r="BR21" s="188">
        <f>IF(OR(GradeSheet!$L10="W (Withdrawn)", GradeSheet!$L10="I (Incomplete)"), 0, IF(BF21&gt;=65%, 1, 0))</f>
        <v>0</v>
      </c>
    </row>
    <row r="22" ht="15.75" customHeight="1">
      <c r="A22" s="168">
        <v>2.0</v>
      </c>
      <c r="B22" s="169">
        <v>2.51014053E8</v>
      </c>
      <c r="C22" s="170" t="s">
        <v>114</v>
      </c>
      <c r="D22" s="171">
        <v>6.0</v>
      </c>
      <c r="E22" s="171">
        <v>4.0</v>
      </c>
      <c r="F22" s="171">
        <v>0.0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  <c r="X22" s="172">
        <v>0.0</v>
      </c>
      <c r="Y22" s="172">
        <v>0.0</v>
      </c>
      <c r="Z22" s="172">
        <v>0.0</v>
      </c>
      <c r="AA22" s="172">
        <v>0.0</v>
      </c>
      <c r="AB22" s="174">
        <f t="shared" ref="AB22:AG22" si="10">SUM(D22,J22,P22,V22)</f>
        <v>6</v>
      </c>
      <c r="AC22" s="174">
        <f t="shared" si="10"/>
        <v>4</v>
      </c>
      <c r="AD22" s="174">
        <f t="shared" si="10"/>
        <v>0</v>
      </c>
      <c r="AE22" s="174">
        <f t="shared" si="10"/>
        <v>0</v>
      </c>
      <c r="AF22" s="174">
        <f t="shared" si="10"/>
        <v>0</v>
      </c>
      <c r="AG22" s="174">
        <f t="shared" si="10"/>
        <v>0</v>
      </c>
      <c r="AH22" s="175">
        <f t="shared" ref="AH22:AL22" si="11">IF(AB22 = 0, 0, AB22/AB$20)</f>
        <v>1</v>
      </c>
      <c r="AI22" s="175">
        <f t="shared" si="11"/>
        <v>0.6666666667</v>
      </c>
      <c r="AJ22" s="175">
        <f t="shared" si="11"/>
        <v>0</v>
      </c>
      <c r="AK22" s="175">
        <f t="shared" si="11"/>
        <v>0</v>
      </c>
      <c r="AL22" s="175">
        <f t="shared" si="11"/>
        <v>0</v>
      </c>
      <c r="AM22" s="175">
        <f t="shared" si="12"/>
        <v>0</v>
      </c>
      <c r="AN22" s="174">
        <f>IF(OR(GradeSheet!$L11="W (Withdrawn)", GradeSheet!$L11="I (Incomplete)"), 0, IF(AH22&gt;=55%, 1, 0))</f>
        <v>1</v>
      </c>
      <c r="AO22" s="174">
        <f>IF(OR(GradeSheet!$L11="W (Withdrawn)", GradeSheet!$L11="I (Incomplete)"), 0, IF(AI22&gt;=55%, 1, 0))</f>
        <v>1</v>
      </c>
      <c r="AP22" s="174">
        <f>IF(OR(GradeSheet!$L11="W (Withdrawn)", GradeSheet!$L11="I (Incomplete)"), 0, IF(AJ22&gt;=55%, 1, 0))</f>
        <v>0</v>
      </c>
      <c r="AQ22" s="174">
        <f>IF(OR(GradeSheet!$L11="W (Withdrawn)", GradeSheet!$L11="I (Incomplete)"), 0, IF(AK22&gt;=55%, 1, 0))</f>
        <v>0</v>
      </c>
      <c r="AR22" s="174">
        <f>IF(OR(GradeSheet!$L11="W (Withdrawn)", GradeSheet!$L11="I (Incomplete)"), 0, IF(AL22&gt;=55%, 1, 0))</f>
        <v>0</v>
      </c>
      <c r="AS22" s="174">
        <f>IF(OR(GradeSheet!$L11="W (Withdrawn)", GradeSheet!$L11="I (Incomplete)"), 0, IF(AM22&gt;=55%, 1, 0))</f>
        <v>0</v>
      </c>
      <c r="AT22" s="136"/>
      <c r="AU22" s="183">
        <f t="array" ref="AU22">IF($AT$15=0,0,MMULT($AH22:$AM22, AT$9:AT$14)/$AT$15)</f>
        <v>0</v>
      </c>
      <c r="AV22" s="183">
        <f t="array" ref="AV22">IF($AT$15=0,0,MMULT($AH22:$AM22, AU$9:AU$14)/$AT$15)</f>
        <v>0</v>
      </c>
      <c r="AW22" s="183">
        <f t="array" ref="AW22">IF($AT$15=0,0,MMULT($AH22:$AM22, AV$9:AV$14)/$AT$15)</f>
        <v>0</v>
      </c>
      <c r="AX22" s="183">
        <f t="array" ref="AX22">IF($AT$15=0,0,MMULT($AH22:$AM22, AW$9:AW$14)/$AT$15)</f>
        <v>0</v>
      </c>
      <c r="AY22" s="183">
        <f t="array" ref="AY22">IF($AT$15=0,0,MMULT($AH22:$AM22, AX$9:AX$14)/$AT$15)</f>
        <v>0</v>
      </c>
      <c r="AZ22" s="183">
        <f t="array" ref="AZ22">IF($AT$15=0,0,MMULT($AH22:$AM22, AY$9:AY$14)/$AT$15)</f>
        <v>0</v>
      </c>
      <c r="BA22" s="183">
        <f t="array" ref="BA22">IF($AT$15=0,0,MMULT($AH22:$AM22, AZ$9:AZ$14)/$AT$15)</f>
        <v>0</v>
      </c>
      <c r="BB22" s="183">
        <f t="array" ref="BB22">IF($AT$15=0,0,MMULT($AH22:$AM22, BA$9:BA$14)/$AT$15)</f>
        <v>0</v>
      </c>
      <c r="BC22" s="183">
        <f t="array" ref="BC22">IF($AT$15=0,0,MMULT($AH22:$AM22, BB$9:BB$14)/$AT$15)</f>
        <v>0</v>
      </c>
      <c r="BD22" s="183">
        <f t="array" ref="BD22">IF($AT$15=0,0,MMULT($AH22:$AM22, BC$9:BC$14)/$AT$15)</f>
        <v>0</v>
      </c>
      <c r="BE22" s="183">
        <f t="array" ref="BE22">IF($AT$15=0,0,MMULT($AH22:$AM22, BD$9:BD$14)/$AT$15)</f>
        <v>0</v>
      </c>
      <c r="BF22" s="183">
        <f t="array" ref="BF22">IF($AT$15=0,0,MMULT($AH22:$AM22, BE$9:BE$14)/$AT$15)</f>
        <v>0</v>
      </c>
      <c r="BG22" s="188">
        <f>IF(OR(GradeSheet!$L11="W (Withdrawn)", GradeSheet!$L11="I (Incomplete)"), 0, IF(AU22&gt;=65%, 1, 0))</f>
        <v>0</v>
      </c>
      <c r="BH22" s="188">
        <f>IF(OR(GradeSheet!$L11="W (Withdrawn)", GradeSheet!$L11="I (Incomplete)"), 0, IF(AV22&gt;=65%, 1, 0))</f>
        <v>0</v>
      </c>
      <c r="BI22" s="188">
        <f>IF(OR(GradeSheet!$L11="W (Withdrawn)", GradeSheet!$L11="I (Incomplete)"), 0, IF(AW22&gt;=65%, 1, 0))</f>
        <v>0</v>
      </c>
      <c r="BJ22" s="188">
        <f>IF(OR(GradeSheet!$L11="W (Withdrawn)", GradeSheet!$L11="I (Incomplete)"), 0, IF(AX22&gt;=65%, 1, 0))</f>
        <v>0</v>
      </c>
      <c r="BK22" s="188">
        <f>IF(OR(GradeSheet!$L11="W (Withdrawn)", GradeSheet!$L11="I (Incomplete)"), 0, IF(AY22&gt;=65%, 1, 0))</f>
        <v>0</v>
      </c>
      <c r="BL22" s="188">
        <f>IF(OR(GradeSheet!$L11="W (Withdrawn)", GradeSheet!$L11="I (Incomplete)"), 0, IF(AZ22&gt;=65%, 1, 0))</f>
        <v>0</v>
      </c>
      <c r="BM22" s="188">
        <f>IF(OR(GradeSheet!$L11="W (Withdrawn)", GradeSheet!$L11="I (Incomplete)"), 0, IF(BA22&gt;=65%, 1, 0))</f>
        <v>0</v>
      </c>
      <c r="BN22" s="188">
        <f>IF(OR(GradeSheet!$L11="W (Withdrawn)", GradeSheet!$L11="I (Incomplete)"), 0, IF(BB22&gt;=65%, 1, 0))</f>
        <v>0</v>
      </c>
      <c r="BO22" s="188">
        <f>IF(OR(GradeSheet!$L11="W (Withdrawn)", GradeSheet!$L11="I (Incomplete)"), 0, IF(BC22&gt;=65%, 1, 0))</f>
        <v>0</v>
      </c>
      <c r="BP22" s="188">
        <f>IF(OR(GradeSheet!$L11="W (Withdrawn)", GradeSheet!$L11="I (Incomplete)"), 0, IF(BD22&gt;=65%, 1, 0))</f>
        <v>0</v>
      </c>
      <c r="BQ22" s="188">
        <f>IF(OR(GradeSheet!$L11="W (Withdrawn)", GradeSheet!$L11="I (Incomplete)"), 0, IF(BE22&gt;=65%, 1, 0))</f>
        <v>0</v>
      </c>
      <c r="BR22" s="188">
        <f>IF(OR(GradeSheet!$L11="W (Withdrawn)", GradeSheet!$L11="I (Incomplete)"), 0, IF(BF22&gt;=65%, 1, 0))</f>
        <v>0</v>
      </c>
    </row>
    <row r="23" ht="15.75" customHeight="1">
      <c r="A23" s="168">
        <v>3.0</v>
      </c>
      <c r="B23" s="169">
        <v>2.51014059E8</v>
      </c>
      <c r="C23" s="170" t="s">
        <v>115</v>
      </c>
      <c r="D23" s="171">
        <v>6.0</v>
      </c>
      <c r="E23" s="171">
        <v>4.0</v>
      </c>
      <c r="F23" s="171">
        <v>0.0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2">
        <v>0.0</v>
      </c>
      <c r="Q23" s="172">
        <v>0.0</v>
      </c>
      <c r="R23" s="172">
        <v>0.0</v>
      </c>
      <c r="S23" s="172">
        <v>0.0</v>
      </c>
      <c r="T23" s="172">
        <v>0.0</v>
      </c>
      <c r="U23" s="172">
        <v>0.0</v>
      </c>
      <c r="V23" s="172">
        <v>0.0</v>
      </c>
      <c r="W23" s="172">
        <v>0.0</v>
      </c>
      <c r="X23" s="172">
        <v>0.0</v>
      </c>
      <c r="Y23" s="172">
        <v>0.0</v>
      </c>
      <c r="Z23" s="172">
        <v>0.0</v>
      </c>
      <c r="AA23" s="172">
        <v>0.0</v>
      </c>
      <c r="AB23" s="174">
        <f t="shared" ref="AB23:AG23" si="13">SUM(D23,J23,P23,V23)</f>
        <v>6</v>
      </c>
      <c r="AC23" s="174">
        <f t="shared" si="13"/>
        <v>4</v>
      </c>
      <c r="AD23" s="174">
        <f t="shared" si="13"/>
        <v>0</v>
      </c>
      <c r="AE23" s="174">
        <f t="shared" si="13"/>
        <v>0</v>
      </c>
      <c r="AF23" s="174">
        <f t="shared" si="13"/>
        <v>0</v>
      </c>
      <c r="AG23" s="174">
        <f t="shared" si="13"/>
        <v>0</v>
      </c>
      <c r="AH23" s="175">
        <f t="shared" ref="AH23:AL23" si="14">IF(AB23 = 0, 0, AB23/AB$20)</f>
        <v>1</v>
      </c>
      <c r="AI23" s="175">
        <f t="shared" si="14"/>
        <v>0.6666666667</v>
      </c>
      <c r="AJ23" s="175">
        <f t="shared" si="14"/>
        <v>0</v>
      </c>
      <c r="AK23" s="175">
        <f t="shared" si="14"/>
        <v>0</v>
      </c>
      <c r="AL23" s="175">
        <f t="shared" si="14"/>
        <v>0</v>
      </c>
      <c r="AM23" s="175">
        <f t="shared" si="12"/>
        <v>0</v>
      </c>
      <c r="AN23" s="174">
        <f>IF(OR(GradeSheet!$L12="W (Withdrawn)", GradeSheet!$L12="I (Incomplete)"), 0, IF(AH23&gt;=55%, 1, 0))</f>
        <v>1</v>
      </c>
      <c r="AO23" s="174">
        <f>IF(OR(GradeSheet!$L12="W (Withdrawn)", GradeSheet!$L12="I (Incomplete)"), 0, IF(AI23&gt;=55%, 1, 0))</f>
        <v>1</v>
      </c>
      <c r="AP23" s="174">
        <f>IF(OR(GradeSheet!$L12="W (Withdrawn)", GradeSheet!$L12="I (Incomplete)"), 0, IF(AJ23&gt;=55%, 1, 0))</f>
        <v>0</v>
      </c>
      <c r="AQ23" s="174">
        <f>IF(OR(GradeSheet!$L12="W (Withdrawn)", GradeSheet!$L12="I (Incomplete)"), 0, IF(AK23&gt;=55%, 1, 0))</f>
        <v>0</v>
      </c>
      <c r="AR23" s="174">
        <f>IF(OR(GradeSheet!$L12="W (Withdrawn)", GradeSheet!$L12="I (Incomplete)"), 0, IF(AL23&gt;=55%, 1, 0))</f>
        <v>0</v>
      </c>
      <c r="AS23" s="174">
        <f>IF(OR(GradeSheet!$L12="W (Withdrawn)", GradeSheet!$L12="I (Incomplete)"), 0, IF(AM23&gt;=55%, 1, 0))</f>
        <v>0</v>
      </c>
      <c r="AT23" s="136"/>
      <c r="AU23" s="183">
        <f t="array" ref="AU23">IF($AT$15=0,0,MMULT($AH23:$AM23, AT$9:AT$14)/$AT$15)</f>
        <v>0</v>
      </c>
      <c r="AV23" s="183">
        <f t="array" ref="AV23">IF($AT$15=0,0,MMULT($AH23:$AM23, AU$9:AU$14)/$AT$15)</f>
        <v>0</v>
      </c>
      <c r="AW23" s="183">
        <f t="array" ref="AW23">IF($AT$15=0,0,MMULT($AH23:$AM23, AV$9:AV$14)/$AT$15)</f>
        <v>0</v>
      </c>
      <c r="AX23" s="183">
        <f t="array" ref="AX23">IF($AT$15=0,0,MMULT($AH23:$AM23, AW$9:AW$14)/$AT$15)</f>
        <v>0</v>
      </c>
      <c r="AY23" s="183">
        <f t="array" ref="AY23">IF($AT$15=0,0,MMULT($AH23:$AM23, AX$9:AX$14)/$AT$15)</f>
        <v>0</v>
      </c>
      <c r="AZ23" s="183">
        <f t="array" ref="AZ23">IF($AT$15=0,0,MMULT($AH23:$AM23, AY$9:AY$14)/$AT$15)</f>
        <v>0</v>
      </c>
      <c r="BA23" s="183">
        <f t="array" ref="BA23">IF($AT$15=0,0,MMULT($AH23:$AM23, AZ$9:AZ$14)/$AT$15)</f>
        <v>0</v>
      </c>
      <c r="BB23" s="183">
        <f t="array" ref="BB23">IF($AT$15=0,0,MMULT($AH23:$AM23, BA$9:BA$14)/$AT$15)</f>
        <v>0</v>
      </c>
      <c r="BC23" s="183">
        <f t="array" ref="BC23">IF($AT$15=0,0,MMULT($AH23:$AM23, BB$9:BB$14)/$AT$15)</f>
        <v>0</v>
      </c>
      <c r="BD23" s="183">
        <f t="array" ref="BD23">IF($AT$15=0,0,MMULT($AH23:$AM23, BC$9:BC$14)/$AT$15)</f>
        <v>0</v>
      </c>
      <c r="BE23" s="183">
        <f t="array" ref="BE23">IF($AT$15=0,0,MMULT($AH23:$AM23, BD$9:BD$14)/$AT$15)</f>
        <v>0</v>
      </c>
      <c r="BF23" s="183">
        <f t="array" ref="BF23">IF($AT$15=0,0,MMULT($AH23:$AM23, BE$9:BE$14)/$AT$15)</f>
        <v>0</v>
      </c>
      <c r="BG23" s="188">
        <f>IF(OR(GradeSheet!$L12="W (Withdrawn)", GradeSheet!$L12="I (Incomplete)"), 0, IF(AU23&gt;=65%, 1, 0))</f>
        <v>0</v>
      </c>
      <c r="BH23" s="188">
        <f>IF(OR(GradeSheet!$L12="W (Withdrawn)", GradeSheet!$L12="I (Incomplete)"), 0, IF(AV23&gt;=65%, 1, 0))</f>
        <v>0</v>
      </c>
      <c r="BI23" s="188">
        <f>IF(OR(GradeSheet!$L12="W (Withdrawn)", GradeSheet!$L12="I (Incomplete)"), 0, IF(AW23&gt;=65%, 1, 0))</f>
        <v>0</v>
      </c>
      <c r="BJ23" s="188">
        <f>IF(OR(GradeSheet!$L12="W (Withdrawn)", GradeSheet!$L12="I (Incomplete)"), 0, IF(AX23&gt;=65%, 1, 0))</f>
        <v>0</v>
      </c>
      <c r="BK23" s="188">
        <f>IF(OR(GradeSheet!$L12="W (Withdrawn)", GradeSheet!$L12="I (Incomplete)"), 0, IF(AY23&gt;=65%, 1, 0))</f>
        <v>0</v>
      </c>
      <c r="BL23" s="188">
        <f>IF(OR(GradeSheet!$L12="W (Withdrawn)", GradeSheet!$L12="I (Incomplete)"), 0, IF(AZ23&gt;=65%, 1, 0))</f>
        <v>0</v>
      </c>
      <c r="BM23" s="188">
        <f>IF(OR(GradeSheet!$L12="W (Withdrawn)", GradeSheet!$L12="I (Incomplete)"), 0, IF(BA23&gt;=65%, 1, 0))</f>
        <v>0</v>
      </c>
      <c r="BN23" s="188">
        <f>IF(OR(GradeSheet!$L12="W (Withdrawn)", GradeSheet!$L12="I (Incomplete)"), 0, IF(BB23&gt;=65%, 1, 0))</f>
        <v>0</v>
      </c>
      <c r="BO23" s="188">
        <f>IF(OR(GradeSheet!$L12="W (Withdrawn)", GradeSheet!$L12="I (Incomplete)"), 0, IF(BC23&gt;=65%, 1, 0))</f>
        <v>0</v>
      </c>
      <c r="BP23" s="188">
        <f>IF(OR(GradeSheet!$L12="W (Withdrawn)", GradeSheet!$L12="I (Incomplete)"), 0, IF(BD23&gt;=65%, 1, 0))</f>
        <v>0</v>
      </c>
      <c r="BQ23" s="188">
        <f>IF(OR(GradeSheet!$L12="W (Withdrawn)", GradeSheet!$L12="I (Incomplete)"), 0, IF(BE23&gt;=65%, 1, 0))</f>
        <v>0</v>
      </c>
      <c r="BR23" s="188">
        <f>IF(OR(GradeSheet!$L12="W (Withdrawn)", GradeSheet!$L12="I (Incomplete)"), 0, IF(BF23&gt;=65%, 1, 0))</f>
        <v>0</v>
      </c>
    </row>
    <row r="24" ht="15.75" customHeight="1">
      <c r="A24" s="168">
        <v>4.0</v>
      </c>
      <c r="B24" s="169">
        <v>2.52014038E8</v>
      </c>
      <c r="C24" s="170" t="s">
        <v>116</v>
      </c>
      <c r="D24" s="171">
        <v>6.0</v>
      </c>
      <c r="E24" s="171">
        <v>6.0</v>
      </c>
      <c r="F24" s="171">
        <v>0.0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2">
        <v>0.0</v>
      </c>
      <c r="Q24" s="172">
        <v>0.0</v>
      </c>
      <c r="R24" s="172">
        <v>0.0</v>
      </c>
      <c r="S24" s="172">
        <v>0.0</v>
      </c>
      <c r="T24" s="172">
        <v>0.0</v>
      </c>
      <c r="U24" s="172">
        <v>0.0</v>
      </c>
      <c r="V24" s="172">
        <v>0.0</v>
      </c>
      <c r="W24" s="172">
        <v>0.0</v>
      </c>
      <c r="X24" s="172">
        <v>0.0</v>
      </c>
      <c r="Y24" s="172">
        <v>0.0</v>
      </c>
      <c r="Z24" s="172">
        <v>0.0</v>
      </c>
      <c r="AA24" s="172">
        <v>0.0</v>
      </c>
      <c r="AB24" s="174">
        <f t="shared" ref="AB24:AG24" si="15">SUM(D24,J24,P24,V24)</f>
        <v>6</v>
      </c>
      <c r="AC24" s="174">
        <f t="shared" si="15"/>
        <v>6</v>
      </c>
      <c r="AD24" s="174">
        <f t="shared" si="15"/>
        <v>0</v>
      </c>
      <c r="AE24" s="174">
        <f t="shared" si="15"/>
        <v>0</v>
      </c>
      <c r="AF24" s="174">
        <f t="shared" si="15"/>
        <v>0</v>
      </c>
      <c r="AG24" s="174">
        <f t="shared" si="15"/>
        <v>0</v>
      </c>
      <c r="AH24" s="175">
        <f t="shared" ref="AH24:AL24" si="16">IF(AB24 = 0, 0, AB24/AB$20)</f>
        <v>1</v>
      </c>
      <c r="AI24" s="175">
        <f t="shared" si="16"/>
        <v>1</v>
      </c>
      <c r="AJ24" s="175">
        <f t="shared" si="16"/>
        <v>0</v>
      </c>
      <c r="AK24" s="175">
        <f t="shared" si="16"/>
        <v>0</v>
      </c>
      <c r="AL24" s="175">
        <f t="shared" si="16"/>
        <v>0</v>
      </c>
      <c r="AM24" s="175">
        <f t="shared" si="12"/>
        <v>0</v>
      </c>
      <c r="AN24" s="174">
        <f>IF(OR(GradeSheet!$L13="W (Withdrawn)", GradeSheet!$L13="I (Incomplete)"), 0, IF(AH24&gt;=55%, 1, 0))</f>
        <v>1</v>
      </c>
      <c r="AO24" s="174">
        <f>IF(OR(GradeSheet!$L13="W (Withdrawn)", GradeSheet!$L13="I (Incomplete)"), 0, IF(AI24&gt;=55%, 1, 0))</f>
        <v>1</v>
      </c>
      <c r="AP24" s="174">
        <f>IF(OR(GradeSheet!$L13="W (Withdrawn)", GradeSheet!$L13="I (Incomplete)"), 0, IF(AJ24&gt;=55%, 1, 0))</f>
        <v>0</v>
      </c>
      <c r="AQ24" s="174">
        <f>IF(OR(GradeSheet!$L13="W (Withdrawn)", GradeSheet!$L13="I (Incomplete)"), 0, IF(AK24&gt;=55%, 1, 0))</f>
        <v>0</v>
      </c>
      <c r="AR24" s="174">
        <f>IF(OR(GradeSheet!$L13="W (Withdrawn)", GradeSheet!$L13="I (Incomplete)"), 0, IF(AL24&gt;=55%, 1, 0))</f>
        <v>0</v>
      </c>
      <c r="AS24" s="174">
        <f>IF(OR(GradeSheet!$L13="W (Withdrawn)", GradeSheet!$L13="I (Incomplete)"), 0, IF(AM24&gt;=55%, 1, 0))</f>
        <v>0</v>
      </c>
      <c r="AT24" s="136"/>
      <c r="AU24" s="183">
        <f t="array" ref="AU24">IF($AT$15=0,0,MMULT($AH24:$AM24, AT$9:AT$14)/$AT$15)</f>
        <v>0</v>
      </c>
      <c r="AV24" s="183">
        <f t="array" ref="AV24">IF($AT$15=0,0,MMULT($AH24:$AM24, AU$9:AU$14)/$AT$15)</f>
        <v>0</v>
      </c>
      <c r="AW24" s="183">
        <f t="array" ref="AW24">IF($AT$15=0,0,MMULT($AH24:$AM24, AV$9:AV$14)/$AT$15)</f>
        <v>0</v>
      </c>
      <c r="AX24" s="183">
        <f t="array" ref="AX24">IF($AT$15=0,0,MMULT($AH24:$AM24, AW$9:AW$14)/$AT$15)</f>
        <v>0</v>
      </c>
      <c r="AY24" s="183">
        <f t="array" ref="AY24">IF($AT$15=0,0,MMULT($AH24:$AM24, AX$9:AX$14)/$AT$15)</f>
        <v>0</v>
      </c>
      <c r="AZ24" s="183">
        <f t="array" ref="AZ24">IF($AT$15=0,0,MMULT($AH24:$AM24, AY$9:AY$14)/$AT$15)</f>
        <v>0</v>
      </c>
      <c r="BA24" s="183">
        <f t="array" ref="BA24">IF($AT$15=0,0,MMULT($AH24:$AM24, AZ$9:AZ$14)/$AT$15)</f>
        <v>0</v>
      </c>
      <c r="BB24" s="183">
        <f t="array" ref="BB24">IF($AT$15=0,0,MMULT($AH24:$AM24, BA$9:BA$14)/$AT$15)</f>
        <v>0</v>
      </c>
      <c r="BC24" s="183">
        <f t="array" ref="BC24">IF($AT$15=0,0,MMULT($AH24:$AM24, BB$9:BB$14)/$AT$15)</f>
        <v>0</v>
      </c>
      <c r="BD24" s="183">
        <f t="array" ref="BD24">IF($AT$15=0,0,MMULT($AH24:$AM24, BC$9:BC$14)/$AT$15)</f>
        <v>0</v>
      </c>
      <c r="BE24" s="183">
        <f t="array" ref="BE24">IF($AT$15=0,0,MMULT($AH24:$AM24, BD$9:BD$14)/$AT$15)</f>
        <v>0</v>
      </c>
      <c r="BF24" s="183">
        <f t="array" ref="BF24">IF($AT$15=0,0,MMULT($AH24:$AM24, BE$9:BE$14)/$AT$15)</f>
        <v>0</v>
      </c>
      <c r="BG24" s="188">
        <f>IF(OR(GradeSheet!$L13="W (Withdrawn)", GradeSheet!$L13="I (Incomplete)"), 0, IF(AU24&gt;=65%, 1, 0))</f>
        <v>0</v>
      </c>
      <c r="BH24" s="188">
        <f>IF(OR(GradeSheet!$L13="W (Withdrawn)", GradeSheet!$L13="I (Incomplete)"), 0, IF(AV24&gt;=65%, 1, 0))</f>
        <v>0</v>
      </c>
      <c r="BI24" s="188">
        <f>IF(OR(GradeSheet!$L13="W (Withdrawn)", GradeSheet!$L13="I (Incomplete)"), 0, IF(AW24&gt;=65%, 1, 0))</f>
        <v>0</v>
      </c>
      <c r="BJ24" s="188">
        <f>IF(OR(GradeSheet!$L13="W (Withdrawn)", GradeSheet!$L13="I (Incomplete)"), 0, IF(AX24&gt;=65%, 1, 0))</f>
        <v>0</v>
      </c>
      <c r="BK24" s="188">
        <f>IF(OR(GradeSheet!$L13="W (Withdrawn)", GradeSheet!$L13="I (Incomplete)"), 0, IF(AY24&gt;=65%, 1, 0))</f>
        <v>0</v>
      </c>
      <c r="BL24" s="188">
        <f>IF(OR(GradeSheet!$L13="W (Withdrawn)", GradeSheet!$L13="I (Incomplete)"), 0, IF(AZ24&gt;=65%, 1, 0))</f>
        <v>0</v>
      </c>
      <c r="BM24" s="188">
        <f>IF(OR(GradeSheet!$L13="W (Withdrawn)", GradeSheet!$L13="I (Incomplete)"), 0, IF(BA24&gt;=65%, 1, 0))</f>
        <v>0</v>
      </c>
      <c r="BN24" s="188">
        <f>IF(OR(GradeSheet!$L13="W (Withdrawn)", GradeSheet!$L13="I (Incomplete)"), 0, IF(BB24&gt;=65%, 1, 0))</f>
        <v>0</v>
      </c>
      <c r="BO24" s="188">
        <f>IF(OR(GradeSheet!$L13="W (Withdrawn)", GradeSheet!$L13="I (Incomplete)"), 0, IF(BC24&gt;=65%, 1, 0))</f>
        <v>0</v>
      </c>
      <c r="BP24" s="188">
        <f>IF(OR(GradeSheet!$L13="W (Withdrawn)", GradeSheet!$L13="I (Incomplete)"), 0, IF(BD24&gt;=65%, 1, 0))</f>
        <v>0</v>
      </c>
      <c r="BQ24" s="188">
        <f>IF(OR(GradeSheet!$L13="W (Withdrawn)", GradeSheet!$L13="I (Incomplete)"), 0, IF(BE24&gt;=65%, 1, 0))</f>
        <v>0</v>
      </c>
      <c r="BR24" s="188">
        <f>IF(OR(GradeSheet!$L13="W (Withdrawn)", GradeSheet!$L13="I (Incomplete)"), 0, IF(BF24&gt;=65%, 1, 0))</f>
        <v>0</v>
      </c>
    </row>
    <row r="25" ht="15.75" customHeight="1">
      <c r="A25" s="168">
        <v>5.0</v>
      </c>
      <c r="B25" s="169">
        <v>2.52014076E8</v>
      </c>
      <c r="C25" s="170" t="s">
        <v>118</v>
      </c>
      <c r="D25" s="171">
        <v>6.0</v>
      </c>
      <c r="E25" s="171">
        <v>6.0</v>
      </c>
      <c r="F25" s="171">
        <v>0.0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2">
        <v>0.0</v>
      </c>
      <c r="Q25" s="172">
        <v>0.0</v>
      </c>
      <c r="R25" s="172">
        <v>0.0</v>
      </c>
      <c r="S25" s="172">
        <v>0.0</v>
      </c>
      <c r="T25" s="172">
        <v>0.0</v>
      </c>
      <c r="U25" s="172">
        <v>0.0</v>
      </c>
      <c r="V25" s="172">
        <v>0.0</v>
      </c>
      <c r="W25" s="172">
        <v>0.0</v>
      </c>
      <c r="X25" s="172">
        <v>0.0</v>
      </c>
      <c r="Y25" s="172">
        <v>0.0</v>
      </c>
      <c r="Z25" s="172">
        <v>0.0</v>
      </c>
      <c r="AA25" s="172">
        <v>0.0</v>
      </c>
      <c r="AB25" s="174">
        <f t="shared" ref="AB25:AG25" si="17">SUM(D25,J25,P25,V25)</f>
        <v>6</v>
      </c>
      <c r="AC25" s="174">
        <f t="shared" si="17"/>
        <v>6</v>
      </c>
      <c r="AD25" s="174">
        <f t="shared" si="17"/>
        <v>0</v>
      </c>
      <c r="AE25" s="174">
        <f t="shared" si="17"/>
        <v>0</v>
      </c>
      <c r="AF25" s="174">
        <f t="shared" si="17"/>
        <v>0</v>
      </c>
      <c r="AG25" s="174">
        <f t="shared" si="17"/>
        <v>0</v>
      </c>
      <c r="AH25" s="175">
        <f t="shared" ref="AH25:AL25" si="18">IF(AB25 = 0, 0, AB25/AB$20)</f>
        <v>1</v>
      </c>
      <c r="AI25" s="175">
        <f t="shared" si="18"/>
        <v>1</v>
      </c>
      <c r="AJ25" s="175">
        <f t="shared" si="18"/>
        <v>0</v>
      </c>
      <c r="AK25" s="175">
        <f t="shared" si="18"/>
        <v>0</v>
      </c>
      <c r="AL25" s="175">
        <f t="shared" si="18"/>
        <v>0</v>
      </c>
      <c r="AM25" s="175">
        <f t="shared" si="12"/>
        <v>0</v>
      </c>
      <c r="AN25" s="174">
        <f>IF(OR(GradeSheet!$L14="W (Withdrawn)", GradeSheet!$L14="I (Incomplete)"), 0, IF(AH25&gt;=55%, 1, 0))</f>
        <v>1</v>
      </c>
      <c r="AO25" s="174">
        <f>IF(OR(GradeSheet!$L14="W (Withdrawn)", GradeSheet!$L14="I (Incomplete)"), 0, IF(AI25&gt;=55%, 1, 0))</f>
        <v>1</v>
      </c>
      <c r="AP25" s="174">
        <f>IF(OR(GradeSheet!$L14="W (Withdrawn)", GradeSheet!$L14="I (Incomplete)"), 0, IF(AJ25&gt;=55%, 1, 0))</f>
        <v>0</v>
      </c>
      <c r="AQ25" s="174">
        <f>IF(OR(GradeSheet!$L14="W (Withdrawn)", GradeSheet!$L14="I (Incomplete)"), 0, IF(AK25&gt;=55%, 1, 0))</f>
        <v>0</v>
      </c>
      <c r="AR25" s="174">
        <f>IF(OR(GradeSheet!$L14="W (Withdrawn)", GradeSheet!$L14="I (Incomplete)"), 0, IF(AL25&gt;=55%, 1, 0))</f>
        <v>0</v>
      </c>
      <c r="AS25" s="174">
        <f>IF(OR(GradeSheet!$L14="W (Withdrawn)", GradeSheet!$L14="I (Incomplete)"), 0, IF(AM25&gt;=55%, 1, 0))</f>
        <v>0</v>
      </c>
      <c r="AT25" s="136"/>
      <c r="AU25" s="183">
        <f t="array" ref="AU25">IF($AT$15=0,0,MMULT($AH25:$AM25, AT$9:AT$14)/$AT$15)</f>
        <v>0</v>
      </c>
      <c r="AV25" s="183">
        <f t="array" ref="AV25">IF($AT$15=0,0,MMULT($AH25:$AM25, AU$9:AU$14)/$AT$15)</f>
        <v>0</v>
      </c>
      <c r="AW25" s="183">
        <f t="array" ref="AW25">IF($AT$15=0,0,MMULT($AH25:$AM25, AV$9:AV$14)/$AT$15)</f>
        <v>0</v>
      </c>
      <c r="AX25" s="183">
        <f t="array" ref="AX25">IF($AT$15=0,0,MMULT($AH25:$AM25, AW$9:AW$14)/$AT$15)</f>
        <v>0</v>
      </c>
      <c r="AY25" s="183">
        <f t="array" ref="AY25">IF($AT$15=0,0,MMULT($AH25:$AM25, AX$9:AX$14)/$AT$15)</f>
        <v>0</v>
      </c>
      <c r="AZ25" s="183">
        <f t="array" ref="AZ25">IF($AT$15=0,0,MMULT($AH25:$AM25, AY$9:AY$14)/$AT$15)</f>
        <v>0</v>
      </c>
      <c r="BA25" s="183">
        <f t="array" ref="BA25">IF($AT$15=0,0,MMULT($AH25:$AM25, AZ$9:AZ$14)/$AT$15)</f>
        <v>0</v>
      </c>
      <c r="BB25" s="183">
        <f t="array" ref="BB25">IF($AT$15=0,0,MMULT($AH25:$AM25, BA$9:BA$14)/$AT$15)</f>
        <v>0</v>
      </c>
      <c r="BC25" s="183">
        <f t="array" ref="BC25">IF($AT$15=0,0,MMULT($AH25:$AM25, BB$9:BB$14)/$AT$15)</f>
        <v>0</v>
      </c>
      <c r="BD25" s="183">
        <f t="array" ref="BD25">IF($AT$15=0,0,MMULT($AH25:$AM25, BC$9:BC$14)/$AT$15)</f>
        <v>0</v>
      </c>
      <c r="BE25" s="183">
        <f t="array" ref="BE25">IF($AT$15=0,0,MMULT($AH25:$AM25, BD$9:BD$14)/$AT$15)</f>
        <v>0</v>
      </c>
      <c r="BF25" s="183">
        <f t="array" ref="BF25">IF($AT$15=0,0,MMULT($AH25:$AM25, BE$9:BE$14)/$AT$15)</f>
        <v>0</v>
      </c>
      <c r="BG25" s="188">
        <f>IF(OR(GradeSheet!$L14="W (Withdrawn)", GradeSheet!$L14="I (Incomplete)"), 0, IF(AU25&gt;=65%, 1, 0))</f>
        <v>0</v>
      </c>
      <c r="BH25" s="188">
        <f>IF(OR(GradeSheet!$L14="W (Withdrawn)", GradeSheet!$L14="I (Incomplete)"), 0, IF(AV25&gt;=65%, 1, 0))</f>
        <v>0</v>
      </c>
      <c r="BI25" s="188">
        <f>IF(OR(GradeSheet!$L14="W (Withdrawn)", GradeSheet!$L14="I (Incomplete)"), 0, IF(AW25&gt;=65%, 1, 0))</f>
        <v>0</v>
      </c>
      <c r="BJ25" s="188">
        <f>IF(OR(GradeSheet!$L14="W (Withdrawn)", GradeSheet!$L14="I (Incomplete)"), 0, IF(AX25&gt;=65%, 1, 0))</f>
        <v>0</v>
      </c>
      <c r="BK25" s="188">
        <f>IF(OR(GradeSheet!$L14="W (Withdrawn)", GradeSheet!$L14="I (Incomplete)"), 0, IF(AY25&gt;=65%, 1, 0))</f>
        <v>0</v>
      </c>
      <c r="BL25" s="188">
        <f>IF(OR(GradeSheet!$L14="W (Withdrawn)", GradeSheet!$L14="I (Incomplete)"), 0, IF(AZ25&gt;=65%, 1, 0))</f>
        <v>0</v>
      </c>
      <c r="BM25" s="188">
        <f>IF(OR(GradeSheet!$L14="W (Withdrawn)", GradeSheet!$L14="I (Incomplete)"), 0, IF(BA25&gt;=65%, 1, 0))</f>
        <v>0</v>
      </c>
      <c r="BN25" s="188">
        <f>IF(OR(GradeSheet!$L14="W (Withdrawn)", GradeSheet!$L14="I (Incomplete)"), 0, IF(BB25&gt;=65%, 1, 0))</f>
        <v>0</v>
      </c>
      <c r="BO25" s="188">
        <f>IF(OR(GradeSheet!$L14="W (Withdrawn)", GradeSheet!$L14="I (Incomplete)"), 0, IF(BC25&gt;=65%, 1, 0))</f>
        <v>0</v>
      </c>
      <c r="BP25" s="188">
        <f>IF(OR(GradeSheet!$L14="W (Withdrawn)", GradeSheet!$L14="I (Incomplete)"), 0, IF(BD25&gt;=65%, 1, 0))</f>
        <v>0</v>
      </c>
      <c r="BQ25" s="188">
        <f>IF(OR(GradeSheet!$L14="W (Withdrawn)", GradeSheet!$L14="I (Incomplete)"), 0, IF(BE25&gt;=65%, 1, 0))</f>
        <v>0</v>
      </c>
      <c r="BR25" s="188">
        <f>IF(OR(GradeSheet!$L14="W (Withdrawn)", GradeSheet!$L14="I (Incomplete)"), 0, IF(BF25&gt;=65%, 1, 0))</f>
        <v>0</v>
      </c>
    </row>
    <row r="26" ht="15.75" customHeight="1">
      <c r="A26" s="168">
        <v>6.0</v>
      </c>
      <c r="B26" s="169">
        <v>2.52014084E8</v>
      </c>
      <c r="C26" s="170" t="s">
        <v>121</v>
      </c>
      <c r="D26" s="171">
        <v>0.0</v>
      </c>
      <c r="E26" s="171">
        <v>0.0</v>
      </c>
      <c r="F26" s="171">
        <v>0.0</v>
      </c>
      <c r="G26" s="171">
        <v>0.0</v>
      </c>
      <c r="H26" s="171">
        <v>0.0</v>
      </c>
      <c r="I26" s="171">
        <v>0.0</v>
      </c>
      <c r="J26" s="171">
        <v>0.0</v>
      </c>
      <c r="K26" s="171">
        <v>0.0</v>
      </c>
      <c r="L26" s="171">
        <v>0.0</v>
      </c>
      <c r="M26" s="171">
        <v>0.0</v>
      </c>
      <c r="N26" s="171">
        <v>0.0</v>
      </c>
      <c r="O26" s="171">
        <v>0.0</v>
      </c>
      <c r="P26" s="172">
        <v>0.0</v>
      </c>
      <c r="Q26" s="172">
        <v>0.0</v>
      </c>
      <c r="R26" s="172">
        <v>0.0</v>
      </c>
      <c r="S26" s="172">
        <v>0.0</v>
      </c>
      <c r="T26" s="172">
        <v>0.0</v>
      </c>
      <c r="U26" s="172">
        <v>0.0</v>
      </c>
      <c r="V26" s="172">
        <v>0.0</v>
      </c>
      <c r="W26" s="172">
        <v>0.0</v>
      </c>
      <c r="X26" s="172">
        <v>0.0</v>
      </c>
      <c r="Y26" s="172">
        <v>0.0</v>
      </c>
      <c r="Z26" s="172">
        <v>0.0</v>
      </c>
      <c r="AA26" s="172">
        <v>0.0</v>
      </c>
      <c r="AB26" s="174">
        <f t="shared" ref="AB26:AG26" si="19">SUM(D26,J26,P26,V26)</f>
        <v>0</v>
      </c>
      <c r="AC26" s="174">
        <f t="shared" si="19"/>
        <v>0</v>
      </c>
      <c r="AD26" s="174">
        <f t="shared" si="19"/>
        <v>0</v>
      </c>
      <c r="AE26" s="174">
        <f t="shared" si="19"/>
        <v>0</v>
      </c>
      <c r="AF26" s="174">
        <f t="shared" si="19"/>
        <v>0</v>
      </c>
      <c r="AG26" s="174">
        <f t="shared" si="19"/>
        <v>0</v>
      </c>
      <c r="AH26" s="175">
        <f t="shared" ref="AH26:AL26" si="20">IF(AB26 = 0, 0, AB26/AB$20)</f>
        <v>0</v>
      </c>
      <c r="AI26" s="175">
        <f t="shared" si="20"/>
        <v>0</v>
      </c>
      <c r="AJ26" s="175">
        <f t="shared" si="20"/>
        <v>0</v>
      </c>
      <c r="AK26" s="175">
        <f t="shared" si="20"/>
        <v>0</v>
      </c>
      <c r="AL26" s="175">
        <f t="shared" si="20"/>
        <v>0</v>
      </c>
      <c r="AM26" s="175">
        <f t="shared" si="12"/>
        <v>0</v>
      </c>
      <c r="AN26" s="174">
        <f>IF(OR(GradeSheet!$L15="W (Withdrawn)", GradeSheet!$L15="I (Incomplete)"), 0, IF(AH26&gt;=55%, 1, 0))</f>
        <v>0</v>
      </c>
      <c r="AO26" s="174">
        <f>IF(OR(GradeSheet!$L15="W (Withdrawn)", GradeSheet!$L15="I (Incomplete)"), 0, IF(AI26&gt;=55%, 1, 0))</f>
        <v>0</v>
      </c>
      <c r="AP26" s="174">
        <f>IF(OR(GradeSheet!$L15="W (Withdrawn)", GradeSheet!$L15="I (Incomplete)"), 0, IF(AJ26&gt;=55%, 1, 0))</f>
        <v>0</v>
      </c>
      <c r="AQ26" s="174">
        <f>IF(OR(GradeSheet!$L15="W (Withdrawn)", GradeSheet!$L15="I (Incomplete)"), 0, IF(AK26&gt;=55%, 1, 0))</f>
        <v>0</v>
      </c>
      <c r="AR26" s="174">
        <f>IF(OR(GradeSheet!$L15="W (Withdrawn)", GradeSheet!$L15="I (Incomplete)"), 0, IF(AL26&gt;=55%, 1, 0))</f>
        <v>0</v>
      </c>
      <c r="AS26" s="174">
        <f>IF(OR(GradeSheet!$L15="W (Withdrawn)", GradeSheet!$L15="I (Incomplete)"), 0, IF(AM26&gt;=55%, 1, 0))</f>
        <v>0</v>
      </c>
      <c r="AT26" s="136"/>
      <c r="AU26" s="183">
        <f t="array" ref="AU26">IF($AT$15=0,0,MMULT($AH26:$AM26, AT$9:AT$14)/$AT$15)</f>
        <v>0</v>
      </c>
      <c r="AV26" s="183">
        <f t="array" ref="AV26">IF($AT$15=0,0,MMULT($AH26:$AM26, AU$9:AU$14)/$AT$15)</f>
        <v>0</v>
      </c>
      <c r="AW26" s="183">
        <f t="array" ref="AW26">IF($AT$15=0,0,MMULT($AH26:$AM26, AV$9:AV$14)/$AT$15)</f>
        <v>0</v>
      </c>
      <c r="AX26" s="183">
        <f t="array" ref="AX26">IF($AT$15=0,0,MMULT($AH26:$AM26, AW$9:AW$14)/$AT$15)</f>
        <v>0</v>
      </c>
      <c r="AY26" s="183">
        <f t="array" ref="AY26">IF($AT$15=0,0,MMULT($AH26:$AM26, AX$9:AX$14)/$AT$15)</f>
        <v>0</v>
      </c>
      <c r="AZ26" s="183">
        <f t="array" ref="AZ26">IF($AT$15=0,0,MMULT($AH26:$AM26, AY$9:AY$14)/$AT$15)</f>
        <v>0</v>
      </c>
      <c r="BA26" s="183">
        <f t="array" ref="BA26">IF($AT$15=0,0,MMULT($AH26:$AM26, AZ$9:AZ$14)/$AT$15)</f>
        <v>0</v>
      </c>
      <c r="BB26" s="183">
        <f t="array" ref="BB26">IF($AT$15=0,0,MMULT($AH26:$AM26, BA$9:BA$14)/$AT$15)</f>
        <v>0</v>
      </c>
      <c r="BC26" s="183">
        <f t="array" ref="BC26">IF($AT$15=0,0,MMULT($AH26:$AM26, BB$9:BB$14)/$AT$15)</f>
        <v>0</v>
      </c>
      <c r="BD26" s="183">
        <f t="array" ref="BD26">IF($AT$15=0,0,MMULT($AH26:$AM26, BC$9:BC$14)/$AT$15)</f>
        <v>0</v>
      </c>
      <c r="BE26" s="183">
        <f t="array" ref="BE26">IF($AT$15=0,0,MMULT($AH26:$AM26, BD$9:BD$14)/$AT$15)</f>
        <v>0</v>
      </c>
      <c r="BF26" s="183">
        <f t="array" ref="BF26">IF($AT$15=0,0,MMULT($AH26:$AM26, BE$9:BE$14)/$AT$15)</f>
        <v>0</v>
      </c>
      <c r="BG26" s="188">
        <f>IF(OR(GradeSheet!$L15="W (Withdrawn)", GradeSheet!$L15="I (Incomplete)"), 0, IF(AU26&gt;=65%, 1, 0))</f>
        <v>0</v>
      </c>
      <c r="BH26" s="188">
        <f>IF(OR(GradeSheet!$L15="W (Withdrawn)", GradeSheet!$L15="I (Incomplete)"), 0, IF(AV26&gt;=65%, 1, 0))</f>
        <v>0</v>
      </c>
      <c r="BI26" s="188">
        <f>IF(OR(GradeSheet!$L15="W (Withdrawn)", GradeSheet!$L15="I (Incomplete)"), 0, IF(AW26&gt;=65%, 1, 0))</f>
        <v>0</v>
      </c>
      <c r="BJ26" s="188">
        <f>IF(OR(GradeSheet!$L15="W (Withdrawn)", GradeSheet!$L15="I (Incomplete)"), 0, IF(AX26&gt;=65%, 1, 0))</f>
        <v>0</v>
      </c>
      <c r="BK26" s="188">
        <f>IF(OR(GradeSheet!$L15="W (Withdrawn)", GradeSheet!$L15="I (Incomplete)"), 0, IF(AY26&gt;=65%, 1, 0))</f>
        <v>0</v>
      </c>
      <c r="BL26" s="188">
        <f>IF(OR(GradeSheet!$L15="W (Withdrawn)", GradeSheet!$L15="I (Incomplete)"), 0, IF(AZ26&gt;=65%, 1, 0))</f>
        <v>0</v>
      </c>
      <c r="BM26" s="188">
        <f>IF(OR(GradeSheet!$L15="W (Withdrawn)", GradeSheet!$L15="I (Incomplete)"), 0, IF(BA26&gt;=65%, 1, 0))</f>
        <v>0</v>
      </c>
      <c r="BN26" s="188">
        <f>IF(OR(GradeSheet!$L15="W (Withdrawn)", GradeSheet!$L15="I (Incomplete)"), 0, IF(BB26&gt;=65%, 1, 0))</f>
        <v>0</v>
      </c>
      <c r="BO26" s="188">
        <f>IF(OR(GradeSheet!$L15="W (Withdrawn)", GradeSheet!$L15="I (Incomplete)"), 0, IF(BC26&gt;=65%, 1, 0))</f>
        <v>0</v>
      </c>
      <c r="BP26" s="188">
        <f>IF(OR(GradeSheet!$L15="W (Withdrawn)", GradeSheet!$L15="I (Incomplete)"), 0, IF(BD26&gt;=65%, 1, 0))</f>
        <v>0</v>
      </c>
      <c r="BQ26" s="188">
        <f>IF(OR(GradeSheet!$L15="W (Withdrawn)", GradeSheet!$L15="I (Incomplete)"), 0, IF(BE26&gt;=65%, 1, 0))</f>
        <v>0</v>
      </c>
      <c r="BR26" s="188">
        <f>IF(OR(GradeSheet!$L15="W (Withdrawn)", GradeSheet!$L15="I (Incomplete)"), 0, IF(BF26&gt;=65%, 1, 0))</f>
        <v>0</v>
      </c>
    </row>
    <row r="27" ht="15.75" customHeight="1">
      <c r="A27" s="168">
        <v>7.0</v>
      </c>
      <c r="B27" s="169">
        <v>2.52014086E8</v>
      </c>
      <c r="C27" s="170" t="s">
        <v>134</v>
      </c>
      <c r="D27" s="171">
        <v>6.0</v>
      </c>
      <c r="E27" s="171">
        <v>6.0</v>
      </c>
      <c r="F27" s="171">
        <v>0.0</v>
      </c>
      <c r="G27" s="171">
        <v>0.0</v>
      </c>
      <c r="H27" s="171">
        <v>0.0</v>
      </c>
      <c r="I27" s="171">
        <v>0.0</v>
      </c>
      <c r="J27" s="171">
        <v>0.0</v>
      </c>
      <c r="K27" s="171">
        <v>0.0</v>
      </c>
      <c r="L27" s="171">
        <v>0.0</v>
      </c>
      <c r="M27" s="171">
        <v>0.0</v>
      </c>
      <c r="N27" s="171">
        <v>0.0</v>
      </c>
      <c r="O27" s="171">
        <v>0.0</v>
      </c>
      <c r="P27" s="172">
        <v>0.0</v>
      </c>
      <c r="Q27" s="172">
        <v>0.0</v>
      </c>
      <c r="R27" s="172">
        <v>0.0</v>
      </c>
      <c r="S27" s="172">
        <v>0.0</v>
      </c>
      <c r="T27" s="172">
        <v>0.0</v>
      </c>
      <c r="U27" s="172">
        <v>0.0</v>
      </c>
      <c r="V27" s="172">
        <v>0.0</v>
      </c>
      <c r="W27" s="172">
        <v>0.0</v>
      </c>
      <c r="X27" s="172">
        <v>0.0</v>
      </c>
      <c r="Y27" s="172">
        <v>0.0</v>
      </c>
      <c r="Z27" s="172">
        <v>0.0</v>
      </c>
      <c r="AA27" s="172">
        <v>0.0</v>
      </c>
      <c r="AB27" s="174">
        <f t="shared" ref="AB27:AG27" si="21">SUM(D27,J27,P27,V27)</f>
        <v>6</v>
      </c>
      <c r="AC27" s="174">
        <f t="shared" si="21"/>
        <v>6</v>
      </c>
      <c r="AD27" s="174">
        <f t="shared" si="21"/>
        <v>0</v>
      </c>
      <c r="AE27" s="174">
        <f t="shared" si="21"/>
        <v>0</v>
      </c>
      <c r="AF27" s="174">
        <f t="shared" si="21"/>
        <v>0</v>
      </c>
      <c r="AG27" s="174">
        <f t="shared" si="21"/>
        <v>0</v>
      </c>
      <c r="AH27" s="175">
        <f t="shared" ref="AH27:AL27" si="22">IF(AB27 = 0, 0, AB27/AB$20)</f>
        <v>1</v>
      </c>
      <c r="AI27" s="175">
        <f t="shared" si="22"/>
        <v>1</v>
      </c>
      <c r="AJ27" s="175">
        <f t="shared" si="22"/>
        <v>0</v>
      </c>
      <c r="AK27" s="175">
        <f t="shared" si="22"/>
        <v>0</v>
      </c>
      <c r="AL27" s="175">
        <f t="shared" si="22"/>
        <v>0</v>
      </c>
      <c r="AM27" s="175">
        <f t="shared" si="12"/>
        <v>0</v>
      </c>
      <c r="AN27" s="174">
        <f>IF(OR(GradeSheet!$L16="W (Withdrawn)", GradeSheet!$L16="I (Incomplete)"), 0, IF(AH27&gt;=55%, 1, 0))</f>
        <v>1</v>
      </c>
      <c r="AO27" s="174">
        <f>IF(OR(GradeSheet!$L16="W (Withdrawn)", GradeSheet!$L16="I (Incomplete)"), 0, IF(AI27&gt;=55%, 1, 0))</f>
        <v>1</v>
      </c>
      <c r="AP27" s="174">
        <f>IF(OR(GradeSheet!$L16="W (Withdrawn)", GradeSheet!$L16="I (Incomplete)"), 0, IF(AJ27&gt;=55%, 1, 0))</f>
        <v>0</v>
      </c>
      <c r="AQ27" s="174">
        <f>IF(OR(GradeSheet!$L16="W (Withdrawn)", GradeSheet!$L16="I (Incomplete)"), 0, IF(AK27&gt;=55%, 1, 0))</f>
        <v>0</v>
      </c>
      <c r="AR27" s="174">
        <f>IF(OR(GradeSheet!$L16="W (Withdrawn)", GradeSheet!$L16="I (Incomplete)"), 0, IF(AL27&gt;=55%, 1, 0))</f>
        <v>0</v>
      </c>
      <c r="AS27" s="174">
        <f>IF(OR(GradeSheet!$L16="W (Withdrawn)", GradeSheet!$L16="I (Incomplete)"), 0, IF(AM27&gt;=55%, 1, 0))</f>
        <v>0</v>
      </c>
      <c r="AT27" s="136"/>
      <c r="AU27" s="183">
        <f t="array" ref="AU27">IF($AT$15=0,0,MMULT($AH27:$AM27, AT$9:AT$14)/$AT$15)</f>
        <v>0</v>
      </c>
      <c r="AV27" s="183">
        <f t="array" ref="AV27">IF($AT$15=0,0,MMULT($AH27:$AM27, AU$9:AU$14)/$AT$15)</f>
        <v>0</v>
      </c>
      <c r="AW27" s="183">
        <f t="array" ref="AW27">IF($AT$15=0,0,MMULT($AH27:$AM27, AV$9:AV$14)/$AT$15)</f>
        <v>0</v>
      </c>
      <c r="AX27" s="183">
        <f t="array" ref="AX27">IF($AT$15=0,0,MMULT($AH27:$AM27, AW$9:AW$14)/$AT$15)</f>
        <v>0</v>
      </c>
      <c r="AY27" s="183">
        <f t="array" ref="AY27">IF($AT$15=0,0,MMULT($AH27:$AM27, AX$9:AX$14)/$AT$15)</f>
        <v>0</v>
      </c>
      <c r="AZ27" s="183">
        <f t="array" ref="AZ27">IF($AT$15=0,0,MMULT($AH27:$AM27, AY$9:AY$14)/$AT$15)</f>
        <v>0</v>
      </c>
      <c r="BA27" s="183">
        <f t="array" ref="BA27">IF($AT$15=0,0,MMULT($AH27:$AM27, AZ$9:AZ$14)/$AT$15)</f>
        <v>0</v>
      </c>
      <c r="BB27" s="183">
        <f t="array" ref="BB27">IF($AT$15=0,0,MMULT($AH27:$AM27, BA$9:BA$14)/$AT$15)</f>
        <v>0</v>
      </c>
      <c r="BC27" s="183">
        <f t="array" ref="BC27">IF($AT$15=0,0,MMULT($AH27:$AM27, BB$9:BB$14)/$AT$15)</f>
        <v>0</v>
      </c>
      <c r="BD27" s="183">
        <f t="array" ref="BD27">IF($AT$15=0,0,MMULT($AH27:$AM27, BC$9:BC$14)/$AT$15)</f>
        <v>0</v>
      </c>
      <c r="BE27" s="183">
        <f t="array" ref="BE27">IF($AT$15=0,0,MMULT($AH27:$AM27, BD$9:BD$14)/$AT$15)</f>
        <v>0</v>
      </c>
      <c r="BF27" s="183">
        <f t="array" ref="BF27">IF($AT$15=0,0,MMULT($AH27:$AM27, BE$9:BE$14)/$AT$15)</f>
        <v>0</v>
      </c>
      <c r="BG27" s="188">
        <f>IF(OR(GradeSheet!$L16="W (Withdrawn)", GradeSheet!$L16="I (Incomplete)"), 0, IF(AU27&gt;=65%, 1, 0))</f>
        <v>0</v>
      </c>
      <c r="BH27" s="188">
        <f>IF(OR(GradeSheet!$L16="W (Withdrawn)", GradeSheet!$L16="I (Incomplete)"), 0, IF(AV27&gt;=65%, 1, 0))</f>
        <v>0</v>
      </c>
      <c r="BI27" s="188">
        <f>IF(OR(GradeSheet!$L16="W (Withdrawn)", GradeSheet!$L16="I (Incomplete)"), 0, IF(AW27&gt;=65%, 1, 0))</f>
        <v>0</v>
      </c>
      <c r="BJ27" s="188">
        <f>IF(OR(GradeSheet!$L16="W (Withdrawn)", GradeSheet!$L16="I (Incomplete)"), 0, IF(AX27&gt;=65%, 1, 0))</f>
        <v>0</v>
      </c>
      <c r="BK27" s="188">
        <f>IF(OR(GradeSheet!$L16="W (Withdrawn)", GradeSheet!$L16="I (Incomplete)"), 0, IF(AY27&gt;=65%, 1, 0))</f>
        <v>0</v>
      </c>
      <c r="BL27" s="188">
        <f>IF(OR(GradeSheet!$L16="W (Withdrawn)", GradeSheet!$L16="I (Incomplete)"), 0, IF(AZ27&gt;=65%, 1, 0))</f>
        <v>0</v>
      </c>
      <c r="BM27" s="188">
        <f>IF(OR(GradeSheet!$L16="W (Withdrawn)", GradeSheet!$L16="I (Incomplete)"), 0, IF(BA27&gt;=65%, 1, 0))</f>
        <v>0</v>
      </c>
      <c r="BN27" s="188">
        <f>IF(OR(GradeSheet!$L16="W (Withdrawn)", GradeSheet!$L16="I (Incomplete)"), 0, IF(BB27&gt;=65%, 1, 0))</f>
        <v>0</v>
      </c>
      <c r="BO27" s="188">
        <f>IF(OR(GradeSheet!$L16="W (Withdrawn)", GradeSheet!$L16="I (Incomplete)"), 0, IF(BC27&gt;=65%, 1, 0))</f>
        <v>0</v>
      </c>
      <c r="BP27" s="188">
        <f>IF(OR(GradeSheet!$L16="W (Withdrawn)", GradeSheet!$L16="I (Incomplete)"), 0, IF(BD27&gt;=65%, 1, 0))</f>
        <v>0</v>
      </c>
      <c r="BQ27" s="188">
        <f>IF(OR(GradeSheet!$L16="W (Withdrawn)", GradeSheet!$L16="I (Incomplete)"), 0, IF(BE27&gt;=65%, 1, 0))</f>
        <v>0</v>
      </c>
      <c r="BR27" s="188">
        <f>IF(OR(GradeSheet!$L16="W (Withdrawn)", GradeSheet!$L16="I (Incomplete)"), 0, IF(BF27&gt;=65%, 1, 0))</f>
        <v>0</v>
      </c>
    </row>
    <row r="28" ht="15.75" customHeight="1">
      <c r="A28" s="168">
        <v>8.0</v>
      </c>
      <c r="B28" s="169">
        <v>2.52014106E8</v>
      </c>
      <c r="C28" s="170" t="s">
        <v>136</v>
      </c>
      <c r="D28" s="171">
        <v>6.0</v>
      </c>
      <c r="E28" s="171">
        <v>4.0</v>
      </c>
      <c r="F28" s="171">
        <v>0.0</v>
      </c>
      <c r="G28" s="171">
        <v>0.0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2">
        <v>0.0</v>
      </c>
      <c r="Q28" s="172">
        <v>0.0</v>
      </c>
      <c r="R28" s="172">
        <v>0.0</v>
      </c>
      <c r="S28" s="172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  <c r="Y28" s="172">
        <v>0.0</v>
      </c>
      <c r="Z28" s="172">
        <v>0.0</v>
      </c>
      <c r="AA28" s="172">
        <v>0.0</v>
      </c>
      <c r="AB28" s="174">
        <f t="shared" ref="AB28:AG28" si="23">SUM(D28,J28,P28,V28)</f>
        <v>6</v>
      </c>
      <c r="AC28" s="174">
        <f t="shared" si="23"/>
        <v>4</v>
      </c>
      <c r="AD28" s="174">
        <f t="shared" si="23"/>
        <v>0</v>
      </c>
      <c r="AE28" s="174">
        <f t="shared" si="23"/>
        <v>0</v>
      </c>
      <c r="AF28" s="174">
        <f t="shared" si="23"/>
        <v>0</v>
      </c>
      <c r="AG28" s="174">
        <f t="shared" si="23"/>
        <v>0</v>
      </c>
      <c r="AH28" s="175">
        <f t="shared" ref="AH28:AL28" si="24">IF(AB28 = 0, 0, AB28/AB$20)</f>
        <v>1</v>
      </c>
      <c r="AI28" s="175">
        <f t="shared" si="24"/>
        <v>0.6666666667</v>
      </c>
      <c r="AJ28" s="175">
        <f t="shared" si="24"/>
        <v>0</v>
      </c>
      <c r="AK28" s="175">
        <f t="shared" si="24"/>
        <v>0</v>
      </c>
      <c r="AL28" s="175">
        <f t="shared" si="24"/>
        <v>0</v>
      </c>
      <c r="AM28" s="175">
        <f t="shared" si="12"/>
        <v>0</v>
      </c>
      <c r="AN28" s="174">
        <f>IF(OR(GradeSheet!$L17="W (Withdrawn)", GradeSheet!$L17="I (Incomplete)"), 0, IF(AH28&gt;=55%, 1, 0))</f>
        <v>1</v>
      </c>
      <c r="AO28" s="174">
        <f>IF(OR(GradeSheet!$L17="W (Withdrawn)", GradeSheet!$L17="I (Incomplete)"), 0, IF(AI28&gt;=55%, 1, 0))</f>
        <v>1</v>
      </c>
      <c r="AP28" s="174">
        <f>IF(OR(GradeSheet!$L17="W (Withdrawn)", GradeSheet!$L17="I (Incomplete)"), 0, IF(AJ28&gt;=55%, 1, 0))</f>
        <v>0</v>
      </c>
      <c r="AQ28" s="174">
        <f>IF(OR(GradeSheet!$L17="W (Withdrawn)", GradeSheet!$L17="I (Incomplete)"), 0, IF(AK28&gt;=55%, 1, 0))</f>
        <v>0</v>
      </c>
      <c r="AR28" s="174">
        <f>IF(OR(GradeSheet!$L17="W (Withdrawn)", GradeSheet!$L17="I (Incomplete)"), 0, IF(AL28&gt;=55%, 1, 0))</f>
        <v>0</v>
      </c>
      <c r="AS28" s="174">
        <f>IF(OR(GradeSheet!$L17="W (Withdrawn)", GradeSheet!$L17="I (Incomplete)"), 0, IF(AM28&gt;=55%, 1, 0))</f>
        <v>0</v>
      </c>
      <c r="AT28" s="136"/>
      <c r="AU28" s="183">
        <f t="array" ref="AU28">IF($AT$15=0,0,MMULT($AH28:$AM28, AT$9:AT$14)/$AT$15)</f>
        <v>0</v>
      </c>
      <c r="AV28" s="183">
        <f t="array" ref="AV28">IF($AT$15=0,0,MMULT($AH28:$AM28, AU$9:AU$14)/$AT$15)</f>
        <v>0</v>
      </c>
      <c r="AW28" s="183">
        <f t="array" ref="AW28">IF($AT$15=0,0,MMULT($AH28:$AM28, AV$9:AV$14)/$AT$15)</f>
        <v>0</v>
      </c>
      <c r="AX28" s="183">
        <f t="array" ref="AX28">IF($AT$15=0,0,MMULT($AH28:$AM28, AW$9:AW$14)/$AT$15)</f>
        <v>0</v>
      </c>
      <c r="AY28" s="183">
        <f t="array" ref="AY28">IF($AT$15=0,0,MMULT($AH28:$AM28, AX$9:AX$14)/$AT$15)</f>
        <v>0</v>
      </c>
      <c r="AZ28" s="183">
        <f t="array" ref="AZ28">IF($AT$15=0,0,MMULT($AH28:$AM28, AY$9:AY$14)/$AT$15)</f>
        <v>0</v>
      </c>
      <c r="BA28" s="183">
        <f t="array" ref="BA28">IF($AT$15=0,0,MMULT($AH28:$AM28, AZ$9:AZ$14)/$AT$15)</f>
        <v>0</v>
      </c>
      <c r="BB28" s="183">
        <f t="array" ref="BB28">IF($AT$15=0,0,MMULT($AH28:$AM28, BA$9:BA$14)/$AT$15)</f>
        <v>0</v>
      </c>
      <c r="BC28" s="183">
        <f t="array" ref="BC28">IF($AT$15=0,0,MMULT($AH28:$AM28, BB$9:BB$14)/$AT$15)</f>
        <v>0</v>
      </c>
      <c r="BD28" s="183">
        <f t="array" ref="BD28">IF($AT$15=0,0,MMULT($AH28:$AM28, BC$9:BC$14)/$AT$15)</f>
        <v>0</v>
      </c>
      <c r="BE28" s="183">
        <f t="array" ref="BE28">IF($AT$15=0,0,MMULT($AH28:$AM28, BD$9:BD$14)/$AT$15)</f>
        <v>0</v>
      </c>
      <c r="BF28" s="183">
        <f t="array" ref="BF28">IF($AT$15=0,0,MMULT($AH28:$AM28, BE$9:BE$14)/$AT$15)</f>
        <v>0</v>
      </c>
      <c r="BG28" s="188">
        <f>IF(OR(GradeSheet!$L17="W (Withdrawn)", GradeSheet!$L17="I (Incomplete)"), 0, IF(AU28&gt;=65%, 1, 0))</f>
        <v>0</v>
      </c>
      <c r="BH28" s="188">
        <f>IF(OR(GradeSheet!$L17="W (Withdrawn)", GradeSheet!$L17="I (Incomplete)"), 0, IF(AV28&gt;=65%, 1, 0))</f>
        <v>0</v>
      </c>
      <c r="BI28" s="188">
        <f>IF(OR(GradeSheet!$L17="W (Withdrawn)", GradeSheet!$L17="I (Incomplete)"), 0, IF(AW28&gt;=65%, 1, 0))</f>
        <v>0</v>
      </c>
      <c r="BJ28" s="188">
        <f>IF(OR(GradeSheet!$L17="W (Withdrawn)", GradeSheet!$L17="I (Incomplete)"), 0, IF(AX28&gt;=65%, 1, 0))</f>
        <v>0</v>
      </c>
      <c r="BK28" s="188">
        <f>IF(OR(GradeSheet!$L17="W (Withdrawn)", GradeSheet!$L17="I (Incomplete)"), 0, IF(AY28&gt;=65%, 1, 0))</f>
        <v>0</v>
      </c>
      <c r="BL28" s="188">
        <f>IF(OR(GradeSheet!$L17="W (Withdrawn)", GradeSheet!$L17="I (Incomplete)"), 0, IF(AZ28&gt;=65%, 1, 0))</f>
        <v>0</v>
      </c>
      <c r="BM28" s="188">
        <f>IF(OR(GradeSheet!$L17="W (Withdrawn)", GradeSheet!$L17="I (Incomplete)"), 0, IF(BA28&gt;=65%, 1, 0))</f>
        <v>0</v>
      </c>
      <c r="BN28" s="188">
        <f>IF(OR(GradeSheet!$L17="W (Withdrawn)", GradeSheet!$L17="I (Incomplete)"), 0, IF(BB28&gt;=65%, 1, 0))</f>
        <v>0</v>
      </c>
      <c r="BO28" s="188">
        <f>IF(OR(GradeSheet!$L17="W (Withdrawn)", GradeSheet!$L17="I (Incomplete)"), 0, IF(BC28&gt;=65%, 1, 0))</f>
        <v>0</v>
      </c>
      <c r="BP28" s="188">
        <f>IF(OR(GradeSheet!$L17="W (Withdrawn)", GradeSheet!$L17="I (Incomplete)"), 0, IF(BD28&gt;=65%, 1, 0))</f>
        <v>0</v>
      </c>
      <c r="BQ28" s="188">
        <f>IF(OR(GradeSheet!$L17="W (Withdrawn)", GradeSheet!$L17="I (Incomplete)"), 0, IF(BE28&gt;=65%, 1, 0))</f>
        <v>0</v>
      </c>
      <c r="BR28" s="188">
        <f>IF(OR(GradeSheet!$L17="W (Withdrawn)", GradeSheet!$L17="I (Incomplete)"), 0, IF(BF28&gt;=65%, 1, 0))</f>
        <v>0</v>
      </c>
    </row>
    <row r="29" ht="15.75" customHeight="1">
      <c r="A29" s="168">
        <v>9.0</v>
      </c>
      <c r="B29" s="169">
        <v>2.53014001E8</v>
      </c>
      <c r="C29" s="170" t="s">
        <v>154</v>
      </c>
      <c r="D29" s="171">
        <v>6.0</v>
      </c>
      <c r="E29" s="171">
        <v>4.0</v>
      </c>
      <c r="F29" s="171">
        <v>0.0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2">
        <v>0.0</v>
      </c>
      <c r="Q29" s="172">
        <v>0.0</v>
      </c>
      <c r="R29" s="172">
        <v>0.0</v>
      </c>
      <c r="S29" s="172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  <c r="Y29" s="172">
        <v>0.0</v>
      </c>
      <c r="Z29" s="172">
        <v>0.0</v>
      </c>
      <c r="AA29" s="172">
        <v>0.0</v>
      </c>
      <c r="AB29" s="174">
        <f t="shared" ref="AB29:AG29" si="25">SUM(D29,J29,P29,V29)</f>
        <v>6</v>
      </c>
      <c r="AC29" s="174">
        <f t="shared" si="25"/>
        <v>4</v>
      </c>
      <c r="AD29" s="174">
        <f t="shared" si="25"/>
        <v>0</v>
      </c>
      <c r="AE29" s="174">
        <f t="shared" si="25"/>
        <v>0</v>
      </c>
      <c r="AF29" s="174">
        <f t="shared" si="25"/>
        <v>0</v>
      </c>
      <c r="AG29" s="174">
        <f t="shared" si="25"/>
        <v>0</v>
      </c>
      <c r="AH29" s="175">
        <f t="shared" ref="AH29:AL29" si="26">IF(AB29 = 0, 0, AB29/AB$20)</f>
        <v>1</v>
      </c>
      <c r="AI29" s="175">
        <f t="shared" si="26"/>
        <v>0.6666666667</v>
      </c>
      <c r="AJ29" s="175">
        <f t="shared" si="26"/>
        <v>0</v>
      </c>
      <c r="AK29" s="175">
        <f t="shared" si="26"/>
        <v>0</v>
      </c>
      <c r="AL29" s="175">
        <f t="shared" si="26"/>
        <v>0</v>
      </c>
      <c r="AM29" s="175">
        <f t="shared" si="12"/>
        <v>0</v>
      </c>
      <c r="AN29" s="174">
        <f>IF(OR(GradeSheet!$L18="W (Withdrawn)", GradeSheet!$L18="I (Incomplete)"), 0, IF(AH29&gt;=55%, 1, 0))</f>
        <v>1</v>
      </c>
      <c r="AO29" s="174">
        <f>IF(OR(GradeSheet!$L18="W (Withdrawn)", GradeSheet!$L18="I (Incomplete)"), 0, IF(AI29&gt;=55%, 1, 0))</f>
        <v>1</v>
      </c>
      <c r="AP29" s="174">
        <f>IF(OR(GradeSheet!$L18="W (Withdrawn)", GradeSheet!$L18="I (Incomplete)"), 0, IF(AJ29&gt;=55%, 1, 0))</f>
        <v>0</v>
      </c>
      <c r="AQ29" s="174">
        <f>IF(OR(GradeSheet!$L18="W (Withdrawn)", GradeSheet!$L18="I (Incomplete)"), 0, IF(AK29&gt;=55%, 1, 0))</f>
        <v>0</v>
      </c>
      <c r="AR29" s="174">
        <f>IF(OR(GradeSheet!$L18="W (Withdrawn)", GradeSheet!$L18="I (Incomplete)"), 0, IF(AL29&gt;=55%, 1, 0))</f>
        <v>0</v>
      </c>
      <c r="AS29" s="174">
        <f>IF(OR(GradeSheet!$L18="W (Withdrawn)", GradeSheet!$L18="I (Incomplete)"), 0, IF(AM29&gt;=55%, 1, 0))</f>
        <v>0</v>
      </c>
      <c r="AT29" s="136"/>
      <c r="AU29" s="183">
        <f t="array" ref="AU29">IF($AT$15=0,0,MMULT($AH29:$AM29, AT$9:AT$14)/$AT$15)</f>
        <v>0</v>
      </c>
      <c r="AV29" s="183">
        <f t="array" ref="AV29">IF($AT$15=0,0,MMULT($AH29:$AM29, AU$9:AU$14)/$AT$15)</f>
        <v>0</v>
      </c>
      <c r="AW29" s="183">
        <f t="array" ref="AW29">IF($AT$15=0,0,MMULT($AH29:$AM29, AV$9:AV$14)/$AT$15)</f>
        <v>0</v>
      </c>
      <c r="AX29" s="183">
        <f t="array" ref="AX29">IF($AT$15=0,0,MMULT($AH29:$AM29, AW$9:AW$14)/$AT$15)</f>
        <v>0</v>
      </c>
      <c r="AY29" s="183">
        <f t="array" ref="AY29">IF($AT$15=0,0,MMULT($AH29:$AM29, AX$9:AX$14)/$AT$15)</f>
        <v>0</v>
      </c>
      <c r="AZ29" s="183">
        <f t="array" ref="AZ29">IF($AT$15=0,0,MMULT($AH29:$AM29, AY$9:AY$14)/$AT$15)</f>
        <v>0</v>
      </c>
      <c r="BA29" s="183">
        <f t="array" ref="BA29">IF($AT$15=0,0,MMULT($AH29:$AM29, AZ$9:AZ$14)/$AT$15)</f>
        <v>0</v>
      </c>
      <c r="BB29" s="183">
        <f t="array" ref="BB29">IF($AT$15=0,0,MMULT($AH29:$AM29, BA$9:BA$14)/$AT$15)</f>
        <v>0</v>
      </c>
      <c r="BC29" s="183">
        <f t="array" ref="BC29">IF($AT$15=0,0,MMULT($AH29:$AM29, BB$9:BB$14)/$AT$15)</f>
        <v>0</v>
      </c>
      <c r="BD29" s="183">
        <f t="array" ref="BD29">IF($AT$15=0,0,MMULT($AH29:$AM29, BC$9:BC$14)/$AT$15)</f>
        <v>0</v>
      </c>
      <c r="BE29" s="183">
        <f t="array" ref="BE29">IF($AT$15=0,0,MMULT($AH29:$AM29, BD$9:BD$14)/$AT$15)</f>
        <v>0</v>
      </c>
      <c r="BF29" s="183">
        <f t="array" ref="BF29">IF($AT$15=0,0,MMULT($AH29:$AM29, BE$9:BE$14)/$AT$15)</f>
        <v>0</v>
      </c>
      <c r="BG29" s="188">
        <f>IF(OR(GradeSheet!$L18="W (Withdrawn)", GradeSheet!$L18="I (Incomplete)"), 0, IF(AU29&gt;=65%, 1, 0))</f>
        <v>0</v>
      </c>
      <c r="BH29" s="188">
        <f>IF(OR(GradeSheet!$L18="W (Withdrawn)", GradeSheet!$L18="I (Incomplete)"), 0, IF(AV29&gt;=65%, 1, 0))</f>
        <v>0</v>
      </c>
      <c r="BI29" s="188">
        <f>IF(OR(GradeSheet!$L18="W (Withdrawn)", GradeSheet!$L18="I (Incomplete)"), 0, IF(AW29&gt;=65%, 1, 0))</f>
        <v>0</v>
      </c>
      <c r="BJ29" s="188">
        <f>IF(OR(GradeSheet!$L18="W (Withdrawn)", GradeSheet!$L18="I (Incomplete)"), 0, IF(AX29&gt;=65%, 1, 0))</f>
        <v>0</v>
      </c>
      <c r="BK29" s="188">
        <f>IF(OR(GradeSheet!$L18="W (Withdrawn)", GradeSheet!$L18="I (Incomplete)"), 0, IF(AY29&gt;=65%, 1, 0))</f>
        <v>0</v>
      </c>
      <c r="BL29" s="188">
        <f>IF(OR(GradeSheet!$L18="W (Withdrawn)", GradeSheet!$L18="I (Incomplete)"), 0, IF(AZ29&gt;=65%, 1, 0))</f>
        <v>0</v>
      </c>
      <c r="BM29" s="188">
        <f>IF(OR(GradeSheet!$L18="W (Withdrawn)", GradeSheet!$L18="I (Incomplete)"), 0, IF(BA29&gt;=65%, 1, 0))</f>
        <v>0</v>
      </c>
      <c r="BN29" s="188">
        <f>IF(OR(GradeSheet!$L18="W (Withdrawn)", GradeSheet!$L18="I (Incomplete)"), 0, IF(BB29&gt;=65%, 1, 0))</f>
        <v>0</v>
      </c>
      <c r="BO29" s="188">
        <f>IF(OR(GradeSheet!$L18="W (Withdrawn)", GradeSheet!$L18="I (Incomplete)"), 0, IF(BC29&gt;=65%, 1, 0))</f>
        <v>0</v>
      </c>
      <c r="BP29" s="188">
        <f>IF(OR(GradeSheet!$L18="W (Withdrawn)", GradeSheet!$L18="I (Incomplete)"), 0, IF(BD29&gt;=65%, 1, 0))</f>
        <v>0</v>
      </c>
      <c r="BQ29" s="188">
        <f>IF(OR(GradeSheet!$L18="W (Withdrawn)", GradeSheet!$L18="I (Incomplete)"), 0, IF(BE29&gt;=65%, 1, 0))</f>
        <v>0</v>
      </c>
      <c r="BR29" s="188">
        <f>IF(OR(GradeSheet!$L18="W (Withdrawn)", GradeSheet!$L18="I (Incomplete)"), 0, IF(BF29&gt;=65%, 1, 0))</f>
        <v>0</v>
      </c>
    </row>
    <row r="30" ht="15.75" customHeight="1">
      <c r="A30" s="168">
        <v>10.0</v>
      </c>
      <c r="B30" s="169">
        <v>2.53014005E8</v>
      </c>
      <c r="C30" s="170" t="s">
        <v>155</v>
      </c>
      <c r="D30" s="171">
        <v>6.0</v>
      </c>
      <c r="E30" s="171">
        <v>6.0</v>
      </c>
      <c r="F30" s="171">
        <v>0.0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2">
        <v>0.0</v>
      </c>
      <c r="Q30" s="172">
        <v>0.0</v>
      </c>
      <c r="R30" s="172">
        <v>0.0</v>
      </c>
      <c r="S30" s="172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  <c r="Y30" s="172">
        <v>0.0</v>
      </c>
      <c r="Z30" s="172">
        <v>0.0</v>
      </c>
      <c r="AA30" s="172">
        <v>0.0</v>
      </c>
      <c r="AB30" s="174">
        <f t="shared" ref="AB30:AG30" si="27">SUM(D30,J30,P30,V30)</f>
        <v>6</v>
      </c>
      <c r="AC30" s="174">
        <f t="shared" si="27"/>
        <v>6</v>
      </c>
      <c r="AD30" s="174">
        <f t="shared" si="27"/>
        <v>0</v>
      </c>
      <c r="AE30" s="174">
        <f t="shared" si="27"/>
        <v>0</v>
      </c>
      <c r="AF30" s="174">
        <f t="shared" si="27"/>
        <v>0</v>
      </c>
      <c r="AG30" s="174">
        <f t="shared" si="27"/>
        <v>0</v>
      </c>
      <c r="AH30" s="175">
        <f t="shared" ref="AH30:AL30" si="28">IF(AB30 = 0, 0, AB30/AB$20)</f>
        <v>1</v>
      </c>
      <c r="AI30" s="175">
        <f t="shared" si="28"/>
        <v>1</v>
      </c>
      <c r="AJ30" s="175">
        <f t="shared" si="28"/>
        <v>0</v>
      </c>
      <c r="AK30" s="175">
        <f t="shared" si="28"/>
        <v>0</v>
      </c>
      <c r="AL30" s="175">
        <f t="shared" si="28"/>
        <v>0</v>
      </c>
      <c r="AM30" s="175">
        <f t="shared" si="12"/>
        <v>0</v>
      </c>
      <c r="AN30" s="174">
        <f>IF(OR(GradeSheet!$L19="W (Withdrawn)", GradeSheet!$L19="I (Incomplete)"), 0, IF(AH30&gt;=55%, 1, 0))</f>
        <v>1</v>
      </c>
      <c r="AO30" s="174">
        <f>IF(OR(GradeSheet!$L19="W (Withdrawn)", GradeSheet!$L19="I (Incomplete)"), 0, IF(AI30&gt;=55%, 1, 0))</f>
        <v>1</v>
      </c>
      <c r="AP30" s="174">
        <f>IF(OR(GradeSheet!$L19="W (Withdrawn)", GradeSheet!$L19="I (Incomplete)"), 0, IF(AJ30&gt;=55%, 1, 0))</f>
        <v>0</v>
      </c>
      <c r="AQ30" s="174">
        <f>IF(OR(GradeSheet!$L19="W (Withdrawn)", GradeSheet!$L19="I (Incomplete)"), 0, IF(AK30&gt;=55%, 1, 0))</f>
        <v>0</v>
      </c>
      <c r="AR30" s="174">
        <f>IF(OR(GradeSheet!$L19="W (Withdrawn)", GradeSheet!$L19="I (Incomplete)"), 0, IF(AL30&gt;=55%, 1, 0))</f>
        <v>0</v>
      </c>
      <c r="AS30" s="174">
        <f>IF(OR(GradeSheet!$L19="W (Withdrawn)", GradeSheet!$L19="I (Incomplete)"), 0, IF(AM30&gt;=55%, 1, 0))</f>
        <v>0</v>
      </c>
      <c r="AT30" s="136"/>
      <c r="AU30" s="183">
        <f t="array" ref="AU30">IF($AT$15=0,0,MMULT($AH30:$AM30, AT$9:AT$14)/$AT$15)</f>
        <v>0</v>
      </c>
      <c r="AV30" s="183">
        <f t="array" ref="AV30">IF($AT$15=0,0,MMULT($AH30:$AM30, AU$9:AU$14)/$AT$15)</f>
        <v>0</v>
      </c>
      <c r="AW30" s="183">
        <f t="array" ref="AW30">IF($AT$15=0,0,MMULT($AH30:$AM30, AV$9:AV$14)/$AT$15)</f>
        <v>0</v>
      </c>
      <c r="AX30" s="183">
        <f t="array" ref="AX30">IF($AT$15=0,0,MMULT($AH30:$AM30, AW$9:AW$14)/$AT$15)</f>
        <v>0</v>
      </c>
      <c r="AY30" s="183">
        <f t="array" ref="AY30">IF($AT$15=0,0,MMULT($AH30:$AM30, AX$9:AX$14)/$AT$15)</f>
        <v>0</v>
      </c>
      <c r="AZ30" s="183">
        <f t="array" ref="AZ30">IF($AT$15=0,0,MMULT($AH30:$AM30, AY$9:AY$14)/$AT$15)</f>
        <v>0</v>
      </c>
      <c r="BA30" s="183">
        <f t="array" ref="BA30">IF($AT$15=0,0,MMULT($AH30:$AM30, AZ$9:AZ$14)/$AT$15)</f>
        <v>0</v>
      </c>
      <c r="BB30" s="183">
        <f t="array" ref="BB30">IF($AT$15=0,0,MMULT($AH30:$AM30, BA$9:BA$14)/$AT$15)</f>
        <v>0</v>
      </c>
      <c r="BC30" s="183">
        <f t="array" ref="BC30">IF($AT$15=0,0,MMULT($AH30:$AM30, BB$9:BB$14)/$AT$15)</f>
        <v>0</v>
      </c>
      <c r="BD30" s="183">
        <f t="array" ref="BD30">IF($AT$15=0,0,MMULT($AH30:$AM30, BC$9:BC$14)/$AT$15)</f>
        <v>0</v>
      </c>
      <c r="BE30" s="183">
        <f t="array" ref="BE30">IF($AT$15=0,0,MMULT($AH30:$AM30, BD$9:BD$14)/$AT$15)</f>
        <v>0</v>
      </c>
      <c r="BF30" s="183">
        <f t="array" ref="BF30">IF($AT$15=0,0,MMULT($AH30:$AM30, BE$9:BE$14)/$AT$15)</f>
        <v>0</v>
      </c>
      <c r="BG30" s="188">
        <f>IF(OR(GradeSheet!$L19="W (Withdrawn)", GradeSheet!$L19="I (Incomplete)"), 0, IF(AU30&gt;=65%, 1, 0))</f>
        <v>0</v>
      </c>
      <c r="BH30" s="188">
        <f>IF(OR(GradeSheet!$L19="W (Withdrawn)", GradeSheet!$L19="I (Incomplete)"), 0, IF(AV30&gt;=65%, 1, 0))</f>
        <v>0</v>
      </c>
      <c r="BI30" s="188">
        <f>IF(OR(GradeSheet!$L19="W (Withdrawn)", GradeSheet!$L19="I (Incomplete)"), 0, IF(AW30&gt;=65%, 1, 0))</f>
        <v>0</v>
      </c>
      <c r="BJ30" s="188">
        <f>IF(OR(GradeSheet!$L19="W (Withdrawn)", GradeSheet!$L19="I (Incomplete)"), 0, IF(AX30&gt;=65%, 1, 0))</f>
        <v>0</v>
      </c>
      <c r="BK30" s="188">
        <f>IF(OR(GradeSheet!$L19="W (Withdrawn)", GradeSheet!$L19="I (Incomplete)"), 0, IF(AY30&gt;=65%, 1, 0))</f>
        <v>0</v>
      </c>
      <c r="BL30" s="188">
        <f>IF(OR(GradeSheet!$L19="W (Withdrawn)", GradeSheet!$L19="I (Incomplete)"), 0, IF(AZ30&gt;=65%, 1, 0))</f>
        <v>0</v>
      </c>
      <c r="BM30" s="188">
        <f>IF(OR(GradeSheet!$L19="W (Withdrawn)", GradeSheet!$L19="I (Incomplete)"), 0, IF(BA30&gt;=65%, 1, 0))</f>
        <v>0</v>
      </c>
      <c r="BN30" s="188">
        <f>IF(OR(GradeSheet!$L19="W (Withdrawn)", GradeSheet!$L19="I (Incomplete)"), 0, IF(BB30&gt;=65%, 1, 0))</f>
        <v>0</v>
      </c>
      <c r="BO30" s="188">
        <f>IF(OR(GradeSheet!$L19="W (Withdrawn)", GradeSheet!$L19="I (Incomplete)"), 0, IF(BC30&gt;=65%, 1, 0))</f>
        <v>0</v>
      </c>
      <c r="BP30" s="188">
        <f>IF(OR(GradeSheet!$L19="W (Withdrawn)", GradeSheet!$L19="I (Incomplete)"), 0, IF(BD30&gt;=65%, 1, 0))</f>
        <v>0</v>
      </c>
      <c r="BQ30" s="188">
        <f>IF(OR(GradeSheet!$L19="W (Withdrawn)", GradeSheet!$L19="I (Incomplete)"), 0, IF(BE30&gt;=65%, 1, 0))</f>
        <v>0</v>
      </c>
      <c r="BR30" s="188">
        <f>IF(OR(GradeSheet!$L19="W (Withdrawn)", GradeSheet!$L19="I (Incomplete)"), 0, IF(BF30&gt;=65%, 1, 0))</f>
        <v>0</v>
      </c>
    </row>
    <row r="31" ht="15.75" customHeight="1">
      <c r="A31" s="168">
        <v>11.0</v>
      </c>
      <c r="B31" s="169">
        <v>2.53014006E8</v>
      </c>
      <c r="C31" s="170" t="s">
        <v>158</v>
      </c>
      <c r="D31" s="171">
        <v>6.0</v>
      </c>
      <c r="E31" s="171">
        <v>6.0</v>
      </c>
      <c r="F31" s="171">
        <v>0.0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2">
        <v>0.0</v>
      </c>
      <c r="Q31" s="172">
        <v>0.0</v>
      </c>
      <c r="R31" s="172">
        <v>0.0</v>
      </c>
      <c r="S31" s="172">
        <v>0.0</v>
      </c>
      <c r="T31" s="172">
        <v>0.0</v>
      </c>
      <c r="U31" s="172">
        <v>0.0</v>
      </c>
      <c r="V31" s="172">
        <v>0.0</v>
      </c>
      <c r="W31" s="172">
        <v>0.0</v>
      </c>
      <c r="X31" s="172">
        <v>0.0</v>
      </c>
      <c r="Y31" s="172">
        <v>0.0</v>
      </c>
      <c r="Z31" s="172">
        <v>0.0</v>
      </c>
      <c r="AA31" s="172">
        <v>0.0</v>
      </c>
      <c r="AB31" s="174">
        <f t="shared" ref="AB31:AG31" si="29">SUM(D31,J31,P31,V31)</f>
        <v>6</v>
      </c>
      <c r="AC31" s="174">
        <f t="shared" si="29"/>
        <v>6</v>
      </c>
      <c r="AD31" s="174">
        <f t="shared" si="29"/>
        <v>0</v>
      </c>
      <c r="AE31" s="174">
        <f t="shared" si="29"/>
        <v>0</v>
      </c>
      <c r="AF31" s="174">
        <f t="shared" si="29"/>
        <v>0</v>
      </c>
      <c r="AG31" s="174">
        <f t="shared" si="29"/>
        <v>0</v>
      </c>
      <c r="AH31" s="175">
        <f t="shared" ref="AH31:AL31" si="30">IF(AB31 = 0, 0, AB31/AB$20)</f>
        <v>1</v>
      </c>
      <c r="AI31" s="175">
        <f t="shared" si="30"/>
        <v>1</v>
      </c>
      <c r="AJ31" s="175">
        <f t="shared" si="30"/>
        <v>0</v>
      </c>
      <c r="AK31" s="175">
        <f t="shared" si="30"/>
        <v>0</v>
      </c>
      <c r="AL31" s="175">
        <f t="shared" si="30"/>
        <v>0</v>
      </c>
      <c r="AM31" s="175">
        <f t="shared" si="12"/>
        <v>0</v>
      </c>
      <c r="AN31" s="174">
        <f>IF(OR(GradeSheet!$L20="W (Withdrawn)", GradeSheet!$L20="I (Incomplete)"), 0, IF(AH31&gt;=55%, 1, 0))</f>
        <v>1</v>
      </c>
      <c r="AO31" s="174">
        <f>IF(OR(GradeSheet!$L20="W (Withdrawn)", GradeSheet!$L20="I (Incomplete)"), 0, IF(AI31&gt;=55%, 1, 0))</f>
        <v>1</v>
      </c>
      <c r="AP31" s="174">
        <f>IF(OR(GradeSheet!$L20="W (Withdrawn)", GradeSheet!$L20="I (Incomplete)"), 0, IF(AJ31&gt;=55%, 1, 0))</f>
        <v>0</v>
      </c>
      <c r="AQ31" s="174">
        <f>IF(OR(GradeSheet!$L20="W (Withdrawn)", GradeSheet!$L20="I (Incomplete)"), 0, IF(AK31&gt;=55%, 1, 0))</f>
        <v>0</v>
      </c>
      <c r="AR31" s="174">
        <f>IF(OR(GradeSheet!$L20="W (Withdrawn)", GradeSheet!$L20="I (Incomplete)"), 0, IF(AL31&gt;=55%, 1, 0))</f>
        <v>0</v>
      </c>
      <c r="AS31" s="174">
        <f>IF(OR(GradeSheet!$L20="W (Withdrawn)", GradeSheet!$L20="I (Incomplete)"), 0, IF(AM31&gt;=55%, 1, 0))</f>
        <v>0</v>
      </c>
      <c r="AT31" s="136"/>
      <c r="AU31" s="183">
        <f t="array" ref="AU31">IF($AT$15=0,0,MMULT($AH31:$AM31, AT$9:AT$14)/$AT$15)</f>
        <v>0</v>
      </c>
      <c r="AV31" s="183">
        <f t="array" ref="AV31">IF($AT$15=0,0,MMULT($AH31:$AM31, AU$9:AU$14)/$AT$15)</f>
        <v>0</v>
      </c>
      <c r="AW31" s="183">
        <f t="array" ref="AW31">IF($AT$15=0,0,MMULT($AH31:$AM31, AV$9:AV$14)/$AT$15)</f>
        <v>0</v>
      </c>
      <c r="AX31" s="183">
        <f t="array" ref="AX31">IF($AT$15=0,0,MMULT($AH31:$AM31, AW$9:AW$14)/$AT$15)</f>
        <v>0</v>
      </c>
      <c r="AY31" s="183">
        <f t="array" ref="AY31">IF($AT$15=0,0,MMULT($AH31:$AM31, AX$9:AX$14)/$AT$15)</f>
        <v>0</v>
      </c>
      <c r="AZ31" s="183">
        <f t="array" ref="AZ31">IF($AT$15=0,0,MMULT($AH31:$AM31, AY$9:AY$14)/$AT$15)</f>
        <v>0</v>
      </c>
      <c r="BA31" s="183">
        <f t="array" ref="BA31">IF($AT$15=0,0,MMULT($AH31:$AM31, AZ$9:AZ$14)/$AT$15)</f>
        <v>0</v>
      </c>
      <c r="BB31" s="183">
        <f t="array" ref="BB31">IF($AT$15=0,0,MMULT($AH31:$AM31, BA$9:BA$14)/$AT$15)</f>
        <v>0</v>
      </c>
      <c r="BC31" s="183">
        <f t="array" ref="BC31">IF($AT$15=0,0,MMULT($AH31:$AM31, BB$9:BB$14)/$AT$15)</f>
        <v>0</v>
      </c>
      <c r="BD31" s="183">
        <f t="array" ref="BD31">IF($AT$15=0,0,MMULT($AH31:$AM31, BC$9:BC$14)/$AT$15)</f>
        <v>0</v>
      </c>
      <c r="BE31" s="183">
        <f t="array" ref="BE31">IF($AT$15=0,0,MMULT($AH31:$AM31, BD$9:BD$14)/$AT$15)</f>
        <v>0</v>
      </c>
      <c r="BF31" s="183">
        <f t="array" ref="BF31">IF($AT$15=0,0,MMULT($AH31:$AM31, BE$9:BE$14)/$AT$15)</f>
        <v>0</v>
      </c>
      <c r="BG31" s="188">
        <f>IF(OR(GradeSheet!$L20="W (Withdrawn)", GradeSheet!$L20="I (Incomplete)"), 0, IF(AU31&gt;=65%, 1, 0))</f>
        <v>0</v>
      </c>
      <c r="BH31" s="188">
        <f>IF(OR(GradeSheet!$L20="W (Withdrawn)", GradeSheet!$L20="I (Incomplete)"), 0, IF(AV31&gt;=65%, 1, 0))</f>
        <v>0</v>
      </c>
      <c r="BI31" s="188">
        <f>IF(OR(GradeSheet!$L20="W (Withdrawn)", GradeSheet!$L20="I (Incomplete)"), 0, IF(AW31&gt;=65%, 1, 0))</f>
        <v>0</v>
      </c>
      <c r="BJ31" s="188">
        <f>IF(OR(GradeSheet!$L20="W (Withdrawn)", GradeSheet!$L20="I (Incomplete)"), 0, IF(AX31&gt;=65%, 1, 0))</f>
        <v>0</v>
      </c>
      <c r="BK31" s="188">
        <f>IF(OR(GradeSheet!$L20="W (Withdrawn)", GradeSheet!$L20="I (Incomplete)"), 0, IF(AY31&gt;=65%, 1, 0))</f>
        <v>0</v>
      </c>
      <c r="BL31" s="188">
        <f>IF(OR(GradeSheet!$L20="W (Withdrawn)", GradeSheet!$L20="I (Incomplete)"), 0, IF(AZ31&gt;=65%, 1, 0))</f>
        <v>0</v>
      </c>
      <c r="BM31" s="188">
        <f>IF(OR(GradeSheet!$L20="W (Withdrawn)", GradeSheet!$L20="I (Incomplete)"), 0, IF(BA31&gt;=65%, 1, 0))</f>
        <v>0</v>
      </c>
      <c r="BN31" s="188">
        <f>IF(OR(GradeSheet!$L20="W (Withdrawn)", GradeSheet!$L20="I (Incomplete)"), 0, IF(BB31&gt;=65%, 1, 0))</f>
        <v>0</v>
      </c>
      <c r="BO31" s="188">
        <f>IF(OR(GradeSheet!$L20="W (Withdrawn)", GradeSheet!$L20="I (Incomplete)"), 0, IF(BC31&gt;=65%, 1, 0))</f>
        <v>0</v>
      </c>
      <c r="BP31" s="188">
        <f>IF(OR(GradeSheet!$L20="W (Withdrawn)", GradeSheet!$L20="I (Incomplete)"), 0, IF(BD31&gt;=65%, 1, 0))</f>
        <v>0</v>
      </c>
      <c r="BQ31" s="188">
        <f>IF(OR(GradeSheet!$L20="W (Withdrawn)", GradeSheet!$L20="I (Incomplete)"), 0, IF(BE31&gt;=65%, 1, 0))</f>
        <v>0</v>
      </c>
      <c r="BR31" s="188">
        <f>IF(OR(GradeSheet!$L20="W (Withdrawn)", GradeSheet!$L20="I (Incomplete)"), 0, IF(BF31&gt;=65%, 1, 0))</f>
        <v>0</v>
      </c>
    </row>
    <row r="32" ht="15.75" customHeight="1">
      <c r="A32" s="168">
        <v>12.0</v>
      </c>
      <c r="B32" s="169">
        <v>2.5301401E8</v>
      </c>
      <c r="C32" s="170" t="s">
        <v>161</v>
      </c>
      <c r="D32" s="171">
        <v>6.0</v>
      </c>
      <c r="E32" s="171">
        <v>6.0</v>
      </c>
      <c r="F32" s="171">
        <v>0.0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2">
        <v>0.0</v>
      </c>
      <c r="Q32" s="172">
        <v>0.0</v>
      </c>
      <c r="R32" s="172">
        <v>0.0</v>
      </c>
      <c r="S32" s="172">
        <v>0.0</v>
      </c>
      <c r="T32" s="172">
        <v>0.0</v>
      </c>
      <c r="U32" s="172">
        <v>0.0</v>
      </c>
      <c r="V32" s="172">
        <v>0.0</v>
      </c>
      <c r="W32" s="172">
        <v>0.0</v>
      </c>
      <c r="X32" s="172">
        <v>0.0</v>
      </c>
      <c r="Y32" s="172">
        <v>0.0</v>
      </c>
      <c r="Z32" s="172">
        <v>0.0</v>
      </c>
      <c r="AA32" s="172">
        <v>0.0</v>
      </c>
      <c r="AB32" s="174">
        <f t="shared" ref="AB32:AG32" si="31">SUM(D32,J32,P32,V32)</f>
        <v>6</v>
      </c>
      <c r="AC32" s="174">
        <f t="shared" si="31"/>
        <v>6</v>
      </c>
      <c r="AD32" s="174">
        <f t="shared" si="31"/>
        <v>0</v>
      </c>
      <c r="AE32" s="174">
        <f t="shared" si="31"/>
        <v>0</v>
      </c>
      <c r="AF32" s="174">
        <f t="shared" si="31"/>
        <v>0</v>
      </c>
      <c r="AG32" s="174">
        <f t="shared" si="31"/>
        <v>0</v>
      </c>
      <c r="AH32" s="175">
        <f t="shared" ref="AH32:AL32" si="32">IF(AB32 = 0, 0, AB32/AB$20)</f>
        <v>1</v>
      </c>
      <c r="AI32" s="175">
        <f t="shared" si="32"/>
        <v>1</v>
      </c>
      <c r="AJ32" s="175">
        <f t="shared" si="32"/>
        <v>0</v>
      </c>
      <c r="AK32" s="175">
        <f t="shared" si="32"/>
        <v>0</v>
      </c>
      <c r="AL32" s="175">
        <f t="shared" si="32"/>
        <v>0</v>
      </c>
      <c r="AM32" s="175">
        <f t="shared" si="12"/>
        <v>0</v>
      </c>
      <c r="AN32" s="174">
        <f>IF(OR(GradeSheet!$L21="W (Withdrawn)", GradeSheet!$L21="I (Incomplete)"), 0, IF(AH32&gt;=55%, 1, 0))</f>
        <v>1</v>
      </c>
      <c r="AO32" s="174">
        <f>IF(OR(GradeSheet!$L21="W (Withdrawn)", GradeSheet!$L21="I (Incomplete)"), 0, IF(AI32&gt;=55%, 1, 0))</f>
        <v>1</v>
      </c>
      <c r="AP32" s="174">
        <f>IF(OR(GradeSheet!$L21="W (Withdrawn)", GradeSheet!$L21="I (Incomplete)"), 0, IF(AJ32&gt;=55%, 1, 0))</f>
        <v>0</v>
      </c>
      <c r="AQ32" s="174">
        <f>IF(OR(GradeSheet!$L21="W (Withdrawn)", GradeSheet!$L21="I (Incomplete)"), 0, IF(AK32&gt;=55%, 1, 0))</f>
        <v>0</v>
      </c>
      <c r="AR32" s="174">
        <f>IF(OR(GradeSheet!$L21="W (Withdrawn)", GradeSheet!$L21="I (Incomplete)"), 0, IF(AL32&gt;=55%, 1, 0))</f>
        <v>0</v>
      </c>
      <c r="AS32" s="174">
        <f>IF(OR(GradeSheet!$L21="W (Withdrawn)", GradeSheet!$L21="I (Incomplete)"), 0, IF(AM32&gt;=55%, 1, 0))</f>
        <v>0</v>
      </c>
      <c r="AT32" s="136"/>
      <c r="AU32" s="183">
        <f t="array" ref="AU32">IF($AT$15=0,0,MMULT($AH32:$AM32, AT$9:AT$14)/$AT$15)</f>
        <v>0</v>
      </c>
      <c r="AV32" s="183">
        <f t="array" ref="AV32">IF($AT$15=0,0,MMULT($AH32:$AM32, AU$9:AU$14)/$AT$15)</f>
        <v>0</v>
      </c>
      <c r="AW32" s="183">
        <f t="array" ref="AW32">IF($AT$15=0,0,MMULT($AH32:$AM32, AV$9:AV$14)/$AT$15)</f>
        <v>0</v>
      </c>
      <c r="AX32" s="183">
        <f t="array" ref="AX32">IF($AT$15=0,0,MMULT($AH32:$AM32, AW$9:AW$14)/$AT$15)</f>
        <v>0</v>
      </c>
      <c r="AY32" s="183">
        <f t="array" ref="AY32">IF($AT$15=0,0,MMULT($AH32:$AM32, AX$9:AX$14)/$AT$15)</f>
        <v>0</v>
      </c>
      <c r="AZ32" s="183">
        <f t="array" ref="AZ32">IF($AT$15=0,0,MMULT($AH32:$AM32, AY$9:AY$14)/$AT$15)</f>
        <v>0</v>
      </c>
      <c r="BA32" s="183">
        <f t="array" ref="BA32">IF($AT$15=0,0,MMULT($AH32:$AM32, AZ$9:AZ$14)/$AT$15)</f>
        <v>0</v>
      </c>
      <c r="BB32" s="183">
        <f t="array" ref="BB32">IF($AT$15=0,0,MMULT($AH32:$AM32, BA$9:BA$14)/$AT$15)</f>
        <v>0</v>
      </c>
      <c r="BC32" s="183">
        <f t="array" ref="BC32">IF($AT$15=0,0,MMULT($AH32:$AM32, BB$9:BB$14)/$AT$15)</f>
        <v>0</v>
      </c>
      <c r="BD32" s="183">
        <f t="array" ref="BD32">IF($AT$15=0,0,MMULT($AH32:$AM32, BC$9:BC$14)/$AT$15)</f>
        <v>0</v>
      </c>
      <c r="BE32" s="183">
        <f t="array" ref="BE32">IF($AT$15=0,0,MMULT($AH32:$AM32, BD$9:BD$14)/$AT$15)</f>
        <v>0</v>
      </c>
      <c r="BF32" s="183">
        <f t="array" ref="BF32">IF($AT$15=0,0,MMULT($AH32:$AM32, BE$9:BE$14)/$AT$15)</f>
        <v>0</v>
      </c>
      <c r="BG32" s="188">
        <f>IF(OR(GradeSheet!$L21="W (Withdrawn)", GradeSheet!$L21="I (Incomplete)"), 0, IF(AU32&gt;=65%, 1, 0))</f>
        <v>0</v>
      </c>
      <c r="BH32" s="188">
        <f>IF(OR(GradeSheet!$L21="W (Withdrawn)", GradeSheet!$L21="I (Incomplete)"), 0, IF(AV32&gt;=65%, 1, 0))</f>
        <v>0</v>
      </c>
      <c r="BI32" s="188">
        <f>IF(OR(GradeSheet!$L21="W (Withdrawn)", GradeSheet!$L21="I (Incomplete)"), 0, IF(AW32&gt;=65%, 1, 0))</f>
        <v>0</v>
      </c>
      <c r="BJ32" s="188">
        <f>IF(OR(GradeSheet!$L21="W (Withdrawn)", GradeSheet!$L21="I (Incomplete)"), 0, IF(AX32&gt;=65%, 1, 0))</f>
        <v>0</v>
      </c>
      <c r="BK32" s="188">
        <f>IF(OR(GradeSheet!$L21="W (Withdrawn)", GradeSheet!$L21="I (Incomplete)"), 0, IF(AY32&gt;=65%, 1, 0))</f>
        <v>0</v>
      </c>
      <c r="BL32" s="188">
        <f>IF(OR(GradeSheet!$L21="W (Withdrawn)", GradeSheet!$L21="I (Incomplete)"), 0, IF(AZ32&gt;=65%, 1, 0))</f>
        <v>0</v>
      </c>
      <c r="BM32" s="188">
        <f>IF(OR(GradeSheet!$L21="W (Withdrawn)", GradeSheet!$L21="I (Incomplete)"), 0, IF(BA32&gt;=65%, 1, 0))</f>
        <v>0</v>
      </c>
      <c r="BN32" s="188">
        <f>IF(OR(GradeSheet!$L21="W (Withdrawn)", GradeSheet!$L21="I (Incomplete)"), 0, IF(BB32&gt;=65%, 1, 0))</f>
        <v>0</v>
      </c>
      <c r="BO32" s="188">
        <f>IF(OR(GradeSheet!$L21="W (Withdrawn)", GradeSheet!$L21="I (Incomplete)"), 0, IF(BC32&gt;=65%, 1, 0))</f>
        <v>0</v>
      </c>
      <c r="BP32" s="188">
        <f>IF(OR(GradeSheet!$L21="W (Withdrawn)", GradeSheet!$L21="I (Incomplete)"), 0, IF(BD32&gt;=65%, 1, 0))</f>
        <v>0</v>
      </c>
      <c r="BQ32" s="188">
        <f>IF(OR(GradeSheet!$L21="W (Withdrawn)", GradeSheet!$L21="I (Incomplete)"), 0, IF(BE32&gt;=65%, 1, 0))</f>
        <v>0</v>
      </c>
      <c r="BR32" s="188">
        <f>IF(OR(GradeSheet!$L21="W (Withdrawn)", GradeSheet!$L21="I (Incomplete)"), 0, IF(BF32&gt;=65%, 1, 0))</f>
        <v>0</v>
      </c>
    </row>
    <row r="33" ht="15.75" customHeight="1">
      <c r="A33" s="168">
        <v>13.0</v>
      </c>
      <c r="B33" s="169">
        <v>2.53014012E8</v>
      </c>
      <c r="C33" s="170" t="s">
        <v>164</v>
      </c>
      <c r="D33" s="171">
        <v>0.0</v>
      </c>
      <c r="E33" s="171">
        <v>0.0</v>
      </c>
      <c r="F33" s="171">
        <v>0.0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2">
        <v>0.0</v>
      </c>
      <c r="Q33" s="172">
        <v>0.0</v>
      </c>
      <c r="R33" s="172">
        <v>0.0</v>
      </c>
      <c r="S33" s="172">
        <v>0.0</v>
      </c>
      <c r="T33" s="172">
        <v>0.0</v>
      </c>
      <c r="U33" s="172">
        <v>0.0</v>
      </c>
      <c r="V33" s="172">
        <v>0.0</v>
      </c>
      <c r="W33" s="172">
        <v>0.0</v>
      </c>
      <c r="X33" s="172">
        <v>0.0</v>
      </c>
      <c r="Y33" s="172">
        <v>0.0</v>
      </c>
      <c r="Z33" s="172">
        <v>0.0</v>
      </c>
      <c r="AA33" s="172">
        <v>0.0</v>
      </c>
      <c r="AB33" s="174">
        <f t="shared" ref="AB33:AG33" si="33">SUM(D33,J33,P33,V33)</f>
        <v>0</v>
      </c>
      <c r="AC33" s="174">
        <f t="shared" si="33"/>
        <v>0</v>
      </c>
      <c r="AD33" s="174">
        <f t="shared" si="33"/>
        <v>0</v>
      </c>
      <c r="AE33" s="174">
        <f t="shared" si="33"/>
        <v>0</v>
      </c>
      <c r="AF33" s="174">
        <f t="shared" si="33"/>
        <v>0</v>
      </c>
      <c r="AG33" s="174">
        <f t="shared" si="33"/>
        <v>0</v>
      </c>
      <c r="AH33" s="175">
        <f t="shared" ref="AH33:AL33" si="34">IF(AB33 = 0, 0, AB33/AB$20)</f>
        <v>0</v>
      </c>
      <c r="AI33" s="175">
        <f t="shared" si="34"/>
        <v>0</v>
      </c>
      <c r="AJ33" s="175">
        <f t="shared" si="34"/>
        <v>0</v>
      </c>
      <c r="AK33" s="175">
        <f t="shared" si="34"/>
        <v>0</v>
      </c>
      <c r="AL33" s="175">
        <f t="shared" si="34"/>
        <v>0</v>
      </c>
      <c r="AM33" s="175">
        <f t="shared" si="12"/>
        <v>0</v>
      </c>
      <c r="AN33" s="174">
        <f>IF(OR(GradeSheet!$L22="W (Withdrawn)", GradeSheet!$L22="I (Incomplete)"), 0, IF(AH33&gt;=55%, 1, 0))</f>
        <v>0</v>
      </c>
      <c r="AO33" s="174">
        <f>IF(OR(GradeSheet!$L22="W (Withdrawn)", GradeSheet!$L22="I (Incomplete)"), 0, IF(AI33&gt;=55%, 1, 0))</f>
        <v>0</v>
      </c>
      <c r="AP33" s="174">
        <f>IF(OR(GradeSheet!$L22="W (Withdrawn)", GradeSheet!$L22="I (Incomplete)"), 0, IF(AJ33&gt;=55%, 1, 0))</f>
        <v>0</v>
      </c>
      <c r="AQ33" s="174">
        <f>IF(OR(GradeSheet!$L22="W (Withdrawn)", GradeSheet!$L22="I (Incomplete)"), 0, IF(AK33&gt;=55%, 1, 0))</f>
        <v>0</v>
      </c>
      <c r="AR33" s="174">
        <f>IF(OR(GradeSheet!$L22="W (Withdrawn)", GradeSheet!$L22="I (Incomplete)"), 0, IF(AL33&gt;=55%, 1, 0))</f>
        <v>0</v>
      </c>
      <c r="AS33" s="174">
        <f>IF(OR(GradeSheet!$L22="W (Withdrawn)", GradeSheet!$L22="I (Incomplete)"), 0, IF(AM33&gt;=55%, 1, 0))</f>
        <v>0</v>
      </c>
      <c r="AT33" s="136"/>
      <c r="AU33" s="183">
        <f t="array" ref="AU33">IF($AT$15=0,0,MMULT($AH33:$AM33, AT$9:AT$14)/$AT$15)</f>
        <v>0</v>
      </c>
      <c r="AV33" s="183">
        <f t="array" ref="AV33">IF($AT$15=0,0,MMULT($AH33:$AM33, AU$9:AU$14)/$AT$15)</f>
        <v>0</v>
      </c>
      <c r="AW33" s="183">
        <f t="array" ref="AW33">IF($AT$15=0,0,MMULT($AH33:$AM33, AV$9:AV$14)/$AT$15)</f>
        <v>0</v>
      </c>
      <c r="AX33" s="183">
        <f t="array" ref="AX33">IF($AT$15=0,0,MMULT($AH33:$AM33, AW$9:AW$14)/$AT$15)</f>
        <v>0</v>
      </c>
      <c r="AY33" s="183">
        <f t="array" ref="AY33">IF($AT$15=0,0,MMULT($AH33:$AM33, AX$9:AX$14)/$AT$15)</f>
        <v>0</v>
      </c>
      <c r="AZ33" s="183">
        <f t="array" ref="AZ33">IF($AT$15=0,0,MMULT($AH33:$AM33, AY$9:AY$14)/$AT$15)</f>
        <v>0</v>
      </c>
      <c r="BA33" s="183">
        <f t="array" ref="BA33">IF($AT$15=0,0,MMULT($AH33:$AM33, AZ$9:AZ$14)/$AT$15)</f>
        <v>0</v>
      </c>
      <c r="BB33" s="183">
        <f t="array" ref="BB33">IF($AT$15=0,0,MMULT($AH33:$AM33, BA$9:BA$14)/$AT$15)</f>
        <v>0</v>
      </c>
      <c r="BC33" s="183">
        <f t="array" ref="BC33">IF($AT$15=0,0,MMULT($AH33:$AM33, BB$9:BB$14)/$AT$15)</f>
        <v>0</v>
      </c>
      <c r="BD33" s="183">
        <f t="array" ref="BD33">IF($AT$15=0,0,MMULT($AH33:$AM33, BC$9:BC$14)/$AT$15)</f>
        <v>0</v>
      </c>
      <c r="BE33" s="183">
        <f t="array" ref="BE33">IF($AT$15=0,0,MMULT($AH33:$AM33, BD$9:BD$14)/$AT$15)</f>
        <v>0</v>
      </c>
      <c r="BF33" s="183">
        <f t="array" ref="BF33">IF($AT$15=0,0,MMULT($AH33:$AM33, BE$9:BE$14)/$AT$15)</f>
        <v>0</v>
      </c>
      <c r="BG33" s="188">
        <f>IF(OR(GradeSheet!$L22="W (Withdrawn)", GradeSheet!$L22="I (Incomplete)"), 0, IF(AU33&gt;=65%, 1, 0))</f>
        <v>0</v>
      </c>
      <c r="BH33" s="188">
        <f>IF(OR(GradeSheet!$L22="W (Withdrawn)", GradeSheet!$L22="I (Incomplete)"), 0, IF(AV33&gt;=65%, 1, 0))</f>
        <v>0</v>
      </c>
      <c r="BI33" s="188">
        <f>IF(OR(GradeSheet!$L22="W (Withdrawn)", GradeSheet!$L22="I (Incomplete)"), 0, IF(AW33&gt;=65%, 1, 0))</f>
        <v>0</v>
      </c>
      <c r="BJ33" s="188">
        <f>IF(OR(GradeSheet!$L22="W (Withdrawn)", GradeSheet!$L22="I (Incomplete)"), 0, IF(AX33&gt;=65%, 1, 0))</f>
        <v>0</v>
      </c>
      <c r="BK33" s="188">
        <f>IF(OR(GradeSheet!$L22="W (Withdrawn)", GradeSheet!$L22="I (Incomplete)"), 0, IF(AY33&gt;=65%, 1, 0))</f>
        <v>0</v>
      </c>
      <c r="BL33" s="188">
        <f>IF(OR(GradeSheet!$L22="W (Withdrawn)", GradeSheet!$L22="I (Incomplete)"), 0, IF(AZ33&gt;=65%, 1, 0))</f>
        <v>0</v>
      </c>
      <c r="BM33" s="188">
        <f>IF(OR(GradeSheet!$L22="W (Withdrawn)", GradeSheet!$L22="I (Incomplete)"), 0, IF(BA33&gt;=65%, 1, 0))</f>
        <v>0</v>
      </c>
      <c r="BN33" s="188">
        <f>IF(OR(GradeSheet!$L22="W (Withdrawn)", GradeSheet!$L22="I (Incomplete)"), 0, IF(BB33&gt;=65%, 1, 0))</f>
        <v>0</v>
      </c>
      <c r="BO33" s="188">
        <f>IF(OR(GradeSheet!$L22="W (Withdrawn)", GradeSheet!$L22="I (Incomplete)"), 0, IF(BC33&gt;=65%, 1, 0))</f>
        <v>0</v>
      </c>
      <c r="BP33" s="188">
        <f>IF(OR(GradeSheet!$L22="W (Withdrawn)", GradeSheet!$L22="I (Incomplete)"), 0, IF(BD33&gt;=65%, 1, 0))</f>
        <v>0</v>
      </c>
      <c r="BQ33" s="188">
        <f>IF(OR(GradeSheet!$L22="W (Withdrawn)", GradeSheet!$L22="I (Incomplete)"), 0, IF(BE33&gt;=65%, 1, 0))</f>
        <v>0</v>
      </c>
      <c r="BR33" s="188">
        <f>IF(OR(GradeSheet!$L22="W (Withdrawn)", GradeSheet!$L22="I (Incomplete)"), 0, IF(BF33&gt;=65%, 1, 0))</f>
        <v>0</v>
      </c>
    </row>
    <row r="34" ht="15.75" customHeight="1">
      <c r="A34" s="168">
        <v>14.0</v>
      </c>
      <c r="B34" s="169">
        <v>2.53014016E8</v>
      </c>
      <c r="C34" s="170" t="s">
        <v>171</v>
      </c>
      <c r="D34" s="171">
        <v>6.0</v>
      </c>
      <c r="E34" s="171">
        <v>6.0</v>
      </c>
      <c r="F34" s="171">
        <v>0.0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2">
        <v>0.0</v>
      </c>
      <c r="Q34" s="172">
        <v>0.0</v>
      </c>
      <c r="R34" s="172">
        <v>0.0</v>
      </c>
      <c r="S34" s="172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  <c r="Y34" s="172">
        <v>0.0</v>
      </c>
      <c r="Z34" s="172">
        <v>0.0</v>
      </c>
      <c r="AA34" s="172">
        <v>0.0</v>
      </c>
      <c r="AB34" s="174">
        <f t="shared" ref="AB34:AG34" si="35">SUM(D34,J34,P34,V34)</f>
        <v>6</v>
      </c>
      <c r="AC34" s="174">
        <f t="shared" si="35"/>
        <v>6</v>
      </c>
      <c r="AD34" s="174">
        <f t="shared" si="35"/>
        <v>0</v>
      </c>
      <c r="AE34" s="174">
        <f t="shared" si="35"/>
        <v>0</v>
      </c>
      <c r="AF34" s="174">
        <f t="shared" si="35"/>
        <v>0</v>
      </c>
      <c r="AG34" s="174">
        <f t="shared" si="35"/>
        <v>0</v>
      </c>
      <c r="AH34" s="175">
        <f t="shared" ref="AH34:AL34" si="36">IF(AB34 = 0, 0, AB34/AB$20)</f>
        <v>1</v>
      </c>
      <c r="AI34" s="175">
        <f t="shared" si="36"/>
        <v>1</v>
      </c>
      <c r="AJ34" s="175">
        <f t="shared" si="36"/>
        <v>0</v>
      </c>
      <c r="AK34" s="175">
        <f t="shared" si="36"/>
        <v>0</v>
      </c>
      <c r="AL34" s="175">
        <f t="shared" si="36"/>
        <v>0</v>
      </c>
      <c r="AM34" s="175">
        <f t="shared" si="12"/>
        <v>0</v>
      </c>
      <c r="AN34" s="174">
        <f>IF(OR(GradeSheet!$L23="W (Withdrawn)", GradeSheet!$L23="I (Incomplete)"), 0, IF(AH34&gt;=55%, 1, 0))</f>
        <v>1</v>
      </c>
      <c r="AO34" s="174">
        <f>IF(OR(GradeSheet!$L23="W (Withdrawn)", GradeSheet!$L23="I (Incomplete)"), 0, IF(AI34&gt;=55%, 1, 0))</f>
        <v>1</v>
      </c>
      <c r="AP34" s="174">
        <f>IF(OR(GradeSheet!$L23="W (Withdrawn)", GradeSheet!$L23="I (Incomplete)"), 0, IF(AJ34&gt;=55%, 1, 0))</f>
        <v>0</v>
      </c>
      <c r="AQ34" s="174">
        <f>IF(OR(GradeSheet!$L23="W (Withdrawn)", GradeSheet!$L23="I (Incomplete)"), 0, IF(AK34&gt;=55%, 1, 0))</f>
        <v>0</v>
      </c>
      <c r="AR34" s="174">
        <f>IF(OR(GradeSheet!$L23="W (Withdrawn)", GradeSheet!$L23="I (Incomplete)"), 0, IF(AL34&gt;=55%, 1, 0))</f>
        <v>0</v>
      </c>
      <c r="AS34" s="174">
        <f>IF(OR(GradeSheet!$L23="W (Withdrawn)", GradeSheet!$L23="I (Incomplete)"), 0, IF(AM34&gt;=55%, 1, 0))</f>
        <v>0</v>
      </c>
      <c r="AT34" s="136"/>
      <c r="AU34" s="183">
        <f t="array" ref="AU34">IF($AT$15=0,0,MMULT($AH34:$AM34, AT$9:AT$14)/$AT$15)</f>
        <v>0</v>
      </c>
      <c r="AV34" s="183">
        <f t="array" ref="AV34">IF($AT$15=0,0,MMULT($AH34:$AM34, AU$9:AU$14)/$AT$15)</f>
        <v>0</v>
      </c>
      <c r="AW34" s="183">
        <f t="array" ref="AW34">IF($AT$15=0,0,MMULT($AH34:$AM34, AV$9:AV$14)/$AT$15)</f>
        <v>0</v>
      </c>
      <c r="AX34" s="183">
        <f t="array" ref="AX34">IF($AT$15=0,0,MMULT($AH34:$AM34, AW$9:AW$14)/$AT$15)</f>
        <v>0</v>
      </c>
      <c r="AY34" s="183">
        <f t="array" ref="AY34">IF($AT$15=0,0,MMULT($AH34:$AM34, AX$9:AX$14)/$AT$15)</f>
        <v>0</v>
      </c>
      <c r="AZ34" s="183">
        <f t="array" ref="AZ34">IF($AT$15=0,0,MMULT($AH34:$AM34, AY$9:AY$14)/$AT$15)</f>
        <v>0</v>
      </c>
      <c r="BA34" s="183">
        <f t="array" ref="BA34">IF($AT$15=0,0,MMULT($AH34:$AM34, AZ$9:AZ$14)/$AT$15)</f>
        <v>0</v>
      </c>
      <c r="BB34" s="183">
        <f t="array" ref="BB34">IF($AT$15=0,0,MMULT($AH34:$AM34, BA$9:BA$14)/$AT$15)</f>
        <v>0</v>
      </c>
      <c r="BC34" s="183">
        <f t="array" ref="BC34">IF($AT$15=0,0,MMULT($AH34:$AM34, BB$9:BB$14)/$AT$15)</f>
        <v>0</v>
      </c>
      <c r="BD34" s="183">
        <f t="array" ref="BD34">IF($AT$15=0,0,MMULT($AH34:$AM34, BC$9:BC$14)/$AT$15)</f>
        <v>0</v>
      </c>
      <c r="BE34" s="183">
        <f t="array" ref="BE34">IF($AT$15=0,0,MMULT($AH34:$AM34, BD$9:BD$14)/$AT$15)</f>
        <v>0</v>
      </c>
      <c r="BF34" s="183">
        <f t="array" ref="BF34">IF($AT$15=0,0,MMULT($AH34:$AM34, BE$9:BE$14)/$AT$15)</f>
        <v>0</v>
      </c>
      <c r="BG34" s="188">
        <f>IF(OR(GradeSheet!$L23="W (Withdrawn)", GradeSheet!$L23="I (Incomplete)"), 0, IF(AU34&gt;=65%, 1, 0))</f>
        <v>0</v>
      </c>
      <c r="BH34" s="188">
        <f>IF(OR(GradeSheet!$L23="W (Withdrawn)", GradeSheet!$L23="I (Incomplete)"), 0, IF(AV34&gt;=65%, 1, 0))</f>
        <v>0</v>
      </c>
      <c r="BI34" s="188">
        <f>IF(OR(GradeSheet!$L23="W (Withdrawn)", GradeSheet!$L23="I (Incomplete)"), 0, IF(AW34&gt;=65%, 1, 0))</f>
        <v>0</v>
      </c>
      <c r="BJ34" s="188">
        <f>IF(OR(GradeSheet!$L23="W (Withdrawn)", GradeSheet!$L23="I (Incomplete)"), 0, IF(AX34&gt;=65%, 1, 0))</f>
        <v>0</v>
      </c>
      <c r="BK34" s="188">
        <f>IF(OR(GradeSheet!$L23="W (Withdrawn)", GradeSheet!$L23="I (Incomplete)"), 0, IF(AY34&gt;=65%, 1, 0))</f>
        <v>0</v>
      </c>
      <c r="BL34" s="188">
        <f>IF(OR(GradeSheet!$L23="W (Withdrawn)", GradeSheet!$L23="I (Incomplete)"), 0, IF(AZ34&gt;=65%, 1, 0))</f>
        <v>0</v>
      </c>
      <c r="BM34" s="188">
        <f>IF(OR(GradeSheet!$L23="W (Withdrawn)", GradeSheet!$L23="I (Incomplete)"), 0, IF(BA34&gt;=65%, 1, 0))</f>
        <v>0</v>
      </c>
      <c r="BN34" s="188">
        <f>IF(OR(GradeSheet!$L23="W (Withdrawn)", GradeSheet!$L23="I (Incomplete)"), 0, IF(BB34&gt;=65%, 1, 0))</f>
        <v>0</v>
      </c>
      <c r="BO34" s="188">
        <f>IF(OR(GradeSheet!$L23="W (Withdrawn)", GradeSheet!$L23="I (Incomplete)"), 0, IF(BC34&gt;=65%, 1, 0))</f>
        <v>0</v>
      </c>
      <c r="BP34" s="188">
        <f>IF(OR(GradeSheet!$L23="W (Withdrawn)", GradeSheet!$L23="I (Incomplete)"), 0, IF(BD34&gt;=65%, 1, 0))</f>
        <v>0</v>
      </c>
      <c r="BQ34" s="188">
        <f>IF(OR(GradeSheet!$L23="W (Withdrawn)", GradeSheet!$L23="I (Incomplete)"), 0, IF(BE34&gt;=65%, 1, 0))</f>
        <v>0</v>
      </c>
      <c r="BR34" s="188">
        <f>IF(OR(GradeSheet!$L23="W (Withdrawn)", GradeSheet!$L23="I (Incomplete)"), 0, IF(BF34&gt;=65%, 1, 0))</f>
        <v>0</v>
      </c>
    </row>
    <row r="35" ht="15.75" customHeight="1">
      <c r="A35" s="168">
        <v>15.0</v>
      </c>
      <c r="B35" s="169">
        <v>2.53014021E8</v>
      </c>
      <c r="C35" s="170" t="s">
        <v>174</v>
      </c>
      <c r="D35" s="171">
        <v>0.0</v>
      </c>
      <c r="E35" s="171">
        <v>0.0</v>
      </c>
      <c r="F35" s="171">
        <v>0.0</v>
      </c>
      <c r="G35" s="171">
        <v>0.0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2">
        <v>0.0</v>
      </c>
      <c r="Q35" s="172">
        <v>0.0</v>
      </c>
      <c r="R35" s="172">
        <v>0.0</v>
      </c>
      <c r="S35" s="172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  <c r="Y35" s="172">
        <v>0.0</v>
      </c>
      <c r="Z35" s="172">
        <v>0.0</v>
      </c>
      <c r="AA35" s="172">
        <v>0.0</v>
      </c>
      <c r="AB35" s="174">
        <f t="shared" ref="AB35:AG35" si="37">SUM(D35,J35,P35,V35)</f>
        <v>0</v>
      </c>
      <c r="AC35" s="174">
        <f t="shared" si="37"/>
        <v>0</v>
      </c>
      <c r="AD35" s="174">
        <f t="shared" si="37"/>
        <v>0</v>
      </c>
      <c r="AE35" s="174">
        <f t="shared" si="37"/>
        <v>0</v>
      </c>
      <c r="AF35" s="174">
        <f t="shared" si="37"/>
        <v>0</v>
      </c>
      <c r="AG35" s="174">
        <f t="shared" si="37"/>
        <v>0</v>
      </c>
      <c r="AH35" s="175">
        <f t="shared" ref="AH35:AL35" si="38">IF(AB35 = 0, 0, AB35/AB$20)</f>
        <v>0</v>
      </c>
      <c r="AI35" s="175">
        <f t="shared" si="38"/>
        <v>0</v>
      </c>
      <c r="AJ35" s="175">
        <f t="shared" si="38"/>
        <v>0</v>
      </c>
      <c r="AK35" s="175">
        <f t="shared" si="38"/>
        <v>0</v>
      </c>
      <c r="AL35" s="175">
        <f t="shared" si="38"/>
        <v>0</v>
      </c>
      <c r="AM35" s="175">
        <f t="shared" si="12"/>
        <v>0</v>
      </c>
      <c r="AN35" s="174">
        <f>IF(OR(GradeSheet!$L24="W (Withdrawn)", GradeSheet!$L24="I (Incomplete)"), 0, IF(AH35&gt;=55%, 1, 0))</f>
        <v>0</v>
      </c>
      <c r="AO35" s="174">
        <f>IF(OR(GradeSheet!$L24="W (Withdrawn)", GradeSheet!$L24="I (Incomplete)"), 0, IF(AI35&gt;=55%, 1, 0))</f>
        <v>0</v>
      </c>
      <c r="AP35" s="174">
        <f>IF(OR(GradeSheet!$L24="W (Withdrawn)", GradeSheet!$L24="I (Incomplete)"), 0, IF(AJ35&gt;=55%, 1, 0))</f>
        <v>0</v>
      </c>
      <c r="AQ35" s="174">
        <f>IF(OR(GradeSheet!$L24="W (Withdrawn)", GradeSheet!$L24="I (Incomplete)"), 0, IF(AK35&gt;=55%, 1, 0))</f>
        <v>0</v>
      </c>
      <c r="AR35" s="174">
        <f>IF(OR(GradeSheet!$L24="W (Withdrawn)", GradeSheet!$L24="I (Incomplete)"), 0, IF(AL35&gt;=55%, 1, 0))</f>
        <v>0</v>
      </c>
      <c r="AS35" s="174">
        <f>IF(OR(GradeSheet!$L24="W (Withdrawn)", GradeSheet!$L24="I (Incomplete)"), 0, IF(AM35&gt;=55%, 1, 0))</f>
        <v>0</v>
      </c>
      <c r="AT35" s="136"/>
      <c r="AU35" s="183">
        <f t="array" ref="AU35">IF($AT$15=0,0,MMULT($AH35:$AM35, AT$9:AT$14)/$AT$15)</f>
        <v>0</v>
      </c>
      <c r="AV35" s="183">
        <f t="array" ref="AV35">IF($AT$15=0,0,MMULT($AH35:$AM35, AU$9:AU$14)/$AT$15)</f>
        <v>0</v>
      </c>
      <c r="AW35" s="183">
        <f t="array" ref="AW35">IF($AT$15=0,0,MMULT($AH35:$AM35, AV$9:AV$14)/$AT$15)</f>
        <v>0</v>
      </c>
      <c r="AX35" s="183">
        <f t="array" ref="AX35">IF($AT$15=0,0,MMULT($AH35:$AM35, AW$9:AW$14)/$AT$15)</f>
        <v>0</v>
      </c>
      <c r="AY35" s="183">
        <f t="array" ref="AY35">IF($AT$15=0,0,MMULT($AH35:$AM35, AX$9:AX$14)/$AT$15)</f>
        <v>0</v>
      </c>
      <c r="AZ35" s="183">
        <f t="array" ref="AZ35">IF($AT$15=0,0,MMULT($AH35:$AM35, AY$9:AY$14)/$AT$15)</f>
        <v>0</v>
      </c>
      <c r="BA35" s="183">
        <f t="array" ref="BA35">IF($AT$15=0,0,MMULT($AH35:$AM35, AZ$9:AZ$14)/$AT$15)</f>
        <v>0</v>
      </c>
      <c r="BB35" s="183">
        <f t="array" ref="BB35">IF($AT$15=0,0,MMULT($AH35:$AM35, BA$9:BA$14)/$AT$15)</f>
        <v>0</v>
      </c>
      <c r="BC35" s="183">
        <f t="array" ref="BC35">IF($AT$15=0,0,MMULT($AH35:$AM35, BB$9:BB$14)/$AT$15)</f>
        <v>0</v>
      </c>
      <c r="BD35" s="183">
        <f t="array" ref="BD35">IF($AT$15=0,0,MMULT($AH35:$AM35, BC$9:BC$14)/$AT$15)</f>
        <v>0</v>
      </c>
      <c r="BE35" s="183">
        <f t="array" ref="BE35">IF($AT$15=0,0,MMULT($AH35:$AM35, BD$9:BD$14)/$AT$15)</f>
        <v>0</v>
      </c>
      <c r="BF35" s="183">
        <f t="array" ref="BF35">IF($AT$15=0,0,MMULT($AH35:$AM35, BE$9:BE$14)/$AT$15)</f>
        <v>0</v>
      </c>
      <c r="BG35" s="188">
        <f>IF(OR(GradeSheet!$L24="W (Withdrawn)", GradeSheet!$L24="I (Incomplete)"), 0, IF(AU35&gt;=65%, 1, 0))</f>
        <v>0</v>
      </c>
      <c r="BH35" s="188">
        <f>IF(OR(GradeSheet!$L24="W (Withdrawn)", GradeSheet!$L24="I (Incomplete)"), 0, IF(AV35&gt;=65%, 1, 0))</f>
        <v>0</v>
      </c>
      <c r="BI35" s="188">
        <f>IF(OR(GradeSheet!$L24="W (Withdrawn)", GradeSheet!$L24="I (Incomplete)"), 0, IF(AW35&gt;=65%, 1, 0))</f>
        <v>0</v>
      </c>
      <c r="BJ35" s="188">
        <f>IF(OR(GradeSheet!$L24="W (Withdrawn)", GradeSheet!$L24="I (Incomplete)"), 0, IF(AX35&gt;=65%, 1, 0))</f>
        <v>0</v>
      </c>
      <c r="BK35" s="188">
        <f>IF(OR(GradeSheet!$L24="W (Withdrawn)", GradeSheet!$L24="I (Incomplete)"), 0, IF(AY35&gt;=65%, 1, 0))</f>
        <v>0</v>
      </c>
      <c r="BL35" s="188">
        <f>IF(OR(GradeSheet!$L24="W (Withdrawn)", GradeSheet!$L24="I (Incomplete)"), 0, IF(AZ35&gt;=65%, 1, 0))</f>
        <v>0</v>
      </c>
      <c r="BM35" s="188">
        <f>IF(OR(GradeSheet!$L24="W (Withdrawn)", GradeSheet!$L24="I (Incomplete)"), 0, IF(BA35&gt;=65%, 1, 0))</f>
        <v>0</v>
      </c>
      <c r="BN35" s="188">
        <f>IF(OR(GradeSheet!$L24="W (Withdrawn)", GradeSheet!$L24="I (Incomplete)"), 0, IF(BB35&gt;=65%, 1, 0))</f>
        <v>0</v>
      </c>
      <c r="BO35" s="188">
        <f>IF(OR(GradeSheet!$L24="W (Withdrawn)", GradeSheet!$L24="I (Incomplete)"), 0, IF(BC35&gt;=65%, 1, 0))</f>
        <v>0</v>
      </c>
      <c r="BP35" s="188">
        <f>IF(OR(GradeSheet!$L24="W (Withdrawn)", GradeSheet!$L24="I (Incomplete)"), 0, IF(BD35&gt;=65%, 1, 0))</f>
        <v>0</v>
      </c>
      <c r="BQ35" s="188">
        <f>IF(OR(GradeSheet!$L24="W (Withdrawn)", GradeSheet!$L24="I (Incomplete)"), 0, IF(BE35&gt;=65%, 1, 0))</f>
        <v>0</v>
      </c>
      <c r="BR35" s="188">
        <f>IF(OR(GradeSheet!$L24="W (Withdrawn)", GradeSheet!$L24="I (Incomplete)"), 0, IF(BF35&gt;=65%, 1, 0))</f>
        <v>0</v>
      </c>
    </row>
    <row r="36" ht="15.75" customHeight="1">
      <c r="A36" s="168">
        <v>16.0</v>
      </c>
      <c r="B36" s="169">
        <v>2.53014027E8</v>
      </c>
      <c r="C36" s="170" t="s">
        <v>177</v>
      </c>
      <c r="D36" s="171">
        <v>6.0</v>
      </c>
      <c r="E36" s="171">
        <v>4.0</v>
      </c>
      <c r="F36" s="171">
        <v>0.0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2">
        <v>0.0</v>
      </c>
      <c r="Q36" s="172">
        <v>0.0</v>
      </c>
      <c r="R36" s="172">
        <v>0.0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  <c r="Y36" s="172">
        <v>0.0</v>
      </c>
      <c r="Z36" s="172">
        <v>0.0</v>
      </c>
      <c r="AA36" s="172">
        <v>0.0</v>
      </c>
      <c r="AB36" s="174">
        <f t="shared" ref="AB36:AG36" si="39">SUM(D36,J36,P36,V36)</f>
        <v>6</v>
      </c>
      <c r="AC36" s="174">
        <f t="shared" si="39"/>
        <v>4</v>
      </c>
      <c r="AD36" s="174">
        <f t="shared" si="39"/>
        <v>0</v>
      </c>
      <c r="AE36" s="174">
        <f t="shared" si="39"/>
        <v>0</v>
      </c>
      <c r="AF36" s="174">
        <f t="shared" si="39"/>
        <v>0</v>
      </c>
      <c r="AG36" s="174">
        <f t="shared" si="39"/>
        <v>0</v>
      </c>
      <c r="AH36" s="175">
        <f t="shared" ref="AH36:AL36" si="40">IF(AB36 = 0, 0, AB36/AB$20)</f>
        <v>1</v>
      </c>
      <c r="AI36" s="175">
        <f t="shared" si="40"/>
        <v>0.6666666667</v>
      </c>
      <c r="AJ36" s="175">
        <f t="shared" si="40"/>
        <v>0</v>
      </c>
      <c r="AK36" s="175">
        <f t="shared" si="40"/>
        <v>0</v>
      </c>
      <c r="AL36" s="175">
        <f t="shared" si="40"/>
        <v>0</v>
      </c>
      <c r="AM36" s="175">
        <f t="shared" si="12"/>
        <v>0</v>
      </c>
      <c r="AN36" s="174">
        <f>IF(OR(GradeSheet!$L25="W (Withdrawn)", GradeSheet!$L25="I (Incomplete)"), 0, IF(AH36&gt;=55%, 1, 0))</f>
        <v>1</v>
      </c>
      <c r="AO36" s="174">
        <f>IF(OR(GradeSheet!$L25="W (Withdrawn)", GradeSheet!$L25="I (Incomplete)"), 0, IF(AI36&gt;=55%, 1, 0))</f>
        <v>1</v>
      </c>
      <c r="AP36" s="174">
        <f>IF(OR(GradeSheet!$L25="W (Withdrawn)", GradeSheet!$L25="I (Incomplete)"), 0, IF(AJ36&gt;=55%, 1, 0))</f>
        <v>0</v>
      </c>
      <c r="AQ36" s="174">
        <f>IF(OR(GradeSheet!$L25="W (Withdrawn)", GradeSheet!$L25="I (Incomplete)"), 0, IF(AK36&gt;=55%, 1, 0))</f>
        <v>0</v>
      </c>
      <c r="AR36" s="174">
        <f>IF(OR(GradeSheet!$L25="W (Withdrawn)", GradeSheet!$L25="I (Incomplete)"), 0, IF(AL36&gt;=55%, 1, 0))</f>
        <v>0</v>
      </c>
      <c r="AS36" s="174">
        <f>IF(OR(GradeSheet!$L25="W (Withdrawn)", GradeSheet!$L25="I (Incomplete)"), 0, IF(AM36&gt;=55%, 1, 0))</f>
        <v>0</v>
      </c>
      <c r="AT36" s="136"/>
      <c r="AU36" s="183">
        <f t="array" ref="AU36">IF($AT$15=0,0,MMULT($AH36:$AM36, AT$9:AT$14)/$AT$15)</f>
        <v>0</v>
      </c>
      <c r="AV36" s="183">
        <f t="array" ref="AV36">IF($AT$15=0,0,MMULT($AH36:$AM36, AU$9:AU$14)/$AT$15)</f>
        <v>0</v>
      </c>
      <c r="AW36" s="183">
        <f t="array" ref="AW36">IF($AT$15=0,0,MMULT($AH36:$AM36, AV$9:AV$14)/$AT$15)</f>
        <v>0</v>
      </c>
      <c r="AX36" s="183">
        <f t="array" ref="AX36">IF($AT$15=0,0,MMULT($AH36:$AM36, AW$9:AW$14)/$AT$15)</f>
        <v>0</v>
      </c>
      <c r="AY36" s="183">
        <f t="array" ref="AY36">IF($AT$15=0,0,MMULT($AH36:$AM36, AX$9:AX$14)/$AT$15)</f>
        <v>0</v>
      </c>
      <c r="AZ36" s="183">
        <f t="array" ref="AZ36">IF($AT$15=0,0,MMULT($AH36:$AM36, AY$9:AY$14)/$AT$15)</f>
        <v>0</v>
      </c>
      <c r="BA36" s="183">
        <f t="array" ref="BA36">IF($AT$15=0,0,MMULT($AH36:$AM36, AZ$9:AZ$14)/$AT$15)</f>
        <v>0</v>
      </c>
      <c r="BB36" s="183">
        <f t="array" ref="BB36">IF($AT$15=0,0,MMULT($AH36:$AM36, BA$9:BA$14)/$AT$15)</f>
        <v>0</v>
      </c>
      <c r="BC36" s="183">
        <f t="array" ref="BC36">IF($AT$15=0,0,MMULT($AH36:$AM36, BB$9:BB$14)/$AT$15)</f>
        <v>0</v>
      </c>
      <c r="BD36" s="183">
        <f t="array" ref="BD36">IF($AT$15=0,0,MMULT($AH36:$AM36, BC$9:BC$14)/$AT$15)</f>
        <v>0</v>
      </c>
      <c r="BE36" s="183">
        <f t="array" ref="BE36">IF($AT$15=0,0,MMULT($AH36:$AM36, BD$9:BD$14)/$AT$15)</f>
        <v>0</v>
      </c>
      <c r="BF36" s="183">
        <f t="array" ref="BF36">IF($AT$15=0,0,MMULT($AH36:$AM36, BE$9:BE$14)/$AT$15)</f>
        <v>0</v>
      </c>
      <c r="BG36" s="188">
        <f>IF(OR(GradeSheet!$L25="W (Withdrawn)", GradeSheet!$L25="I (Incomplete)"), 0, IF(AU36&gt;=65%, 1, 0))</f>
        <v>0</v>
      </c>
      <c r="BH36" s="188">
        <f>IF(OR(GradeSheet!$L25="W (Withdrawn)", GradeSheet!$L25="I (Incomplete)"), 0, IF(AV36&gt;=65%, 1, 0))</f>
        <v>0</v>
      </c>
      <c r="BI36" s="188">
        <f>IF(OR(GradeSheet!$L25="W (Withdrawn)", GradeSheet!$L25="I (Incomplete)"), 0, IF(AW36&gt;=65%, 1, 0))</f>
        <v>0</v>
      </c>
      <c r="BJ36" s="188">
        <f>IF(OR(GradeSheet!$L25="W (Withdrawn)", GradeSheet!$L25="I (Incomplete)"), 0, IF(AX36&gt;=65%, 1, 0))</f>
        <v>0</v>
      </c>
      <c r="BK36" s="188">
        <f>IF(OR(GradeSheet!$L25="W (Withdrawn)", GradeSheet!$L25="I (Incomplete)"), 0, IF(AY36&gt;=65%, 1, 0))</f>
        <v>0</v>
      </c>
      <c r="BL36" s="188">
        <f>IF(OR(GradeSheet!$L25="W (Withdrawn)", GradeSheet!$L25="I (Incomplete)"), 0, IF(AZ36&gt;=65%, 1, 0))</f>
        <v>0</v>
      </c>
      <c r="BM36" s="188">
        <f>IF(OR(GradeSheet!$L25="W (Withdrawn)", GradeSheet!$L25="I (Incomplete)"), 0, IF(BA36&gt;=65%, 1, 0))</f>
        <v>0</v>
      </c>
      <c r="BN36" s="188">
        <f>IF(OR(GradeSheet!$L25="W (Withdrawn)", GradeSheet!$L25="I (Incomplete)"), 0, IF(BB36&gt;=65%, 1, 0))</f>
        <v>0</v>
      </c>
      <c r="BO36" s="188">
        <f>IF(OR(GradeSheet!$L25="W (Withdrawn)", GradeSheet!$L25="I (Incomplete)"), 0, IF(BC36&gt;=65%, 1, 0))</f>
        <v>0</v>
      </c>
      <c r="BP36" s="188">
        <f>IF(OR(GradeSheet!$L25="W (Withdrawn)", GradeSheet!$L25="I (Incomplete)"), 0, IF(BD36&gt;=65%, 1, 0))</f>
        <v>0</v>
      </c>
      <c r="BQ36" s="188">
        <f>IF(OR(GradeSheet!$L25="W (Withdrawn)", GradeSheet!$L25="I (Incomplete)"), 0, IF(BE36&gt;=65%, 1, 0))</f>
        <v>0</v>
      </c>
      <c r="BR36" s="188">
        <f>IF(OR(GradeSheet!$L25="W (Withdrawn)", GradeSheet!$L25="I (Incomplete)"), 0, IF(BF36&gt;=65%, 1, 0))</f>
        <v>0</v>
      </c>
    </row>
    <row r="37" ht="15.75" customHeight="1">
      <c r="A37" s="168">
        <v>17.0</v>
      </c>
      <c r="B37" s="169">
        <v>2.53014035E8</v>
      </c>
      <c r="C37" s="170" t="s">
        <v>178</v>
      </c>
      <c r="D37" s="171">
        <v>6.0</v>
      </c>
      <c r="E37" s="171">
        <v>6.0</v>
      </c>
      <c r="F37" s="171">
        <v>0.0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  <c r="X37" s="172">
        <v>0.0</v>
      </c>
      <c r="Y37" s="172">
        <v>0.0</v>
      </c>
      <c r="Z37" s="172">
        <v>0.0</v>
      </c>
      <c r="AA37" s="172">
        <v>0.0</v>
      </c>
      <c r="AB37" s="174">
        <f t="shared" ref="AB37:AG37" si="41">SUM(D37,J37,P37,V37)</f>
        <v>6</v>
      </c>
      <c r="AC37" s="174">
        <f t="shared" si="41"/>
        <v>6</v>
      </c>
      <c r="AD37" s="174">
        <f t="shared" si="41"/>
        <v>0</v>
      </c>
      <c r="AE37" s="174">
        <f t="shared" si="41"/>
        <v>0</v>
      </c>
      <c r="AF37" s="174">
        <f t="shared" si="41"/>
        <v>0</v>
      </c>
      <c r="AG37" s="174">
        <f t="shared" si="41"/>
        <v>0</v>
      </c>
      <c r="AH37" s="175">
        <f t="shared" ref="AH37:AL37" si="42">IF(AB37 = 0, 0, AB37/AB$20)</f>
        <v>1</v>
      </c>
      <c r="AI37" s="175">
        <f t="shared" si="42"/>
        <v>1</v>
      </c>
      <c r="AJ37" s="175">
        <f t="shared" si="42"/>
        <v>0</v>
      </c>
      <c r="AK37" s="175">
        <f t="shared" si="42"/>
        <v>0</v>
      </c>
      <c r="AL37" s="175">
        <f t="shared" si="42"/>
        <v>0</v>
      </c>
      <c r="AM37" s="175">
        <f t="shared" si="12"/>
        <v>0</v>
      </c>
      <c r="AN37" s="174">
        <f>IF(OR(GradeSheet!$L26="W (Withdrawn)", GradeSheet!$L26="I (Incomplete)"), 0, IF(AH37&gt;=55%, 1, 0))</f>
        <v>1</v>
      </c>
      <c r="AO37" s="174">
        <f>IF(OR(GradeSheet!$L26="W (Withdrawn)", GradeSheet!$L26="I (Incomplete)"), 0, IF(AI37&gt;=55%, 1, 0))</f>
        <v>1</v>
      </c>
      <c r="AP37" s="174">
        <f>IF(OR(GradeSheet!$L26="W (Withdrawn)", GradeSheet!$L26="I (Incomplete)"), 0, IF(AJ37&gt;=55%, 1, 0))</f>
        <v>0</v>
      </c>
      <c r="AQ37" s="174">
        <f>IF(OR(GradeSheet!$L26="W (Withdrawn)", GradeSheet!$L26="I (Incomplete)"), 0, IF(AK37&gt;=55%, 1, 0))</f>
        <v>0</v>
      </c>
      <c r="AR37" s="174">
        <f>IF(OR(GradeSheet!$L26="W (Withdrawn)", GradeSheet!$L26="I (Incomplete)"), 0, IF(AL37&gt;=55%, 1, 0))</f>
        <v>0</v>
      </c>
      <c r="AS37" s="174">
        <f>IF(OR(GradeSheet!$L26="W (Withdrawn)", GradeSheet!$L26="I (Incomplete)"), 0, IF(AM37&gt;=55%, 1, 0))</f>
        <v>0</v>
      </c>
      <c r="AT37" s="136"/>
      <c r="AU37" s="183">
        <f t="array" ref="AU37">IF($AT$15=0,0,MMULT($AH37:$AM37, AT$9:AT$14)/$AT$15)</f>
        <v>0</v>
      </c>
      <c r="AV37" s="183">
        <f t="array" ref="AV37">IF($AT$15=0,0,MMULT($AH37:$AM37, AU$9:AU$14)/$AT$15)</f>
        <v>0</v>
      </c>
      <c r="AW37" s="183">
        <f t="array" ref="AW37">IF($AT$15=0,0,MMULT($AH37:$AM37, AV$9:AV$14)/$AT$15)</f>
        <v>0</v>
      </c>
      <c r="AX37" s="183">
        <f t="array" ref="AX37">IF($AT$15=0,0,MMULT($AH37:$AM37, AW$9:AW$14)/$AT$15)</f>
        <v>0</v>
      </c>
      <c r="AY37" s="183">
        <f t="array" ref="AY37">IF($AT$15=0,0,MMULT($AH37:$AM37, AX$9:AX$14)/$AT$15)</f>
        <v>0</v>
      </c>
      <c r="AZ37" s="183">
        <f t="array" ref="AZ37">IF($AT$15=0,0,MMULT($AH37:$AM37, AY$9:AY$14)/$AT$15)</f>
        <v>0</v>
      </c>
      <c r="BA37" s="183">
        <f t="array" ref="BA37">IF($AT$15=0,0,MMULT($AH37:$AM37, AZ$9:AZ$14)/$AT$15)</f>
        <v>0</v>
      </c>
      <c r="BB37" s="183">
        <f t="array" ref="BB37">IF($AT$15=0,0,MMULT($AH37:$AM37, BA$9:BA$14)/$AT$15)</f>
        <v>0</v>
      </c>
      <c r="BC37" s="183">
        <f t="array" ref="BC37">IF($AT$15=0,0,MMULT($AH37:$AM37, BB$9:BB$14)/$AT$15)</f>
        <v>0</v>
      </c>
      <c r="BD37" s="183">
        <f t="array" ref="BD37">IF($AT$15=0,0,MMULT($AH37:$AM37, BC$9:BC$14)/$AT$15)</f>
        <v>0</v>
      </c>
      <c r="BE37" s="183">
        <f t="array" ref="BE37">IF($AT$15=0,0,MMULT($AH37:$AM37, BD$9:BD$14)/$AT$15)</f>
        <v>0</v>
      </c>
      <c r="BF37" s="183">
        <f t="array" ref="BF37">IF($AT$15=0,0,MMULT($AH37:$AM37, BE$9:BE$14)/$AT$15)</f>
        <v>0</v>
      </c>
      <c r="BG37" s="188">
        <f>IF(OR(GradeSheet!$L26="W (Withdrawn)", GradeSheet!$L26="I (Incomplete)"), 0, IF(AU37&gt;=65%, 1, 0))</f>
        <v>0</v>
      </c>
      <c r="BH37" s="188">
        <f>IF(OR(GradeSheet!$L26="W (Withdrawn)", GradeSheet!$L26="I (Incomplete)"), 0, IF(AV37&gt;=65%, 1, 0))</f>
        <v>0</v>
      </c>
      <c r="BI37" s="188">
        <f>IF(OR(GradeSheet!$L26="W (Withdrawn)", GradeSheet!$L26="I (Incomplete)"), 0, IF(AW37&gt;=65%, 1, 0))</f>
        <v>0</v>
      </c>
      <c r="BJ37" s="188">
        <f>IF(OR(GradeSheet!$L26="W (Withdrawn)", GradeSheet!$L26="I (Incomplete)"), 0, IF(AX37&gt;=65%, 1, 0))</f>
        <v>0</v>
      </c>
      <c r="BK37" s="188">
        <f>IF(OR(GradeSheet!$L26="W (Withdrawn)", GradeSheet!$L26="I (Incomplete)"), 0, IF(AY37&gt;=65%, 1, 0))</f>
        <v>0</v>
      </c>
      <c r="BL37" s="188">
        <f>IF(OR(GradeSheet!$L26="W (Withdrawn)", GradeSheet!$L26="I (Incomplete)"), 0, IF(AZ37&gt;=65%, 1, 0))</f>
        <v>0</v>
      </c>
      <c r="BM37" s="188">
        <f>IF(OR(GradeSheet!$L26="W (Withdrawn)", GradeSheet!$L26="I (Incomplete)"), 0, IF(BA37&gt;=65%, 1, 0))</f>
        <v>0</v>
      </c>
      <c r="BN37" s="188">
        <f>IF(OR(GradeSheet!$L26="W (Withdrawn)", GradeSheet!$L26="I (Incomplete)"), 0, IF(BB37&gt;=65%, 1, 0))</f>
        <v>0</v>
      </c>
      <c r="BO37" s="188">
        <f>IF(OR(GradeSheet!$L26="W (Withdrawn)", GradeSheet!$L26="I (Incomplete)"), 0, IF(BC37&gt;=65%, 1, 0))</f>
        <v>0</v>
      </c>
      <c r="BP37" s="188">
        <f>IF(OR(GradeSheet!$L26="W (Withdrawn)", GradeSheet!$L26="I (Incomplete)"), 0, IF(BD37&gt;=65%, 1, 0))</f>
        <v>0</v>
      </c>
      <c r="BQ37" s="188">
        <f>IF(OR(GradeSheet!$L26="W (Withdrawn)", GradeSheet!$L26="I (Incomplete)"), 0, IF(BE37&gt;=65%, 1, 0))</f>
        <v>0</v>
      </c>
      <c r="BR37" s="188">
        <f>IF(OR(GradeSheet!$L26="W (Withdrawn)", GradeSheet!$L26="I (Incomplete)"), 0, IF(BF37&gt;=65%, 1, 0))</f>
        <v>0</v>
      </c>
    </row>
    <row r="38" ht="15.75" customHeight="1">
      <c r="A38" s="168">
        <v>18.0</v>
      </c>
      <c r="B38" s="169">
        <v>2.5301404E8</v>
      </c>
      <c r="C38" s="170" t="s">
        <v>180</v>
      </c>
      <c r="D38" s="171">
        <v>6.0</v>
      </c>
      <c r="E38" s="171">
        <v>6.0</v>
      </c>
      <c r="F38" s="171">
        <v>0.0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  <c r="X38" s="172">
        <v>0.0</v>
      </c>
      <c r="Y38" s="172">
        <v>0.0</v>
      </c>
      <c r="Z38" s="172">
        <v>0.0</v>
      </c>
      <c r="AA38" s="172">
        <v>0.0</v>
      </c>
      <c r="AB38" s="174">
        <f t="shared" ref="AB38:AG38" si="43">SUM(D38,J38,P38,V38)</f>
        <v>6</v>
      </c>
      <c r="AC38" s="174">
        <f t="shared" si="43"/>
        <v>6</v>
      </c>
      <c r="AD38" s="174">
        <f t="shared" si="43"/>
        <v>0</v>
      </c>
      <c r="AE38" s="174">
        <f t="shared" si="43"/>
        <v>0</v>
      </c>
      <c r="AF38" s="174">
        <f t="shared" si="43"/>
        <v>0</v>
      </c>
      <c r="AG38" s="174">
        <f t="shared" si="43"/>
        <v>0</v>
      </c>
      <c r="AH38" s="175">
        <f t="shared" ref="AH38:AL38" si="44">IF(AB38 = 0, 0, AB38/AB$20)</f>
        <v>1</v>
      </c>
      <c r="AI38" s="175">
        <f t="shared" si="44"/>
        <v>1</v>
      </c>
      <c r="AJ38" s="175">
        <f t="shared" si="44"/>
        <v>0</v>
      </c>
      <c r="AK38" s="175">
        <f t="shared" si="44"/>
        <v>0</v>
      </c>
      <c r="AL38" s="175">
        <f t="shared" si="44"/>
        <v>0</v>
      </c>
      <c r="AM38" s="175">
        <f t="shared" si="12"/>
        <v>0</v>
      </c>
      <c r="AN38" s="174">
        <f>IF(OR(GradeSheet!$L27="W (Withdrawn)", GradeSheet!$L27="I (Incomplete)"), 0, IF(AH38&gt;=55%, 1, 0))</f>
        <v>1</v>
      </c>
      <c r="AO38" s="174">
        <f>IF(OR(GradeSheet!$L27="W (Withdrawn)", GradeSheet!$L27="I (Incomplete)"), 0, IF(AI38&gt;=55%, 1, 0))</f>
        <v>1</v>
      </c>
      <c r="AP38" s="174">
        <f>IF(OR(GradeSheet!$L27="W (Withdrawn)", GradeSheet!$L27="I (Incomplete)"), 0, IF(AJ38&gt;=55%, 1, 0))</f>
        <v>0</v>
      </c>
      <c r="AQ38" s="174">
        <f>IF(OR(GradeSheet!$L27="W (Withdrawn)", GradeSheet!$L27="I (Incomplete)"), 0, IF(AK38&gt;=55%, 1, 0))</f>
        <v>0</v>
      </c>
      <c r="AR38" s="174">
        <f>IF(OR(GradeSheet!$L27="W (Withdrawn)", GradeSheet!$L27="I (Incomplete)"), 0, IF(AL38&gt;=55%, 1, 0))</f>
        <v>0</v>
      </c>
      <c r="AS38" s="174">
        <f>IF(OR(GradeSheet!$L27="W (Withdrawn)", GradeSheet!$L27="I (Incomplete)"), 0, IF(AM38&gt;=55%, 1, 0))</f>
        <v>0</v>
      </c>
      <c r="AT38" s="136"/>
      <c r="AU38" s="183">
        <f t="array" ref="AU38">IF($AT$15=0,0,MMULT($AH38:$AM38, AT$9:AT$14)/$AT$15)</f>
        <v>0</v>
      </c>
      <c r="AV38" s="183">
        <f t="array" ref="AV38">IF($AT$15=0,0,MMULT($AH38:$AM38, AU$9:AU$14)/$AT$15)</f>
        <v>0</v>
      </c>
      <c r="AW38" s="183">
        <f t="array" ref="AW38">IF($AT$15=0,0,MMULT($AH38:$AM38, AV$9:AV$14)/$AT$15)</f>
        <v>0</v>
      </c>
      <c r="AX38" s="183">
        <f t="array" ref="AX38">IF($AT$15=0,0,MMULT($AH38:$AM38, AW$9:AW$14)/$AT$15)</f>
        <v>0</v>
      </c>
      <c r="AY38" s="183">
        <f t="array" ref="AY38">IF($AT$15=0,0,MMULT($AH38:$AM38, AX$9:AX$14)/$AT$15)</f>
        <v>0</v>
      </c>
      <c r="AZ38" s="183">
        <f t="array" ref="AZ38">IF($AT$15=0,0,MMULT($AH38:$AM38, AY$9:AY$14)/$AT$15)</f>
        <v>0</v>
      </c>
      <c r="BA38" s="183">
        <f t="array" ref="BA38">IF($AT$15=0,0,MMULT($AH38:$AM38, AZ$9:AZ$14)/$AT$15)</f>
        <v>0</v>
      </c>
      <c r="BB38" s="183">
        <f t="array" ref="BB38">IF($AT$15=0,0,MMULT($AH38:$AM38, BA$9:BA$14)/$AT$15)</f>
        <v>0</v>
      </c>
      <c r="BC38" s="183">
        <f t="array" ref="BC38">IF($AT$15=0,0,MMULT($AH38:$AM38, BB$9:BB$14)/$AT$15)</f>
        <v>0</v>
      </c>
      <c r="BD38" s="183">
        <f t="array" ref="BD38">IF($AT$15=0,0,MMULT($AH38:$AM38, BC$9:BC$14)/$AT$15)</f>
        <v>0</v>
      </c>
      <c r="BE38" s="183">
        <f t="array" ref="BE38">IF($AT$15=0,0,MMULT($AH38:$AM38, BD$9:BD$14)/$AT$15)</f>
        <v>0</v>
      </c>
      <c r="BF38" s="183">
        <f t="array" ref="BF38">IF($AT$15=0,0,MMULT($AH38:$AM38, BE$9:BE$14)/$AT$15)</f>
        <v>0</v>
      </c>
      <c r="BG38" s="188">
        <f>IF(OR(GradeSheet!$L27="W (Withdrawn)", GradeSheet!$L27="I (Incomplete)"), 0, IF(AU38&gt;=65%, 1, 0))</f>
        <v>0</v>
      </c>
      <c r="BH38" s="188">
        <f>IF(OR(GradeSheet!$L27="W (Withdrawn)", GradeSheet!$L27="I (Incomplete)"), 0, IF(AV38&gt;=65%, 1, 0))</f>
        <v>0</v>
      </c>
      <c r="BI38" s="188">
        <f>IF(OR(GradeSheet!$L27="W (Withdrawn)", GradeSheet!$L27="I (Incomplete)"), 0, IF(AW38&gt;=65%, 1, 0))</f>
        <v>0</v>
      </c>
      <c r="BJ38" s="188">
        <f>IF(OR(GradeSheet!$L27="W (Withdrawn)", GradeSheet!$L27="I (Incomplete)"), 0, IF(AX38&gt;=65%, 1, 0))</f>
        <v>0</v>
      </c>
      <c r="BK38" s="188">
        <f>IF(OR(GradeSheet!$L27="W (Withdrawn)", GradeSheet!$L27="I (Incomplete)"), 0, IF(AY38&gt;=65%, 1, 0))</f>
        <v>0</v>
      </c>
      <c r="BL38" s="188">
        <f>IF(OR(GradeSheet!$L27="W (Withdrawn)", GradeSheet!$L27="I (Incomplete)"), 0, IF(AZ38&gt;=65%, 1, 0))</f>
        <v>0</v>
      </c>
      <c r="BM38" s="188">
        <f>IF(OR(GradeSheet!$L27="W (Withdrawn)", GradeSheet!$L27="I (Incomplete)"), 0, IF(BA38&gt;=65%, 1, 0))</f>
        <v>0</v>
      </c>
      <c r="BN38" s="188">
        <f>IF(OR(GradeSheet!$L27="W (Withdrawn)", GradeSheet!$L27="I (Incomplete)"), 0, IF(BB38&gt;=65%, 1, 0))</f>
        <v>0</v>
      </c>
      <c r="BO38" s="188">
        <f>IF(OR(GradeSheet!$L27="W (Withdrawn)", GradeSheet!$L27="I (Incomplete)"), 0, IF(BC38&gt;=65%, 1, 0))</f>
        <v>0</v>
      </c>
      <c r="BP38" s="188">
        <f>IF(OR(GradeSheet!$L27="W (Withdrawn)", GradeSheet!$L27="I (Incomplete)"), 0, IF(BD38&gt;=65%, 1, 0))</f>
        <v>0</v>
      </c>
      <c r="BQ38" s="188">
        <f>IF(OR(GradeSheet!$L27="W (Withdrawn)", GradeSheet!$L27="I (Incomplete)"), 0, IF(BE38&gt;=65%, 1, 0))</f>
        <v>0</v>
      </c>
      <c r="BR38" s="188">
        <f>IF(OR(GradeSheet!$L27="W (Withdrawn)", GradeSheet!$L27="I (Incomplete)"), 0, IF(BF38&gt;=65%, 1, 0))</f>
        <v>0</v>
      </c>
    </row>
    <row r="39" ht="15.75" customHeight="1">
      <c r="A39" s="168">
        <v>19.0</v>
      </c>
      <c r="B39" s="169">
        <v>2.53014042E8</v>
      </c>
      <c r="C39" s="170" t="s">
        <v>184</v>
      </c>
      <c r="D39" s="171">
        <v>4.0</v>
      </c>
      <c r="E39" s="171">
        <v>2.0</v>
      </c>
      <c r="F39" s="171">
        <v>0.0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  <c r="X39" s="172">
        <v>0.0</v>
      </c>
      <c r="Y39" s="172">
        <v>0.0</v>
      </c>
      <c r="Z39" s="172">
        <v>0.0</v>
      </c>
      <c r="AA39" s="172">
        <v>0.0</v>
      </c>
      <c r="AB39" s="174">
        <f t="shared" ref="AB39:AG39" si="45">SUM(D39,J39,P39,V39)</f>
        <v>4</v>
      </c>
      <c r="AC39" s="174">
        <f t="shared" si="45"/>
        <v>2</v>
      </c>
      <c r="AD39" s="174">
        <f t="shared" si="45"/>
        <v>0</v>
      </c>
      <c r="AE39" s="174">
        <f t="shared" si="45"/>
        <v>0</v>
      </c>
      <c r="AF39" s="174">
        <f t="shared" si="45"/>
        <v>0</v>
      </c>
      <c r="AG39" s="174">
        <f t="shared" si="45"/>
        <v>0</v>
      </c>
      <c r="AH39" s="175">
        <f t="shared" ref="AH39:AL39" si="46">IF(AB39 = 0, 0, AB39/AB$20)</f>
        <v>0.6666666667</v>
      </c>
      <c r="AI39" s="175">
        <f t="shared" si="46"/>
        <v>0.3333333333</v>
      </c>
      <c r="AJ39" s="175">
        <f t="shared" si="46"/>
        <v>0</v>
      </c>
      <c r="AK39" s="175">
        <f t="shared" si="46"/>
        <v>0</v>
      </c>
      <c r="AL39" s="175">
        <f t="shared" si="46"/>
        <v>0</v>
      </c>
      <c r="AM39" s="175">
        <f t="shared" si="12"/>
        <v>0</v>
      </c>
      <c r="AN39" s="174">
        <f>IF(OR(GradeSheet!$L28="W (Withdrawn)", GradeSheet!$L28="I (Incomplete)"), 0, IF(AH39&gt;=55%, 1, 0))</f>
        <v>1</v>
      </c>
      <c r="AO39" s="174">
        <f>IF(OR(GradeSheet!$L28="W (Withdrawn)", GradeSheet!$L28="I (Incomplete)"), 0, IF(AI39&gt;=55%, 1, 0))</f>
        <v>0</v>
      </c>
      <c r="AP39" s="174">
        <f>IF(OR(GradeSheet!$L28="W (Withdrawn)", GradeSheet!$L28="I (Incomplete)"), 0, IF(AJ39&gt;=55%, 1, 0))</f>
        <v>0</v>
      </c>
      <c r="AQ39" s="174">
        <f>IF(OR(GradeSheet!$L28="W (Withdrawn)", GradeSheet!$L28="I (Incomplete)"), 0, IF(AK39&gt;=55%, 1, 0))</f>
        <v>0</v>
      </c>
      <c r="AR39" s="174">
        <f>IF(OR(GradeSheet!$L28="W (Withdrawn)", GradeSheet!$L28="I (Incomplete)"), 0, IF(AL39&gt;=55%, 1, 0))</f>
        <v>0</v>
      </c>
      <c r="AS39" s="174">
        <f>IF(OR(GradeSheet!$L28="W (Withdrawn)", GradeSheet!$L28="I (Incomplete)"), 0, IF(AM39&gt;=55%, 1, 0))</f>
        <v>0</v>
      </c>
      <c r="AT39" s="136"/>
      <c r="AU39" s="183">
        <f t="array" ref="AU39">IF($AT$15=0,0,MMULT($AH39:$AM39, AT$9:AT$14)/$AT$15)</f>
        <v>0</v>
      </c>
      <c r="AV39" s="183">
        <f t="array" ref="AV39">IF($AT$15=0,0,MMULT($AH39:$AM39, AU$9:AU$14)/$AT$15)</f>
        <v>0</v>
      </c>
      <c r="AW39" s="183">
        <f t="array" ref="AW39">IF($AT$15=0,0,MMULT($AH39:$AM39, AV$9:AV$14)/$AT$15)</f>
        <v>0</v>
      </c>
      <c r="AX39" s="183">
        <f t="array" ref="AX39">IF($AT$15=0,0,MMULT($AH39:$AM39, AW$9:AW$14)/$AT$15)</f>
        <v>0</v>
      </c>
      <c r="AY39" s="183">
        <f t="array" ref="AY39">IF($AT$15=0,0,MMULT($AH39:$AM39, AX$9:AX$14)/$AT$15)</f>
        <v>0</v>
      </c>
      <c r="AZ39" s="183">
        <f t="array" ref="AZ39">IF($AT$15=0,0,MMULT($AH39:$AM39, AY$9:AY$14)/$AT$15)</f>
        <v>0</v>
      </c>
      <c r="BA39" s="183">
        <f t="array" ref="BA39">IF($AT$15=0,0,MMULT($AH39:$AM39, AZ$9:AZ$14)/$AT$15)</f>
        <v>0</v>
      </c>
      <c r="BB39" s="183">
        <f t="array" ref="BB39">IF($AT$15=0,0,MMULT($AH39:$AM39, BA$9:BA$14)/$AT$15)</f>
        <v>0</v>
      </c>
      <c r="BC39" s="183">
        <f t="array" ref="BC39">IF($AT$15=0,0,MMULT($AH39:$AM39, BB$9:BB$14)/$AT$15)</f>
        <v>0</v>
      </c>
      <c r="BD39" s="183">
        <f t="array" ref="BD39">IF($AT$15=0,0,MMULT($AH39:$AM39, BC$9:BC$14)/$AT$15)</f>
        <v>0</v>
      </c>
      <c r="BE39" s="183">
        <f t="array" ref="BE39">IF($AT$15=0,0,MMULT($AH39:$AM39, BD$9:BD$14)/$AT$15)</f>
        <v>0</v>
      </c>
      <c r="BF39" s="183">
        <f t="array" ref="BF39">IF($AT$15=0,0,MMULT($AH39:$AM39, BE$9:BE$14)/$AT$15)</f>
        <v>0</v>
      </c>
      <c r="BG39" s="188">
        <f>IF(OR(GradeSheet!$L28="W (Withdrawn)", GradeSheet!$L28="I (Incomplete)"), 0, IF(AU39&gt;=65%, 1, 0))</f>
        <v>0</v>
      </c>
      <c r="BH39" s="188">
        <f>IF(OR(GradeSheet!$L28="W (Withdrawn)", GradeSheet!$L28="I (Incomplete)"), 0, IF(AV39&gt;=65%, 1, 0))</f>
        <v>0</v>
      </c>
      <c r="BI39" s="188">
        <f>IF(OR(GradeSheet!$L28="W (Withdrawn)", GradeSheet!$L28="I (Incomplete)"), 0, IF(AW39&gt;=65%, 1, 0))</f>
        <v>0</v>
      </c>
      <c r="BJ39" s="188">
        <f>IF(OR(GradeSheet!$L28="W (Withdrawn)", GradeSheet!$L28="I (Incomplete)"), 0, IF(AX39&gt;=65%, 1, 0))</f>
        <v>0</v>
      </c>
      <c r="BK39" s="188">
        <f>IF(OR(GradeSheet!$L28="W (Withdrawn)", GradeSheet!$L28="I (Incomplete)"), 0, IF(AY39&gt;=65%, 1, 0))</f>
        <v>0</v>
      </c>
      <c r="BL39" s="188">
        <f>IF(OR(GradeSheet!$L28="W (Withdrawn)", GradeSheet!$L28="I (Incomplete)"), 0, IF(AZ39&gt;=65%, 1, 0))</f>
        <v>0</v>
      </c>
      <c r="BM39" s="188">
        <f>IF(OR(GradeSheet!$L28="W (Withdrawn)", GradeSheet!$L28="I (Incomplete)"), 0, IF(BA39&gt;=65%, 1, 0))</f>
        <v>0</v>
      </c>
      <c r="BN39" s="188">
        <f>IF(OR(GradeSheet!$L28="W (Withdrawn)", GradeSheet!$L28="I (Incomplete)"), 0, IF(BB39&gt;=65%, 1, 0))</f>
        <v>0</v>
      </c>
      <c r="BO39" s="188">
        <f>IF(OR(GradeSheet!$L28="W (Withdrawn)", GradeSheet!$L28="I (Incomplete)"), 0, IF(BC39&gt;=65%, 1, 0))</f>
        <v>0</v>
      </c>
      <c r="BP39" s="188">
        <f>IF(OR(GradeSheet!$L28="W (Withdrawn)", GradeSheet!$L28="I (Incomplete)"), 0, IF(BD39&gt;=65%, 1, 0))</f>
        <v>0</v>
      </c>
      <c r="BQ39" s="188">
        <f>IF(OR(GradeSheet!$L28="W (Withdrawn)", GradeSheet!$L28="I (Incomplete)"), 0, IF(BE39&gt;=65%, 1, 0))</f>
        <v>0</v>
      </c>
      <c r="BR39" s="188">
        <f>IF(OR(GradeSheet!$L28="W (Withdrawn)", GradeSheet!$L28="I (Incomplete)"), 0, IF(BF39&gt;=65%, 1, 0))</f>
        <v>0</v>
      </c>
    </row>
    <row r="40" ht="15.75" customHeight="1">
      <c r="A40" s="168">
        <v>20.0</v>
      </c>
      <c r="B40" s="169">
        <v>2.53014043E8</v>
      </c>
      <c r="C40" s="170" t="s">
        <v>187</v>
      </c>
      <c r="D40" s="171">
        <v>4.0</v>
      </c>
      <c r="E40" s="171">
        <v>4.0</v>
      </c>
      <c r="F40" s="171">
        <v>0.0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  <c r="X40" s="172">
        <v>0.0</v>
      </c>
      <c r="Y40" s="172">
        <v>0.0</v>
      </c>
      <c r="Z40" s="172">
        <v>0.0</v>
      </c>
      <c r="AA40" s="172">
        <v>0.0</v>
      </c>
      <c r="AB40" s="174">
        <f t="shared" ref="AB40:AG40" si="47">SUM(D40,J40,P40,V40)</f>
        <v>4</v>
      </c>
      <c r="AC40" s="174">
        <f t="shared" si="47"/>
        <v>4</v>
      </c>
      <c r="AD40" s="174">
        <f t="shared" si="47"/>
        <v>0</v>
      </c>
      <c r="AE40" s="174">
        <f t="shared" si="47"/>
        <v>0</v>
      </c>
      <c r="AF40" s="174">
        <f t="shared" si="47"/>
        <v>0</v>
      </c>
      <c r="AG40" s="174">
        <f t="shared" si="47"/>
        <v>0</v>
      </c>
      <c r="AH40" s="175">
        <f t="shared" ref="AH40:AL40" si="48">IF(AB40 = 0, 0, AB40/AB$20)</f>
        <v>0.6666666667</v>
      </c>
      <c r="AI40" s="175">
        <f t="shared" si="48"/>
        <v>0.6666666667</v>
      </c>
      <c r="AJ40" s="175">
        <f t="shared" si="48"/>
        <v>0</v>
      </c>
      <c r="AK40" s="175">
        <f t="shared" si="48"/>
        <v>0</v>
      </c>
      <c r="AL40" s="175">
        <f t="shared" si="48"/>
        <v>0</v>
      </c>
      <c r="AM40" s="175">
        <f t="shared" si="12"/>
        <v>0</v>
      </c>
      <c r="AN40" s="174">
        <f>IF(OR(GradeSheet!$L29="W (Withdrawn)", GradeSheet!$L29="I (Incomplete)"), 0, IF(AH40&gt;=55%, 1, 0))</f>
        <v>1</v>
      </c>
      <c r="AO40" s="174">
        <f>IF(OR(GradeSheet!$L29="W (Withdrawn)", GradeSheet!$L29="I (Incomplete)"), 0, IF(AI40&gt;=55%, 1, 0))</f>
        <v>1</v>
      </c>
      <c r="AP40" s="174">
        <f>IF(OR(GradeSheet!$L29="W (Withdrawn)", GradeSheet!$L29="I (Incomplete)"), 0, IF(AJ40&gt;=55%, 1, 0))</f>
        <v>0</v>
      </c>
      <c r="AQ40" s="174">
        <f>IF(OR(GradeSheet!$L29="W (Withdrawn)", GradeSheet!$L29="I (Incomplete)"), 0, IF(AK40&gt;=55%, 1, 0))</f>
        <v>0</v>
      </c>
      <c r="AR40" s="174">
        <f>IF(OR(GradeSheet!$L29="W (Withdrawn)", GradeSheet!$L29="I (Incomplete)"), 0, IF(AL40&gt;=55%, 1, 0))</f>
        <v>0</v>
      </c>
      <c r="AS40" s="174">
        <f>IF(OR(GradeSheet!$L29="W (Withdrawn)", GradeSheet!$L29="I (Incomplete)"), 0, IF(AM40&gt;=55%, 1, 0))</f>
        <v>0</v>
      </c>
      <c r="AT40" s="136"/>
      <c r="AU40" s="183">
        <f t="array" ref="AU40">IF($AT$15=0,0,MMULT($AH40:$AM40, AT$9:AT$14)/$AT$15)</f>
        <v>0</v>
      </c>
      <c r="AV40" s="183">
        <f t="array" ref="AV40">IF($AT$15=0,0,MMULT($AH40:$AM40, AU$9:AU$14)/$AT$15)</f>
        <v>0</v>
      </c>
      <c r="AW40" s="183">
        <f t="array" ref="AW40">IF($AT$15=0,0,MMULT($AH40:$AM40, AV$9:AV$14)/$AT$15)</f>
        <v>0</v>
      </c>
      <c r="AX40" s="183">
        <f t="array" ref="AX40">IF($AT$15=0,0,MMULT($AH40:$AM40, AW$9:AW$14)/$AT$15)</f>
        <v>0</v>
      </c>
      <c r="AY40" s="183">
        <f t="array" ref="AY40">IF($AT$15=0,0,MMULT($AH40:$AM40, AX$9:AX$14)/$AT$15)</f>
        <v>0</v>
      </c>
      <c r="AZ40" s="183">
        <f t="array" ref="AZ40">IF($AT$15=0,0,MMULT($AH40:$AM40, AY$9:AY$14)/$AT$15)</f>
        <v>0</v>
      </c>
      <c r="BA40" s="183">
        <f t="array" ref="BA40">IF($AT$15=0,0,MMULT($AH40:$AM40, AZ$9:AZ$14)/$AT$15)</f>
        <v>0</v>
      </c>
      <c r="BB40" s="183">
        <f t="array" ref="BB40">IF($AT$15=0,0,MMULT($AH40:$AM40, BA$9:BA$14)/$AT$15)</f>
        <v>0</v>
      </c>
      <c r="BC40" s="183">
        <f t="array" ref="BC40">IF($AT$15=0,0,MMULT($AH40:$AM40, BB$9:BB$14)/$AT$15)</f>
        <v>0</v>
      </c>
      <c r="BD40" s="183">
        <f t="array" ref="BD40">IF($AT$15=0,0,MMULT($AH40:$AM40, BC$9:BC$14)/$AT$15)</f>
        <v>0</v>
      </c>
      <c r="BE40" s="183">
        <f t="array" ref="BE40">IF($AT$15=0,0,MMULT($AH40:$AM40, BD$9:BD$14)/$AT$15)</f>
        <v>0</v>
      </c>
      <c r="BF40" s="183">
        <f t="array" ref="BF40">IF($AT$15=0,0,MMULT($AH40:$AM40, BE$9:BE$14)/$AT$15)</f>
        <v>0</v>
      </c>
      <c r="BG40" s="188">
        <f>IF(OR(GradeSheet!$L29="W (Withdrawn)", GradeSheet!$L29="I (Incomplete)"), 0, IF(AU40&gt;=65%, 1, 0))</f>
        <v>0</v>
      </c>
      <c r="BH40" s="188">
        <f>IF(OR(GradeSheet!$L29="W (Withdrawn)", GradeSheet!$L29="I (Incomplete)"), 0, IF(AV40&gt;=65%, 1, 0))</f>
        <v>0</v>
      </c>
      <c r="BI40" s="188">
        <f>IF(OR(GradeSheet!$L29="W (Withdrawn)", GradeSheet!$L29="I (Incomplete)"), 0, IF(AW40&gt;=65%, 1, 0))</f>
        <v>0</v>
      </c>
      <c r="BJ40" s="188">
        <f>IF(OR(GradeSheet!$L29="W (Withdrawn)", GradeSheet!$L29="I (Incomplete)"), 0, IF(AX40&gt;=65%, 1, 0))</f>
        <v>0</v>
      </c>
      <c r="BK40" s="188">
        <f>IF(OR(GradeSheet!$L29="W (Withdrawn)", GradeSheet!$L29="I (Incomplete)"), 0, IF(AY40&gt;=65%, 1, 0))</f>
        <v>0</v>
      </c>
      <c r="BL40" s="188">
        <f>IF(OR(GradeSheet!$L29="W (Withdrawn)", GradeSheet!$L29="I (Incomplete)"), 0, IF(AZ40&gt;=65%, 1, 0))</f>
        <v>0</v>
      </c>
      <c r="BM40" s="188">
        <f>IF(OR(GradeSheet!$L29="W (Withdrawn)", GradeSheet!$L29="I (Incomplete)"), 0, IF(BA40&gt;=65%, 1, 0))</f>
        <v>0</v>
      </c>
      <c r="BN40" s="188">
        <f>IF(OR(GradeSheet!$L29="W (Withdrawn)", GradeSheet!$L29="I (Incomplete)"), 0, IF(BB40&gt;=65%, 1, 0))</f>
        <v>0</v>
      </c>
      <c r="BO40" s="188">
        <f>IF(OR(GradeSheet!$L29="W (Withdrawn)", GradeSheet!$L29="I (Incomplete)"), 0, IF(BC40&gt;=65%, 1, 0))</f>
        <v>0</v>
      </c>
      <c r="BP40" s="188">
        <f>IF(OR(GradeSheet!$L29="W (Withdrawn)", GradeSheet!$L29="I (Incomplete)"), 0, IF(BD40&gt;=65%, 1, 0))</f>
        <v>0</v>
      </c>
      <c r="BQ40" s="188">
        <f>IF(OR(GradeSheet!$L29="W (Withdrawn)", GradeSheet!$L29="I (Incomplete)"), 0, IF(BE40&gt;=65%, 1, 0))</f>
        <v>0</v>
      </c>
      <c r="BR40" s="188">
        <f>IF(OR(GradeSheet!$L29="W (Withdrawn)", GradeSheet!$L29="I (Incomplete)"), 0, IF(BF40&gt;=65%, 1, 0))</f>
        <v>0</v>
      </c>
    </row>
    <row r="41" ht="15.75" customHeight="1">
      <c r="A41" s="168">
        <v>21.0</v>
      </c>
      <c r="B41" s="169">
        <v>2.53014045E8</v>
      </c>
      <c r="C41" s="170" t="s">
        <v>191</v>
      </c>
      <c r="D41" s="171">
        <v>6.0</v>
      </c>
      <c r="E41" s="171">
        <v>4.0</v>
      </c>
      <c r="F41" s="171">
        <v>0.0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  <c r="X41" s="172">
        <v>0.0</v>
      </c>
      <c r="Y41" s="172">
        <v>0.0</v>
      </c>
      <c r="Z41" s="172">
        <v>0.0</v>
      </c>
      <c r="AA41" s="172">
        <v>0.0</v>
      </c>
      <c r="AB41" s="174">
        <f t="shared" ref="AB41:AG41" si="49">SUM(D41,J41,P41,V41)</f>
        <v>6</v>
      </c>
      <c r="AC41" s="174">
        <f t="shared" si="49"/>
        <v>4</v>
      </c>
      <c r="AD41" s="174">
        <f t="shared" si="49"/>
        <v>0</v>
      </c>
      <c r="AE41" s="174">
        <f t="shared" si="49"/>
        <v>0</v>
      </c>
      <c r="AF41" s="174">
        <f t="shared" si="49"/>
        <v>0</v>
      </c>
      <c r="AG41" s="174">
        <f t="shared" si="49"/>
        <v>0</v>
      </c>
      <c r="AH41" s="175">
        <f t="shared" ref="AH41:AL41" si="50">IF(AB41 = 0, 0, AB41/AB$20)</f>
        <v>1</v>
      </c>
      <c r="AI41" s="175">
        <f t="shared" si="50"/>
        <v>0.6666666667</v>
      </c>
      <c r="AJ41" s="175">
        <f t="shared" si="50"/>
        <v>0</v>
      </c>
      <c r="AK41" s="175">
        <f t="shared" si="50"/>
        <v>0</v>
      </c>
      <c r="AL41" s="175">
        <f t="shared" si="50"/>
        <v>0</v>
      </c>
      <c r="AM41" s="175">
        <f t="shared" si="12"/>
        <v>0</v>
      </c>
      <c r="AN41" s="174">
        <f>IF(OR(GradeSheet!$L30="W (Withdrawn)", GradeSheet!$L30="I (Incomplete)"), 0, IF(AH41&gt;=55%, 1, 0))</f>
        <v>1</v>
      </c>
      <c r="AO41" s="174">
        <f>IF(OR(GradeSheet!$L30="W (Withdrawn)", GradeSheet!$L30="I (Incomplete)"), 0, IF(AI41&gt;=55%, 1, 0))</f>
        <v>1</v>
      </c>
      <c r="AP41" s="174">
        <f>IF(OR(GradeSheet!$L30="W (Withdrawn)", GradeSheet!$L30="I (Incomplete)"), 0, IF(AJ41&gt;=55%, 1, 0))</f>
        <v>0</v>
      </c>
      <c r="AQ41" s="174">
        <f>IF(OR(GradeSheet!$L30="W (Withdrawn)", GradeSheet!$L30="I (Incomplete)"), 0, IF(AK41&gt;=55%, 1, 0))</f>
        <v>0</v>
      </c>
      <c r="AR41" s="174">
        <f>IF(OR(GradeSheet!$L30="W (Withdrawn)", GradeSheet!$L30="I (Incomplete)"), 0, IF(AL41&gt;=55%, 1, 0))</f>
        <v>0</v>
      </c>
      <c r="AS41" s="174">
        <f>IF(OR(GradeSheet!$L30="W (Withdrawn)", GradeSheet!$L30="I (Incomplete)"), 0, IF(AM41&gt;=55%, 1, 0))</f>
        <v>0</v>
      </c>
      <c r="AT41" s="136"/>
      <c r="AU41" s="183">
        <f t="array" ref="AU41">IF($AT$15=0,0,MMULT($AH41:$AM41, AT$9:AT$14)/$AT$15)</f>
        <v>0</v>
      </c>
      <c r="AV41" s="183">
        <f t="array" ref="AV41">IF($AT$15=0,0,MMULT($AH41:$AM41, AU$9:AU$14)/$AT$15)</f>
        <v>0</v>
      </c>
      <c r="AW41" s="183">
        <f t="array" ref="AW41">IF($AT$15=0,0,MMULT($AH41:$AM41, AV$9:AV$14)/$AT$15)</f>
        <v>0</v>
      </c>
      <c r="AX41" s="183">
        <f t="array" ref="AX41">IF($AT$15=0,0,MMULT($AH41:$AM41, AW$9:AW$14)/$AT$15)</f>
        <v>0</v>
      </c>
      <c r="AY41" s="183">
        <f t="array" ref="AY41">IF($AT$15=0,0,MMULT($AH41:$AM41, AX$9:AX$14)/$AT$15)</f>
        <v>0</v>
      </c>
      <c r="AZ41" s="183">
        <f t="array" ref="AZ41">IF($AT$15=0,0,MMULT($AH41:$AM41, AY$9:AY$14)/$AT$15)</f>
        <v>0</v>
      </c>
      <c r="BA41" s="183">
        <f t="array" ref="BA41">IF($AT$15=0,0,MMULT($AH41:$AM41, AZ$9:AZ$14)/$AT$15)</f>
        <v>0</v>
      </c>
      <c r="BB41" s="183">
        <f t="array" ref="BB41">IF($AT$15=0,0,MMULT($AH41:$AM41, BA$9:BA$14)/$AT$15)</f>
        <v>0</v>
      </c>
      <c r="BC41" s="183">
        <f t="array" ref="BC41">IF($AT$15=0,0,MMULT($AH41:$AM41, BB$9:BB$14)/$AT$15)</f>
        <v>0</v>
      </c>
      <c r="BD41" s="183">
        <f t="array" ref="BD41">IF($AT$15=0,0,MMULT($AH41:$AM41, BC$9:BC$14)/$AT$15)</f>
        <v>0</v>
      </c>
      <c r="BE41" s="183">
        <f t="array" ref="BE41">IF($AT$15=0,0,MMULT($AH41:$AM41, BD$9:BD$14)/$AT$15)</f>
        <v>0</v>
      </c>
      <c r="BF41" s="183">
        <f t="array" ref="BF41">IF($AT$15=0,0,MMULT($AH41:$AM41, BE$9:BE$14)/$AT$15)</f>
        <v>0</v>
      </c>
      <c r="BG41" s="188">
        <f>IF(OR(GradeSheet!$L30="W (Withdrawn)", GradeSheet!$L30="I (Incomplete)"), 0, IF(AU41&gt;=65%, 1, 0))</f>
        <v>0</v>
      </c>
      <c r="BH41" s="188">
        <f>IF(OR(GradeSheet!$L30="W (Withdrawn)", GradeSheet!$L30="I (Incomplete)"), 0, IF(AV41&gt;=65%, 1, 0))</f>
        <v>0</v>
      </c>
      <c r="BI41" s="188">
        <f>IF(OR(GradeSheet!$L30="W (Withdrawn)", GradeSheet!$L30="I (Incomplete)"), 0, IF(AW41&gt;=65%, 1, 0))</f>
        <v>0</v>
      </c>
      <c r="BJ41" s="188">
        <f>IF(OR(GradeSheet!$L30="W (Withdrawn)", GradeSheet!$L30="I (Incomplete)"), 0, IF(AX41&gt;=65%, 1, 0))</f>
        <v>0</v>
      </c>
      <c r="BK41" s="188">
        <f>IF(OR(GradeSheet!$L30="W (Withdrawn)", GradeSheet!$L30="I (Incomplete)"), 0, IF(AY41&gt;=65%, 1, 0))</f>
        <v>0</v>
      </c>
      <c r="BL41" s="188">
        <f>IF(OR(GradeSheet!$L30="W (Withdrawn)", GradeSheet!$L30="I (Incomplete)"), 0, IF(AZ41&gt;=65%, 1, 0))</f>
        <v>0</v>
      </c>
      <c r="BM41" s="188">
        <f>IF(OR(GradeSheet!$L30="W (Withdrawn)", GradeSheet!$L30="I (Incomplete)"), 0, IF(BA41&gt;=65%, 1, 0))</f>
        <v>0</v>
      </c>
      <c r="BN41" s="188">
        <f>IF(OR(GradeSheet!$L30="W (Withdrawn)", GradeSheet!$L30="I (Incomplete)"), 0, IF(BB41&gt;=65%, 1, 0))</f>
        <v>0</v>
      </c>
      <c r="BO41" s="188">
        <f>IF(OR(GradeSheet!$L30="W (Withdrawn)", GradeSheet!$L30="I (Incomplete)"), 0, IF(BC41&gt;=65%, 1, 0))</f>
        <v>0</v>
      </c>
      <c r="BP41" s="188">
        <f>IF(OR(GradeSheet!$L30="W (Withdrawn)", GradeSheet!$L30="I (Incomplete)"), 0, IF(BD41&gt;=65%, 1, 0))</f>
        <v>0</v>
      </c>
      <c r="BQ41" s="188">
        <f>IF(OR(GradeSheet!$L30="W (Withdrawn)", GradeSheet!$L30="I (Incomplete)"), 0, IF(BE41&gt;=65%, 1, 0))</f>
        <v>0</v>
      </c>
      <c r="BR41" s="188">
        <f>IF(OR(GradeSheet!$L30="W (Withdrawn)", GradeSheet!$L30="I (Incomplete)"), 0, IF(BF41&gt;=65%, 1, 0))</f>
        <v>0</v>
      </c>
    </row>
    <row r="42" ht="15.75" customHeight="1">
      <c r="A42" s="168">
        <v>22.0</v>
      </c>
      <c r="B42" s="169">
        <v>2.53014051E8</v>
      </c>
      <c r="C42" s="170" t="s">
        <v>194</v>
      </c>
      <c r="D42" s="171">
        <v>6.0</v>
      </c>
      <c r="E42" s="171">
        <v>4.0</v>
      </c>
      <c r="F42" s="171">
        <v>0.0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2">
        <v>0.0</v>
      </c>
      <c r="Q42" s="172">
        <v>0.0</v>
      </c>
      <c r="R42" s="172">
        <v>0.0</v>
      </c>
      <c r="S42" s="172">
        <v>0.0</v>
      </c>
      <c r="T42" s="172">
        <v>0.0</v>
      </c>
      <c r="U42" s="172">
        <v>0.0</v>
      </c>
      <c r="V42" s="172">
        <v>0.0</v>
      </c>
      <c r="W42" s="172">
        <v>0.0</v>
      </c>
      <c r="X42" s="172">
        <v>0.0</v>
      </c>
      <c r="Y42" s="172">
        <v>0.0</v>
      </c>
      <c r="Z42" s="172">
        <v>0.0</v>
      </c>
      <c r="AA42" s="172">
        <v>0.0</v>
      </c>
      <c r="AB42" s="174">
        <f t="shared" ref="AB42:AG42" si="51">SUM(D42,J42,P42,V42)</f>
        <v>6</v>
      </c>
      <c r="AC42" s="174">
        <f t="shared" si="51"/>
        <v>4</v>
      </c>
      <c r="AD42" s="174">
        <f t="shared" si="51"/>
        <v>0</v>
      </c>
      <c r="AE42" s="174">
        <f t="shared" si="51"/>
        <v>0</v>
      </c>
      <c r="AF42" s="174">
        <f t="shared" si="51"/>
        <v>0</v>
      </c>
      <c r="AG42" s="174">
        <f t="shared" si="51"/>
        <v>0</v>
      </c>
      <c r="AH42" s="175">
        <f t="shared" ref="AH42:AL42" si="52">IF(AB42 = 0, 0, AB42/AB$20)</f>
        <v>1</v>
      </c>
      <c r="AI42" s="175">
        <f t="shared" si="52"/>
        <v>0.6666666667</v>
      </c>
      <c r="AJ42" s="175">
        <f t="shared" si="52"/>
        <v>0</v>
      </c>
      <c r="AK42" s="175">
        <f t="shared" si="52"/>
        <v>0</v>
      </c>
      <c r="AL42" s="175">
        <f t="shared" si="52"/>
        <v>0</v>
      </c>
      <c r="AM42" s="175">
        <f t="shared" si="12"/>
        <v>0</v>
      </c>
      <c r="AN42" s="174">
        <f>IF(OR(GradeSheet!$L31="W (Withdrawn)", GradeSheet!$L31="I (Incomplete)"), 0, IF(AH42&gt;=55%, 1, 0))</f>
        <v>1</v>
      </c>
      <c r="AO42" s="174">
        <f>IF(OR(GradeSheet!$L31="W (Withdrawn)", GradeSheet!$L31="I (Incomplete)"), 0, IF(AI42&gt;=55%, 1, 0))</f>
        <v>1</v>
      </c>
      <c r="AP42" s="174">
        <f>IF(OR(GradeSheet!$L31="W (Withdrawn)", GradeSheet!$L31="I (Incomplete)"), 0, IF(AJ42&gt;=55%, 1, 0))</f>
        <v>0</v>
      </c>
      <c r="AQ42" s="174">
        <f>IF(OR(GradeSheet!$L31="W (Withdrawn)", GradeSheet!$L31="I (Incomplete)"), 0, IF(AK42&gt;=55%, 1, 0))</f>
        <v>0</v>
      </c>
      <c r="AR42" s="174">
        <f>IF(OR(GradeSheet!$L31="W (Withdrawn)", GradeSheet!$L31="I (Incomplete)"), 0, IF(AL42&gt;=55%, 1, 0))</f>
        <v>0</v>
      </c>
      <c r="AS42" s="174">
        <f>IF(OR(GradeSheet!$L31="W (Withdrawn)", GradeSheet!$L31="I (Incomplete)"), 0, IF(AM42&gt;=55%, 1, 0))</f>
        <v>0</v>
      </c>
      <c r="AT42" s="136"/>
      <c r="AU42" s="183">
        <f t="array" ref="AU42">IF($AT$15=0,0,MMULT($AH42:$AM42, AT$9:AT$14)/$AT$15)</f>
        <v>0</v>
      </c>
      <c r="AV42" s="183">
        <f t="array" ref="AV42">IF($AT$15=0,0,MMULT($AH42:$AM42, AU$9:AU$14)/$AT$15)</f>
        <v>0</v>
      </c>
      <c r="AW42" s="183">
        <f t="array" ref="AW42">IF($AT$15=0,0,MMULT($AH42:$AM42, AV$9:AV$14)/$AT$15)</f>
        <v>0</v>
      </c>
      <c r="AX42" s="183">
        <f t="array" ref="AX42">IF($AT$15=0,0,MMULT($AH42:$AM42, AW$9:AW$14)/$AT$15)</f>
        <v>0</v>
      </c>
      <c r="AY42" s="183">
        <f t="array" ref="AY42">IF($AT$15=0,0,MMULT($AH42:$AM42, AX$9:AX$14)/$AT$15)</f>
        <v>0</v>
      </c>
      <c r="AZ42" s="183">
        <f t="array" ref="AZ42">IF($AT$15=0,0,MMULT($AH42:$AM42, AY$9:AY$14)/$AT$15)</f>
        <v>0</v>
      </c>
      <c r="BA42" s="183">
        <f t="array" ref="BA42">IF($AT$15=0,0,MMULT($AH42:$AM42, AZ$9:AZ$14)/$AT$15)</f>
        <v>0</v>
      </c>
      <c r="BB42" s="183">
        <f t="array" ref="BB42">IF($AT$15=0,0,MMULT($AH42:$AM42, BA$9:BA$14)/$AT$15)</f>
        <v>0</v>
      </c>
      <c r="BC42" s="183">
        <f t="array" ref="BC42">IF($AT$15=0,0,MMULT($AH42:$AM42, BB$9:BB$14)/$AT$15)</f>
        <v>0</v>
      </c>
      <c r="BD42" s="183">
        <f t="array" ref="BD42">IF($AT$15=0,0,MMULT($AH42:$AM42, BC$9:BC$14)/$AT$15)</f>
        <v>0</v>
      </c>
      <c r="BE42" s="183">
        <f t="array" ref="BE42">IF($AT$15=0,0,MMULT($AH42:$AM42, BD$9:BD$14)/$AT$15)</f>
        <v>0</v>
      </c>
      <c r="BF42" s="183">
        <f t="array" ref="BF42">IF($AT$15=0,0,MMULT($AH42:$AM42, BE$9:BE$14)/$AT$15)</f>
        <v>0</v>
      </c>
      <c r="BG42" s="188">
        <f>IF(OR(GradeSheet!$L31="W (Withdrawn)", GradeSheet!$L31="I (Incomplete)"), 0, IF(AU42&gt;=65%, 1, 0))</f>
        <v>0</v>
      </c>
      <c r="BH42" s="188">
        <f>IF(OR(GradeSheet!$L31="W (Withdrawn)", GradeSheet!$L31="I (Incomplete)"), 0, IF(AV42&gt;=65%, 1, 0))</f>
        <v>0</v>
      </c>
      <c r="BI42" s="188">
        <f>IF(OR(GradeSheet!$L31="W (Withdrawn)", GradeSheet!$L31="I (Incomplete)"), 0, IF(AW42&gt;=65%, 1, 0))</f>
        <v>0</v>
      </c>
      <c r="BJ42" s="188">
        <f>IF(OR(GradeSheet!$L31="W (Withdrawn)", GradeSheet!$L31="I (Incomplete)"), 0, IF(AX42&gt;=65%, 1, 0))</f>
        <v>0</v>
      </c>
      <c r="BK42" s="188">
        <f>IF(OR(GradeSheet!$L31="W (Withdrawn)", GradeSheet!$L31="I (Incomplete)"), 0, IF(AY42&gt;=65%, 1, 0))</f>
        <v>0</v>
      </c>
      <c r="BL42" s="188">
        <f>IF(OR(GradeSheet!$L31="W (Withdrawn)", GradeSheet!$L31="I (Incomplete)"), 0, IF(AZ42&gt;=65%, 1, 0))</f>
        <v>0</v>
      </c>
      <c r="BM42" s="188">
        <f>IF(OR(GradeSheet!$L31="W (Withdrawn)", GradeSheet!$L31="I (Incomplete)"), 0, IF(BA42&gt;=65%, 1, 0))</f>
        <v>0</v>
      </c>
      <c r="BN42" s="188">
        <f>IF(OR(GradeSheet!$L31="W (Withdrawn)", GradeSheet!$L31="I (Incomplete)"), 0, IF(BB42&gt;=65%, 1, 0))</f>
        <v>0</v>
      </c>
      <c r="BO42" s="188">
        <f>IF(OR(GradeSheet!$L31="W (Withdrawn)", GradeSheet!$L31="I (Incomplete)"), 0, IF(BC42&gt;=65%, 1, 0))</f>
        <v>0</v>
      </c>
      <c r="BP42" s="188">
        <f>IF(OR(GradeSheet!$L31="W (Withdrawn)", GradeSheet!$L31="I (Incomplete)"), 0, IF(BD42&gt;=65%, 1, 0))</f>
        <v>0</v>
      </c>
      <c r="BQ42" s="188">
        <f>IF(OR(GradeSheet!$L31="W (Withdrawn)", GradeSheet!$L31="I (Incomplete)"), 0, IF(BE42&gt;=65%, 1, 0))</f>
        <v>0</v>
      </c>
      <c r="BR42" s="188">
        <f>IF(OR(GradeSheet!$L31="W (Withdrawn)", GradeSheet!$L31="I (Incomplete)"), 0, IF(BF42&gt;=65%, 1, 0))</f>
        <v>0</v>
      </c>
    </row>
    <row r="43" ht="15.75" customHeight="1">
      <c r="A43" s="168">
        <v>23.0</v>
      </c>
      <c r="B43" s="169">
        <v>2.53014056E8</v>
      </c>
      <c r="C43" s="170" t="s">
        <v>195</v>
      </c>
      <c r="D43" s="171">
        <v>6.0</v>
      </c>
      <c r="E43" s="171">
        <v>4.0</v>
      </c>
      <c r="F43" s="171">
        <v>0.0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  <c r="X43" s="172">
        <v>0.0</v>
      </c>
      <c r="Y43" s="172">
        <v>0.0</v>
      </c>
      <c r="Z43" s="172">
        <v>0.0</v>
      </c>
      <c r="AA43" s="172">
        <v>0.0</v>
      </c>
      <c r="AB43" s="174">
        <f t="shared" ref="AB43:AG43" si="53">SUM(D43,J43,P43,V43)</f>
        <v>6</v>
      </c>
      <c r="AC43" s="174">
        <f t="shared" si="53"/>
        <v>4</v>
      </c>
      <c r="AD43" s="174">
        <f t="shared" si="53"/>
        <v>0</v>
      </c>
      <c r="AE43" s="174">
        <f t="shared" si="53"/>
        <v>0</v>
      </c>
      <c r="AF43" s="174">
        <f t="shared" si="53"/>
        <v>0</v>
      </c>
      <c r="AG43" s="174">
        <f t="shared" si="53"/>
        <v>0</v>
      </c>
      <c r="AH43" s="175">
        <f t="shared" ref="AH43:AL43" si="54">IF(AB43 = 0, 0, AB43/AB$20)</f>
        <v>1</v>
      </c>
      <c r="AI43" s="175">
        <f t="shared" si="54"/>
        <v>0.6666666667</v>
      </c>
      <c r="AJ43" s="175">
        <f t="shared" si="54"/>
        <v>0</v>
      </c>
      <c r="AK43" s="175">
        <f t="shared" si="54"/>
        <v>0</v>
      </c>
      <c r="AL43" s="175">
        <f t="shared" si="54"/>
        <v>0</v>
      </c>
      <c r="AM43" s="175">
        <f t="shared" si="12"/>
        <v>0</v>
      </c>
      <c r="AN43" s="174">
        <f>IF(OR(GradeSheet!$L32="W (Withdrawn)", GradeSheet!$L32="I (Incomplete)"), 0, IF(AH43&gt;=55%, 1, 0))</f>
        <v>1</v>
      </c>
      <c r="AO43" s="174">
        <f>IF(OR(GradeSheet!$L32="W (Withdrawn)", GradeSheet!$L32="I (Incomplete)"), 0, IF(AI43&gt;=55%, 1, 0))</f>
        <v>1</v>
      </c>
      <c r="AP43" s="174">
        <f>IF(OR(GradeSheet!$L32="W (Withdrawn)", GradeSheet!$L32="I (Incomplete)"), 0, IF(AJ43&gt;=55%, 1, 0))</f>
        <v>0</v>
      </c>
      <c r="AQ43" s="174">
        <f>IF(OR(GradeSheet!$L32="W (Withdrawn)", GradeSheet!$L32="I (Incomplete)"), 0, IF(AK43&gt;=55%, 1, 0))</f>
        <v>0</v>
      </c>
      <c r="AR43" s="174">
        <f>IF(OR(GradeSheet!$L32="W (Withdrawn)", GradeSheet!$L32="I (Incomplete)"), 0, IF(AL43&gt;=55%, 1, 0))</f>
        <v>0</v>
      </c>
      <c r="AS43" s="174">
        <f>IF(OR(GradeSheet!$L32="W (Withdrawn)", GradeSheet!$L32="I (Incomplete)"), 0, IF(AM43&gt;=55%, 1, 0))</f>
        <v>0</v>
      </c>
      <c r="AT43" s="136"/>
      <c r="AU43" s="183">
        <f t="array" ref="AU43">IF($AT$15=0,0,MMULT($AH43:$AM43, AT$9:AT$14)/$AT$15)</f>
        <v>0</v>
      </c>
      <c r="AV43" s="183">
        <f t="array" ref="AV43">IF($AT$15=0,0,MMULT($AH43:$AM43, AU$9:AU$14)/$AT$15)</f>
        <v>0</v>
      </c>
      <c r="AW43" s="183">
        <f t="array" ref="AW43">IF($AT$15=0,0,MMULT($AH43:$AM43, AV$9:AV$14)/$AT$15)</f>
        <v>0</v>
      </c>
      <c r="AX43" s="183">
        <f t="array" ref="AX43">IF($AT$15=0,0,MMULT($AH43:$AM43, AW$9:AW$14)/$AT$15)</f>
        <v>0</v>
      </c>
      <c r="AY43" s="183">
        <f t="array" ref="AY43">IF($AT$15=0,0,MMULT($AH43:$AM43, AX$9:AX$14)/$AT$15)</f>
        <v>0</v>
      </c>
      <c r="AZ43" s="183">
        <f t="array" ref="AZ43">IF($AT$15=0,0,MMULT($AH43:$AM43, AY$9:AY$14)/$AT$15)</f>
        <v>0</v>
      </c>
      <c r="BA43" s="183">
        <f t="array" ref="BA43">IF($AT$15=0,0,MMULT($AH43:$AM43, AZ$9:AZ$14)/$AT$15)</f>
        <v>0</v>
      </c>
      <c r="BB43" s="183">
        <f t="array" ref="BB43">IF($AT$15=0,0,MMULT($AH43:$AM43, BA$9:BA$14)/$AT$15)</f>
        <v>0</v>
      </c>
      <c r="BC43" s="183">
        <f t="array" ref="BC43">IF($AT$15=0,0,MMULT($AH43:$AM43, BB$9:BB$14)/$AT$15)</f>
        <v>0</v>
      </c>
      <c r="BD43" s="183">
        <f t="array" ref="BD43">IF($AT$15=0,0,MMULT($AH43:$AM43, BC$9:BC$14)/$AT$15)</f>
        <v>0</v>
      </c>
      <c r="BE43" s="183">
        <f t="array" ref="BE43">IF($AT$15=0,0,MMULT($AH43:$AM43, BD$9:BD$14)/$AT$15)</f>
        <v>0</v>
      </c>
      <c r="BF43" s="183">
        <f t="array" ref="BF43">IF($AT$15=0,0,MMULT($AH43:$AM43, BE$9:BE$14)/$AT$15)</f>
        <v>0</v>
      </c>
      <c r="BG43" s="188">
        <f>IF(OR(GradeSheet!$L32="W (Withdrawn)", GradeSheet!$L32="I (Incomplete)"), 0, IF(AU43&gt;=65%, 1, 0))</f>
        <v>0</v>
      </c>
      <c r="BH43" s="188">
        <f>IF(OR(GradeSheet!$L32="W (Withdrawn)", GradeSheet!$L32="I (Incomplete)"), 0, IF(AV43&gt;=65%, 1, 0))</f>
        <v>0</v>
      </c>
      <c r="BI43" s="188">
        <f>IF(OR(GradeSheet!$L32="W (Withdrawn)", GradeSheet!$L32="I (Incomplete)"), 0, IF(AW43&gt;=65%, 1, 0))</f>
        <v>0</v>
      </c>
      <c r="BJ43" s="188">
        <f>IF(OR(GradeSheet!$L32="W (Withdrawn)", GradeSheet!$L32="I (Incomplete)"), 0, IF(AX43&gt;=65%, 1, 0))</f>
        <v>0</v>
      </c>
      <c r="BK43" s="188">
        <f>IF(OR(GradeSheet!$L32="W (Withdrawn)", GradeSheet!$L32="I (Incomplete)"), 0, IF(AY43&gt;=65%, 1, 0))</f>
        <v>0</v>
      </c>
      <c r="BL43" s="188">
        <f>IF(OR(GradeSheet!$L32="W (Withdrawn)", GradeSheet!$L32="I (Incomplete)"), 0, IF(AZ43&gt;=65%, 1, 0))</f>
        <v>0</v>
      </c>
      <c r="BM43" s="188">
        <f>IF(OR(GradeSheet!$L32="W (Withdrawn)", GradeSheet!$L32="I (Incomplete)"), 0, IF(BA43&gt;=65%, 1, 0))</f>
        <v>0</v>
      </c>
      <c r="BN43" s="188">
        <f>IF(OR(GradeSheet!$L32="W (Withdrawn)", GradeSheet!$L32="I (Incomplete)"), 0, IF(BB43&gt;=65%, 1, 0))</f>
        <v>0</v>
      </c>
      <c r="BO43" s="188">
        <f>IF(OR(GradeSheet!$L32="W (Withdrawn)", GradeSheet!$L32="I (Incomplete)"), 0, IF(BC43&gt;=65%, 1, 0))</f>
        <v>0</v>
      </c>
      <c r="BP43" s="188">
        <f>IF(OR(GradeSheet!$L32="W (Withdrawn)", GradeSheet!$L32="I (Incomplete)"), 0, IF(BD43&gt;=65%, 1, 0))</f>
        <v>0</v>
      </c>
      <c r="BQ43" s="188">
        <f>IF(OR(GradeSheet!$L32="W (Withdrawn)", GradeSheet!$L32="I (Incomplete)"), 0, IF(BE43&gt;=65%, 1, 0))</f>
        <v>0</v>
      </c>
      <c r="BR43" s="188">
        <f>IF(OR(GradeSheet!$L32="W (Withdrawn)", GradeSheet!$L32="I (Incomplete)"), 0, IF(BF43&gt;=65%, 1, 0))</f>
        <v>0</v>
      </c>
    </row>
    <row r="44" ht="15.75" customHeight="1">
      <c r="A44" s="168">
        <v>24.0</v>
      </c>
      <c r="B44" s="169">
        <v>2.53014061E8</v>
      </c>
      <c r="C44" s="170" t="s">
        <v>196</v>
      </c>
      <c r="D44" s="171">
        <v>6.0</v>
      </c>
      <c r="E44" s="171">
        <v>4.0</v>
      </c>
      <c r="F44" s="171">
        <v>0.0</v>
      </c>
      <c r="G44" s="171">
        <v>0.0</v>
      </c>
      <c r="H44" s="171">
        <v>0.0</v>
      </c>
      <c r="I44" s="171">
        <v>0.0</v>
      </c>
      <c r="J44" s="171">
        <v>0.0</v>
      </c>
      <c r="K44" s="171">
        <v>0.0</v>
      </c>
      <c r="L44" s="171">
        <v>0.0</v>
      </c>
      <c r="M44" s="171">
        <v>0.0</v>
      </c>
      <c r="N44" s="171">
        <v>0.0</v>
      </c>
      <c r="O44" s="171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  <c r="X44" s="172">
        <v>0.0</v>
      </c>
      <c r="Y44" s="172">
        <v>0.0</v>
      </c>
      <c r="Z44" s="172">
        <v>0.0</v>
      </c>
      <c r="AA44" s="172">
        <v>0.0</v>
      </c>
      <c r="AB44" s="174">
        <f t="shared" ref="AB44:AG44" si="55">SUM(D44,J44,P44,V44)</f>
        <v>6</v>
      </c>
      <c r="AC44" s="174">
        <f t="shared" si="55"/>
        <v>4</v>
      </c>
      <c r="AD44" s="174">
        <f t="shared" si="55"/>
        <v>0</v>
      </c>
      <c r="AE44" s="174">
        <f t="shared" si="55"/>
        <v>0</v>
      </c>
      <c r="AF44" s="174">
        <f t="shared" si="55"/>
        <v>0</v>
      </c>
      <c r="AG44" s="174">
        <f t="shared" si="55"/>
        <v>0</v>
      </c>
      <c r="AH44" s="175">
        <f t="shared" ref="AH44:AL44" si="56">IF(AB44 = 0, 0, AB44/AB$20)</f>
        <v>1</v>
      </c>
      <c r="AI44" s="175">
        <f t="shared" si="56"/>
        <v>0.6666666667</v>
      </c>
      <c r="AJ44" s="175">
        <f t="shared" si="56"/>
        <v>0</v>
      </c>
      <c r="AK44" s="175">
        <f t="shared" si="56"/>
        <v>0</v>
      </c>
      <c r="AL44" s="175">
        <f t="shared" si="56"/>
        <v>0</v>
      </c>
      <c r="AM44" s="175">
        <f t="shared" si="12"/>
        <v>0</v>
      </c>
      <c r="AN44" s="174">
        <f>IF(OR(GradeSheet!$L33="W (Withdrawn)", GradeSheet!$L33="I (Incomplete)"), 0, IF(AH44&gt;=55%, 1, 0))</f>
        <v>1</v>
      </c>
      <c r="AO44" s="174">
        <f>IF(OR(GradeSheet!$L33="W (Withdrawn)", GradeSheet!$L33="I (Incomplete)"), 0, IF(AI44&gt;=55%, 1, 0))</f>
        <v>1</v>
      </c>
      <c r="AP44" s="174">
        <f>IF(OR(GradeSheet!$L33="W (Withdrawn)", GradeSheet!$L33="I (Incomplete)"), 0, IF(AJ44&gt;=55%, 1, 0))</f>
        <v>0</v>
      </c>
      <c r="AQ44" s="174">
        <f>IF(OR(GradeSheet!$L33="W (Withdrawn)", GradeSheet!$L33="I (Incomplete)"), 0, IF(AK44&gt;=55%, 1, 0))</f>
        <v>0</v>
      </c>
      <c r="AR44" s="174">
        <f>IF(OR(GradeSheet!$L33="W (Withdrawn)", GradeSheet!$L33="I (Incomplete)"), 0, IF(AL44&gt;=55%, 1, 0))</f>
        <v>0</v>
      </c>
      <c r="AS44" s="174">
        <f>IF(OR(GradeSheet!$L33="W (Withdrawn)", GradeSheet!$L33="I (Incomplete)"), 0, IF(AM44&gt;=55%, 1, 0))</f>
        <v>0</v>
      </c>
      <c r="AT44" s="136"/>
      <c r="AU44" s="183">
        <f t="array" ref="AU44">IF($AT$15=0,0,MMULT($AH44:$AM44, AT$9:AT$14)/$AT$15)</f>
        <v>0</v>
      </c>
      <c r="AV44" s="183">
        <f t="array" ref="AV44">IF($AT$15=0,0,MMULT($AH44:$AM44, AU$9:AU$14)/$AT$15)</f>
        <v>0</v>
      </c>
      <c r="AW44" s="183">
        <f t="array" ref="AW44">IF($AT$15=0,0,MMULT($AH44:$AM44, AV$9:AV$14)/$AT$15)</f>
        <v>0</v>
      </c>
      <c r="AX44" s="183">
        <f t="array" ref="AX44">IF($AT$15=0,0,MMULT($AH44:$AM44, AW$9:AW$14)/$AT$15)</f>
        <v>0</v>
      </c>
      <c r="AY44" s="183">
        <f t="array" ref="AY44">IF($AT$15=0,0,MMULT($AH44:$AM44, AX$9:AX$14)/$AT$15)</f>
        <v>0</v>
      </c>
      <c r="AZ44" s="183">
        <f t="array" ref="AZ44">IF($AT$15=0,0,MMULT($AH44:$AM44, AY$9:AY$14)/$AT$15)</f>
        <v>0</v>
      </c>
      <c r="BA44" s="183">
        <f t="array" ref="BA44">IF($AT$15=0,0,MMULT($AH44:$AM44, AZ$9:AZ$14)/$AT$15)</f>
        <v>0</v>
      </c>
      <c r="BB44" s="183">
        <f t="array" ref="BB44">IF($AT$15=0,0,MMULT($AH44:$AM44, BA$9:BA$14)/$AT$15)</f>
        <v>0</v>
      </c>
      <c r="BC44" s="183">
        <f t="array" ref="BC44">IF($AT$15=0,0,MMULT($AH44:$AM44, BB$9:BB$14)/$AT$15)</f>
        <v>0</v>
      </c>
      <c r="BD44" s="183">
        <f t="array" ref="BD44">IF($AT$15=0,0,MMULT($AH44:$AM44, BC$9:BC$14)/$AT$15)</f>
        <v>0</v>
      </c>
      <c r="BE44" s="183">
        <f t="array" ref="BE44">IF($AT$15=0,0,MMULT($AH44:$AM44, BD$9:BD$14)/$AT$15)</f>
        <v>0</v>
      </c>
      <c r="BF44" s="183">
        <f t="array" ref="BF44">IF($AT$15=0,0,MMULT($AH44:$AM44, BE$9:BE$14)/$AT$15)</f>
        <v>0</v>
      </c>
      <c r="BG44" s="188">
        <f>IF(OR(GradeSheet!$L33="W (Withdrawn)", GradeSheet!$L33="I (Incomplete)"), 0, IF(AU44&gt;=65%, 1, 0))</f>
        <v>0</v>
      </c>
      <c r="BH44" s="188">
        <f>IF(OR(GradeSheet!$L33="W (Withdrawn)", GradeSheet!$L33="I (Incomplete)"), 0, IF(AV44&gt;=65%, 1, 0))</f>
        <v>0</v>
      </c>
      <c r="BI44" s="188">
        <f>IF(OR(GradeSheet!$L33="W (Withdrawn)", GradeSheet!$L33="I (Incomplete)"), 0, IF(AW44&gt;=65%, 1, 0))</f>
        <v>0</v>
      </c>
      <c r="BJ44" s="188">
        <f>IF(OR(GradeSheet!$L33="W (Withdrawn)", GradeSheet!$L33="I (Incomplete)"), 0, IF(AX44&gt;=65%, 1, 0))</f>
        <v>0</v>
      </c>
      <c r="BK44" s="188">
        <f>IF(OR(GradeSheet!$L33="W (Withdrawn)", GradeSheet!$L33="I (Incomplete)"), 0, IF(AY44&gt;=65%, 1, 0))</f>
        <v>0</v>
      </c>
      <c r="BL44" s="188">
        <f>IF(OR(GradeSheet!$L33="W (Withdrawn)", GradeSheet!$L33="I (Incomplete)"), 0, IF(AZ44&gt;=65%, 1, 0))</f>
        <v>0</v>
      </c>
      <c r="BM44" s="188">
        <f>IF(OR(GradeSheet!$L33="W (Withdrawn)", GradeSheet!$L33="I (Incomplete)"), 0, IF(BA44&gt;=65%, 1, 0))</f>
        <v>0</v>
      </c>
      <c r="BN44" s="188">
        <f>IF(OR(GradeSheet!$L33="W (Withdrawn)", GradeSheet!$L33="I (Incomplete)"), 0, IF(BB44&gt;=65%, 1, 0))</f>
        <v>0</v>
      </c>
      <c r="BO44" s="188">
        <f>IF(OR(GradeSheet!$L33="W (Withdrawn)", GradeSheet!$L33="I (Incomplete)"), 0, IF(BC44&gt;=65%, 1, 0))</f>
        <v>0</v>
      </c>
      <c r="BP44" s="188">
        <f>IF(OR(GradeSheet!$L33="W (Withdrawn)", GradeSheet!$L33="I (Incomplete)"), 0, IF(BD44&gt;=65%, 1, 0))</f>
        <v>0</v>
      </c>
      <c r="BQ44" s="188">
        <f>IF(OR(GradeSheet!$L33="W (Withdrawn)", GradeSheet!$L33="I (Incomplete)"), 0, IF(BE44&gt;=65%, 1, 0))</f>
        <v>0</v>
      </c>
      <c r="BR44" s="188">
        <f>IF(OR(GradeSheet!$L33="W (Withdrawn)", GradeSheet!$L33="I (Incomplete)"), 0, IF(BF44&gt;=65%, 1, 0))</f>
        <v>0</v>
      </c>
    </row>
    <row r="45" ht="15.75" customHeight="1">
      <c r="A45" s="168">
        <v>25.0</v>
      </c>
      <c r="B45" s="168">
        <v>2.53014063E8</v>
      </c>
      <c r="C45" s="170" t="s">
        <v>198</v>
      </c>
      <c r="D45" s="171">
        <v>0.0</v>
      </c>
      <c r="E45" s="171">
        <v>0.0</v>
      </c>
      <c r="F45" s="171">
        <v>0.0</v>
      </c>
      <c r="G45" s="171">
        <v>0.0</v>
      </c>
      <c r="H45" s="171">
        <v>0.0</v>
      </c>
      <c r="I45" s="171">
        <v>0.0</v>
      </c>
      <c r="J45" s="171">
        <v>0.0</v>
      </c>
      <c r="K45" s="171">
        <v>0.0</v>
      </c>
      <c r="L45" s="171">
        <v>0.0</v>
      </c>
      <c r="M45" s="171">
        <v>0.0</v>
      </c>
      <c r="N45" s="171">
        <v>0.0</v>
      </c>
      <c r="O45" s="171">
        <v>0.0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  <c r="X45" s="172">
        <v>0.0</v>
      </c>
      <c r="Y45" s="172">
        <v>0.0</v>
      </c>
      <c r="Z45" s="172">
        <v>0.0</v>
      </c>
      <c r="AA45" s="172">
        <v>0.0</v>
      </c>
      <c r="AB45" s="174">
        <f t="shared" ref="AB45:AG45" si="57">SUM(D45,J45,P45,V45)</f>
        <v>0</v>
      </c>
      <c r="AC45" s="174">
        <f t="shared" si="57"/>
        <v>0</v>
      </c>
      <c r="AD45" s="174">
        <f t="shared" si="57"/>
        <v>0</v>
      </c>
      <c r="AE45" s="174">
        <f t="shared" si="57"/>
        <v>0</v>
      </c>
      <c r="AF45" s="174">
        <f t="shared" si="57"/>
        <v>0</v>
      </c>
      <c r="AG45" s="174">
        <f t="shared" si="57"/>
        <v>0</v>
      </c>
      <c r="AH45" s="175">
        <f t="shared" ref="AH45:AL45" si="58">IF(AB45 = 0, 0, AB45/AB$20)</f>
        <v>0</v>
      </c>
      <c r="AI45" s="175">
        <f t="shared" si="58"/>
        <v>0</v>
      </c>
      <c r="AJ45" s="175">
        <f t="shared" si="58"/>
        <v>0</v>
      </c>
      <c r="AK45" s="175">
        <f t="shared" si="58"/>
        <v>0</v>
      </c>
      <c r="AL45" s="175">
        <f t="shared" si="58"/>
        <v>0</v>
      </c>
      <c r="AM45" s="175">
        <f t="shared" si="12"/>
        <v>0</v>
      </c>
      <c r="AN45" s="174">
        <f>IF(OR(GradeSheet!$L34="W (Withdrawn)", GradeSheet!$L34="I (Incomplete)"), 0, IF(AH45&gt;=55%, 1, 0))</f>
        <v>0</v>
      </c>
      <c r="AO45" s="174">
        <f>IF(OR(GradeSheet!$L34="W (Withdrawn)", GradeSheet!$L34="I (Incomplete)"), 0, IF(AI45&gt;=55%, 1, 0))</f>
        <v>0</v>
      </c>
      <c r="AP45" s="174">
        <f>IF(OR(GradeSheet!$L34="W (Withdrawn)", GradeSheet!$L34="I (Incomplete)"), 0, IF(AJ45&gt;=55%, 1, 0))</f>
        <v>0</v>
      </c>
      <c r="AQ45" s="174">
        <f>IF(OR(GradeSheet!$L34="W (Withdrawn)", GradeSheet!$L34="I (Incomplete)"), 0, IF(AK45&gt;=55%, 1, 0))</f>
        <v>0</v>
      </c>
      <c r="AR45" s="174">
        <f>IF(OR(GradeSheet!$L34="W (Withdrawn)", GradeSheet!$L34="I (Incomplete)"), 0, IF(AL45&gt;=55%, 1, 0))</f>
        <v>0</v>
      </c>
      <c r="AS45" s="174">
        <f>IF(OR(GradeSheet!$L34="W (Withdrawn)", GradeSheet!$L34="I (Incomplete)"), 0, IF(AM45&gt;=55%, 1, 0))</f>
        <v>0</v>
      </c>
      <c r="AT45" s="136"/>
      <c r="AU45" s="183">
        <f t="array" ref="AU45">IF($AT$15=0,0,MMULT($AH45:$AM45, AT$9:AT$14)/$AT$15)</f>
        <v>0</v>
      </c>
      <c r="AV45" s="183">
        <f t="array" ref="AV45">IF($AT$15=0,0,MMULT($AH45:$AM45, AU$9:AU$14)/$AT$15)</f>
        <v>0</v>
      </c>
      <c r="AW45" s="183">
        <f t="array" ref="AW45">IF($AT$15=0,0,MMULT($AH45:$AM45, AV$9:AV$14)/$AT$15)</f>
        <v>0</v>
      </c>
      <c r="AX45" s="183">
        <f t="array" ref="AX45">IF($AT$15=0,0,MMULT($AH45:$AM45, AW$9:AW$14)/$AT$15)</f>
        <v>0</v>
      </c>
      <c r="AY45" s="183">
        <f t="array" ref="AY45">IF($AT$15=0,0,MMULT($AH45:$AM45, AX$9:AX$14)/$AT$15)</f>
        <v>0</v>
      </c>
      <c r="AZ45" s="183">
        <f t="array" ref="AZ45">IF($AT$15=0,0,MMULT($AH45:$AM45, AY$9:AY$14)/$AT$15)</f>
        <v>0</v>
      </c>
      <c r="BA45" s="183">
        <f t="array" ref="BA45">IF($AT$15=0,0,MMULT($AH45:$AM45, AZ$9:AZ$14)/$AT$15)</f>
        <v>0</v>
      </c>
      <c r="BB45" s="183">
        <f t="array" ref="BB45">IF($AT$15=0,0,MMULT($AH45:$AM45, BA$9:BA$14)/$AT$15)</f>
        <v>0</v>
      </c>
      <c r="BC45" s="183">
        <f t="array" ref="BC45">IF($AT$15=0,0,MMULT($AH45:$AM45, BB$9:BB$14)/$AT$15)</f>
        <v>0</v>
      </c>
      <c r="BD45" s="183">
        <f t="array" ref="BD45">IF($AT$15=0,0,MMULT($AH45:$AM45, BC$9:BC$14)/$AT$15)</f>
        <v>0</v>
      </c>
      <c r="BE45" s="183">
        <f t="array" ref="BE45">IF($AT$15=0,0,MMULT($AH45:$AM45, BD$9:BD$14)/$AT$15)</f>
        <v>0</v>
      </c>
      <c r="BF45" s="183">
        <f t="array" ref="BF45">IF($AT$15=0,0,MMULT($AH45:$AM45, BE$9:BE$14)/$AT$15)</f>
        <v>0</v>
      </c>
      <c r="BG45" s="188">
        <f>IF(OR(GradeSheet!$L34="W (Withdrawn)", GradeSheet!$L34="I (Incomplete)"), 0, IF(AU45&gt;=65%, 1, 0))</f>
        <v>0</v>
      </c>
      <c r="BH45" s="188">
        <f>IF(OR(GradeSheet!$L34="W (Withdrawn)", GradeSheet!$L34="I (Incomplete)"), 0, IF(AV45&gt;=65%, 1, 0))</f>
        <v>0</v>
      </c>
      <c r="BI45" s="188">
        <f>IF(OR(GradeSheet!$L34="W (Withdrawn)", GradeSheet!$L34="I (Incomplete)"), 0, IF(AW45&gt;=65%, 1, 0))</f>
        <v>0</v>
      </c>
      <c r="BJ45" s="188">
        <f>IF(OR(GradeSheet!$L34="W (Withdrawn)", GradeSheet!$L34="I (Incomplete)"), 0, IF(AX45&gt;=65%, 1, 0))</f>
        <v>0</v>
      </c>
      <c r="BK45" s="188">
        <f>IF(OR(GradeSheet!$L34="W (Withdrawn)", GradeSheet!$L34="I (Incomplete)"), 0, IF(AY45&gt;=65%, 1, 0))</f>
        <v>0</v>
      </c>
      <c r="BL45" s="188">
        <f>IF(OR(GradeSheet!$L34="W (Withdrawn)", GradeSheet!$L34="I (Incomplete)"), 0, IF(AZ45&gt;=65%, 1, 0))</f>
        <v>0</v>
      </c>
      <c r="BM45" s="188">
        <f>IF(OR(GradeSheet!$L34="W (Withdrawn)", GradeSheet!$L34="I (Incomplete)"), 0, IF(BA45&gt;=65%, 1, 0))</f>
        <v>0</v>
      </c>
      <c r="BN45" s="188">
        <f>IF(OR(GradeSheet!$L34="W (Withdrawn)", GradeSheet!$L34="I (Incomplete)"), 0, IF(BB45&gt;=65%, 1, 0))</f>
        <v>0</v>
      </c>
      <c r="BO45" s="188">
        <f>IF(OR(GradeSheet!$L34="W (Withdrawn)", GradeSheet!$L34="I (Incomplete)"), 0, IF(BC45&gt;=65%, 1, 0))</f>
        <v>0</v>
      </c>
      <c r="BP45" s="188">
        <f>IF(OR(GradeSheet!$L34="W (Withdrawn)", GradeSheet!$L34="I (Incomplete)"), 0, IF(BD45&gt;=65%, 1, 0))</f>
        <v>0</v>
      </c>
      <c r="BQ45" s="188">
        <f>IF(OR(GradeSheet!$L34="W (Withdrawn)", GradeSheet!$L34="I (Incomplete)"), 0, IF(BE45&gt;=65%, 1, 0))</f>
        <v>0</v>
      </c>
      <c r="BR45" s="188">
        <f>IF(OR(GradeSheet!$L34="W (Withdrawn)", GradeSheet!$L34="I (Incomplete)"), 0, IF(BF45&gt;=65%, 1, 0))</f>
        <v>0</v>
      </c>
    </row>
    <row r="46" ht="15.75" customHeight="1">
      <c r="A46" s="168">
        <v>26.0</v>
      </c>
      <c r="B46" s="168">
        <v>2.53014064E8</v>
      </c>
      <c r="C46" s="170" t="s">
        <v>199</v>
      </c>
      <c r="D46" s="171">
        <v>6.0</v>
      </c>
      <c r="E46" s="171">
        <v>4.0</v>
      </c>
      <c r="F46" s="171">
        <v>0.0</v>
      </c>
      <c r="G46" s="171">
        <v>0.0</v>
      </c>
      <c r="H46" s="171">
        <v>0.0</v>
      </c>
      <c r="I46" s="171">
        <v>0.0</v>
      </c>
      <c r="J46" s="171">
        <v>0.0</v>
      </c>
      <c r="K46" s="171">
        <v>0.0</v>
      </c>
      <c r="L46" s="171">
        <v>0.0</v>
      </c>
      <c r="M46" s="171">
        <v>0.0</v>
      </c>
      <c r="N46" s="171">
        <v>0.0</v>
      </c>
      <c r="O46" s="171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  <c r="X46" s="172">
        <v>0.0</v>
      </c>
      <c r="Y46" s="172">
        <v>0.0</v>
      </c>
      <c r="Z46" s="172">
        <v>0.0</v>
      </c>
      <c r="AA46" s="172">
        <v>0.0</v>
      </c>
      <c r="AB46" s="174">
        <f t="shared" ref="AB46:AG46" si="59">SUM(D46,J46,P46,V46)</f>
        <v>6</v>
      </c>
      <c r="AC46" s="174">
        <f t="shared" si="59"/>
        <v>4</v>
      </c>
      <c r="AD46" s="174">
        <f t="shared" si="59"/>
        <v>0</v>
      </c>
      <c r="AE46" s="174">
        <f t="shared" si="59"/>
        <v>0</v>
      </c>
      <c r="AF46" s="174">
        <f t="shared" si="59"/>
        <v>0</v>
      </c>
      <c r="AG46" s="174">
        <f t="shared" si="59"/>
        <v>0</v>
      </c>
      <c r="AH46" s="175">
        <f t="shared" ref="AH46:AL46" si="60">IF(AB46 = 0, 0, AB46/AB$20)</f>
        <v>1</v>
      </c>
      <c r="AI46" s="175">
        <f t="shared" si="60"/>
        <v>0.6666666667</v>
      </c>
      <c r="AJ46" s="175">
        <f t="shared" si="60"/>
        <v>0</v>
      </c>
      <c r="AK46" s="175">
        <f t="shared" si="60"/>
        <v>0</v>
      </c>
      <c r="AL46" s="175">
        <f t="shared" si="60"/>
        <v>0</v>
      </c>
      <c r="AM46" s="175">
        <f t="shared" si="12"/>
        <v>0</v>
      </c>
      <c r="AN46" s="174">
        <f>IF(OR(GradeSheet!$L35="W (Withdrawn)", GradeSheet!$L35="I (Incomplete)"), 0, IF(AH46&gt;=55%, 1, 0))</f>
        <v>1</v>
      </c>
      <c r="AO46" s="174">
        <f>IF(OR(GradeSheet!$L35="W (Withdrawn)", GradeSheet!$L35="I (Incomplete)"), 0, IF(AI46&gt;=55%, 1, 0))</f>
        <v>1</v>
      </c>
      <c r="AP46" s="174">
        <f>IF(OR(GradeSheet!$L35="W (Withdrawn)", GradeSheet!$L35="I (Incomplete)"), 0, IF(AJ46&gt;=55%, 1, 0))</f>
        <v>0</v>
      </c>
      <c r="AQ46" s="174">
        <f>IF(OR(GradeSheet!$L35="W (Withdrawn)", GradeSheet!$L35="I (Incomplete)"), 0, IF(AK46&gt;=55%, 1, 0))</f>
        <v>0</v>
      </c>
      <c r="AR46" s="174">
        <f>IF(OR(GradeSheet!$L35="W (Withdrawn)", GradeSheet!$L35="I (Incomplete)"), 0, IF(AL46&gt;=55%, 1, 0))</f>
        <v>0</v>
      </c>
      <c r="AS46" s="174">
        <f>IF(OR(GradeSheet!$L35="W (Withdrawn)", GradeSheet!$L35="I (Incomplete)"), 0, IF(AM46&gt;=55%, 1, 0))</f>
        <v>0</v>
      </c>
      <c r="AT46" s="136"/>
      <c r="AU46" s="183">
        <f t="array" ref="AU46">IF($AT$15=0,0,MMULT($AH46:$AM46, AT$9:AT$14)/$AT$15)</f>
        <v>0</v>
      </c>
      <c r="AV46" s="183">
        <f t="array" ref="AV46">IF($AT$15=0,0,MMULT($AH46:$AM46, AU$9:AU$14)/$AT$15)</f>
        <v>0</v>
      </c>
      <c r="AW46" s="183">
        <f t="array" ref="AW46">IF($AT$15=0,0,MMULT($AH46:$AM46, AV$9:AV$14)/$AT$15)</f>
        <v>0</v>
      </c>
      <c r="AX46" s="183">
        <f t="array" ref="AX46">IF($AT$15=0,0,MMULT($AH46:$AM46, AW$9:AW$14)/$AT$15)</f>
        <v>0</v>
      </c>
      <c r="AY46" s="183">
        <f t="array" ref="AY46">IF($AT$15=0,0,MMULT($AH46:$AM46, AX$9:AX$14)/$AT$15)</f>
        <v>0</v>
      </c>
      <c r="AZ46" s="183">
        <f t="array" ref="AZ46">IF($AT$15=0,0,MMULT($AH46:$AM46, AY$9:AY$14)/$AT$15)</f>
        <v>0</v>
      </c>
      <c r="BA46" s="183">
        <f t="array" ref="BA46">IF($AT$15=0,0,MMULT($AH46:$AM46, AZ$9:AZ$14)/$AT$15)</f>
        <v>0</v>
      </c>
      <c r="BB46" s="183">
        <f t="array" ref="BB46">IF($AT$15=0,0,MMULT($AH46:$AM46, BA$9:BA$14)/$AT$15)</f>
        <v>0</v>
      </c>
      <c r="BC46" s="183">
        <f t="array" ref="BC46">IF($AT$15=0,0,MMULT($AH46:$AM46, BB$9:BB$14)/$AT$15)</f>
        <v>0</v>
      </c>
      <c r="BD46" s="183">
        <f t="array" ref="BD46">IF($AT$15=0,0,MMULT($AH46:$AM46, BC$9:BC$14)/$AT$15)</f>
        <v>0</v>
      </c>
      <c r="BE46" s="183">
        <f t="array" ref="BE46">IF($AT$15=0,0,MMULT($AH46:$AM46, BD$9:BD$14)/$AT$15)</f>
        <v>0</v>
      </c>
      <c r="BF46" s="183">
        <f t="array" ref="BF46">IF($AT$15=0,0,MMULT($AH46:$AM46, BE$9:BE$14)/$AT$15)</f>
        <v>0</v>
      </c>
      <c r="BG46" s="188">
        <f>IF(OR(GradeSheet!$L35="W (Withdrawn)", GradeSheet!$L35="I (Incomplete)"), 0, IF(AU46&gt;=65%, 1, 0))</f>
        <v>0</v>
      </c>
      <c r="BH46" s="188">
        <f>IF(OR(GradeSheet!$L35="W (Withdrawn)", GradeSheet!$L35="I (Incomplete)"), 0, IF(AV46&gt;=65%, 1, 0))</f>
        <v>0</v>
      </c>
      <c r="BI46" s="188">
        <f>IF(OR(GradeSheet!$L35="W (Withdrawn)", GradeSheet!$L35="I (Incomplete)"), 0, IF(AW46&gt;=65%, 1, 0))</f>
        <v>0</v>
      </c>
      <c r="BJ46" s="188">
        <f>IF(OR(GradeSheet!$L35="W (Withdrawn)", GradeSheet!$L35="I (Incomplete)"), 0, IF(AX46&gt;=65%, 1, 0))</f>
        <v>0</v>
      </c>
      <c r="BK46" s="188">
        <f>IF(OR(GradeSheet!$L35="W (Withdrawn)", GradeSheet!$L35="I (Incomplete)"), 0, IF(AY46&gt;=65%, 1, 0))</f>
        <v>0</v>
      </c>
      <c r="BL46" s="188">
        <f>IF(OR(GradeSheet!$L35="W (Withdrawn)", GradeSheet!$L35="I (Incomplete)"), 0, IF(AZ46&gt;=65%, 1, 0))</f>
        <v>0</v>
      </c>
      <c r="BM46" s="188">
        <f>IF(OR(GradeSheet!$L35="W (Withdrawn)", GradeSheet!$L35="I (Incomplete)"), 0, IF(BA46&gt;=65%, 1, 0))</f>
        <v>0</v>
      </c>
      <c r="BN46" s="188">
        <f>IF(OR(GradeSheet!$L35="W (Withdrawn)", GradeSheet!$L35="I (Incomplete)"), 0, IF(BB46&gt;=65%, 1, 0))</f>
        <v>0</v>
      </c>
      <c r="BO46" s="188">
        <f>IF(OR(GradeSheet!$L35="W (Withdrawn)", GradeSheet!$L35="I (Incomplete)"), 0, IF(BC46&gt;=65%, 1, 0))</f>
        <v>0</v>
      </c>
      <c r="BP46" s="188">
        <f>IF(OR(GradeSheet!$L35="W (Withdrawn)", GradeSheet!$L35="I (Incomplete)"), 0, IF(BD46&gt;=65%, 1, 0))</f>
        <v>0</v>
      </c>
      <c r="BQ46" s="188">
        <f>IF(OR(GradeSheet!$L35="W (Withdrawn)", GradeSheet!$L35="I (Incomplete)"), 0, IF(BE46&gt;=65%, 1, 0))</f>
        <v>0</v>
      </c>
      <c r="BR46" s="188">
        <f>IF(OR(GradeSheet!$L35="W (Withdrawn)", GradeSheet!$L35="I (Incomplete)"), 0, IF(BF46&gt;=65%, 1, 0))</f>
        <v>0</v>
      </c>
    </row>
    <row r="47" ht="15.75" customHeight="1">
      <c r="A47" s="168">
        <v>27.0</v>
      </c>
      <c r="B47" s="168">
        <v>2.53014065E8</v>
      </c>
      <c r="C47" s="170" t="s">
        <v>200</v>
      </c>
      <c r="D47" s="171">
        <v>6.0</v>
      </c>
      <c r="E47" s="171">
        <v>6.0</v>
      </c>
      <c r="F47" s="171">
        <v>0.0</v>
      </c>
      <c r="G47" s="171">
        <v>0.0</v>
      </c>
      <c r="H47" s="171">
        <v>0.0</v>
      </c>
      <c r="I47" s="171">
        <v>0.0</v>
      </c>
      <c r="J47" s="171">
        <v>0.0</v>
      </c>
      <c r="K47" s="171">
        <v>0.0</v>
      </c>
      <c r="L47" s="171">
        <v>0.0</v>
      </c>
      <c r="M47" s="171">
        <v>0.0</v>
      </c>
      <c r="N47" s="171">
        <v>0.0</v>
      </c>
      <c r="O47" s="171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  <c r="X47" s="172">
        <v>0.0</v>
      </c>
      <c r="Y47" s="172">
        <v>0.0</v>
      </c>
      <c r="Z47" s="172">
        <v>0.0</v>
      </c>
      <c r="AA47" s="172">
        <v>0.0</v>
      </c>
      <c r="AB47" s="174">
        <f t="shared" ref="AB47:AG47" si="61">SUM(D47,J47,P47,V47)</f>
        <v>6</v>
      </c>
      <c r="AC47" s="174">
        <f t="shared" si="61"/>
        <v>6</v>
      </c>
      <c r="AD47" s="174">
        <f t="shared" si="61"/>
        <v>0</v>
      </c>
      <c r="AE47" s="174">
        <f t="shared" si="61"/>
        <v>0</v>
      </c>
      <c r="AF47" s="174">
        <f t="shared" si="61"/>
        <v>0</v>
      </c>
      <c r="AG47" s="174">
        <f t="shared" si="61"/>
        <v>0</v>
      </c>
      <c r="AH47" s="175">
        <f t="shared" ref="AH47:AL47" si="62">IF(AB47 = 0, 0, AB47/AB$20)</f>
        <v>1</v>
      </c>
      <c r="AI47" s="175">
        <f t="shared" si="62"/>
        <v>1</v>
      </c>
      <c r="AJ47" s="175">
        <f t="shared" si="62"/>
        <v>0</v>
      </c>
      <c r="AK47" s="175">
        <f t="shared" si="62"/>
        <v>0</v>
      </c>
      <c r="AL47" s="175">
        <f t="shared" si="62"/>
        <v>0</v>
      </c>
      <c r="AM47" s="175">
        <f t="shared" si="12"/>
        <v>0</v>
      </c>
      <c r="AN47" s="174">
        <f>IF(OR(GradeSheet!$L36="W (Withdrawn)", GradeSheet!$L36="I (Incomplete)"), 0, IF(AH47&gt;=55%, 1, 0))</f>
        <v>1</v>
      </c>
      <c r="AO47" s="174">
        <f>IF(OR(GradeSheet!$L36="W (Withdrawn)", GradeSheet!$L36="I (Incomplete)"), 0, IF(AI47&gt;=55%, 1, 0))</f>
        <v>1</v>
      </c>
      <c r="AP47" s="174">
        <f>IF(OR(GradeSheet!$L36="W (Withdrawn)", GradeSheet!$L36="I (Incomplete)"), 0, IF(AJ47&gt;=55%, 1, 0))</f>
        <v>0</v>
      </c>
      <c r="AQ47" s="174">
        <f>IF(OR(GradeSheet!$L36="W (Withdrawn)", GradeSheet!$L36="I (Incomplete)"), 0, IF(AK47&gt;=55%, 1, 0))</f>
        <v>0</v>
      </c>
      <c r="AR47" s="174">
        <f>IF(OR(GradeSheet!$L36="W (Withdrawn)", GradeSheet!$L36="I (Incomplete)"), 0, IF(AL47&gt;=55%, 1, 0))</f>
        <v>0</v>
      </c>
      <c r="AS47" s="174">
        <f>IF(OR(GradeSheet!$L36="W (Withdrawn)", GradeSheet!$L36="I (Incomplete)"), 0, IF(AM47&gt;=55%, 1, 0))</f>
        <v>0</v>
      </c>
      <c r="AT47" s="136"/>
      <c r="AU47" s="183">
        <f t="array" ref="AU47">IF($AT$15=0,0,MMULT($AH47:$AM47, AT$9:AT$14)/$AT$15)</f>
        <v>0</v>
      </c>
      <c r="AV47" s="183">
        <f t="array" ref="AV47">IF($AT$15=0,0,MMULT($AH47:$AM47, AU$9:AU$14)/$AT$15)</f>
        <v>0</v>
      </c>
      <c r="AW47" s="183">
        <f t="array" ref="AW47">IF($AT$15=0,0,MMULT($AH47:$AM47, AV$9:AV$14)/$AT$15)</f>
        <v>0</v>
      </c>
      <c r="AX47" s="183">
        <f t="array" ref="AX47">IF($AT$15=0,0,MMULT($AH47:$AM47, AW$9:AW$14)/$AT$15)</f>
        <v>0</v>
      </c>
      <c r="AY47" s="183">
        <f t="array" ref="AY47">IF($AT$15=0,0,MMULT($AH47:$AM47, AX$9:AX$14)/$AT$15)</f>
        <v>0</v>
      </c>
      <c r="AZ47" s="183">
        <f t="array" ref="AZ47">IF($AT$15=0,0,MMULT($AH47:$AM47, AY$9:AY$14)/$AT$15)</f>
        <v>0</v>
      </c>
      <c r="BA47" s="183">
        <f t="array" ref="BA47">IF($AT$15=0,0,MMULT($AH47:$AM47, AZ$9:AZ$14)/$AT$15)</f>
        <v>0</v>
      </c>
      <c r="BB47" s="183">
        <f t="array" ref="BB47">IF($AT$15=0,0,MMULT($AH47:$AM47, BA$9:BA$14)/$AT$15)</f>
        <v>0</v>
      </c>
      <c r="BC47" s="183">
        <f t="array" ref="BC47">IF($AT$15=0,0,MMULT($AH47:$AM47, BB$9:BB$14)/$AT$15)</f>
        <v>0</v>
      </c>
      <c r="BD47" s="183">
        <f t="array" ref="BD47">IF($AT$15=0,0,MMULT($AH47:$AM47, BC$9:BC$14)/$AT$15)</f>
        <v>0</v>
      </c>
      <c r="BE47" s="183">
        <f t="array" ref="BE47">IF($AT$15=0,0,MMULT($AH47:$AM47, BD$9:BD$14)/$AT$15)</f>
        <v>0</v>
      </c>
      <c r="BF47" s="183">
        <f t="array" ref="BF47">IF($AT$15=0,0,MMULT($AH47:$AM47, BE$9:BE$14)/$AT$15)</f>
        <v>0</v>
      </c>
      <c r="BG47" s="188">
        <f>IF(OR(GradeSheet!$L36="W (Withdrawn)", GradeSheet!$L36="I (Incomplete)"), 0, IF(AU47&gt;=65%, 1, 0))</f>
        <v>0</v>
      </c>
      <c r="BH47" s="188">
        <f>IF(OR(GradeSheet!$L36="W (Withdrawn)", GradeSheet!$L36="I (Incomplete)"), 0, IF(AV47&gt;=65%, 1, 0))</f>
        <v>0</v>
      </c>
      <c r="BI47" s="188">
        <f>IF(OR(GradeSheet!$L36="W (Withdrawn)", GradeSheet!$L36="I (Incomplete)"), 0, IF(AW47&gt;=65%, 1, 0))</f>
        <v>0</v>
      </c>
      <c r="BJ47" s="188">
        <f>IF(OR(GradeSheet!$L36="W (Withdrawn)", GradeSheet!$L36="I (Incomplete)"), 0, IF(AX47&gt;=65%, 1, 0))</f>
        <v>0</v>
      </c>
      <c r="BK47" s="188">
        <f>IF(OR(GradeSheet!$L36="W (Withdrawn)", GradeSheet!$L36="I (Incomplete)"), 0, IF(AY47&gt;=65%, 1, 0))</f>
        <v>0</v>
      </c>
      <c r="BL47" s="188">
        <f>IF(OR(GradeSheet!$L36="W (Withdrawn)", GradeSheet!$L36="I (Incomplete)"), 0, IF(AZ47&gt;=65%, 1, 0))</f>
        <v>0</v>
      </c>
      <c r="BM47" s="188">
        <f>IF(OR(GradeSheet!$L36="W (Withdrawn)", GradeSheet!$L36="I (Incomplete)"), 0, IF(BA47&gt;=65%, 1, 0))</f>
        <v>0</v>
      </c>
      <c r="BN47" s="188">
        <f>IF(OR(GradeSheet!$L36="W (Withdrawn)", GradeSheet!$L36="I (Incomplete)"), 0, IF(BB47&gt;=65%, 1, 0))</f>
        <v>0</v>
      </c>
      <c r="BO47" s="188">
        <f>IF(OR(GradeSheet!$L36="W (Withdrawn)", GradeSheet!$L36="I (Incomplete)"), 0, IF(BC47&gt;=65%, 1, 0))</f>
        <v>0</v>
      </c>
      <c r="BP47" s="188">
        <f>IF(OR(GradeSheet!$L36="W (Withdrawn)", GradeSheet!$L36="I (Incomplete)"), 0, IF(BD47&gt;=65%, 1, 0))</f>
        <v>0</v>
      </c>
      <c r="BQ47" s="188">
        <f>IF(OR(GradeSheet!$L36="W (Withdrawn)", GradeSheet!$L36="I (Incomplete)"), 0, IF(BE47&gt;=65%, 1, 0))</f>
        <v>0</v>
      </c>
      <c r="BR47" s="188">
        <f>IF(OR(GradeSheet!$L36="W (Withdrawn)", GradeSheet!$L36="I (Incomplete)"), 0, IF(BF47&gt;=65%, 1, 0))</f>
        <v>0</v>
      </c>
    </row>
    <row r="48" ht="15.75" customHeight="1">
      <c r="A48" s="168">
        <v>28.0</v>
      </c>
      <c r="B48" s="168">
        <v>2.53014068E8</v>
      </c>
      <c r="C48" s="170" t="s">
        <v>201</v>
      </c>
      <c r="D48" s="171">
        <v>0.0</v>
      </c>
      <c r="E48" s="171">
        <v>0.0</v>
      </c>
      <c r="F48" s="171">
        <v>0.0</v>
      </c>
      <c r="G48" s="171">
        <v>0.0</v>
      </c>
      <c r="H48" s="171">
        <v>0.0</v>
      </c>
      <c r="I48" s="171">
        <v>0.0</v>
      </c>
      <c r="J48" s="171">
        <v>0.0</v>
      </c>
      <c r="K48" s="171">
        <v>0.0</v>
      </c>
      <c r="L48" s="171">
        <v>0.0</v>
      </c>
      <c r="M48" s="171">
        <v>0.0</v>
      </c>
      <c r="N48" s="171">
        <v>0.0</v>
      </c>
      <c r="O48" s="171">
        <v>0.0</v>
      </c>
      <c r="P48" s="172">
        <v>0.0</v>
      </c>
      <c r="Q48" s="172">
        <v>0.0</v>
      </c>
      <c r="R48" s="172">
        <v>0.0</v>
      </c>
      <c r="S48" s="172">
        <v>0.0</v>
      </c>
      <c r="T48" s="172">
        <v>0.0</v>
      </c>
      <c r="U48" s="172">
        <v>0.0</v>
      </c>
      <c r="V48" s="172">
        <v>0.0</v>
      </c>
      <c r="W48" s="172">
        <v>0.0</v>
      </c>
      <c r="X48" s="172">
        <v>0.0</v>
      </c>
      <c r="Y48" s="172">
        <v>0.0</v>
      </c>
      <c r="Z48" s="172">
        <v>0.0</v>
      </c>
      <c r="AA48" s="172">
        <v>0.0</v>
      </c>
      <c r="AB48" s="174">
        <f t="shared" ref="AB48:AG48" si="63">SUM(D48,J48,P48,V48)</f>
        <v>0</v>
      </c>
      <c r="AC48" s="174">
        <f t="shared" si="63"/>
        <v>0</v>
      </c>
      <c r="AD48" s="174">
        <f t="shared" si="63"/>
        <v>0</v>
      </c>
      <c r="AE48" s="174">
        <f t="shared" si="63"/>
        <v>0</v>
      </c>
      <c r="AF48" s="174">
        <f t="shared" si="63"/>
        <v>0</v>
      </c>
      <c r="AG48" s="174">
        <f t="shared" si="63"/>
        <v>0</v>
      </c>
      <c r="AH48" s="175">
        <f t="shared" ref="AH48:AL48" si="64">IF(AB48 = 0, 0, AB48/AB$20)</f>
        <v>0</v>
      </c>
      <c r="AI48" s="175">
        <f t="shared" si="64"/>
        <v>0</v>
      </c>
      <c r="AJ48" s="175">
        <f t="shared" si="64"/>
        <v>0</v>
      </c>
      <c r="AK48" s="175">
        <f t="shared" si="64"/>
        <v>0</v>
      </c>
      <c r="AL48" s="175">
        <f t="shared" si="64"/>
        <v>0</v>
      </c>
      <c r="AM48" s="175">
        <f t="shared" si="12"/>
        <v>0</v>
      </c>
      <c r="AN48" s="174">
        <f>IF(OR(GradeSheet!$L37="W (Withdrawn)", GradeSheet!$L37="I (Incomplete)"), 0, IF(AH48&gt;=55%, 1, 0))</f>
        <v>0</v>
      </c>
      <c r="AO48" s="174">
        <f>IF(OR(GradeSheet!$L37="W (Withdrawn)", GradeSheet!$L37="I (Incomplete)"), 0, IF(AI48&gt;=55%, 1, 0))</f>
        <v>0</v>
      </c>
      <c r="AP48" s="174">
        <f>IF(OR(GradeSheet!$L37="W (Withdrawn)", GradeSheet!$L37="I (Incomplete)"), 0, IF(AJ48&gt;=55%, 1, 0))</f>
        <v>0</v>
      </c>
      <c r="AQ48" s="174">
        <f>IF(OR(GradeSheet!$L37="W (Withdrawn)", GradeSheet!$L37="I (Incomplete)"), 0, IF(AK48&gt;=55%, 1, 0))</f>
        <v>0</v>
      </c>
      <c r="AR48" s="174">
        <f>IF(OR(GradeSheet!$L37="W (Withdrawn)", GradeSheet!$L37="I (Incomplete)"), 0, IF(AL48&gt;=55%, 1, 0))</f>
        <v>0</v>
      </c>
      <c r="AS48" s="174">
        <f>IF(OR(GradeSheet!$L37="W (Withdrawn)", GradeSheet!$L37="I (Incomplete)"), 0, IF(AM48&gt;=55%, 1, 0))</f>
        <v>0</v>
      </c>
      <c r="AT48" s="136"/>
      <c r="AU48" s="183">
        <f t="array" ref="AU48">IF($AT$15=0,0,MMULT($AH48:$AM48, AT$9:AT$14)/$AT$15)</f>
        <v>0</v>
      </c>
      <c r="AV48" s="183">
        <f t="array" ref="AV48">IF($AT$15=0,0,MMULT($AH48:$AM48, AU$9:AU$14)/$AT$15)</f>
        <v>0</v>
      </c>
      <c r="AW48" s="183">
        <f t="array" ref="AW48">IF($AT$15=0,0,MMULT($AH48:$AM48, AV$9:AV$14)/$AT$15)</f>
        <v>0</v>
      </c>
      <c r="AX48" s="183">
        <f t="array" ref="AX48">IF($AT$15=0,0,MMULT($AH48:$AM48, AW$9:AW$14)/$AT$15)</f>
        <v>0</v>
      </c>
      <c r="AY48" s="183">
        <f t="array" ref="AY48">IF($AT$15=0,0,MMULT($AH48:$AM48, AX$9:AX$14)/$AT$15)</f>
        <v>0</v>
      </c>
      <c r="AZ48" s="183">
        <f t="array" ref="AZ48">IF($AT$15=0,0,MMULT($AH48:$AM48, AY$9:AY$14)/$AT$15)</f>
        <v>0</v>
      </c>
      <c r="BA48" s="183">
        <f t="array" ref="BA48">IF($AT$15=0,0,MMULT($AH48:$AM48, AZ$9:AZ$14)/$AT$15)</f>
        <v>0</v>
      </c>
      <c r="BB48" s="183">
        <f t="array" ref="BB48">IF($AT$15=0,0,MMULT($AH48:$AM48, BA$9:BA$14)/$AT$15)</f>
        <v>0</v>
      </c>
      <c r="BC48" s="183">
        <f t="array" ref="BC48">IF($AT$15=0,0,MMULT($AH48:$AM48, BB$9:BB$14)/$AT$15)</f>
        <v>0</v>
      </c>
      <c r="BD48" s="183">
        <f t="array" ref="BD48">IF($AT$15=0,0,MMULT($AH48:$AM48, BC$9:BC$14)/$AT$15)</f>
        <v>0</v>
      </c>
      <c r="BE48" s="183">
        <f t="array" ref="BE48">IF($AT$15=0,0,MMULT($AH48:$AM48, BD$9:BD$14)/$AT$15)</f>
        <v>0</v>
      </c>
      <c r="BF48" s="183">
        <f t="array" ref="BF48">IF($AT$15=0,0,MMULT($AH48:$AM48, BE$9:BE$14)/$AT$15)</f>
        <v>0</v>
      </c>
      <c r="BG48" s="188">
        <f>IF(OR(GradeSheet!$L37="W (Withdrawn)", GradeSheet!$L37="I (Incomplete)"), 0, IF(AU48&gt;=65%, 1, 0))</f>
        <v>0</v>
      </c>
      <c r="BH48" s="188">
        <f>IF(OR(GradeSheet!$L37="W (Withdrawn)", GradeSheet!$L37="I (Incomplete)"), 0, IF(AV48&gt;=65%, 1, 0))</f>
        <v>0</v>
      </c>
      <c r="BI48" s="188">
        <f>IF(OR(GradeSheet!$L37="W (Withdrawn)", GradeSheet!$L37="I (Incomplete)"), 0, IF(AW48&gt;=65%, 1, 0))</f>
        <v>0</v>
      </c>
      <c r="BJ48" s="188">
        <f>IF(OR(GradeSheet!$L37="W (Withdrawn)", GradeSheet!$L37="I (Incomplete)"), 0, IF(AX48&gt;=65%, 1, 0))</f>
        <v>0</v>
      </c>
      <c r="BK48" s="188">
        <f>IF(OR(GradeSheet!$L37="W (Withdrawn)", GradeSheet!$L37="I (Incomplete)"), 0, IF(AY48&gt;=65%, 1, 0))</f>
        <v>0</v>
      </c>
      <c r="BL48" s="188">
        <f>IF(OR(GradeSheet!$L37="W (Withdrawn)", GradeSheet!$L37="I (Incomplete)"), 0, IF(AZ48&gt;=65%, 1, 0))</f>
        <v>0</v>
      </c>
      <c r="BM48" s="188">
        <f>IF(OR(GradeSheet!$L37="W (Withdrawn)", GradeSheet!$L37="I (Incomplete)"), 0, IF(BA48&gt;=65%, 1, 0))</f>
        <v>0</v>
      </c>
      <c r="BN48" s="188">
        <f>IF(OR(GradeSheet!$L37="W (Withdrawn)", GradeSheet!$L37="I (Incomplete)"), 0, IF(BB48&gt;=65%, 1, 0))</f>
        <v>0</v>
      </c>
      <c r="BO48" s="188">
        <f>IF(OR(GradeSheet!$L37="W (Withdrawn)", GradeSheet!$L37="I (Incomplete)"), 0, IF(BC48&gt;=65%, 1, 0))</f>
        <v>0</v>
      </c>
      <c r="BP48" s="188">
        <f>IF(OR(GradeSheet!$L37="W (Withdrawn)", GradeSheet!$L37="I (Incomplete)"), 0, IF(BD48&gt;=65%, 1, 0))</f>
        <v>0</v>
      </c>
      <c r="BQ48" s="188">
        <f>IF(OR(GradeSheet!$L37="W (Withdrawn)", GradeSheet!$L37="I (Incomplete)"), 0, IF(BE48&gt;=65%, 1, 0))</f>
        <v>0</v>
      </c>
      <c r="BR48" s="188">
        <f>IF(OR(GradeSheet!$L37="W (Withdrawn)", GradeSheet!$L37="I (Incomplete)"), 0, IF(BF48&gt;=65%, 1, 0))</f>
        <v>0</v>
      </c>
    </row>
    <row r="49" ht="15.75" customHeight="1">
      <c r="A49" s="168">
        <v>29.0</v>
      </c>
      <c r="B49" s="168">
        <v>2.5301407E8</v>
      </c>
      <c r="C49" s="170" t="s">
        <v>203</v>
      </c>
      <c r="D49" s="171">
        <v>6.0</v>
      </c>
      <c r="E49" s="171">
        <v>4.0</v>
      </c>
      <c r="F49" s="171">
        <v>0.0</v>
      </c>
      <c r="G49" s="171">
        <v>0.0</v>
      </c>
      <c r="H49" s="171">
        <v>0.0</v>
      </c>
      <c r="I49" s="171">
        <v>0.0</v>
      </c>
      <c r="J49" s="171">
        <v>0.0</v>
      </c>
      <c r="K49" s="171">
        <v>0.0</v>
      </c>
      <c r="L49" s="171">
        <v>0.0</v>
      </c>
      <c r="M49" s="171">
        <v>0.0</v>
      </c>
      <c r="N49" s="171">
        <v>0.0</v>
      </c>
      <c r="O49" s="171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  <c r="X49" s="172">
        <v>0.0</v>
      </c>
      <c r="Y49" s="172">
        <v>0.0</v>
      </c>
      <c r="Z49" s="172">
        <v>0.0</v>
      </c>
      <c r="AA49" s="172">
        <v>0.0</v>
      </c>
      <c r="AB49" s="174">
        <f t="shared" ref="AB49:AG49" si="65">SUM(D49,J49,P49,V49)</f>
        <v>6</v>
      </c>
      <c r="AC49" s="174">
        <f t="shared" si="65"/>
        <v>4</v>
      </c>
      <c r="AD49" s="174">
        <f t="shared" si="65"/>
        <v>0</v>
      </c>
      <c r="AE49" s="174">
        <f t="shared" si="65"/>
        <v>0</v>
      </c>
      <c r="AF49" s="174">
        <f t="shared" si="65"/>
        <v>0</v>
      </c>
      <c r="AG49" s="174">
        <f t="shared" si="65"/>
        <v>0</v>
      </c>
      <c r="AH49" s="175">
        <f t="shared" ref="AH49:AL49" si="66">IF(AB49 = 0, 0, AB49/AB$20)</f>
        <v>1</v>
      </c>
      <c r="AI49" s="175">
        <f t="shared" si="66"/>
        <v>0.6666666667</v>
      </c>
      <c r="AJ49" s="175">
        <f t="shared" si="66"/>
        <v>0</v>
      </c>
      <c r="AK49" s="175">
        <f t="shared" si="66"/>
        <v>0</v>
      </c>
      <c r="AL49" s="175">
        <f t="shared" si="66"/>
        <v>0</v>
      </c>
      <c r="AM49" s="175">
        <f t="shared" si="12"/>
        <v>0</v>
      </c>
      <c r="AN49" s="174">
        <f>IF(OR(GradeSheet!$L38="W (Withdrawn)", GradeSheet!$L38="I (Incomplete)"), 0, IF(AH49&gt;=55%, 1, 0))</f>
        <v>1</v>
      </c>
      <c r="AO49" s="174">
        <f>IF(OR(GradeSheet!$L38="W (Withdrawn)", GradeSheet!$L38="I (Incomplete)"), 0, IF(AI49&gt;=55%, 1, 0))</f>
        <v>1</v>
      </c>
      <c r="AP49" s="174">
        <f>IF(OR(GradeSheet!$L38="W (Withdrawn)", GradeSheet!$L38="I (Incomplete)"), 0, IF(AJ49&gt;=55%, 1, 0))</f>
        <v>0</v>
      </c>
      <c r="AQ49" s="174">
        <f>IF(OR(GradeSheet!$L38="W (Withdrawn)", GradeSheet!$L38="I (Incomplete)"), 0, IF(AK49&gt;=55%, 1, 0))</f>
        <v>0</v>
      </c>
      <c r="AR49" s="174">
        <f>IF(OR(GradeSheet!$L38="W (Withdrawn)", GradeSheet!$L38="I (Incomplete)"), 0, IF(AL49&gt;=55%, 1, 0))</f>
        <v>0</v>
      </c>
      <c r="AS49" s="174">
        <f>IF(OR(GradeSheet!$L38="W (Withdrawn)", GradeSheet!$L38="I (Incomplete)"), 0, IF(AM49&gt;=55%, 1, 0))</f>
        <v>0</v>
      </c>
      <c r="AT49" s="136"/>
      <c r="AU49" s="183">
        <f t="array" ref="AU49">IF($AT$15=0,0,MMULT($AH49:$AM49, AT$9:AT$14)/$AT$15)</f>
        <v>0</v>
      </c>
      <c r="AV49" s="183">
        <f t="array" ref="AV49">IF($AT$15=0,0,MMULT($AH49:$AM49, AU$9:AU$14)/$AT$15)</f>
        <v>0</v>
      </c>
      <c r="AW49" s="183">
        <f t="array" ref="AW49">IF($AT$15=0,0,MMULT($AH49:$AM49, AV$9:AV$14)/$AT$15)</f>
        <v>0</v>
      </c>
      <c r="AX49" s="183">
        <f t="array" ref="AX49">IF($AT$15=0,0,MMULT($AH49:$AM49, AW$9:AW$14)/$AT$15)</f>
        <v>0</v>
      </c>
      <c r="AY49" s="183">
        <f t="array" ref="AY49">IF($AT$15=0,0,MMULT($AH49:$AM49, AX$9:AX$14)/$AT$15)</f>
        <v>0</v>
      </c>
      <c r="AZ49" s="183">
        <f t="array" ref="AZ49">IF($AT$15=0,0,MMULT($AH49:$AM49, AY$9:AY$14)/$AT$15)</f>
        <v>0</v>
      </c>
      <c r="BA49" s="183">
        <f t="array" ref="BA49">IF($AT$15=0,0,MMULT($AH49:$AM49, AZ$9:AZ$14)/$AT$15)</f>
        <v>0</v>
      </c>
      <c r="BB49" s="183">
        <f t="array" ref="BB49">IF($AT$15=0,0,MMULT($AH49:$AM49, BA$9:BA$14)/$AT$15)</f>
        <v>0</v>
      </c>
      <c r="BC49" s="183">
        <f t="array" ref="BC49">IF($AT$15=0,0,MMULT($AH49:$AM49, BB$9:BB$14)/$AT$15)</f>
        <v>0</v>
      </c>
      <c r="BD49" s="183">
        <f t="array" ref="BD49">IF($AT$15=0,0,MMULT($AH49:$AM49, BC$9:BC$14)/$AT$15)</f>
        <v>0</v>
      </c>
      <c r="BE49" s="183">
        <f t="array" ref="BE49">IF($AT$15=0,0,MMULT($AH49:$AM49, BD$9:BD$14)/$AT$15)</f>
        <v>0</v>
      </c>
      <c r="BF49" s="183">
        <f t="array" ref="BF49">IF($AT$15=0,0,MMULT($AH49:$AM49, BE$9:BE$14)/$AT$15)</f>
        <v>0</v>
      </c>
      <c r="BG49" s="188">
        <f>IF(OR(GradeSheet!$L38="W (Withdrawn)", GradeSheet!$L38="I (Incomplete)"), 0, IF(AU49&gt;=65%, 1, 0))</f>
        <v>0</v>
      </c>
      <c r="BH49" s="188">
        <f>IF(OR(GradeSheet!$L38="W (Withdrawn)", GradeSheet!$L38="I (Incomplete)"), 0, IF(AV49&gt;=65%, 1, 0))</f>
        <v>0</v>
      </c>
      <c r="BI49" s="188">
        <f>IF(OR(GradeSheet!$L38="W (Withdrawn)", GradeSheet!$L38="I (Incomplete)"), 0, IF(AW49&gt;=65%, 1, 0))</f>
        <v>0</v>
      </c>
      <c r="BJ49" s="188">
        <f>IF(OR(GradeSheet!$L38="W (Withdrawn)", GradeSheet!$L38="I (Incomplete)"), 0, IF(AX49&gt;=65%, 1, 0))</f>
        <v>0</v>
      </c>
      <c r="BK49" s="188">
        <f>IF(OR(GradeSheet!$L38="W (Withdrawn)", GradeSheet!$L38="I (Incomplete)"), 0, IF(AY49&gt;=65%, 1, 0))</f>
        <v>0</v>
      </c>
      <c r="BL49" s="188">
        <f>IF(OR(GradeSheet!$L38="W (Withdrawn)", GradeSheet!$L38="I (Incomplete)"), 0, IF(AZ49&gt;=65%, 1, 0))</f>
        <v>0</v>
      </c>
      <c r="BM49" s="188">
        <f>IF(OR(GradeSheet!$L38="W (Withdrawn)", GradeSheet!$L38="I (Incomplete)"), 0, IF(BA49&gt;=65%, 1, 0))</f>
        <v>0</v>
      </c>
      <c r="BN49" s="188">
        <f>IF(OR(GradeSheet!$L38="W (Withdrawn)", GradeSheet!$L38="I (Incomplete)"), 0, IF(BB49&gt;=65%, 1, 0))</f>
        <v>0</v>
      </c>
      <c r="BO49" s="188">
        <f>IF(OR(GradeSheet!$L38="W (Withdrawn)", GradeSheet!$L38="I (Incomplete)"), 0, IF(BC49&gt;=65%, 1, 0))</f>
        <v>0</v>
      </c>
      <c r="BP49" s="188">
        <f>IF(OR(GradeSheet!$L38="W (Withdrawn)", GradeSheet!$L38="I (Incomplete)"), 0, IF(BD49&gt;=65%, 1, 0))</f>
        <v>0</v>
      </c>
      <c r="BQ49" s="188">
        <f>IF(OR(GradeSheet!$L38="W (Withdrawn)", GradeSheet!$L38="I (Incomplete)"), 0, IF(BE49&gt;=65%, 1, 0))</f>
        <v>0</v>
      </c>
      <c r="BR49" s="188">
        <f>IF(OR(GradeSheet!$L38="W (Withdrawn)", GradeSheet!$L38="I (Incomplete)"), 0, IF(BF49&gt;=65%, 1, 0))</f>
        <v>0</v>
      </c>
    </row>
    <row r="50" ht="15.75" customHeight="1">
      <c r="A50" s="168">
        <v>30.0</v>
      </c>
      <c r="B50" s="168">
        <v>2.53014074E8</v>
      </c>
      <c r="C50" s="170" t="s">
        <v>205</v>
      </c>
      <c r="D50" s="171">
        <v>6.0</v>
      </c>
      <c r="E50" s="171">
        <v>4.0</v>
      </c>
      <c r="F50" s="171">
        <v>0.0</v>
      </c>
      <c r="G50" s="171">
        <v>0.0</v>
      </c>
      <c r="H50" s="171">
        <v>0.0</v>
      </c>
      <c r="I50" s="171">
        <v>0.0</v>
      </c>
      <c r="J50" s="171">
        <v>0.0</v>
      </c>
      <c r="K50" s="171">
        <v>0.0</v>
      </c>
      <c r="L50" s="171">
        <v>0.0</v>
      </c>
      <c r="M50" s="171">
        <v>0.0</v>
      </c>
      <c r="N50" s="171">
        <v>0.0</v>
      </c>
      <c r="O50" s="171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  <c r="X50" s="172">
        <v>0.0</v>
      </c>
      <c r="Y50" s="172">
        <v>0.0</v>
      </c>
      <c r="Z50" s="172">
        <v>0.0</v>
      </c>
      <c r="AA50" s="172">
        <v>0.0</v>
      </c>
      <c r="AB50" s="174">
        <f t="shared" ref="AB50:AG50" si="67">SUM(D50,J50,P50,V50)</f>
        <v>6</v>
      </c>
      <c r="AC50" s="174">
        <f t="shared" si="67"/>
        <v>4</v>
      </c>
      <c r="AD50" s="174">
        <f t="shared" si="67"/>
        <v>0</v>
      </c>
      <c r="AE50" s="174">
        <f t="shared" si="67"/>
        <v>0</v>
      </c>
      <c r="AF50" s="174">
        <f t="shared" si="67"/>
        <v>0</v>
      </c>
      <c r="AG50" s="174">
        <f t="shared" si="67"/>
        <v>0</v>
      </c>
      <c r="AH50" s="175">
        <f t="shared" ref="AH50:AL50" si="68">IF(AB50 = 0, 0, AB50/AB$20)</f>
        <v>1</v>
      </c>
      <c r="AI50" s="175">
        <f t="shared" si="68"/>
        <v>0.6666666667</v>
      </c>
      <c r="AJ50" s="175">
        <f t="shared" si="68"/>
        <v>0</v>
      </c>
      <c r="AK50" s="175">
        <f t="shared" si="68"/>
        <v>0</v>
      </c>
      <c r="AL50" s="175">
        <f t="shared" si="68"/>
        <v>0</v>
      </c>
      <c r="AM50" s="175">
        <f t="shared" si="12"/>
        <v>0</v>
      </c>
      <c r="AN50" s="174">
        <f>IF(OR(GradeSheet!$L39="W (Withdrawn)", GradeSheet!$L39="I (Incomplete)"), 0, IF(AH50&gt;=55%, 1, 0))</f>
        <v>1</v>
      </c>
      <c r="AO50" s="174">
        <f>IF(OR(GradeSheet!$L39="W (Withdrawn)", GradeSheet!$L39="I (Incomplete)"), 0, IF(AI50&gt;=55%, 1, 0))</f>
        <v>1</v>
      </c>
      <c r="AP50" s="174">
        <f>IF(OR(GradeSheet!$L39="W (Withdrawn)", GradeSheet!$L39="I (Incomplete)"), 0, IF(AJ50&gt;=55%, 1, 0))</f>
        <v>0</v>
      </c>
      <c r="AQ50" s="174">
        <f>IF(OR(GradeSheet!$L39="W (Withdrawn)", GradeSheet!$L39="I (Incomplete)"), 0, IF(AK50&gt;=55%, 1, 0))</f>
        <v>0</v>
      </c>
      <c r="AR50" s="174">
        <f>IF(OR(GradeSheet!$L39="W (Withdrawn)", GradeSheet!$L39="I (Incomplete)"), 0, IF(AL50&gt;=55%, 1, 0))</f>
        <v>0</v>
      </c>
      <c r="AS50" s="174">
        <f>IF(OR(GradeSheet!$L39="W (Withdrawn)", GradeSheet!$L39="I (Incomplete)"), 0, IF(AM50&gt;=55%, 1, 0))</f>
        <v>0</v>
      </c>
      <c r="AT50" s="136"/>
      <c r="AU50" s="183">
        <f t="array" ref="AU50">IF($AT$15=0,0,MMULT($AH50:$AM50, AT$9:AT$14)/$AT$15)</f>
        <v>0</v>
      </c>
      <c r="AV50" s="183">
        <f t="array" ref="AV50">IF($AT$15=0,0,MMULT($AH50:$AM50, AU$9:AU$14)/$AT$15)</f>
        <v>0</v>
      </c>
      <c r="AW50" s="183">
        <f t="array" ref="AW50">IF($AT$15=0,0,MMULT($AH50:$AM50, AV$9:AV$14)/$AT$15)</f>
        <v>0</v>
      </c>
      <c r="AX50" s="183">
        <f t="array" ref="AX50">IF($AT$15=0,0,MMULT($AH50:$AM50, AW$9:AW$14)/$AT$15)</f>
        <v>0</v>
      </c>
      <c r="AY50" s="183">
        <f t="array" ref="AY50">IF($AT$15=0,0,MMULT($AH50:$AM50, AX$9:AX$14)/$AT$15)</f>
        <v>0</v>
      </c>
      <c r="AZ50" s="183">
        <f t="array" ref="AZ50">IF($AT$15=0,0,MMULT($AH50:$AM50, AY$9:AY$14)/$AT$15)</f>
        <v>0</v>
      </c>
      <c r="BA50" s="183">
        <f t="array" ref="BA50">IF($AT$15=0,0,MMULT($AH50:$AM50, AZ$9:AZ$14)/$AT$15)</f>
        <v>0</v>
      </c>
      <c r="BB50" s="183">
        <f t="array" ref="BB50">IF($AT$15=0,0,MMULT($AH50:$AM50, BA$9:BA$14)/$AT$15)</f>
        <v>0</v>
      </c>
      <c r="BC50" s="183">
        <f t="array" ref="BC50">IF($AT$15=0,0,MMULT($AH50:$AM50, BB$9:BB$14)/$AT$15)</f>
        <v>0</v>
      </c>
      <c r="BD50" s="183">
        <f t="array" ref="BD50">IF($AT$15=0,0,MMULT($AH50:$AM50, BC$9:BC$14)/$AT$15)</f>
        <v>0</v>
      </c>
      <c r="BE50" s="183">
        <f t="array" ref="BE50">IF($AT$15=0,0,MMULT($AH50:$AM50, BD$9:BD$14)/$AT$15)</f>
        <v>0</v>
      </c>
      <c r="BF50" s="183">
        <f t="array" ref="BF50">IF($AT$15=0,0,MMULT($AH50:$AM50, BE$9:BE$14)/$AT$15)</f>
        <v>0</v>
      </c>
      <c r="BG50" s="188">
        <f>IF(OR(GradeSheet!$L39="W (Withdrawn)", GradeSheet!$L39="I (Incomplete)"), 0, IF(AU50&gt;=65%, 1, 0))</f>
        <v>0</v>
      </c>
      <c r="BH50" s="188">
        <f>IF(OR(GradeSheet!$L39="W (Withdrawn)", GradeSheet!$L39="I (Incomplete)"), 0, IF(AV50&gt;=65%, 1, 0))</f>
        <v>0</v>
      </c>
      <c r="BI50" s="188">
        <f>IF(OR(GradeSheet!$L39="W (Withdrawn)", GradeSheet!$L39="I (Incomplete)"), 0, IF(AW50&gt;=65%, 1, 0))</f>
        <v>0</v>
      </c>
      <c r="BJ50" s="188">
        <f>IF(OR(GradeSheet!$L39="W (Withdrawn)", GradeSheet!$L39="I (Incomplete)"), 0, IF(AX50&gt;=65%, 1, 0))</f>
        <v>0</v>
      </c>
      <c r="BK50" s="188">
        <f>IF(OR(GradeSheet!$L39="W (Withdrawn)", GradeSheet!$L39="I (Incomplete)"), 0, IF(AY50&gt;=65%, 1, 0))</f>
        <v>0</v>
      </c>
      <c r="BL50" s="188">
        <f>IF(OR(GradeSheet!$L39="W (Withdrawn)", GradeSheet!$L39="I (Incomplete)"), 0, IF(AZ50&gt;=65%, 1, 0))</f>
        <v>0</v>
      </c>
      <c r="BM50" s="188">
        <f>IF(OR(GradeSheet!$L39="W (Withdrawn)", GradeSheet!$L39="I (Incomplete)"), 0, IF(BA50&gt;=65%, 1, 0))</f>
        <v>0</v>
      </c>
      <c r="BN50" s="188">
        <f>IF(OR(GradeSheet!$L39="W (Withdrawn)", GradeSheet!$L39="I (Incomplete)"), 0, IF(BB50&gt;=65%, 1, 0))</f>
        <v>0</v>
      </c>
      <c r="BO50" s="188">
        <f>IF(OR(GradeSheet!$L39="W (Withdrawn)", GradeSheet!$L39="I (Incomplete)"), 0, IF(BC50&gt;=65%, 1, 0))</f>
        <v>0</v>
      </c>
      <c r="BP50" s="188">
        <f>IF(OR(GradeSheet!$L39="W (Withdrawn)", GradeSheet!$L39="I (Incomplete)"), 0, IF(BD50&gt;=65%, 1, 0))</f>
        <v>0</v>
      </c>
      <c r="BQ50" s="188">
        <f>IF(OR(GradeSheet!$L39="W (Withdrawn)", GradeSheet!$L39="I (Incomplete)"), 0, IF(BE50&gt;=65%, 1, 0))</f>
        <v>0</v>
      </c>
      <c r="BR50" s="188">
        <f>IF(OR(GradeSheet!$L39="W (Withdrawn)", GradeSheet!$L39="I (Incomplete)"), 0, IF(BF50&gt;=65%, 1, 0))</f>
        <v>0</v>
      </c>
    </row>
    <row r="51" ht="15.75" customHeight="1">
      <c r="A51" s="168">
        <v>31.0</v>
      </c>
      <c r="B51" s="168">
        <v>2.53014076E8</v>
      </c>
      <c r="C51" s="170" t="s">
        <v>207</v>
      </c>
      <c r="D51" s="171">
        <v>6.0</v>
      </c>
      <c r="E51" s="171">
        <v>6.0</v>
      </c>
      <c r="F51" s="171">
        <v>0.0</v>
      </c>
      <c r="G51" s="171">
        <v>0.0</v>
      </c>
      <c r="H51" s="171">
        <v>0.0</v>
      </c>
      <c r="I51" s="171">
        <v>0.0</v>
      </c>
      <c r="J51" s="171">
        <v>0.0</v>
      </c>
      <c r="K51" s="171">
        <v>0.0</v>
      </c>
      <c r="L51" s="171">
        <v>0.0</v>
      </c>
      <c r="M51" s="171">
        <v>0.0</v>
      </c>
      <c r="N51" s="171">
        <v>0.0</v>
      </c>
      <c r="O51" s="171">
        <v>0.0</v>
      </c>
      <c r="P51" s="172">
        <v>0.0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  <c r="X51" s="172">
        <v>0.0</v>
      </c>
      <c r="Y51" s="172">
        <v>0.0</v>
      </c>
      <c r="Z51" s="172">
        <v>0.0</v>
      </c>
      <c r="AA51" s="172">
        <v>0.0</v>
      </c>
      <c r="AB51" s="174">
        <f t="shared" ref="AB51:AG51" si="69">SUM(D51,J51,P51,V51)</f>
        <v>6</v>
      </c>
      <c r="AC51" s="174">
        <f t="shared" si="69"/>
        <v>6</v>
      </c>
      <c r="AD51" s="174">
        <f t="shared" si="69"/>
        <v>0</v>
      </c>
      <c r="AE51" s="174">
        <f t="shared" si="69"/>
        <v>0</v>
      </c>
      <c r="AF51" s="174">
        <f t="shared" si="69"/>
        <v>0</v>
      </c>
      <c r="AG51" s="174">
        <f t="shared" si="69"/>
        <v>0</v>
      </c>
      <c r="AH51" s="175">
        <f t="shared" ref="AH51:AL51" si="70">IF(AB51 = 0, 0, AB51/AB$20)</f>
        <v>1</v>
      </c>
      <c r="AI51" s="175">
        <f t="shared" si="70"/>
        <v>1</v>
      </c>
      <c r="AJ51" s="175">
        <f t="shared" si="70"/>
        <v>0</v>
      </c>
      <c r="AK51" s="175">
        <f t="shared" si="70"/>
        <v>0</v>
      </c>
      <c r="AL51" s="175">
        <f t="shared" si="70"/>
        <v>0</v>
      </c>
      <c r="AM51" s="175">
        <f t="shared" si="12"/>
        <v>0</v>
      </c>
      <c r="AN51" s="174">
        <f>IF(OR(GradeSheet!$L40="W (Withdrawn)", GradeSheet!$L40="I (Incomplete)"), 0, IF(AH51&gt;=55%, 1, 0))</f>
        <v>1</v>
      </c>
      <c r="AO51" s="174">
        <f>IF(OR(GradeSheet!$L40="W (Withdrawn)", GradeSheet!$L40="I (Incomplete)"), 0, IF(AI51&gt;=55%, 1, 0))</f>
        <v>1</v>
      </c>
      <c r="AP51" s="174">
        <f>IF(OR(GradeSheet!$L40="W (Withdrawn)", GradeSheet!$L40="I (Incomplete)"), 0, IF(AJ51&gt;=55%, 1, 0))</f>
        <v>0</v>
      </c>
      <c r="AQ51" s="174">
        <f>IF(OR(GradeSheet!$L40="W (Withdrawn)", GradeSheet!$L40="I (Incomplete)"), 0, IF(AK51&gt;=55%, 1, 0))</f>
        <v>0</v>
      </c>
      <c r="AR51" s="174">
        <f>IF(OR(GradeSheet!$L40="W (Withdrawn)", GradeSheet!$L40="I (Incomplete)"), 0, IF(AL51&gt;=55%, 1, 0))</f>
        <v>0</v>
      </c>
      <c r="AS51" s="174">
        <f>IF(OR(GradeSheet!$L40="W (Withdrawn)", GradeSheet!$L40="I (Incomplete)"), 0, IF(AM51&gt;=55%, 1, 0))</f>
        <v>0</v>
      </c>
      <c r="AT51" s="136"/>
      <c r="AU51" s="183">
        <f t="array" ref="AU51">IF($AT$15=0,0,MMULT($AH51:$AM51, AT$9:AT$14)/$AT$15)</f>
        <v>0</v>
      </c>
      <c r="AV51" s="183">
        <f t="array" ref="AV51">IF($AT$15=0,0,MMULT($AH51:$AM51, AU$9:AU$14)/$AT$15)</f>
        <v>0</v>
      </c>
      <c r="AW51" s="183">
        <f t="array" ref="AW51">IF($AT$15=0,0,MMULT($AH51:$AM51, AV$9:AV$14)/$AT$15)</f>
        <v>0</v>
      </c>
      <c r="AX51" s="183">
        <f t="array" ref="AX51">IF($AT$15=0,0,MMULT($AH51:$AM51, AW$9:AW$14)/$AT$15)</f>
        <v>0</v>
      </c>
      <c r="AY51" s="183">
        <f t="array" ref="AY51">IF($AT$15=0,0,MMULT($AH51:$AM51, AX$9:AX$14)/$AT$15)</f>
        <v>0</v>
      </c>
      <c r="AZ51" s="183">
        <f t="array" ref="AZ51">IF($AT$15=0,0,MMULT($AH51:$AM51, AY$9:AY$14)/$AT$15)</f>
        <v>0</v>
      </c>
      <c r="BA51" s="183">
        <f t="array" ref="BA51">IF($AT$15=0,0,MMULT($AH51:$AM51, AZ$9:AZ$14)/$AT$15)</f>
        <v>0</v>
      </c>
      <c r="BB51" s="183">
        <f t="array" ref="BB51">IF($AT$15=0,0,MMULT($AH51:$AM51, BA$9:BA$14)/$AT$15)</f>
        <v>0</v>
      </c>
      <c r="BC51" s="183">
        <f t="array" ref="BC51">IF($AT$15=0,0,MMULT($AH51:$AM51, BB$9:BB$14)/$AT$15)</f>
        <v>0</v>
      </c>
      <c r="BD51" s="183">
        <f t="array" ref="BD51">IF($AT$15=0,0,MMULT($AH51:$AM51, BC$9:BC$14)/$AT$15)</f>
        <v>0</v>
      </c>
      <c r="BE51" s="183">
        <f t="array" ref="BE51">IF($AT$15=0,0,MMULT($AH51:$AM51, BD$9:BD$14)/$AT$15)</f>
        <v>0</v>
      </c>
      <c r="BF51" s="183">
        <f t="array" ref="BF51">IF($AT$15=0,0,MMULT($AH51:$AM51, BE$9:BE$14)/$AT$15)</f>
        <v>0</v>
      </c>
      <c r="BG51" s="188">
        <f>IF(OR(GradeSheet!$L40="W (Withdrawn)", GradeSheet!$L40="I (Incomplete)"), 0, IF(AU51&gt;=65%, 1, 0))</f>
        <v>0</v>
      </c>
      <c r="BH51" s="188">
        <f>IF(OR(GradeSheet!$L40="W (Withdrawn)", GradeSheet!$L40="I (Incomplete)"), 0, IF(AV51&gt;=65%, 1, 0))</f>
        <v>0</v>
      </c>
      <c r="BI51" s="188">
        <f>IF(OR(GradeSheet!$L40="W (Withdrawn)", GradeSheet!$L40="I (Incomplete)"), 0, IF(AW51&gt;=65%, 1, 0))</f>
        <v>0</v>
      </c>
      <c r="BJ51" s="188">
        <f>IF(OR(GradeSheet!$L40="W (Withdrawn)", GradeSheet!$L40="I (Incomplete)"), 0, IF(AX51&gt;=65%, 1, 0))</f>
        <v>0</v>
      </c>
      <c r="BK51" s="188">
        <f>IF(OR(GradeSheet!$L40="W (Withdrawn)", GradeSheet!$L40="I (Incomplete)"), 0, IF(AY51&gt;=65%, 1, 0))</f>
        <v>0</v>
      </c>
      <c r="BL51" s="188">
        <f>IF(OR(GradeSheet!$L40="W (Withdrawn)", GradeSheet!$L40="I (Incomplete)"), 0, IF(AZ51&gt;=65%, 1, 0))</f>
        <v>0</v>
      </c>
      <c r="BM51" s="188">
        <f>IF(OR(GradeSheet!$L40="W (Withdrawn)", GradeSheet!$L40="I (Incomplete)"), 0, IF(BA51&gt;=65%, 1, 0))</f>
        <v>0</v>
      </c>
      <c r="BN51" s="188">
        <f>IF(OR(GradeSheet!$L40="W (Withdrawn)", GradeSheet!$L40="I (Incomplete)"), 0, IF(BB51&gt;=65%, 1, 0))</f>
        <v>0</v>
      </c>
      <c r="BO51" s="188">
        <f>IF(OR(GradeSheet!$L40="W (Withdrawn)", GradeSheet!$L40="I (Incomplete)"), 0, IF(BC51&gt;=65%, 1, 0))</f>
        <v>0</v>
      </c>
      <c r="BP51" s="188">
        <f>IF(OR(GradeSheet!$L40="W (Withdrawn)", GradeSheet!$L40="I (Incomplete)"), 0, IF(BD51&gt;=65%, 1, 0))</f>
        <v>0</v>
      </c>
      <c r="BQ51" s="188">
        <f>IF(OR(GradeSheet!$L40="W (Withdrawn)", GradeSheet!$L40="I (Incomplete)"), 0, IF(BE51&gt;=65%, 1, 0))</f>
        <v>0</v>
      </c>
      <c r="BR51" s="188">
        <f>IF(OR(GradeSheet!$L40="W (Withdrawn)", GradeSheet!$L40="I (Incomplete)"), 0, IF(BF51&gt;=65%, 1, 0))</f>
        <v>0</v>
      </c>
    </row>
    <row r="52" ht="15.75" customHeight="1">
      <c r="A52" s="168">
        <v>32.0</v>
      </c>
      <c r="B52" s="168">
        <v>2.53014081E8</v>
      </c>
      <c r="C52" s="170" t="s">
        <v>208</v>
      </c>
      <c r="D52" s="171">
        <v>6.0</v>
      </c>
      <c r="E52" s="171">
        <v>4.0</v>
      </c>
      <c r="F52" s="171">
        <v>0.0</v>
      </c>
      <c r="G52" s="171">
        <v>0.0</v>
      </c>
      <c r="H52" s="171">
        <v>0.0</v>
      </c>
      <c r="I52" s="171">
        <v>0.0</v>
      </c>
      <c r="J52" s="171">
        <v>0.0</v>
      </c>
      <c r="K52" s="171">
        <v>0.0</v>
      </c>
      <c r="L52" s="171">
        <v>0.0</v>
      </c>
      <c r="M52" s="171">
        <v>0.0</v>
      </c>
      <c r="N52" s="171">
        <v>0.0</v>
      </c>
      <c r="O52" s="171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  <c r="X52" s="172">
        <v>0.0</v>
      </c>
      <c r="Y52" s="172">
        <v>0.0</v>
      </c>
      <c r="Z52" s="172">
        <v>0.0</v>
      </c>
      <c r="AA52" s="172">
        <v>0.0</v>
      </c>
      <c r="AB52" s="174">
        <f t="shared" ref="AB52:AG52" si="71">SUM(D52,J52,P52,V52)</f>
        <v>6</v>
      </c>
      <c r="AC52" s="174">
        <f t="shared" si="71"/>
        <v>4</v>
      </c>
      <c r="AD52" s="174">
        <f t="shared" si="71"/>
        <v>0</v>
      </c>
      <c r="AE52" s="174">
        <f t="shared" si="71"/>
        <v>0</v>
      </c>
      <c r="AF52" s="174">
        <f t="shared" si="71"/>
        <v>0</v>
      </c>
      <c r="AG52" s="174">
        <f t="shared" si="71"/>
        <v>0</v>
      </c>
      <c r="AH52" s="175">
        <f t="shared" ref="AH52:AL52" si="72">IF(AB52 = 0, 0, AB52/AB$20)</f>
        <v>1</v>
      </c>
      <c r="AI52" s="175">
        <f t="shared" si="72"/>
        <v>0.6666666667</v>
      </c>
      <c r="AJ52" s="175">
        <f t="shared" si="72"/>
        <v>0</v>
      </c>
      <c r="AK52" s="175">
        <f t="shared" si="72"/>
        <v>0</v>
      </c>
      <c r="AL52" s="175">
        <f t="shared" si="72"/>
        <v>0</v>
      </c>
      <c r="AM52" s="175">
        <f t="shared" si="12"/>
        <v>0</v>
      </c>
      <c r="AN52" s="174">
        <f>IF(OR(GradeSheet!$L41="W (Withdrawn)", GradeSheet!$L41="I (Incomplete)"), 0, IF(AH52&gt;=55%, 1, 0))</f>
        <v>1</v>
      </c>
      <c r="AO52" s="174">
        <f>IF(OR(GradeSheet!$L41="W (Withdrawn)", GradeSheet!$L41="I (Incomplete)"), 0, IF(AI52&gt;=55%, 1, 0))</f>
        <v>1</v>
      </c>
      <c r="AP52" s="174">
        <f>IF(OR(GradeSheet!$L41="W (Withdrawn)", GradeSheet!$L41="I (Incomplete)"), 0, IF(AJ52&gt;=55%, 1, 0))</f>
        <v>0</v>
      </c>
      <c r="AQ52" s="174">
        <f>IF(OR(GradeSheet!$L41="W (Withdrawn)", GradeSheet!$L41="I (Incomplete)"), 0, IF(AK52&gt;=55%, 1, 0))</f>
        <v>0</v>
      </c>
      <c r="AR52" s="174">
        <f>IF(OR(GradeSheet!$L41="W (Withdrawn)", GradeSheet!$L41="I (Incomplete)"), 0, IF(AL52&gt;=55%, 1, 0))</f>
        <v>0</v>
      </c>
      <c r="AS52" s="174">
        <f>IF(OR(GradeSheet!$L41="W (Withdrawn)", GradeSheet!$L41="I (Incomplete)"), 0, IF(AM52&gt;=55%, 1, 0))</f>
        <v>0</v>
      </c>
      <c r="AT52" s="136"/>
      <c r="AU52" s="183">
        <f t="array" ref="AU52">IF($AT$15=0,0,MMULT($AH52:$AM52, AT$9:AT$14)/$AT$15)</f>
        <v>0</v>
      </c>
      <c r="AV52" s="183">
        <f t="array" ref="AV52">IF($AT$15=0,0,MMULT($AH52:$AM52, AU$9:AU$14)/$AT$15)</f>
        <v>0</v>
      </c>
      <c r="AW52" s="183">
        <f t="array" ref="AW52">IF($AT$15=0,0,MMULT($AH52:$AM52, AV$9:AV$14)/$AT$15)</f>
        <v>0</v>
      </c>
      <c r="AX52" s="183">
        <f t="array" ref="AX52">IF($AT$15=0,0,MMULT($AH52:$AM52, AW$9:AW$14)/$AT$15)</f>
        <v>0</v>
      </c>
      <c r="AY52" s="183">
        <f t="array" ref="AY52">IF($AT$15=0,0,MMULT($AH52:$AM52, AX$9:AX$14)/$AT$15)</f>
        <v>0</v>
      </c>
      <c r="AZ52" s="183">
        <f t="array" ref="AZ52">IF($AT$15=0,0,MMULT($AH52:$AM52, AY$9:AY$14)/$AT$15)</f>
        <v>0</v>
      </c>
      <c r="BA52" s="183">
        <f t="array" ref="BA52">IF($AT$15=0,0,MMULT($AH52:$AM52, AZ$9:AZ$14)/$AT$15)</f>
        <v>0</v>
      </c>
      <c r="BB52" s="183">
        <f t="array" ref="BB52">IF($AT$15=0,0,MMULT($AH52:$AM52, BA$9:BA$14)/$AT$15)</f>
        <v>0</v>
      </c>
      <c r="BC52" s="183">
        <f t="array" ref="BC52">IF($AT$15=0,0,MMULT($AH52:$AM52, BB$9:BB$14)/$AT$15)</f>
        <v>0</v>
      </c>
      <c r="BD52" s="183">
        <f t="array" ref="BD52">IF($AT$15=0,0,MMULT($AH52:$AM52, BC$9:BC$14)/$AT$15)</f>
        <v>0</v>
      </c>
      <c r="BE52" s="183">
        <f t="array" ref="BE52">IF($AT$15=0,0,MMULT($AH52:$AM52, BD$9:BD$14)/$AT$15)</f>
        <v>0</v>
      </c>
      <c r="BF52" s="183">
        <f t="array" ref="BF52">IF($AT$15=0,0,MMULT($AH52:$AM52, BE$9:BE$14)/$AT$15)</f>
        <v>0</v>
      </c>
      <c r="BG52" s="188">
        <f>IF(OR(GradeSheet!$L41="W (Withdrawn)", GradeSheet!$L41="I (Incomplete)"), 0, IF(AU52&gt;=65%, 1, 0))</f>
        <v>0</v>
      </c>
      <c r="BH52" s="188">
        <f>IF(OR(GradeSheet!$L41="W (Withdrawn)", GradeSheet!$L41="I (Incomplete)"), 0, IF(AV52&gt;=65%, 1, 0))</f>
        <v>0</v>
      </c>
      <c r="BI52" s="188">
        <f>IF(OR(GradeSheet!$L41="W (Withdrawn)", GradeSheet!$L41="I (Incomplete)"), 0, IF(AW52&gt;=65%, 1, 0))</f>
        <v>0</v>
      </c>
      <c r="BJ52" s="188">
        <f>IF(OR(GradeSheet!$L41="W (Withdrawn)", GradeSheet!$L41="I (Incomplete)"), 0, IF(AX52&gt;=65%, 1, 0))</f>
        <v>0</v>
      </c>
      <c r="BK52" s="188">
        <f>IF(OR(GradeSheet!$L41="W (Withdrawn)", GradeSheet!$L41="I (Incomplete)"), 0, IF(AY52&gt;=65%, 1, 0))</f>
        <v>0</v>
      </c>
      <c r="BL52" s="188">
        <f>IF(OR(GradeSheet!$L41="W (Withdrawn)", GradeSheet!$L41="I (Incomplete)"), 0, IF(AZ52&gt;=65%, 1, 0))</f>
        <v>0</v>
      </c>
      <c r="BM52" s="188">
        <f>IF(OR(GradeSheet!$L41="W (Withdrawn)", GradeSheet!$L41="I (Incomplete)"), 0, IF(BA52&gt;=65%, 1, 0))</f>
        <v>0</v>
      </c>
      <c r="BN52" s="188">
        <f>IF(OR(GradeSheet!$L41="W (Withdrawn)", GradeSheet!$L41="I (Incomplete)"), 0, IF(BB52&gt;=65%, 1, 0))</f>
        <v>0</v>
      </c>
      <c r="BO52" s="188">
        <f>IF(OR(GradeSheet!$L41="W (Withdrawn)", GradeSheet!$L41="I (Incomplete)"), 0, IF(BC52&gt;=65%, 1, 0))</f>
        <v>0</v>
      </c>
      <c r="BP52" s="188">
        <f>IF(OR(GradeSheet!$L41="W (Withdrawn)", GradeSheet!$L41="I (Incomplete)"), 0, IF(BD52&gt;=65%, 1, 0))</f>
        <v>0</v>
      </c>
      <c r="BQ52" s="188">
        <f>IF(OR(GradeSheet!$L41="W (Withdrawn)", GradeSheet!$L41="I (Incomplete)"), 0, IF(BE52&gt;=65%, 1, 0))</f>
        <v>0</v>
      </c>
      <c r="BR52" s="188">
        <f>IF(OR(GradeSheet!$L41="W (Withdrawn)", GradeSheet!$L41="I (Incomplete)"), 0, IF(BF52&gt;=65%, 1, 0))</f>
        <v>0</v>
      </c>
    </row>
    <row r="53" ht="15.75" customHeight="1">
      <c r="A53" s="168">
        <v>33.0</v>
      </c>
      <c r="B53" s="168">
        <v>2.53014086E8</v>
      </c>
      <c r="C53" s="170" t="s">
        <v>209</v>
      </c>
      <c r="D53" s="171">
        <v>0.0</v>
      </c>
      <c r="E53" s="171">
        <v>0.0</v>
      </c>
      <c r="F53" s="171">
        <v>0.0</v>
      </c>
      <c r="G53" s="171">
        <v>0.0</v>
      </c>
      <c r="H53" s="171">
        <v>0.0</v>
      </c>
      <c r="I53" s="171">
        <v>0.0</v>
      </c>
      <c r="J53" s="171">
        <v>0.0</v>
      </c>
      <c r="K53" s="171">
        <v>0.0</v>
      </c>
      <c r="L53" s="171">
        <v>0.0</v>
      </c>
      <c r="M53" s="171">
        <v>0.0</v>
      </c>
      <c r="N53" s="171">
        <v>0.0</v>
      </c>
      <c r="O53" s="171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  <c r="X53" s="172">
        <v>0.0</v>
      </c>
      <c r="Y53" s="172">
        <v>0.0</v>
      </c>
      <c r="Z53" s="172">
        <v>0.0</v>
      </c>
      <c r="AA53" s="172">
        <v>0.0</v>
      </c>
      <c r="AB53" s="174">
        <f t="shared" ref="AB53:AG53" si="73">SUM(D53,J53,P53,V53)</f>
        <v>0</v>
      </c>
      <c r="AC53" s="174">
        <f t="shared" si="73"/>
        <v>0</v>
      </c>
      <c r="AD53" s="174">
        <f t="shared" si="73"/>
        <v>0</v>
      </c>
      <c r="AE53" s="174">
        <f t="shared" si="73"/>
        <v>0</v>
      </c>
      <c r="AF53" s="174">
        <f t="shared" si="73"/>
        <v>0</v>
      </c>
      <c r="AG53" s="174">
        <f t="shared" si="73"/>
        <v>0</v>
      </c>
      <c r="AH53" s="175">
        <f t="shared" ref="AH53:AL53" si="74">IF(AB53 = 0, 0, AB53/AB$20)</f>
        <v>0</v>
      </c>
      <c r="AI53" s="175">
        <f t="shared" si="74"/>
        <v>0</v>
      </c>
      <c r="AJ53" s="175">
        <f t="shared" si="74"/>
        <v>0</v>
      </c>
      <c r="AK53" s="175">
        <f t="shared" si="74"/>
        <v>0</v>
      </c>
      <c r="AL53" s="175">
        <f t="shared" si="74"/>
        <v>0</v>
      </c>
      <c r="AM53" s="175">
        <f t="shared" si="12"/>
        <v>0</v>
      </c>
      <c r="AN53" s="174">
        <f>IF(OR(GradeSheet!$L42="W (Withdrawn)", GradeSheet!$L42="I (Incomplete)"), 0, IF(AH53&gt;=55%, 1, 0))</f>
        <v>0</v>
      </c>
      <c r="AO53" s="174">
        <f>IF(OR(GradeSheet!$L42="W (Withdrawn)", GradeSheet!$L42="I (Incomplete)"), 0, IF(AI53&gt;=55%, 1, 0))</f>
        <v>0</v>
      </c>
      <c r="AP53" s="174">
        <f>IF(OR(GradeSheet!$L42="W (Withdrawn)", GradeSheet!$L42="I (Incomplete)"), 0, IF(AJ53&gt;=55%, 1, 0))</f>
        <v>0</v>
      </c>
      <c r="AQ53" s="174">
        <f>IF(OR(GradeSheet!$L42="W (Withdrawn)", GradeSheet!$L42="I (Incomplete)"), 0, IF(AK53&gt;=55%, 1, 0))</f>
        <v>0</v>
      </c>
      <c r="AR53" s="174">
        <f>IF(OR(GradeSheet!$L42="W (Withdrawn)", GradeSheet!$L42="I (Incomplete)"), 0, IF(AL53&gt;=55%, 1, 0))</f>
        <v>0</v>
      </c>
      <c r="AS53" s="174">
        <f>IF(OR(GradeSheet!$L42="W (Withdrawn)", GradeSheet!$L42="I (Incomplete)"), 0, IF(AM53&gt;=55%, 1, 0))</f>
        <v>0</v>
      </c>
      <c r="AT53" s="136"/>
      <c r="AU53" s="183">
        <f t="array" ref="AU53">IF($AT$15=0,0,MMULT($AH53:$AM53, AT$9:AT$14)/$AT$15)</f>
        <v>0</v>
      </c>
      <c r="AV53" s="183">
        <f t="array" ref="AV53">IF($AT$15=0,0,MMULT($AH53:$AM53, AU$9:AU$14)/$AT$15)</f>
        <v>0</v>
      </c>
      <c r="AW53" s="183">
        <f t="array" ref="AW53">IF($AT$15=0,0,MMULT($AH53:$AM53, AV$9:AV$14)/$AT$15)</f>
        <v>0</v>
      </c>
      <c r="AX53" s="183">
        <f t="array" ref="AX53">IF($AT$15=0,0,MMULT($AH53:$AM53, AW$9:AW$14)/$AT$15)</f>
        <v>0</v>
      </c>
      <c r="AY53" s="183">
        <f t="array" ref="AY53">IF($AT$15=0,0,MMULT($AH53:$AM53, AX$9:AX$14)/$AT$15)</f>
        <v>0</v>
      </c>
      <c r="AZ53" s="183">
        <f t="array" ref="AZ53">IF($AT$15=0,0,MMULT($AH53:$AM53, AY$9:AY$14)/$AT$15)</f>
        <v>0</v>
      </c>
      <c r="BA53" s="183">
        <f t="array" ref="BA53">IF($AT$15=0,0,MMULT($AH53:$AM53, AZ$9:AZ$14)/$AT$15)</f>
        <v>0</v>
      </c>
      <c r="BB53" s="183">
        <f t="array" ref="BB53">IF($AT$15=0,0,MMULT($AH53:$AM53, BA$9:BA$14)/$AT$15)</f>
        <v>0</v>
      </c>
      <c r="BC53" s="183">
        <f t="array" ref="BC53">IF($AT$15=0,0,MMULT($AH53:$AM53, BB$9:BB$14)/$AT$15)</f>
        <v>0</v>
      </c>
      <c r="BD53" s="183">
        <f t="array" ref="BD53">IF($AT$15=0,0,MMULT($AH53:$AM53, BC$9:BC$14)/$AT$15)</f>
        <v>0</v>
      </c>
      <c r="BE53" s="183">
        <f t="array" ref="BE53">IF($AT$15=0,0,MMULT($AH53:$AM53, BD$9:BD$14)/$AT$15)</f>
        <v>0</v>
      </c>
      <c r="BF53" s="183">
        <f t="array" ref="BF53">IF($AT$15=0,0,MMULT($AH53:$AM53, BE$9:BE$14)/$AT$15)</f>
        <v>0</v>
      </c>
      <c r="BG53" s="188">
        <f>IF(OR(GradeSheet!$L42="W (Withdrawn)", GradeSheet!$L42="I (Incomplete)"), 0, IF(AU53&gt;=65%, 1, 0))</f>
        <v>0</v>
      </c>
      <c r="BH53" s="188">
        <f>IF(OR(GradeSheet!$L42="W (Withdrawn)", GradeSheet!$L42="I (Incomplete)"), 0, IF(AV53&gt;=65%, 1, 0))</f>
        <v>0</v>
      </c>
      <c r="BI53" s="188">
        <f>IF(OR(GradeSheet!$L42="W (Withdrawn)", GradeSheet!$L42="I (Incomplete)"), 0, IF(AW53&gt;=65%, 1, 0))</f>
        <v>0</v>
      </c>
      <c r="BJ53" s="188">
        <f>IF(OR(GradeSheet!$L42="W (Withdrawn)", GradeSheet!$L42="I (Incomplete)"), 0, IF(AX53&gt;=65%, 1, 0))</f>
        <v>0</v>
      </c>
      <c r="BK53" s="188">
        <f>IF(OR(GradeSheet!$L42="W (Withdrawn)", GradeSheet!$L42="I (Incomplete)"), 0, IF(AY53&gt;=65%, 1, 0))</f>
        <v>0</v>
      </c>
      <c r="BL53" s="188">
        <f>IF(OR(GradeSheet!$L42="W (Withdrawn)", GradeSheet!$L42="I (Incomplete)"), 0, IF(AZ53&gt;=65%, 1, 0))</f>
        <v>0</v>
      </c>
      <c r="BM53" s="188">
        <f>IF(OR(GradeSheet!$L42="W (Withdrawn)", GradeSheet!$L42="I (Incomplete)"), 0, IF(BA53&gt;=65%, 1, 0))</f>
        <v>0</v>
      </c>
      <c r="BN53" s="188">
        <f>IF(OR(GradeSheet!$L42="W (Withdrawn)", GradeSheet!$L42="I (Incomplete)"), 0, IF(BB53&gt;=65%, 1, 0))</f>
        <v>0</v>
      </c>
      <c r="BO53" s="188">
        <f>IF(OR(GradeSheet!$L42="W (Withdrawn)", GradeSheet!$L42="I (Incomplete)"), 0, IF(BC53&gt;=65%, 1, 0))</f>
        <v>0</v>
      </c>
      <c r="BP53" s="188">
        <f>IF(OR(GradeSheet!$L42="W (Withdrawn)", GradeSheet!$L42="I (Incomplete)"), 0, IF(BD53&gt;=65%, 1, 0))</f>
        <v>0</v>
      </c>
      <c r="BQ53" s="188">
        <f>IF(OR(GradeSheet!$L42="W (Withdrawn)", GradeSheet!$L42="I (Incomplete)"), 0, IF(BE53&gt;=65%, 1, 0))</f>
        <v>0</v>
      </c>
      <c r="BR53" s="188">
        <f>IF(OR(GradeSheet!$L42="W (Withdrawn)", GradeSheet!$L42="I (Incomplete)"), 0, IF(BF53&gt;=65%, 1, 0))</f>
        <v>0</v>
      </c>
    </row>
    <row r="54" ht="15.75" customHeight="1">
      <c r="A54" s="168">
        <v>34.0</v>
      </c>
      <c r="B54" s="168">
        <v>2.5301409E8</v>
      </c>
      <c r="C54" s="170" t="s">
        <v>210</v>
      </c>
      <c r="D54" s="171">
        <v>6.0</v>
      </c>
      <c r="E54" s="171">
        <v>6.0</v>
      </c>
      <c r="F54" s="171">
        <v>0.0</v>
      </c>
      <c r="G54" s="171">
        <v>0.0</v>
      </c>
      <c r="H54" s="171">
        <v>0.0</v>
      </c>
      <c r="I54" s="171">
        <v>0.0</v>
      </c>
      <c r="J54" s="171">
        <v>0.0</v>
      </c>
      <c r="K54" s="171">
        <v>0.0</v>
      </c>
      <c r="L54" s="171">
        <v>0.0</v>
      </c>
      <c r="M54" s="171">
        <v>0.0</v>
      </c>
      <c r="N54" s="171">
        <v>0.0</v>
      </c>
      <c r="O54" s="171">
        <v>0.0</v>
      </c>
      <c r="P54" s="172">
        <v>0.0</v>
      </c>
      <c r="Q54" s="172">
        <v>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  <c r="X54" s="172">
        <v>0.0</v>
      </c>
      <c r="Y54" s="172">
        <v>0.0</v>
      </c>
      <c r="Z54" s="172">
        <v>0.0</v>
      </c>
      <c r="AA54" s="172">
        <v>0.0</v>
      </c>
      <c r="AB54" s="174">
        <f t="shared" ref="AB54:AG54" si="75">SUM(D54,J54,P54,V54)</f>
        <v>6</v>
      </c>
      <c r="AC54" s="174">
        <f t="shared" si="75"/>
        <v>6</v>
      </c>
      <c r="AD54" s="174">
        <f t="shared" si="75"/>
        <v>0</v>
      </c>
      <c r="AE54" s="174">
        <f t="shared" si="75"/>
        <v>0</v>
      </c>
      <c r="AF54" s="174">
        <f t="shared" si="75"/>
        <v>0</v>
      </c>
      <c r="AG54" s="174">
        <f t="shared" si="75"/>
        <v>0</v>
      </c>
      <c r="AH54" s="175">
        <f t="shared" ref="AH54:AL54" si="76">IF(AB54 = 0, 0, AB54/AB$20)</f>
        <v>1</v>
      </c>
      <c r="AI54" s="175">
        <f t="shared" si="76"/>
        <v>1</v>
      </c>
      <c r="AJ54" s="175">
        <f t="shared" si="76"/>
        <v>0</v>
      </c>
      <c r="AK54" s="175">
        <f t="shared" si="76"/>
        <v>0</v>
      </c>
      <c r="AL54" s="175">
        <f t="shared" si="76"/>
        <v>0</v>
      </c>
      <c r="AM54" s="175">
        <f t="shared" si="12"/>
        <v>0</v>
      </c>
      <c r="AN54" s="174">
        <f>IF(OR(GradeSheet!$L43="W (Withdrawn)", GradeSheet!$L43="I (Incomplete)"), 0, IF(AH54&gt;=55%, 1, 0))</f>
        <v>1</v>
      </c>
      <c r="AO54" s="174">
        <f>IF(OR(GradeSheet!$L43="W (Withdrawn)", GradeSheet!$L43="I (Incomplete)"), 0, IF(AI54&gt;=55%, 1, 0))</f>
        <v>1</v>
      </c>
      <c r="AP54" s="174">
        <f>IF(OR(GradeSheet!$L43="W (Withdrawn)", GradeSheet!$L43="I (Incomplete)"), 0, IF(AJ54&gt;=55%, 1, 0))</f>
        <v>0</v>
      </c>
      <c r="AQ54" s="174">
        <f>IF(OR(GradeSheet!$L43="W (Withdrawn)", GradeSheet!$L43="I (Incomplete)"), 0, IF(AK54&gt;=55%, 1, 0))</f>
        <v>0</v>
      </c>
      <c r="AR54" s="174">
        <f>IF(OR(GradeSheet!$L43="W (Withdrawn)", GradeSheet!$L43="I (Incomplete)"), 0, IF(AL54&gt;=55%, 1, 0))</f>
        <v>0</v>
      </c>
      <c r="AS54" s="174">
        <f>IF(OR(GradeSheet!$L43="W (Withdrawn)", GradeSheet!$L43="I (Incomplete)"), 0, IF(AM54&gt;=55%, 1, 0))</f>
        <v>0</v>
      </c>
      <c r="AT54" s="136"/>
      <c r="AU54" s="183">
        <f t="array" ref="AU54">IF($AT$15=0,0,MMULT($AH54:$AM54, AT$9:AT$14)/$AT$15)</f>
        <v>0</v>
      </c>
      <c r="AV54" s="183">
        <f t="array" ref="AV54">IF($AT$15=0,0,MMULT($AH54:$AM54, AU$9:AU$14)/$AT$15)</f>
        <v>0</v>
      </c>
      <c r="AW54" s="183">
        <f t="array" ref="AW54">IF($AT$15=0,0,MMULT($AH54:$AM54, AV$9:AV$14)/$AT$15)</f>
        <v>0</v>
      </c>
      <c r="AX54" s="183">
        <f t="array" ref="AX54">IF($AT$15=0,0,MMULT($AH54:$AM54, AW$9:AW$14)/$AT$15)</f>
        <v>0</v>
      </c>
      <c r="AY54" s="183">
        <f t="array" ref="AY54">IF($AT$15=0,0,MMULT($AH54:$AM54, AX$9:AX$14)/$AT$15)</f>
        <v>0</v>
      </c>
      <c r="AZ54" s="183">
        <f t="array" ref="AZ54">IF($AT$15=0,0,MMULT($AH54:$AM54, AY$9:AY$14)/$AT$15)</f>
        <v>0</v>
      </c>
      <c r="BA54" s="183">
        <f t="array" ref="BA54">IF($AT$15=0,0,MMULT($AH54:$AM54, AZ$9:AZ$14)/$AT$15)</f>
        <v>0</v>
      </c>
      <c r="BB54" s="183">
        <f t="array" ref="BB54">IF($AT$15=0,0,MMULT($AH54:$AM54, BA$9:BA$14)/$AT$15)</f>
        <v>0</v>
      </c>
      <c r="BC54" s="183">
        <f t="array" ref="BC54">IF($AT$15=0,0,MMULT($AH54:$AM54, BB$9:BB$14)/$AT$15)</f>
        <v>0</v>
      </c>
      <c r="BD54" s="183">
        <f t="array" ref="BD54">IF($AT$15=0,0,MMULT($AH54:$AM54, BC$9:BC$14)/$AT$15)</f>
        <v>0</v>
      </c>
      <c r="BE54" s="183">
        <f t="array" ref="BE54">IF($AT$15=0,0,MMULT($AH54:$AM54, BD$9:BD$14)/$AT$15)</f>
        <v>0</v>
      </c>
      <c r="BF54" s="183">
        <f t="array" ref="BF54">IF($AT$15=0,0,MMULT($AH54:$AM54, BE$9:BE$14)/$AT$15)</f>
        <v>0</v>
      </c>
      <c r="BG54" s="188">
        <f>IF(OR(GradeSheet!$L43="W (Withdrawn)", GradeSheet!$L43="I (Incomplete)"), 0, IF(AU54&gt;=65%, 1, 0))</f>
        <v>0</v>
      </c>
      <c r="BH54" s="188">
        <f>IF(OR(GradeSheet!$L43="W (Withdrawn)", GradeSheet!$L43="I (Incomplete)"), 0, IF(AV54&gt;=65%, 1, 0))</f>
        <v>0</v>
      </c>
      <c r="BI54" s="188">
        <f>IF(OR(GradeSheet!$L43="W (Withdrawn)", GradeSheet!$L43="I (Incomplete)"), 0, IF(AW54&gt;=65%, 1, 0))</f>
        <v>0</v>
      </c>
      <c r="BJ54" s="188">
        <f>IF(OR(GradeSheet!$L43="W (Withdrawn)", GradeSheet!$L43="I (Incomplete)"), 0, IF(AX54&gt;=65%, 1, 0))</f>
        <v>0</v>
      </c>
      <c r="BK54" s="188">
        <f>IF(OR(GradeSheet!$L43="W (Withdrawn)", GradeSheet!$L43="I (Incomplete)"), 0, IF(AY54&gt;=65%, 1, 0))</f>
        <v>0</v>
      </c>
      <c r="BL54" s="188">
        <f>IF(OR(GradeSheet!$L43="W (Withdrawn)", GradeSheet!$L43="I (Incomplete)"), 0, IF(AZ54&gt;=65%, 1, 0))</f>
        <v>0</v>
      </c>
      <c r="BM54" s="188">
        <f>IF(OR(GradeSheet!$L43="W (Withdrawn)", GradeSheet!$L43="I (Incomplete)"), 0, IF(BA54&gt;=65%, 1, 0))</f>
        <v>0</v>
      </c>
      <c r="BN54" s="188">
        <f>IF(OR(GradeSheet!$L43="W (Withdrawn)", GradeSheet!$L43="I (Incomplete)"), 0, IF(BB54&gt;=65%, 1, 0))</f>
        <v>0</v>
      </c>
      <c r="BO54" s="188">
        <f>IF(OR(GradeSheet!$L43="W (Withdrawn)", GradeSheet!$L43="I (Incomplete)"), 0, IF(BC54&gt;=65%, 1, 0))</f>
        <v>0</v>
      </c>
      <c r="BP54" s="188">
        <f>IF(OR(GradeSheet!$L43="W (Withdrawn)", GradeSheet!$L43="I (Incomplete)"), 0, IF(BD54&gt;=65%, 1, 0))</f>
        <v>0</v>
      </c>
      <c r="BQ54" s="188">
        <f>IF(OR(GradeSheet!$L43="W (Withdrawn)", GradeSheet!$L43="I (Incomplete)"), 0, IF(BE54&gt;=65%, 1, 0))</f>
        <v>0</v>
      </c>
      <c r="BR54" s="188">
        <f>IF(OR(GradeSheet!$L43="W (Withdrawn)", GradeSheet!$L43="I (Incomplete)"), 0, IF(BF54&gt;=65%, 1, 0))</f>
        <v>0</v>
      </c>
    </row>
    <row r="55" ht="15.75" customHeight="1">
      <c r="A55" s="168">
        <v>35.0</v>
      </c>
      <c r="B55" s="168">
        <v>2.53014093E8</v>
      </c>
      <c r="C55" s="170" t="s">
        <v>211</v>
      </c>
      <c r="D55" s="171">
        <v>6.0</v>
      </c>
      <c r="E55" s="171">
        <v>6.0</v>
      </c>
      <c r="F55" s="171">
        <v>0.0</v>
      </c>
      <c r="G55" s="171">
        <v>0.0</v>
      </c>
      <c r="H55" s="171">
        <v>0.0</v>
      </c>
      <c r="I55" s="171">
        <v>0.0</v>
      </c>
      <c r="J55" s="171"/>
      <c r="K55" s="171"/>
      <c r="L55" s="171"/>
      <c r="M55" s="171"/>
      <c r="N55" s="171"/>
      <c r="O55" s="171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4"/>
      <c r="AC55" s="174"/>
      <c r="AD55" s="174"/>
      <c r="AE55" s="174"/>
      <c r="AF55" s="174"/>
      <c r="AG55" s="174"/>
      <c r="AH55" s="175"/>
      <c r="AI55" s="175"/>
      <c r="AJ55" s="175"/>
      <c r="AK55" s="175"/>
      <c r="AL55" s="175"/>
      <c r="AM55" s="175"/>
      <c r="AN55" s="174"/>
      <c r="AO55" s="174"/>
      <c r="AP55" s="174"/>
      <c r="AQ55" s="174"/>
      <c r="AR55" s="174"/>
      <c r="AS55" s="174"/>
      <c r="AT55" s="136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8"/>
      <c r="BH55" s="188"/>
      <c r="BI55" s="188"/>
      <c r="BJ55" s="188"/>
      <c r="BK55" s="188"/>
      <c r="BL55" s="188"/>
      <c r="BM55" s="188"/>
      <c r="BN55" s="188"/>
      <c r="BO55" s="188"/>
      <c r="BP55" s="188"/>
      <c r="BQ55" s="188"/>
      <c r="BR55" s="188"/>
    </row>
    <row r="56" ht="15.75" customHeight="1">
      <c r="A56" s="168">
        <v>36.0</v>
      </c>
      <c r="B56" s="168">
        <v>2.53014094E8</v>
      </c>
      <c r="C56" s="170" t="s">
        <v>213</v>
      </c>
      <c r="D56" s="171">
        <v>6.0</v>
      </c>
      <c r="E56" s="171">
        <v>4.0</v>
      </c>
      <c r="F56" s="171">
        <v>0.0</v>
      </c>
      <c r="G56" s="171">
        <v>0.0</v>
      </c>
      <c r="H56" s="171">
        <v>0.0</v>
      </c>
      <c r="I56" s="171">
        <v>0.0</v>
      </c>
      <c r="J56" s="171">
        <v>0.0</v>
      </c>
      <c r="K56" s="171">
        <v>0.0</v>
      </c>
      <c r="L56" s="171">
        <v>0.0</v>
      </c>
      <c r="M56" s="171">
        <v>0.0</v>
      </c>
      <c r="N56" s="171">
        <v>0.0</v>
      </c>
      <c r="O56" s="171">
        <v>0.0</v>
      </c>
      <c r="P56" s="172">
        <v>0.0</v>
      </c>
      <c r="Q56" s="172">
        <v>0.0</v>
      </c>
      <c r="R56" s="172">
        <v>0.0</v>
      </c>
      <c r="S56" s="172">
        <v>0.0</v>
      </c>
      <c r="T56" s="172">
        <v>0.0</v>
      </c>
      <c r="U56" s="172">
        <v>0.0</v>
      </c>
      <c r="V56" s="172">
        <v>0.0</v>
      </c>
      <c r="W56" s="172">
        <v>0.0</v>
      </c>
      <c r="X56" s="172">
        <v>0.0</v>
      </c>
      <c r="Y56" s="172">
        <v>0.0</v>
      </c>
      <c r="Z56" s="172">
        <v>0.0</v>
      </c>
      <c r="AA56" s="172">
        <v>0.0</v>
      </c>
      <c r="AB56" s="174">
        <f t="shared" ref="AB56:AG56" si="77">SUM(D56,J56,P56,V56)</f>
        <v>6</v>
      </c>
      <c r="AC56" s="174">
        <f t="shared" si="77"/>
        <v>4</v>
      </c>
      <c r="AD56" s="174">
        <f t="shared" si="77"/>
        <v>0</v>
      </c>
      <c r="AE56" s="174">
        <f t="shared" si="77"/>
        <v>0</v>
      </c>
      <c r="AF56" s="174">
        <f t="shared" si="77"/>
        <v>0</v>
      </c>
      <c r="AG56" s="174">
        <f t="shared" si="77"/>
        <v>0</v>
      </c>
      <c r="AH56" s="175">
        <f t="shared" ref="AH56:AL56" si="78">IF(AB56 = 0, 0, AB56/AB$20)</f>
        <v>1</v>
      </c>
      <c r="AI56" s="175">
        <f t="shared" si="78"/>
        <v>0.6666666667</v>
      </c>
      <c r="AJ56" s="175">
        <f t="shared" si="78"/>
        <v>0</v>
      </c>
      <c r="AK56" s="175">
        <f t="shared" si="78"/>
        <v>0</v>
      </c>
      <c r="AL56" s="175">
        <f t="shared" si="78"/>
        <v>0</v>
      </c>
      <c r="AM56" s="175">
        <f>IF(AG56 = 0, 0,#REF!/ AG$20)</f>
        <v>0</v>
      </c>
      <c r="AN56" s="174">
        <f>IF(OR(GradeSheet!$L45="W (Withdrawn)", GradeSheet!$L45="I (Incomplete)"), 0, IF(AH56&gt;=55%, 1, 0))</f>
        <v>1</v>
      </c>
      <c r="AO56" s="174">
        <f>IF(OR(GradeSheet!$L45="W (Withdrawn)", GradeSheet!$L45="I (Incomplete)"), 0, IF(AI56&gt;=55%, 1, 0))</f>
        <v>1</v>
      </c>
      <c r="AP56" s="174">
        <f>IF(OR(GradeSheet!$L45="W (Withdrawn)", GradeSheet!$L45="I (Incomplete)"), 0, IF(AJ56&gt;=55%, 1, 0))</f>
        <v>0</v>
      </c>
      <c r="AQ56" s="174">
        <f>IF(OR(GradeSheet!$L45="W (Withdrawn)", GradeSheet!$L45="I (Incomplete)"), 0, IF(AK56&gt;=55%, 1, 0))</f>
        <v>0</v>
      </c>
      <c r="AR56" s="174">
        <f>IF(OR(GradeSheet!$L45="W (Withdrawn)", GradeSheet!$L45="I (Incomplete)"), 0, IF(AL56&gt;=55%, 1, 0))</f>
        <v>0</v>
      </c>
      <c r="AS56" s="174">
        <f>IF(OR(GradeSheet!$L45="W (Withdrawn)", GradeSheet!$L45="I (Incomplete)"), 0, IF(AM56&gt;=55%, 1, 0))</f>
        <v>0</v>
      </c>
      <c r="AT56" s="136"/>
      <c r="AU56" s="183">
        <f t="array" ref="AU56">IF($AT$15=0,0,MMULT($AH56:$AM56, AT$9:AT$14)/$AT$15)</f>
        <v>0</v>
      </c>
      <c r="AV56" s="183">
        <f t="array" ref="AV56">IF($AT$15=0,0,MMULT($AH56:$AM56, AU$9:AU$14)/$AT$15)</f>
        <v>0</v>
      </c>
      <c r="AW56" s="183">
        <f t="array" ref="AW56">IF($AT$15=0,0,MMULT($AH56:$AM56, AV$9:AV$14)/$AT$15)</f>
        <v>0</v>
      </c>
      <c r="AX56" s="183">
        <f t="array" ref="AX56">IF($AT$15=0,0,MMULT($AH56:$AM56, AW$9:AW$14)/$AT$15)</f>
        <v>0</v>
      </c>
      <c r="AY56" s="183">
        <f t="array" ref="AY56">IF($AT$15=0,0,MMULT($AH56:$AM56, AX$9:AX$14)/$AT$15)</f>
        <v>0</v>
      </c>
      <c r="AZ56" s="183">
        <f t="array" ref="AZ56">IF($AT$15=0,0,MMULT($AH56:$AM56, AY$9:AY$14)/$AT$15)</f>
        <v>0</v>
      </c>
      <c r="BA56" s="183">
        <f t="array" ref="BA56">IF($AT$15=0,0,MMULT($AH56:$AM56, AZ$9:AZ$14)/$AT$15)</f>
        <v>0</v>
      </c>
      <c r="BB56" s="183">
        <f t="array" ref="BB56">IF($AT$15=0,0,MMULT($AH56:$AM56, BA$9:BA$14)/$AT$15)</f>
        <v>0</v>
      </c>
      <c r="BC56" s="183">
        <f t="array" ref="BC56">IF($AT$15=0,0,MMULT($AH56:$AM56, BB$9:BB$14)/$AT$15)</f>
        <v>0</v>
      </c>
      <c r="BD56" s="183">
        <f t="array" ref="BD56">IF($AT$15=0,0,MMULT($AH56:$AM56, BC$9:BC$14)/$AT$15)</f>
        <v>0</v>
      </c>
      <c r="BE56" s="183">
        <f t="array" ref="BE56">IF($AT$15=0,0,MMULT($AH56:$AM56, BD$9:BD$14)/$AT$15)</f>
        <v>0</v>
      </c>
      <c r="BF56" s="183">
        <f t="array" ref="BF56">IF($AT$15=0,0,MMULT($AH56:$AM56, BE$9:BE$14)/$AT$15)</f>
        <v>0</v>
      </c>
      <c r="BG56" s="188">
        <f>IF(OR(GradeSheet!$L45="W (Withdrawn)", GradeSheet!$L45="I (Incomplete)"), 0, IF(AU56&gt;=65%, 1, 0))</f>
        <v>0</v>
      </c>
      <c r="BH56" s="188">
        <f>IF(OR(GradeSheet!$L45="W (Withdrawn)", GradeSheet!$L45="I (Incomplete)"), 0, IF(AV56&gt;=65%, 1, 0))</f>
        <v>0</v>
      </c>
      <c r="BI56" s="188">
        <f>IF(OR(GradeSheet!$L45="W (Withdrawn)", GradeSheet!$L45="I (Incomplete)"), 0, IF(AW56&gt;=65%, 1, 0))</f>
        <v>0</v>
      </c>
      <c r="BJ56" s="188">
        <f>IF(OR(GradeSheet!$L45="W (Withdrawn)", GradeSheet!$L45="I (Incomplete)"), 0, IF(AX56&gt;=65%, 1, 0))</f>
        <v>0</v>
      </c>
      <c r="BK56" s="188">
        <f>IF(OR(GradeSheet!$L45="W (Withdrawn)", GradeSheet!$L45="I (Incomplete)"), 0, IF(AY56&gt;=65%, 1, 0))</f>
        <v>0</v>
      </c>
      <c r="BL56" s="188">
        <f>IF(OR(GradeSheet!$L45="W (Withdrawn)", GradeSheet!$L45="I (Incomplete)"), 0, IF(AZ56&gt;=65%, 1, 0))</f>
        <v>0</v>
      </c>
      <c r="BM56" s="188">
        <f>IF(OR(GradeSheet!$L45="W (Withdrawn)", GradeSheet!$L45="I (Incomplete)"), 0, IF(BA56&gt;=65%, 1, 0))</f>
        <v>0</v>
      </c>
      <c r="BN56" s="188">
        <f>IF(OR(GradeSheet!$L45="W (Withdrawn)", GradeSheet!$L45="I (Incomplete)"), 0, IF(BB56&gt;=65%, 1, 0))</f>
        <v>0</v>
      </c>
      <c r="BO56" s="188">
        <f>IF(OR(GradeSheet!$L45="W (Withdrawn)", GradeSheet!$L45="I (Incomplete)"), 0, IF(BC56&gt;=65%, 1, 0))</f>
        <v>0</v>
      </c>
      <c r="BP56" s="188">
        <f>IF(OR(GradeSheet!$L45="W (Withdrawn)", GradeSheet!$L45="I (Incomplete)"), 0, IF(BD56&gt;=65%, 1, 0))</f>
        <v>0</v>
      </c>
      <c r="BQ56" s="188">
        <f>IF(OR(GradeSheet!$L45="W (Withdrawn)", GradeSheet!$L45="I (Incomplete)"), 0, IF(BE56&gt;=65%, 1, 0))</f>
        <v>0</v>
      </c>
      <c r="BR56" s="188">
        <f>IF(OR(GradeSheet!$L45="W (Withdrawn)", GradeSheet!$L45="I (Incomplete)"), 0, IF(BF56&gt;=65%, 1, 0))</f>
        <v>0</v>
      </c>
    </row>
    <row r="57" ht="15.75" customHeight="1">
      <c r="A57" s="174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57"/>
      <c r="AH57" s="257"/>
      <c r="AI57" s="257"/>
      <c r="AJ57" s="257"/>
      <c r="AK57" s="257"/>
      <c r="AL57" s="257"/>
      <c r="AM57" s="257"/>
      <c r="AN57" s="258" t="s">
        <v>238</v>
      </c>
      <c r="AO57" s="259"/>
      <c r="AP57" s="259"/>
      <c r="AQ57" s="259"/>
      <c r="AR57" s="259"/>
      <c r="AS57" s="260"/>
      <c r="AT57" s="15"/>
      <c r="AU57" s="261"/>
      <c r="AV57" s="261"/>
      <c r="AW57" s="261"/>
      <c r="AX57" s="261"/>
      <c r="AY57" s="261"/>
      <c r="AZ57" s="261"/>
      <c r="BA57" s="261"/>
      <c r="BB57" s="261"/>
      <c r="BC57" s="261"/>
      <c r="BD57" s="261"/>
      <c r="BE57" s="261"/>
      <c r="BF57" s="261"/>
      <c r="BG57" s="262" t="s">
        <v>239</v>
      </c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60"/>
    </row>
    <row r="58" ht="15.75" customHeight="1">
      <c r="A58" s="263">
        <f>COUNTA(A21:A56)</f>
        <v>36</v>
      </c>
      <c r="B58" s="264" t="s">
        <v>240</v>
      </c>
      <c r="C58" s="265"/>
      <c r="D58" s="266">
        <f t="shared" ref="D58:AG58" si="79">AVERAGE(D21:D56)</f>
        <v>4.888888889</v>
      </c>
      <c r="E58" s="266">
        <f t="shared" si="79"/>
        <v>4</v>
      </c>
      <c r="F58" s="266">
        <f t="shared" si="79"/>
        <v>0</v>
      </c>
      <c r="G58" s="266">
        <f t="shared" si="79"/>
        <v>0</v>
      </c>
      <c r="H58" s="266">
        <f t="shared" si="79"/>
        <v>0</v>
      </c>
      <c r="I58" s="266">
        <f t="shared" si="79"/>
        <v>0</v>
      </c>
      <c r="J58" s="266">
        <f t="shared" si="79"/>
        <v>0</v>
      </c>
      <c r="K58" s="266">
        <f t="shared" si="79"/>
        <v>0</v>
      </c>
      <c r="L58" s="266">
        <f t="shared" si="79"/>
        <v>0</v>
      </c>
      <c r="M58" s="266">
        <f t="shared" si="79"/>
        <v>0</v>
      </c>
      <c r="N58" s="266">
        <f t="shared" si="79"/>
        <v>0</v>
      </c>
      <c r="O58" s="266">
        <f t="shared" si="79"/>
        <v>0</v>
      </c>
      <c r="P58" s="266">
        <f t="shared" si="79"/>
        <v>0</v>
      </c>
      <c r="Q58" s="266">
        <f t="shared" si="79"/>
        <v>0</v>
      </c>
      <c r="R58" s="266">
        <f t="shared" si="79"/>
        <v>0</v>
      </c>
      <c r="S58" s="266">
        <f t="shared" si="79"/>
        <v>0</v>
      </c>
      <c r="T58" s="266">
        <f t="shared" si="79"/>
        <v>0</v>
      </c>
      <c r="U58" s="266">
        <f t="shared" si="79"/>
        <v>0</v>
      </c>
      <c r="V58" s="266">
        <f t="shared" si="79"/>
        <v>0</v>
      </c>
      <c r="W58" s="266">
        <f t="shared" si="79"/>
        <v>0</v>
      </c>
      <c r="X58" s="266">
        <f t="shared" si="79"/>
        <v>0</v>
      </c>
      <c r="Y58" s="266">
        <f t="shared" si="79"/>
        <v>0</v>
      </c>
      <c r="Z58" s="266">
        <f t="shared" si="79"/>
        <v>0</v>
      </c>
      <c r="AA58" s="266">
        <f t="shared" si="79"/>
        <v>0</v>
      </c>
      <c r="AB58" s="267">
        <f t="shared" si="79"/>
        <v>4.857142857</v>
      </c>
      <c r="AC58" s="267">
        <f t="shared" si="79"/>
        <v>3.942857143</v>
      </c>
      <c r="AD58" s="267">
        <f t="shared" si="79"/>
        <v>0</v>
      </c>
      <c r="AE58" s="267">
        <f t="shared" si="79"/>
        <v>0</v>
      </c>
      <c r="AF58" s="267">
        <f t="shared" si="79"/>
        <v>0</v>
      </c>
      <c r="AG58" s="267">
        <f t="shared" si="79"/>
        <v>0</v>
      </c>
      <c r="AH58" s="268">
        <f>(SUMIFS(AH21:AH56,GradeSheet!$L$10:$L$45,"&lt;&gt;W (Withdrawn)",GradeSheet!$L$10:$L$45,"&lt;&gt;I (Incomplete)"))/($A$58-GradeSheet!$H$59-GradeSheet!$H$60)</f>
        <v>0.787037037</v>
      </c>
      <c r="AI58" s="268">
        <f>(SUMIFS(AI21:AI56,GradeSheet!$L$10:$L$45,"&lt;&gt;W (Withdrawn)",GradeSheet!$L$10:$L$45,"&lt;&gt;I (Incomplete)"))/($A$58-GradeSheet!$H$59-GradeSheet!$H$60)</f>
        <v>0.6388888889</v>
      </c>
      <c r="AJ58" s="268">
        <f>(SUMIFS(AJ21:AJ56,GradeSheet!$L$10:$L$45,"&lt;&gt;W (Withdrawn)",GradeSheet!$L$10:$L$45,"&lt;&gt;I (Incomplete)"))/($A$58-GradeSheet!$H$59-GradeSheet!$H$60)</f>
        <v>0</v>
      </c>
      <c r="AK58" s="268">
        <f>(SUMIFS(AK21:AK56,GradeSheet!$L$10:$L$45,"&lt;&gt;W (Withdrawn)",GradeSheet!$L$10:$L$45,"&lt;&gt;I (Incomplete)"))/($A$58-GradeSheet!$H$59-GradeSheet!$H$60)</f>
        <v>0</v>
      </c>
      <c r="AL58" s="268">
        <f>(SUMIFS(AL21:AL56,GradeSheet!$L$10:$L$45,"&lt;&gt;W (Withdrawn)",GradeSheet!$L$10:$L$45,"&lt;&gt;I (Incomplete)"))/($A$58-GradeSheet!$H$59-GradeSheet!$H$60)</f>
        <v>0</v>
      </c>
      <c r="AM58" s="268">
        <f>(SUMIFS(AM21:AM56,GradeSheet!$L$10:$L$45,"&lt;&gt;W (Withdrawn)",GradeSheet!$L$10:$L$45,"&lt;&gt;I (Incomplete)"))/($A$58-GradeSheet!$H$59-GradeSheet!$H$60)</f>
        <v>0</v>
      </c>
      <c r="AN58" s="269">
        <f t="shared" ref="AN58:AS58" si="80">SUM(AN21:AN56)</f>
        <v>29</v>
      </c>
      <c r="AO58" s="269">
        <f t="shared" si="80"/>
        <v>28</v>
      </c>
      <c r="AP58" s="269">
        <f t="shared" si="80"/>
        <v>0</v>
      </c>
      <c r="AQ58" s="269">
        <f t="shared" si="80"/>
        <v>0</v>
      </c>
      <c r="AR58" s="269">
        <f t="shared" si="80"/>
        <v>0</v>
      </c>
      <c r="AS58" s="269">
        <f t="shared" si="80"/>
        <v>0</v>
      </c>
      <c r="AT58" s="136"/>
      <c r="AU58" s="270">
        <f>(SUMIFS(AU21:AU56,GradeSheet!$L$10:$L$45,"&lt;&gt;W (Withdrawn)",GradeSheet!$L$10:$L$45,"&lt;&gt;I (Incomplete)"))/($A$58-GradeSheet!$H$59-GradeSheet!$H$60)</f>
        <v>0</v>
      </c>
      <c r="AV58" s="270">
        <f>(SUMIFS(AV21:AV56,GradeSheet!$L$10:$L$45,"&lt;&gt;W (Withdrawn)",GradeSheet!$L$10:$L$45,"&lt;&gt;I (Incomplete)"))/($A$58-GradeSheet!$H$59-GradeSheet!$H$60)</f>
        <v>0</v>
      </c>
      <c r="AW58" s="270">
        <f>(SUMIFS(AW21:AW56,GradeSheet!$L$10:$L$45,"&lt;&gt;W (Withdrawn)",GradeSheet!$L$10:$L$45,"&lt;&gt;I (Incomplete)"))/($A$58-GradeSheet!$H$59-GradeSheet!$H$60)</f>
        <v>0</v>
      </c>
      <c r="AX58" s="270">
        <f>(SUMIFS(AX21:AX56,GradeSheet!$L$10:$L$45,"&lt;&gt;W (Withdrawn)",GradeSheet!$L$10:$L$45,"&lt;&gt;I (Incomplete)"))/($A$58-GradeSheet!$H$59-GradeSheet!$H$60)</f>
        <v>0</v>
      </c>
      <c r="AY58" s="270">
        <f>(SUMIFS(AY21:AY56,GradeSheet!$L$10:$L$45,"&lt;&gt;W (Withdrawn)",GradeSheet!$L$10:$L$45,"&lt;&gt;I (Incomplete)"))/($A$58-GradeSheet!$H$59-GradeSheet!$H$60)</f>
        <v>0</v>
      </c>
      <c r="AZ58" s="270">
        <f>(SUMIFS(AZ21:AZ56,GradeSheet!$L$10:$L$45,"&lt;&gt;W (Withdrawn)",GradeSheet!$L$10:$L$45,"&lt;&gt;I (Incomplete)"))/($A$58-GradeSheet!$H$59-GradeSheet!$H$60)</f>
        <v>0</v>
      </c>
      <c r="BA58" s="270">
        <f>(SUMIFS(BA21:BA56,GradeSheet!$L$10:$L$45,"&lt;&gt;W (Withdrawn)",GradeSheet!$L$10:$L$45,"&lt;&gt;I (Incomplete)"))/($A$58-GradeSheet!$H$59-GradeSheet!$H$60)</f>
        <v>0</v>
      </c>
      <c r="BB58" s="270">
        <f>(SUMIFS(BB21:BB56,GradeSheet!$L$10:$L$45,"&lt;&gt;W (Withdrawn)",GradeSheet!$L$10:$L$45,"&lt;&gt;I (Incomplete)"))/($A$58-GradeSheet!$H$59-GradeSheet!$H$60)</f>
        <v>0</v>
      </c>
      <c r="BC58" s="270">
        <f>(SUMIFS(BC21:BC56,GradeSheet!$L$10:$L$45,"&lt;&gt;W (Withdrawn)",GradeSheet!$L$10:$L$45,"&lt;&gt;I (Incomplete)"))/($A$58-GradeSheet!$H$59-GradeSheet!$H$60)</f>
        <v>0</v>
      </c>
      <c r="BD58" s="270">
        <f>(SUMIFS(BD21:BD56,GradeSheet!$L$10:$L$45,"&lt;&gt;W (Withdrawn)",GradeSheet!$L$10:$L$45,"&lt;&gt;I (Incomplete)"))/($A$58-GradeSheet!$H$59-GradeSheet!$H$60)</f>
        <v>0</v>
      </c>
      <c r="BE58" s="270">
        <f>(SUMIFS(BE21:BE56,GradeSheet!$L$10:$L$45,"&lt;&gt;W (Withdrawn)",GradeSheet!$L$10:$L$45,"&lt;&gt;I (Incomplete)"))/($A$58-GradeSheet!$H$59-GradeSheet!$H$60)</f>
        <v>0</v>
      </c>
      <c r="BF58" s="270">
        <f>(SUMIFS(BF21:BF56,GradeSheet!$L$10:$L$45,"&lt;&gt;W (Withdrawn)",GradeSheet!$L$10:$L$45,"&lt;&gt;I (Incomplete)"))/($A$58-GradeSheet!$H$59-GradeSheet!$H$60)</f>
        <v>0</v>
      </c>
      <c r="BG58" s="271">
        <f t="shared" ref="BG58:BR58" si="81">SUM(BG54:BG56)</f>
        <v>0</v>
      </c>
      <c r="BH58" s="272">
        <f t="shared" si="81"/>
        <v>0</v>
      </c>
      <c r="BI58" s="272">
        <f t="shared" si="81"/>
        <v>0</v>
      </c>
      <c r="BJ58" s="272">
        <f t="shared" si="81"/>
        <v>0</v>
      </c>
      <c r="BK58" s="272">
        <f t="shared" si="81"/>
        <v>0</v>
      </c>
      <c r="BL58" s="272">
        <f t="shared" si="81"/>
        <v>0</v>
      </c>
      <c r="BM58" s="272">
        <f t="shared" si="81"/>
        <v>0</v>
      </c>
      <c r="BN58" s="272">
        <f t="shared" si="81"/>
        <v>0</v>
      </c>
      <c r="BO58" s="272">
        <f t="shared" si="81"/>
        <v>0</v>
      </c>
      <c r="BP58" s="272">
        <f t="shared" si="81"/>
        <v>0</v>
      </c>
      <c r="BQ58" s="272">
        <f t="shared" si="81"/>
        <v>0</v>
      </c>
      <c r="BR58" s="272">
        <f t="shared" si="81"/>
        <v>0</v>
      </c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273"/>
      <c r="AI60" s="273"/>
      <c r="AJ60" s="273"/>
      <c r="AK60" s="273"/>
      <c r="AL60" s="273"/>
      <c r="AM60" s="273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273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</row>
    <row r="62" ht="15.75" customHeight="1">
      <c r="A62" s="5"/>
      <c r="B62" s="6" t="s">
        <v>241</v>
      </c>
      <c r="C62" s="274" t="str">
        <f>GradeSheet!$H$5</f>
        <v>Suravi Akhter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</row>
    <row r="63" ht="15.75" customHeight="1">
      <c r="A63" s="5"/>
      <c r="B63" s="252" t="str">
        <f>GradeSheet!$B$61</f>
        <v>Lecturer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275"/>
      <c r="BG63" s="276"/>
      <c r="BH63" s="277"/>
      <c r="BI63" s="277"/>
      <c r="BJ63" s="277"/>
      <c r="BK63" s="277"/>
      <c r="BL63" s="5"/>
      <c r="BM63" s="5"/>
      <c r="BN63" s="5"/>
      <c r="BO63" s="5"/>
      <c r="BP63" s="5"/>
      <c r="BQ63" s="5"/>
      <c r="BR63" s="5"/>
    </row>
    <row r="64" ht="15.75" customHeight="1">
      <c r="A64" s="5"/>
      <c r="B64" s="252" t="str">
        <f>GradeSheet!$B$62</f>
        <v>Department of CSE, ULAB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278"/>
      <c r="BG64" s="278"/>
      <c r="BH64" s="277"/>
      <c r="BI64" s="277"/>
      <c r="BJ64" s="277"/>
      <c r="BK64" s="277"/>
      <c r="BL64" s="5"/>
      <c r="BM64" s="5"/>
      <c r="BN64" s="5"/>
      <c r="BO64" s="5"/>
      <c r="BP64" s="5"/>
      <c r="BQ64" s="5"/>
      <c r="BR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273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278"/>
      <c r="BG65" s="278"/>
      <c r="BH65" s="277"/>
      <c r="BI65" s="277"/>
      <c r="BJ65" s="277"/>
      <c r="BK65" s="277"/>
      <c r="BL65" s="5"/>
      <c r="BM65" s="5"/>
      <c r="BN65" s="5"/>
      <c r="BO65" s="5"/>
      <c r="BP65" s="5"/>
      <c r="BQ65" s="5"/>
      <c r="BR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73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278"/>
      <c r="BG66" s="278"/>
      <c r="BH66" s="277"/>
      <c r="BI66" s="277"/>
      <c r="BJ66" s="277"/>
      <c r="BK66" s="277"/>
      <c r="BL66" s="5"/>
      <c r="BM66" s="5"/>
      <c r="BN66" s="5"/>
      <c r="BO66" s="5"/>
      <c r="BP66" s="5"/>
      <c r="BQ66" s="5"/>
      <c r="BR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278"/>
      <c r="BG67" s="278"/>
      <c r="BH67" s="277"/>
      <c r="BI67" s="277"/>
      <c r="BJ67" s="277"/>
      <c r="BK67" s="277"/>
      <c r="BL67" s="5"/>
      <c r="BM67" s="5"/>
      <c r="BN67" s="5"/>
      <c r="BO67" s="5"/>
      <c r="BP67" s="5"/>
      <c r="BQ67" s="5"/>
      <c r="BR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279"/>
      <c r="BG68" s="276"/>
      <c r="BH68" s="277"/>
      <c r="BI68" s="277"/>
      <c r="BJ68" s="277"/>
      <c r="BK68" s="277"/>
      <c r="BL68" s="5"/>
      <c r="BM68" s="5"/>
      <c r="BN68" s="5"/>
      <c r="BO68" s="5"/>
      <c r="BP68" s="5"/>
      <c r="BQ68" s="5"/>
      <c r="BR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280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279"/>
      <c r="BG69" s="276"/>
      <c r="BH69" s="277"/>
      <c r="BI69" s="277"/>
      <c r="BJ69" s="277"/>
      <c r="BK69" s="277"/>
      <c r="BM69" s="5"/>
      <c r="BN69" s="5"/>
      <c r="BO69" s="5"/>
      <c r="BP69" s="5"/>
      <c r="BQ69" s="5"/>
      <c r="BR69" s="5"/>
    </row>
    <row r="70" ht="15.75" customHeight="1">
      <c r="A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281"/>
      <c r="BG70" s="276"/>
      <c r="BH70" s="277"/>
      <c r="BI70" s="277"/>
      <c r="BJ70" s="277"/>
      <c r="BK70" s="277"/>
      <c r="BM70" s="5"/>
      <c r="BN70" s="5"/>
      <c r="BO70" s="5"/>
      <c r="BP70" s="5"/>
      <c r="BQ70" s="5"/>
      <c r="BR70" s="5"/>
    </row>
    <row r="71" ht="15.75" customHeight="1">
      <c r="A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278"/>
      <c r="BG71" s="278"/>
      <c r="BH71" s="278"/>
      <c r="BI71" s="278"/>
      <c r="BJ71" s="278"/>
      <c r="BK71" s="278"/>
      <c r="BM71" s="5"/>
      <c r="BN71" s="5"/>
      <c r="BO71" s="5"/>
      <c r="BP71" s="5"/>
      <c r="BQ71" s="5"/>
      <c r="BR71" s="5"/>
    </row>
    <row r="72" ht="15.75" customHeight="1">
      <c r="A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M72" s="5"/>
      <c r="BN72" s="5"/>
      <c r="BO72" s="5"/>
      <c r="BP72" s="5"/>
      <c r="BQ72" s="5"/>
      <c r="BR72" s="5"/>
    </row>
    <row r="73" ht="15.75" customHeight="1">
      <c r="A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M73" s="5"/>
      <c r="BN73" s="5"/>
      <c r="BO73" s="5"/>
      <c r="BP73" s="5"/>
      <c r="BQ73" s="5"/>
      <c r="BR73" s="5"/>
    </row>
    <row r="74" ht="15.75" customHeight="1">
      <c r="A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M74" s="5"/>
      <c r="BN74" s="5"/>
      <c r="BO74" s="5"/>
      <c r="BP74" s="5"/>
      <c r="BQ74" s="5"/>
      <c r="BR74" s="5"/>
    </row>
    <row r="75" ht="15.75" customHeight="1">
      <c r="A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M75" s="5"/>
      <c r="BN75" s="5"/>
      <c r="BO75" s="5"/>
      <c r="BP75" s="5"/>
      <c r="BQ75" s="5"/>
      <c r="BR75" s="5"/>
    </row>
    <row r="76" ht="15.75" customHeight="1">
      <c r="A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M76" s="5"/>
      <c r="BN76" s="5"/>
      <c r="BO76" s="5"/>
      <c r="BP76" s="5"/>
      <c r="BQ76" s="5"/>
      <c r="BR76" s="5"/>
    </row>
    <row r="77" ht="15.75" customHeight="1">
      <c r="A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M77" s="5"/>
      <c r="BN77" s="5"/>
      <c r="BO77" s="5"/>
      <c r="BP77" s="5"/>
      <c r="BQ77" s="5"/>
      <c r="BR77" s="5"/>
    </row>
    <row r="78" ht="15.75" customHeight="1">
      <c r="A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M78" s="5"/>
      <c r="BN78" s="5"/>
      <c r="BO78" s="5"/>
      <c r="BP78" s="5"/>
      <c r="BQ78" s="5"/>
      <c r="BR78" s="5"/>
    </row>
    <row r="79" ht="15.75" customHeight="1">
      <c r="A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M79" s="5"/>
      <c r="BN79" s="5"/>
      <c r="BO79" s="5"/>
      <c r="BP79" s="5"/>
      <c r="BQ79" s="5"/>
      <c r="BR79" s="5"/>
    </row>
    <row r="80" ht="15.75" customHeight="1">
      <c r="A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M80" s="5"/>
      <c r="BN80" s="5"/>
      <c r="BO80" s="5"/>
      <c r="BP80" s="5"/>
      <c r="BQ80" s="5"/>
      <c r="BR80" s="5"/>
    </row>
    <row r="81" ht="15.75" customHeight="1">
      <c r="A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M81" s="5"/>
      <c r="BN81" s="5"/>
      <c r="BO81" s="5"/>
      <c r="BP81" s="5"/>
      <c r="BQ81" s="5"/>
      <c r="BR81" s="5"/>
    </row>
    <row r="82" ht="15.75" customHeight="1">
      <c r="A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M82" s="5"/>
      <c r="BN82" s="5"/>
      <c r="BO82" s="5"/>
      <c r="BP82" s="5"/>
      <c r="BQ82" s="5"/>
      <c r="BR82" s="5"/>
    </row>
    <row r="83" ht="15.75" customHeight="1">
      <c r="A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M83" s="5"/>
      <c r="BN83" s="5"/>
      <c r="BO83" s="5"/>
      <c r="BP83" s="5"/>
      <c r="BQ83" s="5"/>
      <c r="BR83" s="5"/>
    </row>
    <row r="84" ht="15.75" customHeight="1">
      <c r="A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M84" s="5"/>
      <c r="BN84" s="5"/>
      <c r="BO84" s="5"/>
      <c r="BP84" s="5"/>
      <c r="BQ84" s="5"/>
      <c r="BR84" s="5"/>
    </row>
    <row r="85" ht="15.75" customHeight="1">
      <c r="A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M85" s="5"/>
      <c r="BN85" s="5"/>
      <c r="BO85" s="5"/>
      <c r="BP85" s="5"/>
      <c r="BQ85" s="5"/>
      <c r="BR85" s="5"/>
    </row>
    <row r="86" ht="15.75" customHeight="1">
      <c r="A86" s="5"/>
      <c r="D86" s="205"/>
      <c r="E86" s="205"/>
      <c r="F86" s="229"/>
      <c r="G86" s="19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M86" s="5"/>
      <c r="BN86" s="5"/>
      <c r="BO86" s="5"/>
      <c r="BP86" s="5"/>
      <c r="BQ86" s="5"/>
      <c r="BR86" s="5"/>
    </row>
    <row r="87" ht="15.75" customHeight="1">
      <c r="A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M87" s="5"/>
      <c r="BN87" s="5"/>
      <c r="BO87" s="5"/>
      <c r="BP87" s="5"/>
      <c r="BQ87" s="5"/>
      <c r="BR87" s="5"/>
    </row>
    <row r="88" ht="15.75" customHeight="1">
      <c r="A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M88" s="5"/>
      <c r="BN88" s="5"/>
      <c r="BO88" s="5"/>
      <c r="BP88" s="5"/>
      <c r="BQ88" s="5"/>
      <c r="BR88" s="5"/>
    </row>
    <row r="89" ht="15.75" customHeight="1">
      <c r="A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</row>
    <row r="90" ht="15.75" customHeight="1">
      <c r="A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253" t="s">
        <v>242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253" t="s">
        <v>243</v>
      </c>
      <c r="BO90" s="5"/>
      <c r="BP90" s="5"/>
      <c r="BQ90" s="5"/>
      <c r="BR90" s="5"/>
    </row>
    <row r="91" ht="15.75" customHeight="1">
      <c r="A91" s="5"/>
      <c r="D91" s="205"/>
      <c r="E91" s="205"/>
      <c r="F91" s="229"/>
      <c r="G91" s="199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</row>
    <row r="92" ht="15.75" customHeight="1">
      <c r="A92" s="5"/>
      <c r="D92" s="205"/>
      <c r="E92" s="205"/>
      <c r="F92" s="229"/>
      <c r="G92" s="199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</row>
    <row r="93" ht="15.75" customHeight="1">
      <c r="A93" s="5"/>
      <c r="D93" s="205"/>
      <c r="E93" s="205"/>
      <c r="F93" s="229"/>
      <c r="G93" s="19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</row>
    <row r="94" ht="15.75" customHeight="1">
      <c r="A94" s="5"/>
      <c r="F94" s="199"/>
      <c r="G94" s="199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21">
    <mergeCell ref="P18:U18"/>
    <mergeCell ref="V18:AA18"/>
    <mergeCell ref="B58:C58"/>
    <mergeCell ref="B63:C63"/>
    <mergeCell ref="B64:C64"/>
    <mergeCell ref="AB18:AG18"/>
    <mergeCell ref="AH18:AM18"/>
    <mergeCell ref="AN57:AS57"/>
    <mergeCell ref="BG57:BR57"/>
    <mergeCell ref="AN18:AS18"/>
    <mergeCell ref="AU18:BF18"/>
    <mergeCell ref="AN20:AS20"/>
    <mergeCell ref="BG20:BR20"/>
    <mergeCell ref="C1:I1"/>
    <mergeCell ref="AS7:BE7"/>
    <mergeCell ref="A17:C19"/>
    <mergeCell ref="AB17:AS17"/>
    <mergeCell ref="AU17:BR17"/>
    <mergeCell ref="D18:I18"/>
    <mergeCell ref="J18:O18"/>
    <mergeCell ref="BG18:BR18"/>
  </mergeCells>
  <printOptions/>
  <pageMargins bottom="0.75" footer="0.0" header="0.0" left="0.7" right="0.7" top="0.75"/>
  <pageSetup orientation="landscape"/>
  <headerFooter>
    <oddHeader>&amp;LDepartment of CSE,ULAB&amp;CCO-PO Attainment Analysis&amp;RCSE004(00)</oddHeader>
    <oddFooter>&amp;RCSE004(00)Page 1 of 1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5.86"/>
    <col customWidth="1" min="4" max="4" width="6.57"/>
    <col customWidth="1" min="5" max="5" width="6.14"/>
    <col customWidth="1" min="6" max="6" width="7.14"/>
    <col customWidth="1" min="7" max="7" width="6.14"/>
    <col customWidth="1" min="8" max="8" width="11.14"/>
    <col customWidth="1" min="9" max="9" width="6.0"/>
    <col customWidth="1" min="10" max="10" width="5.86"/>
    <col customWidth="1" min="11" max="13" width="6.43"/>
    <col customWidth="1" min="14" max="14" width="5.86"/>
    <col customWidth="1" min="15" max="15" width="5.14"/>
    <col customWidth="1" min="16" max="16" width="4.14"/>
    <col customWidth="1" min="17" max="17" width="3.0"/>
    <col customWidth="1" min="18" max="18" width="4.86"/>
    <col customWidth="1" min="19" max="19" width="10.43"/>
    <col customWidth="1" min="20" max="20" width="7.86"/>
    <col customWidth="1" min="21" max="24" width="4.14"/>
    <col customWidth="1" min="25" max="33" width="3.57"/>
    <col customWidth="1" min="34" max="34" width="1.0"/>
    <col customWidth="1" min="35" max="38" width="3.57"/>
    <col customWidth="1" min="39" max="39" width="6.86"/>
    <col customWidth="1" min="40" max="46" width="3.57"/>
  </cols>
  <sheetData>
    <row r="1" ht="16.5" customHeight="1">
      <c r="A1" s="58"/>
      <c r="B1" s="58"/>
      <c r="C1" s="58"/>
      <c r="D1" s="58"/>
      <c r="E1" s="58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</row>
    <row r="2" ht="16.5" customHeight="1">
      <c r="A2" s="61"/>
      <c r="B2" s="64" t="s">
        <v>67</v>
      </c>
      <c r="C2" s="49"/>
      <c r="D2" s="31"/>
      <c r="E2" s="67" t="str">
        <f>GradeSheet!$H$2</f>
        <v>0613-014-1202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31"/>
      <c r="Q2" s="64" t="str">
        <f>CONCATENATE("Section ", GradeSheet!$K$2,)</f>
        <v>Section 2</v>
      </c>
      <c r="R2" s="49"/>
      <c r="S2" s="31"/>
      <c r="T2" s="71"/>
      <c r="U2" s="61"/>
      <c r="V2" s="73" t="s">
        <v>106</v>
      </c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31"/>
      <c r="AQ2" s="74"/>
      <c r="AR2" s="74"/>
      <c r="AS2" s="74"/>
      <c r="AT2" s="61"/>
    </row>
    <row r="3" ht="16.5" customHeight="1">
      <c r="A3" s="61"/>
      <c r="B3" s="76" t="s">
        <v>82</v>
      </c>
      <c r="C3" s="49"/>
      <c r="D3" s="31"/>
      <c r="E3" s="77" t="str">
        <f>GradeSheet!$H$3</f>
        <v>Structured Programming Lab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31"/>
      <c r="Q3" s="76" t="str">
        <f>CONCATENATE(GradeSheet!$H$61," students")</f>
        <v>36 students</v>
      </c>
      <c r="R3" s="49"/>
      <c r="S3" s="31"/>
      <c r="T3" s="71"/>
      <c r="U3" s="61"/>
      <c r="V3" s="80" t="s">
        <v>111</v>
      </c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31"/>
      <c r="AI3" s="80" t="s">
        <v>113</v>
      </c>
      <c r="AJ3" s="49"/>
      <c r="AK3" s="49"/>
      <c r="AL3" s="49"/>
      <c r="AM3" s="49"/>
      <c r="AN3" s="49"/>
      <c r="AO3" s="49"/>
      <c r="AP3" s="31"/>
      <c r="AQ3" s="74"/>
      <c r="AR3" s="74"/>
      <c r="AS3" s="74"/>
      <c r="AT3" s="61"/>
    </row>
    <row r="4" ht="16.5" customHeight="1">
      <c r="A4" s="61"/>
      <c r="B4" s="82" t="s">
        <v>87</v>
      </c>
      <c r="C4" s="49"/>
      <c r="D4" s="31"/>
      <c r="E4" s="85">
        <f>GradeSheet!$H$4</f>
        <v>1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31"/>
      <c r="Q4" s="85" t="str">
        <f>GradeSheet!$K$3</f>
        <v>Spring 2026</v>
      </c>
      <c r="R4" s="49"/>
      <c r="S4" s="31"/>
      <c r="T4" s="71"/>
      <c r="U4" s="61"/>
      <c r="V4" s="88">
        <v>1.0</v>
      </c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31"/>
      <c r="AI4" s="89">
        <v>1.0</v>
      </c>
      <c r="AJ4" s="49"/>
      <c r="AK4" s="49"/>
      <c r="AL4" s="49"/>
      <c r="AM4" s="49"/>
      <c r="AN4" s="49"/>
      <c r="AO4" s="49"/>
      <c r="AP4" s="31"/>
      <c r="AQ4" s="74"/>
      <c r="AR4" s="74"/>
      <c r="AS4" s="74"/>
      <c r="AT4" s="61"/>
    </row>
    <row r="5" ht="16.5" customHeight="1">
      <c r="A5" s="61"/>
      <c r="B5" s="58"/>
      <c r="C5" s="58"/>
      <c r="D5" s="58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71"/>
      <c r="U5" s="61"/>
      <c r="V5" s="88">
        <v>2.0</v>
      </c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31"/>
      <c r="AI5" s="89">
        <v>2.0</v>
      </c>
      <c r="AJ5" s="49"/>
      <c r="AK5" s="49"/>
      <c r="AL5" s="49"/>
      <c r="AM5" s="49"/>
      <c r="AN5" s="49"/>
      <c r="AO5" s="49"/>
      <c r="AP5" s="31"/>
      <c r="AQ5" s="74"/>
      <c r="AR5" s="74"/>
      <c r="AS5" s="74"/>
      <c r="AT5" s="61"/>
    </row>
    <row r="6" ht="16.5" customHeight="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89">
        <v>3.0</v>
      </c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31"/>
      <c r="AI6" s="89">
        <v>3.0</v>
      </c>
      <c r="AJ6" s="49"/>
      <c r="AK6" s="49"/>
      <c r="AL6" s="49"/>
      <c r="AM6" s="49"/>
      <c r="AN6" s="49"/>
      <c r="AO6" s="49"/>
      <c r="AP6" s="31"/>
      <c r="AQ6" s="96"/>
      <c r="AR6" s="96"/>
      <c r="AS6" s="96"/>
      <c r="AT6" s="94"/>
    </row>
    <row r="7" ht="12.75" customHeight="1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89">
        <v>4.0</v>
      </c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31"/>
      <c r="AI7" s="89">
        <v>3.0</v>
      </c>
      <c r="AJ7" s="49"/>
      <c r="AK7" s="49"/>
      <c r="AL7" s="49"/>
      <c r="AM7" s="49"/>
      <c r="AN7" s="49"/>
      <c r="AO7" s="49"/>
      <c r="AP7" s="31"/>
      <c r="AQ7" s="97"/>
      <c r="AR7" s="97"/>
      <c r="AS7" s="97"/>
      <c r="AT7" s="94"/>
    </row>
    <row r="8" ht="16.5" customHeight="1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89">
        <v>5.0</v>
      </c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31"/>
      <c r="AI8" s="89">
        <v>2.0</v>
      </c>
      <c r="AJ8" s="49"/>
      <c r="AK8" s="49"/>
      <c r="AL8" s="49"/>
      <c r="AM8" s="49"/>
      <c r="AN8" s="49"/>
      <c r="AO8" s="49"/>
      <c r="AP8" s="31"/>
      <c r="AQ8" s="97"/>
      <c r="AR8" s="97"/>
      <c r="AS8" s="97"/>
      <c r="AT8" s="94"/>
    </row>
    <row r="9" ht="16.5" customHeight="1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89">
        <v>6.0</v>
      </c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31"/>
      <c r="AI9" s="89">
        <v>5.0</v>
      </c>
      <c r="AJ9" s="49"/>
      <c r="AK9" s="49"/>
      <c r="AL9" s="49"/>
      <c r="AM9" s="49"/>
      <c r="AN9" s="49"/>
      <c r="AO9" s="49"/>
      <c r="AP9" s="31"/>
      <c r="AQ9" s="97"/>
      <c r="AR9" s="97"/>
      <c r="AS9" s="97"/>
      <c r="AT9" s="94"/>
    </row>
    <row r="10" ht="16.5" customHeight="1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89">
        <v>7.0</v>
      </c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31"/>
      <c r="AI10" s="89">
        <v>3.0</v>
      </c>
      <c r="AJ10" s="49"/>
      <c r="AK10" s="49"/>
      <c r="AL10" s="49"/>
      <c r="AM10" s="49"/>
      <c r="AN10" s="49"/>
      <c r="AO10" s="49"/>
      <c r="AP10" s="31"/>
      <c r="AQ10" s="97"/>
      <c r="AR10" s="97"/>
      <c r="AS10" s="97"/>
      <c r="AT10" s="94"/>
    </row>
    <row r="11" ht="16.5" customHeight="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89">
        <v>8.0</v>
      </c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31"/>
      <c r="AI11" s="89">
        <v>2.0</v>
      </c>
      <c r="AJ11" s="49"/>
      <c r="AK11" s="49"/>
      <c r="AL11" s="49"/>
      <c r="AM11" s="49"/>
      <c r="AN11" s="49"/>
      <c r="AO11" s="49"/>
      <c r="AP11" s="31"/>
      <c r="AQ11" s="97"/>
      <c r="AR11" s="97"/>
      <c r="AS11" s="97"/>
      <c r="AT11" s="94"/>
    </row>
    <row r="12" ht="16.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89">
        <v>9.0</v>
      </c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31"/>
      <c r="AI12" s="89">
        <v>2.0</v>
      </c>
      <c r="AJ12" s="49"/>
      <c r="AK12" s="49"/>
      <c r="AL12" s="49"/>
      <c r="AM12" s="49"/>
      <c r="AN12" s="49"/>
      <c r="AO12" s="49"/>
      <c r="AP12" s="31"/>
      <c r="AQ12" s="97"/>
      <c r="AR12" s="97"/>
      <c r="AS12" s="97"/>
      <c r="AT12" s="94"/>
    </row>
    <row r="13" ht="16.5" customHeight="1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97"/>
      <c r="AS13" s="97"/>
      <c r="AT13" s="94"/>
    </row>
    <row r="14" ht="16.5" customHeight="1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106" t="s">
        <v>120</v>
      </c>
      <c r="AQ14" s="97"/>
      <c r="AR14" s="97"/>
      <c r="AS14" s="97"/>
      <c r="AT14" s="94"/>
    </row>
    <row r="15" ht="16.5" customHeight="1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7"/>
      <c r="W15" s="97" t="s">
        <v>122</v>
      </c>
      <c r="X15" s="106" t="s">
        <v>123</v>
      </c>
      <c r="AA15" s="107" t="s">
        <v>124</v>
      </c>
      <c r="AB15" s="31"/>
      <c r="AC15" s="97"/>
      <c r="AD15" s="97" t="s">
        <v>126</v>
      </c>
      <c r="AE15" s="106" t="s">
        <v>127</v>
      </c>
      <c r="AH15" s="80"/>
      <c r="AI15" s="49"/>
      <c r="AJ15" s="31"/>
      <c r="AK15" s="94"/>
      <c r="AL15" s="97" t="s">
        <v>129</v>
      </c>
      <c r="AM15" s="106" t="s">
        <v>130</v>
      </c>
      <c r="AN15" s="80"/>
      <c r="AO15" s="31"/>
      <c r="AP15" s="96"/>
      <c r="AQ15" s="97"/>
      <c r="AR15" s="97"/>
      <c r="AS15" s="97"/>
      <c r="AT15" s="94"/>
    </row>
    <row r="16" ht="16.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106" t="s">
        <v>132</v>
      </c>
      <c r="AQ16" s="97"/>
      <c r="AR16" s="97"/>
      <c r="AS16" s="97"/>
      <c r="AT16" s="94"/>
    </row>
    <row r="17" ht="16.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113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6"/>
      <c r="AT17" s="94"/>
    </row>
    <row r="18" ht="16.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118"/>
      <c r="AS18" s="119"/>
      <c r="AT18" s="94"/>
    </row>
    <row r="19" ht="16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123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8"/>
      <c r="AT19" s="94"/>
    </row>
    <row r="20" ht="16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4"/>
    </row>
    <row r="21" ht="16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73" t="s">
        <v>135</v>
      </c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31"/>
      <c r="AT21" s="94"/>
    </row>
    <row r="22" ht="16.5" customHeight="1">
      <c r="A22" s="94"/>
      <c r="B22" s="138" t="s">
        <v>137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31"/>
      <c r="P22" s="16"/>
      <c r="Q22" s="16"/>
      <c r="R22" s="94"/>
      <c r="S22" s="94"/>
      <c r="T22" s="94"/>
      <c r="U22" s="94"/>
      <c r="V22" s="80" t="s">
        <v>138</v>
      </c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31"/>
      <c r="AI22" s="80" t="s">
        <v>113</v>
      </c>
      <c r="AJ22" s="49"/>
      <c r="AK22" s="49"/>
      <c r="AL22" s="49"/>
      <c r="AM22" s="31"/>
      <c r="AN22" s="80" t="s">
        <v>139</v>
      </c>
      <c r="AO22" s="49"/>
      <c r="AP22" s="49"/>
      <c r="AQ22" s="49"/>
      <c r="AR22" s="49"/>
      <c r="AS22" s="31"/>
      <c r="AT22" s="94"/>
    </row>
    <row r="23" ht="16.5" customHeight="1">
      <c r="A23" s="94"/>
      <c r="B23" s="141" t="s">
        <v>140</v>
      </c>
      <c r="C23" s="141" t="s">
        <v>141</v>
      </c>
      <c r="D23" s="141" t="s">
        <v>142</v>
      </c>
      <c r="E23" s="141" t="s">
        <v>143</v>
      </c>
      <c r="F23" s="141" t="s">
        <v>144</v>
      </c>
      <c r="G23" s="141" t="s">
        <v>145</v>
      </c>
      <c r="H23" s="141" t="s">
        <v>146</v>
      </c>
      <c r="I23" s="141" t="s">
        <v>147</v>
      </c>
      <c r="J23" s="141" t="s">
        <v>148</v>
      </c>
      <c r="K23" s="141" t="s">
        <v>149</v>
      </c>
      <c r="L23" s="141" t="s">
        <v>150</v>
      </c>
      <c r="M23" s="141" t="s">
        <v>151</v>
      </c>
      <c r="N23" s="143" t="s">
        <v>112</v>
      </c>
      <c r="O23" s="31"/>
      <c r="R23" s="94"/>
      <c r="S23" s="94"/>
      <c r="T23" s="94"/>
      <c r="U23" s="94"/>
      <c r="V23" s="89" t="s">
        <v>153</v>
      </c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31"/>
      <c r="AI23" s="89">
        <v>22.0</v>
      </c>
      <c r="AJ23" s="49"/>
      <c r="AK23" s="49"/>
      <c r="AL23" s="49"/>
      <c r="AM23" s="31"/>
      <c r="AN23" s="147">
        <f>AI23/R33</f>
        <v>1</v>
      </c>
      <c r="AO23" s="49"/>
      <c r="AP23" s="49"/>
      <c r="AQ23" s="49"/>
      <c r="AR23" s="49"/>
      <c r="AS23" s="31"/>
      <c r="AT23" s="71"/>
    </row>
    <row r="24" ht="16.5" customHeight="1">
      <c r="A24" s="94"/>
      <c r="B24" s="149">
        <f>GradeSheet!$H$49</f>
        <v>3</v>
      </c>
      <c r="C24" s="149">
        <f>GradeSheet!$H$50</f>
        <v>7</v>
      </c>
      <c r="D24" s="149">
        <f>GradeSheet!$H$51</f>
        <v>6</v>
      </c>
      <c r="E24" s="149">
        <f>GradeSheet!$H$52</f>
        <v>8</v>
      </c>
      <c r="F24" s="149">
        <f>GradeSheet!$H$53</f>
        <v>2</v>
      </c>
      <c r="G24" s="149">
        <f>GradeSheet!$H$54</f>
        <v>2</v>
      </c>
      <c r="H24" s="149">
        <f>GradeSheet!$H$55</f>
        <v>1</v>
      </c>
      <c r="I24" s="149">
        <f>GradeSheet!$H$56</f>
        <v>0</v>
      </c>
      <c r="J24" s="149">
        <f>GradeSheet!$H$57</f>
        <v>3</v>
      </c>
      <c r="K24" s="149">
        <f>GradeSheet!$H$58</f>
        <v>4</v>
      </c>
      <c r="L24" s="149">
        <f>GradeSheet!$H$59</f>
        <v>0</v>
      </c>
      <c r="M24" s="149">
        <f>GradeSheet!$H$60</f>
        <v>0</v>
      </c>
      <c r="N24" s="152">
        <f t="shared" ref="N24:N25" si="1">SUM(B24:M24)</f>
        <v>36</v>
      </c>
      <c r="O24" s="154"/>
      <c r="R24" s="94"/>
      <c r="S24" s="94"/>
      <c r="T24" s="94"/>
      <c r="U24" s="94"/>
      <c r="V24" s="89" t="s">
        <v>156</v>
      </c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31"/>
      <c r="AI24" s="89">
        <v>0.0</v>
      </c>
      <c r="AJ24" s="49"/>
      <c r="AK24" s="49"/>
      <c r="AL24" s="49"/>
      <c r="AM24" s="31"/>
      <c r="AN24" s="147">
        <f>AI24/R33</f>
        <v>0</v>
      </c>
      <c r="AO24" s="49"/>
      <c r="AP24" s="49"/>
      <c r="AQ24" s="49"/>
      <c r="AR24" s="49"/>
      <c r="AS24" s="31"/>
      <c r="AT24" s="94"/>
    </row>
    <row r="25" ht="16.5" customHeight="1">
      <c r="A25" s="94"/>
      <c r="B25" s="159">
        <f>B24/GradeSheet!$H$61</f>
        <v>0.08333333333</v>
      </c>
      <c r="C25" s="159">
        <f>C24/GradeSheet!$H$61</f>
        <v>0.1944444444</v>
      </c>
      <c r="D25" s="159">
        <f>D24/GradeSheet!$H$61</f>
        <v>0.1666666667</v>
      </c>
      <c r="E25" s="159">
        <f>E24/GradeSheet!$H$61</f>
        <v>0.2222222222</v>
      </c>
      <c r="F25" s="159">
        <f>F24/GradeSheet!$H$61</f>
        <v>0.05555555556</v>
      </c>
      <c r="G25" s="159">
        <f>G24/GradeSheet!$H$61</f>
        <v>0.05555555556</v>
      </c>
      <c r="H25" s="159">
        <f>H24/GradeSheet!$H$61</f>
        <v>0.02777777778</v>
      </c>
      <c r="I25" s="159">
        <f>I24/GradeSheet!$H$61</f>
        <v>0</v>
      </c>
      <c r="J25" s="159">
        <f>J24/GradeSheet!$H$61</f>
        <v>0.08333333333</v>
      </c>
      <c r="K25" s="159">
        <f>K24/GradeSheet!$H$61</f>
        <v>0.1111111111</v>
      </c>
      <c r="L25" s="159">
        <f>L24/GradeSheet!$H$61</f>
        <v>0</v>
      </c>
      <c r="M25" s="159">
        <f>M24/GradeSheet!$H$61</f>
        <v>0</v>
      </c>
      <c r="N25" s="166">
        <f t="shared" si="1"/>
        <v>1</v>
      </c>
      <c r="O25" s="31"/>
      <c r="R25" s="94"/>
      <c r="S25" s="94"/>
      <c r="T25" s="94"/>
      <c r="U25" s="94"/>
      <c r="V25" s="89" t="s">
        <v>93</v>
      </c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31"/>
      <c r="AI25" s="89">
        <v>0.0</v>
      </c>
      <c r="AJ25" s="49"/>
      <c r="AK25" s="49"/>
      <c r="AL25" s="49"/>
      <c r="AM25" s="31"/>
      <c r="AN25" s="147">
        <f>AI25/R33</f>
        <v>0</v>
      </c>
      <c r="AO25" s="49"/>
      <c r="AP25" s="49"/>
      <c r="AQ25" s="49"/>
      <c r="AR25" s="49"/>
      <c r="AS25" s="31"/>
      <c r="AT25" s="94"/>
    </row>
    <row r="26" ht="16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89" t="s">
        <v>160</v>
      </c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31"/>
      <c r="AI26" s="89">
        <v>22.0</v>
      </c>
      <c r="AJ26" s="49"/>
      <c r="AK26" s="49"/>
      <c r="AL26" s="49"/>
      <c r="AM26" s="31"/>
      <c r="AN26" s="147">
        <f>AI26/R33</f>
        <v>1</v>
      </c>
      <c r="AO26" s="49"/>
      <c r="AP26" s="49"/>
      <c r="AQ26" s="49"/>
      <c r="AR26" s="49"/>
      <c r="AS26" s="31"/>
      <c r="AT26" s="94"/>
    </row>
    <row r="27" ht="16.5" customHeight="1">
      <c r="A27" s="94"/>
      <c r="B27" s="173" t="s">
        <v>162</v>
      </c>
      <c r="C27" s="173"/>
      <c r="D27" s="173"/>
      <c r="E27" s="173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8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31"/>
      <c r="AI27" s="89"/>
      <c r="AJ27" s="49"/>
      <c r="AK27" s="49"/>
      <c r="AL27" s="49"/>
      <c r="AM27" s="31"/>
      <c r="AN27" s="147"/>
      <c r="AO27" s="49"/>
      <c r="AP27" s="49"/>
      <c r="AQ27" s="49"/>
      <c r="AR27" s="49"/>
      <c r="AS27" s="31"/>
      <c r="AT27" s="94"/>
    </row>
    <row r="28" ht="16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7"/>
      <c r="AI28" s="97"/>
      <c r="AN28" s="97"/>
      <c r="AT28" s="94"/>
    </row>
    <row r="29" ht="16.5" customHeight="1">
      <c r="A29" s="94"/>
      <c r="B29" s="80"/>
      <c r="C29" s="49"/>
      <c r="D29" s="49"/>
      <c r="E29" s="49"/>
      <c r="F29" s="31"/>
      <c r="G29" s="176" t="s">
        <v>101</v>
      </c>
      <c r="H29" s="176" t="s">
        <v>163</v>
      </c>
      <c r="I29" s="94"/>
      <c r="J29" s="80"/>
      <c r="K29" s="49"/>
      <c r="L29" s="49"/>
      <c r="M29" s="49"/>
      <c r="N29" s="49"/>
      <c r="O29" s="49"/>
      <c r="P29" s="49"/>
      <c r="Q29" s="31"/>
      <c r="R29" s="176" t="s">
        <v>165</v>
      </c>
      <c r="S29" s="176" t="s">
        <v>163</v>
      </c>
      <c r="T29" s="94"/>
      <c r="U29" s="94"/>
      <c r="V29" s="97"/>
      <c r="AI29" s="97"/>
      <c r="AN29" s="97"/>
      <c r="AT29" s="94"/>
    </row>
    <row r="30" ht="16.5" customHeight="1">
      <c r="A30" s="94"/>
      <c r="B30" s="80" t="s">
        <v>166</v>
      </c>
      <c r="C30" s="49"/>
      <c r="D30" s="49"/>
      <c r="E30" s="49"/>
      <c r="F30" s="31"/>
      <c r="G30" s="177">
        <f>GradeSheet!$H$61</f>
        <v>36</v>
      </c>
      <c r="H30" s="178">
        <f>G30/G30</f>
        <v>1</v>
      </c>
      <c r="I30" s="94"/>
      <c r="J30" s="80" t="s">
        <v>167</v>
      </c>
      <c r="K30" s="49"/>
      <c r="L30" s="49"/>
      <c r="M30" s="49"/>
      <c r="N30" s="49"/>
      <c r="O30" s="49"/>
      <c r="P30" s="49"/>
      <c r="Q30" s="31"/>
      <c r="R30" s="179">
        <v>24.0</v>
      </c>
      <c r="S30" s="178">
        <f>R30/R30</f>
        <v>1</v>
      </c>
      <c r="T30" s="94"/>
      <c r="U30" s="94"/>
      <c r="V30" s="73" t="s">
        <v>168</v>
      </c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31"/>
      <c r="AI30" s="80" t="s">
        <v>113</v>
      </c>
      <c r="AJ30" s="49"/>
      <c r="AK30" s="49"/>
      <c r="AL30" s="49"/>
      <c r="AM30" s="31"/>
      <c r="AN30" s="80" t="s">
        <v>139</v>
      </c>
      <c r="AO30" s="49"/>
      <c r="AP30" s="49"/>
      <c r="AQ30" s="49"/>
      <c r="AR30" s="49"/>
      <c r="AS30" s="31"/>
      <c r="AT30" s="94"/>
    </row>
    <row r="31" ht="16.5" customHeight="1">
      <c r="A31" s="94"/>
      <c r="B31" s="80" t="s">
        <v>169</v>
      </c>
      <c r="C31" s="49"/>
      <c r="D31" s="49"/>
      <c r="E31" s="49"/>
      <c r="F31" s="31"/>
      <c r="G31" s="177">
        <f>GradeSheet!$H$60</f>
        <v>0</v>
      </c>
      <c r="H31" s="178">
        <f>G31/G30</f>
        <v>0</v>
      </c>
      <c r="I31" s="94"/>
      <c r="J31" s="80" t="s">
        <v>170</v>
      </c>
      <c r="K31" s="49"/>
      <c r="L31" s="49"/>
      <c r="M31" s="49"/>
      <c r="N31" s="49"/>
      <c r="O31" s="49"/>
      <c r="P31" s="49"/>
      <c r="Q31" s="31"/>
      <c r="R31" s="179">
        <v>2.0</v>
      </c>
      <c r="S31" s="178">
        <f>R31/R30</f>
        <v>0.08333333333</v>
      </c>
      <c r="T31" s="94"/>
      <c r="U31" s="94"/>
      <c r="V31" s="89" t="s">
        <v>160</v>
      </c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31"/>
      <c r="AI31" s="89">
        <v>22.0</v>
      </c>
      <c r="AJ31" s="49"/>
      <c r="AK31" s="49"/>
      <c r="AL31" s="49"/>
      <c r="AM31" s="31"/>
      <c r="AN31" s="147">
        <f>AI31/R33</f>
        <v>1</v>
      </c>
      <c r="AO31" s="49"/>
      <c r="AP31" s="49"/>
      <c r="AQ31" s="49"/>
      <c r="AR31" s="49"/>
      <c r="AS31" s="31"/>
      <c r="AT31" s="94"/>
    </row>
    <row r="32" ht="16.5" customHeight="1">
      <c r="A32" s="180"/>
      <c r="B32" s="80" t="s">
        <v>172</v>
      </c>
      <c r="C32" s="49"/>
      <c r="D32" s="49"/>
      <c r="E32" s="49"/>
      <c r="F32" s="31"/>
      <c r="G32" s="181">
        <f>SUM(B24:K24)</f>
        <v>36</v>
      </c>
      <c r="H32" s="178">
        <f>G32/G30</f>
        <v>1</v>
      </c>
      <c r="I32" s="94"/>
      <c r="J32" s="80" t="s">
        <v>173</v>
      </c>
      <c r="K32" s="49"/>
      <c r="L32" s="49"/>
      <c r="M32" s="49"/>
      <c r="N32" s="49"/>
      <c r="O32" s="49"/>
      <c r="P32" s="49"/>
      <c r="Q32" s="31"/>
      <c r="R32" s="179">
        <v>0.0</v>
      </c>
      <c r="S32" s="178">
        <f>R32/R30</f>
        <v>0</v>
      </c>
      <c r="T32" s="94"/>
      <c r="U32" s="94"/>
      <c r="V32" s="89" t="s">
        <v>156</v>
      </c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31"/>
      <c r="AI32" s="89">
        <v>0.0</v>
      </c>
      <c r="AJ32" s="49"/>
      <c r="AK32" s="49"/>
      <c r="AL32" s="49"/>
      <c r="AM32" s="31"/>
      <c r="AN32" s="147">
        <f>AI32/R33</f>
        <v>0</v>
      </c>
      <c r="AO32" s="49"/>
      <c r="AP32" s="49"/>
      <c r="AQ32" s="49"/>
      <c r="AR32" s="49"/>
      <c r="AS32" s="31"/>
      <c r="AT32" s="94"/>
    </row>
    <row r="33" ht="17.25" customHeight="1">
      <c r="A33" s="94"/>
      <c r="B33" s="80" t="s">
        <v>175</v>
      </c>
      <c r="C33" s="49"/>
      <c r="D33" s="49"/>
      <c r="E33" s="49"/>
      <c r="F33" s="31"/>
      <c r="G33" s="177">
        <f>SUM(B24:J24)</f>
        <v>32</v>
      </c>
      <c r="H33" s="178">
        <f>G33/G30</f>
        <v>0.8888888889</v>
      </c>
      <c r="I33" s="94"/>
      <c r="J33" s="113" t="s">
        <v>176</v>
      </c>
      <c r="K33" s="114"/>
      <c r="L33" s="114"/>
      <c r="M33" s="114"/>
      <c r="N33" s="114"/>
      <c r="O33" s="114"/>
      <c r="P33" s="114"/>
      <c r="Q33" s="116"/>
      <c r="R33" s="182">
        <v>22.0</v>
      </c>
      <c r="S33" s="184">
        <f>R33/R30</f>
        <v>0.9166666667</v>
      </c>
      <c r="T33" s="94"/>
      <c r="U33" s="94"/>
      <c r="V33" s="80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31"/>
      <c r="AI33" s="80"/>
      <c r="AJ33" s="49"/>
      <c r="AK33" s="49"/>
      <c r="AL33" s="49"/>
      <c r="AM33" s="31"/>
      <c r="AN33" s="80"/>
      <c r="AO33" s="49"/>
      <c r="AP33" s="49"/>
      <c r="AQ33" s="49"/>
      <c r="AR33" s="49"/>
      <c r="AS33" s="31"/>
      <c r="AT33" s="94"/>
    </row>
    <row r="34" ht="16.5" customHeight="1">
      <c r="A34" s="94"/>
      <c r="B34" s="97"/>
      <c r="C34" s="97"/>
      <c r="D34" s="97"/>
      <c r="E34" s="97"/>
      <c r="F34" s="97"/>
      <c r="G34" s="97"/>
      <c r="H34" s="97"/>
      <c r="I34" s="94"/>
      <c r="J34" s="118"/>
      <c r="Q34" s="119"/>
      <c r="R34" s="185"/>
      <c r="S34" s="185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</row>
    <row r="35" ht="16.5" customHeight="1">
      <c r="A35" s="94"/>
      <c r="B35" s="97"/>
      <c r="C35" s="97"/>
      <c r="D35" s="97"/>
      <c r="E35" s="97"/>
      <c r="F35" s="97"/>
      <c r="G35" s="97"/>
      <c r="H35" s="97"/>
      <c r="I35" s="94"/>
      <c r="J35" s="123"/>
      <c r="K35" s="125"/>
      <c r="L35" s="125"/>
      <c r="M35" s="125"/>
      <c r="N35" s="125"/>
      <c r="O35" s="125"/>
      <c r="P35" s="125"/>
      <c r="Q35" s="128"/>
      <c r="R35" s="186"/>
      <c r="S35" s="186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</row>
    <row r="36" ht="16.5" customHeight="1">
      <c r="A36" s="94"/>
      <c r="B36" s="94"/>
      <c r="C36" s="94"/>
      <c r="D36" s="94"/>
      <c r="E36" s="94"/>
      <c r="F36" s="94"/>
      <c r="G36" s="94"/>
      <c r="H36" s="94"/>
      <c r="I36" s="94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</row>
    <row r="37" ht="16.5" customHeight="1">
      <c r="A37" s="94"/>
      <c r="B37" s="80" t="s">
        <v>179</v>
      </c>
      <c r="C37" s="49"/>
      <c r="D37" s="49"/>
      <c r="E37" s="49"/>
      <c r="F37" s="49"/>
      <c r="G37" s="31"/>
      <c r="H37" s="94"/>
      <c r="I37" s="94"/>
      <c r="J37" s="80"/>
      <c r="K37" s="49"/>
      <c r="L37" s="49"/>
      <c r="M37" s="49"/>
      <c r="N37" s="49"/>
      <c r="O37" s="49"/>
      <c r="P37" s="49"/>
      <c r="Q37" s="31"/>
      <c r="R37" s="187" t="s">
        <v>165</v>
      </c>
      <c r="S37" s="31"/>
      <c r="T37" s="94"/>
      <c r="U37" s="94"/>
      <c r="V37" s="73" t="s">
        <v>181</v>
      </c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31"/>
      <c r="AI37" s="80" t="s">
        <v>113</v>
      </c>
      <c r="AJ37" s="49"/>
      <c r="AK37" s="49"/>
      <c r="AL37" s="49"/>
      <c r="AM37" s="31"/>
      <c r="AN37" s="80" t="s">
        <v>139</v>
      </c>
      <c r="AO37" s="49"/>
      <c r="AP37" s="49"/>
      <c r="AQ37" s="49"/>
      <c r="AR37" s="49"/>
      <c r="AS37" s="31"/>
      <c r="AT37" s="94"/>
    </row>
    <row r="38" ht="16.5" customHeight="1">
      <c r="A38" s="94"/>
      <c r="B38" s="80" t="s">
        <v>182</v>
      </c>
      <c r="C38" s="49"/>
      <c r="D38" s="49"/>
      <c r="E38" s="49"/>
      <c r="F38" s="31"/>
      <c r="G38" s="179"/>
      <c r="H38" s="94"/>
      <c r="I38" s="94"/>
      <c r="J38" s="80" t="s">
        <v>183</v>
      </c>
      <c r="K38" s="49"/>
      <c r="L38" s="49"/>
      <c r="M38" s="49"/>
      <c r="N38" s="49"/>
      <c r="O38" s="49"/>
      <c r="P38" s="49"/>
      <c r="Q38" s="31"/>
      <c r="R38" s="89" t="s">
        <v>185</v>
      </c>
      <c r="S38" s="31"/>
      <c r="T38" s="94"/>
      <c r="U38" s="94"/>
      <c r="V38" s="89" t="s">
        <v>186</v>
      </c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31"/>
      <c r="AI38" s="89">
        <v>22.0</v>
      </c>
      <c r="AJ38" s="49"/>
      <c r="AK38" s="49"/>
      <c r="AL38" s="49"/>
      <c r="AM38" s="31"/>
      <c r="AN38" s="147">
        <f>AI38/R33</f>
        <v>1</v>
      </c>
      <c r="AO38" s="49"/>
      <c r="AP38" s="49"/>
      <c r="AQ38" s="49"/>
      <c r="AR38" s="49"/>
      <c r="AS38" s="31"/>
      <c r="AT38" s="94"/>
    </row>
    <row r="39" ht="16.5" customHeight="1">
      <c r="A39" s="94"/>
      <c r="B39" s="80" t="s">
        <v>188</v>
      </c>
      <c r="C39" s="49"/>
      <c r="D39" s="49"/>
      <c r="E39" s="49"/>
      <c r="F39" s="31"/>
      <c r="G39" s="179"/>
      <c r="H39" s="94"/>
      <c r="I39" s="94"/>
      <c r="J39" s="80" t="s">
        <v>189</v>
      </c>
      <c r="K39" s="49"/>
      <c r="L39" s="49"/>
      <c r="M39" s="49"/>
      <c r="N39" s="49"/>
      <c r="O39" s="49"/>
      <c r="P39" s="49"/>
      <c r="Q39" s="31"/>
      <c r="R39" s="89" t="s">
        <v>185</v>
      </c>
      <c r="S39" s="31"/>
      <c r="T39" s="94"/>
      <c r="U39" s="94"/>
      <c r="V39" s="89" t="s">
        <v>190</v>
      </c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31"/>
      <c r="AI39" s="89">
        <v>0.0</v>
      </c>
      <c r="AJ39" s="49"/>
      <c r="AK39" s="49"/>
      <c r="AL39" s="49"/>
      <c r="AM39" s="31"/>
      <c r="AN39" s="147">
        <f>AI39/R33</f>
        <v>0</v>
      </c>
      <c r="AO39" s="49"/>
      <c r="AP39" s="49"/>
      <c r="AQ39" s="49"/>
      <c r="AR39" s="49"/>
      <c r="AS39" s="31"/>
      <c r="AT39" s="94"/>
    </row>
    <row r="40" ht="16.5" customHeight="1">
      <c r="A40" s="94"/>
      <c r="B40" s="97"/>
      <c r="C40" s="97"/>
      <c r="D40" s="97"/>
      <c r="E40" s="97"/>
      <c r="F40" s="97"/>
      <c r="G40" s="97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89" t="s">
        <v>192</v>
      </c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31"/>
      <c r="AI40" s="89">
        <v>22.0</v>
      </c>
      <c r="AJ40" s="49"/>
      <c r="AK40" s="49"/>
      <c r="AL40" s="49"/>
      <c r="AM40" s="31"/>
      <c r="AN40" s="147">
        <f>AI40/R33</f>
        <v>1</v>
      </c>
      <c r="AO40" s="49"/>
      <c r="AP40" s="49"/>
      <c r="AQ40" s="49"/>
      <c r="AR40" s="49"/>
      <c r="AS40" s="31"/>
      <c r="AT40" s="94"/>
    </row>
    <row r="41" ht="16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89" t="s">
        <v>193</v>
      </c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31"/>
      <c r="AI41" s="89">
        <v>0.0</v>
      </c>
      <c r="AJ41" s="49"/>
      <c r="AK41" s="49"/>
      <c r="AL41" s="49"/>
      <c r="AM41" s="31"/>
      <c r="AN41" s="147">
        <f>AI41/R33</f>
        <v>0</v>
      </c>
      <c r="AO41" s="49"/>
      <c r="AP41" s="49"/>
      <c r="AQ41" s="49"/>
      <c r="AR41" s="49"/>
      <c r="AS41" s="31"/>
      <c r="AT41" s="94"/>
    </row>
    <row r="42" ht="16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8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31"/>
      <c r="AI42" s="89"/>
      <c r="AJ42" s="49"/>
      <c r="AK42" s="49"/>
      <c r="AL42" s="49"/>
      <c r="AM42" s="31"/>
      <c r="AN42" s="147"/>
      <c r="AO42" s="49"/>
      <c r="AP42" s="49"/>
      <c r="AQ42" s="49"/>
      <c r="AR42" s="49"/>
      <c r="AS42" s="31"/>
      <c r="AT42" s="94"/>
    </row>
    <row r="43" ht="16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</row>
    <row r="44" ht="16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</row>
    <row r="45" ht="16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</row>
    <row r="46" ht="16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</row>
    <row r="47" ht="16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190" t="s">
        <v>197</v>
      </c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</row>
    <row r="48" ht="16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</row>
    <row r="49" ht="16.5" customHeight="1">
      <c r="A49" s="94"/>
      <c r="B49" s="94"/>
      <c r="C49" s="190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</row>
    <row r="50" ht="16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</row>
    <row r="51" ht="16.5" customHeight="1">
      <c r="A51" s="94"/>
      <c r="B51" s="64" t="s">
        <v>67</v>
      </c>
      <c r="C51" s="49"/>
      <c r="D51" s="31"/>
      <c r="E51" s="67" t="str">
        <f>GradeSheet!$H$2</f>
        <v>0613-014-1202</v>
      </c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31"/>
      <c r="Q51" s="64" t="str">
        <f>CONCATENATE("Section ", GradeSheet!$K$2,)</f>
        <v>Section 2</v>
      </c>
      <c r="R51" s="49"/>
      <c r="S51" s="31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</row>
    <row r="52" ht="16.5" customHeight="1">
      <c r="A52" s="94"/>
      <c r="B52" s="76" t="s">
        <v>82</v>
      </c>
      <c r="C52" s="49"/>
      <c r="D52" s="31"/>
      <c r="E52" s="77" t="str">
        <f>GradeSheet!$H$3</f>
        <v>Structured Programming Lab</v>
      </c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31"/>
      <c r="Q52" s="76" t="str">
        <f>CONCATENATE(GradeSheet!$H$61," students")</f>
        <v>36 students</v>
      </c>
      <c r="R52" s="49"/>
      <c r="S52" s="31"/>
      <c r="T52" s="71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</row>
    <row r="53" ht="16.5" customHeight="1">
      <c r="A53" s="94"/>
      <c r="B53" s="82" t="s">
        <v>87</v>
      </c>
      <c r="C53" s="49"/>
      <c r="D53" s="31"/>
      <c r="E53" s="85">
        <f>GradeSheet!$H$4</f>
        <v>1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31"/>
      <c r="Q53" s="85" t="str">
        <f>GradeSheet!$K$3</f>
        <v>Spring 2026</v>
      </c>
      <c r="R53" s="49"/>
      <c r="S53" s="31"/>
      <c r="T53" s="71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</row>
    <row r="54" ht="16.5" customHeight="1">
      <c r="A54" s="94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</row>
    <row r="55" ht="16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</row>
    <row r="56" ht="16.5" customHeight="1">
      <c r="A56" s="94"/>
      <c r="B56" s="94"/>
      <c r="C56" s="94"/>
      <c r="D56" s="94"/>
      <c r="E56" s="94"/>
      <c r="F56" s="94"/>
      <c r="G56" s="94"/>
      <c r="H56" s="94"/>
      <c r="I56" s="94"/>
      <c r="J56" s="191"/>
      <c r="K56" s="191"/>
      <c r="L56" s="191"/>
      <c r="M56" s="191"/>
      <c r="N56" s="191"/>
      <c r="O56" s="191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</row>
    <row r="57" ht="16.5" customHeight="1">
      <c r="A57" s="94"/>
      <c r="B57" s="94"/>
      <c r="C57" s="94"/>
      <c r="D57" s="94"/>
      <c r="E57" s="138" t="s">
        <v>202</v>
      </c>
      <c r="F57" s="49"/>
      <c r="G57" s="49"/>
      <c r="H57" s="49"/>
      <c r="I57" s="49"/>
      <c r="J57" s="49"/>
      <c r="K57" s="49"/>
      <c r="L57" s="49"/>
      <c r="M57" s="31"/>
      <c r="N57" s="94"/>
      <c r="O57" s="191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</row>
    <row r="58" ht="16.5" customHeight="1">
      <c r="A58" s="94"/>
      <c r="B58" s="94"/>
      <c r="C58" s="94"/>
      <c r="D58" s="94"/>
      <c r="E58" s="192"/>
      <c r="F58" s="49"/>
      <c r="G58" s="31"/>
      <c r="H58" s="141" t="s">
        <v>61</v>
      </c>
      <c r="I58" s="141" t="s">
        <v>62</v>
      </c>
      <c r="J58" s="141" t="s">
        <v>63</v>
      </c>
      <c r="K58" s="141" t="s">
        <v>64</v>
      </c>
      <c r="L58" s="141" t="s">
        <v>65</v>
      </c>
      <c r="M58" s="141" t="s">
        <v>66</v>
      </c>
      <c r="N58" s="94"/>
      <c r="O58" s="193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</row>
    <row r="59" ht="16.5" customHeight="1">
      <c r="A59" s="94"/>
      <c r="B59" s="94"/>
      <c r="C59" s="94"/>
      <c r="D59" s="94"/>
      <c r="E59" s="194" t="s">
        <v>204</v>
      </c>
      <c r="F59" s="49"/>
      <c r="G59" s="31"/>
      <c r="H59" s="195">
        <f>CO_PO_AttainmentAnalysis!$AN$58</f>
        <v>29</v>
      </c>
      <c r="I59" s="195">
        <f>CO_PO_AttainmentAnalysis!$AO$58</f>
        <v>28</v>
      </c>
      <c r="J59" s="195">
        <f>CO_PO_AttainmentAnalysis!$AP$58</f>
        <v>0</v>
      </c>
      <c r="K59" s="195">
        <f>CO_PO_AttainmentAnalysis!$AQ$58</f>
        <v>0</v>
      </c>
      <c r="L59" s="195">
        <f>CO_PO_AttainmentAnalysis!$AR$58</f>
        <v>0</v>
      </c>
      <c r="M59" s="195">
        <f>CO_PO_AttainmentAnalysis!$AS$58</f>
        <v>0</v>
      </c>
      <c r="N59" s="94"/>
      <c r="O59" s="196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</row>
    <row r="60" ht="16.5" customHeight="1">
      <c r="A60" s="94"/>
      <c r="B60" s="94"/>
      <c r="C60" s="94"/>
      <c r="D60" s="94"/>
      <c r="E60" s="194" t="s">
        <v>206</v>
      </c>
      <c r="F60" s="49"/>
      <c r="G60" s="31"/>
      <c r="H60" s="159">
        <f>CO_PO_AttainmentAnalysis!$AH$58</f>
        <v>0.787037037</v>
      </c>
      <c r="I60" s="159">
        <f>CO_PO_AttainmentAnalysis!$AI$58</f>
        <v>0.6388888889</v>
      </c>
      <c r="J60" s="159">
        <f>CO_PO_AttainmentAnalysis!$AJ$58</f>
        <v>0</v>
      </c>
      <c r="K60" s="159"/>
      <c r="L60" s="159"/>
      <c r="M60" s="159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</row>
    <row r="61" ht="16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</row>
    <row r="62" ht="16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</row>
    <row r="63" ht="16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</row>
    <row r="64" ht="16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</row>
    <row r="65" ht="16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</row>
    <row r="66" ht="16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</row>
    <row r="67" ht="16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</row>
    <row r="68" ht="16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</row>
    <row r="69" ht="16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</row>
    <row r="70" ht="16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</row>
    <row r="71" ht="16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</row>
    <row r="72" ht="16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</row>
    <row r="73" ht="16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</row>
    <row r="74" ht="16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</row>
    <row r="75" ht="16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</row>
    <row r="76" ht="16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</row>
    <row r="77" ht="16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</row>
    <row r="78" ht="16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</row>
    <row r="79" ht="16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</row>
    <row r="80" ht="16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</row>
    <row r="81" ht="16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</row>
    <row r="82" ht="16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</row>
    <row r="83" ht="16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</row>
    <row r="84" ht="16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</row>
    <row r="85" ht="16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</row>
    <row r="86" ht="16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</row>
    <row r="87" ht="16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</row>
    <row r="88" ht="16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</row>
    <row r="89" ht="16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</row>
    <row r="90" ht="16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</row>
    <row r="91" ht="16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</row>
    <row r="92" ht="16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</row>
    <row r="93" ht="16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</row>
    <row r="94" ht="16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</row>
    <row r="95" ht="16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</row>
    <row r="96" ht="16.5" customHeight="1">
      <c r="A96" s="94"/>
      <c r="B96" s="94"/>
      <c r="C96" s="190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</row>
    <row r="97" ht="16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</row>
    <row r="98" ht="16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</row>
    <row r="99" ht="16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</row>
    <row r="100" ht="16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</row>
    <row r="101" ht="16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</row>
    <row r="102" ht="16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</row>
    <row r="103" ht="16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</row>
    <row r="104" ht="16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</row>
    <row r="105" ht="16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</row>
    <row r="106" ht="16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</row>
    <row r="107" ht="16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</row>
    <row r="108" ht="16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</row>
    <row r="109" ht="16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</row>
    <row r="110" ht="16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</row>
    <row r="111" ht="16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</row>
    <row r="112" ht="16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</row>
    <row r="113" ht="16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</row>
    <row r="114" ht="16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</row>
    <row r="115" ht="16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</row>
    <row r="116" ht="16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</row>
    <row r="117" ht="16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</row>
    <row r="118" ht="16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</row>
    <row r="119" ht="16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</row>
    <row r="120" ht="16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</row>
    <row r="121" ht="16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</row>
    <row r="122" ht="16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</row>
    <row r="123" ht="16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</row>
    <row r="124" ht="16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</row>
    <row r="125" ht="16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</row>
    <row r="126" ht="16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</row>
    <row r="127" ht="16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</row>
    <row r="128" ht="16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</row>
    <row r="129" ht="16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</row>
    <row r="130" ht="16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</row>
    <row r="131" ht="16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</row>
    <row r="132" ht="16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</row>
    <row r="133" ht="16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</row>
    <row r="134" ht="16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</row>
    <row r="135" ht="16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</row>
    <row r="136" ht="16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</row>
    <row r="137" ht="16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</row>
    <row r="138" ht="16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</row>
    <row r="139" ht="16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</row>
    <row r="140" ht="16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</row>
    <row r="141" ht="16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</row>
    <row r="142" ht="16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</row>
    <row r="143" ht="16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</row>
    <row r="144" ht="16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</row>
    <row r="145" ht="16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</row>
    <row r="146" ht="16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</row>
    <row r="147" ht="16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</row>
    <row r="148" ht="16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</row>
    <row r="149" ht="16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</row>
    <row r="150" ht="16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</row>
    <row r="151" ht="16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</row>
    <row r="152" ht="16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</row>
    <row r="153" ht="16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</row>
    <row r="154" ht="16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</row>
    <row r="155" ht="16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</row>
    <row r="156" ht="16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</row>
    <row r="157" ht="16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</row>
    <row r="158" ht="16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</row>
    <row r="159" ht="16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</row>
    <row r="160" ht="16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</row>
    <row r="161" ht="16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</row>
    <row r="162" ht="16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</row>
    <row r="163" ht="16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</row>
    <row r="164" ht="16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</row>
    <row r="165" ht="16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</row>
    <row r="166" ht="16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</row>
    <row r="167" ht="16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</row>
    <row r="168" ht="16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</row>
    <row r="169" ht="16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</row>
    <row r="170" ht="16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</row>
    <row r="171" ht="16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</row>
    <row r="172" ht="16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</row>
    <row r="173" ht="16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</row>
    <row r="174" ht="16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</row>
    <row r="175" ht="16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</row>
    <row r="176" ht="16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</row>
    <row r="177" ht="16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</row>
    <row r="178" ht="16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</row>
    <row r="179" ht="16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</row>
    <row r="180" ht="16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</row>
    <row r="181" ht="16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</row>
    <row r="182" ht="16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</row>
    <row r="183" ht="16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</row>
    <row r="184" ht="16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</row>
    <row r="185" ht="16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</row>
    <row r="186" ht="16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</row>
    <row r="187" ht="16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</row>
    <row r="188" ht="16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</row>
    <row r="189" ht="16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</row>
    <row r="190" ht="16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</row>
    <row r="191" ht="16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</row>
    <row r="192" ht="16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</row>
    <row r="193" ht="16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</row>
    <row r="194" ht="16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</row>
    <row r="195" ht="16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</row>
    <row r="196" ht="16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  <c r="AT196" s="94"/>
    </row>
    <row r="197" ht="16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</row>
    <row r="198" ht="16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  <c r="AT198" s="94"/>
    </row>
    <row r="199" ht="16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/>
    </row>
    <row r="200" ht="16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  <c r="AT200" s="94"/>
    </row>
    <row r="201" ht="16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</row>
    <row r="202" ht="16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  <c r="AT202" s="94"/>
    </row>
    <row r="203" ht="16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  <c r="AT203" s="94"/>
    </row>
    <row r="204" ht="16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</row>
    <row r="205" ht="16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</row>
    <row r="206" ht="16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  <c r="AT206" s="94"/>
    </row>
    <row r="207" ht="16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</row>
    <row r="208" ht="16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  <c r="AT208" s="94"/>
    </row>
    <row r="209" ht="16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</row>
    <row r="210" ht="16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  <c r="AT210" s="94"/>
    </row>
    <row r="211" ht="16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  <c r="AT211" s="94"/>
    </row>
    <row r="212" ht="16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  <c r="AT212" s="94"/>
    </row>
    <row r="213" ht="16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</row>
    <row r="214" ht="16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</row>
    <row r="215" ht="16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</row>
    <row r="216" ht="16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</row>
    <row r="217" ht="16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</row>
    <row r="218" ht="16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</row>
    <row r="219" ht="16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</row>
    <row r="220" ht="16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</row>
    <row r="221" ht="16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</row>
    <row r="222" ht="16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</row>
    <row r="223" ht="16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  <c r="AT223" s="94"/>
    </row>
    <row r="224" ht="16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  <c r="AS224" s="94"/>
      <c r="AT224" s="94"/>
    </row>
    <row r="225" ht="16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  <c r="AT225" s="94"/>
    </row>
    <row r="226" ht="16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  <c r="AS226" s="94"/>
      <c r="AT226" s="94"/>
    </row>
    <row r="227" ht="16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  <c r="AS227" s="94"/>
      <c r="AT227" s="94"/>
    </row>
    <row r="228" ht="16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  <c r="AT228" s="94"/>
    </row>
    <row r="229" ht="16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</row>
    <row r="230" ht="16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  <c r="AS230" s="94"/>
      <c r="AT230" s="94"/>
    </row>
    <row r="231" ht="16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  <c r="AT231" s="94"/>
    </row>
    <row r="232" ht="16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  <c r="AS232" s="94"/>
      <c r="AT232" s="94"/>
    </row>
    <row r="233" ht="16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  <c r="AT233" s="94"/>
    </row>
    <row r="234" ht="16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</row>
    <row r="235" ht="16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  <c r="AT235" s="94"/>
    </row>
    <row r="236" ht="16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</row>
    <row r="237" ht="16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  <c r="AT237" s="94"/>
    </row>
    <row r="238" ht="16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</row>
    <row r="239" ht="16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  <c r="AT239" s="94"/>
    </row>
    <row r="240" ht="16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  <c r="AS240" s="94"/>
      <c r="AT240" s="94"/>
    </row>
    <row r="241" ht="16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  <c r="AT241" s="94"/>
    </row>
    <row r="242" ht="16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</row>
    <row r="243" ht="16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</row>
    <row r="244" ht="16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</row>
    <row r="245" ht="16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</row>
    <row r="246" ht="16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</row>
    <row r="247" ht="16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</row>
    <row r="248" ht="16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</row>
    <row r="249" ht="16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</row>
    <row r="250" ht="16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</row>
    <row r="251" ht="16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</row>
    <row r="252" ht="16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</row>
    <row r="253" ht="16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</row>
    <row r="254" ht="16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</row>
    <row r="255" ht="16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</row>
    <row r="256" ht="16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</row>
    <row r="257" ht="16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</row>
    <row r="258" ht="16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</row>
    <row r="259" ht="16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</row>
    <row r="260" ht="16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V3:AH3"/>
    <mergeCell ref="AI3:AP3"/>
    <mergeCell ref="B2:D2"/>
    <mergeCell ref="E2:P2"/>
    <mergeCell ref="Q2:S2"/>
    <mergeCell ref="V2:AP2"/>
    <mergeCell ref="B3:D3"/>
    <mergeCell ref="E3:P3"/>
    <mergeCell ref="Q3:S3"/>
    <mergeCell ref="B4:D4"/>
    <mergeCell ref="E4:P4"/>
    <mergeCell ref="Q4:S4"/>
    <mergeCell ref="V4:AH4"/>
    <mergeCell ref="AI4:AP4"/>
    <mergeCell ref="V5:AH5"/>
    <mergeCell ref="AI5:AP5"/>
    <mergeCell ref="V6:AH6"/>
    <mergeCell ref="AI6:AP6"/>
    <mergeCell ref="V7:AH7"/>
    <mergeCell ref="AI7:AP7"/>
    <mergeCell ref="V8:AH8"/>
    <mergeCell ref="AI8:AP8"/>
    <mergeCell ref="AI9:AP9"/>
    <mergeCell ref="V9:AH9"/>
    <mergeCell ref="V10:AH10"/>
    <mergeCell ref="AI10:AP10"/>
    <mergeCell ref="V11:AH11"/>
    <mergeCell ref="AI11:AP11"/>
    <mergeCell ref="V12:AH12"/>
    <mergeCell ref="AI12:AP12"/>
    <mergeCell ref="V14:AP14"/>
    <mergeCell ref="X15:Z15"/>
    <mergeCell ref="AA15:AB15"/>
    <mergeCell ref="AE15:AG15"/>
    <mergeCell ref="AH15:AJ15"/>
    <mergeCell ref="AN15:AO15"/>
    <mergeCell ref="V16:AP16"/>
    <mergeCell ref="V17:AS19"/>
    <mergeCell ref="V21:AS21"/>
    <mergeCell ref="B22:O22"/>
    <mergeCell ref="V22:AH22"/>
    <mergeCell ref="AI22:AM22"/>
    <mergeCell ref="AN22:AS22"/>
    <mergeCell ref="N23:O23"/>
    <mergeCell ref="AN23:AS23"/>
    <mergeCell ref="AI37:AM37"/>
    <mergeCell ref="AN37:AS37"/>
    <mergeCell ref="AN38:AS38"/>
    <mergeCell ref="AN40:AS40"/>
    <mergeCell ref="AN41:AS41"/>
    <mergeCell ref="B39:F39"/>
    <mergeCell ref="J39:Q39"/>
    <mergeCell ref="R39:S39"/>
    <mergeCell ref="V39:AH39"/>
    <mergeCell ref="AI39:AM39"/>
    <mergeCell ref="AN39:AS39"/>
    <mergeCell ref="J33:Q35"/>
    <mergeCell ref="R33:R35"/>
    <mergeCell ref="S33:S35"/>
    <mergeCell ref="B37:G37"/>
    <mergeCell ref="R37:S37"/>
    <mergeCell ref="B38:F38"/>
    <mergeCell ref="R38:S38"/>
    <mergeCell ref="V42:AH42"/>
    <mergeCell ref="AI42:AM42"/>
    <mergeCell ref="AN42:AS42"/>
    <mergeCell ref="V37:AH37"/>
    <mergeCell ref="V38:AH38"/>
    <mergeCell ref="AI38:AM38"/>
    <mergeCell ref="V40:AH40"/>
    <mergeCell ref="AI40:AM40"/>
    <mergeCell ref="V41:AH41"/>
    <mergeCell ref="AI41:AM41"/>
    <mergeCell ref="B52:D52"/>
    <mergeCell ref="B53:D53"/>
    <mergeCell ref="E53:P53"/>
    <mergeCell ref="Q53:S53"/>
    <mergeCell ref="E57:M57"/>
    <mergeCell ref="E58:G58"/>
    <mergeCell ref="E59:G59"/>
    <mergeCell ref="E60:G60"/>
    <mergeCell ref="J37:Q37"/>
    <mergeCell ref="J38:Q38"/>
    <mergeCell ref="B51:D51"/>
    <mergeCell ref="E51:P51"/>
    <mergeCell ref="Q51:S51"/>
    <mergeCell ref="E52:P52"/>
    <mergeCell ref="Q52:S52"/>
    <mergeCell ref="V23:AH23"/>
    <mergeCell ref="AI23:AM23"/>
    <mergeCell ref="N24:O24"/>
    <mergeCell ref="V24:AH24"/>
    <mergeCell ref="AI24:AM24"/>
    <mergeCell ref="AN24:AS24"/>
    <mergeCell ref="N25:O25"/>
    <mergeCell ref="AN25:AS25"/>
    <mergeCell ref="V25:AH25"/>
    <mergeCell ref="AI25:AM25"/>
    <mergeCell ref="V26:AH26"/>
    <mergeCell ref="AI26:AM26"/>
    <mergeCell ref="AN26:AS26"/>
    <mergeCell ref="AI27:AM27"/>
    <mergeCell ref="AN27:AS27"/>
    <mergeCell ref="AI29:AM29"/>
    <mergeCell ref="AN29:AS29"/>
    <mergeCell ref="V27:AH27"/>
    <mergeCell ref="V28:AH28"/>
    <mergeCell ref="AI28:AM28"/>
    <mergeCell ref="AN28:AS28"/>
    <mergeCell ref="B29:F29"/>
    <mergeCell ref="V29:AH29"/>
    <mergeCell ref="B30:F30"/>
    <mergeCell ref="AN30:AS30"/>
    <mergeCell ref="J29:Q29"/>
    <mergeCell ref="J30:Q30"/>
    <mergeCell ref="B31:F31"/>
    <mergeCell ref="J31:Q31"/>
    <mergeCell ref="B32:F32"/>
    <mergeCell ref="J32:Q32"/>
    <mergeCell ref="B33:F33"/>
    <mergeCell ref="V32:AH32"/>
    <mergeCell ref="V33:AH33"/>
    <mergeCell ref="AI33:AM33"/>
    <mergeCell ref="AN33:AS33"/>
    <mergeCell ref="V30:AH30"/>
    <mergeCell ref="AI30:AM30"/>
    <mergeCell ref="V31:AH31"/>
    <mergeCell ref="AI31:AM31"/>
    <mergeCell ref="AN31:AS31"/>
    <mergeCell ref="AI32:AM32"/>
    <mergeCell ref="AN32:AS32"/>
  </mergeCells>
  <printOptions/>
  <pageMargins bottom="0.75" footer="0.0" header="0.0" left="0.45" right="0.45" top="0.75"/>
  <pageSetup fitToHeight="0" paperSize="9" orientation="portrait"/>
  <headerFooter>
    <oddHeader>&amp;LDepartment of CSE,ULAB&amp;CCourse Summary&amp;RAC018(00)</oddHeader>
    <oddFooter>&amp;LGenerated on &amp;D &amp;T&amp;RAC018(00)Page 1 of 1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32.0"/>
    <col customWidth="1" min="3" max="3" width="22.86"/>
    <col customWidth="1" min="4" max="4" width="16.86"/>
    <col customWidth="1" min="5" max="24" width="9.14"/>
  </cols>
  <sheetData>
    <row r="1" ht="35.25" customHeight="1">
      <c r="A1" s="197" t="s">
        <v>212</v>
      </c>
      <c r="B1" s="22"/>
      <c r="C1" s="22"/>
      <c r="D1" s="23"/>
      <c r="E1" s="198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</row>
    <row r="2">
      <c r="A2" s="200" t="s">
        <v>67</v>
      </c>
      <c r="B2" s="201" t="str">
        <f>GradeSheet!$H$2</f>
        <v>0613-014-1202</v>
      </c>
      <c r="C2" s="202" t="s">
        <v>70</v>
      </c>
      <c r="D2" s="203">
        <f>GradeSheet!$K$2</f>
        <v>2</v>
      </c>
      <c r="E2" s="204"/>
      <c r="F2" s="205"/>
      <c r="G2" s="205"/>
      <c r="H2" s="205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</row>
    <row r="3" ht="16.5" customHeight="1">
      <c r="A3" s="200" t="s">
        <v>82</v>
      </c>
      <c r="B3" s="201" t="str">
        <f>GradeSheet!$H$3</f>
        <v>Structured Programming Lab</v>
      </c>
      <c r="C3" s="206" t="s">
        <v>84</v>
      </c>
      <c r="D3" s="203" t="str">
        <f>GradeSheet!$K$3</f>
        <v>Spring 2026</v>
      </c>
      <c r="E3" s="207"/>
      <c r="F3" s="205"/>
      <c r="G3" s="205"/>
      <c r="H3" s="205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</row>
    <row r="4">
      <c r="A4" s="200" t="s">
        <v>87</v>
      </c>
      <c r="B4" s="201">
        <f>GradeSheet!$H$4</f>
        <v>1</v>
      </c>
      <c r="C4" s="208" t="s">
        <v>204</v>
      </c>
      <c r="D4" s="209">
        <f>GradeSheet!$H$61</f>
        <v>36</v>
      </c>
      <c r="E4" s="207"/>
      <c r="F4" s="205"/>
      <c r="G4" s="205"/>
      <c r="H4" s="205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</row>
    <row r="5">
      <c r="A5" s="198"/>
      <c r="B5" s="198"/>
      <c r="C5" s="198"/>
      <c r="D5" s="198"/>
      <c r="E5" s="207"/>
      <c r="F5" s="205"/>
      <c r="G5" s="205"/>
      <c r="H5" s="205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</row>
    <row r="6">
      <c r="A6" s="210" t="s">
        <v>214</v>
      </c>
      <c r="B6" s="211"/>
      <c r="C6" s="212" t="s">
        <v>215</v>
      </c>
      <c r="D6" s="213" t="s">
        <v>131</v>
      </c>
      <c r="E6" s="207"/>
      <c r="F6" s="205"/>
      <c r="G6" s="205"/>
      <c r="H6" s="205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</row>
    <row r="7">
      <c r="A7" s="214" t="s">
        <v>61</v>
      </c>
      <c r="B7" s="215"/>
      <c r="C7" s="216" t="s">
        <v>216</v>
      </c>
      <c r="D7" s="218">
        <f>CO_PO_AttainmentAnalysis!$AN$58/GradeSheet!$H$61</f>
        <v>0.8055555556</v>
      </c>
      <c r="E7" s="21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</row>
    <row r="8">
      <c r="A8" s="210" t="s">
        <v>62</v>
      </c>
      <c r="B8" s="22"/>
      <c r="C8" s="222"/>
      <c r="D8" s="218">
        <f>CO_PO_AttainmentAnalysis!$AO$58/GradeSheet!$H$61</f>
        <v>0.7777777778</v>
      </c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</row>
    <row r="9">
      <c r="A9" s="214" t="s">
        <v>63</v>
      </c>
      <c r="B9" s="215"/>
      <c r="C9" s="222"/>
      <c r="D9" s="218">
        <f>CO_PO_AttainmentAnalysis!$AP$58/GradeSheet!$H$61</f>
        <v>0</v>
      </c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</row>
    <row r="10">
      <c r="A10" s="214" t="s">
        <v>64</v>
      </c>
      <c r="B10" s="215"/>
      <c r="C10" s="222"/>
      <c r="D10" s="218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</row>
    <row r="11">
      <c r="A11" s="214" t="s">
        <v>65</v>
      </c>
      <c r="B11" s="215"/>
      <c r="C11" s="222"/>
      <c r="D11" s="218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</row>
    <row r="12" ht="15.0" customHeight="1">
      <c r="A12" s="214" t="s">
        <v>66</v>
      </c>
      <c r="B12" s="215"/>
      <c r="C12" s="228"/>
      <c r="D12" s="218"/>
      <c r="E12" s="204"/>
      <c r="F12" s="205"/>
      <c r="G12" s="205"/>
      <c r="H12" s="205"/>
      <c r="I12" s="22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</row>
    <row r="13" ht="16.5" customHeight="1">
      <c r="A13" s="198"/>
      <c r="B13" s="198"/>
      <c r="C13" s="198"/>
      <c r="D13" s="198"/>
      <c r="E13" s="230"/>
      <c r="F13" s="230"/>
      <c r="G13" s="230"/>
      <c r="H13" s="230"/>
      <c r="I13" s="230"/>
      <c r="J13" s="230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</row>
    <row r="14" ht="27.0" customHeight="1">
      <c r="A14" s="231" t="s">
        <v>222</v>
      </c>
      <c r="B14" s="125"/>
      <c r="C14" s="125"/>
      <c r="D14" s="125"/>
      <c r="E14" s="230"/>
      <c r="F14" s="230"/>
      <c r="G14" s="230"/>
      <c r="H14" s="230"/>
      <c r="I14" s="230"/>
      <c r="J14" s="230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</row>
    <row r="15" ht="16.5" customHeight="1">
      <c r="A15" s="232"/>
      <c r="B15" s="49"/>
      <c r="C15" s="49"/>
      <c r="D15" s="31"/>
      <c r="E15" s="230"/>
      <c r="F15" s="230"/>
      <c r="G15" s="230"/>
      <c r="H15" s="230"/>
      <c r="I15" s="230"/>
      <c r="J15" s="230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</row>
    <row r="16" ht="16.5" customHeight="1">
      <c r="A16" s="233" t="s">
        <v>223</v>
      </c>
      <c r="B16" s="49"/>
      <c r="C16" s="49"/>
      <c r="D16" s="31"/>
      <c r="E16" s="230"/>
      <c r="F16" s="230"/>
      <c r="G16" s="230"/>
      <c r="H16" s="230"/>
      <c r="I16" s="230"/>
      <c r="J16" s="230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</row>
    <row r="17">
      <c r="A17" s="234" t="s">
        <v>224</v>
      </c>
      <c r="B17" s="49"/>
      <c r="C17" s="49"/>
      <c r="D17" s="31"/>
      <c r="E17" s="235"/>
      <c r="F17" s="205"/>
      <c r="G17" s="205"/>
      <c r="H17" s="205"/>
      <c r="I17" s="22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</row>
    <row r="18">
      <c r="A18" s="234"/>
      <c r="B18" s="49"/>
      <c r="C18" s="49"/>
      <c r="D18" s="31"/>
      <c r="E18" s="235"/>
      <c r="F18" s="205"/>
      <c r="G18" s="205"/>
      <c r="H18" s="205"/>
      <c r="I18" s="22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</row>
    <row r="19">
      <c r="A19" s="236"/>
      <c r="B19" s="237"/>
      <c r="C19" s="237"/>
      <c r="D19" s="238"/>
      <c r="E19" s="239"/>
      <c r="F19" s="205"/>
      <c r="G19" s="205"/>
      <c r="H19" s="205"/>
      <c r="I19" s="22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</row>
    <row r="20">
      <c r="A20" s="234"/>
      <c r="B20" s="49"/>
      <c r="C20" s="49"/>
      <c r="D20" s="31"/>
      <c r="E20" s="230"/>
      <c r="F20" s="230"/>
      <c r="G20" s="230"/>
      <c r="H20" s="230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</row>
    <row r="21" ht="16.5" customHeight="1">
      <c r="A21" s="236"/>
      <c r="B21" s="237"/>
      <c r="C21" s="237"/>
      <c r="D21" s="238"/>
      <c r="E21" s="235"/>
      <c r="F21" s="205"/>
      <c r="G21" s="205"/>
      <c r="H21" s="205"/>
      <c r="I21" s="22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</row>
    <row r="22" ht="16.5" customHeight="1">
      <c r="A22" s="234"/>
      <c r="B22" s="49"/>
      <c r="C22" s="49"/>
      <c r="D22" s="31"/>
      <c r="E22" s="235"/>
      <c r="F22" s="205"/>
      <c r="G22" s="205"/>
      <c r="H22" s="205"/>
      <c r="I22" s="22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</row>
    <row r="23" ht="15.75" customHeight="1">
      <c r="A23" s="241"/>
      <c r="B23" s="49"/>
      <c r="C23" s="49"/>
      <c r="D23" s="31"/>
      <c r="E23" s="239"/>
      <c r="F23" s="205"/>
      <c r="G23" s="205"/>
      <c r="H23" s="205"/>
      <c r="I23" s="22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</row>
    <row r="24" ht="15.75" customHeight="1">
      <c r="A24" s="241"/>
      <c r="B24" s="49"/>
      <c r="C24" s="49"/>
      <c r="D24" s="31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</row>
    <row r="25" ht="15.75" customHeight="1">
      <c r="A25" s="241"/>
      <c r="B25" s="49"/>
      <c r="C25" s="49"/>
      <c r="D25" s="31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</row>
    <row r="26" ht="15.75" customHeight="1">
      <c r="A26" s="199"/>
      <c r="B26" s="199"/>
      <c r="C26" s="199"/>
      <c r="D26" s="242" t="s">
        <v>227</v>
      </c>
      <c r="E26" s="205"/>
      <c r="F26" s="205"/>
      <c r="G26" s="205"/>
      <c r="H26" s="205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</row>
    <row r="27" ht="15.75" customHeight="1">
      <c r="A27" s="199"/>
      <c r="B27" s="199"/>
      <c r="C27" s="199"/>
      <c r="D27" s="242"/>
      <c r="E27" s="205"/>
      <c r="F27" s="205"/>
      <c r="G27" s="205"/>
      <c r="H27" s="205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</row>
    <row r="28" ht="15.75" customHeight="1">
      <c r="A28" s="199"/>
      <c r="B28" s="199"/>
      <c r="C28" s="199"/>
      <c r="D28" s="242"/>
      <c r="E28" s="205"/>
      <c r="F28" s="243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</row>
    <row r="29" ht="15.75" customHeight="1">
      <c r="A29" s="199"/>
      <c r="B29" s="199"/>
      <c r="C29" s="199"/>
      <c r="D29" s="242"/>
      <c r="E29" s="205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</row>
    <row r="30" ht="15.75" customHeight="1">
      <c r="A30" s="199"/>
      <c r="B30" s="199"/>
      <c r="C30" s="199"/>
      <c r="D30" s="242"/>
      <c r="E30" s="205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</row>
    <row r="31" ht="15.75" customHeight="1">
      <c r="A31" s="199"/>
      <c r="B31" s="199"/>
      <c r="C31" s="199"/>
      <c r="D31" s="242"/>
      <c r="E31" s="205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</row>
    <row r="32" ht="15.75" customHeight="1">
      <c r="A32" s="199"/>
      <c r="B32" s="199"/>
      <c r="C32" s="199"/>
      <c r="D32" s="199"/>
      <c r="E32" s="205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</row>
    <row r="33" ht="15.75" customHeight="1">
      <c r="A33" s="244" t="s">
        <v>228</v>
      </c>
      <c r="B33" s="245"/>
      <c r="C33" s="199"/>
      <c r="D33" s="199"/>
      <c r="E33" s="205"/>
      <c r="F33" s="205"/>
      <c r="G33" s="205"/>
      <c r="H33" s="205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</row>
    <row r="34" ht="15.75" customHeight="1">
      <c r="A34" s="244" t="s">
        <v>229</v>
      </c>
      <c r="B34" s="247" t="str">
        <f>GradeSheet!$H$5</f>
        <v>Suravi Akhter</v>
      </c>
      <c r="C34" s="199"/>
      <c r="D34" s="199"/>
      <c r="E34" s="205"/>
      <c r="F34" s="205"/>
      <c r="G34" s="205"/>
      <c r="H34" s="205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</row>
    <row r="35" ht="15.75" customHeight="1">
      <c r="A35" s="244" t="s">
        <v>230</v>
      </c>
      <c r="B35" s="248">
        <f>TODAY()</f>
        <v>46233</v>
      </c>
      <c r="C35" s="199"/>
      <c r="D35" s="199"/>
      <c r="E35" s="205"/>
      <c r="F35" s="205"/>
      <c r="G35" s="205"/>
      <c r="H35" s="205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</row>
    <row r="36" ht="15.75" customHeight="1">
      <c r="A36" s="244"/>
      <c r="B36" s="248"/>
      <c r="C36" s="199"/>
      <c r="D36" s="199"/>
      <c r="E36" s="205"/>
      <c r="F36" s="205"/>
      <c r="G36" s="205"/>
      <c r="H36" s="205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</row>
    <row r="37" ht="15.75" customHeight="1">
      <c r="A37" s="249"/>
      <c r="B37" s="250"/>
      <c r="C37" s="199"/>
      <c r="D37" s="199"/>
      <c r="E37" s="205"/>
      <c r="F37" s="205"/>
      <c r="G37" s="205"/>
      <c r="H37" s="205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</row>
    <row r="38" ht="15.75" customHeight="1">
      <c r="A38" s="199"/>
      <c r="B38" s="199"/>
      <c r="C38" s="199"/>
      <c r="D38" s="199"/>
      <c r="E38" s="205"/>
      <c r="F38" s="205"/>
      <c r="G38" s="205"/>
      <c r="H38" s="205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</row>
    <row r="39" ht="15.75" customHeight="1">
      <c r="A39" s="199"/>
      <c r="B39" s="199"/>
      <c r="C39" s="199"/>
      <c r="D39" s="199"/>
      <c r="E39" s="205"/>
      <c r="F39" s="205"/>
      <c r="G39" s="205"/>
      <c r="H39" s="205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</row>
    <row r="40" ht="15.75" customHeight="1">
      <c r="A40" s="199"/>
      <c r="B40" s="199"/>
      <c r="C40" s="199"/>
      <c r="D40" s="199"/>
      <c r="E40" s="205"/>
      <c r="F40" s="205"/>
      <c r="G40" s="205"/>
      <c r="H40" s="205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</row>
    <row r="41" ht="15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</row>
    <row r="42" ht="15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</row>
    <row r="43" ht="15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</row>
    <row r="44" ht="15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</row>
    <row r="45" ht="15.75" customHeight="1">
      <c r="A45" s="199"/>
      <c r="B45" s="199"/>
      <c r="C45" s="253" t="s">
        <v>232</v>
      </c>
      <c r="D45" s="5"/>
      <c r="E45" s="5"/>
      <c r="F45" s="5"/>
      <c r="G45" s="199"/>
      <c r="H45" s="199"/>
      <c r="I45" s="199"/>
      <c r="J45" s="199"/>
      <c r="K45" s="199"/>
      <c r="L45" s="253" t="s">
        <v>234</v>
      </c>
      <c r="M45" s="253"/>
      <c r="N45" s="253"/>
      <c r="O45" s="199"/>
      <c r="P45" s="199"/>
      <c r="Q45" s="199"/>
      <c r="R45" s="199"/>
      <c r="S45" s="199"/>
      <c r="T45" s="199"/>
      <c r="U45" s="199"/>
      <c r="V45" s="199"/>
      <c r="W45" s="199"/>
      <c r="X45" s="199"/>
    </row>
    <row r="46" ht="15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</row>
    <row r="47" ht="15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</row>
    <row r="48" ht="15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</row>
    <row r="49" ht="15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</row>
    <row r="50" ht="15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</row>
    <row r="51" ht="15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</row>
    <row r="52" ht="15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</row>
    <row r="53" ht="15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</row>
    <row r="54" ht="15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</row>
    <row r="55" ht="15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</row>
    <row r="56" ht="15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</row>
    <row r="57" ht="15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</row>
    <row r="58" ht="15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</row>
    <row r="59" ht="15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</row>
    <row r="60" ht="15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</row>
    <row r="61" ht="15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</row>
    <row r="62" ht="15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</row>
    <row r="63" ht="15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</row>
    <row r="64" ht="15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</row>
    <row r="65" ht="15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</row>
    <row r="66" ht="15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</row>
    <row r="67" ht="15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</row>
    <row r="68" ht="15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</row>
    <row r="69" ht="15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</row>
    <row r="70" ht="15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</row>
    <row r="71" ht="15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</row>
    <row r="72" ht="15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</row>
    <row r="73" ht="15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</row>
    <row r="74" ht="15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</row>
    <row r="75" ht="15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</row>
    <row r="76" ht="15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</row>
    <row r="77" ht="15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</row>
    <row r="78" ht="15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</row>
    <row r="79" ht="15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</row>
    <row r="80" ht="15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</row>
    <row r="81" ht="15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</row>
    <row r="82" ht="15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</row>
    <row r="83" ht="15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</row>
    <row r="84" ht="15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</row>
    <row r="85" ht="15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</row>
    <row r="86" ht="15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</row>
    <row r="87" ht="15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</row>
    <row r="88" ht="15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</row>
    <row r="89" ht="15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</row>
    <row r="90" ht="15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</row>
    <row r="91" ht="15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</row>
    <row r="92" ht="15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</row>
    <row r="93" ht="15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</row>
    <row r="94" ht="15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</row>
    <row r="95" ht="15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</row>
    <row r="96" ht="15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</row>
    <row r="97" ht="15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</row>
    <row r="98" ht="15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</row>
    <row r="99" ht="15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</row>
    <row r="100" ht="15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</row>
    <row r="101" ht="15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</row>
    <row r="102" ht="15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</row>
    <row r="103" ht="15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</row>
    <row r="104" ht="15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</row>
    <row r="105" ht="15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</row>
    <row r="106" ht="15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</row>
    <row r="107" ht="15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</row>
    <row r="108" ht="15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</row>
    <row r="109" ht="15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</row>
    <row r="110" ht="15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</row>
    <row r="111" ht="15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</row>
    <row r="112" ht="15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</row>
    <row r="113" ht="15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</row>
    <row r="114" ht="15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</row>
    <row r="115" ht="15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</row>
    <row r="116" ht="15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</row>
    <row r="117" ht="15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</row>
    <row r="118" ht="15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</row>
    <row r="119" ht="15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</row>
    <row r="120" ht="15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</row>
    <row r="121" ht="15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</row>
    <row r="122" ht="15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</row>
    <row r="123" ht="15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</row>
    <row r="124" ht="15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</row>
    <row r="125" ht="15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</row>
    <row r="126" ht="15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</row>
    <row r="127" ht="15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</row>
    <row r="128" ht="15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</row>
    <row r="129" ht="15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</row>
    <row r="130" ht="15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</row>
    <row r="131" ht="15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</row>
    <row r="132" ht="15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</row>
    <row r="133" ht="15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</row>
    <row r="134" ht="15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</row>
    <row r="135" ht="15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</row>
    <row r="136" ht="15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</row>
    <row r="137" ht="15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</row>
    <row r="138" ht="15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</row>
    <row r="139" ht="15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</row>
    <row r="140" ht="15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</row>
    <row r="141" ht="15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</row>
    <row r="142" ht="15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</row>
    <row r="143" ht="15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</row>
    <row r="144" ht="15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</row>
    <row r="145" ht="15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</row>
    <row r="146" ht="15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</row>
    <row r="147" ht="15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</row>
    <row r="148" ht="15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</row>
    <row r="149" ht="15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</row>
    <row r="150" ht="15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</row>
    <row r="151" ht="15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</row>
    <row r="152" ht="15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</row>
    <row r="153" ht="15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</row>
    <row r="154" ht="15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</row>
    <row r="155" ht="15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</row>
    <row r="156" ht="15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</row>
    <row r="157" ht="15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</row>
    <row r="158" ht="15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</row>
    <row r="159" ht="15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</row>
    <row r="160" ht="15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</row>
    <row r="161" ht="15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</row>
    <row r="162" ht="15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</row>
    <row r="163" ht="15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</row>
    <row r="164" ht="15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</row>
    <row r="165" ht="15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</row>
    <row r="166" ht="15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</row>
    <row r="167" ht="15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</row>
    <row r="168" ht="15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</row>
    <row r="169" ht="15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</row>
    <row r="170" ht="15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</row>
    <row r="171" ht="15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</row>
    <row r="172" ht="15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</row>
    <row r="173" ht="15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</row>
    <row r="174" ht="15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</row>
    <row r="175" ht="15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</row>
    <row r="176" ht="15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</row>
    <row r="177" ht="15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</row>
    <row r="178" ht="15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</row>
    <row r="179" ht="15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</row>
    <row r="180" ht="15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</row>
    <row r="181" ht="15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</row>
    <row r="182" ht="15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</row>
    <row r="183" ht="15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</row>
    <row r="184" ht="15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</row>
    <row r="185" ht="15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</row>
    <row r="186" ht="15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</row>
    <row r="187" ht="15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</row>
    <row r="188" ht="15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</row>
    <row r="189" ht="15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</row>
    <row r="190" ht="15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</row>
    <row r="191" ht="15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</row>
    <row r="192" ht="15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</row>
    <row r="193" ht="15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</row>
    <row r="194" ht="15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</row>
    <row r="195" ht="15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</row>
    <row r="196" ht="15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</row>
    <row r="197" ht="15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</row>
    <row r="198" ht="15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</row>
    <row r="199" ht="15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</row>
    <row r="200" ht="15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</row>
    <row r="201" ht="15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</row>
    <row r="202" ht="15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</row>
    <row r="203" ht="15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</row>
    <row r="204" ht="15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</row>
    <row r="205" ht="15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</row>
    <row r="206" ht="15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</row>
    <row r="207" ht="15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</row>
    <row r="208" ht="15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</row>
    <row r="209" ht="15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</row>
    <row r="210" ht="15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</row>
    <row r="211" ht="15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</row>
    <row r="212" ht="15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</row>
    <row r="213" ht="15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</row>
    <row r="214" ht="15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</row>
    <row r="215" ht="15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</row>
    <row r="216" ht="15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</row>
    <row r="217" ht="15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</row>
    <row r="218" ht="15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</row>
    <row r="219" ht="15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</row>
    <row r="220" ht="15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</row>
    <row r="221" ht="15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</row>
    <row r="222" ht="15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</row>
    <row r="223" ht="15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</row>
    <row r="224" ht="15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</row>
    <row r="225" ht="15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</row>
    <row r="226" ht="15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</row>
    <row r="227" ht="15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</row>
    <row r="228" ht="15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</row>
    <row r="229" ht="15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</row>
    <row r="230" ht="15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</row>
    <row r="231" ht="15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</row>
    <row r="232" ht="15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</row>
    <row r="233" ht="15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</row>
    <row r="234" ht="15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</row>
    <row r="235" ht="15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0:B10"/>
    <mergeCell ref="A11:B11"/>
    <mergeCell ref="A1:D1"/>
    <mergeCell ref="A6:B6"/>
    <mergeCell ref="A7:B7"/>
    <mergeCell ref="C7:C12"/>
    <mergeCell ref="E7:H11"/>
    <mergeCell ref="A8:B8"/>
    <mergeCell ref="A9:B9"/>
    <mergeCell ref="A22:D22"/>
    <mergeCell ref="A23:D23"/>
    <mergeCell ref="A24:D24"/>
    <mergeCell ref="A25:D25"/>
    <mergeCell ref="F28:I32"/>
    <mergeCell ref="A12:B12"/>
    <mergeCell ref="A14:D14"/>
    <mergeCell ref="A15:D15"/>
    <mergeCell ref="A16:D16"/>
    <mergeCell ref="A17:D17"/>
    <mergeCell ref="A18:D18"/>
    <mergeCell ref="A20:D20"/>
  </mergeCells>
  <printOptions/>
  <pageMargins bottom="0.75" footer="0.0" header="0.0" left="0.7" right="0.7" top="0.75"/>
  <pageSetup paperSize="9" orientation="portrait"/>
  <headerFooter>
    <oddHeader>&amp;LDepartment of CSE, ULAB&amp;CCQI Form&amp;RCSE005(00)</oddHeader>
    <oddFooter>&amp;RCSE005(00) Page 1 of 1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2019-05-06T03:48:27Z</dcterms:created>
  <dc:creator>Dr.Farhana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2023-04-16T06:28:08Z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279a2a35-ce81-4b38-a9dc-cb91706ab974</vt:lpwstr>
  </property>
  <property fmtid="{D5CDD505-2E9C-101B-9397-08002B2CF9AE}" pid="7" name="MSIP_Label_defa4170-0d19-0005-0004-bc88714345d2_ActionId">
    <vt:lpwstr>5c0930b9-0373-4f6b-ae89-cb2a2d4a11d4</vt:lpwstr>
  </property>
  <property fmtid="{D5CDD505-2E9C-101B-9397-08002B2CF9AE}" pid="8" name="MSIP_Label_defa4170-0d19-0005-0004-bc88714345d2_ContentBits">
    <vt:lpwstr>0</vt:lpwstr>
  </property>
</Properties>
</file>