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heet" sheetId="1" r:id="rId4"/>
    <sheet state="visible" name="GradingPolicy" sheetId="2" r:id="rId5"/>
    <sheet state="visible" name="CourseSummary" sheetId="3" r:id="rId6"/>
    <sheet state="visible" name="CO_PO_AttainmentAnalysis" sheetId="4" r:id="rId7"/>
    <sheet state="visible" name="ContinuousQualityImprovement" sheetId="5" r:id="rId8"/>
    <sheet state="visible" name="RawMarks" sheetId="6" r:id="rId9"/>
  </sheets>
  <definedNames/>
  <calcPr/>
  <extLst>
    <ext uri="GoogleSheetsCustomDataVersion2">
      <go:sheetsCustomData xmlns:go="http://customooxmlschemas.google.com/" r:id="rId10" roundtripDataChecksum="1bJ+U04Fh++T9B9VdHfsrotdgprqJ84M1CxNAnPe68Y="/>
    </ext>
  </extLst>
</workbook>
</file>

<file path=xl/sharedStrings.xml><?xml version="1.0" encoding="utf-8"?>
<sst xmlns="http://schemas.openxmlformats.org/spreadsheetml/2006/main" count="429" uniqueCount="208">
  <si>
    <t>Numerical Grade</t>
  </si>
  <si>
    <t>Minimum Number</t>
  </si>
  <si>
    <t>Letter Grade</t>
  </si>
  <si>
    <t>Below 50%</t>
  </si>
  <si>
    <t>F (Fail)</t>
  </si>
  <si>
    <t>50% to 54%</t>
  </si>
  <si>
    <t>D (Plain)</t>
  </si>
  <si>
    <t>55% to 59%</t>
  </si>
  <si>
    <t>C (Plain)</t>
  </si>
  <si>
    <t>60% to 64%</t>
  </si>
  <si>
    <t>C+ (Plus)</t>
  </si>
  <si>
    <t>Mapping of COs to POs</t>
  </si>
  <si>
    <t>65% to 69%</t>
  </si>
  <si>
    <t>B- (Minus)</t>
  </si>
  <si>
    <t>70% to 74%</t>
  </si>
  <si>
    <t>B (Plain)</t>
  </si>
  <si>
    <t>75% to 79%</t>
  </si>
  <si>
    <t>B+ (Plus)</t>
  </si>
  <si>
    <t>Assessment Items</t>
  </si>
  <si>
    <t>80% to 84%</t>
  </si>
  <si>
    <t>A- (Minus)</t>
  </si>
  <si>
    <t>CO1</t>
  </si>
  <si>
    <t>CO2</t>
  </si>
  <si>
    <t>85% to 94%</t>
  </si>
  <si>
    <t>CO3</t>
  </si>
  <si>
    <t>CO4</t>
  </si>
  <si>
    <t>A (Plain)</t>
  </si>
  <si>
    <t>CO5</t>
  </si>
  <si>
    <t>CO6</t>
  </si>
  <si>
    <t>95% and above</t>
  </si>
  <si>
    <t>A+ (Plus)</t>
  </si>
  <si>
    <t>Course Code</t>
  </si>
  <si>
    <t>CSE 4460</t>
  </si>
  <si>
    <t>Section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</si>
  <si>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</si>
  <si>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</si>
  <si>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</si>
  <si>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</si>
  <si>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</si>
  <si>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</si>
  <si>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</si>
  <si>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</si>
  <si>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</si>
  <si>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Course Title</t>
  </si>
  <si>
    <t>PO10</t>
  </si>
  <si>
    <t>Big Data Analytics Lab</t>
  </si>
  <si>
    <t>PO11</t>
  </si>
  <si>
    <t>Semester</t>
  </si>
  <si>
    <t>Spring 2026</t>
  </si>
  <si>
    <t>PO12</t>
  </si>
  <si>
    <t>Credit</t>
  </si>
  <si>
    <t>Continuous Lab Performance</t>
  </si>
  <si>
    <t>W (Withdrawn)</t>
  </si>
  <si>
    <t>Instructor</t>
  </si>
  <si>
    <t>Foysal Ahmed</t>
  </si>
  <si>
    <t>Lab Submission</t>
  </si>
  <si>
    <t>Lab Test</t>
  </si>
  <si>
    <t>Attendance</t>
  </si>
  <si>
    <t>Open Ended Lab</t>
  </si>
  <si>
    <t xml:space="preserve">Mid </t>
  </si>
  <si>
    <t xml:space="preserve">Final </t>
  </si>
  <si>
    <t>No.</t>
  </si>
  <si>
    <t>Student ID</t>
  </si>
  <si>
    <t>Name</t>
  </si>
  <si>
    <t>Exam Total (100)</t>
  </si>
  <si>
    <t>Percent Total (100%)</t>
  </si>
  <si>
    <t>Grade</t>
  </si>
  <si>
    <t>Lab Final</t>
  </si>
  <si>
    <t>Course Topic/Content Covered</t>
  </si>
  <si>
    <t>Presentation</t>
  </si>
  <si>
    <t>Topics Taught (based on course outline)</t>
  </si>
  <si>
    <t>Total</t>
  </si>
  <si>
    <t>Number of Sessions</t>
  </si>
  <si>
    <t>Most. Zarin Tasnim Rifa</t>
  </si>
  <si>
    <t>Mohammad Asif Mahmud</t>
  </si>
  <si>
    <t>Salina Akter</t>
  </si>
  <si>
    <t>CO Attainment Analysis</t>
  </si>
  <si>
    <t>PO Attainment Analysis</t>
  </si>
  <si>
    <t>Abdullah Bin Noor Tazim</t>
  </si>
  <si>
    <t>Fuyad Hasan Bhoyan</t>
  </si>
  <si>
    <t>Total Marks</t>
  </si>
  <si>
    <t>Percentage</t>
  </si>
  <si>
    <t>CO Attainment</t>
  </si>
  <si>
    <t>Prashanta Sarker</t>
  </si>
  <si>
    <t>PO Attainment</t>
  </si>
  <si>
    <t>What percentage of topics/content planned were actually taught?</t>
  </si>
  <si>
    <t>a.</t>
  </si>
  <si>
    <t>&gt;90%</t>
  </si>
  <si>
    <t>√</t>
  </si>
  <si>
    <t>Rasel Rahman</t>
  </si>
  <si>
    <t>b.</t>
  </si>
  <si>
    <t>70%-90%</t>
  </si>
  <si>
    <t>c.</t>
  </si>
  <si>
    <t>&lt;70%</t>
  </si>
  <si>
    <t>If &lt;70%, please write the reason for not teaching all topics/content planned</t>
  </si>
  <si>
    <t>Raian Zaman</t>
  </si>
  <si>
    <t>Nur Shahad Srabon</t>
  </si>
  <si>
    <t>Sohan Sheikh</t>
  </si>
  <si>
    <t>S/N</t>
  </si>
  <si>
    <t>Teaching and Learning Methods</t>
  </si>
  <si>
    <t>Asifuzzaman Shishir</t>
  </si>
  <si>
    <t>Grade Distribution</t>
  </si>
  <si>
    <t>Teaching Methods</t>
  </si>
  <si>
    <t>Md Abul Hashem</t>
  </si>
  <si>
    <t xml:space="preserve">Percentage </t>
  </si>
  <si>
    <t>A+</t>
  </si>
  <si>
    <t>A</t>
  </si>
  <si>
    <t>A-</t>
  </si>
  <si>
    <t>B+</t>
  </si>
  <si>
    <t>B</t>
  </si>
  <si>
    <t>B-</t>
  </si>
  <si>
    <t>C+</t>
  </si>
  <si>
    <t>C</t>
  </si>
  <si>
    <t>D</t>
  </si>
  <si>
    <t>F</t>
  </si>
  <si>
    <t>I</t>
  </si>
  <si>
    <t>W</t>
  </si>
  <si>
    <t>Md Yusuf</t>
  </si>
  <si>
    <t>Lectures</t>
  </si>
  <si>
    <t>Fahim Shihab Touhid</t>
  </si>
  <si>
    <t>If CO achieved (≥55%) then 1, else 0</t>
  </si>
  <si>
    <t>If PO achieved (≥55%) then 1, else 0</t>
  </si>
  <si>
    <t>Md. Shihab Hasan Shishir</t>
  </si>
  <si>
    <t>Group Discussion</t>
  </si>
  <si>
    <t>Md. Naeem Rahman</t>
  </si>
  <si>
    <t>Md. Sakib Ishrak</t>
  </si>
  <si>
    <t>Nusrat Jannat Tithy</t>
  </si>
  <si>
    <t>Classwork</t>
  </si>
  <si>
    <t>Meheraj Hossain Jibon</t>
  </si>
  <si>
    <t>Statistical Information</t>
  </si>
  <si>
    <t>Md. Samiul Alam</t>
  </si>
  <si>
    <t>%</t>
  </si>
  <si>
    <t>No</t>
  </si>
  <si>
    <t>Meherun Nessa Eva</t>
  </si>
  <si>
    <t>Students enrolled</t>
  </si>
  <si>
    <t>Session Planned</t>
  </si>
  <si>
    <t>Md. Arfan Alam</t>
  </si>
  <si>
    <t>Active Learning</t>
  </si>
  <si>
    <t>Students who withdrew</t>
  </si>
  <si>
    <t>Abdulla Al Baki</t>
  </si>
  <si>
    <t>Sessions Missed</t>
  </si>
  <si>
    <t>Sariful Islam Rana</t>
  </si>
  <si>
    <t>Students who took final exam</t>
  </si>
  <si>
    <t>Sessions Made Up</t>
  </si>
  <si>
    <t>Tonmoy Chatterjee</t>
  </si>
  <si>
    <t>Students passed</t>
  </si>
  <si>
    <t>Fahmida Alamgir</t>
  </si>
  <si>
    <t>Total Sessions Conducted (excluding midterm and final exams)</t>
  </si>
  <si>
    <t>Puja Karmokar</t>
  </si>
  <si>
    <t>Nadia Akter</t>
  </si>
  <si>
    <t>Md. Tasdiqur Rahman Khan</t>
  </si>
  <si>
    <t>Average Number Per Session</t>
  </si>
  <si>
    <t>Shihab Ahmed Sakib</t>
  </si>
  <si>
    <t>Teaching Aids</t>
  </si>
  <si>
    <t>Sanjida Akter</t>
  </si>
  <si>
    <t>Tardy Students</t>
  </si>
  <si>
    <t>Guest Lectures Invited</t>
  </si>
  <si>
    <t>N/A</t>
  </si>
  <si>
    <t>Whiteboard</t>
  </si>
  <si>
    <t>Morium Rahman</t>
  </si>
  <si>
    <t>Absent Students</t>
  </si>
  <si>
    <t>Field Trips Taken</t>
  </si>
  <si>
    <t>Esrat Jahan Emu</t>
  </si>
  <si>
    <t>Computer</t>
  </si>
  <si>
    <t>Handout</t>
  </si>
  <si>
    <t>Sayeda Sanzida Hoque</t>
  </si>
  <si>
    <t>Video and Audio</t>
  </si>
  <si>
    <t>Lubaba Nishat Nirupoma</t>
  </si>
  <si>
    <t>Zakia Sharmin Shammy</t>
  </si>
  <si>
    <t xml:space="preserve">Signature of the Course Instructor    </t>
  </si>
  <si>
    <t>Assessment</t>
  </si>
  <si>
    <t>Marks Distribution</t>
  </si>
  <si>
    <t>Freq</t>
  </si>
  <si>
    <t>MAX</t>
  </si>
  <si>
    <t>AVG</t>
  </si>
  <si>
    <t>Quiz</t>
  </si>
  <si>
    <t>MIN</t>
  </si>
  <si>
    <t xml:space="preserve">Assignment </t>
  </si>
  <si>
    <t>Continuous Quality Improvement (CQI) Form</t>
  </si>
  <si>
    <t>Final Exam</t>
  </si>
  <si>
    <t>Summary of Cos</t>
  </si>
  <si>
    <t>Number of Studens</t>
  </si>
  <si>
    <t>Lecturer</t>
  </si>
  <si>
    <t>Number of Students</t>
  </si>
  <si>
    <t>Department of CSE, ULAB</t>
  </si>
  <si>
    <t>Average Score</t>
  </si>
  <si>
    <t>Course Outcomes (CO)</t>
  </si>
  <si>
    <t>Criteria for Achievement</t>
  </si>
  <si>
    <t>60% of the students to achieve 55% of the allocated mark</t>
  </si>
  <si>
    <t>Plan for Course Improvement: (Based on inputs from Course Outcome Analysis above, results and other sources)*</t>
  </si>
  <si>
    <t>* attach additional sheet, if required</t>
  </si>
  <si>
    <t>Signature of the Instructor:</t>
  </si>
  <si>
    <t>Name of the Instructor:</t>
  </si>
  <si>
    <t>Date:</t>
  </si>
  <si>
    <t>Sl.</t>
  </si>
  <si>
    <t>Student Name</t>
  </si>
  <si>
    <t>L1</t>
  </si>
  <si>
    <t>L2</t>
  </si>
  <si>
    <t>L3</t>
  </si>
  <si>
    <t>L6</t>
  </si>
  <si>
    <t>Lab Avg (15)</t>
  </si>
  <si>
    <t>CP 1 (10)</t>
  </si>
  <si>
    <t>Attendance (5)</t>
  </si>
  <si>
    <t>CP (30)</t>
  </si>
  <si>
    <t>OEL (40)</t>
  </si>
  <si>
    <t>Lab Final (30)</t>
  </si>
  <si>
    <t>Total (100)</t>
  </si>
  <si>
    <t>Class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</si>
</sst>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-409]mmmm\ d\,\ yyyy"/>
  </numFmts>
  <fonts count="29">
    <font>
      <sz val="10.0"/>
      <color rgb="FF000000"/>
      <name val="Arimo"/>
      <scheme val="minor"/>
    </font>
    <font>
      <sz val="12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2.0"/>
      <color theme="1"/>
      <name val="Times New Roman"/>
    </font>
    <font>
      <sz val="9.0"/>
      <color rgb="FF000000"/>
      <name val="Arimo"/>
    </font>
    <font>
      <sz val="9.0"/>
      <color theme="1"/>
      <name val="Arimo"/>
    </font>
    <font>
      <b/>
      <sz val="12.0"/>
      <color rgb="FF000000"/>
      <name val="Times New Roman"/>
    </font>
    <font>
      <b/>
      <sz val="10.0"/>
      <color rgb="FF000000"/>
      <name val="Arial Narrow"/>
    </font>
    <font>
      <b/>
      <sz val="11.0"/>
      <color rgb="FF000000"/>
      <name val="Arial Narrow"/>
    </font>
    <font>
      <sz val="11.0"/>
      <color rgb="FF000000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sz val="11.0"/>
      <color rgb="FF000000"/>
      <name val="Arial Narrow"/>
    </font>
    <font>
      <b/>
      <sz val="10.0"/>
      <color theme="1"/>
      <name val="Times New Roman"/>
    </font>
    <font>
      <sz val="11.0"/>
      <color rgb="FF000000"/>
      <name val="Calibri"/>
    </font>
    <font>
      <b/>
      <sz val="12.0"/>
      <color rgb="FF000000"/>
      <name val="Arial Narrow"/>
    </font>
    <font>
      <b/>
      <sz val="14.0"/>
      <color rgb="FF000000"/>
      <name val="Arial Narrow"/>
    </font>
    <font>
      <b/>
      <u/>
      <sz val="10.0"/>
      <color rgb="FF000000"/>
      <name val="Arial Narrow"/>
    </font>
    <font>
      <b/>
      <sz val="11.0"/>
      <color rgb="FFFF0000"/>
      <name val="Times New Roman"/>
    </font>
    <font>
      <b/>
      <vertAlign val="superscript"/>
      <sz val="10.0"/>
      <color rgb="FF000000"/>
      <name val="Arial Narrow"/>
    </font>
    <font>
      <b/>
      <vertAlign val="superscript"/>
      <sz val="10.0"/>
      <color rgb="FF000000"/>
      <name val="Arial"/>
    </font>
    <font>
      <i/>
      <sz val="11.0"/>
      <color rgb="FF000000"/>
      <name val="Arial Narrow"/>
    </font>
    <font>
      <b/>
      <vertAlign val="superscript"/>
      <sz val="10.0"/>
      <color rgb="FF000000"/>
      <name val="Arial Narrow"/>
    </font>
    <font>
      <b/>
      <u/>
      <sz val="10.0"/>
      <color rgb="FF000000"/>
      <name val="Arial Narrow"/>
    </font>
    <font>
      <sz val="14.0"/>
      <color rgb="FF000000"/>
      <name val="Times New Roman"/>
    </font>
    <font>
      <sz val="14.0"/>
      <color theme="1"/>
      <name val="Times New Roman"/>
    </font>
    <font>
      <b/>
      <sz val="14.0"/>
      <color rgb="FF000000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FFFFFF"/>
        <bgColor rgb="FFFFFFFF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CC0D9"/>
        <bgColor rgb="FFCCC0D9"/>
      </patternFill>
    </fill>
    <fill>
      <patternFill patternType="solid">
        <fgColor rgb="FF4BACC6"/>
        <bgColor rgb="FF4BACC6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9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1" fillId="0" fontId="1" numFmtId="1" xfId="0" applyAlignment="1" applyBorder="1" applyFont="1" applyNumberFormat="1">
      <alignment horizontal="center" shrinkToFit="0" vertical="center" wrapText="1"/>
    </xf>
    <xf borderId="1" fillId="0" fontId="1" numFmtId="1" xfId="0" applyBorder="1" applyFont="1" applyNumberFormat="1"/>
    <xf borderId="0" fillId="0" fontId="1" numFmtId="1" xfId="0" applyFont="1" applyNumberFormat="1"/>
    <xf borderId="2" fillId="0" fontId="1" numFmtId="1" xfId="0" applyAlignment="1" applyBorder="1" applyFont="1" applyNumberFormat="1">
      <alignment horizontal="center" shrinkToFit="0" vertical="top" wrapText="1"/>
    </xf>
    <xf borderId="2" fillId="0" fontId="1" numFmtId="1" xfId="0" applyAlignment="1" applyBorder="1" applyFont="1" applyNumberFormat="1">
      <alignment horizontal="center" vertical="center"/>
    </xf>
    <xf borderId="0" fillId="0" fontId="2" numFmtId="1" xfId="0" applyFont="1" applyNumberFormat="1"/>
    <xf borderId="3" fillId="0" fontId="1" numFmtId="1" xfId="0" applyAlignment="1" applyBorder="1" applyFont="1" applyNumberFormat="1">
      <alignment horizontal="center" shrinkToFit="0" vertical="top" wrapText="1"/>
    </xf>
    <xf borderId="0" fillId="0" fontId="2" numFmtId="1" xfId="0" applyAlignment="1" applyFont="1" applyNumberFormat="1">
      <alignment horizontal="center"/>
    </xf>
    <xf borderId="3" fillId="0" fontId="1" numFmtId="1" xfId="0" applyAlignment="1" applyBorder="1" applyFont="1" applyNumberFormat="1">
      <alignment horizontal="center" vertical="center"/>
    </xf>
    <xf borderId="4" fillId="0" fontId="3" numFmtId="1" xfId="0" applyAlignment="1" applyBorder="1" applyFont="1" applyNumberFormat="1">
      <alignment horizontal="center"/>
    </xf>
    <xf borderId="5" fillId="0" fontId="4" numFmtId="0" xfId="0" applyBorder="1" applyFont="1"/>
    <xf borderId="6" fillId="0" fontId="4" numFmtId="0" xfId="0" applyBorder="1" applyFont="1"/>
    <xf borderId="7" fillId="0" fontId="3" numFmtId="1" xfId="0" applyAlignment="1" applyBorder="1" applyFont="1" applyNumberFormat="1">
      <alignment horizontal="center"/>
    </xf>
    <xf borderId="7" fillId="0" fontId="2" numFmtId="1" xfId="0" applyAlignment="1" applyBorder="1" applyFont="1" applyNumberFormat="1">
      <alignment horizontal="center" vertical="center"/>
    </xf>
    <xf borderId="8" fillId="0" fontId="2" numFmtId="1" xfId="0" applyAlignment="1" applyBorder="1" applyFont="1" applyNumberFormat="1">
      <alignment horizontal="center" vertical="center"/>
    </xf>
    <xf borderId="3" fillId="0" fontId="1" numFmtId="9" xfId="0" applyAlignment="1" applyBorder="1" applyFont="1" applyNumberFormat="1">
      <alignment horizontal="center" vertical="center"/>
    </xf>
    <xf borderId="9" fillId="0" fontId="2" numFmtId="1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left"/>
    </xf>
    <xf borderId="10" fillId="0" fontId="1" numFmtId="1" xfId="0" applyAlignment="1" applyBorder="1" applyFont="1" applyNumberFormat="1">
      <alignment horizontal="center" shrinkToFit="0" vertical="center" wrapText="1"/>
    </xf>
    <xf borderId="10" fillId="0" fontId="1" numFmtId="1" xfId="0" applyAlignment="1" applyBorder="1" applyFont="1" applyNumberFormat="1">
      <alignment horizontal="center" vertical="center"/>
    </xf>
    <xf borderId="10" fillId="0" fontId="1" numFmtId="9" xfId="0" applyAlignment="1" applyBorder="1" applyFont="1" applyNumberFormat="1">
      <alignment horizontal="center" vertical="center"/>
    </xf>
    <xf borderId="11" fillId="0" fontId="5" numFmtId="1" xfId="0" applyBorder="1" applyFont="1" applyNumberFormat="1"/>
    <xf borderId="12" fillId="2" fontId="1" numFmtId="1" xfId="0" applyAlignment="1" applyBorder="1" applyFill="1" applyFont="1" applyNumberFormat="1">
      <alignment horizontal="center" vertical="center"/>
    </xf>
    <xf borderId="13" fillId="0" fontId="4" numFmtId="0" xfId="0" applyBorder="1" applyFont="1"/>
    <xf borderId="1" fillId="0" fontId="2" numFmtId="1" xfId="0" applyAlignment="1" applyBorder="1" applyFont="1" applyNumberFormat="1">
      <alignment horizontal="center" vertical="center"/>
    </xf>
    <xf borderId="11" fillId="2" fontId="1" numFmtId="1" xfId="0" applyAlignment="1" applyBorder="1" applyFont="1" applyNumberFormat="1">
      <alignment horizontal="center" vertical="center"/>
    </xf>
    <xf borderId="11" fillId="0" fontId="1" numFmtId="1" xfId="0" applyBorder="1" applyFont="1" applyNumberFormat="1"/>
    <xf borderId="0" fillId="0" fontId="6" numFmtId="1" xfId="0" applyFont="1" applyNumberFormat="1"/>
    <xf borderId="11" fillId="2" fontId="1" numFmtId="1" xfId="0" applyBorder="1" applyFont="1" applyNumberFormat="1"/>
    <xf borderId="14" fillId="0" fontId="2" numFmtId="1" xfId="0" applyAlignment="1" applyBorder="1" applyFont="1" applyNumberFormat="1">
      <alignment horizontal="center"/>
    </xf>
    <xf borderId="11" fillId="3" fontId="1" numFmtId="1" xfId="0" applyAlignment="1" applyBorder="1" applyFill="1" applyFont="1" applyNumberFormat="1">
      <alignment horizontal="center" vertical="center"/>
    </xf>
    <xf borderId="15" fillId="2" fontId="2" numFmtId="1" xfId="0" applyAlignment="1" applyBorder="1" applyFont="1" applyNumberFormat="1">
      <alignment horizontal="center" vertical="center"/>
    </xf>
    <xf borderId="16" fillId="2" fontId="2" numFmtId="1" xfId="0" applyAlignment="1" applyBorder="1" applyFont="1" applyNumberFormat="1">
      <alignment horizontal="center" vertical="center"/>
    </xf>
    <xf borderId="17" fillId="2" fontId="2" numFmtId="1" xfId="0" applyAlignment="1" applyBorder="1" applyFont="1" applyNumberFormat="1">
      <alignment horizontal="center" vertical="center"/>
    </xf>
    <xf borderId="12" fillId="3" fontId="5" numFmtId="1" xfId="0" applyAlignment="1" applyBorder="1" applyFont="1" applyNumberFormat="1">
      <alignment horizontal="center" vertical="center"/>
    </xf>
    <xf borderId="18" fillId="0" fontId="4" numFmtId="0" xfId="0" applyBorder="1" applyFont="1"/>
    <xf borderId="19" fillId="0" fontId="2" numFmtId="1" xfId="0" applyAlignment="1" applyBorder="1" applyFont="1" applyNumberFormat="1">
      <alignment horizontal="center" vertical="center"/>
    </xf>
    <xf borderId="20" fillId="2" fontId="2" numFmtId="1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11" fillId="0" fontId="5" numFmtId="1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horizontal="center" shrinkToFit="0" vertical="center" wrapText="1"/>
    </xf>
    <xf borderId="11" fillId="3" fontId="5" numFmtId="1" xfId="0" applyAlignment="1" applyBorder="1" applyFont="1" applyNumberFormat="1">
      <alignment horizontal="center" shrinkToFit="0" vertical="center" wrapText="1"/>
    </xf>
    <xf borderId="11" fillId="0" fontId="5" numFmtId="1" xfId="0" applyAlignment="1" applyBorder="1" applyFont="1" applyNumberFormat="1">
      <alignment horizontal="center" shrinkToFit="0" vertical="center" wrapText="1"/>
    </xf>
    <xf borderId="21" fillId="0" fontId="2" numFmtId="1" xfId="0" applyAlignment="1" applyBorder="1" applyFont="1" applyNumberFormat="1">
      <alignment horizontal="center"/>
    </xf>
    <xf borderId="11" fillId="0" fontId="5" numFmtId="1" xfId="0" applyAlignment="1" applyBorder="1" applyFont="1" applyNumberFormat="1">
      <alignment shrinkToFit="0" vertical="center" wrapText="1"/>
    </xf>
    <xf borderId="21" fillId="2" fontId="2" numFmtId="1" xfId="0" applyAlignment="1" applyBorder="1" applyFont="1" applyNumberFormat="1">
      <alignment horizontal="center" vertical="center"/>
    </xf>
    <xf borderId="11" fillId="0" fontId="8" numFmtId="1" xfId="0" applyAlignment="1" applyBorder="1" applyFont="1" applyNumberFormat="1">
      <alignment horizontal="center" vertical="center"/>
    </xf>
    <xf borderId="11" fillId="2" fontId="2" numFmtId="1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22" fillId="0" fontId="8" numFmtId="1" xfId="0" applyAlignment="1" applyBorder="1" applyFont="1" applyNumberFormat="1">
      <alignment horizontal="left" vertical="center"/>
    </xf>
    <xf borderId="23" fillId="2" fontId="2" numFmtId="1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1" fillId="3" fontId="8" numFmtId="1" xfId="0" applyAlignment="1" applyBorder="1" applyFont="1" applyNumberFormat="1">
      <alignment horizontal="center" vertical="center"/>
    </xf>
    <xf borderId="3" fillId="0" fontId="2" numFmtId="1" xfId="0" applyAlignment="1" applyBorder="1" applyFont="1" applyNumberFormat="1">
      <alignment horizontal="center" vertical="center"/>
    </xf>
    <xf borderId="0" fillId="0" fontId="5" numFmtId="1" xfId="0" applyAlignment="1" applyFont="1" applyNumberFormat="1">
      <alignment shrinkToFit="0" vertical="center" wrapText="1"/>
    </xf>
    <xf borderId="11" fillId="2" fontId="5" numFmtId="1" xfId="0" applyAlignment="1" applyBorder="1" applyFont="1" applyNumberFormat="1">
      <alignment horizontal="center" shrinkToFit="0" vertical="center" wrapText="1"/>
    </xf>
    <xf borderId="12" fillId="4" fontId="9" numFmtId="0" xfId="0" applyAlignment="1" applyBorder="1" applyFill="1" applyFont="1">
      <alignment horizontal="center" vertical="center"/>
    </xf>
    <xf borderId="24" fillId="0" fontId="2" numFmtId="1" xfId="0" applyAlignment="1" applyBorder="1" applyFont="1" applyNumberFormat="1">
      <alignment horizontal="center"/>
    </xf>
    <xf borderId="25" fillId="0" fontId="8" numFmtId="1" xfId="0" applyAlignment="1" applyBorder="1" applyFont="1" applyNumberFormat="1">
      <alignment horizontal="center" vertical="center"/>
    </xf>
    <xf borderId="26" fillId="2" fontId="2" numFmtId="1" xfId="0" applyAlignment="1" applyBorder="1" applyFont="1" applyNumberFormat="1">
      <alignment horizontal="center" vertical="center"/>
    </xf>
    <xf borderId="12" fillId="4" fontId="9" numFmtId="1" xfId="0" applyAlignment="1" applyBorder="1" applyFont="1" applyNumberFormat="1">
      <alignment horizontal="center" vertical="center"/>
    </xf>
    <xf borderId="11" fillId="0" fontId="1" numFmtId="1" xfId="0" applyAlignment="1" applyBorder="1" applyFont="1" applyNumberFormat="1">
      <alignment horizontal="center"/>
    </xf>
    <xf borderId="27" fillId="2" fontId="2" numFmtId="1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28" fillId="2" fontId="2" numFmtId="1" xfId="0" applyAlignment="1" applyBorder="1" applyFont="1" applyNumberFormat="1">
      <alignment horizontal="center" vertical="center"/>
    </xf>
    <xf borderId="12" fillId="5" fontId="11" numFmtId="0" xfId="0" applyAlignment="1" applyBorder="1" applyFill="1" applyFont="1">
      <alignment horizontal="center" vertical="center"/>
    </xf>
    <xf borderId="11" fillId="0" fontId="1" numFmtId="49" xfId="0" applyAlignment="1" applyBorder="1" applyFont="1" applyNumberFormat="1">
      <alignment horizontal="center" vertical="top"/>
    </xf>
    <xf borderId="0" fillId="0" fontId="12" numFmtId="0" xfId="0" applyAlignment="1" applyFont="1">
      <alignment horizontal="center" vertical="center"/>
    </xf>
    <xf borderId="11" fillId="0" fontId="2" numFmtId="0" xfId="0" applyAlignment="1" applyBorder="1" applyFont="1">
      <alignment horizontal="left" vertical="top"/>
    </xf>
    <xf borderId="12" fillId="6" fontId="9" numFmtId="0" xfId="0" applyAlignment="1" applyBorder="1" applyFill="1" applyFont="1">
      <alignment horizontal="center" vertical="center"/>
    </xf>
    <xf borderId="11" fillId="3" fontId="1" numFmtId="2" xfId="0" applyAlignment="1" applyBorder="1" applyFont="1" applyNumberFormat="1">
      <alignment horizontal="center" vertical="center"/>
    </xf>
    <xf borderId="12" fillId="6" fontId="9" numFmtId="1" xfId="0" applyAlignment="1" applyBorder="1" applyFont="1" applyNumberFormat="1">
      <alignment horizontal="center" vertical="center"/>
    </xf>
    <xf borderId="11" fillId="0" fontId="1" numFmtId="2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horizontal="center" vertical="center"/>
    </xf>
    <xf borderId="29" fillId="0" fontId="2" numFmtId="1" xfId="0" applyAlignment="1" applyBorder="1" applyFont="1" applyNumberFormat="1">
      <alignment horizontal="center" vertical="center"/>
    </xf>
    <xf borderId="11" fillId="3" fontId="1" numFmtId="9" xfId="0" applyAlignment="1" applyBorder="1" applyFont="1" applyNumberFormat="1">
      <alignment horizontal="center" vertical="center"/>
    </xf>
    <xf borderId="30" fillId="0" fontId="2" numFmtId="1" xfId="0" applyAlignment="1" applyBorder="1" applyFont="1" applyNumberFormat="1">
      <alignment horizontal="center" vertical="center"/>
    </xf>
    <xf borderId="12" fillId="7" fontId="9" numFmtId="0" xfId="0" applyAlignment="1" applyBorder="1" applyFill="1" applyFont="1">
      <alignment horizontal="center" vertical="center"/>
    </xf>
    <xf borderId="0" fillId="0" fontId="1" numFmtId="0" xfId="0" applyFont="1"/>
    <xf borderId="31" fillId="0" fontId="2" numFmtId="1" xfId="0" applyAlignment="1" applyBorder="1" applyFont="1" applyNumberFormat="1">
      <alignment horizontal="center" vertical="center"/>
    </xf>
    <xf borderId="12" fillId="7" fontId="9" numFmtId="164" xfId="0" applyAlignment="1" applyBorder="1" applyFont="1" applyNumberFormat="1">
      <alignment horizontal="center" vertical="center"/>
    </xf>
    <xf borderId="11" fillId="2" fontId="1" numFmtId="0" xfId="0" applyAlignment="1" applyBorder="1" applyFont="1">
      <alignment horizontal="center" vertical="center"/>
    </xf>
    <xf borderId="10" fillId="0" fontId="2" numFmtId="1" xfId="0" applyAlignment="1" applyBorder="1" applyFont="1" applyNumberFormat="1">
      <alignment horizontal="center" vertical="center"/>
    </xf>
    <xf borderId="11" fillId="2" fontId="13" numFmtId="0" xfId="0" applyAlignment="1" applyBorder="1" applyFont="1">
      <alignment horizontal="center" vertical="center"/>
    </xf>
    <xf borderId="12" fillId="2" fontId="11" numFmtId="0" xfId="0" applyAlignment="1" applyBorder="1" applyFont="1">
      <alignment horizontal="center" shrinkToFit="0" vertical="center" wrapText="1"/>
    </xf>
    <xf borderId="11" fillId="2" fontId="1" numFmtId="2" xfId="0" applyAlignment="1" applyBorder="1" applyFont="1" applyNumberFormat="1">
      <alignment horizontal="center" vertical="center"/>
    </xf>
    <xf borderId="0" fillId="0" fontId="3" numFmtId="1" xfId="0" applyAlignment="1" applyFont="1" applyNumberFormat="1">
      <alignment horizontal="center"/>
    </xf>
    <xf borderId="12" fillId="2" fontId="11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top"/>
    </xf>
    <xf borderId="0" fillId="0" fontId="9" numFmtId="164" xfId="0" applyAlignment="1" applyFont="1" applyNumberFormat="1">
      <alignment horizontal="center" vertical="center"/>
    </xf>
    <xf borderId="11" fillId="0" fontId="1" numFmtId="1" xfId="0" applyAlignment="1" applyBorder="1" applyFont="1" applyNumberForma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4" fillId="0" fontId="3" numFmtId="1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32" fillId="0" fontId="3" numFmtId="1" xfId="0" applyBorder="1" applyFont="1" applyNumberFormat="1"/>
    <xf borderId="30" fillId="0" fontId="3" numFmtId="1" xfId="0" applyBorder="1" applyFont="1" applyNumberFormat="1"/>
    <xf borderId="33" fillId="8" fontId="3" numFmtId="1" xfId="0" applyAlignment="1" applyBorder="1" applyFill="1" applyFont="1" applyNumberFormat="1">
      <alignment horizontal="center"/>
    </xf>
    <xf borderId="32" fillId="0" fontId="4" numFmtId="0" xfId="0" applyBorder="1" applyFont="1"/>
    <xf borderId="30" fillId="0" fontId="4" numFmtId="0" xfId="0" applyBorder="1" applyFont="1"/>
    <xf borderId="33" fillId="6" fontId="3" numFmtId="1" xfId="0" applyAlignment="1" applyBorder="1" applyFont="1" applyNumberFormat="1">
      <alignment horizontal="center"/>
    </xf>
    <xf borderId="34" fillId="0" fontId="4" numFmtId="0" xfId="0" applyBorder="1" applyFont="1"/>
    <xf borderId="35" fillId="0" fontId="4" numFmtId="0" xfId="0" applyBorder="1" applyFont="1"/>
    <xf borderId="36" fillId="0" fontId="3" numFmtId="1" xfId="0" applyAlignment="1" applyBorder="1" applyFont="1" applyNumberFormat="1">
      <alignment horizontal="center"/>
    </xf>
    <xf borderId="36" fillId="0" fontId="4" numFmtId="0" xfId="0" applyBorder="1" applyFont="1"/>
    <xf borderId="37" fillId="0" fontId="4" numFmtId="0" xfId="0" applyBorder="1" applyFont="1"/>
    <xf borderId="38" fillId="0" fontId="3" numFmtId="1" xfId="0" applyAlignment="1" applyBorder="1" applyFont="1" applyNumberFormat="1">
      <alignment horizontal="center"/>
    </xf>
    <xf borderId="4" fillId="0" fontId="15" numFmtId="1" xfId="0" applyAlignment="1" applyBorder="1" applyFont="1" applyNumberFormat="1">
      <alignment horizontal="center"/>
    </xf>
    <xf borderId="33" fillId="0" fontId="3" numFmtId="1" xfId="0" applyAlignment="1" applyBorder="1" applyFont="1" applyNumberFormat="1">
      <alignment horizontal="center"/>
    </xf>
    <xf borderId="38" fillId="0" fontId="4" numFmtId="0" xfId="0" applyBorder="1" applyFont="1"/>
    <xf borderId="0" fillId="0" fontId="11" numFmtId="0" xfId="0" applyAlignment="1" applyFont="1">
      <alignment horizontal="left" vertical="center"/>
    </xf>
    <xf borderId="25" fillId="0" fontId="2" numFmtId="1" xfId="0" applyAlignment="1" applyBorder="1" applyFont="1" applyNumberFormat="1">
      <alignment horizontal="center" vertical="center"/>
    </xf>
    <xf borderId="22" fillId="0" fontId="2" numFmtId="1" xfId="0" applyAlignment="1" applyBorder="1" applyFont="1" applyNumberFormat="1">
      <alignment horizontal="center" vertical="center"/>
    </xf>
    <xf borderId="39" fillId="0" fontId="2" numFmtId="1" xfId="0" applyAlignment="1" applyBorder="1" applyFont="1" applyNumberFormat="1">
      <alignment horizontal="center" vertical="center"/>
    </xf>
    <xf borderId="40" fillId="0" fontId="2" numFmtId="1" xfId="0" applyAlignment="1" applyBorder="1" applyFont="1" applyNumberFormat="1">
      <alignment horizontal="center" vertical="center"/>
    </xf>
    <xf borderId="12" fillId="0" fontId="16" numFmtId="0" xfId="0" applyAlignment="1" applyBorder="1" applyFont="1">
      <alignment horizontal="center" vertical="center"/>
    </xf>
    <xf borderId="41" fillId="0" fontId="2" numFmtId="1" xfId="0" applyAlignment="1" applyBorder="1" applyFont="1" applyNumberFormat="1">
      <alignment horizontal="center" vertical="center"/>
    </xf>
    <xf borderId="42" fillId="0" fontId="2" numFmtId="1" xfId="0" applyAlignment="1" applyBorder="1" applyFont="1" applyNumberFormat="1">
      <alignment horizontal="center" vertical="center"/>
    </xf>
    <xf borderId="43" fillId="0" fontId="2" numFmtId="1" xfId="0" applyAlignment="1" applyBorder="1" applyFont="1" applyNumberFormat="1">
      <alignment horizontal="center" vertical="center"/>
    </xf>
    <xf borderId="44" fillId="0" fontId="2" numFmtId="1" xfId="0" applyAlignment="1" applyBorder="1" applyFont="1" applyNumberFormat="1">
      <alignment horizontal="center" vertical="center"/>
    </xf>
    <xf borderId="45" fillId="0" fontId="2" numFmtId="1" xfId="0" applyAlignment="1" applyBorder="1" applyFont="1" applyNumberFormat="1">
      <alignment horizontal="center"/>
    </xf>
    <xf borderId="46" fillId="0" fontId="2" numFmtId="1" xfId="0" applyAlignment="1" applyBorder="1" applyFont="1" applyNumberFormat="1">
      <alignment horizontal="center"/>
    </xf>
    <xf borderId="37" fillId="0" fontId="2" numFmtId="1" xfId="0" applyAlignment="1" applyBorder="1" applyFont="1" applyNumberFormat="1">
      <alignment horizontal="center"/>
    </xf>
    <xf borderId="39" fillId="0" fontId="11" numFmtId="0" xfId="0" applyAlignment="1" applyBorder="1" applyFont="1">
      <alignment horizontal="center" shrinkToFit="0" vertical="center" wrapText="1"/>
    </xf>
    <xf borderId="47" fillId="0" fontId="4" numFmtId="0" xfId="0" applyBorder="1" applyFont="1"/>
    <xf borderId="48" fillId="0" fontId="2" numFmtId="1" xfId="0" applyAlignment="1" applyBorder="1" applyFont="1" applyNumberFormat="1">
      <alignment horizontal="center" vertical="center"/>
    </xf>
    <xf borderId="25" fillId="0" fontId="4" numFmtId="0" xfId="0" applyBorder="1" applyFont="1"/>
    <xf borderId="49" fillId="0" fontId="2" numFmtId="1" xfId="0" applyAlignment="1" applyBorder="1" applyFont="1" applyNumberFormat="1">
      <alignment horizontal="center" vertical="center"/>
    </xf>
    <xf borderId="50" fillId="0" fontId="2" numFmtId="1" xfId="0" applyAlignment="1" applyBorder="1" applyFont="1" applyNumberFormat="1">
      <alignment horizontal="center" vertical="center"/>
    </xf>
    <xf borderId="43" fillId="0" fontId="4" numFmtId="0" xfId="0" applyBorder="1" applyFont="1"/>
    <xf borderId="51" fillId="0" fontId="2" numFmtId="1" xfId="0" applyAlignment="1" applyBorder="1" applyFont="1" applyNumberFormat="1">
      <alignment horizontal="center" vertical="center"/>
    </xf>
    <xf borderId="52" fillId="0" fontId="4" numFmtId="0" xfId="0" applyBorder="1" applyFont="1"/>
    <xf borderId="0" fillId="0" fontId="2" numFmtId="1" xfId="0" applyAlignment="1" applyFont="1" applyNumberFormat="1">
      <alignment horizontal="center" vertical="center"/>
    </xf>
    <xf borderId="53" fillId="0" fontId="4" numFmtId="0" xfId="0" applyBorder="1" applyFont="1"/>
    <xf borderId="54" fillId="0" fontId="4" numFmtId="0" xfId="0" applyBorder="1" applyFont="1"/>
    <xf borderId="11" fillId="0" fontId="13" numFmtId="49" xfId="0" applyAlignment="1" applyBorder="1" applyFont="1" applyNumberFormat="1">
      <alignment horizontal="center" vertical="top"/>
    </xf>
    <xf borderId="55" fillId="0" fontId="4" numFmtId="0" xfId="0" applyBorder="1" applyFont="1"/>
    <xf borderId="7" fillId="0" fontId="3" numFmtId="1" xfId="0" applyAlignment="1" applyBorder="1" applyFont="1" applyNumberFormat="1">
      <alignment horizontal="center" shrinkToFit="0" vertical="center" wrapText="1"/>
    </xf>
    <xf borderId="8" fillId="0" fontId="12" numFmtId="1" xfId="0" applyAlignment="1" applyBorder="1" applyFont="1" applyNumberFormat="1">
      <alignment horizontal="center" vertical="center"/>
    </xf>
    <xf borderId="9" fillId="0" fontId="12" numFmtId="1" xfId="0" applyAlignment="1" applyBorder="1" applyFont="1" applyNumberFormat="1">
      <alignment horizontal="left" vertical="center"/>
    </xf>
    <xf borderId="48" fillId="5" fontId="2" numFmtId="1" xfId="0" applyAlignment="1" applyBorder="1" applyFont="1" applyNumberFormat="1">
      <alignment horizontal="center" vertical="center"/>
    </xf>
    <xf borderId="8" fillId="5" fontId="2" numFmtId="1" xfId="0" applyAlignment="1" applyBorder="1" applyFont="1" applyNumberFormat="1">
      <alignment horizontal="center" vertical="center"/>
    </xf>
    <xf borderId="12" fillId="9" fontId="8" numFmtId="0" xfId="0" applyAlignment="1" applyBorder="1" applyFill="1" applyFont="1">
      <alignment horizontal="center" vertical="center"/>
    </xf>
    <xf borderId="56" fillId="5" fontId="2" numFmtId="1" xfId="0" applyBorder="1" applyFont="1" applyNumberFormat="1"/>
    <xf borderId="56" fillId="5" fontId="7" numFmtId="1" xfId="0" applyBorder="1" applyFont="1" applyNumberFormat="1"/>
    <xf borderId="11" fillId="4" fontId="8" numFmtId="0" xfId="0" applyAlignment="1" applyBorder="1" applyFont="1">
      <alignment horizontal="center" vertical="center"/>
    </xf>
    <xf borderId="7" fillId="5" fontId="2" numFmtId="1" xfId="0" applyAlignment="1" applyBorder="1" applyFont="1" applyNumberFormat="1">
      <alignment horizontal="center" vertical="center"/>
    </xf>
    <xf borderId="12" fillId="4" fontId="10" numFmtId="0" xfId="0" applyAlignment="1" applyBorder="1" applyFont="1">
      <alignment horizontal="center" vertical="center"/>
    </xf>
    <xf borderId="7" fillId="5" fontId="2" numFmtId="9" xfId="0" applyAlignment="1" applyBorder="1" applyFont="1" applyNumberFormat="1">
      <alignment horizontal="center" vertical="center"/>
    </xf>
    <xf borderId="8" fillId="5" fontId="2" numFmtId="9" xfId="0" applyAlignment="1" applyBorder="1" applyFont="1" applyNumberFormat="1">
      <alignment horizontal="center" vertical="center"/>
    </xf>
    <xf borderId="9" fillId="5" fontId="2" numFmtId="9" xfId="0" applyAlignment="1" applyBorder="1" applyFont="1" applyNumberFormat="1">
      <alignment horizontal="center" vertical="center"/>
    </xf>
    <xf borderId="12" fillId="0" fontId="11" numFmtId="10" xfId="0" applyAlignment="1" applyBorder="1" applyFont="1" applyNumberFormat="1">
      <alignment horizontal="center" vertical="center"/>
    </xf>
    <xf borderId="57" fillId="5" fontId="2" numFmtId="9" xfId="0" applyAlignment="1" applyBorder="1" applyFont="1" applyNumberFormat="1">
      <alignment horizontal="center" vertical="center"/>
    </xf>
    <xf borderId="11" fillId="7" fontId="13" numFmtId="1" xfId="0" applyAlignment="1" applyBorder="1" applyFont="1" applyNumberFormat="1">
      <alignment horizontal="center" vertical="center"/>
    </xf>
    <xf borderId="58" fillId="5" fontId="2" numFmtId="1" xfId="0" applyAlignment="1" applyBorder="1" applyFont="1" applyNumberFormat="1">
      <alignment horizontal="center" vertical="center"/>
    </xf>
    <xf borderId="59" fillId="5" fontId="2" numFmtId="9" xfId="0" applyAlignment="1" applyBorder="1" applyFont="1" applyNumberFormat="1">
      <alignment horizontal="center" vertical="center"/>
    </xf>
    <xf borderId="60" fillId="5" fontId="2" numFmtId="9" xfId="0" applyAlignment="1" applyBorder="1" applyFont="1" applyNumberFormat="1">
      <alignment horizontal="center" vertical="center"/>
    </xf>
    <xf borderId="61" fillId="5" fontId="2" numFmtId="9" xfId="0" applyAlignment="1" applyBorder="1" applyFont="1" applyNumberFormat="1">
      <alignment horizontal="center" vertical="center"/>
    </xf>
    <xf borderId="62" fillId="5" fontId="2" numFmtId="1" xfId="0" applyAlignment="1" applyBorder="1" applyFont="1" applyNumberFormat="1">
      <alignment horizontal="center" vertical="center"/>
    </xf>
    <xf borderId="63" fillId="0" fontId="4" numFmtId="0" xfId="0" applyBorder="1" applyFont="1"/>
    <xf borderId="12" fillId="7" fontId="13" numFmtId="1" xfId="0" applyAlignment="1" applyBorder="1" applyFont="1" applyNumberFormat="1">
      <alignment horizontal="center" vertical="center"/>
    </xf>
    <xf borderId="64" fillId="0" fontId="4" numFmtId="0" xfId="0" applyBorder="1" applyFont="1"/>
    <xf borderId="15" fillId="0" fontId="2" numFmtId="1" xfId="0" applyAlignment="1" applyBorder="1" applyFont="1" applyNumberFormat="1">
      <alignment horizontal="center"/>
    </xf>
    <xf borderId="11" fillId="10" fontId="1" numFmtId="0" xfId="0" applyAlignment="1" applyBorder="1" applyFill="1" applyFont="1">
      <alignment horizontal="center"/>
    </xf>
    <xf borderId="11" fillId="7" fontId="13" numFmtId="9" xfId="0" applyAlignment="1" applyBorder="1" applyFont="1" applyNumberFormat="1">
      <alignment horizontal="center" vertical="center"/>
    </xf>
    <xf borderId="65" fillId="10" fontId="2" numFmtId="2" xfId="0" applyAlignment="1" applyBorder="1" applyFont="1" applyNumberFormat="1">
      <alignment horizontal="center" vertical="center"/>
    </xf>
    <xf borderId="66" fillId="10" fontId="13" numFmtId="2" xfId="0" applyAlignment="1" applyBorder="1" applyFont="1" applyNumberFormat="1">
      <alignment horizontal="center"/>
    </xf>
    <xf borderId="65" fillId="2" fontId="2" numFmtId="2" xfId="0" applyAlignment="1" applyBorder="1" applyFont="1" applyNumberFormat="1">
      <alignment horizontal="center" vertical="center"/>
    </xf>
    <xf borderId="67" fillId="2" fontId="2" numFmtId="2" xfId="0" applyBorder="1" applyFont="1" applyNumberFormat="1"/>
    <xf borderId="68" fillId="2" fontId="2" numFmtId="2" xfId="0" applyBorder="1" applyFont="1" applyNumberFormat="1"/>
    <xf borderId="12" fillId="7" fontId="13" numFmtId="9" xfId="0" applyAlignment="1" applyBorder="1" applyFont="1" applyNumberFormat="1">
      <alignment horizontal="center" vertical="center"/>
    </xf>
    <xf borderId="68" fillId="2" fontId="7" numFmtId="2" xfId="0" applyBorder="1" applyFont="1" applyNumberFormat="1"/>
    <xf borderId="69" fillId="2" fontId="7" numFmtId="2" xfId="0" applyBorder="1" applyFont="1" applyNumberFormat="1"/>
    <xf borderId="67" fillId="2" fontId="7" numFmtId="2" xfId="0" applyBorder="1" applyFont="1" applyNumberFormat="1"/>
    <xf borderId="55" fillId="0" fontId="2" numFmtId="2" xfId="0" applyAlignment="1" applyBorder="1" applyFont="1" applyNumberFormat="1">
      <alignment horizontal="center" vertical="center"/>
    </xf>
    <xf borderId="70" fillId="0" fontId="2" numFmtId="2" xfId="0" applyAlignment="1" applyBorder="1" applyFont="1" applyNumberFormat="1">
      <alignment horizontal="center" vertical="center"/>
    </xf>
    <xf borderId="17" fillId="0" fontId="2" numFmtId="9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15" fillId="0" fontId="2" numFmtId="1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horizontal="center" vertical="center"/>
    </xf>
    <xf borderId="11" fillId="0" fontId="11" numFmtId="1" xfId="0" applyAlignment="1" applyBorder="1" applyFont="1" applyNumberFormat="1">
      <alignment horizontal="center" vertical="center"/>
    </xf>
    <xf borderId="11" fillId="0" fontId="11" numFmtId="10" xfId="0" applyAlignment="1" applyBorder="1" applyFont="1" applyNumberFormat="1">
      <alignment horizontal="center" vertical="center"/>
    </xf>
    <xf borderId="21" fillId="0" fontId="2" numFmtId="9" xfId="0" applyAlignment="1" applyBorder="1" applyFont="1" applyNumberFormat="1">
      <alignment horizontal="center" vertical="center"/>
    </xf>
    <xf borderId="11" fillId="2" fontId="11" numFmtId="0" xfId="0" applyAlignment="1" applyBorder="1" applyFont="1">
      <alignment horizontal="center" vertical="center"/>
    </xf>
    <xf borderId="52" fillId="0" fontId="14" numFmtId="0" xfId="0" applyAlignment="1" applyBorder="1" applyFont="1">
      <alignment horizontal="center" vertical="center"/>
    </xf>
    <xf borderId="22" fillId="2" fontId="11" numFmtId="0" xfId="0" applyAlignment="1" applyBorder="1" applyFont="1">
      <alignment horizontal="center" vertical="center"/>
    </xf>
    <xf borderId="22" fillId="0" fontId="11" numFmtId="10" xfId="0" applyAlignment="1" applyBorder="1" applyFont="1" applyNumberFormat="1">
      <alignment horizontal="center" vertical="center"/>
    </xf>
    <xf borderId="42" fillId="0" fontId="4" numFmtId="0" xfId="0" applyBorder="1" applyFont="1"/>
    <xf borderId="70" fillId="0" fontId="4" numFmtId="0" xfId="0" applyBorder="1" applyFont="1"/>
    <xf borderId="12" fillId="0" fontId="12" numFmtId="0" xfId="0" applyAlignment="1" applyBorder="1" applyFont="1">
      <alignment horizontal="center" vertical="center"/>
    </xf>
    <xf borderId="11" fillId="2" fontId="13" numFmtId="2" xfId="0" applyAlignment="1" applyBorder="1" applyFont="1" applyNumberFormat="1">
      <alignment horizontal="center" vertical="center"/>
    </xf>
    <xf borderId="36" fillId="0" fontId="14" numFmtId="0" xfId="0" applyAlignment="1" applyBorder="1" applyFont="1">
      <alignment horizontal="center" vertical="center"/>
    </xf>
    <xf borderId="0" fillId="0" fontId="10" numFmtId="0" xfId="0" applyAlignment="1" applyFont="1">
      <alignment horizontal="left" vertical="center"/>
    </xf>
    <xf borderId="11" fillId="0" fontId="5" numFmtId="1" xfId="0" applyAlignment="1" applyBorder="1" applyFont="1" applyNumberFormat="1">
      <alignment horizontal="left" vertical="center"/>
    </xf>
    <xf borderId="11" fillId="0" fontId="5" numFmtId="1" xfId="0" applyAlignment="1" applyBorder="1" applyFont="1" applyNumberFormat="1">
      <alignment horizontal="center" shrinkToFit="0" wrapText="1"/>
    </xf>
    <xf borderId="22" fillId="0" fontId="1" numFmtId="1" xfId="0" applyAlignment="1" applyBorder="1" applyFont="1" applyNumberFormat="1">
      <alignment horizontal="left" shrinkToFit="0" wrapText="0"/>
    </xf>
    <xf borderId="22" fillId="2" fontId="1" numFmtId="1" xfId="0" applyAlignment="1" applyBorder="1" applyFont="1" applyNumberFormat="1">
      <alignment horizontal="center"/>
    </xf>
    <xf borderId="11" fillId="0" fontId="1" numFmtId="9" xfId="0" applyAlignment="1" applyBorder="1" applyFont="1" applyNumberFormat="1">
      <alignment horizontal="center" vertical="center"/>
    </xf>
    <xf borderId="21" fillId="0" fontId="2" numFmtId="1" xfId="0" applyAlignment="1" applyBorder="1" applyFont="1" applyNumberFormat="1">
      <alignment horizontal="center" shrinkToFit="0" vertical="center" wrapText="1"/>
    </xf>
    <xf borderId="11" fillId="0" fontId="1" numFmtId="1" xfId="0" applyAlignment="1" applyBorder="1" applyFont="1" applyNumberFormat="1">
      <alignment horizontal="center" vertical="center"/>
    </xf>
    <xf borderId="11" fillId="11" fontId="1" numFmtId="1" xfId="0" applyBorder="1" applyFill="1" applyFont="1" applyNumberFormat="1"/>
    <xf borderId="11" fillId="2" fontId="2" numFmtId="2" xfId="0" applyAlignment="1" applyBorder="1" applyFont="1" applyNumberFormat="1">
      <alignment horizontal="center" vertical="center"/>
    </xf>
    <xf borderId="11" fillId="0" fontId="1" numFmtId="164" xfId="0" applyAlignment="1" applyBorder="1" applyFont="1" applyNumberFormat="1">
      <alignment horizontal="center"/>
    </xf>
    <xf borderId="11" fillId="0" fontId="2" numFmtId="2" xfId="0" applyAlignment="1" applyBorder="1" applyFont="1" applyNumberFormat="1">
      <alignment horizontal="center" vertical="center"/>
    </xf>
    <xf borderId="11" fillId="0" fontId="1" numFmtId="1" xfId="0" applyAlignment="1" applyBorder="1" applyFont="1" applyNumberFormat="1">
      <alignment horizontal="left" shrinkToFit="0" wrapText="0"/>
    </xf>
    <xf borderId="11" fillId="2" fontId="1" numFmtId="1" xfId="0" applyAlignment="1" applyBorder="1" applyFont="1" applyNumberFormat="1">
      <alignment horizontal="center"/>
    </xf>
    <xf borderId="0" fillId="0" fontId="1" numFmtId="164" xfId="0" applyFont="1" applyNumberFormat="1"/>
    <xf borderId="33" fillId="0" fontId="18" numFmtId="0" xfId="0" applyAlignment="1" applyBorder="1" applyFont="1">
      <alignment horizontal="center" vertical="center"/>
    </xf>
    <xf borderId="0" fillId="0" fontId="14" numFmtId="0" xfId="0" applyFont="1"/>
    <xf borderId="0" fillId="0" fontId="16" numFmtId="0" xfId="0" applyFont="1"/>
    <xf borderId="0" fillId="0" fontId="8" numFmtId="0" xfId="0" applyAlignment="1" applyFont="1">
      <alignment vertical="center"/>
    </xf>
    <xf borderId="15" fillId="12" fontId="9" numFmtId="0" xfId="0" applyAlignment="1" applyBorder="1" applyFill="1" applyFont="1">
      <alignment horizontal="center" vertical="center"/>
    </xf>
    <xf borderId="71" fillId="9" fontId="8" numFmtId="0" xfId="0" applyAlignment="1" applyBorder="1" applyFont="1">
      <alignment horizontal="center" vertical="center"/>
    </xf>
    <xf borderId="72" fillId="0" fontId="4" numFmtId="0" xfId="0" applyBorder="1" applyFont="1"/>
    <xf borderId="16" fillId="12" fontId="9" numFmtId="1" xfId="0" applyAlignment="1" applyBorder="1" applyFont="1" applyNumberFormat="1">
      <alignment horizontal="center" vertical="center"/>
    </xf>
    <xf borderId="16" fillId="12" fontId="9" numFmtId="0" xfId="0" applyAlignment="1" applyBorder="1" applyFont="1">
      <alignment horizontal="center" vertical="center"/>
    </xf>
    <xf borderId="17" fillId="12" fontId="9" numFmtId="1" xfId="0" applyAlignment="1" applyBorder="1" applyFont="1" applyNumberFormat="1">
      <alignment horizontal="center" vertical="center"/>
    </xf>
    <xf borderId="12" fillId="9" fontId="14" numFmtId="0" xfId="0" applyAlignment="1" applyBorder="1" applyFont="1">
      <alignment horizontal="center" vertical="center"/>
    </xf>
    <xf borderId="11" fillId="12" fontId="9" numFmtId="0" xfId="0" applyAlignment="1" applyBorder="1" applyFont="1">
      <alignment horizontal="center" shrinkToFit="0" vertical="center" wrapText="1"/>
    </xf>
    <xf borderId="73" fillId="12" fontId="9" numFmtId="1" xfId="0" applyAlignment="1" applyBorder="1" applyFont="1" applyNumberFormat="1">
      <alignment horizontal="center" shrinkToFit="0" vertical="center" wrapText="1"/>
    </xf>
    <xf borderId="12" fillId="7" fontId="14" numFmtId="0" xfId="0" applyAlignment="1" applyBorder="1" applyFont="1">
      <alignment horizontal="center" vertical="center"/>
    </xf>
    <xf borderId="74" fillId="2" fontId="1" numFmtId="1" xfId="0" applyAlignment="1" applyBorder="1" applyFont="1" applyNumberFormat="1">
      <alignment horizontal="left"/>
    </xf>
    <xf borderId="75" fillId="0" fontId="4" numFmtId="0" xfId="0" applyBorder="1" applyFont="1"/>
    <xf borderId="76" fillId="12" fontId="9" numFmtId="164" xfId="0" applyAlignment="1" applyBorder="1" applyFont="1" applyNumberFormat="1">
      <alignment horizontal="center" vertical="center"/>
    </xf>
    <xf borderId="11" fillId="0" fontId="13" numFmtId="9" xfId="0" applyAlignment="1" applyBorder="1" applyFont="1" applyNumberFormat="1">
      <alignment horizontal="center" vertical="center"/>
    </xf>
    <xf borderId="76" fillId="12" fontId="9" numFmtId="0" xfId="0" applyAlignment="1" applyBorder="1" applyFont="1">
      <alignment horizontal="center" vertical="center"/>
    </xf>
    <xf borderId="77" fillId="12" fontId="9" numFmtId="1" xfId="0" applyAlignment="1" applyBorder="1" applyFont="1" applyNumberFormat="1">
      <alignment horizontal="center" vertical="center"/>
    </xf>
    <xf borderId="33" fillId="0" fontId="9" numFmtId="0" xfId="0" applyAlignment="1" applyBorder="1" applyFont="1">
      <alignment horizontal="center" vertical="center"/>
    </xf>
    <xf borderId="29" fillId="0" fontId="4" numFmtId="0" xfId="0" applyBorder="1" applyFont="1"/>
    <xf borderId="4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78" fillId="0" fontId="9" numFmtId="0" xfId="0" applyAlignment="1" applyBorder="1" applyFont="1">
      <alignment horizontal="center" vertical="center"/>
    </xf>
    <xf borderId="79" fillId="0" fontId="4" numFmtId="0" xfId="0" applyBorder="1" applyFont="1"/>
    <xf borderId="80" fillId="0" fontId="14" numFmtId="9" xfId="0" applyAlignment="1" applyBorder="1" applyFont="1" applyNumberFormat="1">
      <alignment horizontal="center" shrinkToFit="0" vertical="center" wrapText="1"/>
    </xf>
    <xf borderId="81" fillId="0" fontId="9" numFmtId="9" xfId="0" applyAlignment="1" applyBorder="1" applyFont="1" applyNumberFormat="1">
      <alignment horizontal="center" vertical="center"/>
    </xf>
    <xf borderId="82" fillId="0" fontId="4" numFmtId="0" xfId="0" applyBorder="1" applyFont="1"/>
    <xf borderId="83" fillId="0" fontId="4" numFmtId="0" xfId="0" applyBorder="1" applyFont="1"/>
    <xf borderId="54" fillId="0" fontId="19" numFmtId="0" xfId="0" applyAlignment="1" applyBorder="1" applyFont="1">
      <alignment horizontal="left" shrinkToFit="0" wrapText="1"/>
    </xf>
    <xf borderId="12" fillId="13" fontId="20" numFmtId="0" xfId="0" applyAlignment="1" applyBorder="1" applyFill="1" applyFont="1">
      <alignment horizontal="center" vertical="center"/>
    </xf>
    <xf borderId="0" fillId="0" fontId="21" numFmtId="0" xfId="0" applyFont="1"/>
    <xf borderId="0" fillId="0" fontId="22" numFmtId="0" xfId="0" applyFont="1"/>
    <xf borderId="12" fillId="13" fontId="11" numFmtId="0" xfId="0" applyAlignment="1" applyBorder="1" applyFont="1">
      <alignment horizontal="left" shrinkToFit="0" wrapText="1"/>
    </xf>
    <xf borderId="12" fillId="13" fontId="11" numFmtId="0" xfId="0" applyBorder="1" applyFont="1"/>
    <xf borderId="12" fillId="13" fontId="11" numFmtId="0" xfId="0" applyAlignment="1" applyBorder="1" applyFont="1">
      <alignment horizontal="center"/>
    </xf>
    <xf borderId="84" fillId="13" fontId="11" numFmtId="0" xfId="0" applyAlignment="1" applyBorder="1" applyFont="1">
      <alignment horizontal="center"/>
    </xf>
    <xf borderId="85" fillId="13" fontId="11" numFmtId="0" xfId="0" applyAlignment="1" applyBorder="1" applyFont="1">
      <alignment horizontal="center"/>
    </xf>
    <xf borderId="86" fillId="13" fontId="11" numFmtId="0" xfId="0" applyAlignment="1" applyBorder="1" applyFont="1">
      <alignment horizontal="center"/>
    </xf>
    <xf borderId="12" fillId="13" fontId="14" numFmtId="0" xfId="0" applyAlignment="1" applyBorder="1" applyFont="1">
      <alignment horizontal="center" vertical="center"/>
    </xf>
    <xf borderId="70" fillId="2" fontId="2" numFmtId="2" xfId="0" applyAlignment="1" applyBorder="1" applyFont="1" applyNumberFormat="1">
      <alignment horizontal="center" vertical="center"/>
    </xf>
    <xf borderId="0" fillId="0" fontId="23" numFmtId="0" xfId="0" applyAlignment="1" applyFont="1">
      <alignment horizontal="right"/>
    </xf>
    <xf borderId="0" fillId="0" fontId="9" numFmtId="0" xfId="0" applyAlignment="1" applyFont="1">
      <alignment horizontal="right"/>
    </xf>
    <xf borderId="54" fillId="0" fontId="24" numFmtId="0" xfId="0" applyBorder="1" applyFont="1"/>
    <xf borderId="0" fillId="0" fontId="9" numFmtId="1" xfId="0" applyAlignment="1" applyFont="1" applyNumberFormat="1">
      <alignment horizontal="center" vertical="center"/>
    </xf>
    <xf borderId="0" fillId="0" fontId="9" numFmtId="165" xfId="0" applyAlignment="1" applyFont="1" applyNumberFormat="1">
      <alignment horizontal="center" vertical="center"/>
    </xf>
    <xf borderId="0" fillId="0" fontId="25" numFmtId="0" xfId="0" applyFont="1"/>
    <xf borderId="0" fillId="0" fontId="8" numFmtId="0" xfId="0" applyAlignment="1" applyFont="1">
      <alignment horizontal="center" shrinkToFit="0" vertical="top" wrapText="0"/>
    </xf>
    <xf borderId="0" fillId="0" fontId="8" numFmtId="0" xfId="0" applyAlignment="1" applyFont="1">
      <alignment horizontal="center" vertical="top"/>
    </xf>
    <xf borderId="0" fillId="0" fontId="8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26" numFmtId="0" xfId="0" applyAlignment="1" applyFont="1">
      <alignment horizontal="left" vertical="top"/>
    </xf>
    <xf borderId="0" fillId="0" fontId="27" numFmtId="0" xfId="0" applyFont="1"/>
    <xf borderId="0" fillId="0" fontId="13" numFmtId="0" xfId="0" applyAlignment="1" applyFont="1">
      <alignment horizontal="center" shrinkToFit="0" vertical="top" wrapText="0"/>
    </xf>
    <xf borderId="0" fillId="0" fontId="13" numFmtId="0" xfId="0" applyAlignment="1" applyFont="1">
      <alignment horizontal="center" vertical="top"/>
    </xf>
    <xf borderId="0" fillId="0" fontId="1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/>
    </xf>
    <xf borderId="0" fillId="14" fontId="13" numFmtId="0" xfId="0" applyAlignment="1" applyFill="1" applyFont="1">
      <alignment horizontal="center" vertical="top"/>
    </xf>
    <xf borderId="0" fillId="15" fontId="13" numFmtId="0" xfId="0" applyAlignment="1" applyFill="1" applyFont="1">
      <alignment horizontal="center" vertical="top"/>
    </xf>
    <xf borderId="0" fillId="0" fontId="28" numFmtId="0" xfId="0" applyAlignment="1" applyFont="1">
      <alignment horizontal="left" vertical="top"/>
    </xf>
    <xf borderId="0" fillId="0" fontId="26" numFmtId="0" xfId="0" applyAlignment="1" applyFont="1">
      <alignment shrinkToFit="0" vertical="top" wrapText="0"/>
    </xf>
    <xf borderId="0" fillId="0" fontId="26" numFmtId="0" xfId="0" applyAlignment="1" applyFont="1">
      <alignment horizontal="left" shrinkToFit="0" vertical="top" wrapText="0"/>
    </xf>
    <xf borderId="0" fillId="0" fontId="27" numFmtId="0" xfId="0" applyAlignment="1" applyFont="1">
      <alignment horizontal="left"/>
    </xf>
    <xf borderId="70" fillId="10" fontId="2" numFmtId="2" xfId="0" applyAlignment="1" applyBorder="1" applyFont="1" applyNumberFormat="1">
      <alignment horizontal="center" vertical="center"/>
    </xf>
    <xf borderId="21" fillId="0" fontId="2" numFmtId="1" xfId="0" applyAlignment="1" applyBorder="1" applyFont="1" applyNumberFormat="1">
      <alignment horizontal="center" shrinkToFit="0" wrapText="1"/>
    </xf>
    <xf borderId="86" fillId="10" fontId="1" numFmtId="2" xfId="0" applyAlignment="1" applyBorder="1" applyFont="1" applyNumberFormat="1">
      <alignment horizontal="center"/>
    </xf>
    <xf borderId="86" fillId="2" fontId="1" numFmtId="2" xfId="0" applyAlignment="1" applyBorder="1" applyFont="1" applyNumberFormat="1">
      <alignment horizontal="center"/>
    </xf>
    <xf borderId="86" fillId="2" fontId="7" numFmtId="2" xfId="0" applyBorder="1" applyFont="1" applyNumberFormat="1"/>
    <xf borderId="73" fillId="2" fontId="7" numFmtId="2" xfId="0" applyBorder="1" applyFont="1" applyNumberFormat="1"/>
    <xf borderId="86" fillId="2" fontId="2" numFmtId="2" xfId="0" applyBorder="1" applyFont="1" applyNumberFormat="1"/>
    <xf borderId="13" fillId="0" fontId="2" numFmtId="2" xfId="0" applyAlignment="1" applyBorder="1" applyFont="1" applyNumberFormat="1">
      <alignment horizontal="center"/>
    </xf>
    <xf borderId="87" fillId="0" fontId="2" numFmtId="9" xfId="0" applyAlignment="1" applyBorder="1" applyFont="1" applyNumberFormat="1">
      <alignment horizontal="center"/>
    </xf>
    <xf borderId="30" fillId="0" fontId="2" numFmtId="1" xfId="0" applyAlignment="1" applyBorder="1" applyFont="1" applyNumberFormat="1">
      <alignment horizontal="center"/>
    </xf>
    <xf borderId="29" fillId="0" fontId="2" numFmtId="1" xfId="0" applyAlignment="1" applyBorder="1" applyFont="1" applyNumberFormat="1">
      <alignment horizontal="center"/>
    </xf>
    <xf borderId="35" fillId="0" fontId="7" numFmtId="1" xfId="0" applyBorder="1" applyFont="1" applyNumberFormat="1"/>
    <xf borderId="88" fillId="0" fontId="2" numFmtId="9" xfId="0" applyAlignment="1" applyBorder="1" applyFont="1" applyNumberFormat="1">
      <alignment horizontal="center"/>
    </xf>
    <xf borderId="34" fillId="0" fontId="2" numFmtId="1" xfId="0" applyAlignment="1" applyBorder="1" applyFont="1" applyNumberFormat="1">
      <alignment horizontal="center" shrinkToFit="0" wrapText="1"/>
    </xf>
    <xf borderId="0" fillId="0" fontId="7" numFmtId="49" xfId="0" applyAlignment="1" applyFont="1" applyNumberFormat="1">
      <alignment vertical="top"/>
    </xf>
    <xf borderId="0" fillId="0" fontId="7" numFmtId="1" xfId="0" applyAlignment="1" applyFont="1" applyNumberFormat="1">
      <alignment vertical="top"/>
    </xf>
    <xf borderId="89" fillId="10" fontId="7" numFmtId="2" xfId="0" applyBorder="1" applyFont="1" applyNumberFormat="1"/>
    <xf borderId="89" fillId="2" fontId="7" numFmtId="2" xfId="0" applyBorder="1" applyFont="1" applyNumberFormat="1"/>
    <xf borderId="90" fillId="2" fontId="7" numFmtId="2" xfId="0" applyBorder="1" applyFont="1" applyNumberFormat="1"/>
    <xf borderId="89" fillId="2" fontId="2" numFmtId="2" xfId="0" applyBorder="1" applyFont="1" applyNumberFormat="1"/>
    <xf borderId="52" fillId="0" fontId="2" numFmtId="2" xfId="0" applyAlignment="1" applyBorder="1" applyFont="1" applyNumberFormat="1">
      <alignment horizontal="center"/>
    </xf>
    <xf borderId="5" fillId="0" fontId="2" numFmtId="9" xfId="0" applyAlignment="1" applyBorder="1" applyFont="1" applyNumberFormat="1">
      <alignment horizontal="center"/>
    </xf>
    <xf borderId="32" fillId="0" fontId="2" numFmtId="1" xfId="0" applyAlignment="1" applyBorder="1" applyFont="1" applyNumberFormat="1">
      <alignment horizontal="center"/>
    </xf>
    <xf borderId="0" fillId="0" fontId="7" numFmtId="1" xfId="0" applyFont="1" applyNumberFormat="1"/>
    <xf borderId="0" fillId="0" fontId="2" numFmtId="9" xfId="0" applyAlignment="1" applyFont="1" applyNumberFormat="1">
      <alignment horizontal="center"/>
    </xf>
    <xf borderId="91" fillId="5" fontId="3" numFmtId="1" xfId="0" applyAlignment="1" applyBorder="1" applyFont="1" applyNumberFormat="1">
      <alignment horizontal="center" vertical="center"/>
    </xf>
    <xf borderId="33" fillId="5" fontId="3" numFmtId="1" xfId="0" applyAlignment="1" applyBorder="1" applyFont="1" applyNumberFormat="1">
      <alignment horizontal="center" vertical="center"/>
    </xf>
    <xf borderId="7" fillId="5" fontId="2" numFmtId="2" xfId="0" applyAlignment="1" applyBorder="1" applyFont="1" applyNumberFormat="1">
      <alignment horizontal="center" vertical="center"/>
    </xf>
    <xf borderId="8" fillId="5" fontId="2" numFmtId="2" xfId="0" applyAlignment="1" applyBorder="1" applyFont="1" applyNumberFormat="1">
      <alignment horizontal="center" vertical="center"/>
    </xf>
    <xf borderId="9" fillId="5" fontId="2" numFmtId="1" xfId="0" applyAlignment="1" applyBorder="1" applyFont="1" applyNumberFormat="1">
      <alignment horizontal="center" vertical="center"/>
    </xf>
    <xf borderId="0" fillId="0" fontId="2" numFmtId="9" xfId="0" applyFont="1" applyNumberFormat="1"/>
    <xf borderId="0" fillId="0" fontId="2" numFmtId="0" xfId="0" applyAlignment="1" applyFont="1">
      <alignment vertical="top"/>
    </xf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487815770721725"/>
          <c:y val="0.04262295081967213"/>
          <c:w val="0.9105709130679009"/>
          <c:h val="0.8426229508196726"/>
        </c:manualLayout>
      </c:layout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GradeSheet!$D$55:$D$66</c:f>
            </c:strRef>
          </c:cat>
          <c:val>
            <c:numRef>
              <c:f>GradeSheet!$E$55:$E$66</c:f>
              <c:numCache/>
            </c:numRef>
          </c:val>
        </c:ser>
        <c:axId val="1590819299"/>
        <c:axId val="831227560"/>
      </c:barChart>
      <c:catAx>
        <c:axId val="1590819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1227560"/>
      </c:catAx>
      <c:valAx>
        <c:axId val="831227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0819299"/>
      </c:valAx>
      <c:spPr>
        <a:solidFill>
          <a:srgbClr val="FFFFFF"/>
        </a:solidFill>
      </c:spPr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Summary of COs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CourseSummary!$H$58:$M$58</c:f>
            </c:strRef>
          </c:cat>
          <c:val>
            <c:numRef>
              <c:f>CourseSummary!$H$59:$M$59</c:f>
              <c:numCache/>
            </c:numRef>
          </c:val>
        </c:ser>
        <c:ser>
          <c:idx val="1"/>
          <c:order val="1"/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CourseSummary!$H$58:$M$58</c:f>
            </c:strRef>
          </c:cat>
          <c:val>
            <c:numRef>
              <c:f>CourseSummary!$H$60:$M$60</c:f>
              <c:numCache/>
            </c:numRef>
          </c:val>
        </c:ser>
        <c:axId val="579142842"/>
        <c:axId val="671054301"/>
      </c:barChart>
      <c:catAx>
        <c:axId val="579142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71054301"/>
      </c:catAx>
      <c:valAx>
        <c:axId val="6710543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Average Score </a:t>
                </a:r>
              </a:p>
            </c:rich>
          </c:tx>
          <c:layout>
            <c:manualLayout>
              <c:xMode val="edge"/>
              <c:yMode val="edge"/>
              <c:x val="0.11366761542930465"/>
              <c:y val="0.320210565584705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57914284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Arial Narrow"/>
              </a:defRPr>
            </a:pPr>
            <a:r>
              <a:rPr b="0" i="0" sz="1400">
                <a:solidFill>
                  <a:srgbClr val="757575"/>
                </a:solidFill>
                <a:latin typeface="Arial Narrow"/>
              </a:rPr>
              <a:t>Grade Distribution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Number of Students</c:v>
          </c:tx>
          <c:spPr>
            <a:solidFill>
              <a:srgbClr val="4472C4"/>
            </a:solidFill>
            <a:ln cmpd="sng">
              <a:noFill/>
            </a:ln>
          </c:spPr>
          <c:cat>
            <c:strRef>
              <c:f>CourseSummary!$B$23:$M$23</c:f>
            </c:strRef>
          </c:cat>
          <c:val>
            <c:numRef>
              <c:f>CourseSummary!$B$24:$M$24</c:f>
              <c:numCache/>
            </c:numRef>
          </c:val>
        </c:ser>
        <c:ser>
          <c:idx val="1"/>
          <c:order val="1"/>
          <c:tx>
            <c:v>Percentage of Students</c:v>
          </c:tx>
          <c:spPr>
            <a:solidFill>
              <a:srgbClr val="5B9BD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Arial Narro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CourseSummary!$B$23:$M$23</c:f>
            </c:strRef>
          </c:cat>
          <c:val>
            <c:numRef>
              <c:f>CourseSummary!$B$25:$M$25</c:f>
              <c:numCache/>
            </c:numRef>
          </c:val>
        </c:ser>
        <c:axId val="80916541"/>
        <c:axId val="1707730650"/>
      </c:barChart>
      <c:catAx>
        <c:axId val="80916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1707730650"/>
      </c:catAx>
      <c:valAx>
        <c:axId val="170773065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Arial Narrow"/>
                  </a:rPr>
                  <a:t>Percentage of Students</a:t>
                </a:r>
              </a:p>
            </c:rich>
          </c:tx>
          <c:layout>
            <c:manualLayout>
              <c:xMode val="edge"/>
              <c:yMode val="edge"/>
              <c:x val="0.1355415573053369"/>
              <c:y val="0.2480519101779005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rial Narrow"/>
              </a:defRPr>
            </a:pPr>
          </a:p>
        </c:txPr>
        <c:crossAx val="8091654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53</xdr:row>
      <xdr:rowOff>19050</xdr:rowOff>
    </xdr:from>
    <xdr:ext cx="3952875" cy="2790825"/>
    <xdr:graphicFrame>
      <xdr:nvGraphicFramePr>
        <xdr:cNvPr id="809600168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295275</xdr:colOff>
      <xdr:row>62</xdr:row>
      <xdr:rowOff>38100</xdr:rowOff>
    </xdr:from>
    <xdr:ext cx="1038225" cy="523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62</xdr:row>
      <xdr:rowOff>0</xdr:rowOff>
    </xdr:from>
    <xdr:ext cx="5153025" cy="2762250"/>
    <xdr:graphicFrame>
      <xdr:nvGraphicFramePr>
        <xdr:cNvPr id="77764547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</xdr:colOff>
      <xdr:row>6</xdr:row>
      <xdr:rowOff>19050</xdr:rowOff>
    </xdr:from>
    <xdr:ext cx="6534150" cy="2762250"/>
    <xdr:graphicFrame>
      <xdr:nvGraphicFramePr>
        <xdr:cNvPr id="50025922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219075</xdr:colOff>
      <xdr:row>68</xdr:row>
      <xdr:rowOff>38100</xdr:rowOff>
    </xdr:from>
    <xdr:ext cx="3438525" cy="28575"/>
    <xdr:grpSp>
      <xdr:nvGrpSpPr>
        <xdr:cNvPr id="2" name="Shape 2"/>
        <xdr:cNvGrpSpPr/>
      </xdr:nvGrpSpPr>
      <xdr:grpSpPr>
        <a:xfrm>
          <a:off x="3626738" y="3765713"/>
          <a:ext cx="3438525" cy="28575"/>
          <a:chOff x="3626738" y="3765713"/>
          <a:chExt cx="3438525" cy="28575"/>
        </a:xfrm>
      </xdr:grpSpPr>
      <xdr:grpSp>
        <xdr:nvGrpSpPr>
          <xdr:cNvPr id="3" name="Shape 3"/>
          <xdr:cNvGrpSpPr/>
        </xdr:nvGrpSpPr>
        <xdr:grpSpPr>
          <a:xfrm>
            <a:off x="3626738" y="3765713"/>
            <a:ext cx="3438525" cy="28575"/>
            <a:chOff x="3626738" y="3765713"/>
            <a:chExt cx="3438525" cy="28575"/>
          </a:xfrm>
        </xdr:grpSpPr>
        <xdr:sp>
          <xdr:nvSpPr>
            <xdr:cNvPr id="4" name="Shape 4"/>
            <xdr:cNvSpPr/>
          </xdr:nvSpPr>
          <xdr:spPr>
            <a:xfrm>
              <a:off x="3626738" y="3765713"/>
              <a:ext cx="343852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626738" y="3765713"/>
              <a:ext cx="3438525" cy="28575"/>
              <a:chOff x="3626738" y="3765713"/>
              <a:chExt cx="3438525" cy="28575"/>
            </a:xfrm>
          </xdr:grpSpPr>
          <xdr:sp>
            <xdr:nvSpPr>
              <xdr:cNvPr id="6" name="Shape 6"/>
              <xdr:cNvSpPr/>
            </xdr:nvSpPr>
            <xdr:spPr>
              <a:xfrm>
                <a:off x="3626738" y="3765713"/>
                <a:ext cx="3438525" cy="28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3626738" y="3765713"/>
                <a:ext cx="3438525" cy="28575"/>
                <a:chOff x="3626738" y="3775238"/>
                <a:chExt cx="3438525" cy="9525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3626738" y="3775238"/>
                  <a:ext cx="3438525" cy="9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" name="Shape 9"/>
                <xdr:cNvCxnSpPr/>
              </xdr:nvCxnSpPr>
              <xdr:spPr>
                <a:xfrm rot="10800000">
                  <a:off x="3626738" y="3775238"/>
                  <a:ext cx="3438525" cy="9525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FF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</xdr:grpSp>
        </xdr:grpSp>
      </xdr:grpSp>
    </xdr:grpSp>
    <xdr:clientData fLocksWithSheet="0"/>
  </xdr:oneCellAnchor>
  <xdr:oneCellAnchor>
    <xdr:from>
      <xdr:col>21</xdr:col>
      <xdr:colOff>95250</xdr:colOff>
      <xdr:row>43</xdr:row>
      <xdr:rowOff>9525</xdr:rowOff>
    </xdr:from>
    <xdr:ext cx="1038225" cy="5238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58</xdr:row>
      <xdr:rowOff>76200</xdr:rowOff>
    </xdr:from>
    <xdr:ext cx="1038225" cy="52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29</xdr:row>
      <xdr:rowOff>200025</xdr:rowOff>
    </xdr:from>
    <xdr:ext cx="1038225" cy="52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8.43"/>
    <col customWidth="1" min="3" max="3" width="31.43"/>
    <col customWidth="1" min="4" max="4" width="19.14"/>
    <col customWidth="1" min="5" max="5" width="22.29"/>
    <col customWidth="1" min="6" max="8" width="15.14"/>
    <col customWidth="1" min="9" max="9" width="19.57"/>
    <col customWidth="1" min="10" max="10" width="8.43"/>
    <col customWidth="1" min="11" max="11" width="7.14"/>
    <col customWidth="1" min="12" max="12" width="17.86"/>
    <col customWidth="1" min="13" max="13" width="9.86"/>
    <col customWidth="1" min="14" max="14" width="13.43"/>
    <col customWidth="1" min="15" max="15" width="18.43"/>
    <col customWidth="1" min="16" max="16" width="10.14"/>
    <col customWidth="1" min="17" max="17" width="9.71"/>
    <col customWidth="1" min="18" max="18" width="32.71"/>
    <col customWidth="1" min="19" max="19" width="15.86"/>
    <col customWidth="1" min="20" max="22" width="9.14"/>
  </cols>
  <sheetData>
    <row r="1" ht="15.75" customHeight="1">
      <c r="A1" s="3"/>
      <c r="B1" s="18"/>
      <c r="C1" s="1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5.75" customHeight="1">
      <c r="A2" s="3"/>
      <c r="B2" s="18"/>
      <c r="C2" s="19"/>
      <c r="D2" s="23" t="s">
        <v>31</v>
      </c>
      <c r="E2" s="24" t="s">
        <v>32</v>
      </c>
      <c r="F2" s="25"/>
      <c r="G2" s="23" t="s">
        <v>33</v>
      </c>
      <c r="H2" s="27">
        <v>2.0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ht="15.75" customHeight="1">
      <c r="A3" s="3"/>
      <c r="B3" s="18"/>
      <c r="C3" s="19"/>
      <c r="D3" s="23" t="s">
        <v>43</v>
      </c>
      <c r="E3" s="24" t="s">
        <v>45</v>
      </c>
      <c r="F3" s="25"/>
      <c r="G3" s="23" t="s">
        <v>47</v>
      </c>
      <c r="H3" s="27" t="s">
        <v>48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ht="15.75" customHeight="1">
      <c r="A4" s="3"/>
      <c r="B4" s="18"/>
      <c r="C4" s="19"/>
      <c r="D4" s="23" t="s">
        <v>50</v>
      </c>
      <c r="E4" s="24">
        <v>1.0</v>
      </c>
      <c r="F4" s="25"/>
      <c r="G4" s="28"/>
      <c r="H4" s="30"/>
      <c r="I4" s="3"/>
      <c r="J4" s="3"/>
      <c r="K4" s="3"/>
      <c r="L4" s="32" t="s">
        <v>52</v>
      </c>
      <c r="M4" s="3"/>
      <c r="N4" s="3"/>
      <c r="O4" s="3"/>
      <c r="P4" s="3"/>
      <c r="Q4" s="3"/>
      <c r="R4" s="3"/>
      <c r="S4" s="3"/>
      <c r="T4" s="3"/>
      <c r="U4" s="3"/>
      <c r="V4" s="3"/>
    </row>
    <row r="5" ht="15.75" customHeight="1">
      <c r="A5" s="3"/>
      <c r="B5" s="18"/>
      <c r="C5" s="19"/>
      <c r="D5" s="23" t="s">
        <v>53</v>
      </c>
      <c r="E5" s="24" t="s">
        <v>54</v>
      </c>
      <c r="F5" s="25"/>
      <c r="G5" s="28"/>
      <c r="H5" s="3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ht="15.75" customHeight="1">
      <c r="A6" s="3"/>
      <c r="B6" s="18"/>
      <c r="C6" s="19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ht="15.75" customHeight="1">
      <c r="A7" s="36" t="str">
        <f>CONCATENATE("Grade Sheet of ",GradeSheet!$E$2, " [",GradeSheet!$E$3, "] ", "(Section ",GradeSheet!$H$2, ") ", "[Semester - ",GradeSheet!$H$3,"]" )</f>
        <v>Grade Sheet of CSE 4460 [Big Data Analytics Lab] (Section 2) [Semester - Spring 2026]</v>
      </c>
      <c r="B7" s="37"/>
      <c r="C7" s="37"/>
      <c r="D7" s="37"/>
      <c r="E7" s="37"/>
      <c r="F7" s="37"/>
      <c r="G7" s="37"/>
      <c r="H7" s="37"/>
      <c r="I7" s="2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24.0" customHeight="1">
      <c r="B8" s="40"/>
      <c r="C8" s="41"/>
      <c r="J8" s="3"/>
      <c r="K8" s="3"/>
      <c r="L8" s="42" t="s">
        <v>55</v>
      </c>
      <c r="M8" s="43" t="s">
        <v>56</v>
      </c>
      <c r="N8" s="43" t="s">
        <v>57</v>
      </c>
      <c r="O8" s="44" t="s">
        <v>58</v>
      </c>
      <c r="P8" s="45" t="s">
        <v>59</v>
      </c>
      <c r="Q8" s="45" t="s">
        <v>60</v>
      </c>
      <c r="R8" s="3"/>
      <c r="S8" s="3"/>
      <c r="T8" s="3"/>
      <c r="U8" s="3"/>
      <c r="V8" s="3"/>
    </row>
    <row r="9" ht="31.5" customHeight="1">
      <c r="A9" s="47" t="s">
        <v>61</v>
      </c>
      <c r="B9" s="49" t="s">
        <v>62</v>
      </c>
      <c r="C9" s="52" t="s">
        <v>63</v>
      </c>
      <c r="D9" s="44" t="str">
        <f>CONCATENATE("Continuous Lab Performance (",GradeSheet!$C$60, ")")</f>
        <v>Continuous Lab Performance (30)</v>
      </c>
      <c r="E9" s="55" t="str">
        <f>CONCATENATE("Open Ended Lab (",GradeSheet!$C$59, ")")</f>
        <v>Open Ended Lab (40)</v>
      </c>
      <c r="F9" s="49" t="str">
        <f>CONCATENATE("Final (",GradeSheet!$C$61, ")")</f>
        <v>Final (30)</v>
      </c>
      <c r="G9" s="44" t="s">
        <v>64</v>
      </c>
      <c r="H9" s="44" t="s">
        <v>65</v>
      </c>
      <c r="I9" s="44" t="s">
        <v>66</v>
      </c>
      <c r="J9" s="57"/>
      <c r="K9" s="57"/>
      <c r="L9" s="58">
        <v>15.0</v>
      </c>
      <c r="M9" s="58">
        <v>10.0</v>
      </c>
      <c r="N9" s="58">
        <v>5.0</v>
      </c>
      <c r="O9" s="58">
        <v>40.0</v>
      </c>
      <c r="P9" s="58">
        <v>0.0</v>
      </c>
      <c r="Q9" s="58">
        <v>30.0</v>
      </c>
      <c r="R9" s="61" t="s">
        <v>63</v>
      </c>
      <c r="S9" s="49" t="s">
        <v>62</v>
      </c>
      <c r="T9" s="57"/>
      <c r="U9" s="57"/>
      <c r="V9" s="57"/>
    </row>
    <row r="10" ht="15.75" customHeight="1">
      <c r="A10" s="64">
        <v>1.0</v>
      </c>
      <c r="B10" s="69">
        <f>RawMarks!B2</f>
        <v>201014102</v>
      </c>
      <c r="C10" s="71" t="str">
        <f>RawMarks!C2</f>
        <v>Most. Zarin Tasnim Rifa</v>
      </c>
      <c r="D10" s="73">
        <f>RawMarks!K2</f>
        <v>19</v>
      </c>
      <c r="E10" s="73">
        <f>RawMarks!L2</f>
        <v>32</v>
      </c>
      <c r="F10" s="75">
        <f>RawMarks!M2</f>
        <v>25</v>
      </c>
      <c r="G10" s="75">
        <f t="shared" ref="G10:G45" si="1">SUM(D10:F10)</f>
        <v>76</v>
      </c>
      <c r="H10" s="78">
        <f t="shared" ref="H10:H45" si="2">G10/100</f>
        <v>0.76</v>
      </c>
      <c r="I10" s="32" t="str">
        <f>VLOOKUP(G10,GradingPolicy!$B$2:$C$11,2)</f>
        <v>B+ (Plus)</v>
      </c>
      <c r="J10" s="81"/>
      <c r="K10" s="3"/>
      <c r="L10" s="84">
        <v>8.0</v>
      </c>
      <c r="M10" s="86">
        <v>6.0</v>
      </c>
      <c r="N10" s="84">
        <v>5.0</v>
      </c>
      <c r="O10" s="84">
        <v>32.0</v>
      </c>
      <c r="P10" s="88"/>
      <c r="Q10" s="84">
        <v>25.0</v>
      </c>
      <c r="R10" s="91" t="s">
        <v>73</v>
      </c>
      <c r="S10" s="69">
        <v>2.01014102E8</v>
      </c>
      <c r="T10" s="3"/>
      <c r="U10" s="3"/>
      <c r="V10" s="3"/>
    </row>
    <row r="11" ht="15.75" customHeight="1">
      <c r="A11" s="93">
        <v>2.0</v>
      </c>
      <c r="B11" s="69">
        <f>RawMarks!B3</f>
        <v>213014022</v>
      </c>
      <c r="C11" s="71" t="str">
        <f>RawMarks!C3</f>
        <v>Mohammad Asif Mahmud</v>
      </c>
      <c r="D11" s="73">
        <f>RawMarks!K3</f>
        <v>22</v>
      </c>
      <c r="E11" s="73">
        <f>RawMarks!L3</f>
        <v>25</v>
      </c>
      <c r="F11" s="75">
        <f>RawMarks!M3</f>
        <v>20</v>
      </c>
      <c r="G11" s="75">
        <f t="shared" si="1"/>
        <v>67</v>
      </c>
      <c r="H11" s="78">
        <f t="shared" si="2"/>
        <v>0.67</v>
      </c>
      <c r="I11" s="32" t="str">
        <f>VLOOKUP(G11,GradingPolicy!$B$2:$C$11,2)</f>
        <v>B- (Minus)</v>
      </c>
      <c r="J11" s="81"/>
      <c r="K11" s="3"/>
      <c r="L11" s="84">
        <v>10.0</v>
      </c>
      <c r="M11" s="86">
        <v>7.0</v>
      </c>
      <c r="N11" s="84">
        <v>5.0</v>
      </c>
      <c r="O11" s="84">
        <v>25.0</v>
      </c>
      <c r="P11" s="88"/>
      <c r="Q11" s="84">
        <v>20.0</v>
      </c>
      <c r="R11" s="91" t="s">
        <v>74</v>
      </c>
      <c r="S11" s="69">
        <v>2.13014022E8</v>
      </c>
      <c r="T11" s="3"/>
      <c r="U11" s="3"/>
      <c r="V11" s="3"/>
    </row>
    <row r="12" ht="15.75" customHeight="1">
      <c r="A12" s="64">
        <v>3.0</v>
      </c>
      <c r="B12" s="69">
        <f>RawMarks!B4</f>
        <v>221014083</v>
      </c>
      <c r="C12" s="71" t="str">
        <f>RawMarks!C4</f>
        <v>Salina Akter</v>
      </c>
      <c r="D12" s="73">
        <f>RawMarks!K4</f>
        <v>12</v>
      </c>
      <c r="E12" s="73">
        <v>0.0</v>
      </c>
      <c r="F12" s="75">
        <v>0.0</v>
      </c>
      <c r="G12" s="75">
        <f t="shared" si="1"/>
        <v>12</v>
      </c>
      <c r="H12" s="78">
        <f t="shared" si="2"/>
        <v>0.12</v>
      </c>
      <c r="I12" s="32" t="str">
        <f>VLOOKUP(G12,GradingPolicy!$B$2:$C$11,2)</f>
        <v>F (Fail)</v>
      </c>
      <c r="J12" s="81"/>
      <c r="K12" s="3"/>
      <c r="L12" s="84">
        <v>12.0</v>
      </c>
      <c r="M12" s="86">
        <v>0.0</v>
      </c>
      <c r="N12" s="84">
        <v>0.0</v>
      </c>
      <c r="O12" s="84">
        <v>0.0</v>
      </c>
      <c r="P12" s="88"/>
      <c r="Q12" s="84">
        <v>0.0</v>
      </c>
      <c r="R12" s="91" t="s">
        <v>75</v>
      </c>
      <c r="S12" s="69">
        <v>2.21014083E8</v>
      </c>
      <c r="T12" s="3"/>
      <c r="U12" s="3"/>
      <c r="V12" s="3"/>
    </row>
    <row r="13" ht="15.75" customHeight="1">
      <c r="A13" s="93">
        <v>4.0</v>
      </c>
      <c r="B13" s="69">
        <f>RawMarks!B5</f>
        <v>221014111</v>
      </c>
      <c r="C13" s="71" t="str">
        <f>RawMarks!C5</f>
        <v>Abdullah Bin Noor Tazim</v>
      </c>
      <c r="D13" s="73">
        <f>RawMarks!K5</f>
        <v>11</v>
      </c>
      <c r="E13" s="73">
        <f>RawMarks!L5</f>
        <v>30</v>
      </c>
      <c r="F13" s="75">
        <f>RawMarks!M5</f>
        <v>24</v>
      </c>
      <c r="G13" s="75">
        <f t="shared" si="1"/>
        <v>65</v>
      </c>
      <c r="H13" s="78">
        <f t="shared" si="2"/>
        <v>0.65</v>
      </c>
      <c r="I13" s="32" t="str">
        <f>VLOOKUP(G13,GradingPolicy!$B$2:$C$11,2)</f>
        <v>B- (Minus)</v>
      </c>
      <c r="J13" s="81"/>
      <c r="K13" s="3"/>
      <c r="L13" s="84">
        <v>0.0</v>
      </c>
      <c r="M13" s="86">
        <v>6.0</v>
      </c>
      <c r="N13" s="84">
        <v>5.0</v>
      </c>
      <c r="O13" s="84">
        <v>30.0</v>
      </c>
      <c r="P13" s="88"/>
      <c r="Q13" s="84">
        <v>24.0</v>
      </c>
      <c r="R13" s="91" t="s">
        <v>78</v>
      </c>
      <c r="S13" s="69">
        <v>2.21014111E8</v>
      </c>
      <c r="T13" s="3"/>
      <c r="U13" s="3"/>
      <c r="V13" s="3"/>
    </row>
    <row r="14" ht="15.75" customHeight="1">
      <c r="A14" s="64">
        <v>5.0</v>
      </c>
      <c r="B14" s="69">
        <f>RawMarks!B6</f>
        <v>221014129</v>
      </c>
      <c r="C14" s="71" t="str">
        <f>RawMarks!C6</f>
        <v>Fuyad Hasan Bhoyan</v>
      </c>
      <c r="D14" s="73">
        <f>RawMarks!K6</f>
        <v>4</v>
      </c>
      <c r="E14" s="73">
        <v>0.0</v>
      </c>
      <c r="F14" s="75">
        <v>0.0</v>
      </c>
      <c r="G14" s="75">
        <f t="shared" si="1"/>
        <v>4</v>
      </c>
      <c r="H14" s="78">
        <f t="shared" si="2"/>
        <v>0.04</v>
      </c>
      <c r="I14" s="32" t="s">
        <v>52</v>
      </c>
      <c r="J14" s="81"/>
      <c r="K14" s="3"/>
      <c r="L14" s="84">
        <v>4.0</v>
      </c>
      <c r="M14" s="86">
        <v>0.0</v>
      </c>
      <c r="N14" s="84">
        <v>0.0</v>
      </c>
      <c r="O14" s="84">
        <v>0.0</v>
      </c>
      <c r="P14" s="88"/>
      <c r="Q14" s="84">
        <v>0.0</v>
      </c>
      <c r="R14" s="91" t="s">
        <v>79</v>
      </c>
      <c r="S14" s="69">
        <v>2.21014129E8</v>
      </c>
      <c r="T14" s="3"/>
      <c r="U14" s="3"/>
      <c r="V14" s="3"/>
    </row>
    <row r="15" ht="15.75" customHeight="1">
      <c r="A15" s="93">
        <v>6.0</v>
      </c>
      <c r="B15" s="69">
        <f>RawMarks!B7</f>
        <v>221014136</v>
      </c>
      <c r="C15" s="71" t="str">
        <f>RawMarks!C7</f>
        <v>Prashanta Sarker</v>
      </c>
      <c r="D15" s="73">
        <f>RawMarks!K7</f>
        <v>27</v>
      </c>
      <c r="E15" s="73">
        <f>RawMarks!L7</f>
        <v>30</v>
      </c>
      <c r="F15" s="75">
        <f>RawMarks!M7</f>
        <v>28</v>
      </c>
      <c r="G15" s="75">
        <f t="shared" si="1"/>
        <v>85</v>
      </c>
      <c r="H15" s="78">
        <f t="shared" si="2"/>
        <v>0.85</v>
      </c>
      <c r="I15" s="32" t="str">
        <f>VLOOKUP(G15,GradingPolicy!$B$2:$C$11,2)</f>
        <v>A (Plain)</v>
      </c>
      <c r="J15" s="81"/>
      <c r="K15" s="3"/>
      <c r="L15" s="84">
        <v>12.0</v>
      </c>
      <c r="M15" s="86">
        <v>10.0</v>
      </c>
      <c r="N15" s="84">
        <v>5.0</v>
      </c>
      <c r="O15" s="84">
        <v>30.0</v>
      </c>
      <c r="P15" s="88"/>
      <c r="Q15" s="84">
        <v>28.0</v>
      </c>
      <c r="R15" s="91" t="s">
        <v>83</v>
      </c>
      <c r="S15" s="69">
        <v>2.21014136E8</v>
      </c>
      <c r="T15" s="3"/>
      <c r="U15" s="3"/>
      <c r="V15" s="3"/>
    </row>
    <row r="16" ht="15.75" customHeight="1">
      <c r="A16" s="64">
        <v>7.0</v>
      </c>
      <c r="B16" s="69">
        <f>RawMarks!B8</f>
        <v>222014021</v>
      </c>
      <c r="C16" s="71" t="str">
        <f>RawMarks!C8</f>
        <v>Rasel Rahman</v>
      </c>
      <c r="D16" s="73">
        <f>RawMarks!K8</f>
        <v>14</v>
      </c>
      <c r="E16" s="73">
        <f>RawMarks!L8</f>
        <v>25</v>
      </c>
      <c r="F16" s="75">
        <f>RawMarks!M8</f>
        <v>22</v>
      </c>
      <c r="G16" s="75">
        <f t="shared" si="1"/>
        <v>61</v>
      </c>
      <c r="H16" s="78">
        <f t="shared" si="2"/>
        <v>0.61</v>
      </c>
      <c r="I16" s="32" t="str">
        <f>VLOOKUP(G16,GradingPolicy!$B$2:$C$11,2)</f>
        <v>C+ (Plus)</v>
      </c>
      <c r="J16" s="81"/>
      <c r="K16" s="3"/>
      <c r="L16" s="84">
        <v>4.0</v>
      </c>
      <c r="M16" s="86">
        <v>5.0</v>
      </c>
      <c r="N16" s="84">
        <v>5.0</v>
      </c>
      <c r="O16" s="84">
        <v>25.0</v>
      </c>
      <c r="P16" s="88"/>
      <c r="Q16" s="84">
        <v>22.0</v>
      </c>
      <c r="R16" s="91" t="s">
        <v>89</v>
      </c>
      <c r="S16" s="69">
        <v>2.22014021E8</v>
      </c>
      <c r="T16" s="3"/>
      <c r="U16" s="3"/>
      <c r="V16" s="3"/>
    </row>
    <row r="17" ht="15.75" customHeight="1">
      <c r="A17" s="93">
        <v>8.0</v>
      </c>
      <c r="B17" s="69">
        <f>RawMarks!B9</f>
        <v>222014031</v>
      </c>
      <c r="C17" s="71" t="str">
        <f>RawMarks!C9</f>
        <v>Raian Zaman</v>
      </c>
      <c r="D17" s="73">
        <f>RawMarks!K9</f>
        <v>29</v>
      </c>
      <c r="E17" s="73">
        <f>RawMarks!L9</f>
        <v>35</v>
      </c>
      <c r="F17" s="75">
        <f>RawMarks!M9</f>
        <v>26</v>
      </c>
      <c r="G17" s="75">
        <f t="shared" si="1"/>
        <v>90</v>
      </c>
      <c r="H17" s="78">
        <f t="shared" si="2"/>
        <v>0.9</v>
      </c>
      <c r="I17" s="32" t="str">
        <f>VLOOKUP(G17,GradingPolicy!$B$2:$C$11,2)</f>
        <v>A (Plain)</v>
      </c>
      <c r="J17" s="81"/>
      <c r="K17" s="3"/>
      <c r="L17" s="84">
        <v>14.0</v>
      </c>
      <c r="M17" s="86">
        <v>10.0</v>
      </c>
      <c r="N17" s="84">
        <v>5.0</v>
      </c>
      <c r="O17" s="84">
        <v>35.0</v>
      </c>
      <c r="P17" s="88"/>
      <c r="Q17" s="84">
        <v>26.0</v>
      </c>
      <c r="R17" s="91" t="s">
        <v>95</v>
      </c>
      <c r="S17" s="69">
        <v>2.22014031E8</v>
      </c>
      <c r="T17" s="3"/>
      <c r="U17" s="3"/>
      <c r="V17" s="3"/>
    </row>
    <row r="18" ht="15.75" customHeight="1">
      <c r="A18" s="64">
        <v>9.0</v>
      </c>
      <c r="B18" s="69">
        <f>RawMarks!B10</f>
        <v>222014057</v>
      </c>
      <c r="C18" s="71" t="str">
        <f>RawMarks!C10</f>
        <v>Nur Shahad Srabon</v>
      </c>
      <c r="D18" s="73">
        <f>RawMarks!K10</f>
        <v>0</v>
      </c>
      <c r="E18" s="73">
        <v>0.0</v>
      </c>
      <c r="F18" s="75">
        <v>0.0</v>
      </c>
      <c r="G18" s="75">
        <f t="shared" si="1"/>
        <v>0</v>
      </c>
      <c r="H18" s="78">
        <f t="shared" si="2"/>
        <v>0</v>
      </c>
      <c r="I18" s="32" t="s">
        <v>52</v>
      </c>
      <c r="J18" s="81"/>
      <c r="K18" s="3"/>
      <c r="L18" s="84">
        <v>0.0</v>
      </c>
      <c r="M18" s="86">
        <v>0.0</v>
      </c>
      <c r="N18" s="84">
        <v>0.0</v>
      </c>
      <c r="O18" s="84">
        <v>0.0</v>
      </c>
      <c r="P18" s="88"/>
      <c r="Q18" s="84">
        <v>0.0</v>
      </c>
      <c r="R18" s="91" t="s">
        <v>96</v>
      </c>
      <c r="S18" s="69">
        <v>2.22014057E8</v>
      </c>
      <c r="T18" s="3"/>
      <c r="U18" s="3"/>
      <c r="V18" s="3"/>
    </row>
    <row r="19" ht="15.75" customHeight="1">
      <c r="A19" s="93">
        <v>10.0</v>
      </c>
      <c r="B19" s="69">
        <f>RawMarks!B11</f>
        <v>222014059</v>
      </c>
      <c r="C19" s="71" t="str">
        <f>RawMarks!C11</f>
        <v>Sohan Sheikh</v>
      </c>
      <c r="D19" s="73">
        <f>RawMarks!K11</f>
        <v>0</v>
      </c>
      <c r="E19" s="73">
        <v>0.0</v>
      </c>
      <c r="F19" s="75">
        <v>0.0</v>
      </c>
      <c r="G19" s="75">
        <f t="shared" si="1"/>
        <v>0</v>
      </c>
      <c r="H19" s="78">
        <f t="shared" si="2"/>
        <v>0</v>
      </c>
      <c r="I19" s="32" t="s">
        <v>52</v>
      </c>
      <c r="J19" s="81"/>
      <c r="K19" s="3"/>
      <c r="L19" s="84">
        <v>0.0</v>
      </c>
      <c r="M19" s="86">
        <v>0.0</v>
      </c>
      <c r="N19" s="84">
        <v>0.0</v>
      </c>
      <c r="O19" s="84">
        <v>0.0</v>
      </c>
      <c r="P19" s="88"/>
      <c r="Q19" s="84">
        <v>0.0</v>
      </c>
      <c r="R19" s="91" t="s">
        <v>97</v>
      </c>
      <c r="S19" s="138">
        <v>2.22014059E8</v>
      </c>
      <c r="T19" s="3"/>
      <c r="U19" s="3"/>
      <c r="V19" s="3"/>
    </row>
    <row r="20" ht="15.75" customHeight="1">
      <c r="A20" s="64">
        <v>11.0</v>
      </c>
      <c r="B20" s="69">
        <f>RawMarks!B12</f>
        <v>222014090</v>
      </c>
      <c r="C20" s="71" t="str">
        <f>RawMarks!C12</f>
        <v>Asifuzzaman Shishir</v>
      </c>
      <c r="D20" s="73">
        <f>RawMarks!K12</f>
        <v>12</v>
      </c>
      <c r="E20" s="73">
        <f>RawMarks!L12</f>
        <v>25</v>
      </c>
      <c r="F20" s="75">
        <f>RawMarks!M12</f>
        <v>24</v>
      </c>
      <c r="G20" s="75">
        <f t="shared" si="1"/>
        <v>61</v>
      </c>
      <c r="H20" s="78">
        <f t="shared" si="2"/>
        <v>0.61</v>
      </c>
      <c r="I20" s="32" t="str">
        <f>VLOOKUP(G20,GradingPolicy!$B$2:$C$11,2)</f>
        <v>C+ (Plus)</v>
      </c>
      <c r="J20" s="81"/>
      <c r="K20" s="3"/>
      <c r="L20" s="84">
        <v>2.0</v>
      </c>
      <c r="M20" s="86">
        <v>5.0</v>
      </c>
      <c r="N20" s="84">
        <v>5.0</v>
      </c>
      <c r="O20" s="84">
        <v>25.0</v>
      </c>
      <c r="P20" s="88"/>
      <c r="Q20" s="84">
        <v>24.0</v>
      </c>
      <c r="R20" s="91" t="s">
        <v>100</v>
      </c>
      <c r="S20" s="69">
        <v>2.2201409E8</v>
      </c>
      <c r="T20" s="3"/>
      <c r="U20" s="3"/>
      <c r="V20" s="3"/>
    </row>
    <row r="21" ht="15.75" customHeight="1">
      <c r="A21" s="93">
        <v>12.0</v>
      </c>
      <c r="B21" s="69">
        <f>RawMarks!B13</f>
        <v>222014097</v>
      </c>
      <c r="C21" s="71" t="str">
        <f>RawMarks!C13</f>
        <v>Md Abul Hashem</v>
      </c>
      <c r="D21" s="73">
        <f>RawMarks!K13</f>
        <v>13</v>
      </c>
      <c r="E21" s="73">
        <f>RawMarks!L13</f>
        <v>25</v>
      </c>
      <c r="F21" s="75">
        <f>RawMarks!M13</f>
        <v>14</v>
      </c>
      <c r="G21" s="75">
        <f t="shared" si="1"/>
        <v>52</v>
      </c>
      <c r="H21" s="78">
        <f t="shared" si="2"/>
        <v>0.52</v>
      </c>
      <c r="I21" s="32" t="str">
        <f>VLOOKUP(G21,GradingPolicy!$B$2:$C$11,2)</f>
        <v>D (Plain)</v>
      </c>
      <c r="J21" s="81"/>
      <c r="K21" s="3"/>
      <c r="L21" s="84">
        <v>8.0</v>
      </c>
      <c r="M21" s="86">
        <v>0.0</v>
      </c>
      <c r="N21" s="84">
        <v>5.0</v>
      </c>
      <c r="O21" s="84">
        <v>25.0</v>
      </c>
      <c r="P21" s="88"/>
      <c r="Q21" s="84">
        <v>14.0</v>
      </c>
      <c r="R21" s="91" t="s">
        <v>103</v>
      </c>
      <c r="S21" s="69">
        <v>2.22014097E8</v>
      </c>
      <c r="T21" s="3"/>
      <c r="U21" s="3"/>
      <c r="V21" s="3"/>
    </row>
    <row r="22" ht="15.75" customHeight="1">
      <c r="A22" s="64">
        <v>13.0</v>
      </c>
      <c r="B22" s="69">
        <f>RawMarks!B14</f>
        <v>223014012</v>
      </c>
      <c r="C22" s="71" t="str">
        <f>RawMarks!C14</f>
        <v>Md Yusuf</v>
      </c>
      <c r="D22" s="73">
        <f>RawMarks!K14</f>
        <v>5</v>
      </c>
      <c r="E22" s="73">
        <f>RawMarks!L14</f>
        <v>25</v>
      </c>
      <c r="F22" s="75">
        <f>RawMarks!M14</f>
        <v>28</v>
      </c>
      <c r="G22" s="75">
        <f t="shared" si="1"/>
        <v>58</v>
      </c>
      <c r="H22" s="78">
        <f t="shared" si="2"/>
        <v>0.58</v>
      </c>
      <c r="I22" s="32" t="str">
        <f>VLOOKUP(G22,GradingPolicy!$B$2:$C$11,2)</f>
        <v>C (Plain)</v>
      </c>
      <c r="J22" s="81"/>
      <c r="K22" s="3"/>
      <c r="L22" s="84">
        <v>0.0</v>
      </c>
      <c r="M22" s="86">
        <v>0.0</v>
      </c>
      <c r="N22" s="84">
        <v>5.0</v>
      </c>
      <c r="O22" s="84">
        <v>25.0</v>
      </c>
      <c r="P22" s="88"/>
      <c r="Q22" s="84">
        <v>28.0</v>
      </c>
      <c r="R22" s="91" t="s">
        <v>117</v>
      </c>
      <c r="S22" s="69">
        <v>2.23014012E8</v>
      </c>
      <c r="T22" s="3"/>
      <c r="U22" s="3"/>
      <c r="V22" s="3"/>
    </row>
    <row r="23" ht="15.75" customHeight="1">
      <c r="A23" s="93">
        <v>14.0</v>
      </c>
      <c r="B23" s="69">
        <f>RawMarks!B15</f>
        <v>223014025</v>
      </c>
      <c r="C23" s="71" t="str">
        <f>RawMarks!C15</f>
        <v>Fahim Shihab Touhid</v>
      </c>
      <c r="D23" s="73">
        <f>RawMarks!K15</f>
        <v>29</v>
      </c>
      <c r="E23" s="73">
        <f>RawMarks!L15</f>
        <v>35</v>
      </c>
      <c r="F23" s="75">
        <f>RawMarks!M15</f>
        <v>25</v>
      </c>
      <c r="G23" s="75">
        <f t="shared" si="1"/>
        <v>89</v>
      </c>
      <c r="H23" s="78">
        <f t="shared" si="2"/>
        <v>0.89</v>
      </c>
      <c r="I23" s="32" t="str">
        <f>VLOOKUP(G23,GradingPolicy!$B$2:$C$11,2)</f>
        <v>A (Plain)</v>
      </c>
      <c r="J23" s="81"/>
      <c r="K23" s="3"/>
      <c r="L23" s="84">
        <v>14.0</v>
      </c>
      <c r="M23" s="86">
        <v>10.0</v>
      </c>
      <c r="N23" s="84">
        <v>5.0</v>
      </c>
      <c r="O23" s="84">
        <v>35.0</v>
      </c>
      <c r="P23" s="88"/>
      <c r="Q23" s="84">
        <v>25.0</v>
      </c>
      <c r="R23" s="91" t="s">
        <v>119</v>
      </c>
      <c r="S23" s="69">
        <v>2.23014025E8</v>
      </c>
      <c r="T23" s="3"/>
      <c r="U23" s="3"/>
      <c r="V23" s="3"/>
    </row>
    <row r="24" ht="15.75" customHeight="1">
      <c r="A24" s="64">
        <v>15.0</v>
      </c>
      <c r="B24" s="69">
        <f>RawMarks!B16</f>
        <v>223014061</v>
      </c>
      <c r="C24" s="71" t="str">
        <f>RawMarks!C16</f>
        <v>Md. Shihab Hasan Shishir</v>
      </c>
      <c r="D24" s="73">
        <f>RawMarks!K16</f>
        <v>19</v>
      </c>
      <c r="E24" s="73">
        <f>RawMarks!L16</f>
        <v>20</v>
      </c>
      <c r="F24" s="75">
        <f>RawMarks!M16</f>
        <v>26</v>
      </c>
      <c r="G24" s="75">
        <f t="shared" si="1"/>
        <v>65</v>
      </c>
      <c r="H24" s="78">
        <f t="shared" si="2"/>
        <v>0.65</v>
      </c>
      <c r="I24" s="32" t="str">
        <f>VLOOKUP(G24,GradingPolicy!$B$2:$C$11,2)</f>
        <v>B- (Minus)</v>
      </c>
      <c r="J24" s="81"/>
      <c r="K24" s="3"/>
      <c r="L24" s="84">
        <v>8.0</v>
      </c>
      <c r="M24" s="86">
        <v>6.0</v>
      </c>
      <c r="N24" s="84">
        <v>5.0</v>
      </c>
      <c r="O24" s="84">
        <v>20.0</v>
      </c>
      <c r="P24" s="88"/>
      <c r="Q24" s="84">
        <v>26.0</v>
      </c>
      <c r="R24" s="91" t="s">
        <v>122</v>
      </c>
      <c r="S24" s="69">
        <v>2.23014061E8</v>
      </c>
      <c r="T24" s="3"/>
      <c r="U24" s="3"/>
      <c r="V24" s="3"/>
    </row>
    <row r="25" ht="15.75" customHeight="1">
      <c r="A25" s="93">
        <v>16.0</v>
      </c>
      <c r="B25" s="69">
        <f>RawMarks!B17</f>
        <v>223014085</v>
      </c>
      <c r="C25" s="71" t="str">
        <f>RawMarks!C17</f>
        <v>Md. Naeem Rahman</v>
      </c>
      <c r="D25" s="73">
        <f>RawMarks!K17</f>
        <v>14</v>
      </c>
      <c r="E25" s="73">
        <f>RawMarks!L17</f>
        <v>20</v>
      </c>
      <c r="F25" s="75">
        <f>RawMarks!M17</f>
        <v>24</v>
      </c>
      <c r="G25" s="75">
        <f t="shared" si="1"/>
        <v>58</v>
      </c>
      <c r="H25" s="78">
        <f t="shared" si="2"/>
        <v>0.58</v>
      </c>
      <c r="I25" s="32" t="str">
        <f>VLOOKUP(G25,GradingPolicy!$B$2:$C$11,2)</f>
        <v>C (Plain)</v>
      </c>
      <c r="J25" s="81"/>
      <c r="K25" s="3"/>
      <c r="L25" s="84">
        <v>4.0</v>
      </c>
      <c r="M25" s="86">
        <v>5.0</v>
      </c>
      <c r="N25" s="84">
        <v>5.0</v>
      </c>
      <c r="O25" s="84">
        <v>20.0</v>
      </c>
      <c r="P25" s="88"/>
      <c r="Q25" s="84">
        <v>24.0</v>
      </c>
      <c r="R25" s="91" t="s">
        <v>124</v>
      </c>
      <c r="S25" s="69">
        <v>2.23014085E8</v>
      </c>
      <c r="T25" s="3"/>
      <c r="U25" s="3"/>
      <c r="V25" s="3"/>
    </row>
    <row r="26" ht="15.75" customHeight="1">
      <c r="A26" s="64">
        <v>17.0</v>
      </c>
      <c r="B26" s="69">
        <f>RawMarks!B18</f>
        <v>223014088</v>
      </c>
      <c r="C26" s="71" t="str">
        <f>RawMarks!C18</f>
        <v>Md. Sakib Ishrak</v>
      </c>
      <c r="D26" s="73">
        <f>RawMarks!K18</f>
        <v>17</v>
      </c>
      <c r="E26" s="73">
        <f>RawMarks!L18</f>
        <v>35</v>
      </c>
      <c r="F26" s="75">
        <f>RawMarks!M18</f>
        <v>26</v>
      </c>
      <c r="G26" s="75">
        <f t="shared" si="1"/>
        <v>78</v>
      </c>
      <c r="H26" s="78">
        <f t="shared" si="2"/>
        <v>0.78</v>
      </c>
      <c r="I26" s="32" t="str">
        <f>VLOOKUP(G26,GradingPolicy!$B$2:$C$11,2)</f>
        <v>B+ (Plus)</v>
      </c>
      <c r="J26" s="81"/>
      <c r="K26" s="3"/>
      <c r="L26" s="84">
        <v>12.0</v>
      </c>
      <c r="M26" s="86">
        <v>0.0</v>
      </c>
      <c r="N26" s="84">
        <v>5.0</v>
      </c>
      <c r="O26" s="84">
        <v>35.0</v>
      </c>
      <c r="P26" s="88"/>
      <c r="Q26" s="84">
        <v>26.0</v>
      </c>
      <c r="R26" s="91" t="s">
        <v>125</v>
      </c>
      <c r="S26" s="69">
        <v>2.23014088E8</v>
      </c>
      <c r="T26" s="3"/>
      <c r="U26" s="3"/>
      <c r="V26" s="3"/>
    </row>
    <row r="27" ht="15.75" customHeight="1">
      <c r="A27" s="93">
        <v>18.0</v>
      </c>
      <c r="B27" s="69">
        <f>RawMarks!B19</f>
        <v>223014116</v>
      </c>
      <c r="C27" s="71" t="str">
        <f>RawMarks!C19</f>
        <v>Nusrat Jannat Tithy</v>
      </c>
      <c r="D27" s="73">
        <f>RawMarks!K19</f>
        <v>29</v>
      </c>
      <c r="E27" s="73">
        <f>RawMarks!L19</f>
        <v>32</v>
      </c>
      <c r="F27" s="75">
        <f>RawMarks!M19</f>
        <v>24</v>
      </c>
      <c r="G27" s="75">
        <f t="shared" si="1"/>
        <v>85</v>
      </c>
      <c r="H27" s="78">
        <f t="shared" si="2"/>
        <v>0.85</v>
      </c>
      <c r="I27" s="32" t="str">
        <f>VLOOKUP(G27,GradingPolicy!$B$2:$C$11,2)</f>
        <v>A (Plain)</v>
      </c>
      <c r="J27" s="81"/>
      <c r="K27" s="3"/>
      <c r="L27" s="84">
        <v>15.0</v>
      </c>
      <c r="M27" s="86">
        <v>9.0</v>
      </c>
      <c r="N27" s="84">
        <v>5.0</v>
      </c>
      <c r="O27" s="84">
        <v>32.0</v>
      </c>
      <c r="P27" s="88"/>
      <c r="Q27" s="84">
        <v>24.0</v>
      </c>
      <c r="R27" s="91" t="s">
        <v>126</v>
      </c>
      <c r="S27" s="69">
        <v>2.23014116E8</v>
      </c>
      <c r="T27" s="3"/>
      <c r="U27" s="3"/>
      <c r="V27" s="3"/>
    </row>
    <row r="28" ht="15.75" customHeight="1">
      <c r="A28" s="64">
        <v>19.0</v>
      </c>
      <c r="B28" s="69">
        <f>RawMarks!B20</f>
        <v>223014120</v>
      </c>
      <c r="C28" s="71" t="str">
        <f>RawMarks!C20</f>
        <v>Meheraj Hossain Jibon</v>
      </c>
      <c r="D28" s="73">
        <f>RawMarks!K20</f>
        <v>13</v>
      </c>
      <c r="E28" s="73">
        <f>RawMarks!L20</f>
        <v>25</v>
      </c>
      <c r="F28" s="75">
        <f>RawMarks!M20</f>
        <v>12</v>
      </c>
      <c r="G28" s="75">
        <f t="shared" si="1"/>
        <v>50</v>
      </c>
      <c r="H28" s="78">
        <f t="shared" si="2"/>
        <v>0.5</v>
      </c>
      <c r="I28" s="32" t="str">
        <f>VLOOKUP(G28,GradingPolicy!$B$2:$C$11,2)</f>
        <v>D (Plain)</v>
      </c>
      <c r="J28" s="81"/>
      <c r="K28" s="3"/>
      <c r="L28" s="84">
        <v>8.0</v>
      </c>
      <c r="M28" s="86">
        <v>0.0</v>
      </c>
      <c r="N28" s="84">
        <v>5.0</v>
      </c>
      <c r="O28" s="84">
        <v>25.0</v>
      </c>
      <c r="P28" s="88"/>
      <c r="Q28" s="84">
        <v>12.0</v>
      </c>
      <c r="R28" s="91" t="s">
        <v>128</v>
      </c>
      <c r="S28" s="69">
        <v>2.2301412E8</v>
      </c>
      <c r="T28" s="3"/>
      <c r="U28" s="3"/>
      <c r="V28" s="3"/>
    </row>
    <row r="29" ht="15.75" customHeight="1">
      <c r="A29" s="93">
        <v>20.0</v>
      </c>
      <c r="B29" s="69">
        <f>RawMarks!B21</f>
        <v>223014176</v>
      </c>
      <c r="C29" s="71" t="str">
        <f>RawMarks!C21</f>
        <v>Md. Samiul Alam</v>
      </c>
      <c r="D29" s="73">
        <f>RawMarks!K21</f>
        <v>18</v>
      </c>
      <c r="E29" s="73">
        <f>RawMarks!L21</f>
        <v>25</v>
      </c>
      <c r="F29" s="75">
        <f>RawMarks!M21</f>
        <v>28</v>
      </c>
      <c r="G29" s="75">
        <f t="shared" si="1"/>
        <v>71</v>
      </c>
      <c r="H29" s="78">
        <f t="shared" si="2"/>
        <v>0.71</v>
      </c>
      <c r="I29" s="32" t="str">
        <f>VLOOKUP(G29,GradingPolicy!$B$2:$C$11,2)</f>
        <v>B (Plain)</v>
      </c>
      <c r="J29" s="81"/>
      <c r="K29" s="3"/>
      <c r="L29" s="84">
        <v>8.0</v>
      </c>
      <c r="M29" s="86">
        <v>5.0</v>
      </c>
      <c r="N29" s="84">
        <v>5.0</v>
      </c>
      <c r="O29" s="84">
        <v>25.0</v>
      </c>
      <c r="P29" s="88"/>
      <c r="Q29" s="84">
        <v>28.0</v>
      </c>
      <c r="R29" s="91" t="s">
        <v>130</v>
      </c>
      <c r="S29" s="69">
        <v>2.23014176E8</v>
      </c>
      <c r="T29" s="3"/>
      <c r="U29" s="3"/>
      <c r="V29" s="3"/>
    </row>
    <row r="30" ht="15.75" customHeight="1">
      <c r="A30" s="64">
        <v>21.0</v>
      </c>
      <c r="B30" s="69">
        <f>RawMarks!B22</f>
        <v>223014219</v>
      </c>
      <c r="C30" s="71" t="str">
        <f>RawMarks!C22</f>
        <v>Meherun Nessa Eva</v>
      </c>
      <c r="D30" s="73">
        <f>RawMarks!K22</f>
        <v>26</v>
      </c>
      <c r="E30" s="73">
        <f>RawMarks!L22</f>
        <v>32</v>
      </c>
      <c r="F30" s="75">
        <f>RawMarks!M22</f>
        <v>25</v>
      </c>
      <c r="G30" s="75">
        <f t="shared" si="1"/>
        <v>83</v>
      </c>
      <c r="H30" s="78">
        <f t="shared" si="2"/>
        <v>0.83</v>
      </c>
      <c r="I30" s="32" t="str">
        <f>VLOOKUP(G30,GradingPolicy!$B$2:$C$11,2)</f>
        <v>A- (Minus)</v>
      </c>
      <c r="J30" s="81"/>
      <c r="K30" s="3"/>
      <c r="L30" s="84">
        <v>15.0</v>
      </c>
      <c r="M30" s="86">
        <v>6.0</v>
      </c>
      <c r="N30" s="84">
        <v>5.0</v>
      </c>
      <c r="O30" s="84">
        <v>32.0</v>
      </c>
      <c r="P30" s="88"/>
      <c r="Q30" s="84">
        <v>25.0</v>
      </c>
      <c r="R30" s="91" t="s">
        <v>133</v>
      </c>
      <c r="S30" s="69">
        <v>2.23014219E8</v>
      </c>
      <c r="T30" s="3"/>
      <c r="U30" s="3"/>
      <c r="V30" s="3"/>
    </row>
    <row r="31" ht="15.75" customHeight="1">
      <c r="A31" s="93">
        <v>22.0</v>
      </c>
      <c r="B31" s="69">
        <f>RawMarks!B23</f>
        <v>231014003</v>
      </c>
      <c r="C31" s="71" t="str">
        <f>RawMarks!C23</f>
        <v>Md. Arfan Alam</v>
      </c>
      <c r="D31" s="73">
        <f>RawMarks!K23</f>
        <v>19</v>
      </c>
      <c r="E31" s="73">
        <f>RawMarks!L23</f>
        <v>35</v>
      </c>
      <c r="F31" s="75">
        <f>RawMarks!M23</f>
        <v>24</v>
      </c>
      <c r="G31" s="75">
        <f t="shared" si="1"/>
        <v>78</v>
      </c>
      <c r="H31" s="78">
        <f t="shared" si="2"/>
        <v>0.78</v>
      </c>
      <c r="I31" s="32" t="str">
        <f>VLOOKUP(G31,GradingPolicy!$B$2:$C$11,2)</f>
        <v>B+ (Plus)</v>
      </c>
      <c r="J31" s="81"/>
      <c r="K31" s="3"/>
      <c r="L31" s="84">
        <v>8.0</v>
      </c>
      <c r="M31" s="86">
        <v>6.0</v>
      </c>
      <c r="N31" s="84">
        <v>5.0</v>
      </c>
      <c r="O31" s="84">
        <v>35.0</v>
      </c>
      <c r="P31" s="88"/>
      <c r="Q31" s="84">
        <v>24.0</v>
      </c>
      <c r="R31" s="91" t="s">
        <v>136</v>
      </c>
      <c r="S31" s="69">
        <v>2.31014003E8</v>
      </c>
      <c r="T31" s="3"/>
      <c r="U31" s="3"/>
      <c r="V31" s="3"/>
    </row>
    <row r="32" ht="15.75" customHeight="1">
      <c r="A32" s="64">
        <v>23.0</v>
      </c>
      <c r="B32" s="69">
        <f>RawMarks!B24</f>
        <v>231014007</v>
      </c>
      <c r="C32" s="71" t="str">
        <f>RawMarks!C24</f>
        <v>Abdulla Al Baki</v>
      </c>
      <c r="D32" s="73">
        <f>RawMarks!K24</f>
        <v>30</v>
      </c>
      <c r="E32" s="73">
        <f>RawMarks!L24</f>
        <v>35</v>
      </c>
      <c r="F32" s="75">
        <f>RawMarks!M24</f>
        <v>30</v>
      </c>
      <c r="G32" s="75">
        <f t="shared" si="1"/>
        <v>95</v>
      </c>
      <c r="H32" s="78">
        <f t="shared" si="2"/>
        <v>0.95</v>
      </c>
      <c r="I32" s="32" t="str">
        <f>VLOOKUP(G32,GradingPolicy!$B$2:$C$11,2)</f>
        <v>A+ (Plus)</v>
      </c>
      <c r="J32" s="81"/>
      <c r="K32" s="3"/>
      <c r="L32" s="84">
        <v>15.0</v>
      </c>
      <c r="M32" s="86">
        <v>10.0</v>
      </c>
      <c r="N32" s="84">
        <v>5.0</v>
      </c>
      <c r="O32" s="84">
        <v>35.0</v>
      </c>
      <c r="P32" s="88"/>
      <c r="Q32" s="84">
        <v>30.0</v>
      </c>
      <c r="R32" s="91" t="s">
        <v>139</v>
      </c>
      <c r="S32" s="69">
        <v>2.31014007E8</v>
      </c>
      <c r="T32" s="3"/>
      <c r="U32" s="3"/>
      <c r="V32" s="3"/>
    </row>
    <row r="33" ht="15.75" customHeight="1">
      <c r="A33" s="93">
        <v>24.0</v>
      </c>
      <c r="B33" s="69">
        <f>RawMarks!B25</f>
        <v>231014025</v>
      </c>
      <c r="C33" s="71" t="str">
        <f>RawMarks!C25</f>
        <v>Sariful Islam Rana</v>
      </c>
      <c r="D33" s="73">
        <f>RawMarks!K25</f>
        <v>22</v>
      </c>
      <c r="E33" s="73">
        <f>RawMarks!L25</f>
        <v>35</v>
      </c>
      <c r="F33" s="75">
        <f>RawMarks!M25</f>
        <v>28</v>
      </c>
      <c r="G33" s="75">
        <f t="shared" si="1"/>
        <v>85</v>
      </c>
      <c r="H33" s="78">
        <f t="shared" si="2"/>
        <v>0.85</v>
      </c>
      <c r="I33" s="32" t="str">
        <f>VLOOKUP(G33,GradingPolicy!$B$2:$C$11,2)</f>
        <v>A (Plain)</v>
      </c>
      <c r="J33" s="81"/>
      <c r="K33" s="3"/>
      <c r="L33" s="84">
        <v>12.0</v>
      </c>
      <c r="M33" s="86">
        <v>5.0</v>
      </c>
      <c r="N33" s="84">
        <v>5.0</v>
      </c>
      <c r="O33" s="84">
        <v>35.0</v>
      </c>
      <c r="P33" s="88"/>
      <c r="Q33" s="84">
        <v>28.0</v>
      </c>
      <c r="R33" s="91" t="s">
        <v>141</v>
      </c>
      <c r="S33" s="69">
        <v>2.31014025E8</v>
      </c>
      <c r="T33" s="3"/>
      <c r="U33" s="3"/>
      <c r="V33" s="3"/>
    </row>
    <row r="34" ht="15.75" customHeight="1">
      <c r="A34" s="64">
        <v>25.0</v>
      </c>
      <c r="B34" s="69">
        <f>RawMarks!B26</f>
        <v>231014059</v>
      </c>
      <c r="C34" s="71" t="str">
        <f>RawMarks!C26</f>
        <v>Tonmoy Chatterjee</v>
      </c>
      <c r="D34" s="73">
        <f>RawMarks!K26</f>
        <v>14</v>
      </c>
      <c r="E34" s="73">
        <f>RawMarks!L26</f>
        <v>35</v>
      </c>
      <c r="F34" s="75">
        <f>RawMarks!M26</f>
        <v>24</v>
      </c>
      <c r="G34" s="75">
        <f t="shared" si="1"/>
        <v>73</v>
      </c>
      <c r="H34" s="78">
        <f t="shared" si="2"/>
        <v>0.73</v>
      </c>
      <c r="I34" s="32" t="str">
        <f>VLOOKUP(G34,GradingPolicy!$B$2:$C$11,2)</f>
        <v>B (Plain)</v>
      </c>
      <c r="J34" s="81"/>
      <c r="K34" s="3"/>
      <c r="L34" s="84">
        <v>4.0</v>
      </c>
      <c r="M34" s="86">
        <v>5.0</v>
      </c>
      <c r="N34" s="84">
        <v>5.0</v>
      </c>
      <c r="O34" s="84">
        <v>35.0</v>
      </c>
      <c r="P34" s="88"/>
      <c r="Q34" s="84">
        <v>24.0</v>
      </c>
      <c r="R34" s="91" t="s">
        <v>144</v>
      </c>
      <c r="S34" s="69">
        <v>2.31014059E8</v>
      </c>
      <c r="T34" s="3"/>
      <c r="U34" s="3"/>
      <c r="V34" s="3"/>
    </row>
    <row r="35" ht="15.75" customHeight="1">
      <c r="A35" s="93">
        <v>26.0</v>
      </c>
      <c r="B35" s="69">
        <f>RawMarks!B27</f>
        <v>231014097</v>
      </c>
      <c r="C35" s="71" t="str">
        <f>RawMarks!C27</f>
        <v>Fahmida Alamgir</v>
      </c>
      <c r="D35" s="73">
        <f>RawMarks!K27</f>
        <v>0</v>
      </c>
      <c r="E35" s="73">
        <v>0.0</v>
      </c>
      <c r="F35" s="75">
        <v>0.0</v>
      </c>
      <c r="G35" s="75">
        <f t="shared" si="1"/>
        <v>0</v>
      </c>
      <c r="H35" s="78">
        <f t="shared" si="2"/>
        <v>0</v>
      </c>
      <c r="I35" s="32" t="s">
        <v>52</v>
      </c>
      <c r="J35" s="81"/>
      <c r="K35" s="3"/>
      <c r="L35" s="84">
        <v>0.0</v>
      </c>
      <c r="M35" s="86">
        <v>0.0</v>
      </c>
      <c r="N35" s="84">
        <v>0.0</v>
      </c>
      <c r="O35" s="84">
        <v>0.0</v>
      </c>
      <c r="P35" s="88"/>
      <c r="Q35" s="84">
        <v>0.0</v>
      </c>
      <c r="R35" s="91" t="s">
        <v>146</v>
      </c>
      <c r="S35" s="69">
        <v>2.31014097E8</v>
      </c>
      <c r="T35" s="3"/>
      <c r="U35" s="3"/>
      <c r="V35" s="3"/>
    </row>
    <row r="36" ht="15.75" customHeight="1">
      <c r="A36" s="64">
        <v>27.0</v>
      </c>
      <c r="B36" s="69">
        <f>RawMarks!B28</f>
        <v>231014101</v>
      </c>
      <c r="C36" s="71" t="str">
        <f>RawMarks!C28</f>
        <v>Puja Karmokar</v>
      </c>
      <c r="D36" s="73">
        <f>RawMarks!K28</f>
        <v>20</v>
      </c>
      <c r="E36" s="73">
        <f>RawMarks!L28</f>
        <v>20</v>
      </c>
      <c r="F36" s="75">
        <f>RawMarks!M28</f>
        <v>10</v>
      </c>
      <c r="G36" s="75">
        <f t="shared" si="1"/>
        <v>50</v>
      </c>
      <c r="H36" s="78">
        <f t="shared" si="2"/>
        <v>0.5</v>
      </c>
      <c r="I36" s="32" t="str">
        <f>VLOOKUP(G36,GradingPolicy!$B$2:$C$11,2)</f>
        <v>D (Plain)</v>
      </c>
      <c r="J36" s="81"/>
      <c r="K36" s="3"/>
      <c r="L36" s="84">
        <v>10.0</v>
      </c>
      <c r="M36" s="86">
        <v>5.0</v>
      </c>
      <c r="N36" s="84">
        <v>5.0</v>
      </c>
      <c r="O36" s="84">
        <v>20.0</v>
      </c>
      <c r="P36" s="88"/>
      <c r="Q36" s="84">
        <v>10.0</v>
      </c>
      <c r="R36" s="91" t="s">
        <v>148</v>
      </c>
      <c r="S36" s="69">
        <v>2.31014101E8</v>
      </c>
      <c r="T36" s="3"/>
      <c r="U36" s="3"/>
      <c r="V36" s="3"/>
    </row>
    <row r="37" ht="15.75" customHeight="1">
      <c r="A37" s="93">
        <v>28.0</v>
      </c>
      <c r="B37" s="69">
        <f>RawMarks!B29</f>
        <v>231014102</v>
      </c>
      <c r="C37" s="71" t="str">
        <f>RawMarks!C29</f>
        <v>Nadia Akter</v>
      </c>
      <c r="D37" s="73">
        <f>RawMarks!K29</f>
        <v>0</v>
      </c>
      <c r="E37" s="73">
        <v>0.0</v>
      </c>
      <c r="F37" s="75">
        <v>0.0</v>
      </c>
      <c r="G37" s="75">
        <f t="shared" si="1"/>
        <v>0</v>
      </c>
      <c r="H37" s="78">
        <f t="shared" si="2"/>
        <v>0</v>
      </c>
      <c r="I37" s="32" t="s">
        <v>52</v>
      </c>
      <c r="J37" s="81"/>
      <c r="K37" s="3"/>
      <c r="L37" s="84">
        <v>0.0</v>
      </c>
      <c r="M37" s="86">
        <v>0.0</v>
      </c>
      <c r="N37" s="84">
        <v>0.0</v>
      </c>
      <c r="O37" s="84">
        <v>0.0</v>
      </c>
      <c r="P37" s="88"/>
      <c r="Q37" s="84">
        <v>0.0</v>
      </c>
      <c r="R37" s="91" t="s">
        <v>149</v>
      </c>
      <c r="S37" s="69">
        <v>2.31014102E8</v>
      </c>
      <c r="T37" s="3"/>
      <c r="U37" s="3"/>
      <c r="V37" s="3"/>
    </row>
    <row r="38" ht="15.75" customHeight="1">
      <c r="A38" s="64">
        <v>29.0</v>
      </c>
      <c r="B38" s="69">
        <f>RawMarks!B30</f>
        <v>231014136</v>
      </c>
      <c r="C38" s="71" t="str">
        <f>RawMarks!C30</f>
        <v>Md. Tasdiqur Rahman Khan</v>
      </c>
      <c r="D38" s="73">
        <f>RawMarks!K30</f>
        <v>0</v>
      </c>
      <c r="E38" s="73">
        <v>0.0</v>
      </c>
      <c r="F38" s="75">
        <v>0.0</v>
      </c>
      <c r="G38" s="75">
        <f t="shared" si="1"/>
        <v>0</v>
      </c>
      <c r="H38" s="78">
        <f t="shared" si="2"/>
        <v>0</v>
      </c>
      <c r="I38" s="32" t="s">
        <v>52</v>
      </c>
      <c r="J38" s="81"/>
      <c r="K38" s="3"/>
      <c r="L38" s="84">
        <v>0.0</v>
      </c>
      <c r="M38" s="86">
        <v>0.0</v>
      </c>
      <c r="N38" s="84">
        <v>0.0</v>
      </c>
      <c r="O38" s="84">
        <v>0.0</v>
      </c>
      <c r="P38" s="88"/>
      <c r="Q38" s="84">
        <v>0.0</v>
      </c>
      <c r="R38" s="91" t="s">
        <v>150</v>
      </c>
      <c r="S38" s="69">
        <v>2.31014136E8</v>
      </c>
      <c r="T38" s="3"/>
      <c r="U38" s="3"/>
      <c r="V38" s="3"/>
    </row>
    <row r="39" ht="15.75" customHeight="1">
      <c r="A39" s="93">
        <v>30.0</v>
      </c>
      <c r="B39" s="69">
        <f>RawMarks!B31</f>
        <v>231014148</v>
      </c>
      <c r="C39" s="71" t="str">
        <f>RawMarks!C31</f>
        <v>Shihab Ahmed Sakib</v>
      </c>
      <c r="D39" s="73">
        <f>RawMarks!K31</f>
        <v>13</v>
      </c>
      <c r="E39" s="73">
        <f>RawMarks!L31</f>
        <v>20</v>
      </c>
      <c r="F39" s="75">
        <f>RawMarks!M31</f>
        <v>25</v>
      </c>
      <c r="G39" s="75">
        <f t="shared" si="1"/>
        <v>58</v>
      </c>
      <c r="H39" s="78">
        <f t="shared" si="2"/>
        <v>0.58</v>
      </c>
      <c r="I39" s="32" t="str">
        <f>VLOOKUP(G39,GradingPolicy!$B$2:$C$11,2)</f>
        <v>C (Plain)</v>
      </c>
      <c r="J39" s="81"/>
      <c r="K39" s="3"/>
      <c r="L39" s="84">
        <v>8.0</v>
      </c>
      <c r="M39" s="86">
        <v>0.0</v>
      </c>
      <c r="N39" s="84">
        <v>5.0</v>
      </c>
      <c r="O39" s="84">
        <v>20.0</v>
      </c>
      <c r="P39" s="88"/>
      <c r="Q39" s="84">
        <v>25.0</v>
      </c>
      <c r="R39" s="91" t="s">
        <v>152</v>
      </c>
      <c r="S39" s="69">
        <v>2.31014148E8</v>
      </c>
      <c r="T39" s="3"/>
      <c r="U39" s="3"/>
      <c r="V39" s="3"/>
    </row>
    <row r="40" ht="15.75" customHeight="1">
      <c r="A40" s="64">
        <v>31.0</v>
      </c>
      <c r="B40" s="69">
        <f>RawMarks!B32</f>
        <v>232014029</v>
      </c>
      <c r="C40" s="71" t="str">
        <f>RawMarks!C32</f>
        <v>Sanjida Akter</v>
      </c>
      <c r="D40" s="73">
        <f>RawMarks!K32</f>
        <v>21</v>
      </c>
      <c r="E40" s="73">
        <f>RawMarks!L32</f>
        <v>32</v>
      </c>
      <c r="F40" s="75">
        <f>RawMarks!M32</f>
        <v>24</v>
      </c>
      <c r="G40" s="75">
        <f t="shared" si="1"/>
        <v>77</v>
      </c>
      <c r="H40" s="78">
        <f t="shared" si="2"/>
        <v>0.77</v>
      </c>
      <c r="I40" s="32" t="str">
        <f>VLOOKUP(G40,GradingPolicy!$B$2:$C$11,2)</f>
        <v>B+ (Plus)</v>
      </c>
      <c r="J40" s="81"/>
      <c r="K40" s="3"/>
      <c r="L40" s="84">
        <v>10.0</v>
      </c>
      <c r="M40" s="86">
        <v>6.0</v>
      </c>
      <c r="N40" s="84">
        <v>5.0</v>
      </c>
      <c r="O40" s="84">
        <v>32.0</v>
      </c>
      <c r="P40" s="88"/>
      <c r="Q40" s="84">
        <v>24.0</v>
      </c>
      <c r="R40" s="91" t="s">
        <v>154</v>
      </c>
      <c r="S40" s="69">
        <v>2.32014029E8</v>
      </c>
      <c r="T40" s="3"/>
      <c r="U40" s="3"/>
      <c r="V40" s="3"/>
    </row>
    <row r="41" ht="15.75" customHeight="1">
      <c r="A41" s="93">
        <v>32.0</v>
      </c>
      <c r="B41" s="69">
        <f>RawMarks!B33</f>
        <v>232014033</v>
      </c>
      <c r="C41" s="71" t="str">
        <f>RawMarks!C33</f>
        <v>Morium Rahman</v>
      </c>
      <c r="D41" s="73">
        <f>RawMarks!K33</f>
        <v>25</v>
      </c>
      <c r="E41" s="73">
        <f>RawMarks!L33</f>
        <v>35</v>
      </c>
      <c r="F41" s="75">
        <f>RawMarks!M33</f>
        <v>25</v>
      </c>
      <c r="G41" s="75">
        <f t="shared" si="1"/>
        <v>85</v>
      </c>
      <c r="H41" s="78">
        <f t="shared" si="2"/>
        <v>0.85</v>
      </c>
      <c r="I41" s="32" t="str">
        <f>VLOOKUP(G41,GradingPolicy!$B$2:$C$11,2)</f>
        <v>A (Plain)</v>
      </c>
      <c r="J41" s="81"/>
      <c r="K41" s="3"/>
      <c r="L41" s="84">
        <v>14.0</v>
      </c>
      <c r="M41" s="86">
        <v>6.0</v>
      </c>
      <c r="N41" s="84">
        <v>5.0</v>
      </c>
      <c r="O41" s="84">
        <v>35.0</v>
      </c>
      <c r="P41" s="88"/>
      <c r="Q41" s="84">
        <v>25.0</v>
      </c>
      <c r="R41" s="91" t="s">
        <v>159</v>
      </c>
      <c r="S41" s="69">
        <v>2.32014033E8</v>
      </c>
      <c r="T41" s="3"/>
      <c r="U41" s="3"/>
      <c r="V41" s="3"/>
    </row>
    <row r="42" ht="15.75" customHeight="1">
      <c r="A42" s="64">
        <v>33.0</v>
      </c>
      <c r="B42" s="69">
        <f>RawMarks!B34</f>
        <v>232014036</v>
      </c>
      <c r="C42" s="71" t="str">
        <f>RawMarks!C34</f>
        <v>Esrat Jahan Emu</v>
      </c>
      <c r="D42" s="73">
        <f>RawMarks!K34</f>
        <v>22</v>
      </c>
      <c r="E42" s="73">
        <f>RawMarks!L34</f>
        <v>32</v>
      </c>
      <c r="F42" s="75">
        <f>RawMarks!M34</f>
        <v>2</v>
      </c>
      <c r="G42" s="75">
        <f t="shared" si="1"/>
        <v>56</v>
      </c>
      <c r="H42" s="78">
        <f t="shared" si="2"/>
        <v>0.56</v>
      </c>
      <c r="I42" s="32" t="str">
        <f>VLOOKUP(G42,GradingPolicy!$B$2:$C$11,2)</f>
        <v>C (Plain)</v>
      </c>
      <c r="J42" s="81"/>
      <c r="K42" s="3"/>
      <c r="L42" s="84">
        <v>12.0</v>
      </c>
      <c r="M42" s="86">
        <v>5.0</v>
      </c>
      <c r="N42" s="84">
        <v>5.0</v>
      </c>
      <c r="O42" s="84">
        <v>32.0</v>
      </c>
      <c r="P42" s="88"/>
      <c r="Q42" s="84">
        <v>2.0</v>
      </c>
      <c r="R42" s="91" t="s">
        <v>162</v>
      </c>
      <c r="S42" s="69">
        <v>2.32014036E8</v>
      </c>
      <c r="T42" s="3"/>
      <c r="U42" s="3"/>
      <c r="V42" s="3"/>
    </row>
    <row r="43" ht="15.75" customHeight="1">
      <c r="A43" s="93">
        <v>34.0</v>
      </c>
      <c r="B43" s="69">
        <f>RawMarks!B35</f>
        <v>232014062</v>
      </c>
      <c r="C43" s="71" t="str">
        <f>RawMarks!C35</f>
        <v>Sayeda Sanzida Hoque</v>
      </c>
      <c r="D43" s="73">
        <f>RawMarks!K35</f>
        <v>26</v>
      </c>
      <c r="E43" s="73">
        <f>RawMarks!L35</f>
        <v>32</v>
      </c>
      <c r="F43" s="75">
        <f>RawMarks!M35</f>
        <v>15</v>
      </c>
      <c r="G43" s="75">
        <f t="shared" si="1"/>
        <v>73</v>
      </c>
      <c r="H43" s="78">
        <f t="shared" si="2"/>
        <v>0.73</v>
      </c>
      <c r="I43" s="32" t="str">
        <f>VLOOKUP(G43,GradingPolicy!$B$2:$C$11,2)</f>
        <v>B (Plain)</v>
      </c>
      <c r="J43" s="81"/>
      <c r="K43" s="3"/>
      <c r="L43" s="84">
        <v>15.0</v>
      </c>
      <c r="M43" s="86">
        <v>6.0</v>
      </c>
      <c r="N43" s="84">
        <v>5.0</v>
      </c>
      <c r="O43" s="84">
        <v>32.0</v>
      </c>
      <c r="P43" s="88"/>
      <c r="Q43" s="84">
        <v>15.0</v>
      </c>
      <c r="R43" s="91" t="s">
        <v>165</v>
      </c>
      <c r="S43" s="69">
        <v>2.32014062E8</v>
      </c>
      <c r="T43" s="3"/>
      <c r="U43" s="3"/>
      <c r="V43" s="3"/>
    </row>
    <row r="44" ht="15.75" customHeight="1">
      <c r="A44" s="64">
        <v>35.0</v>
      </c>
      <c r="B44" s="69">
        <f>RawMarks!B36</f>
        <v>232014106</v>
      </c>
      <c r="C44" s="71" t="str">
        <f>RawMarks!C36</f>
        <v>Lubaba Nishat Nirupoma</v>
      </c>
      <c r="D44" s="73">
        <f>RawMarks!K36</f>
        <v>23</v>
      </c>
      <c r="E44" s="73">
        <f>RawMarks!L36</f>
        <v>32</v>
      </c>
      <c r="F44" s="75">
        <f>RawMarks!M36</f>
        <v>20</v>
      </c>
      <c r="G44" s="75">
        <f t="shared" si="1"/>
        <v>75</v>
      </c>
      <c r="H44" s="78">
        <f t="shared" si="2"/>
        <v>0.75</v>
      </c>
      <c r="I44" s="32" t="str">
        <f>VLOOKUP(G44,GradingPolicy!$B$2:$C$11,2)</f>
        <v>B+ (Plus)</v>
      </c>
      <c r="J44" s="81"/>
      <c r="K44" s="3"/>
      <c r="L44" s="84">
        <v>12.0</v>
      </c>
      <c r="M44" s="86">
        <v>6.0</v>
      </c>
      <c r="N44" s="84">
        <v>5.0</v>
      </c>
      <c r="O44" s="84">
        <v>32.0</v>
      </c>
      <c r="P44" s="88"/>
      <c r="Q44" s="84">
        <v>20.0</v>
      </c>
      <c r="R44" s="91" t="s">
        <v>167</v>
      </c>
      <c r="S44" s="69">
        <v>2.32014106E8</v>
      </c>
      <c r="T44" s="3"/>
      <c r="U44" s="3"/>
      <c r="V44" s="3"/>
    </row>
    <row r="45" ht="15.75" customHeight="1">
      <c r="A45" s="93">
        <v>36.0</v>
      </c>
      <c r="B45" s="69">
        <f>RawMarks!B37</f>
        <v>232014141</v>
      </c>
      <c r="C45" s="71" t="str">
        <f>RawMarks!C37</f>
        <v>Zakia Sharmin Shammy</v>
      </c>
      <c r="D45" s="73">
        <f>RawMarks!K37</f>
        <v>26</v>
      </c>
      <c r="E45" s="73">
        <f>RawMarks!L37</f>
        <v>32</v>
      </c>
      <c r="F45" s="75">
        <f>RawMarks!M37</f>
        <v>20</v>
      </c>
      <c r="G45" s="75">
        <f t="shared" si="1"/>
        <v>78</v>
      </c>
      <c r="H45" s="78">
        <f t="shared" si="2"/>
        <v>0.78</v>
      </c>
      <c r="I45" s="32" t="str">
        <f>VLOOKUP(G45,GradingPolicy!$B$2:$C$11,2)</f>
        <v>B+ (Plus)</v>
      </c>
      <c r="J45" s="81"/>
      <c r="K45" s="3"/>
      <c r="L45" s="84">
        <v>14.0</v>
      </c>
      <c r="M45" s="86">
        <v>7.0</v>
      </c>
      <c r="N45" s="84">
        <v>5.0</v>
      </c>
      <c r="O45" s="84">
        <v>32.0</v>
      </c>
      <c r="P45" s="88"/>
      <c r="Q45" s="84">
        <v>20.0</v>
      </c>
      <c r="R45" s="91" t="s">
        <v>168</v>
      </c>
      <c r="S45" s="69">
        <v>2.32014141E8</v>
      </c>
      <c r="T45" s="3"/>
      <c r="U45" s="3"/>
      <c r="V45" s="3"/>
    </row>
    <row r="46" ht="15.75" customHeight="1">
      <c r="A46" s="64"/>
      <c r="B46" s="69"/>
      <c r="C46" s="71"/>
      <c r="D46" s="73"/>
      <c r="E46" s="73"/>
      <c r="F46" s="75"/>
      <c r="G46" s="75"/>
      <c r="H46" s="78"/>
      <c r="I46" s="32"/>
      <c r="J46" s="3"/>
      <c r="K46" s="3"/>
      <c r="L46" s="88"/>
      <c r="M46" s="193"/>
      <c r="N46" s="88"/>
      <c r="O46" s="88"/>
      <c r="P46" s="88"/>
      <c r="Q46" s="88"/>
      <c r="R46" s="91"/>
      <c r="S46" s="69"/>
      <c r="T46" s="3"/>
      <c r="U46" s="3"/>
      <c r="V46" s="3"/>
    </row>
    <row r="47" ht="15.75" customHeight="1">
      <c r="A47" s="93"/>
      <c r="B47" s="69"/>
      <c r="C47" s="71"/>
      <c r="D47" s="73"/>
      <c r="E47" s="73"/>
      <c r="F47" s="75"/>
      <c r="G47" s="75"/>
      <c r="H47" s="78"/>
      <c r="I47" s="32"/>
      <c r="J47" s="3"/>
      <c r="K47" s="3"/>
      <c r="L47" s="88"/>
      <c r="M47" s="193"/>
      <c r="N47" s="88"/>
      <c r="O47" s="88"/>
      <c r="P47" s="88"/>
      <c r="Q47" s="88"/>
      <c r="R47" s="91"/>
      <c r="S47" s="69"/>
      <c r="T47" s="3"/>
      <c r="U47" s="3"/>
      <c r="V47" s="3"/>
    </row>
    <row r="48" ht="15.75" customHeight="1">
      <c r="A48" s="64"/>
      <c r="B48" s="69"/>
      <c r="C48" s="71"/>
      <c r="D48" s="73"/>
      <c r="E48" s="73"/>
      <c r="F48" s="75"/>
      <c r="G48" s="75"/>
      <c r="H48" s="78"/>
      <c r="I48" s="32"/>
      <c r="J48" s="3"/>
      <c r="K48" s="3"/>
      <c r="L48" s="88"/>
      <c r="M48" s="193"/>
      <c r="N48" s="88"/>
      <c r="O48" s="88"/>
      <c r="P48" s="88"/>
      <c r="Q48" s="88"/>
      <c r="R48" s="91"/>
      <c r="S48" s="69"/>
      <c r="T48" s="3"/>
      <c r="U48" s="3"/>
      <c r="V48" s="3"/>
    </row>
    <row r="49" ht="15.75" customHeight="1">
      <c r="A49" s="93"/>
      <c r="B49" s="69"/>
      <c r="C49" s="71"/>
      <c r="D49" s="73"/>
      <c r="E49" s="73"/>
      <c r="F49" s="75"/>
      <c r="G49" s="75"/>
      <c r="H49" s="78"/>
      <c r="I49" s="32"/>
      <c r="J49" s="3"/>
      <c r="K49" s="3"/>
      <c r="L49" s="88"/>
      <c r="M49" s="193"/>
      <c r="N49" s="88"/>
      <c r="O49" s="88"/>
      <c r="P49" s="88"/>
      <c r="Q49" s="88"/>
      <c r="R49" s="91"/>
      <c r="S49" s="69"/>
      <c r="T49" s="3"/>
      <c r="U49" s="3"/>
      <c r="V49" s="3"/>
    </row>
    <row r="50" ht="15.75" customHeight="1">
      <c r="A50" s="93"/>
      <c r="B50" s="69"/>
      <c r="C50" s="71"/>
      <c r="D50" s="73"/>
      <c r="E50" s="73"/>
      <c r="F50" s="75"/>
      <c r="G50" s="75"/>
      <c r="H50" s="78"/>
      <c r="I50" s="32"/>
      <c r="J50" s="3"/>
      <c r="K50" s="3"/>
      <c r="L50" s="88"/>
      <c r="M50" s="193"/>
      <c r="N50" s="88"/>
      <c r="O50" s="88"/>
      <c r="P50" s="88"/>
      <c r="Q50" s="88"/>
      <c r="R50" s="91"/>
      <c r="S50" s="69"/>
      <c r="T50" s="3"/>
      <c r="U50" s="3"/>
      <c r="V50" s="3"/>
    </row>
    <row r="51" ht="15.75" customHeight="1">
      <c r="A51" s="93"/>
      <c r="B51" s="69"/>
      <c r="C51" s="71"/>
      <c r="D51" s="73"/>
      <c r="E51" s="73"/>
      <c r="F51" s="75"/>
      <c r="G51" s="75"/>
      <c r="H51" s="78"/>
      <c r="I51" s="32"/>
      <c r="J51" s="3"/>
      <c r="K51" s="3"/>
      <c r="L51" s="88"/>
      <c r="M51" s="193"/>
      <c r="N51" s="88"/>
      <c r="O51" s="88"/>
      <c r="P51" s="88"/>
      <c r="Q51" s="88"/>
      <c r="R51" s="91"/>
      <c r="S51" s="69"/>
      <c r="T51" s="3"/>
      <c r="U51" s="3"/>
      <c r="V51" s="3"/>
    </row>
    <row r="52" ht="15.75" customHeight="1">
      <c r="A52" s="3"/>
      <c r="B52" s="18"/>
      <c r="C52" s="19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18"/>
      <c r="C53" s="19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42" t="s">
        <v>170</v>
      </c>
      <c r="C54" s="196" t="s">
        <v>171</v>
      </c>
      <c r="D54" s="197" t="s">
        <v>2</v>
      </c>
      <c r="E54" s="45" t="s">
        <v>172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0" customHeight="1">
      <c r="A55" s="3"/>
      <c r="B55" s="198" t="s">
        <v>57</v>
      </c>
      <c r="C55" s="199">
        <v>0.0</v>
      </c>
      <c r="D55" s="200" t="s">
        <v>105</v>
      </c>
      <c r="E55" s="202">
        <f>COUNTIF(I10:I51, "A+ (Plus)")</f>
        <v>1</v>
      </c>
      <c r="F55" s="3"/>
      <c r="G55" s="3"/>
      <c r="H55" s="3"/>
      <c r="I55" s="3"/>
      <c r="J55" s="3"/>
      <c r="K55" s="203" t="s">
        <v>173</v>
      </c>
      <c r="L55" s="75">
        <f t="shared" ref="L55:Q55" si="3">MAX(L10:L49)</f>
        <v>15</v>
      </c>
      <c r="M55" s="205">
        <f t="shared" si="3"/>
        <v>10</v>
      </c>
      <c r="N55" s="205">
        <f t="shared" si="3"/>
        <v>5</v>
      </c>
      <c r="O55" s="205">
        <f t="shared" si="3"/>
        <v>35</v>
      </c>
      <c r="P55" s="205">
        <f t="shared" si="3"/>
        <v>0</v>
      </c>
      <c r="Q55" s="205">
        <f t="shared" si="3"/>
        <v>30</v>
      </c>
      <c r="R55" s="3"/>
      <c r="S55" s="3"/>
      <c r="T55" s="3"/>
      <c r="U55" s="3"/>
      <c r="V55" s="3"/>
    </row>
    <row r="56" ht="15.75" customHeight="1">
      <c r="A56" s="3"/>
      <c r="B56" s="191"/>
      <c r="C56" s="191"/>
      <c r="D56" s="202" t="s">
        <v>106</v>
      </c>
      <c r="E56" s="202">
        <f>COUNTIF(I10:I51, "A (Plain)")</f>
        <v>6</v>
      </c>
      <c r="F56" s="3"/>
      <c r="G56" s="3"/>
      <c r="H56" s="3"/>
      <c r="I56" s="3"/>
      <c r="J56" s="3"/>
      <c r="K56" s="203" t="s">
        <v>174</v>
      </c>
      <c r="L56" s="75">
        <f t="shared" ref="L56:Q56" si="4">AVERAGE(L10:L49)</f>
        <v>8.111111111</v>
      </c>
      <c r="M56" s="75">
        <f t="shared" si="4"/>
        <v>4.361111111</v>
      </c>
      <c r="N56" s="75">
        <f t="shared" si="4"/>
        <v>4.027777778</v>
      </c>
      <c r="O56" s="75">
        <f t="shared" si="4"/>
        <v>23.63888889</v>
      </c>
      <c r="P56" s="75" t="str">
        <f t="shared" si="4"/>
        <v>#DIV/0!</v>
      </c>
      <c r="Q56" s="75">
        <f t="shared" si="4"/>
        <v>18</v>
      </c>
      <c r="R56" s="3"/>
      <c r="S56" s="3"/>
      <c r="T56" s="3"/>
      <c r="U56" s="3"/>
      <c r="V56" s="3"/>
    </row>
    <row r="57" ht="15.75" customHeight="1">
      <c r="A57" s="3"/>
      <c r="B57" s="207" t="s">
        <v>175</v>
      </c>
      <c r="C57" s="208">
        <v>0.0</v>
      </c>
      <c r="D57" s="202" t="s">
        <v>107</v>
      </c>
      <c r="E57" s="202">
        <f>COUNTIF(I10:I51, "A- (Minus)")</f>
        <v>1</v>
      </c>
      <c r="F57" s="3"/>
      <c r="G57" s="3"/>
      <c r="H57" s="3"/>
      <c r="I57" s="3"/>
      <c r="J57" s="3"/>
      <c r="K57" s="203" t="s">
        <v>176</v>
      </c>
      <c r="L57" s="75">
        <f t="shared" ref="L57:Q57" si="5">MIN(L10:L49)</f>
        <v>0</v>
      </c>
      <c r="M57" s="205">
        <f t="shared" si="5"/>
        <v>0</v>
      </c>
      <c r="N57" s="205">
        <f t="shared" si="5"/>
        <v>0</v>
      </c>
      <c r="O57" s="205">
        <f t="shared" si="5"/>
        <v>0</v>
      </c>
      <c r="P57" s="205">
        <f t="shared" si="5"/>
        <v>0</v>
      </c>
      <c r="Q57" s="205">
        <f t="shared" si="5"/>
        <v>0</v>
      </c>
      <c r="R57" s="3"/>
      <c r="S57" s="3"/>
      <c r="T57" s="3"/>
      <c r="U57" s="3"/>
      <c r="V57" s="3"/>
    </row>
    <row r="58" ht="15.75" customHeight="1">
      <c r="A58" s="3"/>
      <c r="B58" s="207" t="s">
        <v>177</v>
      </c>
      <c r="C58" s="208">
        <v>0.0</v>
      </c>
      <c r="D58" s="202" t="s">
        <v>108</v>
      </c>
      <c r="E58" s="202">
        <f>COUNTIF(I10:I51, "B+ (Plus)")</f>
        <v>6</v>
      </c>
      <c r="F58" s="3"/>
      <c r="G58" s="3"/>
      <c r="H58" s="3"/>
      <c r="I58" s="3"/>
      <c r="J58" s="3"/>
      <c r="K58" s="3"/>
      <c r="L58" s="3"/>
      <c r="M58" s="209"/>
      <c r="N58" s="209"/>
      <c r="O58" s="209"/>
      <c r="P58" s="209"/>
      <c r="Q58" s="209"/>
      <c r="R58" s="3"/>
      <c r="S58" s="3"/>
      <c r="T58" s="3"/>
      <c r="U58" s="3"/>
      <c r="V58" s="3"/>
    </row>
    <row r="59" ht="15.75" customHeight="1">
      <c r="A59" s="3"/>
      <c r="B59" s="207" t="s">
        <v>58</v>
      </c>
      <c r="C59" s="208">
        <v>40.0</v>
      </c>
      <c r="D59" s="202" t="s">
        <v>109</v>
      </c>
      <c r="E59" s="202">
        <f>COUNTIF(I10:I51, "B (Plain)")</f>
        <v>3</v>
      </c>
      <c r="F59" s="3"/>
      <c r="G59" s="3"/>
      <c r="H59" s="3"/>
      <c r="I59" s="3"/>
      <c r="J59" s="3"/>
      <c r="K59" s="3"/>
      <c r="L59" s="3"/>
      <c r="M59" s="209"/>
      <c r="N59" s="209"/>
      <c r="O59" s="209"/>
      <c r="P59" s="209"/>
      <c r="Q59" s="209"/>
      <c r="R59" s="3"/>
      <c r="S59" s="3"/>
      <c r="T59" s="3"/>
      <c r="U59" s="3"/>
      <c r="V59" s="3"/>
    </row>
    <row r="60" ht="15.75" customHeight="1">
      <c r="A60" s="3"/>
      <c r="B60" s="207" t="s">
        <v>51</v>
      </c>
      <c r="C60" s="208">
        <v>30.0</v>
      </c>
      <c r="D60" s="202" t="s">
        <v>110</v>
      </c>
      <c r="E60" s="202">
        <f>COUNTIF($I$10:$I$51, "B- (Minus)")</f>
        <v>3</v>
      </c>
      <c r="F60" s="3"/>
      <c r="G60" s="3"/>
      <c r="H60" s="3"/>
      <c r="I60" s="3"/>
      <c r="J60" s="3"/>
      <c r="K60" s="3"/>
      <c r="L60" s="3"/>
      <c r="M60" s="209"/>
      <c r="N60" s="209"/>
      <c r="O60" s="209"/>
      <c r="P60" s="209"/>
      <c r="Q60" s="209"/>
      <c r="R60" s="3"/>
      <c r="S60" s="3"/>
      <c r="T60" s="3"/>
      <c r="U60" s="3"/>
      <c r="V60" s="3"/>
    </row>
    <row r="61" ht="15.75" customHeight="1">
      <c r="A61" s="3"/>
      <c r="B61" s="207" t="s">
        <v>179</v>
      </c>
      <c r="C61" s="208">
        <v>30.0</v>
      </c>
      <c r="D61" s="202" t="s">
        <v>111</v>
      </c>
      <c r="E61" s="202">
        <f>COUNTIF(I10:I51, "C+ (Plus)")</f>
        <v>2</v>
      </c>
      <c r="F61" s="3"/>
      <c r="G61" s="3"/>
      <c r="H61" s="3"/>
      <c r="I61" s="3"/>
      <c r="J61" s="3"/>
      <c r="K61" s="3"/>
      <c r="L61" s="3"/>
      <c r="M61" s="209"/>
      <c r="N61" s="209"/>
      <c r="O61" s="209"/>
      <c r="P61" s="209"/>
      <c r="Q61" s="209"/>
      <c r="R61" s="3"/>
      <c r="S61" s="3"/>
      <c r="T61" s="3"/>
      <c r="U61" s="3"/>
      <c r="V61" s="3"/>
    </row>
    <row r="62" ht="15.75" customHeight="1">
      <c r="A62" s="3"/>
      <c r="B62" s="207" t="s">
        <v>71</v>
      </c>
      <c r="C62" s="64">
        <f>SUM(C55:C61)</f>
        <v>100</v>
      </c>
      <c r="D62" s="202" t="s">
        <v>112</v>
      </c>
      <c r="E62" s="202">
        <f>COUNTIF(I10:I51, "C (Plain)")</f>
        <v>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18"/>
      <c r="C63" s="19"/>
      <c r="D63" s="202" t="s">
        <v>113</v>
      </c>
      <c r="E63" s="202">
        <f>COUNTIF(I10:I51, "D (Plain)")</f>
        <v>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18"/>
      <c r="C64" s="19"/>
      <c r="D64" s="202" t="s">
        <v>114</v>
      </c>
      <c r="E64" s="202">
        <f>COUNTIF(I10:I51, "F (Fail)")</f>
        <v>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18"/>
      <c r="C65" s="19"/>
      <c r="D65" s="202" t="s">
        <v>115</v>
      </c>
      <c r="E65" s="202">
        <f>COUNTIF(I10:I51, "I (Incomplete)")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19" t="str">
        <f>GradeSheet!$E$5</f>
        <v>Foysal Ahmed</v>
      </c>
      <c r="D66" s="202" t="s">
        <v>116</v>
      </c>
      <c r="E66" s="202">
        <f>COUNTIF(I10:I51, "W (Withdrawn)")</f>
        <v>6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224" t="s">
        <v>182</v>
      </c>
      <c r="C67" s="225"/>
      <c r="D67" s="227"/>
      <c r="E67" s="202">
        <f>SUM(E55:E66)</f>
        <v>36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224" t="s">
        <v>184</v>
      </c>
      <c r="C68" s="22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18"/>
      <c r="C69" s="1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18"/>
      <c r="C70" s="1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18"/>
      <c r="C71" s="1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18"/>
      <c r="C72" s="1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18"/>
      <c r="C73" s="1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18"/>
      <c r="C74" s="19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18"/>
      <c r="C75" s="19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18"/>
      <c r="C76" s="19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18"/>
      <c r="C77" s="19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18"/>
      <c r="C78" s="19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18"/>
      <c r="C79" s="19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18"/>
      <c r="C80" s="19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18"/>
      <c r="C81" s="19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18"/>
      <c r="C82" s="19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18"/>
      <c r="C83" s="19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6.5" customHeight="1">
      <c r="A84" s="3"/>
      <c r="B84" s="18"/>
      <c r="C84" s="19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18"/>
      <c r="C85" s="19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18"/>
      <c r="C86" s="19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18"/>
      <c r="C87" s="19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18"/>
      <c r="C88" s="19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18"/>
      <c r="C89" s="19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18"/>
      <c r="C90" s="19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18"/>
      <c r="C91" s="19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18"/>
      <c r="C92" s="19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22.5" customHeight="1">
      <c r="A93" s="3"/>
      <c r="B93" s="18"/>
      <c r="C93" s="19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18"/>
      <c r="C94" s="19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18"/>
      <c r="C95" s="19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18"/>
      <c r="C96" s="19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18"/>
      <c r="C97" s="19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18"/>
      <c r="C98" s="19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18"/>
      <c r="C99" s="19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18"/>
      <c r="C100" s="19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18"/>
      <c r="C101" s="19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18"/>
      <c r="C102" s="19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6.5" customHeight="1">
      <c r="A103" s="3"/>
      <c r="B103" s="18"/>
      <c r="C103" s="19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18"/>
      <c r="C104" s="19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18"/>
      <c r="C105" s="19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18"/>
      <c r="C106" s="19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18"/>
      <c r="C107" s="19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18"/>
      <c r="C108" s="19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18"/>
      <c r="C109" s="19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18"/>
      <c r="C110" s="19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18"/>
      <c r="C111" s="19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18"/>
      <c r="C112" s="19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18"/>
      <c r="C113" s="19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18"/>
      <c r="C114" s="19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18"/>
      <c r="C115" s="19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18"/>
      <c r="C116" s="19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18"/>
      <c r="C117" s="19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18"/>
      <c r="C118" s="19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18"/>
      <c r="C119" s="19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18"/>
      <c r="C120" s="19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18"/>
      <c r="C121" s="19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18"/>
      <c r="C122" s="19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18"/>
      <c r="C123" s="19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18"/>
      <c r="C124" s="19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18"/>
      <c r="C125" s="19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18"/>
      <c r="C126" s="19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18"/>
      <c r="C127" s="19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18"/>
      <c r="C128" s="19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18"/>
      <c r="C129" s="19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18"/>
      <c r="C130" s="19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18"/>
      <c r="C131" s="1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18"/>
      <c r="C132" s="1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18"/>
      <c r="C133" s="1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18"/>
      <c r="C134" s="19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18"/>
      <c r="C135" s="19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18"/>
      <c r="C136" s="19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18"/>
      <c r="C137" s="19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18"/>
      <c r="C138" s="19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18"/>
      <c r="C139" s="19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18"/>
      <c r="C140" s="19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18"/>
      <c r="C141" s="19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18"/>
      <c r="C142" s="19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18"/>
      <c r="C143" s="19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18"/>
      <c r="C144" s="19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18"/>
      <c r="C145" s="19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18"/>
      <c r="C146" s="19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18"/>
      <c r="C147" s="19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18"/>
      <c r="C148" s="19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18"/>
      <c r="C149" s="19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18"/>
      <c r="C150" s="19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18"/>
      <c r="C151" s="19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18"/>
      <c r="C152" s="19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18"/>
      <c r="C153" s="19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18"/>
      <c r="C154" s="19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18"/>
      <c r="C155" s="19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18"/>
      <c r="C156" s="19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18"/>
      <c r="C157" s="19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18"/>
      <c r="C158" s="19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18"/>
      <c r="C159" s="19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18"/>
      <c r="C160" s="19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18"/>
      <c r="C161" s="19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18"/>
      <c r="C162" s="19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18"/>
      <c r="C163" s="19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18"/>
      <c r="C164" s="19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18"/>
      <c r="C165" s="19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18"/>
      <c r="C166" s="19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18"/>
      <c r="C167" s="19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18"/>
      <c r="C168" s="19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18"/>
      <c r="C169" s="19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18"/>
      <c r="C170" s="19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18"/>
      <c r="C171" s="19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18"/>
      <c r="C172" s="19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18"/>
      <c r="C173" s="19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18"/>
      <c r="C174" s="19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18"/>
      <c r="C175" s="19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18"/>
      <c r="C176" s="19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18"/>
      <c r="C177" s="19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18"/>
      <c r="C178" s="19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18"/>
      <c r="C179" s="19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18"/>
      <c r="C180" s="19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18"/>
      <c r="C181" s="19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18"/>
      <c r="C182" s="19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18"/>
      <c r="C183" s="19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18"/>
      <c r="C184" s="19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18"/>
      <c r="C185" s="19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18"/>
      <c r="C186" s="19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18"/>
      <c r="C187" s="19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18"/>
      <c r="C188" s="19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18"/>
      <c r="C189" s="19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18"/>
      <c r="C190" s="19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18"/>
      <c r="C191" s="19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18"/>
      <c r="C192" s="19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18"/>
      <c r="C193" s="19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18"/>
      <c r="C194" s="19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18"/>
      <c r="C195" s="19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18"/>
      <c r="C196" s="19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18"/>
      <c r="C197" s="19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18"/>
      <c r="C198" s="19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18"/>
      <c r="C199" s="19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18"/>
      <c r="C200" s="19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18"/>
      <c r="C201" s="19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18"/>
      <c r="C202" s="19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18"/>
      <c r="C203" s="19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18"/>
      <c r="C204" s="19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18"/>
      <c r="C205" s="19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18"/>
      <c r="C206" s="19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18"/>
      <c r="C207" s="19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18"/>
      <c r="C208" s="19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18"/>
      <c r="C209" s="19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18"/>
      <c r="C210" s="19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18"/>
      <c r="C211" s="19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18"/>
      <c r="C212" s="19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18"/>
      <c r="C213" s="19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18"/>
      <c r="C214" s="19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18"/>
      <c r="C215" s="19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18"/>
      <c r="C216" s="19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18"/>
      <c r="C217" s="19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18"/>
      <c r="C218" s="19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18"/>
      <c r="C219" s="19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18"/>
      <c r="C220" s="19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18"/>
      <c r="C221" s="19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18"/>
      <c r="C222" s="19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18"/>
      <c r="C223" s="19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18"/>
      <c r="C224" s="19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18"/>
      <c r="C225" s="19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18"/>
      <c r="C226" s="19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18"/>
      <c r="C227" s="19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18"/>
      <c r="C228" s="19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18"/>
      <c r="C229" s="19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18"/>
      <c r="C230" s="19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18"/>
      <c r="C231" s="19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18"/>
      <c r="C232" s="19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18"/>
      <c r="C233" s="19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18"/>
      <c r="C234" s="19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18"/>
      <c r="C235" s="19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18"/>
      <c r="C236" s="19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18"/>
      <c r="C237" s="19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18"/>
      <c r="C238" s="19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18"/>
      <c r="C239" s="19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18"/>
      <c r="C240" s="19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18"/>
      <c r="C241" s="19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18"/>
      <c r="C242" s="19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18"/>
      <c r="C243" s="19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18"/>
      <c r="C244" s="19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18"/>
      <c r="C245" s="19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18"/>
      <c r="C246" s="19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18"/>
      <c r="C247" s="19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18"/>
      <c r="C248" s="19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18"/>
      <c r="C249" s="19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18"/>
      <c r="C250" s="19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18"/>
      <c r="C251" s="19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18"/>
      <c r="C252" s="19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18"/>
      <c r="C253" s="19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18"/>
      <c r="C254" s="19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18"/>
      <c r="C255" s="19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18"/>
      <c r="C256" s="19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18"/>
      <c r="C257" s="19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18"/>
      <c r="C258" s="19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18"/>
      <c r="C259" s="19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18"/>
      <c r="C260" s="19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18"/>
      <c r="C261" s="19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18"/>
      <c r="C262" s="19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18"/>
      <c r="C263" s="19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18"/>
      <c r="C264" s="19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18"/>
      <c r="C265" s="19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18"/>
      <c r="C266" s="19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18"/>
      <c r="C267" s="19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18"/>
      <c r="C268" s="19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6:C66"/>
    <mergeCell ref="B67:C67"/>
    <mergeCell ref="B68:C68"/>
    <mergeCell ref="E2:F2"/>
    <mergeCell ref="E3:F3"/>
    <mergeCell ref="E4:F4"/>
    <mergeCell ref="E5:F5"/>
    <mergeCell ref="A7:I7"/>
    <mergeCell ref="B55:B56"/>
    <mergeCell ref="C55:C56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16.43"/>
    <col customWidth="1" min="3" max="3" width="16.71"/>
    <col customWidth="1" min="4" max="23" width="9.14"/>
  </cols>
  <sheetData>
    <row r="1" ht="15.75" customHeight="1">
      <c r="A1" s="1" t="s">
        <v>0</v>
      </c>
      <c r="B1" s="2" t="s">
        <v>1</v>
      </c>
      <c r="C1" s="1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5.75" customHeight="1">
      <c r="A2" s="4" t="s">
        <v>3</v>
      </c>
      <c r="B2" s="5">
        <v>0.0</v>
      </c>
      <c r="C2" s="5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customHeight="1">
      <c r="A3" s="7" t="s">
        <v>5</v>
      </c>
      <c r="B3" s="9">
        <v>50.0</v>
      </c>
      <c r="C3" s="9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5.75" customHeight="1">
      <c r="A4" s="7" t="s">
        <v>7</v>
      </c>
      <c r="B4" s="9">
        <v>55.0</v>
      </c>
      <c r="C4" s="9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.75" customHeight="1">
      <c r="A5" s="7" t="s">
        <v>9</v>
      </c>
      <c r="B5" s="9">
        <v>60.0</v>
      </c>
      <c r="C5" s="9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.75" customHeight="1">
      <c r="A6" s="7" t="s">
        <v>12</v>
      </c>
      <c r="B6" s="9">
        <v>65.0</v>
      </c>
      <c r="C6" s="9" t="s">
        <v>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.75" customHeight="1">
      <c r="A7" s="7" t="s">
        <v>14</v>
      </c>
      <c r="B7" s="9">
        <v>70.0</v>
      </c>
      <c r="C7" s="9" t="s">
        <v>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customHeight="1">
      <c r="A8" s="7" t="s">
        <v>16</v>
      </c>
      <c r="B8" s="9">
        <v>75.0</v>
      </c>
      <c r="C8" s="9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customHeight="1">
      <c r="A9" s="7" t="s">
        <v>19</v>
      </c>
      <c r="B9" s="9">
        <v>80.0</v>
      </c>
      <c r="C9" s="9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customHeight="1">
      <c r="A10" s="16" t="s">
        <v>23</v>
      </c>
      <c r="B10" s="9">
        <v>85.0</v>
      </c>
      <c r="C10" s="9" t="s">
        <v>26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customHeight="1">
      <c r="A11" s="20" t="s">
        <v>29</v>
      </c>
      <c r="B11" s="21">
        <v>95.0</v>
      </c>
      <c r="C11" s="22" t="s">
        <v>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4.71"/>
    <col customWidth="1" min="3" max="3" width="5.86"/>
    <col customWidth="1" min="4" max="4" width="6.14"/>
    <col customWidth="1" min="5" max="5" width="6.29"/>
    <col customWidth="1" min="6" max="6" width="7.14"/>
    <col customWidth="1" min="7" max="7" width="6.29"/>
    <col customWidth="1" min="8" max="8" width="11.14"/>
    <col customWidth="1" min="9" max="12" width="6.86"/>
    <col customWidth="1" min="13" max="13" width="6.0"/>
    <col customWidth="1" min="14" max="14" width="3.86"/>
    <col customWidth="1" min="15" max="15" width="3.0"/>
    <col customWidth="1" min="16" max="16" width="4.71"/>
    <col customWidth="1" min="17" max="17" width="9.29"/>
    <col customWidth="1" min="18" max="18" width="7.71"/>
    <col customWidth="1" min="19" max="22" width="4.29"/>
    <col customWidth="1" min="23" max="31" width="3.57"/>
    <col customWidth="1" min="32" max="32" width="1.0"/>
    <col customWidth="1" min="33" max="36" width="3.57"/>
    <col customWidth="1" min="37" max="37" width="6.71"/>
    <col customWidth="1" min="38" max="44" width="3.57"/>
  </cols>
  <sheetData>
    <row r="1" ht="16.5" customHeight="1">
      <c r="A1" s="51"/>
      <c r="B1" s="51"/>
      <c r="C1" s="51"/>
      <c r="D1" s="51"/>
      <c r="E1" s="51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</row>
    <row r="2" ht="16.5" customHeight="1">
      <c r="A2" s="54"/>
      <c r="B2" s="59" t="s">
        <v>31</v>
      </c>
      <c r="C2" s="37"/>
      <c r="D2" s="25"/>
      <c r="E2" s="63" t="str">
        <f>GradeSheet!$E$2</f>
        <v>CSE 4460</v>
      </c>
      <c r="F2" s="37"/>
      <c r="G2" s="37"/>
      <c r="H2" s="37"/>
      <c r="I2" s="37"/>
      <c r="J2" s="37"/>
      <c r="K2" s="37"/>
      <c r="L2" s="37"/>
      <c r="M2" s="37"/>
      <c r="N2" s="25"/>
      <c r="O2" s="59" t="str">
        <f>CONCATENATE("Section ", GradeSheet!$H$2,)</f>
        <v>Section 2</v>
      </c>
      <c r="P2" s="37"/>
      <c r="Q2" s="25"/>
      <c r="R2" s="66"/>
      <c r="S2" s="54"/>
      <c r="T2" s="68" t="s">
        <v>68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25"/>
      <c r="AO2" s="70"/>
      <c r="AP2" s="70"/>
      <c r="AQ2" s="70"/>
      <c r="AR2" s="54"/>
    </row>
    <row r="3" ht="16.5" customHeight="1">
      <c r="A3" s="54"/>
      <c r="B3" s="72" t="s">
        <v>43</v>
      </c>
      <c r="C3" s="37"/>
      <c r="D3" s="25"/>
      <c r="E3" s="74" t="str">
        <f>GradeSheet!$E$3</f>
        <v>Big Data Analytics Lab</v>
      </c>
      <c r="F3" s="37"/>
      <c r="G3" s="37"/>
      <c r="H3" s="37"/>
      <c r="I3" s="37"/>
      <c r="J3" s="37"/>
      <c r="K3" s="37"/>
      <c r="L3" s="37"/>
      <c r="M3" s="37"/>
      <c r="N3" s="25"/>
      <c r="O3" s="72" t="str">
        <f>CONCATENATE(GradeSheet!$E$67," students")</f>
        <v>36 students</v>
      </c>
      <c r="P3" s="37"/>
      <c r="Q3" s="25"/>
      <c r="R3" s="66"/>
      <c r="S3" s="54"/>
      <c r="T3" s="76" t="s">
        <v>70</v>
      </c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25"/>
      <c r="AG3" s="76" t="s">
        <v>72</v>
      </c>
      <c r="AH3" s="37"/>
      <c r="AI3" s="37"/>
      <c r="AJ3" s="37"/>
      <c r="AK3" s="37"/>
      <c r="AL3" s="37"/>
      <c r="AM3" s="37"/>
      <c r="AN3" s="25"/>
      <c r="AO3" s="70"/>
      <c r="AP3" s="70"/>
      <c r="AQ3" s="70"/>
      <c r="AR3" s="54"/>
    </row>
    <row r="4" ht="16.5" customHeight="1">
      <c r="A4" s="54"/>
      <c r="B4" s="80" t="s">
        <v>50</v>
      </c>
      <c r="C4" s="37"/>
      <c r="D4" s="25"/>
      <c r="E4" s="83">
        <f>GradeSheet!$E$4</f>
        <v>1</v>
      </c>
      <c r="F4" s="37"/>
      <c r="G4" s="37"/>
      <c r="H4" s="37"/>
      <c r="I4" s="37"/>
      <c r="J4" s="37"/>
      <c r="K4" s="37"/>
      <c r="L4" s="37"/>
      <c r="M4" s="37"/>
      <c r="N4" s="25"/>
      <c r="O4" s="83" t="str">
        <f>GradeSheet!$H$3</f>
        <v>Spring 2026</v>
      </c>
      <c r="P4" s="37"/>
      <c r="Q4" s="25"/>
      <c r="R4" s="66"/>
      <c r="S4" s="54"/>
      <c r="T4" s="87">
        <v>1.0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25"/>
      <c r="AG4" s="90">
        <v>4.0</v>
      </c>
      <c r="AH4" s="37"/>
      <c r="AI4" s="37"/>
      <c r="AJ4" s="37"/>
      <c r="AK4" s="37"/>
      <c r="AL4" s="37"/>
      <c r="AM4" s="37"/>
      <c r="AN4" s="25"/>
      <c r="AO4" s="70"/>
      <c r="AP4" s="70"/>
      <c r="AQ4" s="70"/>
      <c r="AR4" s="54"/>
    </row>
    <row r="5" ht="16.5" customHeight="1">
      <c r="A5" s="54"/>
      <c r="B5" s="51"/>
      <c r="C5" s="51"/>
      <c r="D5" s="51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66"/>
      <c r="S5" s="54"/>
      <c r="T5" s="87">
        <v>2.0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25"/>
      <c r="AG5" s="90">
        <v>4.0</v>
      </c>
      <c r="AH5" s="37"/>
      <c r="AI5" s="37"/>
      <c r="AJ5" s="37"/>
      <c r="AK5" s="37"/>
      <c r="AL5" s="37"/>
      <c r="AM5" s="37"/>
      <c r="AN5" s="25"/>
      <c r="AO5" s="70"/>
      <c r="AP5" s="70"/>
      <c r="AQ5" s="70"/>
      <c r="AR5" s="54"/>
    </row>
    <row r="6" ht="16.5" customHeight="1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0">
        <v>3.0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25"/>
      <c r="AG6" s="90">
        <v>5.0</v>
      </c>
      <c r="AH6" s="37"/>
      <c r="AI6" s="37"/>
      <c r="AJ6" s="37"/>
      <c r="AK6" s="37"/>
      <c r="AL6" s="37"/>
      <c r="AM6" s="37"/>
      <c r="AN6" s="25"/>
      <c r="AO6" s="95"/>
      <c r="AP6" s="95"/>
      <c r="AQ6" s="95"/>
      <c r="AR6" s="94"/>
    </row>
    <row r="7" ht="12.75" customHeight="1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0">
        <v>4.0</v>
      </c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25"/>
      <c r="AG7" s="90">
        <v>5.0</v>
      </c>
      <c r="AH7" s="37"/>
      <c r="AI7" s="37"/>
      <c r="AJ7" s="37"/>
      <c r="AK7" s="37"/>
      <c r="AL7" s="37"/>
      <c r="AM7" s="37"/>
      <c r="AN7" s="25"/>
      <c r="AO7" s="97"/>
      <c r="AP7" s="97"/>
      <c r="AQ7" s="97"/>
      <c r="AR7" s="94"/>
    </row>
    <row r="8" ht="16.5" customHeight="1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0">
        <v>5.0</v>
      </c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25"/>
      <c r="AG8" s="90">
        <v>6.0</v>
      </c>
      <c r="AH8" s="37"/>
      <c r="AI8" s="37"/>
      <c r="AJ8" s="37"/>
      <c r="AK8" s="37"/>
      <c r="AL8" s="37"/>
      <c r="AM8" s="37"/>
      <c r="AN8" s="25"/>
      <c r="AO8" s="97"/>
      <c r="AP8" s="97"/>
      <c r="AQ8" s="97"/>
      <c r="AR8" s="94"/>
    </row>
    <row r="9" ht="16.5" customHeight="1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0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25"/>
      <c r="AG9" s="90"/>
      <c r="AH9" s="37"/>
      <c r="AI9" s="37"/>
      <c r="AJ9" s="37"/>
      <c r="AK9" s="37"/>
      <c r="AL9" s="37"/>
      <c r="AM9" s="37"/>
      <c r="AN9" s="25"/>
      <c r="AO9" s="97"/>
      <c r="AP9" s="97"/>
      <c r="AQ9" s="97"/>
      <c r="AR9" s="94"/>
    </row>
    <row r="10" ht="16.5" customHeight="1">
      <c r="A10" s="94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0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25"/>
      <c r="AG10" s="90"/>
      <c r="AH10" s="37"/>
      <c r="AI10" s="37"/>
      <c r="AJ10" s="37"/>
      <c r="AK10" s="37"/>
      <c r="AL10" s="37"/>
      <c r="AM10" s="37"/>
      <c r="AN10" s="25"/>
      <c r="AO10" s="97"/>
      <c r="AP10" s="97"/>
      <c r="AQ10" s="97"/>
      <c r="AR10" s="94"/>
    </row>
    <row r="11" ht="16.5" customHeight="1">
      <c r="A11" s="94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0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25"/>
      <c r="AG11" s="90"/>
      <c r="AH11" s="37"/>
      <c r="AI11" s="37"/>
      <c r="AJ11" s="37"/>
      <c r="AK11" s="37"/>
      <c r="AL11" s="37"/>
      <c r="AM11" s="37"/>
      <c r="AN11" s="25"/>
      <c r="AO11" s="97"/>
      <c r="AP11" s="97"/>
      <c r="AQ11" s="97"/>
      <c r="AR11" s="94"/>
    </row>
    <row r="12" ht="16.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0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25"/>
      <c r="AG12" s="90"/>
      <c r="AH12" s="37"/>
      <c r="AI12" s="37"/>
      <c r="AJ12" s="37"/>
      <c r="AK12" s="37"/>
      <c r="AL12" s="37"/>
      <c r="AM12" s="37"/>
      <c r="AN12" s="25"/>
      <c r="AO12" s="97"/>
      <c r="AP12" s="97"/>
      <c r="AQ12" s="97"/>
      <c r="AR12" s="94"/>
    </row>
    <row r="13" ht="16.5" customHeight="1">
      <c r="A13" s="94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7"/>
      <c r="AP13" s="97"/>
      <c r="AQ13" s="97"/>
      <c r="AR13" s="94"/>
    </row>
    <row r="14" ht="16.5" customHeight="1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113" t="s">
        <v>85</v>
      </c>
      <c r="AO14" s="97"/>
      <c r="AP14" s="97"/>
      <c r="AQ14" s="97"/>
      <c r="AR14" s="94"/>
    </row>
    <row r="15" ht="16.5" customHeight="1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7"/>
      <c r="U15" s="97" t="s">
        <v>86</v>
      </c>
      <c r="V15" s="113" t="s">
        <v>87</v>
      </c>
      <c r="Y15" s="118" t="s">
        <v>88</v>
      </c>
      <c r="Z15" s="25"/>
      <c r="AA15" s="97"/>
      <c r="AB15" s="97" t="s">
        <v>90</v>
      </c>
      <c r="AC15" s="113" t="s">
        <v>91</v>
      </c>
      <c r="AF15" s="76"/>
      <c r="AG15" s="37"/>
      <c r="AH15" s="25"/>
      <c r="AI15" s="94"/>
      <c r="AJ15" s="97" t="s">
        <v>92</v>
      </c>
      <c r="AK15" s="113" t="s">
        <v>93</v>
      </c>
      <c r="AL15" s="76"/>
      <c r="AM15" s="25"/>
      <c r="AN15" s="95"/>
      <c r="AO15" s="97"/>
      <c r="AP15" s="97"/>
      <c r="AQ15" s="97"/>
      <c r="AR15" s="94"/>
    </row>
    <row r="16" ht="16.5" customHeight="1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113" t="s">
        <v>94</v>
      </c>
      <c r="AO16" s="97"/>
      <c r="AP16" s="97"/>
      <c r="AQ16" s="97"/>
      <c r="AR16" s="94"/>
    </row>
    <row r="17" ht="16.5" customHeight="1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126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9"/>
      <c r="AR17" s="94"/>
    </row>
    <row r="18" ht="16.5" customHeight="1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132"/>
      <c r="AQ18" s="134"/>
      <c r="AR18" s="94"/>
    </row>
    <row r="19" ht="16.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136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9"/>
      <c r="AR19" s="94"/>
    </row>
    <row r="20" ht="16.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4"/>
    </row>
    <row r="21" ht="16.5" customHeigh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68" t="s">
        <v>99</v>
      </c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25"/>
      <c r="AR21" s="94"/>
    </row>
    <row r="22" ht="16.5" customHeight="1">
      <c r="A22" s="94"/>
      <c r="B22" s="145" t="s">
        <v>101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25"/>
      <c r="P22" s="94"/>
      <c r="Q22" s="94"/>
      <c r="R22" s="94"/>
      <c r="S22" s="94"/>
      <c r="T22" s="76" t="s">
        <v>102</v>
      </c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25"/>
      <c r="AG22" s="76" t="s">
        <v>72</v>
      </c>
      <c r="AH22" s="37"/>
      <c r="AI22" s="37"/>
      <c r="AJ22" s="37"/>
      <c r="AK22" s="25"/>
      <c r="AL22" s="76" t="s">
        <v>104</v>
      </c>
      <c r="AM22" s="37"/>
      <c r="AN22" s="37"/>
      <c r="AO22" s="37"/>
      <c r="AP22" s="37"/>
      <c r="AQ22" s="25"/>
      <c r="AR22" s="94"/>
    </row>
    <row r="23" ht="16.5" customHeight="1">
      <c r="A23" s="94"/>
      <c r="B23" s="148" t="s">
        <v>105</v>
      </c>
      <c r="C23" s="148" t="s">
        <v>106</v>
      </c>
      <c r="D23" s="148" t="s">
        <v>107</v>
      </c>
      <c r="E23" s="148" t="s">
        <v>108</v>
      </c>
      <c r="F23" s="148" t="s">
        <v>109</v>
      </c>
      <c r="G23" s="148" t="s">
        <v>110</v>
      </c>
      <c r="H23" s="148" t="s">
        <v>111</v>
      </c>
      <c r="I23" s="148" t="s">
        <v>112</v>
      </c>
      <c r="J23" s="148" t="s">
        <v>113</v>
      </c>
      <c r="K23" s="148" t="s">
        <v>114</v>
      </c>
      <c r="L23" s="148" t="s">
        <v>115</v>
      </c>
      <c r="M23" s="148" t="s">
        <v>116</v>
      </c>
      <c r="N23" s="150" t="s">
        <v>71</v>
      </c>
      <c r="O23" s="25"/>
      <c r="P23" s="94"/>
      <c r="Q23" s="94"/>
      <c r="R23" s="94"/>
      <c r="S23" s="94"/>
      <c r="T23" s="90" t="s">
        <v>118</v>
      </c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25"/>
      <c r="AG23" s="90">
        <v>20.0</v>
      </c>
      <c r="AH23" s="37"/>
      <c r="AI23" s="37"/>
      <c r="AJ23" s="37"/>
      <c r="AK23" s="25"/>
      <c r="AL23" s="154">
        <f>AG23/P33</f>
        <v>1.052631579</v>
      </c>
      <c r="AM23" s="37"/>
      <c r="AN23" s="37"/>
      <c r="AO23" s="37"/>
      <c r="AP23" s="37"/>
      <c r="AQ23" s="25"/>
      <c r="AR23" s="66"/>
    </row>
    <row r="24" ht="16.5" customHeight="1">
      <c r="A24" s="94"/>
      <c r="B24" s="156">
        <f>GradeSheet!$E$55</f>
        <v>1</v>
      </c>
      <c r="C24" s="156">
        <f>GradeSheet!$E$56</f>
        <v>6</v>
      </c>
      <c r="D24" s="156">
        <f>GradeSheet!$E$57</f>
        <v>1</v>
      </c>
      <c r="E24" s="156">
        <f>GradeSheet!$E$58</f>
        <v>6</v>
      </c>
      <c r="F24" s="156">
        <f>GradeSheet!$E$59</f>
        <v>3</v>
      </c>
      <c r="G24" s="156">
        <f>GradeSheet!$E$60</f>
        <v>3</v>
      </c>
      <c r="H24" s="156">
        <f>GradeSheet!$E$61</f>
        <v>2</v>
      </c>
      <c r="I24" s="156">
        <f>GradeSheet!$E$62</f>
        <v>4</v>
      </c>
      <c r="J24" s="156">
        <f>GradeSheet!$E$63</f>
        <v>3</v>
      </c>
      <c r="K24" s="156">
        <f>GradeSheet!$E$64</f>
        <v>1</v>
      </c>
      <c r="L24" s="156">
        <f>GradeSheet!$E$65</f>
        <v>0</v>
      </c>
      <c r="M24" s="156">
        <f>GradeSheet!$E$66</f>
        <v>6</v>
      </c>
      <c r="N24" s="163">
        <f t="shared" ref="N24:N25" si="1">SUM(B24:M24)</f>
        <v>36</v>
      </c>
      <c r="O24" s="25"/>
      <c r="P24" s="94"/>
      <c r="Q24" s="94"/>
      <c r="R24" s="94"/>
      <c r="S24" s="94"/>
      <c r="T24" s="90" t="s">
        <v>123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25"/>
      <c r="AG24" s="90">
        <v>10.0</v>
      </c>
      <c r="AH24" s="37"/>
      <c r="AI24" s="37"/>
      <c r="AJ24" s="37"/>
      <c r="AK24" s="25"/>
      <c r="AL24" s="154">
        <f>AG24/P33</f>
        <v>0.5263157895</v>
      </c>
      <c r="AM24" s="37"/>
      <c r="AN24" s="37"/>
      <c r="AO24" s="37"/>
      <c r="AP24" s="37"/>
      <c r="AQ24" s="25"/>
      <c r="AR24" s="94"/>
    </row>
    <row r="25" ht="16.5" customHeight="1">
      <c r="A25" s="94"/>
      <c r="B25" s="167">
        <f>B24/GradeSheet!$E$67</f>
        <v>0.02777777778</v>
      </c>
      <c r="C25" s="167">
        <f>C24/GradeSheet!$E$67</f>
        <v>0.1666666667</v>
      </c>
      <c r="D25" s="167">
        <f>D24/GradeSheet!$E$67</f>
        <v>0.02777777778</v>
      </c>
      <c r="E25" s="167">
        <f>E24/GradeSheet!$E$67</f>
        <v>0.1666666667</v>
      </c>
      <c r="F25" s="167">
        <f>F24/GradeSheet!$E$67</f>
        <v>0.08333333333</v>
      </c>
      <c r="G25" s="167">
        <f>G24/GradeSheet!$E$67</f>
        <v>0.08333333333</v>
      </c>
      <c r="H25" s="167">
        <f>H24/GradeSheet!$E$67</f>
        <v>0.05555555556</v>
      </c>
      <c r="I25" s="167">
        <f>I24/GradeSheet!$E$67</f>
        <v>0.1111111111</v>
      </c>
      <c r="J25" s="167">
        <f>J24/GradeSheet!$E$67</f>
        <v>0.08333333333</v>
      </c>
      <c r="K25" s="167">
        <f>K24/GradeSheet!$E$67</f>
        <v>0.02777777778</v>
      </c>
      <c r="L25" s="167">
        <f>L24/GradeSheet!$E$67</f>
        <v>0</v>
      </c>
      <c r="M25" s="167">
        <f>M24/GradeSheet!$E$67</f>
        <v>0.1666666667</v>
      </c>
      <c r="N25" s="173">
        <f t="shared" si="1"/>
        <v>1</v>
      </c>
      <c r="O25" s="25"/>
      <c r="P25" s="94"/>
      <c r="Q25" s="94"/>
      <c r="R25" s="94"/>
      <c r="S25" s="94"/>
      <c r="T25" s="90" t="s">
        <v>69</v>
      </c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25"/>
      <c r="AG25" s="90">
        <v>0.0</v>
      </c>
      <c r="AH25" s="37"/>
      <c r="AI25" s="37"/>
      <c r="AJ25" s="37"/>
      <c r="AK25" s="25"/>
      <c r="AL25" s="154">
        <f>AG25/P33</f>
        <v>0</v>
      </c>
      <c r="AM25" s="37"/>
      <c r="AN25" s="37"/>
      <c r="AO25" s="37"/>
      <c r="AP25" s="37"/>
      <c r="AQ25" s="25"/>
      <c r="AR25" s="94"/>
    </row>
    <row r="26" ht="16.5" customHeight="1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0" t="s">
        <v>127</v>
      </c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25"/>
      <c r="AG26" s="90">
        <v>8.0</v>
      </c>
      <c r="AH26" s="37"/>
      <c r="AI26" s="37"/>
      <c r="AJ26" s="37"/>
      <c r="AK26" s="25"/>
      <c r="AL26" s="154">
        <f>AG26/P33</f>
        <v>0.4210526316</v>
      </c>
      <c r="AM26" s="37"/>
      <c r="AN26" s="37"/>
      <c r="AO26" s="37"/>
      <c r="AP26" s="37"/>
      <c r="AQ26" s="25"/>
      <c r="AR26" s="94"/>
    </row>
    <row r="27" ht="16.5" customHeight="1">
      <c r="A27" s="94"/>
      <c r="B27" s="180" t="s">
        <v>129</v>
      </c>
      <c r="C27" s="180"/>
      <c r="D27" s="180"/>
      <c r="E27" s="180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0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25"/>
      <c r="AG27" s="90"/>
      <c r="AH27" s="37"/>
      <c r="AI27" s="37"/>
      <c r="AJ27" s="37"/>
      <c r="AK27" s="25"/>
      <c r="AL27" s="154"/>
      <c r="AM27" s="37"/>
      <c r="AN27" s="37"/>
      <c r="AO27" s="37"/>
      <c r="AP27" s="37"/>
      <c r="AQ27" s="25"/>
      <c r="AR27" s="94"/>
    </row>
    <row r="28" ht="16.5" customHeight="1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7"/>
      <c r="AG28" s="97"/>
      <c r="AL28" s="97"/>
      <c r="AR28" s="94"/>
    </row>
    <row r="29" ht="16.5" customHeight="1">
      <c r="A29" s="94"/>
      <c r="B29" s="76"/>
      <c r="C29" s="37"/>
      <c r="D29" s="37"/>
      <c r="E29" s="37"/>
      <c r="F29" s="25"/>
      <c r="G29" s="182" t="s">
        <v>61</v>
      </c>
      <c r="H29" s="182" t="s">
        <v>131</v>
      </c>
      <c r="I29" s="94"/>
      <c r="J29" s="76"/>
      <c r="K29" s="37"/>
      <c r="L29" s="37"/>
      <c r="M29" s="37"/>
      <c r="N29" s="37"/>
      <c r="O29" s="25"/>
      <c r="P29" s="182" t="s">
        <v>132</v>
      </c>
      <c r="Q29" s="182" t="s">
        <v>131</v>
      </c>
      <c r="R29" s="94"/>
      <c r="S29" s="94"/>
      <c r="T29" s="97"/>
      <c r="AG29" s="97"/>
      <c r="AL29" s="97"/>
      <c r="AR29" s="94"/>
    </row>
    <row r="30" ht="16.5" customHeight="1">
      <c r="A30" s="94"/>
      <c r="B30" s="76" t="s">
        <v>134</v>
      </c>
      <c r="C30" s="37"/>
      <c r="D30" s="37"/>
      <c r="E30" s="37"/>
      <c r="F30" s="25"/>
      <c r="G30" s="183">
        <f>GradeSheet!$E$67</f>
        <v>36</v>
      </c>
      <c r="H30" s="184">
        <f>G30/G30</f>
        <v>1</v>
      </c>
      <c r="I30" s="94"/>
      <c r="J30" s="76" t="s">
        <v>135</v>
      </c>
      <c r="K30" s="37"/>
      <c r="L30" s="37"/>
      <c r="M30" s="37"/>
      <c r="N30" s="37"/>
      <c r="O30" s="25"/>
      <c r="P30" s="186">
        <v>20.0</v>
      </c>
      <c r="Q30" s="184">
        <f>P30/P30</f>
        <v>1</v>
      </c>
      <c r="R30" s="94"/>
      <c r="S30" s="94"/>
      <c r="T30" s="68" t="s">
        <v>137</v>
      </c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25"/>
      <c r="AG30" s="76" t="s">
        <v>72</v>
      </c>
      <c r="AH30" s="37"/>
      <c r="AI30" s="37"/>
      <c r="AJ30" s="37"/>
      <c r="AK30" s="25"/>
      <c r="AL30" s="76" t="s">
        <v>104</v>
      </c>
      <c r="AM30" s="37"/>
      <c r="AN30" s="37"/>
      <c r="AO30" s="37"/>
      <c r="AP30" s="37"/>
      <c r="AQ30" s="25"/>
      <c r="AR30" s="94"/>
    </row>
    <row r="31" ht="16.5" customHeight="1">
      <c r="A31" s="94"/>
      <c r="B31" s="76" t="s">
        <v>138</v>
      </c>
      <c r="C31" s="37"/>
      <c r="D31" s="37"/>
      <c r="E31" s="37"/>
      <c r="F31" s="25"/>
      <c r="G31" s="183">
        <f>GradeSheet!$E$66</f>
        <v>6</v>
      </c>
      <c r="H31" s="184">
        <f>G31/G30</f>
        <v>0.1666666667</v>
      </c>
      <c r="I31" s="94"/>
      <c r="J31" s="76" t="s">
        <v>140</v>
      </c>
      <c r="K31" s="37"/>
      <c r="L31" s="37"/>
      <c r="M31" s="37"/>
      <c r="N31" s="37"/>
      <c r="O31" s="25"/>
      <c r="P31" s="186">
        <v>0.0</v>
      </c>
      <c r="Q31" s="184">
        <f>P31/P30</f>
        <v>0</v>
      </c>
      <c r="R31" s="94"/>
      <c r="S31" s="94"/>
      <c r="T31" s="90" t="s">
        <v>127</v>
      </c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25"/>
      <c r="AG31" s="90">
        <v>8.0</v>
      </c>
      <c r="AH31" s="37"/>
      <c r="AI31" s="37"/>
      <c r="AJ31" s="37"/>
      <c r="AK31" s="25"/>
      <c r="AL31" s="154">
        <f>AG31/P33</f>
        <v>0.4210526316</v>
      </c>
      <c r="AM31" s="37"/>
      <c r="AN31" s="37"/>
      <c r="AO31" s="37"/>
      <c r="AP31" s="37"/>
      <c r="AQ31" s="25"/>
      <c r="AR31" s="94"/>
    </row>
    <row r="32" ht="16.5" customHeight="1">
      <c r="A32" s="187"/>
      <c r="B32" s="76" t="s">
        <v>142</v>
      </c>
      <c r="C32" s="37"/>
      <c r="D32" s="37"/>
      <c r="E32" s="37"/>
      <c r="F32" s="25"/>
      <c r="G32" s="186">
        <v>41.0</v>
      </c>
      <c r="H32" s="184">
        <f>G32/G30</f>
        <v>1.138888889</v>
      </c>
      <c r="I32" s="94"/>
      <c r="J32" s="76" t="s">
        <v>143</v>
      </c>
      <c r="K32" s="37"/>
      <c r="L32" s="37"/>
      <c r="M32" s="37"/>
      <c r="N32" s="37"/>
      <c r="O32" s="25"/>
      <c r="P32" s="186">
        <v>0.0</v>
      </c>
      <c r="Q32" s="184">
        <f>P32/P30</f>
        <v>0</v>
      </c>
      <c r="R32" s="94"/>
      <c r="S32" s="94"/>
      <c r="T32" s="90" t="s">
        <v>123</v>
      </c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25"/>
      <c r="AG32" s="90">
        <v>10.0</v>
      </c>
      <c r="AH32" s="37"/>
      <c r="AI32" s="37"/>
      <c r="AJ32" s="37"/>
      <c r="AK32" s="25"/>
      <c r="AL32" s="154">
        <f>AG32/P33</f>
        <v>0.5263157895</v>
      </c>
      <c r="AM32" s="37"/>
      <c r="AN32" s="37"/>
      <c r="AO32" s="37"/>
      <c r="AP32" s="37"/>
      <c r="AQ32" s="25"/>
      <c r="AR32" s="94"/>
    </row>
    <row r="33" ht="17.25" customHeight="1">
      <c r="A33" s="94"/>
      <c r="B33" s="76" t="s">
        <v>145</v>
      </c>
      <c r="C33" s="37"/>
      <c r="D33" s="37"/>
      <c r="E33" s="37"/>
      <c r="F33" s="25"/>
      <c r="G33" s="183">
        <f>GradeSheet!$E$67-(GradeSheet!$E$64+GradeSheet!$E$65+GradeSheet!$E$66)</f>
        <v>29</v>
      </c>
      <c r="H33" s="184">
        <f>G33/G30</f>
        <v>0.8055555556</v>
      </c>
      <c r="I33" s="94"/>
      <c r="J33" s="126" t="s">
        <v>147</v>
      </c>
      <c r="K33" s="127"/>
      <c r="L33" s="127"/>
      <c r="M33" s="127"/>
      <c r="N33" s="127"/>
      <c r="O33" s="129"/>
      <c r="P33" s="188">
        <v>19.0</v>
      </c>
      <c r="Q33" s="189">
        <f>P33/P30</f>
        <v>0.95</v>
      </c>
      <c r="R33" s="94"/>
      <c r="S33" s="94"/>
      <c r="T33" s="76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25"/>
      <c r="AG33" s="76"/>
      <c r="AH33" s="37"/>
      <c r="AI33" s="37"/>
      <c r="AJ33" s="37"/>
      <c r="AK33" s="25"/>
      <c r="AL33" s="76"/>
      <c r="AM33" s="37"/>
      <c r="AN33" s="37"/>
      <c r="AO33" s="37"/>
      <c r="AP33" s="37"/>
      <c r="AQ33" s="25"/>
      <c r="AR33" s="94"/>
    </row>
    <row r="34" ht="16.5" customHeight="1">
      <c r="A34" s="94"/>
      <c r="B34" s="97"/>
      <c r="C34" s="97"/>
      <c r="D34" s="97"/>
      <c r="E34" s="97"/>
      <c r="F34" s="97"/>
      <c r="G34" s="97"/>
      <c r="H34" s="97"/>
      <c r="I34" s="94"/>
      <c r="J34" s="132"/>
      <c r="O34" s="134"/>
      <c r="P34" s="190"/>
      <c r="Q34" s="190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</row>
    <row r="35" ht="16.5" customHeight="1">
      <c r="A35" s="94"/>
      <c r="B35" s="97"/>
      <c r="C35" s="97"/>
      <c r="D35" s="97"/>
      <c r="E35" s="97"/>
      <c r="F35" s="97"/>
      <c r="G35" s="97"/>
      <c r="H35" s="97"/>
      <c r="I35" s="94"/>
      <c r="J35" s="136"/>
      <c r="K35" s="137"/>
      <c r="L35" s="137"/>
      <c r="M35" s="137"/>
      <c r="N35" s="137"/>
      <c r="O35" s="139"/>
      <c r="P35" s="191"/>
      <c r="Q35" s="191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</row>
    <row r="36" ht="16.5" customHeight="1">
      <c r="A36" s="94"/>
      <c r="B36" s="94"/>
      <c r="C36" s="94"/>
      <c r="D36" s="94"/>
      <c r="E36" s="94"/>
      <c r="F36" s="94"/>
      <c r="G36" s="94"/>
      <c r="H36" s="94"/>
      <c r="I36" s="94"/>
      <c r="J36" s="97"/>
      <c r="K36" s="97"/>
      <c r="L36" s="97"/>
      <c r="M36" s="97"/>
      <c r="N36" s="97"/>
      <c r="O36" s="97"/>
      <c r="P36" s="97"/>
      <c r="Q36" s="97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</row>
    <row r="37" ht="16.5" customHeight="1">
      <c r="A37" s="94"/>
      <c r="B37" s="76" t="s">
        <v>151</v>
      </c>
      <c r="C37" s="37"/>
      <c r="D37" s="37"/>
      <c r="E37" s="37"/>
      <c r="F37" s="37"/>
      <c r="G37" s="25"/>
      <c r="H37" s="94"/>
      <c r="I37" s="94"/>
      <c r="J37" s="76"/>
      <c r="K37" s="37"/>
      <c r="L37" s="37"/>
      <c r="M37" s="37"/>
      <c r="N37" s="37"/>
      <c r="O37" s="25"/>
      <c r="P37" s="192" t="s">
        <v>132</v>
      </c>
      <c r="Q37" s="25"/>
      <c r="R37" s="94"/>
      <c r="S37" s="94"/>
      <c r="T37" s="68" t="s">
        <v>153</v>
      </c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25"/>
      <c r="AG37" s="76" t="s">
        <v>72</v>
      </c>
      <c r="AH37" s="37"/>
      <c r="AI37" s="37"/>
      <c r="AJ37" s="37"/>
      <c r="AK37" s="25"/>
      <c r="AL37" s="76" t="s">
        <v>104</v>
      </c>
      <c r="AM37" s="37"/>
      <c r="AN37" s="37"/>
      <c r="AO37" s="37"/>
      <c r="AP37" s="37"/>
      <c r="AQ37" s="25"/>
      <c r="AR37" s="94"/>
    </row>
    <row r="38" ht="16.5" customHeight="1">
      <c r="A38" s="94"/>
      <c r="B38" s="76" t="s">
        <v>155</v>
      </c>
      <c r="C38" s="37"/>
      <c r="D38" s="37"/>
      <c r="E38" s="37"/>
      <c r="F38" s="25"/>
      <c r="G38" s="186">
        <v>2.0</v>
      </c>
      <c r="H38" s="94"/>
      <c r="I38" s="94"/>
      <c r="J38" s="76" t="s">
        <v>156</v>
      </c>
      <c r="K38" s="37"/>
      <c r="L38" s="37"/>
      <c r="M38" s="37"/>
      <c r="N38" s="37"/>
      <c r="O38" s="25"/>
      <c r="P38" s="90" t="s">
        <v>157</v>
      </c>
      <c r="Q38" s="25"/>
      <c r="R38" s="94"/>
      <c r="S38" s="94"/>
      <c r="T38" s="90" t="s">
        <v>158</v>
      </c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25"/>
      <c r="AG38" s="90">
        <v>0.0</v>
      </c>
      <c r="AH38" s="37"/>
      <c r="AI38" s="37"/>
      <c r="AJ38" s="37"/>
      <c r="AK38" s="25"/>
      <c r="AL38" s="154">
        <f>AG38/P33</f>
        <v>0</v>
      </c>
      <c r="AM38" s="37"/>
      <c r="AN38" s="37"/>
      <c r="AO38" s="37"/>
      <c r="AP38" s="37"/>
      <c r="AQ38" s="25"/>
      <c r="AR38" s="94"/>
    </row>
    <row r="39" ht="16.5" customHeight="1">
      <c r="A39" s="94"/>
      <c r="B39" s="76" t="s">
        <v>160</v>
      </c>
      <c r="C39" s="37"/>
      <c r="D39" s="37"/>
      <c r="E39" s="37"/>
      <c r="F39" s="25"/>
      <c r="G39" s="186">
        <v>3.0</v>
      </c>
      <c r="H39" s="94"/>
      <c r="I39" s="94"/>
      <c r="J39" s="76" t="s">
        <v>161</v>
      </c>
      <c r="K39" s="37"/>
      <c r="L39" s="37"/>
      <c r="M39" s="37"/>
      <c r="N39" s="37"/>
      <c r="O39" s="25"/>
      <c r="P39" s="90" t="s">
        <v>157</v>
      </c>
      <c r="Q39" s="25"/>
      <c r="R39" s="94"/>
      <c r="S39" s="94"/>
      <c r="T39" s="90" t="s">
        <v>163</v>
      </c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25"/>
      <c r="AG39" s="90">
        <v>20.0</v>
      </c>
      <c r="AH39" s="37"/>
      <c r="AI39" s="37"/>
      <c r="AJ39" s="37"/>
      <c r="AK39" s="25"/>
      <c r="AL39" s="154">
        <f>AG39/P33</f>
        <v>1.052631579</v>
      </c>
      <c r="AM39" s="37"/>
      <c r="AN39" s="37"/>
      <c r="AO39" s="37"/>
      <c r="AP39" s="37"/>
      <c r="AQ39" s="25"/>
      <c r="AR39" s="94"/>
    </row>
    <row r="40" ht="16.5" customHeight="1">
      <c r="A40" s="94"/>
      <c r="B40" s="97"/>
      <c r="C40" s="97"/>
      <c r="D40" s="97"/>
      <c r="E40" s="97"/>
      <c r="F40" s="97"/>
      <c r="G40" s="97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0" t="s">
        <v>164</v>
      </c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25"/>
      <c r="AG40" s="90">
        <v>12.0</v>
      </c>
      <c r="AH40" s="37"/>
      <c r="AI40" s="37"/>
      <c r="AJ40" s="37"/>
      <c r="AK40" s="25"/>
      <c r="AL40" s="154">
        <f>AG40/P33</f>
        <v>0.6315789474</v>
      </c>
      <c r="AM40" s="37"/>
      <c r="AN40" s="37"/>
      <c r="AO40" s="37"/>
      <c r="AP40" s="37"/>
      <c r="AQ40" s="25"/>
      <c r="AR40" s="94"/>
    </row>
    <row r="41" ht="16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0" t="s">
        <v>166</v>
      </c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25"/>
      <c r="AG41" s="90">
        <v>0.0</v>
      </c>
      <c r="AH41" s="37"/>
      <c r="AI41" s="37"/>
      <c r="AJ41" s="37"/>
      <c r="AK41" s="25"/>
      <c r="AL41" s="154">
        <f>AG41/P33</f>
        <v>0</v>
      </c>
      <c r="AM41" s="37"/>
      <c r="AN41" s="37"/>
      <c r="AO41" s="37"/>
      <c r="AP41" s="37"/>
      <c r="AQ41" s="25"/>
      <c r="AR41" s="94"/>
    </row>
    <row r="42" ht="16.5" customHeight="1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0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25"/>
      <c r="AG42" s="90"/>
      <c r="AH42" s="37"/>
      <c r="AI42" s="37"/>
      <c r="AJ42" s="37"/>
      <c r="AK42" s="25"/>
      <c r="AL42" s="154"/>
      <c r="AM42" s="37"/>
      <c r="AN42" s="37"/>
      <c r="AO42" s="37"/>
      <c r="AP42" s="37"/>
      <c r="AQ42" s="25"/>
      <c r="AR42" s="94"/>
    </row>
    <row r="43" ht="16.5" customHeight="1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</row>
    <row r="44" ht="16.5" customHeight="1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</row>
    <row r="45" ht="16.5" customHeight="1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</row>
    <row r="46" ht="16.5" customHeight="1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</row>
    <row r="47" ht="16.5" customHeight="1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195" t="s">
        <v>169</v>
      </c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</row>
    <row r="48" ht="16.5" customHeight="1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</row>
    <row r="49" ht="16.5" customHeight="1">
      <c r="A49" s="94"/>
      <c r="B49" s="94"/>
      <c r="C49" s="195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</row>
    <row r="50" ht="16.5" customHeight="1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</row>
    <row r="51" ht="16.5" customHeight="1">
      <c r="A51" s="94"/>
      <c r="B51" s="59" t="s">
        <v>31</v>
      </c>
      <c r="C51" s="37"/>
      <c r="D51" s="25"/>
      <c r="E51" s="63" t="str">
        <f>GradeSheet!$E$2</f>
        <v>CSE 4460</v>
      </c>
      <c r="F51" s="37"/>
      <c r="G51" s="37"/>
      <c r="H51" s="37"/>
      <c r="I51" s="37"/>
      <c r="J51" s="37"/>
      <c r="K51" s="37"/>
      <c r="L51" s="37"/>
      <c r="M51" s="37"/>
      <c r="N51" s="25"/>
      <c r="O51" s="59" t="str">
        <f>CONCATENATE("Section ", GradeSheet!$H$2,)</f>
        <v>Section 2</v>
      </c>
      <c r="P51" s="37"/>
      <c r="Q51" s="25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</row>
    <row r="52" ht="16.5" customHeight="1">
      <c r="A52" s="94"/>
      <c r="B52" s="72" t="s">
        <v>43</v>
      </c>
      <c r="C52" s="37"/>
      <c r="D52" s="25"/>
      <c r="E52" s="74" t="str">
        <f>GradeSheet!$E$3</f>
        <v>Big Data Analytics Lab</v>
      </c>
      <c r="F52" s="37"/>
      <c r="G52" s="37"/>
      <c r="H52" s="37"/>
      <c r="I52" s="37"/>
      <c r="J52" s="37"/>
      <c r="K52" s="37"/>
      <c r="L52" s="37"/>
      <c r="M52" s="37"/>
      <c r="N52" s="25"/>
      <c r="O52" s="72" t="str">
        <f>CONCATENATE(GradeSheet!$E$67," students")</f>
        <v>36 students</v>
      </c>
      <c r="P52" s="37"/>
      <c r="Q52" s="25"/>
      <c r="R52" s="66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4"/>
      <c r="AM52" s="94"/>
      <c r="AN52" s="94"/>
      <c r="AO52" s="94"/>
      <c r="AP52" s="94"/>
      <c r="AQ52" s="94"/>
      <c r="AR52" s="94"/>
    </row>
    <row r="53" ht="16.5" customHeight="1">
      <c r="A53" s="94"/>
      <c r="B53" s="80" t="s">
        <v>50</v>
      </c>
      <c r="C53" s="37"/>
      <c r="D53" s="25"/>
      <c r="E53" s="83">
        <f>GradeSheet!$E$4</f>
        <v>1</v>
      </c>
      <c r="F53" s="37"/>
      <c r="G53" s="37"/>
      <c r="H53" s="37"/>
      <c r="I53" s="37"/>
      <c r="J53" s="37"/>
      <c r="K53" s="37"/>
      <c r="L53" s="37"/>
      <c r="M53" s="37"/>
      <c r="N53" s="25"/>
      <c r="O53" s="83" t="str">
        <f>GradeSheet!$H$3</f>
        <v>Spring 2026</v>
      </c>
      <c r="P53" s="37"/>
      <c r="Q53" s="25"/>
      <c r="R53" s="66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</row>
    <row r="54" ht="16.5" customHeight="1">
      <c r="A54" s="94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4"/>
      <c r="AM54" s="94"/>
      <c r="AN54" s="94"/>
      <c r="AO54" s="94"/>
      <c r="AP54" s="94"/>
      <c r="AQ54" s="94"/>
      <c r="AR54" s="94"/>
    </row>
    <row r="55" ht="16.5" customHeight="1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  <c r="AK55" s="94"/>
      <c r="AL55" s="94"/>
      <c r="AM55" s="94"/>
      <c r="AN55" s="94"/>
      <c r="AO55" s="94"/>
      <c r="AP55" s="94"/>
      <c r="AQ55" s="94"/>
      <c r="AR55" s="94"/>
    </row>
    <row r="56" ht="16.5" customHeight="1">
      <c r="A56" s="94"/>
      <c r="B56" s="94"/>
      <c r="C56" s="94"/>
      <c r="D56" s="94"/>
      <c r="E56" s="94"/>
      <c r="F56" s="94"/>
      <c r="G56" s="94"/>
      <c r="H56" s="94"/>
      <c r="I56" s="94"/>
      <c r="J56" s="213"/>
      <c r="K56" s="213"/>
      <c r="L56" s="213"/>
      <c r="M56" s="213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</row>
    <row r="57" ht="16.5" customHeight="1">
      <c r="A57" s="94"/>
      <c r="B57" s="94"/>
      <c r="C57" s="94"/>
      <c r="D57" s="94"/>
      <c r="E57" s="215" t="s">
        <v>180</v>
      </c>
      <c r="F57" s="216"/>
      <c r="G57" s="216"/>
      <c r="H57" s="216"/>
      <c r="I57" s="216"/>
      <c r="J57" s="216"/>
      <c r="K57" s="216"/>
      <c r="L57" s="216"/>
      <c r="M57" s="216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  <c r="AK57" s="94"/>
      <c r="AL57" s="94"/>
      <c r="AM57" s="94"/>
      <c r="AN57" s="94"/>
      <c r="AO57" s="94"/>
      <c r="AP57" s="94"/>
      <c r="AQ57" s="94"/>
      <c r="AR57" s="94"/>
    </row>
    <row r="58" ht="16.5" customHeight="1">
      <c r="A58" s="94"/>
      <c r="B58" s="94"/>
      <c r="C58" s="94"/>
      <c r="D58" s="94"/>
      <c r="E58" s="220"/>
      <c r="F58" s="37"/>
      <c r="G58" s="25"/>
      <c r="H58" s="148" t="s">
        <v>21</v>
      </c>
      <c r="I58" s="148" t="s">
        <v>22</v>
      </c>
      <c r="J58" s="148" t="s">
        <v>24</v>
      </c>
      <c r="K58" s="148" t="s">
        <v>25</v>
      </c>
      <c r="L58" s="148" t="s">
        <v>27</v>
      </c>
      <c r="M58" s="148" t="s">
        <v>28</v>
      </c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4"/>
      <c r="AM58" s="94"/>
      <c r="AN58" s="94"/>
      <c r="AO58" s="94"/>
      <c r="AP58" s="94"/>
      <c r="AQ58" s="94"/>
      <c r="AR58" s="94"/>
    </row>
    <row r="59" ht="16.5" customHeight="1">
      <c r="A59" s="94"/>
      <c r="B59" s="94"/>
      <c r="C59" s="94"/>
      <c r="D59" s="94"/>
      <c r="E59" s="223" t="s">
        <v>181</v>
      </c>
      <c r="F59" s="37"/>
      <c r="G59" s="25"/>
      <c r="H59" s="156">
        <f>CO_PO_AttainmentAnalysis!AN58</f>
        <v>26</v>
      </c>
      <c r="I59" s="156">
        <f>CO_PO_AttainmentAnalysis!AO58</f>
        <v>25</v>
      </c>
      <c r="J59" s="156">
        <f>CO_PO_AttainmentAnalysis!AP58</f>
        <v>0</v>
      </c>
      <c r="K59" s="156">
        <f>CO_PO_AttainmentAnalysis!AQ58</f>
        <v>0</v>
      </c>
      <c r="L59" s="156">
        <f>CO_PO_AttainmentAnalysis!AR58</f>
        <v>0</v>
      </c>
      <c r="M59" s="156">
        <f>CO_PO_AttainmentAnalysis!AS58</f>
        <v>0</v>
      </c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4"/>
      <c r="AP59" s="94"/>
      <c r="AQ59" s="94"/>
      <c r="AR59" s="94"/>
    </row>
    <row r="60" ht="16.5" customHeight="1">
      <c r="A60" s="94"/>
      <c r="B60" s="94"/>
      <c r="C60" s="94"/>
      <c r="D60" s="94"/>
      <c r="E60" s="223" t="s">
        <v>185</v>
      </c>
      <c r="F60" s="37"/>
      <c r="G60" s="25"/>
      <c r="H60" s="167">
        <f>CO_PO_AttainmentAnalysis!AH58</f>
        <v>0.5899470899</v>
      </c>
      <c r="I60" s="167">
        <f>CO_PO_AttainmentAnalysis!AI58</f>
        <v>0.5742337165</v>
      </c>
      <c r="J60" s="167">
        <f>CO_PO_AttainmentAnalysis!AJ58</f>
        <v>0</v>
      </c>
      <c r="K60" s="167">
        <f>CO_PO_AttainmentAnalysis!AK58</f>
        <v>0</v>
      </c>
      <c r="L60" s="167">
        <f>CO_PO_AttainmentAnalysis!AL58</f>
        <v>0</v>
      </c>
      <c r="M60" s="167">
        <f>CO_PO_AttainmentAnalysis!AM58</f>
        <v>0</v>
      </c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</row>
    <row r="61" ht="16.5" customHeight="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</row>
    <row r="62" ht="16.5" customHeight="1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  <c r="AN62" s="94"/>
      <c r="AO62" s="94"/>
      <c r="AP62" s="94"/>
      <c r="AQ62" s="94"/>
      <c r="AR62" s="94"/>
    </row>
    <row r="63" ht="16.5" customHeight="1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  <c r="AN63" s="94"/>
      <c r="AO63" s="94"/>
      <c r="AP63" s="94"/>
      <c r="AQ63" s="94"/>
      <c r="AR63" s="94"/>
    </row>
    <row r="64" ht="16.5" customHeight="1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  <c r="AN64" s="94"/>
      <c r="AO64" s="94"/>
      <c r="AP64" s="94"/>
      <c r="AQ64" s="94"/>
      <c r="AR64" s="94"/>
    </row>
    <row r="65" ht="16.5" customHeight="1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</row>
    <row r="66" ht="16.5" customHeight="1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</row>
    <row r="67" ht="16.5" customHeight="1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  <c r="AN67" s="94"/>
      <c r="AO67" s="94"/>
      <c r="AP67" s="94"/>
      <c r="AQ67" s="94"/>
      <c r="AR67" s="94"/>
    </row>
    <row r="68" ht="16.5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  <c r="AN68" s="94"/>
      <c r="AO68" s="94"/>
      <c r="AP68" s="94"/>
      <c r="AQ68" s="94"/>
      <c r="AR68" s="94"/>
    </row>
    <row r="69" ht="16.5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  <c r="AN69" s="94"/>
      <c r="AO69" s="94"/>
      <c r="AP69" s="94"/>
      <c r="AQ69" s="94"/>
      <c r="AR69" s="94"/>
    </row>
    <row r="70" ht="16.5" customHeight="1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  <c r="AN70" s="94"/>
      <c r="AO70" s="94"/>
      <c r="AP70" s="94"/>
      <c r="AQ70" s="94"/>
      <c r="AR70" s="94"/>
    </row>
    <row r="71" ht="16.5" customHeight="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  <c r="AN71" s="94"/>
      <c r="AO71" s="94"/>
      <c r="AP71" s="94"/>
      <c r="AQ71" s="94"/>
      <c r="AR71" s="94"/>
    </row>
    <row r="72" ht="16.5" customHeight="1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  <c r="AN72" s="94"/>
      <c r="AO72" s="94"/>
      <c r="AP72" s="94"/>
      <c r="AQ72" s="94"/>
      <c r="AR72" s="94"/>
    </row>
    <row r="73" ht="16.5" customHeight="1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  <c r="AN73" s="94"/>
      <c r="AO73" s="94"/>
      <c r="AP73" s="94"/>
      <c r="AQ73" s="94"/>
      <c r="AR73" s="94"/>
    </row>
    <row r="74" ht="16.5" customHeight="1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  <c r="AN74" s="94"/>
      <c r="AO74" s="94"/>
      <c r="AP74" s="94"/>
      <c r="AQ74" s="94"/>
      <c r="AR74" s="94"/>
    </row>
    <row r="75" ht="16.5" customHeight="1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</row>
    <row r="76" ht="16.5" customHeight="1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94"/>
      <c r="AO76" s="94"/>
      <c r="AP76" s="94"/>
      <c r="AQ76" s="94"/>
      <c r="AR76" s="94"/>
    </row>
    <row r="77" ht="16.5" customHeight="1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</row>
    <row r="78" ht="16.5" customHeight="1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  <c r="AN78" s="94"/>
      <c r="AO78" s="94"/>
      <c r="AP78" s="94"/>
      <c r="AQ78" s="94"/>
      <c r="AR78" s="94"/>
    </row>
    <row r="79" ht="16.5" customHeight="1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  <c r="AN79" s="94"/>
      <c r="AO79" s="94"/>
      <c r="AP79" s="94"/>
      <c r="AQ79" s="94"/>
      <c r="AR79" s="94"/>
    </row>
    <row r="80" ht="16.5" customHeight="1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94"/>
      <c r="AO80" s="94"/>
      <c r="AP80" s="94"/>
      <c r="AQ80" s="94"/>
      <c r="AR80" s="94"/>
    </row>
    <row r="81" ht="16.5" customHeight="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94"/>
      <c r="AO81" s="94"/>
      <c r="AP81" s="94"/>
      <c r="AQ81" s="94"/>
      <c r="AR81" s="94"/>
    </row>
    <row r="82" ht="16.5" customHeight="1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  <c r="AN82" s="94"/>
      <c r="AO82" s="94"/>
      <c r="AP82" s="94"/>
      <c r="AQ82" s="94"/>
      <c r="AR82" s="94"/>
    </row>
    <row r="83" ht="16.5" customHeight="1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  <c r="AN83" s="94"/>
      <c r="AO83" s="94"/>
      <c r="AP83" s="94"/>
      <c r="AQ83" s="94"/>
      <c r="AR83" s="94"/>
    </row>
    <row r="84" ht="16.5" customHeight="1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  <c r="AN84" s="94"/>
      <c r="AO84" s="94"/>
      <c r="AP84" s="94"/>
      <c r="AQ84" s="94"/>
      <c r="AR84" s="94"/>
    </row>
    <row r="85" ht="16.5" customHeigh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  <c r="AN85" s="94"/>
      <c r="AO85" s="94"/>
      <c r="AP85" s="94"/>
      <c r="AQ85" s="94"/>
      <c r="AR85" s="94"/>
    </row>
    <row r="86" ht="16.5" customHeight="1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  <c r="AN86" s="94"/>
      <c r="AO86" s="94"/>
      <c r="AP86" s="94"/>
      <c r="AQ86" s="94"/>
      <c r="AR86" s="94"/>
    </row>
    <row r="87" ht="16.5" customHeight="1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  <c r="AN87" s="94"/>
      <c r="AO87" s="94"/>
      <c r="AP87" s="94"/>
      <c r="AQ87" s="94"/>
      <c r="AR87" s="94"/>
    </row>
    <row r="88" ht="16.5" customHeight="1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N88" s="94"/>
      <c r="AO88" s="94"/>
      <c r="AP88" s="94"/>
      <c r="AQ88" s="94"/>
      <c r="AR88" s="94"/>
    </row>
    <row r="89" ht="16.5" customHeight="1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  <c r="AN89" s="94"/>
      <c r="AO89" s="94"/>
      <c r="AP89" s="94"/>
      <c r="AQ89" s="94"/>
      <c r="AR89" s="94"/>
    </row>
    <row r="90" ht="16.5" customHeight="1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  <c r="AN90" s="94"/>
      <c r="AO90" s="94"/>
      <c r="AP90" s="94"/>
      <c r="AQ90" s="94"/>
      <c r="AR90" s="94"/>
    </row>
    <row r="91" ht="16.5" customHeight="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94"/>
      <c r="AO91" s="94"/>
      <c r="AP91" s="94"/>
      <c r="AQ91" s="94"/>
      <c r="AR91" s="94"/>
    </row>
    <row r="92" ht="16.5" customHeight="1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</row>
    <row r="93" ht="16.5" customHeight="1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N93" s="94"/>
      <c r="AO93" s="94"/>
      <c r="AP93" s="94"/>
      <c r="AQ93" s="94"/>
      <c r="AR93" s="94"/>
    </row>
    <row r="94" ht="16.5" customHeight="1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  <c r="AN94" s="94"/>
      <c r="AO94" s="94"/>
      <c r="AP94" s="94"/>
      <c r="AQ94" s="94"/>
      <c r="AR94" s="94"/>
    </row>
    <row r="95" ht="16.5" customHeight="1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</row>
    <row r="96" ht="16.5" customHeight="1">
      <c r="A96" s="94"/>
      <c r="B96" s="94"/>
      <c r="C96" s="195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</row>
    <row r="97" ht="16.5" customHeight="1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  <c r="AN97" s="94"/>
      <c r="AO97" s="94"/>
      <c r="AP97" s="94"/>
      <c r="AQ97" s="94"/>
      <c r="AR97" s="94"/>
    </row>
    <row r="98" ht="16.5" customHeight="1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  <c r="AN98" s="94"/>
      <c r="AO98" s="94"/>
      <c r="AP98" s="94"/>
      <c r="AQ98" s="94"/>
      <c r="AR98" s="94"/>
    </row>
    <row r="99" ht="16.5" customHeight="1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</row>
    <row r="100" ht="16.5" customHeight="1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  <c r="AN100" s="94"/>
      <c r="AO100" s="94"/>
      <c r="AP100" s="94"/>
      <c r="AQ100" s="94"/>
      <c r="AR100" s="94"/>
    </row>
    <row r="101" ht="16.5" customHeight="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  <c r="AN101" s="94"/>
      <c r="AO101" s="94"/>
      <c r="AP101" s="94"/>
      <c r="AQ101" s="94"/>
      <c r="AR101" s="94"/>
    </row>
    <row r="102" ht="16.5" customHeight="1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94"/>
      <c r="AO102" s="94"/>
      <c r="AP102" s="94"/>
      <c r="AQ102" s="94"/>
      <c r="AR102" s="94"/>
    </row>
    <row r="103" ht="16.5" customHeight="1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  <c r="AN103" s="94"/>
      <c r="AO103" s="94"/>
      <c r="AP103" s="94"/>
      <c r="AQ103" s="94"/>
      <c r="AR103" s="94"/>
    </row>
    <row r="104" ht="16.5" customHeight="1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  <c r="AN104" s="94"/>
      <c r="AO104" s="94"/>
      <c r="AP104" s="94"/>
      <c r="AQ104" s="94"/>
      <c r="AR104" s="94"/>
    </row>
    <row r="105" ht="16.5" customHeight="1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  <c r="AN105" s="94"/>
      <c r="AO105" s="94"/>
      <c r="AP105" s="94"/>
      <c r="AQ105" s="94"/>
      <c r="AR105" s="94"/>
    </row>
    <row r="106" ht="16.5" customHeight="1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  <c r="AN106" s="94"/>
      <c r="AO106" s="94"/>
      <c r="AP106" s="94"/>
      <c r="AQ106" s="94"/>
      <c r="AR106" s="94"/>
    </row>
    <row r="107" ht="16.5" customHeight="1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94"/>
      <c r="AO107" s="94"/>
      <c r="AP107" s="94"/>
      <c r="AQ107" s="94"/>
      <c r="AR107" s="94"/>
    </row>
    <row r="108" ht="16.5" customHeight="1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  <c r="AN108" s="94"/>
      <c r="AO108" s="94"/>
      <c r="AP108" s="94"/>
      <c r="AQ108" s="94"/>
      <c r="AR108" s="94"/>
    </row>
    <row r="109" ht="16.5" customHeight="1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</row>
    <row r="110" ht="16.5" customHeight="1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  <c r="AN110" s="94"/>
      <c r="AO110" s="94"/>
      <c r="AP110" s="94"/>
      <c r="AQ110" s="94"/>
      <c r="AR110" s="94"/>
    </row>
    <row r="111" ht="16.5" customHeight="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</row>
    <row r="112" ht="16.5" customHeight="1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  <c r="AN112" s="94"/>
      <c r="AO112" s="94"/>
      <c r="AP112" s="94"/>
      <c r="AQ112" s="94"/>
      <c r="AR112" s="94"/>
    </row>
    <row r="113" ht="16.5" customHeight="1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  <c r="AN113" s="94"/>
      <c r="AO113" s="94"/>
      <c r="AP113" s="94"/>
      <c r="AQ113" s="94"/>
      <c r="AR113" s="94"/>
    </row>
    <row r="114" ht="16.5" customHeight="1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</row>
    <row r="115" ht="16.5" customHeight="1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  <c r="AN115" s="94"/>
      <c r="AO115" s="94"/>
      <c r="AP115" s="94"/>
      <c r="AQ115" s="94"/>
      <c r="AR115" s="94"/>
    </row>
    <row r="116" ht="16.5" customHeigh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  <c r="AN116" s="94"/>
      <c r="AO116" s="94"/>
      <c r="AP116" s="94"/>
      <c r="AQ116" s="94"/>
      <c r="AR116" s="94"/>
    </row>
    <row r="117" ht="16.5" customHeight="1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  <c r="AN117" s="94"/>
      <c r="AO117" s="94"/>
      <c r="AP117" s="94"/>
      <c r="AQ117" s="94"/>
      <c r="AR117" s="94"/>
    </row>
    <row r="118" ht="16.5" customHeight="1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  <c r="AN118" s="94"/>
      <c r="AO118" s="94"/>
      <c r="AP118" s="94"/>
      <c r="AQ118" s="94"/>
      <c r="AR118" s="94"/>
    </row>
    <row r="119" ht="16.5" customHeight="1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  <c r="AN119" s="94"/>
      <c r="AO119" s="94"/>
      <c r="AP119" s="94"/>
      <c r="AQ119" s="94"/>
      <c r="AR119" s="94"/>
    </row>
    <row r="120" ht="16.5" customHeight="1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  <c r="AN120" s="94"/>
      <c r="AO120" s="94"/>
      <c r="AP120" s="94"/>
      <c r="AQ120" s="94"/>
      <c r="AR120" s="94"/>
    </row>
    <row r="121" ht="16.5" customHeight="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  <c r="AN121" s="94"/>
      <c r="AO121" s="94"/>
      <c r="AP121" s="94"/>
      <c r="AQ121" s="94"/>
      <c r="AR121" s="94"/>
    </row>
    <row r="122" ht="16.5" customHeight="1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  <c r="AN122" s="94"/>
      <c r="AO122" s="94"/>
      <c r="AP122" s="94"/>
      <c r="AQ122" s="94"/>
      <c r="AR122" s="94"/>
    </row>
    <row r="123" ht="16.5" customHeight="1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</row>
    <row r="124" ht="16.5" customHeight="1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</row>
    <row r="125" ht="16.5" customHeight="1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</row>
    <row r="126" ht="16.5" customHeight="1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  <c r="AN126" s="94"/>
      <c r="AO126" s="94"/>
      <c r="AP126" s="94"/>
      <c r="AQ126" s="94"/>
      <c r="AR126" s="94"/>
    </row>
    <row r="127" ht="16.5" customHeight="1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4"/>
      <c r="AP127" s="94"/>
      <c r="AQ127" s="94"/>
      <c r="AR127" s="94"/>
    </row>
    <row r="128" ht="16.5" customHeight="1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  <c r="AN128" s="94"/>
      <c r="AO128" s="94"/>
      <c r="AP128" s="94"/>
      <c r="AQ128" s="94"/>
      <c r="AR128" s="94"/>
    </row>
    <row r="129" ht="16.5" customHeight="1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</row>
    <row r="130" ht="16.5" customHeight="1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  <c r="AN130" s="94"/>
      <c r="AO130" s="94"/>
      <c r="AP130" s="94"/>
      <c r="AQ130" s="94"/>
      <c r="AR130" s="94"/>
    </row>
    <row r="131" ht="16.5" customHeight="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  <c r="AN131" s="94"/>
      <c r="AO131" s="94"/>
      <c r="AP131" s="94"/>
      <c r="AQ131" s="94"/>
      <c r="AR131" s="94"/>
    </row>
    <row r="132" ht="16.5" customHeight="1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  <c r="AN132" s="94"/>
      <c r="AO132" s="94"/>
      <c r="AP132" s="94"/>
      <c r="AQ132" s="94"/>
      <c r="AR132" s="94"/>
    </row>
    <row r="133" ht="16.5" customHeight="1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  <c r="AN133" s="94"/>
      <c r="AO133" s="94"/>
      <c r="AP133" s="94"/>
      <c r="AQ133" s="94"/>
      <c r="AR133" s="94"/>
    </row>
    <row r="134" ht="16.5" customHeight="1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  <c r="AN134" s="94"/>
      <c r="AO134" s="94"/>
      <c r="AP134" s="94"/>
      <c r="AQ134" s="94"/>
      <c r="AR134" s="94"/>
    </row>
    <row r="135" ht="16.5" customHeight="1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4"/>
      <c r="AP135" s="94"/>
      <c r="AQ135" s="94"/>
      <c r="AR135" s="94"/>
    </row>
    <row r="136" ht="16.5" customHeight="1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  <c r="AN136" s="94"/>
      <c r="AO136" s="94"/>
      <c r="AP136" s="94"/>
      <c r="AQ136" s="94"/>
      <c r="AR136" s="94"/>
    </row>
    <row r="137" ht="16.5" customHeight="1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94"/>
    </row>
    <row r="138" ht="16.5" customHeight="1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  <c r="AN138" s="94"/>
      <c r="AO138" s="94"/>
      <c r="AP138" s="94"/>
      <c r="AQ138" s="94"/>
      <c r="AR138" s="94"/>
    </row>
    <row r="139" ht="16.5" customHeight="1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94"/>
      <c r="AR139" s="94"/>
    </row>
    <row r="140" ht="16.5" customHeight="1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  <c r="AN140" s="94"/>
      <c r="AO140" s="94"/>
      <c r="AP140" s="94"/>
      <c r="AQ140" s="94"/>
      <c r="AR140" s="94"/>
    </row>
    <row r="141" ht="16.5" customHeight="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</row>
    <row r="142" ht="16.5" customHeight="1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</row>
    <row r="143" ht="16.5" customHeight="1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</row>
    <row r="144" ht="16.5" customHeight="1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  <c r="AN144" s="94"/>
      <c r="AO144" s="94"/>
      <c r="AP144" s="94"/>
      <c r="AQ144" s="94"/>
      <c r="AR144" s="94"/>
    </row>
    <row r="145" ht="16.5" customHeight="1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4"/>
      <c r="AP145" s="94"/>
      <c r="AQ145" s="94"/>
      <c r="AR145" s="94"/>
    </row>
    <row r="146" ht="16.5" customHeight="1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  <c r="AN146" s="94"/>
      <c r="AO146" s="94"/>
      <c r="AP146" s="94"/>
      <c r="AQ146" s="94"/>
      <c r="AR146" s="94"/>
    </row>
    <row r="147" ht="16.5" customHeight="1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  <c r="AN147" s="94"/>
      <c r="AO147" s="94"/>
      <c r="AP147" s="94"/>
      <c r="AQ147" s="94"/>
      <c r="AR147" s="94"/>
    </row>
    <row r="148" ht="16.5" customHeight="1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  <c r="AN148" s="94"/>
      <c r="AO148" s="94"/>
      <c r="AP148" s="94"/>
      <c r="AQ148" s="94"/>
      <c r="AR148" s="94"/>
    </row>
    <row r="149" ht="16.5" customHeight="1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  <c r="AN149" s="94"/>
      <c r="AO149" s="94"/>
      <c r="AP149" s="94"/>
      <c r="AQ149" s="94"/>
      <c r="AR149" s="94"/>
    </row>
    <row r="150" ht="16.5" customHeight="1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  <c r="AN150" s="94"/>
      <c r="AO150" s="94"/>
      <c r="AP150" s="94"/>
      <c r="AQ150" s="94"/>
      <c r="AR150" s="94"/>
    </row>
    <row r="151" ht="16.5" customHeight="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  <c r="AN151" s="94"/>
      <c r="AO151" s="94"/>
      <c r="AP151" s="94"/>
      <c r="AQ151" s="94"/>
      <c r="AR151" s="94"/>
    </row>
    <row r="152" ht="16.5" customHeight="1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  <c r="AN152" s="94"/>
      <c r="AO152" s="94"/>
      <c r="AP152" s="94"/>
      <c r="AQ152" s="94"/>
      <c r="AR152" s="94"/>
    </row>
    <row r="153" ht="16.5" customHeight="1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  <c r="AN153" s="94"/>
      <c r="AO153" s="94"/>
      <c r="AP153" s="94"/>
      <c r="AQ153" s="94"/>
      <c r="AR153" s="94"/>
    </row>
    <row r="154" ht="16.5" customHeight="1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  <c r="AN154" s="94"/>
      <c r="AO154" s="94"/>
      <c r="AP154" s="94"/>
      <c r="AQ154" s="94"/>
      <c r="AR154" s="94"/>
    </row>
    <row r="155" ht="16.5" customHeight="1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  <c r="AN155" s="94"/>
      <c r="AO155" s="94"/>
      <c r="AP155" s="94"/>
      <c r="AQ155" s="94"/>
      <c r="AR155" s="94"/>
    </row>
    <row r="156" ht="16.5" customHeight="1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  <c r="AN156" s="94"/>
      <c r="AO156" s="94"/>
      <c r="AP156" s="94"/>
      <c r="AQ156" s="94"/>
      <c r="AR156" s="94"/>
    </row>
    <row r="157" ht="16.5" customHeight="1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  <c r="AN157" s="94"/>
      <c r="AO157" s="94"/>
      <c r="AP157" s="94"/>
      <c r="AQ157" s="94"/>
      <c r="AR157" s="94"/>
    </row>
    <row r="158" ht="16.5" customHeight="1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  <c r="AN158" s="94"/>
      <c r="AO158" s="94"/>
      <c r="AP158" s="94"/>
      <c r="AQ158" s="94"/>
      <c r="AR158" s="94"/>
    </row>
    <row r="159" ht="16.5" customHeight="1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  <c r="AN159" s="94"/>
      <c r="AO159" s="94"/>
      <c r="AP159" s="94"/>
      <c r="AQ159" s="94"/>
      <c r="AR159" s="94"/>
    </row>
    <row r="160" ht="16.5" customHeight="1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  <c r="AN160" s="94"/>
      <c r="AO160" s="94"/>
      <c r="AP160" s="94"/>
      <c r="AQ160" s="94"/>
      <c r="AR160" s="94"/>
    </row>
    <row r="161" ht="16.5" customHeight="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  <c r="AN161" s="94"/>
      <c r="AO161" s="94"/>
      <c r="AP161" s="94"/>
      <c r="AQ161" s="94"/>
      <c r="AR161" s="94"/>
    </row>
    <row r="162" ht="16.5" customHeight="1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  <c r="AN162" s="94"/>
      <c r="AO162" s="94"/>
      <c r="AP162" s="94"/>
      <c r="AQ162" s="94"/>
      <c r="AR162" s="94"/>
    </row>
    <row r="163" ht="16.5" customHeight="1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  <c r="AN163" s="94"/>
      <c r="AO163" s="94"/>
      <c r="AP163" s="94"/>
      <c r="AQ163" s="94"/>
      <c r="AR163" s="94"/>
    </row>
    <row r="164" ht="16.5" customHeight="1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  <c r="AN164" s="94"/>
      <c r="AO164" s="94"/>
      <c r="AP164" s="94"/>
      <c r="AQ164" s="94"/>
      <c r="AR164" s="94"/>
    </row>
    <row r="165" ht="16.5" customHeight="1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  <c r="AN165" s="94"/>
      <c r="AO165" s="94"/>
      <c r="AP165" s="94"/>
      <c r="AQ165" s="94"/>
      <c r="AR165" s="94"/>
    </row>
    <row r="166" ht="16.5" customHeight="1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  <c r="AN166" s="94"/>
      <c r="AO166" s="94"/>
      <c r="AP166" s="94"/>
      <c r="AQ166" s="94"/>
      <c r="AR166" s="94"/>
    </row>
    <row r="167" ht="16.5" customHeight="1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  <c r="AN167" s="94"/>
      <c r="AO167" s="94"/>
      <c r="AP167" s="94"/>
      <c r="AQ167" s="94"/>
      <c r="AR167" s="94"/>
    </row>
    <row r="168" ht="16.5" customHeight="1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  <c r="AN168" s="94"/>
      <c r="AO168" s="94"/>
      <c r="AP168" s="94"/>
      <c r="AQ168" s="94"/>
      <c r="AR168" s="94"/>
    </row>
    <row r="169" ht="16.5" customHeight="1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  <c r="AN169" s="94"/>
      <c r="AO169" s="94"/>
      <c r="AP169" s="94"/>
      <c r="AQ169" s="94"/>
      <c r="AR169" s="94"/>
    </row>
    <row r="170" ht="16.5" customHeight="1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  <c r="AN170" s="94"/>
      <c r="AO170" s="94"/>
      <c r="AP170" s="94"/>
      <c r="AQ170" s="94"/>
      <c r="AR170" s="94"/>
    </row>
    <row r="171" ht="16.5" customHeight="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  <c r="AN171" s="94"/>
      <c r="AO171" s="94"/>
      <c r="AP171" s="94"/>
      <c r="AQ171" s="94"/>
      <c r="AR171" s="94"/>
    </row>
    <row r="172" ht="16.5" customHeight="1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  <c r="AN172" s="94"/>
      <c r="AO172" s="94"/>
      <c r="AP172" s="94"/>
      <c r="AQ172" s="94"/>
      <c r="AR172" s="94"/>
    </row>
    <row r="173" ht="16.5" customHeight="1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  <c r="AN173" s="94"/>
      <c r="AO173" s="94"/>
      <c r="AP173" s="94"/>
      <c r="AQ173" s="94"/>
      <c r="AR173" s="94"/>
    </row>
    <row r="174" ht="16.5" customHeight="1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  <c r="AN174" s="94"/>
      <c r="AO174" s="94"/>
      <c r="AP174" s="94"/>
      <c r="AQ174" s="94"/>
      <c r="AR174" s="94"/>
    </row>
    <row r="175" ht="16.5" customHeight="1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  <c r="AN175" s="94"/>
      <c r="AO175" s="94"/>
      <c r="AP175" s="94"/>
      <c r="AQ175" s="94"/>
      <c r="AR175" s="94"/>
    </row>
    <row r="176" ht="16.5" customHeight="1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  <c r="AN176" s="94"/>
      <c r="AO176" s="94"/>
      <c r="AP176" s="94"/>
      <c r="AQ176" s="94"/>
      <c r="AR176" s="94"/>
    </row>
    <row r="177" ht="16.5" customHeight="1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  <c r="AN177" s="94"/>
      <c r="AO177" s="94"/>
      <c r="AP177" s="94"/>
      <c r="AQ177" s="94"/>
      <c r="AR177" s="94"/>
    </row>
    <row r="178" ht="16.5" customHeight="1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  <c r="AN178" s="94"/>
      <c r="AO178" s="94"/>
      <c r="AP178" s="94"/>
      <c r="AQ178" s="94"/>
      <c r="AR178" s="94"/>
    </row>
    <row r="179" ht="16.5" customHeight="1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  <c r="AN179" s="94"/>
      <c r="AO179" s="94"/>
      <c r="AP179" s="94"/>
      <c r="AQ179" s="94"/>
      <c r="AR179" s="94"/>
    </row>
    <row r="180" ht="16.5" customHeight="1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  <c r="AN180" s="94"/>
      <c r="AO180" s="94"/>
      <c r="AP180" s="94"/>
      <c r="AQ180" s="94"/>
      <c r="AR180" s="94"/>
    </row>
    <row r="181" ht="16.5" customHeight="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  <c r="AN181" s="94"/>
      <c r="AO181" s="94"/>
      <c r="AP181" s="94"/>
      <c r="AQ181" s="94"/>
      <c r="AR181" s="94"/>
    </row>
    <row r="182" ht="16.5" customHeight="1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  <c r="AN182" s="94"/>
      <c r="AO182" s="94"/>
      <c r="AP182" s="94"/>
      <c r="AQ182" s="94"/>
      <c r="AR182" s="94"/>
    </row>
    <row r="183" ht="16.5" customHeight="1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  <c r="AN183" s="94"/>
      <c r="AO183" s="94"/>
      <c r="AP183" s="94"/>
      <c r="AQ183" s="94"/>
      <c r="AR183" s="94"/>
    </row>
    <row r="184" ht="16.5" customHeight="1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  <c r="AN184" s="94"/>
      <c r="AO184" s="94"/>
      <c r="AP184" s="94"/>
      <c r="AQ184" s="94"/>
      <c r="AR184" s="94"/>
    </row>
    <row r="185" ht="16.5" customHeight="1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  <c r="AN185" s="94"/>
      <c r="AO185" s="94"/>
      <c r="AP185" s="94"/>
      <c r="AQ185" s="94"/>
      <c r="AR185" s="94"/>
    </row>
    <row r="186" ht="16.5" customHeight="1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  <c r="AN186" s="94"/>
      <c r="AO186" s="94"/>
      <c r="AP186" s="94"/>
      <c r="AQ186" s="94"/>
      <c r="AR186" s="94"/>
    </row>
    <row r="187" ht="16.5" customHeight="1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  <c r="AN187" s="94"/>
      <c r="AO187" s="94"/>
      <c r="AP187" s="94"/>
      <c r="AQ187" s="94"/>
      <c r="AR187" s="94"/>
    </row>
    <row r="188" ht="16.5" customHeight="1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  <c r="AN188" s="94"/>
      <c r="AO188" s="94"/>
      <c r="AP188" s="94"/>
      <c r="AQ188" s="94"/>
      <c r="AR188" s="94"/>
    </row>
    <row r="189" ht="16.5" customHeight="1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  <c r="AN189" s="94"/>
      <c r="AO189" s="94"/>
      <c r="AP189" s="94"/>
      <c r="AQ189" s="94"/>
      <c r="AR189" s="94"/>
    </row>
    <row r="190" ht="16.5" customHeight="1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  <c r="AN190" s="94"/>
      <c r="AO190" s="94"/>
      <c r="AP190" s="94"/>
      <c r="AQ190" s="94"/>
      <c r="AR190" s="94"/>
    </row>
    <row r="191" ht="16.5" customHeight="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</row>
    <row r="192" ht="16.5" customHeight="1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</row>
    <row r="193" ht="16.5" customHeight="1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</row>
    <row r="194" ht="16.5" customHeight="1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</row>
    <row r="195" ht="16.5" customHeight="1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  <c r="AN195" s="94"/>
      <c r="AO195" s="94"/>
      <c r="AP195" s="94"/>
      <c r="AQ195" s="94"/>
      <c r="AR195" s="94"/>
    </row>
    <row r="196" ht="16.5" customHeight="1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  <c r="AN196" s="94"/>
      <c r="AO196" s="94"/>
      <c r="AP196" s="94"/>
      <c r="AQ196" s="94"/>
      <c r="AR196" s="94"/>
    </row>
    <row r="197" ht="16.5" customHeight="1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  <c r="AN197" s="94"/>
      <c r="AO197" s="94"/>
      <c r="AP197" s="94"/>
      <c r="AQ197" s="94"/>
      <c r="AR197" s="94"/>
    </row>
    <row r="198" ht="16.5" customHeight="1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  <c r="AN198" s="94"/>
      <c r="AO198" s="94"/>
      <c r="AP198" s="94"/>
      <c r="AQ198" s="94"/>
      <c r="AR198" s="94"/>
    </row>
    <row r="199" ht="16.5" customHeight="1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  <c r="AN199" s="94"/>
      <c r="AO199" s="94"/>
      <c r="AP199" s="94"/>
      <c r="AQ199" s="94"/>
      <c r="AR199" s="94"/>
    </row>
    <row r="200" ht="16.5" customHeight="1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  <c r="AN200" s="94"/>
      <c r="AO200" s="94"/>
      <c r="AP200" s="94"/>
      <c r="AQ200" s="94"/>
      <c r="AR200" s="94"/>
    </row>
    <row r="201" ht="16.5" customHeight="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  <c r="AN201" s="94"/>
      <c r="AO201" s="94"/>
      <c r="AP201" s="94"/>
      <c r="AQ201" s="94"/>
      <c r="AR201" s="94"/>
    </row>
    <row r="202" ht="16.5" customHeight="1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  <c r="AN202" s="94"/>
      <c r="AO202" s="94"/>
      <c r="AP202" s="94"/>
      <c r="AQ202" s="94"/>
      <c r="AR202" s="94"/>
    </row>
    <row r="203" ht="16.5" customHeight="1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  <c r="AN203" s="94"/>
      <c r="AO203" s="94"/>
      <c r="AP203" s="94"/>
      <c r="AQ203" s="94"/>
      <c r="AR203" s="94"/>
    </row>
    <row r="204" ht="16.5" customHeight="1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  <c r="AN204" s="94"/>
      <c r="AO204" s="94"/>
      <c r="AP204" s="94"/>
      <c r="AQ204" s="94"/>
      <c r="AR204" s="94"/>
    </row>
    <row r="205" ht="16.5" customHeight="1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  <c r="AN205" s="94"/>
      <c r="AO205" s="94"/>
      <c r="AP205" s="94"/>
      <c r="AQ205" s="94"/>
      <c r="AR205" s="94"/>
    </row>
    <row r="206" ht="16.5" customHeight="1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  <c r="AN206" s="94"/>
      <c r="AO206" s="94"/>
      <c r="AP206" s="94"/>
      <c r="AQ206" s="94"/>
      <c r="AR206" s="94"/>
    </row>
    <row r="207" ht="16.5" customHeight="1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  <c r="AN207" s="94"/>
      <c r="AO207" s="94"/>
      <c r="AP207" s="94"/>
      <c r="AQ207" s="94"/>
      <c r="AR207" s="94"/>
    </row>
    <row r="208" ht="16.5" customHeight="1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  <c r="AN208" s="94"/>
      <c r="AO208" s="94"/>
      <c r="AP208" s="94"/>
      <c r="AQ208" s="94"/>
      <c r="AR208" s="94"/>
    </row>
    <row r="209" ht="16.5" customHeight="1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  <c r="AN209" s="94"/>
      <c r="AO209" s="94"/>
      <c r="AP209" s="94"/>
      <c r="AQ209" s="94"/>
      <c r="AR209" s="94"/>
    </row>
    <row r="210" ht="16.5" customHeight="1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  <c r="AN210" s="94"/>
      <c r="AO210" s="94"/>
      <c r="AP210" s="94"/>
      <c r="AQ210" s="94"/>
      <c r="AR210" s="94"/>
    </row>
    <row r="211" ht="16.5" customHeight="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  <c r="AN211" s="94"/>
      <c r="AO211" s="94"/>
      <c r="AP211" s="94"/>
      <c r="AQ211" s="94"/>
      <c r="AR211" s="94"/>
    </row>
    <row r="212" ht="16.5" customHeight="1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  <c r="AN212" s="94"/>
      <c r="AO212" s="94"/>
      <c r="AP212" s="94"/>
      <c r="AQ212" s="94"/>
      <c r="AR212" s="94"/>
    </row>
    <row r="213" ht="16.5" customHeight="1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  <c r="AN213" s="94"/>
      <c r="AO213" s="94"/>
      <c r="AP213" s="94"/>
      <c r="AQ213" s="94"/>
      <c r="AR213" s="94"/>
    </row>
    <row r="214" ht="16.5" customHeight="1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  <c r="AN214" s="94"/>
      <c r="AO214" s="94"/>
      <c r="AP214" s="94"/>
      <c r="AQ214" s="94"/>
      <c r="AR214" s="94"/>
    </row>
    <row r="215" ht="16.5" customHeight="1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  <c r="AN215" s="94"/>
      <c r="AO215" s="94"/>
      <c r="AP215" s="94"/>
      <c r="AQ215" s="94"/>
      <c r="AR215" s="94"/>
    </row>
    <row r="216" ht="16.5" customHeight="1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  <c r="AN216" s="94"/>
      <c r="AO216" s="94"/>
      <c r="AP216" s="94"/>
      <c r="AQ216" s="94"/>
      <c r="AR216" s="94"/>
    </row>
    <row r="217" ht="16.5" customHeight="1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  <c r="AN217" s="94"/>
      <c r="AO217" s="94"/>
      <c r="AP217" s="94"/>
      <c r="AQ217" s="94"/>
      <c r="AR217" s="94"/>
    </row>
    <row r="218" ht="16.5" customHeight="1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  <c r="AN218" s="94"/>
      <c r="AO218" s="94"/>
      <c r="AP218" s="94"/>
      <c r="AQ218" s="94"/>
      <c r="AR218" s="94"/>
    </row>
    <row r="219" ht="16.5" customHeight="1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  <c r="AN219" s="94"/>
      <c r="AO219" s="94"/>
      <c r="AP219" s="94"/>
      <c r="AQ219" s="94"/>
      <c r="AR219" s="94"/>
    </row>
    <row r="220" ht="16.5" customHeight="1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  <c r="AN220" s="94"/>
      <c r="AO220" s="94"/>
      <c r="AP220" s="94"/>
      <c r="AQ220" s="94"/>
      <c r="AR220" s="94"/>
    </row>
    <row r="221" ht="16.5" customHeight="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  <c r="AN221" s="94"/>
      <c r="AO221" s="94"/>
      <c r="AP221" s="94"/>
      <c r="AQ221" s="94"/>
      <c r="AR221" s="94"/>
    </row>
    <row r="222" ht="16.5" customHeight="1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  <c r="AN222" s="94"/>
      <c r="AO222" s="94"/>
      <c r="AP222" s="94"/>
      <c r="AQ222" s="94"/>
      <c r="AR222" s="94"/>
    </row>
    <row r="223" ht="16.5" customHeight="1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  <c r="AN223" s="94"/>
      <c r="AO223" s="94"/>
      <c r="AP223" s="94"/>
      <c r="AQ223" s="94"/>
      <c r="AR223" s="94"/>
    </row>
    <row r="224" ht="16.5" customHeight="1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  <c r="AN224" s="94"/>
      <c r="AO224" s="94"/>
      <c r="AP224" s="94"/>
      <c r="AQ224" s="94"/>
      <c r="AR224" s="94"/>
    </row>
    <row r="225" ht="16.5" customHeight="1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  <c r="AN225" s="94"/>
      <c r="AO225" s="94"/>
      <c r="AP225" s="94"/>
      <c r="AQ225" s="94"/>
      <c r="AR225" s="94"/>
    </row>
    <row r="226" ht="16.5" customHeight="1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  <c r="AN226" s="94"/>
      <c r="AO226" s="94"/>
      <c r="AP226" s="94"/>
      <c r="AQ226" s="94"/>
      <c r="AR226" s="94"/>
    </row>
    <row r="227" ht="16.5" customHeight="1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  <c r="AN227" s="94"/>
      <c r="AO227" s="94"/>
      <c r="AP227" s="94"/>
      <c r="AQ227" s="94"/>
      <c r="AR227" s="94"/>
    </row>
    <row r="228" ht="16.5" customHeight="1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  <c r="AN228" s="94"/>
      <c r="AO228" s="94"/>
      <c r="AP228" s="94"/>
      <c r="AQ228" s="94"/>
      <c r="AR228" s="94"/>
    </row>
    <row r="229" ht="16.5" customHeight="1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  <c r="AN229" s="94"/>
      <c r="AO229" s="94"/>
      <c r="AP229" s="94"/>
      <c r="AQ229" s="94"/>
      <c r="AR229" s="94"/>
    </row>
    <row r="230" ht="16.5" customHeight="1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  <c r="AN230" s="94"/>
      <c r="AO230" s="94"/>
      <c r="AP230" s="94"/>
      <c r="AQ230" s="94"/>
      <c r="AR230" s="94"/>
    </row>
    <row r="231" ht="16.5" customHeight="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  <c r="AN231" s="94"/>
      <c r="AO231" s="94"/>
      <c r="AP231" s="94"/>
      <c r="AQ231" s="94"/>
      <c r="AR231" s="94"/>
    </row>
    <row r="232" ht="16.5" customHeight="1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  <c r="AN232" s="94"/>
      <c r="AO232" s="94"/>
      <c r="AP232" s="94"/>
      <c r="AQ232" s="94"/>
      <c r="AR232" s="94"/>
    </row>
    <row r="233" ht="16.5" customHeight="1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  <c r="AN233" s="94"/>
      <c r="AO233" s="94"/>
      <c r="AP233" s="94"/>
      <c r="AQ233" s="94"/>
      <c r="AR233" s="94"/>
    </row>
    <row r="234" ht="16.5" customHeight="1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  <c r="AN234" s="94"/>
      <c r="AO234" s="94"/>
      <c r="AP234" s="94"/>
      <c r="AQ234" s="94"/>
      <c r="AR234" s="94"/>
    </row>
    <row r="235" ht="16.5" customHeight="1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  <c r="AN235" s="94"/>
      <c r="AO235" s="94"/>
      <c r="AP235" s="94"/>
      <c r="AQ235" s="94"/>
      <c r="AR235" s="94"/>
    </row>
    <row r="236" ht="16.5" customHeight="1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  <c r="AN236" s="94"/>
      <c r="AO236" s="94"/>
      <c r="AP236" s="94"/>
      <c r="AQ236" s="94"/>
      <c r="AR236" s="94"/>
    </row>
    <row r="237" ht="16.5" customHeight="1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  <c r="AN237" s="94"/>
      <c r="AO237" s="94"/>
      <c r="AP237" s="94"/>
      <c r="AQ237" s="94"/>
      <c r="AR237" s="94"/>
    </row>
    <row r="238" ht="16.5" customHeight="1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  <c r="AN238" s="94"/>
      <c r="AO238" s="94"/>
      <c r="AP238" s="94"/>
      <c r="AQ238" s="94"/>
      <c r="AR238" s="94"/>
    </row>
    <row r="239" ht="16.5" customHeight="1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  <c r="AN239" s="94"/>
      <c r="AO239" s="94"/>
      <c r="AP239" s="94"/>
      <c r="AQ239" s="94"/>
      <c r="AR239" s="94"/>
    </row>
    <row r="240" ht="16.5" customHeight="1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  <c r="AN240" s="94"/>
      <c r="AO240" s="94"/>
      <c r="AP240" s="94"/>
      <c r="AQ240" s="94"/>
      <c r="AR240" s="94"/>
    </row>
    <row r="241" ht="16.5" customHeight="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  <c r="AN241" s="94"/>
      <c r="AO241" s="94"/>
      <c r="AP241" s="94"/>
      <c r="AQ241" s="94"/>
      <c r="AR241" s="94"/>
    </row>
    <row r="242" ht="16.5" customHeight="1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</row>
    <row r="243" ht="16.5" customHeight="1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</row>
    <row r="244" ht="16.5" customHeight="1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</row>
    <row r="245" ht="16.5" customHeight="1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</row>
    <row r="246" ht="16.5" customHeight="1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</row>
    <row r="247" ht="16.5" customHeight="1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</row>
    <row r="248" ht="16.5" customHeight="1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</row>
    <row r="249" ht="16.5" customHeight="1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</row>
    <row r="250" ht="16.5" customHeight="1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</row>
    <row r="251" ht="16.5" customHeight="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</row>
    <row r="252" ht="16.5" customHeight="1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</row>
    <row r="253" ht="16.5" customHeight="1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</row>
    <row r="254" ht="16.5" customHeight="1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</row>
    <row r="255" ht="16.5" customHeight="1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</row>
    <row r="256" ht="16.5" customHeight="1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</row>
    <row r="257" ht="16.5" customHeight="1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</row>
    <row r="258" ht="16.5" customHeight="1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</row>
    <row r="259" ht="16.5" customHeight="1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</row>
    <row r="260" ht="16.5" customHeight="1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1">
    <mergeCell ref="T3:AF3"/>
    <mergeCell ref="AG3:AN3"/>
    <mergeCell ref="B2:D2"/>
    <mergeCell ref="E2:N2"/>
    <mergeCell ref="O2:Q2"/>
    <mergeCell ref="T2:AN2"/>
    <mergeCell ref="B3:D3"/>
    <mergeCell ref="E3:N3"/>
    <mergeCell ref="O3:Q3"/>
    <mergeCell ref="B4:D4"/>
    <mergeCell ref="E4:N4"/>
    <mergeCell ref="O4:Q4"/>
    <mergeCell ref="T4:AF4"/>
    <mergeCell ref="AG4:AN4"/>
    <mergeCell ref="T5:AF5"/>
    <mergeCell ref="AG5:AN5"/>
    <mergeCell ref="T6:AF6"/>
    <mergeCell ref="AG6:AN6"/>
    <mergeCell ref="T7:AF7"/>
    <mergeCell ref="AG7:AN7"/>
    <mergeCell ref="T8:AF8"/>
    <mergeCell ref="AG8:AN8"/>
    <mergeCell ref="AG9:AN9"/>
    <mergeCell ref="T9:AF9"/>
    <mergeCell ref="T10:AF10"/>
    <mergeCell ref="AG10:AN10"/>
    <mergeCell ref="T11:AF11"/>
    <mergeCell ref="AG11:AN11"/>
    <mergeCell ref="T12:AF12"/>
    <mergeCell ref="AG12:AN12"/>
    <mergeCell ref="T14:AN14"/>
    <mergeCell ref="V15:X15"/>
    <mergeCell ref="Y15:Z15"/>
    <mergeCell ref="AC15:AE15"/>
    <mergeCell ref="AF15:AH15"/>
    <mergeCell ref="AL15:AM15"/>
    <mergeCell ref="T16:AN16"/>
    <mergeCell ref="T17:AQ19"/>
    <mergeCell ref="T21:AQ21"/>
    <mergeCell ref="B22:O22"/>
    <mergeCell ref="T22:AF22"/>
    <mergeCell ref="AG22:AK22"/>
    <mergeCell ref="AL22:AQ22"/>
    <mergeCell ref="N23:O23"/>
    <mergeCell ref="AL23:AQ23"/>
    <mergeCell ref="J33:O35"/>
    <mergeCell ref="P33:P35"/>
    <mergeCell ref="Q33:Q35"/>
    <mergeCell ref="J29:O29"/>
    <mergeCell ref="J30:O30"/>
    <mergeCell ref="B31:F31"/>
    <mergeCell ref="J31:O31"/>
    <mergeCell ref="B32:F32"/>
    <mergeCell ref="J32:O32"/>
    <mergeCell ref="B33:F33"/>
    <mergeCell ref="E53:N53"/>
    <mergeCell ref="O53:Q53"/>
    <mergeCell ref="E57:M57"/>
    <mergeCell ref="E58:G58"/>
    <mergeCell ref="E59:G59"/>
    <mergeCell ref="E60:G60"/>
    <mergeCell ref="B51:D51"/>
    <mergeCell ref="E51:N51"/>
    <mergeCell ref="O51:Q51"/>
    <mergeCell ref="B52:D52"/>
    <mergeCell ref="E52:N52"/>
    <mergeCell ref="O52:Q52"/>
    <mergeCell ref="B53:D53"/>
    <mergeCell ref="T38:AF38"/>
    <mergeCell ref="AG38:AK38"/>
    <mergeCell ref="B37:G37"/>
    <mergeCell ref="J37:O37"/>
    <mergeCell ref="P37:Q37"/>
    <mergeCell ref="T37:AF37"/>
    <mergeCell ref="AG37:AK37"/>
    <mergeCell ref="AL37:AQ37"/>
    <mergeCell ref="B38:F38"/>
    <mergeCell ref="AL38:AQ38"/>
    <mergeCell ref="T42:AF42"/>
    <mergeCell ref="AG42:AK42"/>
    <mergeCell ref="AL42:AQ42"/>
    <mergeCell ref="T39:AF39"/>
    <mergeCell ref="T40:AF40"/>
    <mergeCell ref="AG40:AK40"/>
    <mergeCell ref="AL40:AQ40"/>
    <mergeCell ref="T41:AF41"/>
    <mergeCell ref="AG41:AK41"/>
    <mergeCell ref="AL41:AQ41"/>
    <mergeCell ref="T23:AF23"/>
    <mergeCell ref="AG23:AK23"/>
    <mergeCell ref="N24:O24"/>
    <mergeCell ref="T24:AF24"/>
    <mergeCell ref="AG24:AK24"/>
    <mergeCell ref="AL24:AQ24"/>
    <mergeCell ref="N25:O25"/>
    <mergeCell ref="AL25:AQ25"/>
    <mergeCell ref="T25:AF25"/>
    <mergeCell ref="AG25:AK25"/>
    <mergeCell ref="T26:AF26"/>
    <mergeCell ref="AG26:AK26"/>
    <mergeCell ref="AL26:AQ26"/>
    <mergeCell ref="AG27:AK27"/>
    <mergeCell ref="AL27:AQ27"/>
    <mergeCell ref="AG29:AK29"/>
    <mergeCell ref="AL29:AQ29"/>
    <mergeCell ref="T27:AF27"/>
    <mergeCell ref="T28:AF28"/>
    <mergeCell ref="AG28:AK28"/>
    <mergeCell ref="AL28:AQ28"/>
    <mergeCell ref="B29:F29"/>
    <mergeCell ref="T29:AF29"/>
    <mergeCell ref="B30:F30"/>
    <mergeCell ref="AL30:AQ30"/>
    <mergeCell ref="T32:AF32"/>
    <mergeCell ref="T33:AF33"/>
    <mergeCell ref="AG33:AK33"/>
    <mergeCell ref="AL33:AQ33"/>
    <mergeCell ref="T30:AF30"/>
    <mergeCell ref="AG30:AK30"/>
    <mergeCell ref="T31:AF31"/>
    <mergeCell ref="AG31:AK31"/>
    <mergeCell ref="AL31:AQ31"/>
    <mergeCell ref="AG32:AK32"/>
    <mergeCell ref="AL32:AQ32"/>
    <mergeCell ref="J38:O38"/>
    <mergeCell ref="P38:Q38"/>
    <mergeCell ref="B39:F39"/>
    <mergeCell ref="J39:O39"/>
    <mergeCell ref="P39:Q39"/>
    <mergeCell ref="AG39:AK39"/>
    <mergeCell ref="AL39:AQ39"/>
  </mergeCells>
  <printOptions/>
  <pageMargins bottom="0.75" footer="0.0" header="0.0" left="0.45" right="0.19302061950427407" top="0.75"/>
  <pageSetup paperSize="9" orientation="portrait"/>
  <headerFooter>
    <oddHeader>&amp;LDepartment of CSE, ULAB&amp;CCourse Summary&amp;RAC018(00)</oddHeader>
    <oddFooter>&amp;LGenerated on &amp;D &amp;T&amp;C &amp;RAC018(00) Page &amp;P of 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37.43"/>
    <col customWidth="1" min="4" max="4" width="8.29"/>
    <col customWidth="1" min="5" max="8" width="7.43"/>
    <col customWidth="1" min="9" max="9" width="8.29"/>
    <col customWidth="1" min="10" max="22" width="7.43"/>
    <col customWidth="1" min="23" max="23" width="7.71"/>
    <col customWidth="1" min="24" max="27" width="7.43"/>
    <col customWidth="1" min="28" max="29" width="7.71"/>
    <col customWidth="1" min="30" max="33" width="7.43"/>
    <col customWidth="1" min="34" max="34" width="10.86"/>
    <col customWidth="1" min="35" max="35" width="7.86"/>
    <col customWidth="1" min="36" max="39" width="7.43"/>
    <col customWidth="1" min="40" max="42" width="9.14"/>
    <col customWidth="1" min="43" max="45" width="10.43"/>
    <col customWidth="1" min="46" max="46" width="8.71"/>
    <col customWidth="1" min="47" max="47" width="10.14"/>
    <col customWidth="1" min="48" max="58" width="9.14"/>
    <col customWidth="1" min="59" max="59" width="9.71"/>
    <col customWidth="1" min="60" max="70" width="9.14"/>
  </cols>
  <sheetData>
    <row r="1" ht="15.75" customHeight="1">
      <c r="A1" s="6"/>
      <c r="B1" s="6"/>
      <c r="C1" s="8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10" t="s">
        <v>11</v>
      </c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2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</row>
    <row r="2" ht="15.75" customHeight="1">
      <c r="A2" s="6"/>
      <c r="B2" s="6"/>
      <c r="C2" s="13" t="s">
        <v>18</v>
      </c>
      <c r="D2" s="14" t="s">
        <v>21</v>
      </c>
      <c r="E2" s="15" t="s">
        <v>22</v>
      </c>
      <c r="F2" s="15" t="s">
        <v>24</v>
      </c>
      <c r="G2" s="17" t="s">
        <v>25</v>
      </c>
      <c r="H2" s="17" t="s">
        <v>27</v>
      </c>
      <c r="I2" s="17" t="s">
        <v>28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26"/>
      <c r="AT2" s="14" t="s">
        <v>34</v>
      </c>
      <c r="AU2" s="15" t="s">
        <v>35</v>
      </c>
      <c r="AV2" s="15" t="s">
        <v>36</v>
      </c>
      <c r="AW2" s="15" t="s">
        <v>37</v>
      </c>
      <c r="AX2" s="15" t="s">
        <v>38</v>
      </c>
      <c r="AY2" s="15" t="s">
        <v>39</v>
      </c>
      <c r="AZ2" s="15" t="s">
        <v>40</v>
      </c>
      <c r="BA2" s="15" t="s">
        <v>41</v>
      </c>
      <c r="BB2" s="15" t="s">
        <v>42</v>
      </c>
      <c r="BC2" s="15" t="s">
        <v>44</v>
      </c>
      <c r="BD2" s="15" t="s">
        <v>46</v>
      </c>
      <c r="BE2" s="17" t="s">
        <v>49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29"/>
      <c r="BR2" s="29"/>
    </row>
    <row r="3" ht="15.75" customHeight="1">
      <c r="A3" s="6"/>
      <c r="B3" s="6"/>
      <c r="C3" s="31" t="s">
        <v>51</v>
      </c>
      <c r="D3" s="33">
        <v>12.0</v>
      </c>
      <c r="E3" s="34">
        <v>18.0</v>
      </c>
      <c r="F3" s="34"/>
      <c r="G3" s="35"/>
      <c r="H3" s="35"/>
      <c r="I3" s="3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38" t="s">
        <v>21</v>
      </c>
      <c r="AT3" s="39">
        <v>0.0</v>
      </c>
      <c r="AU3" s="39">
        <v>0.0</v>
      </c>
      <c r="AV3" s="39">
        <v>0.0</v>
      </c>
      <c r="AW3" s="39">
        <v>0.0</v>
      </c>
      <c r="AX3" s="39">
        <v>0.0</v>
      </c>
      <c r="AY3" s="39">
        <v>0.0</v>
      </c>
      <c r="AZ3" s="39">
        <v>0.0</v>
      </c>
      <c r="BA3" s="39">
        <v>0.0</v>
      </c>
      <c r="BB3" s="39">
        <v>0.0</v>
      </c>
      <c r="BC3" s="39">
        <v>0.0</v>
      </c>
      <c r="BD3" s="39">
        <v>0.0</v>
      </c>
      <c r="BE3" s="39">
        <v>0.0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29"/>
      <c r="BR3" s="29"/>
    </row>
    <row r="4" ht="15.75" customHeight="1">
      <c r="A4" s="6"/>
      <c r="B4" s="6"/>
      <c r="C4" s="46" t="s">
        <v>58</v>
      </c>
      <c r="D4" s="48">
        <v>20.0</v>
      </c>
      <c r="E4" s="50">
        <v>20.0</v>
      </c>
      <c r="F4" s="50"/>
      <c r="G4" s="53"/>
      <c r="H4" s="53"/>
      <c r="I4" s="53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56" t="s">
        <v>22</v>
      </c>
      <c r="AT4" s="39">
        <v>0.0</v>
      </c>
      <c r="AU4" s="39">
        <v>0.0</v>
      </c>
      <c r="AV4" s="39">
        <v>0.0</v>
      </c>
      <c r="AW4" s="39">
        <v>0.0</v>
      </c>
      <c r="AX4" s="39">
        <v>0.0</v>
      </c>
      <c r="AY4" s="39">
        <v>0.0</v>
      </c>
      <c r="AZ4" s="39">
        <v>0.0</v>
      </c>
      <c r="BA4" s="39">
        <v>0.0</v>
      </c>
      <c r="BB4" s="39">
        <v>0.0</v>
      </c>
      <c r="BC4" s="39">
        <v>0.0</v>
      </c>
      <c r="BD4" s="39">
        <v>0.0</v>
      </c>
      <c r="BE4" s="39">
        <v>0.0</v>
      </c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29"/>
      <c r="BR4" s="29"/>
    </row>
    <row r="5" ht="15.75" customHeight="1">
      <c r="A5" s="6"/>
      <c r="B5" s="6"/>
      <c r="C5" s="60" t="s">
        <v>67</v>
      </c>
      <c r="D5" s="62">
        <v>10.0</v>
      </c>
      <c r="E5" s="65">
        <v>20.0</v>
      </c>
      <c r="F5" s="65"/>
      <c r="G5" s="67"/>
      <c r="H5" s="67"/>
      <c r="I5" s="6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56" t="s">
        <v>24</v>
      </c>
      <c r="AT5" s="39">
        <v>0.0</v>
      </c>
      <c r="AU5" s="39">
        <v>0.0</v>
      </c>
      <c r="AV5" s="39">
        <v>0.0</v>
      </c>
      <c r="AW5" s="39">
        <v>0.0</v>
      </c>
      <c r="AX5" s="39">
        <v>0.0</v>
      </c>
      <c r="AY5" s="39">
        <v>0.0</v>
      </c>
      <c r="AZ5" s="39">
        <v>0.0</v>
      </c>
      <c r="BA5" s="39">
        <v>0.0</v>
      </c>
      <c r="BB5" s="39">
        <v>0.0</v>
      </c>
      <c r="BC5" s="39">
        <v>0.0</v>
      </c>
      <c r="BD5" s="39">
        <v>0.0</v>
      </c>
      <c r="BE5" s="39">
        <v>0.0</v>
      </c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29"/>
      <c r="BR5" s="29"/>
    </row>
    <row r="6" ht="15.75" customHeight="1">
      <c r="A6" s="6"/>
      <c r="B6" s="6"/>
      <c r="C6" s="60" t="s">
        <v>69</v>
      </c>
      <c r="D6" s="62"/>
      <c r="E6" s="65"/>
      <c r="F6" s="65"/>
      <c r="G6" s="67"/>
      <c r="H6" s="67"/>
      <c r="I6" s="6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56" t="s">
        <v>25</v>
      </c>
      <c r="AT6" s="39">
        <v>0.0</v>
      </c>
      <c r="AU6" s="39">
        <v>0.0</v>
      </c>
      <c r="AV6" s="39">
        <v>0.0</v>
      </c>
      <c r="AW6" s="39">
        <v>0.0</v>
      </c>
      <c r="AX6" s="39">
        <v>0.0</v>
      </c>
      <c r="AY6" s="39">
        <v>0.0</v>
      </c>
      <c r="AZ6" s="39">
        <v>0.0</v>
      </c>
      <c r="BA6" s="39">
        <v>0.0</v>
      </c>
      <c r="BB6" s="39">
        <v>0.0</v>
      </c>
      <c r="BC6" s="39">
        <v>0.0</v>
      </c>
      <c r="BD6" s="39">
        <v>0.0</v>
      </c>
      <c r="BE6" s="39">
        <v>0.0</v>
      </c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29"/>
      <c r="BR6" s="29"/>
    </row>
    <row r="7" ht="15.75" customHeight="1">
      <c r="A7" s="6"/>
      <c r="B7" s="6"/>
      <c r="C7" s="13" t="s">
        <v>71</v>
      </c>
      <c r="D7" s="14">
        <f t="shared" ref="D7:I7" si="1">SUM(D3:D6)</f>
        <v>42</v>
      </c>
      <c r="E7" s="77">
        <f t="shared" si="1"/>
        <v>58</v>
      </c>
      <c r="F7" s="77">
        <f t="shared" si="1"/>
        <v>0</v>
      </c>
      <c r="G7" s="79">
        <f t="shared" si="1"/>
        <v>0</v>
      </c>
      <c r="H7" s="79">
        <f t="shared" si="1"/>
        <v>0</v>
      </c>
      <c r="I7" s="79">
        <f t="shared" si="1"/>
        <v>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82" t="s">
        <v>27</v>
      </c>
      <c r="AT7" s="39">
        <v>0.0</v>
      </c>
      <c r="AU7" s="39">
        <v>0.0</v>
      </c>
      <c r="AV7" s="39">
        <v>0.0</v>
      </c>
      <c r="AW7" s="39">
        <v>0.0</v>
      </c>
      <c r="AX7" s="39">
        <v>0.0</v>
      </c>
      <c r="AY7" s="39">
        <v>0.0</v>
      </c>
      <c r="AZ7" s="39">
        <v>0.0</v>
      </c>
      <c r="BA7" s="39">
        <v>0.0</v>
      </c>
      <c r="BB7" s="39">
        <v>0.0</v>
      </c>
      <c r="BC7" s="39">
        <v>0.0</v>
      </c>
      <c r="BD7" s="39">
        <v>0.0</v>
      </c>
      <c r="BE7" s="39">
        <v>0.0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29"/>
      <c r="BR7" s="29"/>
    </row>
    <row r="8" ht="15.75" customHeight="1">
      <c r="A8" s="6"/>
      <c r="B8" s="6"/>
      <c r="C8" s="29"/>
      <c r="D8" s="29"/>
      <c r="E8" s="29"/>
      <c r="F8" s="29"/>
      <c r="G8" s="29"/>
      <c r="H8" s="29"/>
      <c r="I8" s="29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85"/>
      <c r="AT8" s="39">
        <v>0.0</v>
      </c>
      <c r="AU8" s="39">
        <v>0.0</v>
      </c>
      <c r="AV8" s="39">
        <v>0.0</v>
      </c>
      <c r="AW8" s="39">
        <v>0.0</v>
      </c>
      <c r="AX8" s="39">
        <v>0.0</v>
      </c>
      <c r="AY8" s="39">
        <v>0.0</v>
      </c>
      <c r="AZ8" s="39">
        <v>0.0</v>
      </c>
      <c r="BA8" s="39">
        <v>0.0</v>
      </c>
      <c r="BB8" s="39">
        <v>0.0</v>
      </c>
      <c r="BC8" s="39">
        <v>0.0</v>
      </c>
      <c r="BD8" s="39">
        <v>0.0</v>
      </c>
      <c r="BE8" s="39">
        <v>0.0</v>
      </c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29"/>
      <c r="BR8" s="29"/>
    </row>
    <row r="9" ht="15.75" customHeight="1">
      <c r="A9" s="6"/>
      <c r="B9" s="6"/>
      <c r="C9" s="6"/>
      <c r="D9" s="89"/>
      <c r="E9" s="89"/>
      <c r="F9" s="89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26" t="s">
        <v>71</v>
      </c>
      <c r="AT9" s="14">
        <f t="shared" ref="AT9:BE9" si="2">SUM(AT3:AT8)</f>
        <v>0</v>
      </c>
      <c r="AU9" s="15">
        <f t="shared" si="2"/>
        <v>0</v>
      </c>
      <c r="AV9" s="15">
        <f t="shared" si="2"/>
        <v>0</v>
      </c>
      <c r="AW9" s="15">
        <f t="shared" si="2"/>
        <v>0</v>
      </c>
      <c r="AX9" s="15">
        <f t="shared" si="2"/>
        <v>0</v>
      </c>
      <c r="AY9" s="15">
        <f t="shared" si="2"/>
        <v>0</v>
      </c>
      <c r="AZ9" s="15">
        <f t="shared" si="2"/>
        <v>0</v>
      </c>
      <c r="BA9" s="15">
        <f t="shared" si="2"/>
        <v>0</v>
      </c>
      <c r="BB9" s="15">
        <f t="shared" si="2"/>
        <v>0</v>
      </c>
      <c r="BC9" s="15">
        <f t="shared" si="2"/>
        <v>0</v>
      </c>
      <c r="BD9" s="15">
        <f t="shared" si="2"/>
        <v>0</v>
      </c>
      <c r="BE9" s="17">
        <f t="shared" si="2"/>
        <v>0</v>
      </c>
      <c r="BF9" s="29"/>
      <c r="BG9" s="29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</row>
    <row r="10" ht="15.75" customHeight="1">
      <c r="A10" s="6"/>
      <c r="B10" s="6"/>
      <c r="C10" s="6"/>
      <c r="D10" s="89"/>
      <c r="E10" s="89"/>
      <c r="F10" s="89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</row>
    <row r="11" ht="15.75" customHeight="1">
      <c r="A11" s="96" t="str">
        <f>CONCATENATE("Course Outcome (CO) Attainment Analysis of ",GradeSheet!$E$2, " [",GradeSheet!$E$3, "] ", "(Section ",GradeSheet!$H$2, ") ", "[Semester - ",GradeSheet!$H$3,"]" )</f>
        <v>Course Outcome (CO) Attainment Analysis of CSE 4460 [Big Data Analytics Lab] (Section 2) [Semester - Spring 2026]</v>
      </c>
      <c r="B11" s="11"/>
      <c r="C11" s="12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9"/>
      <c r="AB11" s="100" t="s">
        <v>76</v>
      </c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2"/>
      <c r="AT11" s="89"/>
      <c r="AU11" s="103" t="s">
        <v>77</v>
      </c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2"/>
    </row>
    <row r="12" ht="15.75" customHeight="1">
      <c r="A12" s="104"/>
      <c r="C12" s="105"/>
      <c r="D12" s="106" t="str">
        <f>C3</f>
        <v>Continuous Lab Performance</v>
      </c>
      <c r="E12" s="107"/>
      <c r="F12" s="107"/>
      <c r="G12" s="107"/>
      <c r="H12" s="107"/>
      <c r="I12" s="108"/>
      <c r="J12" s="109" t="str">
        <f>C4</f>
        <v>Open Ended Lab</v>
      </c>
      <c r="K12" s="107"/>
      <c r="L12" s="107"/>
      <c r="M12" s="107"/>
      <c r="N12" s="107"/>
      <c r="O12" s="108"/>
      <c r="P12" s="109" t="str">
        <f>C5</f>
        <v>Lab Final</v>
      </c>
      <c r="Q12" s="107"/>
      <c r="R12" s="107"/>
      <c r="S12" s="107"/>
      <c r="T12" s="107"/>
      <c r="U12" s="108"/>
      <c r="V12" s="109" t="str">
        <f>C6</f>
        <v>Presentation</v>
      </c>
      <c r="W12" s="107"/>
      <c r="X12" s="107"/>
      <c r="Y12" s="107"/>
      <c r="Z12" s="107"/>
      <c r="AA12" s="108"/>
      <c r="AB12" s="110" t="s">
        <v>80</v>
      </c>
      <c r="AC12" s="11"/>
      <c r="AD12" s="11"/>
      <c r="AE12" s="11"/>
      <c r="AF12" s="11"/>
      <c r="AG12" s="12"/>
      <c r="AH12" s="111" t="s">
        <v>81</v>
      </c>
      <c r="AI12" s="101"/>
      <c r="AJ12" s="101"/>
      <c r="AK12" s="101"/>
      <c r="AL12" s="101"/>
      <c r="AM12" s="102"/>
      <c r="AN12" s="111" t="s">
        <v>82</v>
      </c>
      <c r="AO12" s="101"/>
      <c r="AP12" s="101"/>
      <c r="AQ12" s="101"/>
      <c r="AR12" s="101"/>
      <c r="AS12" s="102"/>
      <c r="AT12" s="89"/>
      <c r="AU12" s="10" t="s">
        <v>81</v>
      </c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2"/>
      <c r="BG12" s="10" t="s">
        <v>84</v>
      </c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2"/>
    </row>
    <row r="13" ht="15.75" customHeight="1">
      <c r="A13" s="112"/>
      <c r="B13" s="107"/>
      <c r="C13" s="108"/>
      <c r="D13" s="114" t="s">
        <v>21</v>
      </c>
      <c r="E13" s="115" t="s">
        <v>22</v>
      </c>
      <c r="F13" s="115" t="s">
        <v>24</v>
      </c>
      <c r="G13" s="116" t="s">
        <v>25</v>
      </c>
      <c r="H13" s="116" t="s">
        <v>27</v>
      </c>
      <c r="I13" s="117" t="s">
        <v>28</v>
      </c>
      <c r="J13" s="119" t="s">
        <v>21</v>
      </c>
      <c r="K13" s="120" t="s">
        <v>22</v>
      </c>
      <c r="L13" s="120" t="s">
        <v>24</v>
      </c>
      <c r="M13" s="121" t="s">
        <v>25</v>
      </c>
      <c r="N13" s="121" t="s">
        <v>27</v>
      </c>
      <c r="O13" s="122" t="s">
        <v>28</v>
      </c>
      <c r="P13" s="123" t="s">
        <v>21</v>
      </c>
      <c r="Q13" s="124" t="s">
        <v>22</v>
      </c>
      <c r="R13" s="124" t="s">
        <v>24</v>
      </c>
      <c r="S13" s="124" t="s">
        <v>25</v>
      </c>
      <c r="T13" s="124" t="s">
        <v>27</v>
      </c>
      <c r="U13" s="125" t="s">
        <v>28</v>
      </c>
      <c r="V13" s="123" t="s">
        <v>21</v>
      </c>
      <c r="W13" s="124" t="s">
        <v>22</v>
      </c>
      <c r="X13" s="124" t="s">
        <v>24</v>
      </c>
      <c r="Y13" s="124" t="s">
        <v>25</v>
      </c>
      <c r="Z13" s="124" t="s">
        <v>27</v>
      </c>
      <c r="AA13" s="125" t="s">
        <v>28</v>
      </c>
      <c r="AB13" s="14" t="s">
        <v>21</v>
      </c>
      <c r="AC13" s="14" t="s">
        <v>22</v>
      </c>
      <c r="AD13" s="14" t="s">
        <v>24</v>
      </c>
      <c r="AE13" s="14" t="s">
        <v>25</v>
      </c>
      <c r="AF13" s="14" t="s">
        <v>27</v>
      </c>
      <c r="AG13" s="14" t="s">
        <v>28</v>
      </c>
      <c r="AH13" s="128" t="s">
        <v>21</v>
      </c>
      <c r="AI13" s="130" t="s">
        <v>22</v>
      </c>
      <c r="AJ13" s="130" t="s">
        <v>24</v>
      </c>
      <c r="AK13" s="131" t="s">
        <v>25</v>
      </c>
      <c r="AL13" s="133" t="s">
        <v>27</v>
      </c>
      <c r="AM13" s="131" t="s">
        <v>28</v>
      </c>
      <c r="AN13" s="128" t="s">
        <v>21</v>
      </c>
      <c r="AO13" s="130" t="s">
        <v>22</v>
      </c>
      <c r="AP13" s="130" t="s">
        <v>24</v>
      </c>
      <c r="AQ13" s="133" t="s">
        <v>25</v>
      </c>
      <c r="AR13" s="133" t="s">
        <v>27</v>
      </c>
      <c r="AS13" s="131" t="s">
        <v>28</v>
      </c>
      <c r="AT13" s="135"/>
      <c r="AU13" s="128" t="s">
        <v>34</v>
      </c>
      <c r="AV13" s="130" t="s">
        <v>35</v>
      </c>
      <c r="AW13" s="130" t="s">
        <v>36</v>
      </c>
      <c r="AX13" s="130" t="s">
        <v>37</v>
      </c>
      <c r="AY13" s="130" t="s">
        <v>38</v>
      </c>
      <c r="AZ13" s="130" t="s">
        <v>39</v>
      </c>
      <c r="BA13" s="130" t="s">
        <v>40</v>
      </c>
      <c r="BB13" s="130" t="s">
        <v>41</v>
      </c>
      <c r="BC13" s="130" t="s">
        <v>42</v>
      </c>
      <c r="BD13" s="130" t="s">
        <v>44</v>
      </c>
      <c r="BE13" s="130" t="s">
        <v>46</v>
      </c>
      <c r="BF13" s="131" t="s">
        <v>49</v>
      </c>
      <c r="BG13" s="14" t="s">
        <v>34</v>
      </c>
      <c r="BH13" s="15" t="s">
        <v>35</v>
      </c>
      <c r="BI13" s="15" t="s">
        <v>36</v>
      </c>
      <c r="BJ13" s="15" t="s">
        <v>37</v>
      </c>
      <c r="BK13" s="15" t="s">
        <v>38</v>
      </c>
      <c r="BL13" s="15" t="s">
        <v>39</v>
      </c>
      <c r="BM13" s="15" t="s">
        <v>40</v>
      </c>
      <c r="BN13" s="15" t="s">
        <v>41</v>
      </c>
      <c r="BO13" s="15" t="s">
        <v>42</v>
      </c>
      <c r="BP13" s="15" t="s">
        <v>44</v>
      </c>
      <c r="BQ13" s="15" t="s">
        <v>46</v>
      </c>
      <c r="BR13" s="17" t="s">
        <v>49</v>
      </c>
    </row>
    <row r="14" ht="15.75" customHeight="1">
      <c r="A14" s="140" t="s">
        <v>98</v>
      </c>
      <c r="B14" s="141" t="s">
        <v>62</v>
      </c>
      <c r="C14" s="142" t="s">
        <v>63</v>
      </c>
      <c r="D14" s="143">
        <f t="shared" ref="D14:I14" si="3">D3</f>
        <v>12</v>
      </c>
      <c r="E14" s="144">
        <f t="shared" si="3"/>
        <v>18</v>
      </c>
      <c r="F14" s="144" t="str">
        <f t="shared" si="3"/>
        <v/>
      </c>
      <c r="G14" s="144" t="str">
        <f t="shared" si="3"/>
        <v/>
      </c>
      <c r="H14" s="144" t="str">
        <f t="shared" si="3"/>
        <v/>
      </c>
      <c r="I14" s="144" t="str">
        <f t="shared" si="3"/>
        <v/>
      </c>
      <c r="J14" s="144">
        <f t="shared" ref="J14:O14" si="4">D4</f>
        <v>20</v>
      </c>
      <c r="K14" s="144">
        <f t="shared" si="4"/>
        <v>20</v>
      </c>
      <c r="L14" s="144" t="str">
        <f t="shared" si="4"/>
        <v/>
      </c>
      <c r="M14" s="144" t="str">
        <f t="shared" si="4"/>
        <v/>
      </c>
      <c r="N14" s="144" t="str">
        <f t="shared" si="4"/>
        <v/>
      </c>
      <c r="O14" s="144" t="str">
        <f t="shared" si="4"/>
        <v/>
      </c>
      <c r="P14" s="146">
        <f t="shared" ref="P14:U14" si="5">D5</f>
        <v>10</v>
      </c>
      <c r="Q14" s="146">
        <f t="shared" si="5"/>
        <v>20</v>
      </c>
      <c r="R14" s="146" t="str">
        <f t="shared" si="5"/>
        <v/>
      </c>
      <c r="S14" s="146" t="str">
        <f t="shared" si="5"/>
        <v/>
      </c>
      <c r="T14" s="147" t="str">
        <f t="shared" si="5"/>
        <v/>
      </c>
      <c r="U14" s="147" t="str">
        <f t="shared" si="5"/>
        <v/>
      </c>
      <c r="V14" s="147" t="str">
        <f t="shared" ref="V14:AA14" si="6">D6</f>
        <v/>
      </c>
      <c r="W14" s="147" t="str">
        <f t="shared" si="6"/>
        <v/>
      </c>
      <c r="X14" s="147" t="str">
        <f t="shared" si="6"/>
        <v/>
      </c>
      <c r="Y14" s="147" t="str">
        <f t="shared" si="6"/>
        <v/>
      </c>
      <c r="Z14" s="147" t="str">
        <f t="shared" si="6"/>
        <v/>
      </c>
      <c r="AA14" s="147" t="str">
        <f t="shared" si="6"/>
        <v/>
      </c>
      <c r="AB14" s="149">
        <f t="shared" ref="AB14:AB50" si="8">SUM(P14,D14,J14)</f>
        <v>42</v>
      </c>
      <c r="AC14" s="144">
        <f t="shared" ref="AC14:AG14" si="7">SUM(K14,E14,Q14)</f>
        <v>58</v>
      </c>
      <c r="AD14" s="144">
        <f t="shared" si="7"/>
        <v>0</v>
      </c>
      <c r="AE14" s="144">
        <f t="shared" si="7"/>
        <v>0</v>
      </c>
      <c r="AF14" s="144">
        <f t="shared" si="7"/>
        <v>0</v>
      </c>
      <c r="AG14" s="144">
        <f t="shared" si="7"/>
        <v>0</v>
      </c>
      <c r="AH14" s="151">
        <v>1.0</v>
      </c>
      <c r="AI14" s="152">
        <v>1.0</v>
      </c>
      <c r="AJ14" s="152">
        <v>1.0</v>
      </c>
      <c r="AK14" s="153">
        <v>1.0</v>
      </c>
      <c r="AL14" s="155">
        <v>1.0</v>
      </c>
      <c r="AM14" s="153">
        <v>1.0</v>
      </c>
      <c r="AN14" s="157" t="s">
        <v>120</v>
      </c>
      <c r="AO14" s="101"/>
      <c r="AP14" s="101"/>
      <c r="AQ14" s="101"/>
      <c r="AR14" s="101"/>
      <c r="AS14" s="102"/>
      <c r="AT14" s="135"/>
      <c r="AU14" s="158">
        <v>1.0</v>
      </c>
      <c r="AV14" s="159">
        <v>1.0</v>
      </c>
      <c r="AW14" s="159">
        <v>1.0</v>
      </c>
      <c r="AX14" s="159">
        <v>1.0</v>
      </c>
      <c r="AY14" s="159">
        <v>1.0</v>
      </c>
      <c r="AZ14" s="159">
        <v>1.0</v>
      </c>
      <c r="BA14" s="159">
        <v>1.0</v>
      </c>
      <c r="BB14" s="159">
        <v>1.0</v>
      </c>
      <c r="BC14" s="159">
        <v>1.0</v>
      </c>
      <c r="BD14" s="159">
        <v>1.0</v>
      </c>
      <c r="BE14" s="159">
        <v>1.0</v>
      </c>
      <c r="BF14" s="160">
        <v>1.0</v>
      </c>
      <c r="BG14" s="161" t="s">
        <v>121</v>
      </c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4"/>
    </row>
    <row r="15" ht="15.75" customHeight="1">
      <c r="A15" s="165">
        <v>1.0</v>
      </c>
      <c r="B15" s="69">
        <v>2.01014102E8</v>
      </c>
      <c r="C15" s="71" t="s">
        <v>73</v>
      </c>
      <c r="D15" s="166">
        <f>ROUNDUP((GradeSheet!D10/30)*12,0)
</f>
        <v>8</v>
      </c>
      <c r="E15" s="168">
        <f>GradeSheet!D10-D15</f>
        <v>11</v>
      </c>
      <c r="F15" s="169"/>
      <c r="G15" s="170"/>
      <c r="H15" s="170"/>
      <c r="I15" s="170"/>
      <c r="J15" s="168">
        <f>INT(GradeSheet!E10/2)</f>
        <v>16</v>
      </c>
      <c r="K15" s="168">
        <f>GradeSheet!E10-J15</f>
        <v>16</v>
      </c>
      <c r="L15" s="168"/>
      <c r="M15" s="170"/>
      <c r="N15" s="170"/>
      <c r="O15" s="170"/>
      <c r="P15" s="171">
        <f>ROUNDUP((RawMarks!M2/30)*10,0)</f>
        <v>9</v>
      </c>
      <c r="Q15" s="172">
        <f>GradeSheet!F10-P15</f>
        <v>16</v>
      </c>
      <c r="R15" s="172"/>
      <c r="S15" s="172"/>
      <c r="T15" s="174"/>
      <c r="U15" s="175"/>
      <c r="V15" s="176"/>
      <c r="W15" s="174"/>
      <c r="X15" s="174"/>
      <c r="Y15" s="174"/>
      <c r="Z15" s="174"/>
      <c r="AA15" s="175"/>
      <c r="AB15" s="177">
        <f t="shared" si="8"/>
        <v>33</v>
      </c>
      <c r="AC15" s="178">
        <f t="shared" ref="AC15:AC50" si="11">SUM(W15,E15,K15,Q15)</f>
        <v>43</v>
      </c>
      <c r="AD15" s="178">
        <f t="shared" ref="AD15:AE15" si="9">SUM(X15,F15,L15)</f>
        <v>0</v>
      </c>
      <c r="AE15" s="178">
        <f t="shared" si="9"/>
        <v>0</v>
      </c>
      <c r="AF15" s="178">
        <f t="shared" ref="AF15:AF56" si="13">SUM(T15,H15,N15)</f>
        <v>0</v>
      </c>
      <c r="AG15" s="178">
        <f t="shared" ref="AG15:AG56" si="14">SUM(AA15,I15,O15)</f>
        <v>0</v>
      </c>
      <c r="AH15" s="179">
        <f t="shared" ref="AH15:AM15" si="10">IF(AB15 = 0, 0, AB15/AB$14)</f>
        <v>0.7857142857</v>
      </c>
      <c r="AI15" s="179">
        <f t="shared" si="10"/>
        <v>0.7413793103</v>
      </c>
      <c r="AJ15" s="179">
        <f t="shared" si="10"/>
        <v>0</v>
      </c>
      <c r="AK15" s="179">
        <f t="shared" si="10"/>
        <v>0</v>
      </c>
      <c r="AL15" s="179">
        <f t="shared" si="10"/>
        <v>0</v>
      </c>
      <c r="AM15" s="179">
        <f t="shared" si="10"/>
        <v>0</v>
      </c>
      <c r="AN15" s="181">
        <f>IF(OR(GradeSheet!$I10="W (Withdrawn)", GradeSheet!$I10="I (Incomplete)"), 0, IF(AH15&gt;=55%, 1, 0))</f>
        <v>1</v>
      </c>
      <c r="AO15" s="181">
        <f>IF(OR(GradeSheet!$I10="W (Withdrawn)", GradeSheet!$I10="I (Incomplete)"), 0, IF(AI15&gt;=55%, 1, 0))</f>
        <v>1</v>
      </c>
      <c r="AP15" s="181">
        <f>IF(OR(GradeSheet!$I10="W (Withdrawn)", GradeSheet!$I10="I (Incomplete)"), 0, IF(AJ15&gt;=55%, 1, 0))</f>
        <v>0</v>
      </c>
      <c r="AQ15" s="181">
        <f>IF(OR(GradeSheet!$I10="W (Withdrawn)", GradeSheet!$I10="I (Incomplete)"), 0, IF(AK15&gt;=55%, 1, 0))</f>
        <v>0</v>
      </c>
      <c r="AR15" s="181">
        <f>IF(OR(GradeSheet!$I10="W (Withdrawn)", GradeSheet!$I10="I (Incomplete)"), 0, IF(AL15&gt;=55%, 1, 0))</f>
        <v>0</v>
      </c>
      <c r="AS15" s="181">
        <f>IF(OR(GradeSheet!$I10="W (Withdrawn)", GradeSheet!$I10="I (Incomplete)"), 0, IF(AM15&gt;=55%, 1, 0))</f>
        <v>0</v>
      </c>
      <c r="AT15" s="135"/>
      <c r="AU15" s="185">
        <f t="shared" ref="AU15:AU55" si="16">IF($AT$9=0,0,MMULT($AH15:$AM15, AT$3:AT$8)/$AT$9)</f>
        <v>0</v>
      </c>
      <c r="AV15" s="185">
        <f t="shared" ref="AV15:AV55" si="17">IF($AU$9=0,0,MMULT($AH15:$AM15, AU$3:AU$8)/$AU$9)</f>
        <v>0</v>
      </c>
      <c r="AW15" s="185">
        <f t="array" ref="AW15">IF($AV$9=0,0,MMULT($AH15:$AM15, AV$3:AV$8)/$AV$9)</f>
        <v>0</v>
      </c>
      <c r="AX15" s="185">
        <f t="array" ref="AX15">IF($AW$9=0,0,MMULT($AH15:$AM15, AW$3:AW$8)/$AW$9)</f>
        <v>0</v>
      </c>
      <c r="AY15" s="185">
        <f t="shared" ref="AY15:AY55" si="18">IF($AX$9=0,0,MMULT($AH15:$AM15, AX$3:AX$8)/$AX$9)</f>
        <v>0</v>
      </c>
      <c r="AZ15" s="185">
        <f t="array" ref="AZ15">IF($AY$9=0,0,MMULT($AH15:$AM15, AY$3:AY$8)/$AY$9)</f>
        <v>0</v>
      </c>
      <c r="BA15" s="185">
        <f t="array" ref="BA15">IF($AZ$9=0,0,MMULT($AH15:$AM15, AZ$3:AZ$8)/$AZ$9)</f>
        <v>0</v>
      </c>
      <c r="BB15" s="185">
        <f t="array" ref="BB15">IF($BA$9=0,0,MMULT($AH15:$AM15, BA$3:BA$8)/$BA$9)</f>
        <v>0</v>
      </c>
      <c r="BC15" s="185">
        <f t="array" ref="BC15">IF($BB$9=0,0,MMULT($AH15:$AM15, BB$3:BB$8)/$BB$9)</f>
        <v>0</v>
      </c>
      <c r="BD15" s="185">
        <f t="array" ref="BD15">IF($BC$9=0,0,MMULT($AH15:$AM15, BC$3:BC$8)/$BC$9)</f>
        <v>0</v>
      </c>
      <c r="BE15" s="185">
        <f t="shared" ref="BE15:BE55" si="19">IF($BD$9=0,0,MMULT($AH15:$AM15, BD$3:BD$8)/$BD$9)</f>
        <v>0</v>
      </c>
      <c r="BF15" s="185">
        <f t="shared" ref="BF15:BF55" si="20">IF($BE$9=0,0,MMULT($AH15:$AM15, BE$3:BE$8)/$BE$9)</f>
        <v>0</v>
      </c>
      <c r="BG15" s="181">
        <f>IF(OR(GradeSheet!$I10="W (Withdrawn)", GradeSheet!$I10="I (Incomplete)"), 0, IF(AU15&gt;=65%, 1, 0))</f>
        <v>0</v>
      </c>
      <c r="BH15" s="181">
        <f>IF(OR(GradeSheet!$I10="W (Withdrawn)", GradeSheet!$I10="I (Incomplete)"), 0, IF(AV15&gt;=65%, 1, 0))</f>
        <v>0</v>
      </c>
      <c r="BI15" s="181">
        <f>IF(OR(GradeSheet!$I10="W (Withdrawn)", GradeSheet!$I10="I (Incomplete)"), 0, IF(AW15&gt;=65%, 1, 0))</f>
        <v>0</v>
      </c>
      <c r="BJ15" s="181">
        <f>IF(OR(GradeSheet!$I10="W (Withdrawn)", GradeSheet!$I10="I (Incomplete)"), 0, IF(AX15&gt;=65%, 1, 0))</f>
        <v>0</v>
      </c>
      <c r="BK15" s="181">
        <f>IF(OR(GradeSheet!$I10="W (Withdrawn)", GradeSheet!$I10="I (Incomplete)"), 0, IF(AY15&gt;=65%, 1, 0))</f>
        <v>0</v>
      </c>
      <c r="BL15" s="181">
        <f>IF(OR(GradeSheet!$I10="W (Withdrawn)", GradeSheet!$I10="I (Incomplete)"), 0, IF(AZ15&gt;=65%, 1, 0))</f>
        <v>0</v>
      </c>
      <c r="BM15" s="181">
        <f>IF(OR(GradeSheet!$I10="W (Withdrawn)", GradeSheet!$I10="I (Incomplete)"), 0, IF(BA15&gt;=65%, 1, 0))</f>
        <v>0</v>
      </c>
      <c r="BN15" s="181">
        <f>IF(OR(GradeSheet!$I10="W (Withdrawn)", GradeSheet!$I10="I (Incomplete)"), 0, IF(BB15&gt;=65%, 1, 0))</f>
        <v>0</v>
      </c>
      <c r="BO15" s="181">
        <f>IF(OR(GradeSheet!$I10="W (Withdrawn)", GradeSheet!$I10="I (Incomplete)"), 0, IF(BC15&gt;=65%, 1, 0))</f>
        <v>0</v>
      </c>
      <c r="BP15" s="181">
        <f>IF(OR(GradeSheet!$I10="W (Withdrawn)", GradeSheet!$I10="I (Incomplete)"), 0, IF(BD15&gt;=65%, 1, 0))</f>
        <v>0</v>
      </c>
      <c r="BQ15" s="181">
        <f>IF(OR(GradeSheet!$I10="W (Withdrawn)", GradeSheet!$I10="I (Incomplete)"), 0, IF(BE15&gt;=65%, 1, 0))</f>
        <v>0</v>
      </c>
      <c r="BR15" s="181">
        <f>IF(OR(GradeSheet!$I10="W (Withdrawn)", GradeSheet!$I10="I (Incomplete)"), 0, IF(BF15&gt;=65%, 1, 0))</f>
        <v>0</v>
      </c>
    </row>
    <row r="16" ht="15.75" customHeight="1">
      <c r="A16" s="201">
        <v>2.0</v>
      </c>
      <c r="B16" s="69">
        <v>2.13014022E8</v>
      </c>
      <c r="C16" s="71" t="s">
        <v>74</v>
      </c>
      <c r="D16" s="166">
        <f>ROUNDUP((GradeSheet!D11/30)*12,0)
</f>
        <v>9</v>
      </c>
      <c r="E16" s="168">
        <f>GradeSheet!D11-D16</f>
        <v>13</v>
      </c>
      <c r="F16" s="204"/>
      <c r="G16" s="170"/>
      <c r="H16" s="170"/>
      <c r="I16" s="170"/>
      <c r="J16" s="168">
        <f>INT(GradeSheet!E11/2)</f>
        <v>12</v>
      </c>
      <c r="K16" s="168">
        <f>GradeSheet!E11-J16</f>
        <v>13</v>
      </c>
      <c r="L16" s="168"/>
      <c r="M16" s="170"/>
      <c r="N16" s="170"/>
      <c r="O16" s="170"/>
      <c r="P16" s="171">
        <f>ROUNDUP((RawMarks!M3/30)*10,0)</f>
        <v>7</v>
      </c>
      <c r="Q16" s="172">
        <f>GradeSheet!F11-P16</f>
        <v>13</v>
      </c>
      <c r="R16" s="172"/>
      <c r="S16" s="172"/>
      <c r="T16" s="174"/>
      <c r="U16" s="175"/>
      <c r="V16" s="176"/>
      <c r="W16" s="174"/>
      <c r="X16" s="174"/>
      <c r="Y16" s="174"/>
      <c r="Z16" s="174"/>
      <c r="AA16" s="175"/>
      <c r="AB16" s="177">
        <f t="shared" si="8"/>
        <v>28</v>
      </c>
      <c r="AC16" s="178">
        <f t="shared" si="11"/>
        <v>39</v>
      </c>
      <c r="AD16" s="178">
        <f t="shared" ref="AD16:AE16" si="12">SUM(X16,F16,L16)</f>
        <v>0</v>
      </c>
      <c r="AE16" s="206">
        <f t="shared" si="12"/>
        <v>0</v>
      </c>
      <c r="AF16" s="178">
        <f t="shared" si="13"/>
        <v>0</v>
      </c>
      <c r="AG16" s="206">
        <f t="shared" si="14"/>
        <v>0</v>
      </c>
      <c r="AH16" s="179">
        <f t="shared" ref="AH16:AM16" si="15">IF(AB16 = 0, 0, AB16/AB$14)</f>
        <v>0.6666666667</v>
      </c>
      <c r="AI16" s="179">
        <f t="shared" si="15"/>
        <v>0.6724137931</v>
      </c>
      <c r="AJ16" s="179">
        <f t="shared" si="15"/>
        <v>0</v>
      </c>
      <c r="AK16" s="179">
        <f t="shared" si="15"/>
        <v>0</v>
      </c>
      <c r="AL16" s="179">
        <f t="shared" si="15"/>
        <v>0</v>
      </c>
      <c r="AM16" s="179">
        <f t="shared" si="15"/>
        <v>0</v>
      </c>
      <c r="AN16" s="181">
        <f>IF(OR(GradeSheet!$I11="W (Withdrawn)", GradeSheet!$I11="I (Incomplete)"), 0, IF(AH16&gt;=55%, 1, 0))</f>
        <v>1</v>
      </c>
      <c r="AO16" s="181">
        <f>IF(OR(GradeSheet!$I11="W (Withdrawn)", GradeSheet!$I11="I (Incomplete)"), 0, IF(AI16&gt;=55%, 1, 0))</f>
        <v>1</v>
      </c>
      <c r="AP16" s="181">
        <f>IF(OR(GradeSheet!$I11="W (Withdrawn)", GradeSheet!$I11="I (Incomplete)"), 0, IF(AJ16&gt;=55%, 1, 0))</f>
        <v>0</v>
      </c>
      <c r="AQ16" s="181">
        <f>IF(OR(GradeSheet!$I11="W (Withdrawn)", GradeSheet!$I11="I (Incomplete)"), 0, IF(AK16&gt;=55%, 1, 0))</f>
        <v>0</v>
      </c>
      <c r="AR16" s="181">
        <f>IF(OR(GradeSheet!$I11="W (Withdrawn)", GradeSheet!$I11="I (Incomplete)"), 0, IF(AL16&gt;=55%, 1, 0))</f>
        <v>0</v>
      </c>
      <c r="AS16" s="181">
        <f>IF(OR(GradeSheet!$I11="W (Withdrawn)", GradeSheet!$I11="I (Incomplete)"), 0, IF(AM16&gt;=55%, 1, 0))</f>
        <v>0</v>
      </c>
      <c r="AT16" s="135"/>
      <c r="AU16" s="185">
        <f t="shared" si="16"/>
        <v>0</v>
      </c>
      <c r="AV16" s="185">
        <f t="shared" si="17"/>
        <v>0</v>
      </c>
      <c r="AW16" s="185">
        <f t="array" ref="AW16">IF($AV$9=0,0,MMULT($AH16:$AM16, AV$3:AV$8)/$AV$9)</f>
        <v>0</v>
      </c>
      <c r="AX16" s="185">
        <f t="array" ref="AX16">IF($AW$9=0,0,MMULT($AH16:$AM16, AW$3:AW$8)/$AW$9)</f>
        <v>0</v>
      </c>
      <c r="AY16" s="185">
        <f t="shared" si="18"/>
        <v>0</v>
      </c>
      <c r="AZ16" s="185">
        <f t="array" ref="AZ16">IF($AY$9=0,0,MMULT($AH16:$AM16, AY$3:AY$8)/$AY$9)</f>
        <v>0</v>
      </c>
      <c r="BA16" s="185">
        <f t="array" ref="BA16">IF($AZ$9=0,0,MMULT($AH16:$AM16, AZ$3:AZ$8)/$AZ$9)</f>
        <v>0</v>
      </c>
      <c r="BB16" s="185">
        <f t="array" ref="BB16">IF($BA$9=0,0,MMULT($AH16:$AM16, BA$3:BA$8)/$BA$9)</f>
        <v>0</v>
      </c>
      <c r="BC16" s="185">
        <f t="array" ref="BC16">IF($BB$9=0,0,MMULT($AH16:$AM16, BB$3:BB$8)/$BB$9)</f>
        <v>0</v>
      </c>
      <c r="BD16" s="185">
        <f t="array" ref="BD16">IF($BC$9=0,0,MMULT($AH16:$AM16, BC$3:BC$8)/$BC$9)</f>
        <v>0</v>
      </c>
      <c r="BE16" s="185">
        <f t="shared" si="19"/>
        <v>0</v>
      </c>
      <c r="BF16" s="185">
        <f t="shared" si="20"/>
        <v>0</v>
      </c>
      <c r="BG16" s="181">
        <f>IF(OR(GradeSheet!$I11="W (Withdrawn)", GradeSheet!$I11="I (Incomplete)"), 0, IF(AU16&gt;=65%, 1, 0))</f>
        <v>0</v>
      </c>
      <c r="BH16" s="181">
        <f>IF(OR(GradeSheet!$I11="W (Withdrawn)", GradeSheet!$I11="I (Incomplete)"), 0, IF(AV16&gt;=65%, 1, 0))</f>
        <v>0</v>
      </c>
      <c r="BI16" s="181">
        <f>IF(OR(GradeSheet!$I11="W (Withdrawn)", GradeSheet!$I11="I (Incomplete)"), 0, IF(AW16&gt;=65%, 1, 0))</f>
        <v>0</v>
      </c>
      <c r="BJ16" s="181">
        <f>IF(OR(GradeSheet!$I11="W (Withdrawn)", GradeSheet!$I11="I (Incomplete)"), 0, IF(AX16&gt;=65%, 1, 0))</f>
        <v>0</v>
      </c>
      <c r="BK16" s="181">
        <f>IF(OR(GradeSheet!$I11="W (Withdrawn)", GradeSheet!$I11="I (Incomplete)"), 0, IF(AY16&gt;=65%, 1, 0))</f>
        <v>0</v>
      </c>
      <c r="BL16" s="181">
        <f>IF(OR(GradeSheet!$I11="W (Withdrawn)", GradeSheet!$I11="I (Incomplete)"), 0, IF(AZ16&gt;=65%, 1, 0))</f>
        <v>0</v>
      </c>
      <c r="BM16" s="181">
        <f>IF(OR(GradeSheet!$I11="W (Withdrawn)", GradeSheet!$I11="I (Incomplete)"), 0, IF(BA16&gt;=65%, 1, 0))</f>
        <v>0</v>
      </c>
      <c r="BN16" s="181">
        <f>IF(OR(GradeSheet!$I11="W (Withdrawn)", GradeSheet!$I11="I (Incomplete)"), 0, IF(BB16&gt;=65%, 1, 0))</f>
        <v>0</v>
      </c>
      <c r="BO16" s="181">
        <f>IF(OR(GradeSheet!$I11="W (Withdrawn)", GradeSheet!$I11="I (Incomplete)"), 0, IF(BC16&gt;=65%, 1, 0))</f>
        <v>0</v>
      </c>
      <c r="BP16" s="181">
        <f>IF(OR(GradeSheet!$I11="W (Withdrawn)", GradeSheet!$I11="I (Incomplete)"), 0, IF(BD16&gt;=65%, 1, 0))</f>
        <v>0</v>
      </c>
      <c r="BQ16" s="181">
        <f>IF(OR(GradeSheet!$I11="W (Withdrawn)", GradeSheet!$I11="I (Incomplete)"), 0, IF(BE16&gt;=65%, 1, 0))</f>
        <v>0</v>
      </c>
      <c r="BR16" s="181">
        <f>IF(OR(GradeSheet!$I11="W (Withdrawn)", GradeSheet!$I11="I (Incomplete)"), 0, IF(BF16&gt;=65%, 1, 0))</f>
        <v>0</v>
      </c>
    </row>
    <row r="17" ht="15.75" customHeight="1">
      <c r="A17" s="165">
        <v>3.0</v>
      </c>
      <c r="B17" s="69">
        <v>2.21014083E8</v>
      </c>
      <c r="C17" s="71" t="s">
        <v>75</v>
      </c>
      <c r="D17" s="166">
        <f>ROUNDUP((GradeSheet!D12/30)*12,0)
</f>
        <v>5</v>
      </c>
      <c r="E17" s="168">
        <f>GradeSheet!D12-D17</f>
        <v>7</v>
      </c>
      <c r="F17" s="251"/>
      <c r="G17" s="170"/>
      <c r="H17" s="170"/>
      <c r="I17" s="170"/>
      <c r="J17" s="168">
        <f>INT(GradeSheet!E12/2)</f>
        <v>0</v>
      </c>
      <c r="K17" s="168">
        <f>GradeSheet!E12-J17</f>
        <v>0</v>
      </c>
      <c r="L17" s="168"/>
      <c r="M17" s="170"/>
      <c r="N17" s="170"/>
      <c r="O17" s="170"/>
      <c r="P17" s="171">
        <f>ROUNDUP((RawMarks!M4/30)*10,0)</f>
        <v>0</v>
      </c>
      <c r="Q17" s="172">
        <f>GradeSheet!F12-P17</f>
        <v>0</v>
      </c>
      <c r="R17" s="172"/>
      <c r="S17" s="172"/>
      <c r="T17" s="174"/>
      <c r="U17" s="175"/>
      <c r="V17" s="176"/>
      <c r="W17" s="174"/>
      <c r="X17" s="174"/>
      <c r="Y17" s="174"/>
      <c r="Z17" s="174"/>
      <c r="AA17" s="175"/>
      <c r="AB17" s="177">
        <f t="shared" si="8"/>
        <v>5</v>
      </c>
      <c r="AC17" s="178">
        <f t="shared" si="11"/>
        <v>7</v>
      </c>
      <c r="AD17" s="178">
        <f t="shared" ref="AD17:AE17" si="21">SUM(X17,F17,L17)</f>
        <v>0</v>
      </c>
      <c r="AE17" s="206">
        <f t="shared" si="21"/>
        <v>0</v>
      </c>
      <c r="AF17" s="178">
        <f t="shared" si="13"/>
        <v>0</v>
      </c>
      <c r="AG17" s="206">
        <f t="shared" si="14"/>
        <v>0</v>
      </c>
      <c r="AH17" s="179">
        <f t="shared" ref="AH17:AM17" si="22">IF(AB17 = 0, 0, AB17/AB$14)</f>
        <v>0.119047619</v>
      </c>
      <c r="AI17" s="179">
        <f t="shared" si="22"/>
        <v>0.1206896552</v>
      </c>
      <c r="AJ17" s="179">
        <f t="shared" si="22"/>
        <v>0</v>
      </c>
      <c r="AK17" s="179">
        <f t="shared" si="22"/>
        <v>0</v>
      </c>
      <c r="AL17" s="179">
        <f t="shared" si="22"/>
        <v>0</v>
      </c>
      <c r="AM17" s="179">
        <f t="shared" si="22"/>
        <v>0</v>
      </c>
      <c r="AN17" s="181">
        <f>IF(OR(GradeSheet!$I12="W (Withdrawn)", GradeSheet!$I12="I (Incomplete)"), 0, IF(AH17&gt;=55%, 1, 0))</f>
        <v>0</v>
      </c>
      <c r="AO17" s="181">
        <f>IF(OR(GradeSheet!$I12="W (Withdrawn)", GradeSheet!$I12="I (Incomplete)"), 0, IF(AI17&gt;=55%, 1, 0))</f>
        <v>0</v>
      </c>
      <c r="AP17" s="181">
        <f>IF(OR(GradeSheet!$I12="W (Withdrawn)", GradeSheet!$I12="I (Incomplete)"), 0, IF(AJ17&gt;=55%, 1, 0))</f>
        <v>0</v>
      </c>
      <c r="AQ17" s="181">
        <f>IF(OR(GradeSheet!$I12="W (Withdrawn)", GradeSheet!$I12="I (Incomplete)"), 0, IF(AK17&gt;=55%, 1, 0))</f>
        <v>0</v>
      </c>
      <c r="AR17" s="181">
        <f>IF(OR(GradeSheet!$I12="W (Withdrawn)", GradeSheet!$I12="I (Incomplete)"), 0, IF(AL17&gt;=55%, 1, 0))</f>
        <v>0</v>
      </c>
      <c r="AS17" s="181">
        <f>IF(OR(GradeSheet!$I12="W (Withdrawn)", GradeSheet!$I12="I (Incomplete)"), 0, IF(AM17&gt;=55%, 1, 0))</f>
        <v>0</v>
      </c>
      <c r="AT17" s="135"/>
      <c r="AU17" s="185">
        <f t="shared" si="16"/>
        <v>0</v>
      </c>
      <c r="AV17" s="185">
        <f t="shared" si="17"/>
        <v>0</v>
      </c>
      <c r="AW17" s="185">
        <f t="array" ref="AW17">IF($AV$9=0,0,MMULT($AH17:$AM17, AV$3:AV$8)/$AV$9)</f>
        <v>0</v>
      </c>
      <c r="AX17" s="185">
        <f t="array" ref="AX17">IF($AW$9=0,0,MMULT($AH17:$AM17, AW$3:AW$8)/$AW$9)</f>
        <v>0</v>
      </c>
      <c r="AY17" s="185">
        <f t="shared" si="18"/>
        <v>0</v>
      </c>
      <c r="AZ17" s="185">
        <f t="array" ref="AZ17">IF($AY$9=0,0,MMULT($AH17:$AM17, AY$3:AY$8)/$AY$9)</f>
        <v>0</v>
      </c>
      <c r="BA17" s="185">
        <f t="array" ref="BA17">IF($AZ$9=0,0,MMULT($AH17:$AM17, AZ$3:AZ$8)/$AZ$9)</f>
        <v>0</v>
      </c>
      <c r="BB17" s="185">
        <f t="array" ref="BB17">IF($BA$9=0,0,MMULT($AH17:$AM17, BA$3:BA$8)/$BA$9)</f>
        <v>0</v>
      </c>
      <c r="BC17" s="185">
        <f t="array" ref="BC17">IF($BB$9=0,0,MMULT($AH17:$AM17, BB$3:BB$8)/$BB$9)</f>
        <v>0</v>
      </c>
      <c r="BD17" s="185">
        <f t="array" ref="BD17">IF($BC$9=0,0,MMULT($AH17:$AM17, BC$3:BC$8)/$BC$9)</f>
        <v>0</v>
      </c>
      <c r="BE17" s="185">
        <f t="shared" si="19"/>
        <v>0</v>
      </c>
      <c r="BF17" s="185">
        <f t="shared" si="20"/>
        <v>0</v>
      </c>
      <c r="BG17" s="181">
        <f>IF(OR(GradeSheet!$I12="W (Withdrawn)", GradeSheet!$I12="I (Incomplete)"), 0, IF(AU17&gt;=65%, 1, 0))</f>
        <v>0</v>
      </c>
      <c r="BH17" s="181">
        <f>IF(OR(GradeSheet!$I12="W (Withdrawn)", GradeSheet!$I12="I (Incomplete)"), 0, IF(AV17&gt;=65%, 1, 0))</f>
        <v>0</v>
      </c>
      <c r="BI17" s="181">
        <f>IF(OR(GradeSheet!$I12="W (Withdrawn)", GradeSheet!$I12="I (Incomplete)"), 0, IF(AW17&gt;=65%, 1, 0))</f>
        <v>0</v>
      </c>
      <c r="BJ17" s="181">
        <f>IF(OR(GradeSheet!$I12="W (Withdrawn)", GradeSheet!$I12="I (Incomplete)"), 0, IF(AX17&gt;=65%, 1, 0))</f>
        <v>0</v>
      </c>
      <c r="BK17" s="181">
        <f>IF(OR(GradeSheet!$I12="W (Withdrawn)", GradeSheet!$I12="I (Incomplete)"), 0, IF(AY17&gt;=65%, 1, 0))</f>
        <v>0</v>
      </c>
      <c r="BL17" s="181">
        <f>IF(OR(GradeSheet!$I12="W (Withdrawn)", GradeSheet!$I12="I (Incomplete)"), 0, IF(AZ17&gt;=65%, 1, 0))</f>
        <v>0</v>
      </c>
      <c r="BM17" s="181">
        <f>IF(OR(GradeSheet!$I12="W (Withdrawn)", GradeSheet!$I12="I (Incomplete)"), 0, IF(BA17&gt;=65%, 1, 0))</f>
        <v>0</v>
      </c>
      <c r="BN17" s="181">
        <f>IF(OR(GradeSheet!$I12="W (Withdrawn)", GradeSheet!$I12="I (Incomplete)"), 0, IF(BB17&gt;=65%, 1, 0))</f>
        <v>0</v>
      </c>
      <c r="BO17" s="181">
        <f>IF(OR(GradeSheet!$I12="W (Withdrawn)", GradeSheet!$I12="I (Incomplete)"), 0, IF(BC17&gt;=65%, 1, 0))</f>
        <v>0</v>
      </c>
      <c r="BP17" s="181">
        <f>IF(OR(GradeSheet!$I12="W (Withdrawn)", GradeSheet!$I12="I (Incomplete)"), 0, IF(BD17&gt;=65%, 1, 0))</f>
        <v>0</v>
      </c>
      <c r="BQ17" s="181">
        <f>IF(OR(GradeSheet!$I12="W (Withdrawn)", GradeSheet!$I12="I (Incomplete)"), 0, IF(BE17&gt;=65%, 1, 0))</f>
        <v>0</v>
      </c>
      <c r="BR17" s="181">
        <f>IF(OR(GradeSheet!$I12="W (Withdrawn)", GradeSheet!$I12="I (Incomplete)"), 0, IF(BF17&gt;=65%, 1, 0))</f>
        <v>0</v>
      </c>
    </row>
    <row r="18" ht="15.75" customHeight="1">
      <c r="A18" s="201">
        <v>4.0</v>
      </c>
      <c r="B18" s="69">
        <v>2.21014111E8</v>
      </c>
      <c r="C18" s="71" t="s">
        <v>78</v>
      </c>
      <c r="D18" s="166">
        <f>ROUNDUP((GradeSheet!D13/30)*12,0)
</f>
        <v>5</v>
      </c>
      <c r="E18" s="168">
        <f>GradeSheet!D13-D18</f>
        <v>6</v>
      </c>
      <c r="F18" s="170"/>
      <c r="G18" s="170"/>
      <c r="H18" s="170"/>
      <c r="I18" s="170"/>
      <c r="J18" s="168">
        <f>INT(GradeSheet!E13/2)</f>
        <v>15</v>
      </c>
      <c r="K18" s="168">
        <f>GradeSheet!E13-J18</f>
        <v>15</v>
      </c>
      <c r="L18" s="168"/>
      <c r="M18" s="170"/>
      <c r="N18" s="170"/>
      <c r="O18" s="170"/>
      <c r="P18" s="171">
        <f>ROUNDUP((RawMarks!M5/30)*10,0)</f>
        <v>8</v>
      </c>
      <c r="Q18" s="172">
        <f>GradeSheet!F13-P18</f>
        <v>16</v>
      </c>
      <c r="R18" s="172"/>
      <c r="S18" s="172"/>
      <c r="T18" s="174"/>
      <c r="U18" s="175"/>
      <c r="V18" s="176"/>
      <c r="W18" s="174"/>
      <c r="X18" s="174"/>
      <c r="Y18" s="174"/>
      <c r="Z18" s="174"/>
      <c r="AA18" s="175"/>
      <c r="AB18" s="177">
        <f t="shared" si="8"/>
        <v>28</v>
      </c>
      <c r="AC18" s="178">
        <f t="shared" si="11"/>
        <v>37</v>
      </c>
      <c r="AD18" s="178">
        <f t="shared" ref="AD18:AE18" si="23">SUM(X18,F18,L18)</f>
        <v>0</v>
      </c>
      <c r="AE18" s="206">
        <f t="shared" si="23"/>
        <v>0</v>
      </c>
      <c r="AF18" s="178">
        <f t="shared" si="13"/>
        <v>0</v>
      </c>
      <c r="AG18" s="206">
        <f t="shared" si="14"/>
        <v>0</v>
      </c>
      <c r="AH18" s="179">
        <f t="shared" ref="AH18:AM18" si="24">IF(AB18 = 0, 0, AB18/AB$14)</f>
        <v>0.6666666667</v>
      </c>
      <c r="AI18" s="179">
        <f t="shared" si="24"/>
        <v>0.6379310345</v>
      </c>
      <c r="AJ18" s="179">
        <f t="shared" si="24"/>
        <v>0</v>
      </c>
      <c r="AK18" s="179">
        <f t="shared" si="24"/>
        <v>0</v>
      </c>
      <c r="AL18" s="179">
        <f t="shared" si="24"/>
        <v>0</v>
      </c>
      <c r="AM18" s="179">
        <f t="shared" si="24"/>
        <v>0</v>
      </c>
      <c r="AN18" s="181">
        <f>IF(OR(GradeSheet!$I13="W (Withdrawn)", GradeSheet!$I13="I (Incomplete)"), 0, IF(AH18&gt;=55%, 1, 0))</f>
        <v>1</v>
      </c>
      <c r="AO18" s="181">
        <f>IF(OR(GradeSheet!$I13="W (Withdrawn)", GradeSheet!$I13="I (Incomplete)"), 0, IF(AI18&gt;=55%, 1, 0))</f>
        <v>1</v>
      </c>
      <c r="AP18" s="181">
        <f>IF(OR(GradeSheet!$I13="W (Withdrawn)", GradeSheet!$I13="I (Incomplete)"), 0, IF(AJ18&gt;=55%, 1, 0))</f>
        <v>0</v>
      </c>
      <c r="AQ18" s="181">
        <f>IF(OR(GradeSheet!$I13="W (Withdrawn)", GradeSheet!$I13="I (Incomplete)"), 0, IF(AK18&gt;=55%, 1, 0))</f>
        <v>0</v>
      </c>
      <c r="AR18" s="181">
        <f>IF(OR(GradeSheet!$I13="W (Withdrawn)", GradeSheet!$I13="I (Incomplete)"), 0, IF(AL18&gt;=55%, 1, 0))</f>
        <v>0</v>
      </c>
      <c r="AS18" s="181">
        <f>IF(OR(GradeSheet!$I13="W (Withdrawn)", GradeSheet!$I13="I (Incomplete)"), 0, IF(AM18&gt;=55%, 1, 0))</f>
        <v>0</v>
      </c>
      <c r="AT18" s="135"/>
      <c r="AU18" s="185">
        <f t="shared" si="16"/>
        <v>0</v>
      </c>
      <c r="AV18" s="185">
        <f t="shared" si="17"/>
        <v>0</v>
      </c>
      <c r="AW18" s="185">
        <f t="array" ref="AW18">IF($AV$9=0,0,MMULT($AH18:$AM18, AV$3:AV$8)/$AV$9)</f>
        <v>0</v>
      </c>
      <c r="AX18" s="185">
        <f t="array" ref="AX18">IF($AW$9=0,0,MMULT($AH18:$AM18, AW$3:AW$8)/$AW$9)</f>
        <v>0</v>
      </c>
      <c r="AY18" s="185">
        <f t="shared" si="18"/>
        <v>0</v>
      </c>
      <c r="AZ18" s="185">
        <f t="array" ref="AZ18">IF($AY$9=0,0,MMULT($AH18:$AM18, AY$3:AY$8)/$AY$9)</f>
        <v>0</v>
      </c>
      <c r="BA18" s="185">
        <f t="array" ref="BA18">IF($AZ$9=0,0,MMULT($AH18:$AM18, AZ$3:AZ$8)/$AZ$9)</f>
        <v>0</v>
      </c>
      <c r="BB18" s="185">
        <f t="array" ref="BB18">IF($BA$9=0,0,MMULT($AH18:$AM18, BA$3:BA$8)/$BA$9)</f>
        <v>0</v>
      </c>
      <c r="BC18" s="185">
        <f t="array" ref="BC18">IF($BB$9=0,0,MMULT($AH18:$AM18, BB$3:BB$8)/$BB$9)</f>
        <v>0</v>
      </c>
      <c r="BD18" s="185">
        <f t="array" ref="BD18">IF($BC$9=0,0,MMULT($AH18:$AM18, BC$3:BC$8)/$BC$9)</f>
        <v>0</v>
      </c>
      <c r="BE18" s="185">
        <f t="shared" si="19"/>
        <v>0</v>
      </c>
      <c r="BF18" s="185">
        <f t="shared" si="20"/>
        <v>0</v>
      </c>
      <c r="BG18" s="181">
        <f>IF(OR(GradeSheet!$I13="W (Withdrawn)", GradeSheet!$I13="I (Incomplete)"), 0, IF(AU18&gt;=65%, 1, 0))</f>
        <v>0</v>
      </c>
      <c r="BH18" s="181">
        <f>IF(OR(GradeSheet!$I13="W (Withdrawn)", GradeSheet!$I13="I (Incomplete)"), 0, IF(AV18&gt;=65%, 1, 0))</f>
        <v>0</v>
      </c>
      <c r="BI18" s="181">
        <f>IF(OR(GradeSheet!$I13="W (Withdrawn)", GradeSheet!$I13="I (Incomplete)"), 0, IF(AW18&gt;=65%, 1, 0))</f>
        <v>0</v>
      </c>
      <c r="BJ18" s="181">
        <f>IF(OR(GradeSheet!$I13="W (Withdrawn)", GradeSheet!$I13="I (Incomplete)"), 0, IF(AX18&gt;=65%, 1, 0))</f>
        <v>0</v>
      </c>
      <c r="BK18" s="181">
        <f>IF(OR(GradeSheet!$I13="W (Withdrawn)", GradeSheet!$I13="I (Incomplete)"), 0, IF(AY18&gt;=65%, 1, 0))</f>
        <v>0</v>
      </c>
      <c r="BL18" s="181">
        <f>IF(OR(GradeSheet!$I13="W (Withdrawn)", GradeSheet!$I13="I (Incomplete)"), 0, IF(AZ18&gt;=65%, 1, 0))</f>
        <v>0</v>
      </c>
      <c r="BM18" s="181">
        <f>IF(OR(GradeSheet!$I13="W (Withdrawn)", GradeSheet!$I13="I (Incomplete)"), 0, IF(BA18&gt;=65%, 1, 0))</f>
        <v>0</v>
      </c>
      <c r="BN18" s="181">
        <f>IF(OR(GradeSheet!$I13="W (Withdrawn)", GradeSheet!$I13="I (Incomplete)"), 0, IF(BB18&gt;=65%, 1, 0))</f>
        <v>0</v>
      </c>
      <c r="BO18" s="181">
        <f>IF(OR(GradeSheet!$I13="W (Withdrawn)", GradeSheet!$I13="I (Incomplete)"), 0, IF(BC18&gt;=65%, 1, 0))</f>
        <v>0</v>
      </c>
      <c r="BP18" s="181">
        <f>IF(OR(GradeSheet!$I13="W (Withdrawn)", GradeSheet!$I13="I (Incomplete)"), 0, IF(BD18&gt;=65%, 1, 0))</f>
        <v>0</v>
      </c>
      <c r="BQ18" s="181">
        <f>IF(OR(GradeSheet!$I13="W (Withdrawn)", GradeSheet!$I13="I (Incomplete)"), 0, IF(BE18&gt;=65%, 1, 0))</f>
        <v>0</v>
      </c>
      <c r="BR18" s="181">
        <f>IF(OR(GradeSheet!$I13="W (Withdrawn)", GradeSheet!$I13="I (Incomplete)"), 0, IF(BF18&gt;=65%, 1, 0))</f>
        <v>0</v>
      </c>
    </row>
    <row r="19" ht="15.75" customHeight="1">
      <c r="A19" s="165">
        <v>5.0</v>
      </c>
      <c r="B19" s="69">
        <v>2.21014129E8</v>
      </c>
      <c r="C19" s="71" t="s">
        <v>79</v>
      </c>
      <c r="D19" s="166">
        <f>ROUNDUP((GradeSheet!D14/30)*12,0)
</f>
        <v>2</v>
      </c>
      <c r="E19" s="168">
        <f>GradeSheet!D14-D19</f>
        <v>2</v>
      </c>
      <c r="F19" s="170"/>
      <c r="G19" s="170"/>
      <c r="H19" s="170"/>
      <c r="I19" s="170"/>
      <c r="J19" s="168">
        <f>INT(GradeSheet!E14/2)</f>
        <v>0</v>
      </c>
      <c r="K19" s="168">
        <f>GradeSheet!E14-J19</f>
        <v>0</v>
      </c>
      <c r="L19" s="168"/>
      <c r="M19" s="170"/>
      <c r="N19" s="170"/>
      <c r="O19" s="170"/>
      <c r="P19" s="171">
        <f>ROUNDUP((RawMarks!M6/30)*10,0)</f>
        <v>0</v>
      </c>
      <c r="Q19" s="172">
        <f>GradeSheet!F14-P19</f>
        <v>0</v>
      </c>
      <c r="R19" s="172"/>
      <c r="S19" s="172"/>
      <c r="T19" s="174"/>
      <c r="U19" s="175"/>
      <c r="V19" s="176"/>
      <c r="W19" s="174"/>
      <c r="X19" s="174"/>
      <c r="Y19" s="174"/>
      <c r="Z19" s="174"/>
      <c r="AA19" s="175"/>
      <c r="AB19" s="177">
        <f t="shared" si="8"/>
        <v>2</v>
      </c>
      <c r="AC19" s="178">
        <f t="shared" si="11"/>
        <v>2</v>
      </c>
      <c r="AD19" s="178">
        <f t="shared" ref="AD19:AE19" si="25">SUM(X19,F19,L19)</f>
        <v>0</v>
      </c>
      <c r="AE19" s="206">
        <f t="shared" si="25"/>
        <v>0</v>
      </c>
      <c r="AF19" s="178">
        <f t="shared" si="13"/>
        <v>0</v>
      </c>
      <c r="AG19" s="206">
        <f t="shared" si="14"/>
        <v>0</v>
      </c>
      <c r="AH19" s="179">
        <f t="shared" ref="AH19:AM19" si="26">IF(AB19 = 0, 0, AB19/AB$14)</f>
        <v>0.04761904762</v>
      </c>
      <c r="AI19" s="179">
        <f t="shared" si="26"/>
        <v>0.03448275862</v>
      </c>
      <c r="AJ19" s="179">
        <f t="shared" si="26"/>
        <v>0</v>
      </c>
      <c r="AK19" s="179">
        <f t="shared" si="26"/>
        <v>0</v>
      </c>
      <c r="AL19" s="179">
        <f t="shared" si="26"/>
        <v>0</v>
      </c>
      <c r="AM19" s="179">
        <f t="shared" si="26"/>
        <v>0</v>
      </c>
      <c r="AN19" s="181">
        <f>IF(OR(GradeSheet!$I14="W (Withdrawn)", GradeSheet!$I14="I (Incomplete)"), 0, IF(AH19&gt;=55%, 1, 0))</f>
        <v>0</v>
      </c>
      <c r="AO19" s="181">
        <f>IF(OR(GradeSheet!$I14="W (Withdrawn)", GradeSheet!$I14="I (Incomplete)"), 0, IF(AI19&gt;=55%, 1, 0))</f>
        <v>0</v>
      </c>
      <c r="AP19" s="181">
        <f>IF(OR(GradeSheet!$I14="W (Withdrawn)", GradeSheet!$I14="I (Incomplete)"), 0, IF(AJ19&gt;=55%, 1, 0))</f>
        <v>0</v>
      </c>
      <c r="AQ19" s="181">
        <f>IF(OR(GradeSheet!$I14="W (Withdrawn)", GradeSheet!$I14="I (Incomplete)"), 0, IF(AK19&gt;=55%, 1, 0))</f>
        <v>0</v>
      </c>
      <c r="AR19" s="181">
        <f>IF(OR(GradeSheet!$I14="W (Withdrawn)", GradeSheet!$I14="I (Incomplete)"), 0, IF(AL19&gt;=55%, 1, 0))</f>
        <v>0</v>
      </c>
      <c r="AS19" s="181">
        <f>IF(OR(GradeSheet!$I14="W (Withdrawn)", GradeSheet!$I14="I (Incomplete)"), 0, IF(AM19&gt;=55%, 1, 0))</f>
        <v>0</v>
      </c>
      <c r="AT19" s="135"/>
      <c r="AU19" s="185">
        <f t="shared" si="16"/>
        <v>0</v>
      </c>
      <c r="AV19" s="185">
        <f t="shared" si="17"/>
        <v>0</v>
      </c>
      <c r="AW19" s="185">
        <f t="array" ref="AW19">IF($AV$9=0,0,MMULT($AH19:$AM19, AV$3:AV$8)/$AV$9)</f>
        <v>0</v>
      </c>
      <c r="AX19" s="185">
        <f t="array" ref="AX19">IF($AW$9=0,0,MMULT($AH19:$AM19, AW$3:AW$8)/$AW$9)</f>
        <v>0</v>
      </c>
      <c r="AY19" s="185">
        <f t="shared" si="18"/>
        <v>0</v>
      </c>
      <c r="AZ19" s="185">
        <f t="array" ref="AZ19">IF($AY$9=0,0,MMULT($AH19:$AM19, AY$3:AY$8)/$AY$9)</f>
        <v>0</v>
      </c>
      <c r="BA19" s="185">
        <f t="array" ref="BA19">IF($AZ$9=0,0,MMULT($AH19:$AM19, AZ$3:AZ$8)/$AZ$9)</f>
        <v>0</v>
      </c>
      <c r="BB19" s="185">
        <f t="array" ref="BB19">IF($BA$9=0,0,MMULT($AH19:$AM19, BA$3:BA$8)/$BA$9)</f>
        <v>0</v>
      </c>
      <c r="BC19" s="185">
        <f t="array" ref="BC19">IF($BB$9=0,0,MMULT($AH19:$AM19, BB$3:BB$8)/$BB$9)</f>
        <v>0</v>
      </c>
      <c r="BD19" s="185">
        <f t="array" ref="BD19">IF($BC$9=0,0,MMULT($AH19:$AM19, BC$3:BC$8)/$BC$9)</f>
        <v>0</v>
      </c>
      <c r="BE19" s="185">
        <f t="shared" si="19"/>
        <v>0</v>
      </c>
      <c r="BF19" s="185">
        <f t="shared" si="20"/>
        <v>0</v>
      </c>
      <c r="BG19" s="181">
        <f>IF(OR(GradeSheet!$I14="W (Withdrawn)", GradeSheet!$I14="I (Incomplete)"), 0, IF(AU19&gt;=65%, 1, 0))</f>
        <v>0</v>
      </c>
      <c r="BH19" s="181">
        <f>IF(OR(GradeSheet!$I14="W (Withdrawn)", GradeSheet!$I14="I (Incomplete)"), 0, IF(AV19&gt;=65%, 1, 0))</f>
        <v>0</v>
      </c>
      <c r="BI19" s="181">
        <f>IF(OR(GradeSheet!$I14="W (Withdrawn)", GradeSheet!$I14="I (Incomplete)"), 0, IF(AW19&gt;=65%, 1, 0))</f>
        <v>0</v>
      </c>
      <c r="BJ19" s="181">
        <f>IF(OR(GradeSheet!$I14="W (Withdrawn)", GradeSheet!$I14="I (Incomplete)"), 0, IF(AX19&gt;=65%, 1, 0))</f>
        <v>0</v>
      </c>
      <c r="BK19" s="181">
        <f>IF(OR(GradeSheet!$I14="W (Withdrawn)", GradeSheet!$I14="I (Incomplete)"), 0, IF(AY19&gt;=65%, 1, 0))</f>
        <v>0</v>
      </c>
      <c r="BL19" s="181">
        <f>IF(OR(GradeSheet!$I14="W (Withdrawn)", GradeSheet!$I14="I (Incomplete)"), 0, IF(AZ19&gt;=65%, 1, 0))</f>
        <v>0</v>
      </c>
      <c r="BM19" s="181">
        <f>IF(OR(GradeSheet!$I14="W (Withdrawn)", GradeSheet!$I14="I (Incomplete)"), 0, IF(BA19&gt;=65%, 1, 0))</f>
        <v>0</v>
      </c>
      <c r="BN19" s="181">
        <f>IF(OR(GradeSheet!$I14="W (Withdrawn)", GradeSheet!$I14="I (Incomplete)"), 0, IF(BB19&gt;=65%, 1, 0))</f>
        <v>0</v>
      </c>
      <c r="BO19" s="181">
        <f>IF(OR(GradeSheet!$I14="W (Withdrawn)", GradeSheet!$I14="I (Incomplete)"), 0, IF(BC19&gt;=65%, 1, 0))</f>
        <v>0</v>
      </c>
      <c r="BP19" s="181">
        <f>IF(OR(GradeSheet!$I14="W (Withdrawn)", GradeSheet!$I14="I (Incomplete)"), 0, IF(BD19&gt;=65%, 1, 0))</f>
        <v>0</v>
      </c>
      <c r="BQ19" s="181">
        <f>IF(OR(GradeSheet!$I14="W (Withdrawn)", GradeSheet!$I14="I (Incomplete)"), 0, IF(BE19&gt;=65%, 1, 0))</f>
        <v>0</v>
      </c>
      <c r="BR19" s="181">
        <f>IF(OR(GradeSheet!$I14="W (Withdrawn)", GradeSheet!$I14="I (Incomplete)"), 0, IF(BF19&gt;=65%, 1, 0))</f>
        <v>0</v>
      </c>
    </row>
    <row r="20" ht="15.75" customHeight="1">
      <c r="A20" s="201">
        <v>6.0</v>
      </c>
      <c r="B20" s="69">
        <v>2.21014136E8</v>
      </c>
      <c r="C20" s="71" t="s">
        <v>83</v>
      </c>
      <c r="D20" s="166">
        <f>ROUNDUP((GradeSheet!D15/30)*12,0)
</f>
        <v>11</v>
      </c>
      <c r="E20" s="168">
        <f>GradeSheet!D15-D20</f>
        <v>16</v>
      </c>
      <c r="F20" s="170"/>
      <c r="G20" s="170"/>
      <c r="H20" s="170"/>
      <c r="I20" s="170"/>
      <c r="J20" s="168">
        <f>INT(GradeSheet!E15/2)</f>
        <v>15</v>
      </c>
      <c r="K20" s="168">
        <f>GradeSheet!E15-J20</f>
        <v>15</v>
      </c>
      <c r="L20" s="168"/>
      <c r="M20" s="170"/>
      <c r="N20" s="170"/>
      <c r="O20" s="170"/>
      <c r="P20" s="171">
        <f>ROUNDUP((RawMarks!M7/30)*10,0)</f>
        <v>10</v>
      </c>
      <c r="Q20" s="172">
        <f>GradeSheet!F15-P20</f>
        <v>18</v>
      </c>
      <c r="R20" s="172"/>
      <c r="S20" s="172"/>
      <c r="T20" s="174"/>
      <c r="U20" s="175"/>
      <c r="V20" s="176"/>
      <c r="W20" s="174"/>
      <c r="X20" s="174"/>
      <c r="Y20" s="174"/>
      <c r="Z20" s="174"/>
      <c r="AA20" s="175"/>
      <c r="AB20" s="177">
        <f t="shared" si="8"/>
        <v>36</v>
      </c>
      <c r="AC20" s="178">
        <f t="shared" si="11"/>
        <v>49</v>
      </c>
      <c r="AD20" s="178">
        <f t="shared" ref="AD20:AE20" si="27">SUM(X20,F20,L20)</f>
        <v>0</v>
      </c>
      <c r="AE20" s="206">
        <f t="shared" si="27"/>
        <v>0</v>
      </c>
      <c r="AF20" s="178">
        <f t="shared" si="13"/>
        <v>0</v>
      </c>
      <c r="AG20" s="206">
        <f t="shared" si="14"/>
        <v>0</v>
      </c>
      <c r="AH20" s="179">
        <f t="shared" ref="AH20:AM20" si="28">IF(AB20 = 0, 0, AB20/AB$14)</f>
        <v>0.8571428571</v>
      </c>
      <c r="AI20" s="179">
        <f t="shared" si="28"/>
        <v>0.8448275862</v>
      </c>
      <c r="AJ20" s="179">
        <f t="shared" si="28"/>
        <v>0</v>
      </c>
      <c r="AK20" s="179">
        <f t="shared" si="28"/>
        <v>0</v>
      </c>
      <c r="AL20" s="179">
        <f t="shared" si="28"/>
        <v>0</v>
      </c>
      <c r="AM20" s="179">
        <f t="shared" si="28"/>
        <v>0</v>
      </c>
      <c r="AN20" s="181">
        <f>IF(OR(GradeSheet!$I15="W (Withdrawn)", GradeSheet!$I15="I (Incomplete)"), 0, IF(AH20&gt;=55%, 1, 0))</f>
        <v>1</v>
      </c>
      <c r="AO20" s="181">
        <f>IF(OR(GradeSheet!$I15="W (Withdrawn)", GradeSheet!$I15="I (Incomplete)"), 0, IF(AI20&gt;=55%, 1, 0))</f>
        <v>1</v>
      </c>
      <c r="AP20" s="181">
        <f>IF(OR(GradeSheet!$I15="W (Withdrawn)", GradeSheet!$I15="I (Incomplete)"), 0, IF(AJ20&gt;=55%, 1, 0))</f>
        <v>0</v>
      </c>
      <c r="AQ20" s="181">
        <f>IF(OR(GradeSheet!$I15="W (Withdrawn)", GradeSheet!$I15="I (Incomplete)"), 0, IF(AK20&gt;=55%, 1, 0))</f>
        <v>0</v>
      </c>
      <c r="AR20" s="181">
        <f>IF(OR(GradeSheet!$I15="W (Withdrawn)", GradeSheet!$I15="I (Incomplete)"), 0, IF(AL20&gt;=55%, 1, 0))</f>
        <v>0</v>
      </c>
      <c r="AS20" s="181">
        <f>IF(OR(GradeSheet!$I15="W (Withdrawn)", GradeSheet!$I15="I (Incomplete)"), 0, IF(AM20&gt;=55%, 1, 0))</f>
        <v>0</v>
      </c>
      <c r="AT20" s="135"/>
      <c r="AU20" s="185">
        <f t="shared" si="16"/>
        <v>0</v>
      </c>
      <c r="AV20" s="185">
        <f t="shared" si="17"/>
        <v>0</v>
      </c>
      <c r="AW20" s="185">
        <f t="array" ref="AW20">IF($AV$9=0,0,MMULT($AH20:$AM20, AV$3:AV$8)/$AV$9)</f>
        <v>0</v>
      </c>
      <c r="AX20" s="185">
        <f t="array" ref="AX20">IF($AW$9=0,0,MMULT($AH20:$AM20, AW$3:AW$8)/$AW$9)</f>
        <v>0</v>
      </c>
      <c r="AY20" s="185">
        <f t="shared" si="18"/>
        <v>0</v>
      </c>
      <c r="AZ20" s="185">
        <f t="array" ref="AZ20">IF($AY$9=0,0,MMULT($AH20:$AM20, AY$3:AY$8)/$AY$9)</f>
        <v>0</v>
      </c>
      <c r="BA20" s="185">
        <f t="array" ref="BA20">IF($AZ$9=0,0,MMULT($AH20:$AM20, AZ$3:AZ$8)/$AZ$9)</f>
        <v>0</v>
      </c>
      <c r="BB20" s="185">
        <f t="array" ref="BB20">IF($BA$9=0,0,MMULT($AH20:$AM20, BA$3:BA$8)/$BA$9)</f>
        <v>0</v>
      </c>
      <c r="BC20" s="185">
        <f t="array" ref="BC20">IF($BB$9=0,0,MMULT($AH20:$AM20, BB$3:BB$8)/$BB$9)</f>
        <v>0</v>
      </c>
      <c r="BD20" s="185">
        <f t="array" ref="BD20">IF($BC$9=0,0,MMULT($AH20:$AM20, BC$3:BC$8)/$BC$9)</f>
        <v>0</v>
      </c>
      <c r="BE20" s="185">
        <f t="shared" si="19"/>
        <v>0</v>
      </c>
      <c r="BF20" s="185">
        <f t="shared" si="20"/>
        <v>0</v>
      </c>
      <c r="BG20" s="181">
        <f>IF(OR(GradeSheet!$I15="W (Withdrawn)", GradeSheet!$I15="I (Incomplete)"), 0, IF(AU20&gt;=65%, 1, 0))</f>
        <v>0</v>
      </c>
      <c r="BH20" s="181">
        <f>IF(OR(GradeSheet!$I15="W (Withdrawn)", GradeSheet!$I15="I (Incomplete)"), 0, IF(AV20&gt;=65%, 1, 0))</f>
        <v>0</v>
      </c>
      <c r="BI20" s="181">
        <f>IF(OR(GradeSheet!$I15="W (Withdrawn)", GradeSheet!$I15="I (Incomplete)"), 0, IF(AW20&gt;=65%, 1, 0))</f>
        <v>0</v>
      </c>
      <c r="BJ20" s="181">
        <f>IF(OR(GradeSheet!$I15="W (Withdrawn)", GradeSheet!$I15="I (Incomplete)"), 0, IF(AX20&gt;=65%, 1, 0))</f>
        <v>0</v>
      </c>
      <c r="BK20" s="181">
        <f>IF(OR(GradeSheet!$I15="W (Withdrawn)", GradeSheet!$I15="I (Incomplete)"), 0, IF(AY20&gt;=65%, 1, 0))</f>
        <v>0</v>
      </c>
      <c r="BL20" s="181">
        <f>IF(OR(GradeSheet!$I15="W (Withdrawn)", GradeSheet!$I15="I (Incomplete)"), 0, IF(AZ20&gt;=65%, 1, 0))</f>
        <v>0</v>
      </c>
      <c r="BM20" s="181">
        <f>IF(OR(GradeSheet!$I15="W (Withdrawn)", GradeSheet!$I15="I (Incomplete)"), 0, IF(BA20&gt;=65%, 1, 0))</f>
        <v>0</v>
      </c>
      <c r="BN20" s="181">
        <f>IF(OR(GradeSheet!$I15="W (Withdrawn)", GradeSheet!$I15="I (Incomplete)"), 0, IF(BB20&gt;=65%, 1, 0))</f>
        <v>0</v>
      </c>
      <c r="BO20" s="181">
        <f>IF(OR(GradeSheet!$I15="W (Withdrawn)", GradeSheet!$I15="I (Incomplete)"), 0, IF(BC20&gt;=65%, 1, 0))</f>
        <v>0</v>
      </c>
      <c r="BP20" s="181">
        <f>IF(OR(GradeSheet!$I15="W (Withdrawn)", GradeSheet!$I15="I (Incomplete)"), 0, IF(BD20&gt;=65%, 1, 0))</f>
        <v>0</v>
      </c>
      <c r="BQ20" s="181">
        <f>IF(OR(GradeSheet!$I15="W (Withdrawn)", GradeSheet!$I15="I (Incomplete)"), 0, IF(BE20&gt;=65%, 1, 0))</f>
        <v>0</v>
      </c>
      <c r="BR20" s="181">
        <f>IF(OR(GradeSheet!$I15="W (Withdrawn)", GradeSheet!$I15="I (Incomplete)"), 0, IF(BF20&gt;=65%, 1, 0))</f>
        <v>0</v>
      </c>
    </row>
    <row r="21" ht="15.75" customHeight="1">
      <c r="A21" s="165">
        <v>7.0</v>
      </c>
      <c r="B21" s="69">
        <v>2.22014021E8</v>
      </c>
      <c r="C21" s="71" t="s">
        <v>89</v>
      </c>
      <c r="D21" s="166">
        <f>ROUNDUP((GradeSheet!D16/30)*12,0)
</f>
        <v>6</v>
      </c>
      <c r="E21" s="168">
        <f>GradeSheet!D16-D21</f>
        <v>8</v>
      </c>
      <c r="F21" s="170"/>
      <c r="G21" s="170"/>
      <c r="H21" s="170"/>
      <c r="I21" s="170"/>
      <c r="J21" s="168">
        <f>INT(GradeSheet!E16/2)</f>
        <v>12</v>
      </c>
      <c r="K21" s="168">
        <f>GradeSheet!E16-J21</f>
        <v>13</v>
      </c>
      <c r="L21" s="168"/>
      <c r="M21" s="170"/>
      <c r="N21" s="170"/>
      <c r="O21" s="170"/>
      <c r="P21" s="171">
        <f>ROUNDUP((RawMarks!M8/30)*10,0)</f>
        <v>8</v>
      </c>
      <c r="Q21" s="172">
        <f>GradeSheet!F16-P21</f>
        <v>14</v>
      </c>
      <c r="R21" s="172"/>
      <c r="S21" s="172"/>
      <c r="T21" s="174"/>
      <c r="U21" s="175"/>
      <c r="V21" s="176"/>
      <c r="W21" s="174"/>
      <c r="X21" s="174"/>
      <c r="Y21" s="174"/>
      <c r="Z21" s="174"/>
      <c r="AA21" s="175"/>
      <c r="AB21" s="177">
        <f t="shared" si="8"/>
        <v>26</v>
      </c>
      <c r="AC21" s="178">
        <f t="shared" si="11"/>
        <v>35</v>
      </c>
      <c r="AD21" s="178">
        <f t="shared" ref="AD21:AE21" si="29">SUM(X21,F21,L21)</f>
        <v>0</v>
      </c>
      <c r="AE21" s="206">
        <f t="shared" si="29"/>
        <v>0</v>
      </c>
      <c r="AF21" s="178">
        <f t="shared" si="13"/>
        <v>0</v>
      </c>
      <c r="AG21" s="206">
        <f t="shared" si="14"/>
        <v>0</v>
      </c>
      <c r="AH21" s="179">
        <f t="shared" ref="AH21:AM21" si="30">IF(AB21 = 0, 0, AB21/AB$14)</f>
        <v>0.619047619</v>
      </c>
      <c r="AI21" s="179">
        <f t="shared" si="30"/>
        <v>0.6034482759</v>
      </c>
      <c r="AJ21" s="179">
        <f t="shared" si="30"/>
        <v>0</v>
      </c>
      <c r="AK21" s="179">
        <f t="shared" si="30"/>
        <v>0</v>
      </c>
      <c r="AL21" s="179">
        <f t="shared" si="30"/>
        <v>0</v>
      </c>
      <c r="AM21" s="179">
        <f t="shared" si="30"/>
        <v>0</v>
      </c>
      <c r="AN21" s="181">
        <f>IF(OR(GradeSheet!$I16="W (Withdrawn)", GradeSheet!$I16="I (Incomplete)"), 0, IF(AH21&gt;=55%, 1, 0))</f>
        <v>1</v>
      </c>
      <c r="AO21" s="181">
        <f>IF(OR(GradeSheet!$I16="W (Withdrawn)", GradeSheet!$I16="I (Incomplete)"), 0, IF(AI21&gt;=55%, 1, 0))</f>
        <v>1</v>
      </c>
      <c r="AP21" s="181">
        <f>IF(OR(GradeSheet!$I16="W (Withdrawn)", GradeSheet!$I16="I (Incomplete)"), 0, IF(AJ21&gt;=55%, 1, 0))</f>
        <v>0</v>
      </c>
      <c r="AQ21" s="181">
        <f>IF(OR(GradeSheet!$I16="W (Withdrawn)", GradeSheet!$I16="I (Incomplete)"), 0, IF(AK21&gt;=55%, 1, 0))</f>
        <v>0</v>
      </c>
      <c r="AR21" s="181">
        <f>IF(OR(GradeSheet!$I16="W (Withdrawn)", GradeSheet!$I16="I (Incomplete)"), 0, IF(AL21&gt;=55%, 1, 0))</f>
        <v>0</v>
      </c>
      <c r="AS21" s="181">
        <f>IF(OR(GradeSheet!$I16="W (Withdrawn)", GradeSheet!$I16="I (Incomplete)"), 0, IF(AM21&gt;=55%, 1, 0))</f>
        <v>0</v>
      </c>
      <c r="AT21" s="135"/>
      <c r="AU21" s="185">
        <f t="shared" si="16"/>
        <v>0</v>
      </c>
      <c r="AV21" s="185">
        <f t="shared" si="17"/>
        <v>0</v>
      </c>
      <c r="AW21" s="185">
        <f t="array" ref="AW21">IF($AV$9=0,0,MMULT($AH21:$AM21, AV$3:AV$8)/$AV$9)</f>
        <v>0</v>
      </c>
      <c r="AX21" s="185">
        <f t="array" ref="AX21">IF($AW$9=0,0,MMULT($AH21:$AM21, AW$3:AW$8)/$AW$9)</f>
        <v>0</v>
      </c>
      <c r="AY21" s="185">
        <f t="shared" si="18"/>
        <v>0</v>
      </c>
      <c r="AZ21" s="185">
        <f t="array" ref="AZ21">IF($AY$9=0,0,MMULT($AH21:$AM21, AY$3:AY$8)/$AY$9)</f>
        <v>0</v>
      </c>
      <c r="BA21" s="185">
        <f t="array" ref="BA21">IF($AZ$9=0,0,MMULT($AH21:$AM21, AZ$3:AZ$8)/$AZ$9)</f>
        <v>0</v>
      </c>
      <c r="BB21" s="185">
        <f t="array" ref="BB21">IF($BA$9=0,0,MMULT($AH21:$AM21, BA$3:BA$8)/$BA$9)</f>
        <v>0</v>
      </c>
      <c r="BC21" s="185">
        <f t="array" ref="BC21">IF($BB$9=0,0,MMULT($AH21:$AM21, BB$3:BB$8)/$BB$9)</f>
        <v>0</v>
      </c>
      <c r="BD21" s="185">
        <f t="array" ref="BD21">IF($BC$9=0,0,MMULT($AH21:$AM21, BC$3:BC$8)/$BC$9)</f>
        <v>0</v>
      </c>
      <c r="BE21" s="185">
        <f t="shared" si="19"/>
        <v>0</v>
      </c>
      <c r="BF21" s="185">
        <f t="shared" si="20"/>
        <v>0</v>
      </c>
      <c r="BG21" s="181">
        <f>IF(OR(GradeSheet!$I16="W (Withdrawn)", GradeSheet!$I16="I (Incomplete)"), 0, IF(AU21&gt;=65%, 1, 0))</f>
        <v>0</v>
      </c>
      <c r="BH21" s="181">
        <f>IF(OR(GradeSheet!$I16="W (Withdrawn)", GradeSheet!$I16="I (Incomplete)"), 0, IF(AV21&gt;=65%, 1, 0))</f>
        <v>0</v>
      </c>
      <c r="BI21" s="181">
        <f>IF(OR(GradeSheet!$I16="W (Withdrawn)", GradeSheet!$I16="I (Incomplete)"), 0, IF(AW21&gt;=65%, 1, 0))</f>
        <v>0</v>
      </c>
      <c r="BJ21" s="181">
        <f>IF(OR(GradeSheet!$I16="W (Withdrawn)", GradeSheet!$I16="I (Incomplete)"), 0, IF(AX21&gt;=65%, 1, 0))</f>
        <v>0</v>
      </c>
      <c r="BK21" s="181">
        <f>IF(OR(GradeSheet!$I16="W (Withdrawn)", GradeSheet!$I16="I (Incomplete)"), 0, IF(AY21&gt;=65%, 1, 0))</f>
        <v>0</v>
      </c>
      <c r="BL21" s="181">
        <f>IF(OR(GradeSheet!$I16="W (Withdrawn)", GradeSheet!$I16="I (Incomplete)"), 0, IF(AZ21&gt;=65%, 1, 0))</f>
        <v>0</v>
      </c>
      <c r="BM21" s="181">
        <f>IF(OR(GradeSheet!$I16="W (Withdrawn)", GradeSheet!$I16="I (Incomplete)"), 0, IF(BA21&gt;=65%, 1, 0))</f>
        <v>0</v>
      </c>
      <c r="BN21" s="181">
        <f>IF(OR(GradeSheet!$I16="W (Withdrawn)", GradeSheet!$I16="I (Incomplete)"), 0, IF(BB21&gt;=65%, 1, 0))</f>
        <v>0</v>
      </c>
      <c r="BO21" s="181">
        <f>IF(OR(GradeSheet!$I16="W (Withdrawn)", GradeSheet!$I16="I (Incomplete)"), 0, IF(BC21&gt;=65%, 1, 0))</f>
        <v>0</v>
      </c>
      <c r="BP21" s="181">
        <f>IF(OR(GradeSheet!$I16="W (Withdrawn)", GradeSheet!$I16="I (Incomplete)"), 0, IF(BD21&gt;=65%, 1, 0))</f>
        <v>0</v>
      </c>
      <c r="BQ21" s="181">
        <f>IF(OR(GradeSheet!$I16="W (Withdrawn)", GradeSheet!$I16="I (Incomplete)"), 0, IF(BE21&gt;=65%, 1, 0))</f>
        <v>0</v>
      </c>
      <c r="BR21" s="181">
        <f>IF(OR(GradeSheet!$I16="W (Withdrawn)", GradeSheet!$I16="I (Incomplete)"), 0, IF(BF21&gt;=65%, 1, 0))</f>
        <v>0</v>
      </c>
    </row>
    <row r="22" ht="15.75" customHeight="1">
      <c r="A22" s="201">
        <v>8.0</v>
      </c>
      <c r="B22" s="69">
        <v>2.22014031E8</v>
      </c>
      <c r="C22" s="71" t="s">
        <v>95</v>
      </c>
      <c r="D22" s="166">
        <f>ROUNDUP((GradeSheet!D17/30)*12,0)
</f>
        <v>12</v>
      </c>
      <c r="E22" s="168">
        <f>GradeSheet!D17-D22</f>
        <v>17</v>
      </c>
      <c r="F22" s="170"/>
      <c r="G22" s="170"/>
      <c r="H22" s="170"/>
      <c r="I22" s="170"/>
      <c r="J22" s="168">
        <f>INT(GradeSheet!E17/2)</f>
        <v>17</v>
      </c>
      <c r="K22" s="168">
        <f>GradeSheet!E17-J22</f>
        <v>18</v>
      </c>
      <c r="L22" s="168"/>
      <c r="M22" s="170"/>
      <c r="N22" s="170"/>
      <c r="O22" s="170"/>
      <c r="P22" s="171">
        <f>ROUNDUP((RawMarks!M9/30)*10,0)</f>
        <v>9</v>
      </c>
      <c r="Q22" s="172">
        <f>GradeSheet!F17-P22</f>
        <v>17</v>
      </c>
      <c r="R22" s="172"/>
      <c r="S22" s="172"/>
      <c r="T22" s="174"/>
      <c r="U22" s="175"/>
      <c r="V22" s="176"/>
      <c r="W22" s="174"/>
      <c r="X22" s="174"/>
      <c r="Y22" s="174"/>
      <c r="Z22" s="174"/>
      <c r="AA22" s="175"/>
      <c r="AB22" s="177">
        <f t="shared" si="8"/>
        <v>38</v>
      </c>
      <c r="AC22" s="178">
        <f t="shared" si="11"/>
        <v>52</v>
      </c>
      <c r="AD22" s="178">
        <f t="shared" ref="AD22:AE22" si="31">SUM(X22,F22,L22)</f>
        <v>0</v>
      </c>
      <c r="AE22" s="206">
        <f t="shared" si="31"/>
        <v>0</v>
      </c>
      <c r="AF22" s="178">
        <f t="shared" si="13"/>
        <v>0</v>
      </c>
      <c r="AG22" s="206">
        <f t="shared" si="14"/>
        <v>0</v>
      </c>
      <c r="AH22" s="179">
        <f t="shared" ref="AH22:AM22" si="32">IF(AB22 = 0, 0, AB22/AB$14)</f>
        <v>0.9047619048</v>
      </c>
      <c r="AI22" s="179">
        <f t="shared" si="32"/>
        <v>0.8965517241</v>
      </c>
      <c r="AJ22" s="179">
        <f t="shared" si="32"/>
        <v>0</v>
      </c>
      <c r="AK22" s="179">
        <f t="shared" si="32"/>
        <v>0</v>
      </c>
      <c r="AL22" s="179">
        <f t="shared" si="32"/>
        <v>0</v>
      </c>
      <c r="AM22" s="179">
        <f t="shared" si="32"/>
        <v>0</v>
      </c>
      <c r="AN22" s="181">
        <f>IF(OR(GradeSheet!$I17="W (Withdrawn)", GradeSheet!$I17="I (Incomplete)"), 0, IF(AH22&gt;=55%, 1, 0))</f>
        <v>1</v>
      </c>
      <c r="AO22" s="181">
        <f>IF(OR(GradeSheet!$I17="W (Withdrawn)", GradeSheet!$I17="I (Incomplete)"), 0, IF(AI22&gt;=55%, 1, 0))</f>
        <v>1</v>
      </c>
      <c r="AP22" s="181">
        <f>IF(OR(GradeSheet!$I17="W (Withdrawn)", GradeSheet!$I17="I (Incomplete)"), 0, IF(AJ22&gt;=55%, 1, 0))</f>
        <v>0</v>
      </c>
      <c r="AQ22" s="181">
        <f>IF(OR(GradeSheet!$I17="W (Withdrawn)", GradeSheet!$I17="I (Incomplete)"), 0, IF(AK22&gt;=55%, 1, 0))</f>
        <v>0</v>
      </c>
      <c r="AR22" s="181">
        <f>IF(OR(GradeSheet!$I17="W (Withdrawn)", GradeSheet!$I17="I (Incomplete)"), 0, IF(AL22&gt;=55%, 1, 0))</f>
        <v>0</v>
      </c>
      <c r="AS22" s="181">
        <f>IF(OR(GradeSheet!$I17="W (Withdrawn)", GradeSheet!$I17="I (Incomplete)"), 0, IF(AM22&gt;=55%, 1, 0))</f>
        <v>0</v>
      </c>
      <c r="AT22" s="135"/>
      <c r="AU22" s="185">
        <f t="shared" si="16"/>
        <v>0</v>
      </c>
      <c r="AV22" s="185">
        <f t="shared" si="17"/>
        <v>0</v>
      </c>
      <c r="AW22" s="185">
        <f t="array" ref="AW22">IF($AV$9=0,0,MMULT($AH22:$AM22, AV$3:AV$8)/$AV$9)</f>
        <v>0</v>
      </c>
      <c r="AX22" s="185">
        <f t="array" ref="AX22">IF($AW$9=0,0,MMULT($AH22:$AM22, AW$3:AW$8)/$AW$9)</f>
        <v>0</v>
      </c>
      <c r="AY22" s="185">
        <f t="shared" si="18"/>
        <v>0</v>
      </c>
      <c r="AZ22" s="185">
        <f t="array" ref="AZ22">IF($AY$9=0,0,MMULT($AH22:$AM22, AY$3:AY$8)/$AY$9)</f>
        <v>0</v>
      </c>
      <c r="BA22" s="185">
        <f t="array" ref="BA22">IF($AZ$9=0,0,MMULT($AH22:$AM22, AZ$3:AZ$8)/$AZ$9)</f>
        <v>0</v>
      </c>
      <c r="BB22" s="185">
        <f t="array" ref="BB22">IF($BA$9=0,0,MMULT($AH22:$AM22, BA$3:BA$8)/$BA$9)</f>
        <v>0</v>
      </c>
      <c r="BC22" s="185">
        <f t="array" ref="BC22">IF($BB$9=0,0,MMULT($AH22:$AM22, BB$3:BB$8)/$BB$9)</f>
        <v>0</v>
      </c>
      <c r="BD22" s="185">
        <f t="array" ref="BD22">IF($BC$9=0,0,MMULT($AH22:$AM22, BC$3:BC$8)/$BC$9)</f>
        <v>0</v>
      </c>
      <c r="BE22" s="185">
        <f t="shared" si="19"/>
        <v>0</v>
      </c>
      <c r="BF22" s="185">
        <f t="shared" si="20"/>
        <v>0</v>
      </c>
      <c r="BG22" s="181">
        <f>IF(OR(GradeSheet!$I17="W (Withdrawn)", GradeSheet!$I17="I (Incomplete)"), 0, IF(AU22&gt;=65%, 1, 0))</f>
        <v>0</v>
      </c>
      <c r="BH22" s="181">
        <f>IF(OR(GradeSheet!$I17="W (Withdrawn)", GradeSheet!$I17="I (Incomplete)"), 0, IF(AV22&gt;=65%, 1, 0))</f>
        <v>0</v>
      </c>
      <c r="BI22" s="181">
        <f>IF(OR(GradeSheet!$I17="W (Withdrawn)", GradeSheet!$I17="I (Incomplete)"), 0, IF(AW22&gt;=65%, 1, 0))</f>
        <v>0</v>
      </c>
      <c r="BJ22" s="181">
        <f>IF(OR(GradeSheet!$I17="W (Withdrawn)", GradeSheet!$I17="I (Incomplete)"), 0, IF(AX22&gt;=65%, 1, 0))</f>
        <v>0</v>
      </c>
      <c r="BK22" s="181">
        <f>IF(OR(GradeSheet!$I17="W (Withdrawn)", GradeSheet!$I17="I (Incomplete)"), 0, IF(AY22&gt;=65%, 1, 0))</f>
        <v>0</v>
      </c>
      <c r="BL22" s="181">
        <f>IF(OR(GradeSheet!$I17="W (Withdrawn)", GradeSheet!$I17="I (Incomplete)"), 0, IF(AZ22&gt;=65%, 1, 0))</f>
        <v>0</v>
      </c>
      <c r="BM22" s="181">
        <f>IF(OR(GradeSheet!$I17="W (Withdrawn)", GradeSheet!$I17="I (Incomplete)"), 0, IF(BA22&gt;=65%, 1, 0))</f>
        <v>0</v>
      </c>
      <c r="BN22" s="181">
        <f>IF(OR(GradeSheet!$I17="W (Withdrawn)", GradeSheet!$I17="I (Incomplete)"), 0, IF(BB22&gt;=65%, 1, 0))</f>
        <v>0</v>
      </c>
      <c r="BO22" s="181">
        <f>IF(OR(GradeSheet!$I17="W (Withdrawn)", GradeSheet!$I17="I (Incomplete)"), 0, IF(BC22&gt;=65%, 1, 0))</f>
        <v>0</v>
      </c>
      <c r="BP22" s="181">
        <f>IF(OR(GradeSheet!$I17="W (Withdrawn)", GradeSheet!$I17="I (Incomplete)"), 0, IF(BD22&gt;=65%, 1, 0))</f>
        <v>0</v>
      </c>
      <c r="BQ22" s="181">
        <f>IF(OR(GradeSheet!$I17="W (Withdrawn)", GradeSheet!$I17="I (Incomplete)"), 0, IF(BE22&gt;=65%, 1, 0))</f>
        <v>0</v>
      </c>
      <c r="BR22" s="181">
        <f>IF(OR(GradeSheet!$I17="W (Withdrawn)", GradeSheet!$I17="I (Incomplete)"), 0, IF(BF22&gt;=65%, 1, 0))</f>
        <v>0</v>
      </c>
    </row>
    <row r="23" ht="15.75" customHeight="1">
      <c r="A23" s="165">
        <v>9.0</v>
      </c>
      <c r="B23" s="69">
        <v>2.22014057E8</v>
      </c>
      <c r="C23" s="71" t="s">
        <v>96</v>
      </c>
      <c r="D23" s="166">
        <f>ROUNDUP((GradeSheet!D18/30)*12,0)
</f>
        <v>0</v>
      </c>
      <c r="E23" s="168">
        <f>GradeSheet!D18-D23</f>
        <v>0</v>
      </c>
      <c r="F23" s="170"/>
      <c r="G23" s="170"/>
      <c r="H23" s="170"/>
      <c r="I23" s="170"/>
      <c r="J23" s="168">
        <f>INT(GradeSheet!E18/2)</f>
        <v>0</v>
      </c>
      <c r="K23" s="168">
        <f>GradeSheet!E18-J23</f>
        <v>0</v>
      </c>
      <c r="L23" s="168"/>
      <c r="M23" s="170"/>
      <c r="N23" s="170"/>
      <c r="O23" s="170"/>
      <c r="P23" s="171">
        <f>ROUNDUP((RawMarks!M10/30)*10,0)</f>
        <v>0</v>
      </c>
      <c r="Q23" s="172">
        <f>GradeSheet!F18-P23</f>
        <v>0</v>
      </c>
      <c r="R23" s="172"/>
      <c r="S23" s="172"/>
      <c r="T23" s="174"/>
      <c r="U23" s="175"/>
      <c r="V23" s="176"/>
      <c r="W23" s="174"/>
      <c r="X23" s="174"/>
      <c r="Y23" s="174"/>
      <c r="Z23" s="174"/>
      <c r="AA23" s="175"/>
      <c r="AB23" s="177">
        <f t="shared" si="8"/>
        <v>0</v>
      </c>
      <c r="AC23" s="178">
        <f t="shared" si="11"/>
        <v>0</v>
      </c>
      <c r="AD23" s="178">
        <f t="shared" ref="AD23:AE23" si="33">SUM(X23,F23,L23)</f>
        <v>0</v>
      </c>
      <c r="AE23" s="206">
        <f t="shared" si="33"/>
        <v>0</v>
      </c>
      <c r="AF23" s="178">
        <f t="shared" si="13"/>
        <v>0</v>
      </c>
      <c r="AG23" s="206">
        <f t="shared" si="14"/>
        <v>0</v>
      </c>
      <c r="AH23" s="179">
        <f t="shared" ref="AH23:AM23" si="34">IF(AB23 = 0, 0, AB23/AB$14)</f>
        <v>0</v>
      </c>
      <c r="AI23" s="179">
        <f t="shared" si="34"/>
        <v>0</v>
      </c>
      <c r="AJ23" s="179">
        <f t="shared" si="34"/>
        <v>0</v>
      </c>
      <c r="AK23" s="179">
        <f t="shared" si="34"/>
        <v>0</v>
      </c>
      <c r="AL23" s="179">
        <f t="shared" si="34"/>
        <v>0</v>
      </c>
      <c r="AM23" s="179">
        <f t="shared" si="34"/>
        <v>0</v>
      </c>
      <c r="AN23" s="181">
        <f>IF(OR(GradeSheet!$I18="W (Withdrawn)", GradeSheet!$I18="I (Incomplete)"), 0, IF(AH23&gt;=55%, 1, 0))</f>
        <v>0</v>
      </c>
      <c r="AO23" s="181">
        <f>IF(OR(GradeSheet!$I18="W (Withdrawn)", GradeSheet!$I18="I (Incomplete)"), 0, IF(AI23&gt;=55%, 1, 0))</f>
        <v>0</v>
      </c>
      <c r="AP23" s="181">
        <f>IF(OR(GradeSheet!$I18="W (Withdrawn)", GradeSheet!$I18="I (Incomplete)"), 0, IF(AJ23&gt;=55%, 1, 0))</f>
        <v>0</v>
      </c>
      <c r="AQ23" s="181">
        <f>IF(OR(GradeSheet!$I18="W (Withdrawn)", GradeSheet!$I18="I (Incomplete)"), 0, IF(AK23&gt;=55%, 1, 0))</f>
        <v>0</v>
      </c>
      <c r="AR23" s="181">
        <f>IF(OR(GradeSheet!$I18="W (Withdrawn)", GradeSheet!$I18="I (Incomplete)"), 0, IF(AL23&gt;=55%, 1, 0))</f>
        <v>0</v>
      </c>
      <c r="AS23" s="181">
        <f>IF(OR(GradeSheet!$I18="W (Withdrawn)", GradeSheet!$I18="I (Incomplete)"), 0, IF(AM23&gt;=55%, 1, 0))</f>
        <v>0</v>
      </c>
      <c r="AT23" s="135"/>
      <c r="AU23" s="185">
        <f t="shared" si="16"/>
        <v>0</v>
      </c>
      <c r="AV23" s="185">
        <f t="shared" si="17"/>
        <v>0</v>
      </c>
      <c r="AW23" s="185">
        <f t="array" ref="AW23">IF($AV$9=0,0,MMULT($AH23:$AM23, AV$3:AV$8)/$AV$9)</f>
        <v>0</v>
      </c>
      <c r="AX23" s="185">
        <f t="array" ref="AX23">IF($AW$9=0,0,MMULT($AH23:$AM23, AW$3:AW$8)/$AW$9)</f>
        <v>0</v>
      </c>
      <c r="AY23" s="185">
        <f t="shared" si="18"/>
        <v>0</v>
      </c>
      <c r="AZ23" s="185">
        <f t="array" ref="AZ23">IF($AY$9=0,0,MMULT($AH23:$AM23, AY$3:AY$8)/$AY$9)</f>
        <v>0</v>
      </c>
      <c r="BA23" s="185">
        <f t="array" ref="BA23">IF($AZ$9=0,0,MMULT($AH23:$AM23, AZ$3:AZ$8)/$AZ$9)</f>
        <v>0</v>
      </c>
      <c r="BB23" s="185">
        <f t="array" ref="BB23">IF($BA$9=0,0,MMULT($AH23:$AM23, BA$3:BA$8)/$BA$9)</f>
        <v>0</v>
      </c>
      <c r="BC23" s="185">
        <f t="array" ref="BC23">IF($BB$9=0,0,MMULT($AH23:$AM23, BB$3:BB$8)/$BB$9)</f>
        <v>0</v>
      </c>
      <c r="BD23" s="185">
        <f t="array" ref="BD23">IF($BC$9=0,0,MMULT($AH23:$AM23, BC$3:BC$8)/$BC$9)</f>
        <v>0</v>
      </c>
      <c r="BE23" s="185">
        <f t="shared" si="19"/>
        <v>0</v>
      </c>
      <c r="BF23" s="185">
        <f t="shared" si="20"/>
        <v>0</v>
      </c>
      <c r="BG23" s="181">
        <f>IF(OR(GradeSheet!$I18="W (Withdrawn)", GradeSheet!$I18="I (Incomplete)"), 0, IF(AU23&gt;=65%, 1, 0))</f>
        <v>0</v>
      </c>
      <c r="BH23" s="181">
        <f>IF(OR(GradeSheet!$I18="W (Withdrawn)", GradeSheet!$I18="I (Incomplete)"), 0, IF(AV23&gt;=65%, 1, 0))</f>
        <v>0</v>
      </c>
      <c r="BI23" s="181">
        <f>IF(OR(GradeSheet!$I18="W (Withdrawn)", GradeSheet!$I18="I (Incomplete)"), 0, IF(AW23&gt;=65%, 1, 0))</f>
        <v>0</v>
      </c>
      <c r="BJ23" s="181">
        <f>IF(OR(GradeSheet!$I18="W (Withdrawn)", GradeSheet!$I18="I (Incomplete)"), 0, IF(AX23&gt;=65%, 1, 0))</f>
        <v>0</v>
      </c>
      <c r="BK23" s="181">
        <f>IF(OR(GradeSheet!$I18="W (Withdrawn)", GradeSheet!$I18="I (Incomplete)"), 0, IF(AY23&gt;=65%, 1, 0))</f>
        <v>0</v>
      </c>
      <c r="BL23" s="181">
        <f>IF(OR(GradeSheet!$I18="W (Withdrawn)", GradeSheet!$I18="I (Incomplete)"), 0, IF(AZ23&gt;=65%, 1, 0))</f>
        <v>0</v>
      </c>
      <c r="BM23" s="181">
        <f>IF(OR(GradeSheet!$I18="W (Withdrawn)", GradeSheet!$I18="I (Incomplete)"), 0, IF(BA23&gt;=65%, 1, 0))</f>
        <v>0</v>
      </c>
      <c r="BN23" s="181">
        <f>IF(OR(GradeSheet!$I18="W (Withdrawn)", GradeSheet!$I18="I (Incomplete)"), 0, IF(BB23&gt;=65%, 1, 0))</f>
        <v>0</v>
      </c>
      <c r="BO23" s="181">
        <f>IF(OR(GradeSheet!$I18="W (Withdrawn)", GradeSheet!$I18="I (Incomplete)"), 0, IF(BC23&gt;=65%, 1, 0))</f>
        <v>0</v>
      </c>
      <c r="BP23" s="181">
        <f>IF(OR(GradeSheet!$I18="W (Withdrawn)", GradeSheet!$I18="I (Incomplete)"), 0, IF(BD23&gt;=65%, 1, 0))</f>
        <v>0</v>
      </c>
      <c r="BQ23" s="181">
        <f>IF(OR(GradeSheet!$I18="W (Withdrawn)", GradeSheet!$I18="I (Incomplete)"), 0, IF(BE23&gt;=65%, 1, 0))</f>
        <v>0</v>
      </c>
      <c r="BR23" s="181">
        <f>IF(OR(GradeSheet!$I18="W (Withdrawn)", GradeSheet!$I18="I (Incomplete)"), 0, IF(BF23&gt;=65%, 1, 0))</f>
        <v>0</v>
      </c>
    </row>
    <row r="24" ht="15.75" customHeight="1">
      <c r="A24" s="201">
        <v>10.0</v>
      </c>
      <c r="B24" s="69">
        <v>2.22014059E8</v>
      </c>
      <c r="C24" s="71" t="s">
        <v>97</v>
      </c>
      <c r="D24" s="166">
        <f>ROUNDUP((GradeSheet!D19/30)*12,0)
</f>
        <v>0</v>
      </c>
      <c r="E24" s="168">
        <f>GradeSheet!D19-D24</f>
        <v>0</v>
      </c>
      <c r="F24" s="170"/>
      <c r="G24" s="170"/>
      <c r="H24" s="170"/>
      <c r="I24" s="170"/>
      <c r="J24" s="168">
        <f>INT(GradeSheet!E19/2)</f>
        <v>0</v>
      </c>
      <c r="K24" s="168">
        <f>GradeSheet!E19-J24</f>
        <v>0</v>
      </c>
      <c r="L24" s="168"/>
      <c r="M24" s="170"/>
      <c r="N24" s="170"/>
      <c r="O24" s="170"/>
      <c r="P24" s="171">
        <f>ROUNDUP((RawMarks!M11/30)*10,0)</f>
        <v>0</v>
      </c>
      <c r="Q24" s="172">
        <f>GradeSheet!F19-P24</f>
        <v>0</v>
      </c>
      <c r="R24" s="172"/>
      <c r="S24" s="172"/>
      <c r="T24" s="174"/>
      <c r="U24" s="175"/>
      <c r="V24" s="176"/>
      <c r="W24" s="174"/>
      <c r="X24" s="174"/>
      <c r="Y24" s="174"/>
      <c r="Z24" s="174"/>
      <c r="AA24" s="175"/>
      <c r="AB24" s="177">
        <f t="shared" si="8"/>
        <v>0</v>
      </c>
      <c r="AC24" s="178">
        <f t="shared" si="11"/>
        <v>0</v>
      </c>
      <c r="AD24" s="178">
        <f t="shared" ref="AD24:AE24" si="35">SUM(X24,F24,L24)</f>
        <v>0</v>
      </c>
      <c r="AE24" s="206">
        <f t="shared" si="35"/>
        <v>0</v>
      </c>
      <c r="AF24" s="178">
        <f t="shared" si="13"/>
        <v>0</v>
      </c>
      <c r="AG24" s="206">
        <f t="shared" si="14"/>
        <v>0</v>
      </c>
      <c r="AH24" s="179">
        <f t="shared" ref="AH24:AM24" si="36">IF(AB24 = 0, 0, AB24/AB$14)</f>
        <v>0</v>
      </c>
      <c r="AI24" s="179">
        <f t="shared" si="36"/>
        <v>0</v>
      </c>
      <c r="AJ24" s="179">
        <f t="shared" si="36"/>
        <v>0</v>
      </c>
      <c r="AK24" s="179">
        <f t="shared" si="36"/>
        <v>0</v>
      </c>
      <c r="AL24" s="179">
        <f t="shared" si="36"/>
        <v>0</v>
      </c>
      <c r="AM24" s="179">
        <f t="shared" si="36"/>
        <v>0</v>
      </c>
      <c r="AN24" s="181">
        <f>IF(OR(GradeSheet!$I19="W (Withdrawn)", GradeSheet!$I19="I (Incomplete)"), 0, IF(AH24&gt;=55%, 1, 0))</f>
        <v>0</v>
      </c>
      <c r="AO24" s="181">
        <f>IF(OR(GradeSheet!$I19="W (Withdrawn)", GradeSheet!$I19="I (Incomplete)"), 0, IF(AI24&gt;=55%, 1, 0))</f>
        <v>0</v>
      </c>
      <c r="AP24" s="181">
        <f>IF(OR(GradeSheet!$I19="W (Withdrawn)", GradeSheet!$I19="I (Incomplete)"), 0, IF(AJ24&gt;=55%, 1, 0))</f>
        <v>0</v>
      </c>
      <c r="AQ24" s="181">
        <f>IF(OR(GradeSheet!$I19="W (Withdrawn)", GradeSheet!$I19="I (Incomplete)"), 0, IF(AK24&gt;=55%, 1, 0))</f>
        <v>0</v>
      </c>
      <c r="AR24" s="181">
        <f>IF(OR(GradeSheet!$I19="W (Withdrawn)", GradeSheet!$I19="I (Incomplete)"), 0, IF(AL24&gt;=55%, 1, 0))</f>
        <v>0</v>
      </c>
      <c r="AS24" s="181">
        <f>IF(OR(GradeSheet!$I19="W (Withdrawn)", GradeSheet!$I19="I (Incomplete)"), 0, IF(AM24&gt;=55%, 1, 0))</f>
        <v>0</v>
      </c>
      <c r="AT24" s="135"/>
      <c r="AU24" s="185">
        <f t="shared" si="16"/>
        <v>0</v>
      </c>
      <c r="AV24" s="185">
        <f t="shared" si="17"/>
        <v>0</v>
      </c>
      <c r="AW24" s="185">
        <f t="array" ref="AW24">IF($AV$9=0,0,MMULT($AH24:$AM24, AV$3:AV$8)/$AV$9)</f>
        <v>0</v>
      </c>
      <c r="AX24" s="185">
        <f t="array" ref="AX24">IF($AW$9=0,0,MMULT($AH24:$AM24, AW$3:AW$8)/$AW$9)</f>
        <v>0</v>
      </c>
      <c r="AY24" s="185">
        <f t="shared" si="18"/>
        <v>0</v>
      </c>
      <c r="AZ24" s="185">
        <f t="array" ref="AZ24">IF($AY$9=0,0,MMULT($AH24:$AM24, AY$3:AY$8)/$AY$9)</f>
        <v>0</v>
      </c>
      <c r="BA24" s="185">
        <f t="array" ref="BA24">IF($AZ$9=0,0,MMULT($AH24:$AM24, AZ$3:AZ$8)/$AZ$9)</f>
        <v>0</v>
      </c>
      <c r="BB24" s="185">
        <f t="array" ref="BB24">IF($BA$9=0,0,MMULT($AH24:$AM24, BA$3:BA$8)/$BA$9)</f>
        <v>0</v>
      </c>
      <c r="BC24" s="185">
        <f t="array" ref="BC24">IF($BB$9=0,0,MMULT($AH24:$AM24, BB$3:BB$8)/$BB$9)</f>
        <v>0</v>
      </c>
      <c r="BD24" s="185">
        <f t="array" ref="BD24">IF($BC$9=0,0,MMULT($AH24:$AM24, BC$3:BC$8)/$BC$9)</f>
        <v>0</v>
      </c>
      <c r="BE24" s="185">
        <f t="shared" si="19"/>
        <v>0</v>
      </c>
      <c r="BF24" s="185">
        <f t="shared" si="20"/>
        <v>0</v>
      </c>
      <c r="BG24" s="181">
        <f>IF(OR(GradeSheet!$I19="W (Withdrawn)", GradeSheet!$I19="I (Incomplete)"), 0, IF(AU24&gt;=65%, 1, 0))</f>
        <v>0</v>
      </c>
      <c r="BH24" s="181">
        <f>IF(OR(GradeSheet!$I19="W (Withdrawn)", GradeSheet!$I19="I (Incomplete)"), 0, IF(AV24&gt;=65%, 1, 0))</f>
        <v>0</v>
      </c>
      <c r="BI24" s="181">
        <f>IF(OR(GradeSheet!$I19="W (Withdrawn)", GradeSheet!$I19="I (Incomplete)"), 0, IF(AW24&gt;=65%, 1, 0))</f>
        <v>0</v>
      </c>
      <c r="BJ24" s="181">
        <f>IF(OR(GradeSheet!$I19="W (Withdrawn)", GradeSheet!$I19="I (Incomplete)"), 0, IF(AX24&gt;=65%, 1, 0))</f>
        <v>0</v>
      </c>
      <c r="BK24" s="181">
        <f>IF(OR(GradeSheet!$I19="W (Withdrawn)", GradeSheet!$I19="I (Incomplete)"), 0, IF(AY24&gt;=65%, 1, 0))</f>
        <v>0</v>
      </c>
      <c r="BL24" s="181">
        <f>IF(OR(GradeSheet!$I19="W (Withdrawn)", GradeSheet!$I19="I (Incomplete)"), 0, IF(AZ24&gt;=65%, 1, 0))</f>
        <v>0</v>
      </c>
      <c r="BM24" s="181">
        <f>IF(OR(GradeSheet!$I19="W (Withdrawn)", GradeSheet!$I19="I (Incomplete)"), 0, IF(BA24&gt;=65%, 1, 0))</f>
        <v>0</v>
      </c>
      <c r="BN24" s="181">
        <f>IF(OR(GradeSheet!$I19="W (Withdrawn)", GradeSheet!$I19="I (Incomplete)"), 0, IF(BB24&gt;=65%, 1, 0))</f>
        <v>0</v>
      </c>
      <c r="BO24" s="181">
        <f>IF(OR(GradeSheet!$I19="W (Withdrawn)", GradeSheet!$I19="I (Incomplete)"), 0, IF(BC24&gt;=65%, 1, 0))</f>
        <v>0</v>
      </c>
      <c r="BP24" s="181">
        <f>IF(OR(GradeSheet!$I19="W (Withdrawn)", GradeSheet!$I19="I (Incomplete)"), 0, IF(BD24&gt;=65%, 1, 0))</f>
        <v>0</v>
      </c>
      <c r="BQ24" s="181">
        <f>IF(OR(GradeSheet!$I19="W (Withdrawn)", GradeSheet!$I19="I (Incomplete)"), 0, IF(BE24&gt;=65%, 1, 0))</f>
        <v>0</v>
      </c>
      <c r="BR24" s="181">
        <f>IF(OR(GradeSheet!$I19="W (Withdrawn)", GradeSheet!$I19="I (Incomplete)"), 0, IF(BF24&gt;=65%, 1, 0))</f>
        <v>0</v>
      </c>
    </row>
    <row r="25" ht="15.75" customHeight="1">
      <c r="A25" s="165">
        <v>11.0</v>
      </c>
      <c r="B25" s="69">
        <v>2.2201409E8</v>
      </c>
      <c r="C25" s="71" t="s">
        <v>100</v>
      </c>
      <c r="D25" s="166">
        <f>ROUNDUP((GradeSheet!D20/30)*12,0)
</f>
        <v>5</v>
      </c>
      <c r="E25" s="168">
        <f>GradeSheet!D20-D25</f>
        <v>7</v>
      </c>
      <c r="F25" s="170"/>
      <c r="G25" s="170"/>
      <c r="H25" s="170"/>
      <c r="I25" s="170"/>
      <c r="J25" s="168">
        <f>INT(GradeSheet!E20/2)</f>
        <v>12</v>
      </c>
      <c r="K25" s="168">
        <f>GradeSheet!E20-J25</f>
        <v>13</v>
      </c>
      <c r="L25" s="168"/>
      <c r="M25" s="170"/>
      <c r="N25" s="170"/>
      <c r="O25" s="170"/>
      <c r="P25" s="171">
        <f>ROUNDUP((RawMarks!M12/30)*10,0)</f>
        <v>8</v>
      </c>
      <c r="Q25" s="172">
        <f>GradeSheet!F20-P25</f>
        <v>16</v>
      </c>
      <c r="R25" s="172"/>
      <c r="S25" s="172"/>
      <c r="T25" s="174"/>
      <c r="U25" s="175"/>
      <c r="V25" s="176"/>
      <c r="W25" s="174"/>
      <c r="X25" s="174"/>
      <c r="Y25" s="174"/>
      <c r="Z25" s="174"/>
      <c r="AA25" s="175"/>
      <c r="AB25" s="177">
        <f t="shared" si="8"/>
        <v>25</v>
      </c>
      <c r="AC25" s="178">
        <f t="shared" si="11"/>
        <v>36</v>
      </c>
      <c r="AD25" s="178">
        <f t="shared" ref="AD25:AE25" si="37">SUM(X25,F25,L25)</f>
        <v>0</v>
      </c>
      <c r="AE25" s="206">
        <f t="shared" si="37"/>
        <v>0</v>
      </c>
      <c r="AF25" s="178">
        <f t="shared" si="13"/>
        <v>0</v>
      </c>
      <c r="AG25" s="206">
        <f t="shared" si="14"/>
        <v>0</v>
      </c>
      <c r="AH25" s="179">
        <f t="shared" ref="AH25:AM25" si="38">IF(AB25 = 0, 0, AB25/AB$14)</f>
        <v>0.5952380952</v>
      </c>
      <c r="AI25" s="179">
        <f t="shared" si="38"/>
        <v>0.6206896552</v>
      </c>
      <c r="AJ25" s="179">
        <f t="shared" si="38"/>
        <v>0</v>
      </c>
      <c r="AK25" s="179">
        <f t="shared" si="38"/>
        <v>0</v>
      </c>
      <c r="AL25" s="179">
        <f t="shared" si="38"/>
        <v>0</v>
      </c>
      <c r="AM25" s="179">
        <f t="shared" si="38"/>
        <v>0</v>
      </c>
      <c r="AN25" s="181">
        <f>IF(OR(GradeSheet!$I20="W (Withdrawn)", GradeSheet!$I20="I (Incomplete)"), 0, IF(AH25&gt;=55%, 1, 0))</f>
        <v>1</v>
      </c>
      <c r="AO25" s="181">
        <f>IF(OR(GradeSheet!$I20="W (Withdrawn)", GradeSheet!$I20="I (Incomplete)"), 0, IF(AI25&gt;=55%, 1, 0))</f>
        <v>1</v>
      </c>
      <c r="AP25" s="181">
        <f>IF(OR(GradeSheet!$I20="W (Withdrawn)", GradeSheet!$I20="I (Incomplete)"), 0, IF(AJ25&gt;=55%, 1, 0))</f>
        <v>0</v>
      </c>
      <c r="AQ25" s="181">
        <f>IF(OR(GradeSheet!$I20="W (Withdrawn)", GradeSheet!$I20="I (Incomplete)"), 0, IF(AK25&gt;=55%, 1, 0))</f>
        <v>0</v>
      </c>
      <c r="AR25" s="181">
        <f>IF(OR(GradeSheet!$I20="W (Withdrawn)", GradeSheet!$I20="I (Incomplete)"), 0, IF(AL25&gt;=55%, 1, 0))</f>
        <v>0</v>
      </c>
      <c r="AS25" s="181">
        <f>IF(OR(GradeSheet!$I20="W (Withdrawn)", GradeSheet!$I20="I (Incomplete)"), 0, IF(AM25&gt;=55%, 1, 0))</f>
        <v>0</v>
      </c>
      <c r="AT25" s="135"/>
      <c r="AU25" s="185">
        <f t="shared" si="16"/>
        <v>0</v>
      </c>
      <c r="AV25" s="185">
        <f t="shared" si="17"/>
        <v>0</v>
      </c>
      <c r="AW25" s="185">
        <f t="array" ref="AW25">IF($AV$9=0,0,MMULT($AH25:$AM25, AV$3:AV$8)/$AV$9)</f>
        <v>0</v>
      </c>
      <c r="AX25" s="185">
        <f t="array" ref="AX25">IF($AW$9=0,0,MMULT($AH25:$AM25, AW$3:AW$8)/$AW$9)</f>
        <v>0</v>
      </c>
      <c r="AY25" s="185">
        <f t="shared" si="18"/>
        <v>0</v>
      </c>
      <c r="AZ25" s="185">
        <f t="array" ref="AZ25">IF($AY$9=0,0,MMULT($AH25:$AM25, AY$3:AY$8)/$AY$9)</f>
        <v>0</v>
      </c>
      <c r="BA25" s="185">
        <f t="array" ref="BA25">IF($AZ$9=0,0,MMULT($AH25:$AM25, AZ$3:AZ$8)/$AZ$9)</f>
        <v>0</v>
      </c>
      <c r="BB25" s="185">
        <f t="array" ref="BB25">IF($BA$9=0,0,MMULT($AH25:$AM25, BA$3:BA$8)/$BA$9)</f>
        <v>0</v>
      </c>
      <c r="BC25" s="185">
        <f t="array" ref="BC25">IF($BB$9=0,0,MMULT($AH25:$AM25, BB$3:BB$8)/$BB$9)</f>
        <v>0</v>
      </c>
      <c r="BD25" s="185">
        <f t="array" ref="BD25">IF($BC$9=0,0,MMULT($AH25:$AM25, BC$3:BC$8)/$BC$9)</f>
        <v>0</v>
      </c>
      <c r="BE25" s="185">
        <f t="shared" si="19"/>
        <v>0</v>
      </c>
      <c r="BF25" s="185">
        <f t="shared" si="20"/>
        <v>0</v>
      </c>
      <c r="BG25" s="181">
        <f>IF(OR(GradeSheet!$I20="W (Withdrawn)", GradeSheet!$I20="I (Incomplete)"), 0, IF(AU25&gt;=65%, 1, 0))</f>
        <v>0</v>
      </c>
      <c r="BH25" s="181">
        <f>IF(OR(GradeSheet!$I20="W (Withdrawn)", GradeSheet!$I20="I (Incomplete)"), 0, IF(AV25&gt;=65%, 1, 0))</f>
        <v>0</v>
      </c>
      <c r="BI25" s="181">
        <f>IF(OR(GradeSheet!$I20="W (Withdrawn)", GradeSheet!$I20="I (Incomplete)"), 0, IF(AW25&gt;=65%, 1, 0))</f>
        <v>0</v>
      </c>
      <c r="BJ25" s="181">
        <f>IF(OR(GradeSheet!$I20="W (Withdrawn)", GradeSheet!$I20="I (Incomplete)"), 0, IF(AX25&gt;=65%, 1, 0))</f>
        <v>0</v>
      </c>
      <c r="BK25" s="181">
        <f>IF(OR(GradeSheet!$I20="W (Withdrawn)", GradeSheet!$I20="I (Incomplete)"), 0, IF(AY25&gt;=65%, 1, 0))</f>
        <v>0</v>
      </c>
      <c r="BL25" s="181">
        <f>IF(OR(GradeSheet!$I20="W (Withdrawn)", GradeSheet!$I20="I (Incomplete)"), 0, IF(AZ25&gt;=65%, 1, 0))</f>
        <v>0</v>
      </c>
      <c r="BM25" s="181">
        <f>IF(OR(GradeSheet!$I20="W (Withdrawn)", GradeSheet!$I20="I (Incomplete)"), 0, IF(BA25&gt;=65%, 1, 0))</f>
        <v>0</v>
      </c>
      <c r="BN25" s="181">
        <f>IF(OR(GradeSheet!$I20="W (Withdrawn)", GradeSheet!$I20="I (Incomplete)"), 0, IF(BB25&gt;=65%, 1, 0))</f>
        <v>0</v>
      </c>
      <c r="BO25" s="181">
        <f>IF(OR(GradeSheet!$I20="W (Withdrawn)", GradeSheet!$I20="I (Incomplete)"), 0, IF(BC25&gt;=65%, 1, 0))</f>
        <v>0</v>
      </c>
      <c r="BP25" s="181">
        <f>IF(OR(GradeSheet!$I20="W (Withdrawn)", GradeSheet!$I20="I (Incomplete)"), 0, IF(BD25&gt;=65%, 1, 0))</f>
        <v>0</v>
      </c>
      <c r="BQ25" s="181">
        <f>IF(OR(GradeSheet!$I20="W (Withdrawn)", GradeSheet!$I20="I (Incomplete)"), 0, IF(BE25&gt;=65%, 1, 0))</f>
        <v>0</v>
      </c>
      <c r="BR25" s="181">
        <f>IF(OR(GradeSheet!$I20="W (Withdrawn)", GradeSheet!$I20="I (Incomplete)"), 0, IF(BF25&gt;=65%, 1, 0))</f>
        <v>0</v>
      </c>
    </row>
    <row r="26" ht="15.75" customHeight="1">
      <c r="A26" s="201">
        <v>12.0</v>
      </c>
      <c r="B26" s="69">
        <v>2.22014097E8</v>
      </c>
      <c r="C26" s="71" t="s">
        <v>103</v>
      </c>
      <c r="D26" s="166">
        <f>ROUNDUP((GradeSheet!D21/30)*12,0)
</f>
        <v>6</v>
      </c>
      <c r="E26" s="168">
        <f>GradeSheet!D21-D26</f>
        <v>7</v>
      </c>
      <c r="F26" s="170"/>
      <c r="G26" s="170"/>
      <c r="H26" s="170"/>
      <c r="I26" s="170"/>
      <c r="J26" s="168">
        <f>INT(GradeSheet!E21/2)</f>
        <v>12</v>
      </c>
      <c r="K26" s="168">
        <f>GradeSheet!E21-J26</f>
        <v>13</v>
      </c>
      <c r="L26" s="168"/>
      <c r="M26" s="170"/>
      <c r="N26" s="170"/>
      <c r="O26" s="170"/>
      <c r="P26" s="171">
        <f>ROUNDUP((RawMarks!M13/30)*10,0)</f>
        <v>5</v>
      </c>
      <c r="Q26" s="172">
        <f>GradeSheet!F21-P26</f>
        <v>9</v>
      </c>
      <c r="R26" s="172"/>
      <c r="S26" s="172"/>
      <c r="T26" s="174"/>
      <c r="U26" s="175"/>
      <c r="V26" s="176"/>
      <c r="W26" s="174"/>
      <c r="X26" s="174"/>
      <c r="Y26" s="174"/>
      <c r="Z26" s="174"/>
      <c r="AA26" s="175"/>
      <c r="AB26" s="177">
        <f t="shared" si="8"/>
        <v>23</v>
      </c>
      <c r="AC26" s="178">
        <f t="shared" si="11"/>
        <v>29</v>
      </c>
      <c r="AD26" s="178">
        <f t="shared" ref="AD26:AE26" si="39">SUM(X26,F26,L26)</f>
        <v>0</v>
      </c>
      <c r="AE26" s="206">
        <f t="shared" si="39"/>
        <v>0</v>
      </c>
      <c r="AF26" s="178">
        <f t="shared" si="13"/>
        <v>0</v>
      </c>
      <c r="AG26" s="206">
        <f t="shared" si="14"/>
        <v>0</v>
      </c>
      <c r="AH26" s="179">
        <f t="shared" ref="AH26:AM26" si="40">IF(AB26 = 0, 0, AB26/AB$14)</f>
        <v>0.5476190476</v>
      </c>
      <c r="AI26" s="179">
        <f t="shared" si="40"/>
        <v>0.5</v>
      </c>
      <c r="AJ26" s="179">
        <f t="shared" si="40"/>
        <v>0</v>
      </c>
      <c r="AK26" s="179">
        <f t="shared" si="40"/>
        <v>0</v>
      </c>
      <c r="AL26" s="179">
        <f t="shared" si="40"/>
        <v>0</v>
      </c>
      <c r="AM26" s="179">
        <f t="shared" si="40"/>
        <v>0</v>
      </c>
      <c r="AN26" s="181">
        <f>IF(OR(GradeSheet!$I21="W (Withdrawn)", GradeSheet!$I21="I (Incomplete)"), 0, IF(AH26&gt;=55%, 1, 0))</f>
        <v>0</v>
      </c>
      <c r="AO26" s="181">
        <f>IF(OR(GradeSheet!$I21="W (Withdrawn)", GradeSheet!$I21="I (Incomplete)"), 0, IF(AI26&gt;=55%, 1, 0))</f>
        <v>0</v>
      </c>
      <c r="AP26" s="181">
        <f>IF(OR(GradeSheet!$I21="W (Withdrawn)", GradeSheet!$I21="I (Incomplete)"), 0, IF(AJ26&gt;=55%, 1, 0))</f>
        <v>0</v>
      </c>
      <c r="AQ26" s="181">
        <f>IF(OR(GradeSheet!$I21="W (Withdrawn)", GradeSheet!$I21="I (Incomplete)"), 0, IF(AK26&gt;=55%, 1, 0))</f>
        <v>0</v>
      </c>
      <c r="AR26" s="181">
        <f>IF(OR(GradeSheet!$I21="W (Withdrawn)", GradeSheet!$I21="I (Incomplete)"), 0, IF(AL26&gt;=55%, 1, 0))</f>
        <v>0</v>
      </c>
      <c r="AS26" s="181">
        <f>IF(OR(GradeSheet!$I21="W (Withdrawn)", GradeSheet!$I21="I (Incomplete)"), 0, IF(AM26&gt;=55%, 1, 0))</f>
        <v>0</v>
      </c>
      <c r="AT26" s="135"/>
      <c r="AU26" s="185">
        <f t="shared" si="16"/>
        <v>0</v>
      </c>
      <c r="AV26" s="185">
        <f t="shared" si="17"/>
        <v>0</v>
      </c>
      <c r="AW26" s="185">
        <f t="array" ref="AW26">IF($AV$9=0,0,MMULT($AH26:$AM26, AV$3:AV$8)/$AV$9)</f>
        <v>0</v>
      </c>
      <c r="AX26" s="185">
        <f t="array" ref="AX26">IF($AW$9=0,0,MMULT($AH26:$AM26, AW$3:AW$8)/$AW$9)</f>
        <v>0</v>
      </c>
      <c r="AY26" s="185">
        <f t="shared" si="18"/>
        <v>0</v>
      </c>
      <c r="AZ26" s="185">
        <f t="array" ref="AZ26">IF($AY$9=0,0,MMULT($AH26:$AM26, AY$3:AY$8)/$AY$9)</f>
        <v>0</v>
      </c>
      <c r="BA26" s="185">
        <f t="array" ref="BA26">IF($AZ$9=0,0,MMULT($AH26:$AM26, AZ$3:AZ$8)/$AZ$9)</f>
        <v>0</v>
      </c>
      <c r="BB26" s="185">
        <f t="array" ref="BB26">IF($BA$9=0,0,MMULT($AH26:$AM26, BA$3:BA$8)/$BA$9)</f>
        <v>0</v>
      </c>
      <c r="BC26" s="185">
        <f t="array" ref="BC26">IF($BB$9=0,0,MMULT($AH26:$AM26, BB$3:BB$8)/$BB$9)</f>
        <v>0</v>
      </c>
      <c r="BD26" s="185">
        <f t="array" ref="BD26">IF($BC$9=0,0,MMULT($AH26:$AM26, BC$3:BC$8)/$BC$9)</f>
        <v>0</v>
      </c>
      <c r="BE26" s="185">
        <f t="shared" si="19"/>
        <v>0</v>
      </c>
      <c r="BF26" s="185">
        <f t="shared" si="20"/>
        <v>0</v>
      </c>
      <c r="BG26" s="181">
        <f>IF(OR(GradeSheet!$I21="W (Withdrawn)", GradeSheet!$I21="I (Incomplete)"), 0, IF(AU26&gt;=65%, 1, 0))</f>
        <v>0</v>
      </c>
      <c r="BH26" s="181">
        <f>IF(OR(GradeSheet!$I21="W (Withdrawn)", GradeSheet!$I21="I (Incomplete)"), 0, IF(AV26&gt;=65%, 1, 0))</f>
        <v>0</v>
      </c>
      <c r="BI26" s="181">
        <f>IF(OR(GradeSheet!$I21="W (Withdrawn)", GradeSheet!$I21="I (Incomplete)"), 0, IF(AW26&gt;=65%, 1, 0))</f>
        <v>0</v>
      </c>
      <c r="BJ26" s="181">
        <f>IF(OR(GradeSheet!$I21="W (Withdrawn)", GradeSheet!$I21="I (Incomplete)"), 0, IF(AX26&gt;=65%, 1, 0))</f>
        <v>0</v>
      </c>
      <c r="BK26" s="181">
        <f>IF(OR(GradeSheet!$I21="W (Withdrawn)", GradeSheet!$I21="I (Incomplete)"), 0, IF(AY26&gt;=65%, 1, 0))</f>
        <v>0</v>
      </c>
      <c r="BL26" s="181">
        <f>IF(OR(GradeSheet!$I21="W (Withdrawn)", GradeSheet!$I21="I (Incomplete)"), 0, IF(AZ26&gt;=65%, 1, 0))</f>
        <v>0</v>
      </c>
      <c r="BM26" s="181">
        <f>IF(OR(GradeSheet!$I21="W (Withdrawn)", GradeSheet!$I21="I (Incomplete)"), 0, IF(BA26&gt;=65%, 1, 0))</f>
        <v>0</v>
      </c>
      <c r="BN26" s="181">
        <f>IF(OR(GradeSheet!$I21="W (Withdrawn)", GradeSheet!$I21="I (Incomplete)"), 0, IF(BB26&gt;=65%, 1, 0))</f>
        <v>0</v>
      </c>
      <c r="BO26" s="181">
        <f>IF(OR(GradeSheet!$I21="W (Withdrawn)", GradeSheet!$I21="I (Incomplete)"), 0, IF(BC26&gt;=65%, 1, 0))</f>
        <v>0</v>
      </c>
      <c r="BP26" s="181">
        <f>IF(OR(GradeSheet!$I21="W (Withdrawn)", GradeSheet!$I21="I (Incomplete)"), 0, IF(BD26&gt;=65%, 1, 0))</f>
        <v>0</v>
      </c>
      <c r="BQ26" s="181">
        <f>IF(OR(GradeSheet!$I21="W (Withdrawn)", GradeSheet!$I21="I (Incomplete)"), 0, IF(BE26&gt;=65%, 1, 0))</f>
        <v>0</v>
      </c>
      <c r="BR26" s="181">
        <f>IF(OR(GradeSheet!$I21="W (Withdrawn)", GradeSheet!$I21="I (Incomplete)"), 0, IF(BF26&gt;=65%, 1, 0))</f>
        <v>0</v>
      </c>
    </row>
    <row r="27" ht="15.75" customHeight="1">
      <c r="A27" s="165">
        <v>13.0</v>
      </c>
      <c r="B27" s="69">
        <v>2.23014012E8</v>
      </c>
      <c r="C27" s="71" t="s">
        <v>117</v>
      </c>
      <c r="D27" s="166">
        <f>ROUNDUP((GradeSheet!D22/30)*12,0)
</f>
        <v>2</v>
      </c>
      <c r="E27" s="168">
        <f>GradeSheet!D22-D27</f>
        <v>3</v>
      </c>
      <c r="F27" s="170"/>
      <c r="G27" s="170"/>
      <c r="H27" s="170"/>
      <c r="I27" s="170"/>
      <c r="J27" s="168">
        <f>INT(GradeSheet!E22/2)</f>
        <v>12</v>
      </c>
      <c r="K27" s="168">
        <f>GradeSheet!E22-J27</f>
        <v>13</v>
      </c>
      <c r="L27" s="168"/>
      <c r="M27" s="170"/>
      <c r="N27" s="170"/>
      <c r="O27" s="170"/>
      <c r="P27" s="171">
        <f>ROUNDUP((RawMarks!M14/30)*10,0)</f>
        <v>10</v>
      </c>
      <c r="Q27" s="172">
        <f>GradeSheet!F22-P27</f>
        <v>18</v>
      </c>
      <c r="R27" s="172"/>
      <c r="S27" s="172"/>
      <c r="T27" s="174"/>
      <c r="U27" s="175"/>
      <c r="V27" s="176"/>
      <c r="W27" s="174"/>
      <c r="X27" s="174"/>
      <c r="Y27" s="174"/>
      <c r="Z27" s="174"/>
      <c r="AA27" s="175"/>
      <c r="AB27" s="177">
        <f t="shared" si="8"/>
        <v>24</v>
      </c>
      <c r="AC27" s="178">
        <f t="shared" si="11"/>
        <v>34</v>
      </c>
      <c r="AD27" s="178">
        <f t="shared" ref="AD27:AE27" si="41">SUM(X27,F27,L27)</f>
        <v>0</v>
      </c>
      <c r="AE27" s="206">
        <f t="shared" si="41"/>
        <v>0</v>
      </c>
      <c r="AF27" s="178">
        <f t="shared" si="13"/>
        <v>0</v>
      </c>
      <c r="AG27" s="206">
        <f t="shared" si="14"/>
        <v>0</v>
      </c>
      <c r="AH27" s="179">
        <f t="shared" ref="AH27:AM27" si="42">IF(AB27 = 0, 0, AB27/AB$14)</f>
        <v>0.5714285714</v>
      </c>
      <c r="AI27" s="179">
        <f t="shared" si="42"/>
        <v>0.5862068966</v>
      </c>
      <c r="AJ27" s="179">
        <f t="shared" si="42"/>
        <v>0</v>
      </c>
      <c r="AK27" s="179">
        <f t="shared" si="42"/>
        <v>0</v>
      </c>
      <c r="AL27" s="179">
        <f t="shared" si="42"/>
        <v>0</v>
      </c>
      <c r="AM27" s="179">
        <f t="shared" si="42"/>
        <v>0</v>
      </c>
      <c r="AN27" s="181">
        <f>IF(OR(GradeSheet!$I22="W (Withdrawn)", GradeSheet!$I22="I (Incomplete)"), 0, IF(AH27&gt;=55%, 1, 0))</f>
        <v>1</v>
      </c>
      <c r="AO27" s="181">
        <f>IF(OR(GradeSheet!$I22="W (Withdrawn)", GradeSheet!$I22="I (Incomplete)"), 0, IF(AI27&gt;=55%, 1, 0))</f>
        <v>1</v>
      </c>
      <c r="AP27" s="181">
        <f>IF(OR(GradeSheet!$I22="W (Withdrawn)", GradeSheet!$I22="I (Incomplete)"), 0, IF(AJ27&gt;=55%, 1, 0))</f>
        <v>0</v>
      </c>
      <c r="AQ27" s="181">
        <f>IF(OR(GradeSheet!$I22="W (Withdrawn)", GradeSheet!$I22="I (Incomplete)"), 0, IF(AK27&gt;=55%, 1, 0))</f>
        <v>0</v>
      </c>
      <c r="AR27" s="181">
        <f>IF(OR(GradeSheet!$I22="W (Withdrawn)", GradeSheet!$I22="I (Incomplete)"), 0, IF(AL27&gt;=55%, 1, 0))</f>
        <v>0</v>
      </c>
      <c r="AS27" s="181">
        <f>IF(OR(GradeSheet!$I22="W (Withdrawn)", GradeSheet!$I22="I (Incomplete)"), 0, IF(AM27&gt;=55%, 1, 0))</f>
        <v>0</v>
      </c>
      <c r="AT27" s="135"/>
      <c r="AU27" s="185">
        <f t="shared" si="16"/>
        <v>0</v>
      </c>
      <c r="AV27" s="185">
        <f t="shared" si="17"/>
        <v>0</v>
      </c>
      <c r="AW27" s="185">
        <f t="array" ref="AW27">IF($AV$9=0,0,MMULT($AH27:$AM27, AV$3:AV$8)/$AV$9)</f>
        <v>0</v>
      </c>
      <c r="AX27" s="185">
        <f t="array" ref="AX27">IF($AW$9=0,0,MMULT($AH27:$AM27, AW$3:AW$8)/$AW$9)</f>
        <v>0</v>
      </c>
      <c r="AY27" s="185">
        <f t="shared" si="18"/>
        <v>0</v>
      </c>
      <c r="AZ27" s="185">
        <f t="array" ref="AZ27">IF($AY$9=0,0,MMULT($AH27:$AM27, AY$3:AY$8)/$AY$9)</f>
        <v>0</v>
      </c>
      <c r="BA27" s="185">
        <f t="array" ref="BA27">IF($AZ$9=0,0,MMULT($AH27:$AM27, AZ$3:AZ$8)/$AZ$9)</f>
        <v>0</v>
      </c>
      <c r="BB27" s="185">
        <f t="array" ref="BB27">IF($BA$9=0,0,MMULT($AH27:$AM27, BA$3:BA$8)/$BA$9)</f>
        <v>0</v>
      </c>
      <c r="BC27" s="185">
        <f t="array" ref="BC27">IF($BB$9=0,0,MMULT($AH27:$AM27, BB$3:BB$8)/$BB$9)</f>
        <v>0</v>
      </c>
      <c r="BD27" s="185">
        <f t="array" ref="BD27">IF($BC$9=0,0,MMULT($AH27:$AM27, BC$3:BC$8)/$BC$9)</f>
        <v>0</v>
      </c>
      <c r="BE27" s="185">
        <f t="shared" si="19"/>
        <v>0</v>
      </c>
      <c r="BF27" s="185">
        <f t="shared" si="20"/>
        <v>0</v>
      </c>
      <c r="BG27" s="181">
        <f>IF(OR(GradeSheet!$I22="W (Withdrawn)", GradeSheet!$I22="I (Incomplete)"), 0, IF(AU27&gt;=65%, 1, 0))</f>
        <v>0</v>
      </c>
      <c r="BH27" s="181">
        <f>IF(OR(GradeSheet!$I22="W (Withdrawn)", GradeSheet!$I22="I (Incomplete)"), 0, IF(AV27&gt;=65%, 1, 0))</f>
        <v>0</v>
      </c>
      <c r="BI27" s="181">
        <f>IF(OR(GradeSheet!$I22="W (Withdrawn)", GradeSheet!$I22="I (Incomplete)"), 0, IF(AW27&gt;=65%, 1, 0))</f>
        <v>0</v>
      </c>
      <c r="BJ27" s="181">
        <f>IF(OR(GradeSheet!$I22="W (Withdrawn)", GradeSheet!$I22="I (Incomplete)"), 0, IF(AX27&gt;=65%, 1, 0))</f>
        <v>0</v>
      </c>
      <c r="BK27" s="181">
        <f>IF(OR(GradeSheet!$I22="W (Withdrawn)", GradeSheet!$I22="I (Incomplete)"), 0, IF(AY27&gt;=65%, 1, 0))</f>
        <v>0</v>
      </c>
      <c r="BL27" s="181">
        <f>IF(OR(GradeSheet!$I22="W (Withdrawn)", GradeSheet!$I22="I (Incomplete)"), 0, IF(AZ27&gt;=65%, 1, 0))</f>
        <v>0</v>
      </c>
      <c r="BM27" s="181">
        <f>IF(OR(GradeSheet!$I22="W (Withdrawn)", GradeSheet!$I22="I (Incomplete)"), 0, IF(BA27&gt;=65%, 1, 0))</f>
        <v>0</v>
      </c>
      <c r="BN27" s="181">
        <f>IF(OR(GradeSheet!$I22="W (Withdrawn)", GradeSheet!$I22="I (Incomplete)"), 0, IF(BB27&gt;=65%, 1, 0))</f>
        <v>0</v>
      </c>
      <c r="BO27" s="181">
        <f>IF(OR(GradeSheet!$I22="W (Withdrawn)", GradeSheet!$I22="I (Incomplete)"), 0, IF(BC27&gt;=65%, 1, 0))</f>
        <v>0</v>
      </c>
      <c r="BP27" s="181">
        <f>IF(OR(GradeSheet!$I22="W (Withdrawn)", GradeSheet!$I22="I (Incomplete)"), 0, IF(BD27&gt;=65%, 1, 0))</f>
        <v>0</v>
      </c>
      <c r="BQ27" s="181">
        <f>IF(OR(GradeSheet!$I22="W (Withdrawn)", GradeSheet!$I22="I (Incomplete)"), 0, IF(BE27&gt;=65%, 1, 0))</f>
        <v>0</v>
      </c>
      <c r="BR27" s="181">
        <f>IF(OR(GradeSheet!$I22="W (Withdrawn)", GradeSheet!$I22="I (Incomplete)"), 0, IF(BF27&gt;=65%, 1, 0))</f>
        <v>0</v>
      </c>
    </row>
    <row r="28" ht="15.75" customHeight="1">
      <c r="A28" s="201">
        <v>14.0</v>
      </c>
      <c r="B28" s="69">
        <v>2.23014025E8</v>
      </c>
      <c r="C28" s="71" t="s">
        <v>119</v>
      </c>
      <c r="D28" s="166">
        <f>ROUNDUP((GradeSheet!D23/30)*12,0)
</f>
        <v>12</v>
      </c>
      <c r="E28" s="168">
        <f>GradeSheet!D23-D28</f>
        <v>17</v>
      </c>
      <c r="F28" s="170"/>
      <c r="G28" s="170"/>
      <c r="H28" s="170"/>
      <c r="I28" s="170"/>
      <c r="J28" s="168">
        <f>INT(GradeSheet!E23/2)</f>
        <v>17</v>
      </c>
      <c r="K28" s="168">
        <f>GradeSheet!E23-J28</f>
        <v>18</v>
      </c>
      <c r="L28" s="168"/>
      <c r="M28" s="170"/>
      <c r="N28" s="170"/>
      <c r="O28" s="170"/>
      <c r="P28" s="171">
        <f>ROUNDUP((RawMarks!M15/30)*10,0)</f>
        <v>9</v>
      </c>
      <c r="Q28" s="172">
        <f>GradeSheet!F23-P28</f>
        <v>16</v>
      </c>
      <c r="R28" s="172"/>
      <c r="S28" s="172"/>
      <c r="T28" s="174"/>
      <c r="U28" s="175"/>
      <c r="V28" s="176"/>
      <c r="W28" s="174"/>
      <c r="X28" s="174"/>
      <c r="Y28" s="174"/>
      <c r="Z28" s="174"/>
      <c r="AA28" s="175"/>
      <c r="AB28" s="177">
        <f t="shared" si="8"/>
        <v>38</v>
      </c>
      <c r="AC28" s="178">
        <f t="shared" si="11"/>
        <v>51</v>
      </c>
      <c r="AD28" s="206">
        <f t="shared" ref="AD28:AE28" si="43">SUM(X28,F28,L28)</f>
        <v>0</v>
      </c>
      <c r="AE28" s="206">
        <f t="shared" si="43"/>
        <v>0</v>
      </c>
      <c r="AF28" s="178">
        <f t="shared" si="13"/>
        <v>0</v>
      </c>
      <c r="AG28" s="206">
        <f t="shared" si="14"/>
        <v>0</v>
      </c>
      <c r="AH28" s="179">
        <f t="shared" ref="AH28:AM28" si="44">IF(AB28 = 0, 0, AB28/AB$14)</f>
        <v>0.9047619048</v>
      </c>
      <c r="AI28" s="179">
        <f t="shared" si="44"/>
        <v>0.8793103448</v>
      </c>
      <c r="AJ28" s="179">
        <f t="shared" si="44"/>
        <v>0</v>
      </c>
      <c r="AK28" s="179">
        <f t="shared" si="44"/>
        <v>0</v>
      </c>
      <c r="AL28" s="179">
        <f t="shared" si="44"/>
        <v>0</v>
      </c>
      <c r="AM28" s="179">
        <f t="shared" si="44"/>
        <v>0</v>
      </c>
      <c r="AN28" s="181">
        <f>IF(OR(GradeSheet!$I23="W (Withdrawn)", GradeSheet!$I23="I (Incomplete)"), 0, IF(AH28&gt;=55%, 1, 0))</f>
        <v>1</v>
      </c>
      <c r="AO28" s="181">
        <f>IF(OR(GradeSheet!$I23="W (Withdrawn)", GradeSheet!$I23="I (Incomplete)"), 0, IF(AI28&gt;=55%, 1, 0))</f>
        <v>1</v>
      </c>
      <c r="AP28" s="181">
        <f>IF(OR(GradeSheet!$I23="W (Withdrawn)", GradeSheet!$I23="I (Incomplete)"), 0, IF(AJ28&gt;=55%, 1, 0))</f>
        <v>0</v>
      </c>
      <c r="AQ28" s="181">
        <f>IF(OR(GradeSheet!$I23="W (Withdrawn)", GradeSheet!$I23="I (Incomplete)"), 0, IF(AK28&gt;=55%, 1, 0))</f>
        <v>0</v>
      </c>
      <c r="AR28" s="181">
        <f>IF(OR(GradeSheet!$I23="W (Withdrawn)", GradeSheet!$I23="I (Incomplete)"), 0, IF(AL28&gt;=55%, 1, 0))</f>
        <v>0</v>
      </c>
      <c r="AS28" s="181">
        <f>IF(OR(GradeSheet!$I23="W (Withdrawn)", GradeSheet!$I23="I (Incomplete)"), 0, IF(AM28&gt;=55%, 1, 0))</f>
        <v>0</v>
      </c>
      <c r="AT28" s="135"/>
      <c r="AU28" s="185">
        <f t="shared" si="16"/>
        <v>0</v>
      </c>
      <c r="AV28" s="185">
        <f t="shared" si="17"/>
        <v>0</v>
      </c>
      <c r="AW28" s="185">
        <f t="array" ref="AW28">IF($AV$9=0,0,MMULT($AH28:$AM28, AV$3:AV$8)/$AV$9)</f>
        <v>0</v>
      </c>
      <c r="AX28" s="185">
        <f t="array" ref="AX28">IF($AW$9=0,0,MMULT($AH28:$AM28, AW$3:AW$8)/$AW$9)</f>
        <v>0</v>
      </c>
      <c r="AY28" s="185">
        <f t="shared" si="18"/>
        <v>0</v>
      </c>
      <c r="AZ28" s="185">
        <f t="array" ref="AZ28">IF($AY$9=0,0,MMULT($AH28:$AM28, AY$3:AY$8)/$AY$9)</f>
        <v>0</v>
      </c>
      <c r="BA28" s="185">
        <f t="array" ref="BA28">IF($AZ$9=0,0,MMULT($AH28:$AM28, AZ$3:AZ$8)/$AZ$9)</f>
        <v>0</v>
      </c>
      <c r="BB28" s="185">
        <f t="array" ref="BB28">IF($BA$9=0,0,MMULT($AH28:$AM28, BA$3:BA$8)/$BA$9)</f>
        <v>0</v>
      </c>
      <c r="BC28" s="185">
        <f t="array" ref="BC28">IF($BB$9=0,0,MMULT($AH28:$AM28, BB$3:BB$8)/$BB$9)</f>
        <v>0</v>
      </c>
      <c r="BD28" s="185">
        <f t="array" ref="BD28">IF($BC$9=0,0,MMULT($AH28:$AM28, BC$3:BC$8)/$BC$9)</f>
        <v>0</v>
      </c>
      <c r="BE28" s="185">
        <f t="shared" si="19"/>
        <v>0</v>
      </c>
      <c r="BF28" s="185">
        <f t="shared" si="20"/>
        <v>0</v>
      </c>
      <c r="BG28" s="181">
        <f>IF(OR(GradeSheet!$I23="W (Withdrawn)", GradeSheet!$I23="I (Incomplete)"), 0, IF(AU28&gt;=65%, 1, 0))</f>
        <v>0</v>
      </c>
      <c r="BH28" s="181">
        <f>IF(OR(GradeSheet!$I23="W (Withdrawn)", GradeSheet!$I23="I (Incomplete)"), 0, IF(AV28&gt;=65%, 1, 0))</f>
        <v>0</v>
      </c>
      <c r="BI28" s="181">
        <f>IF(OR(GradeSheet!$I23="W (Withdrawn)", GradeSheet!$I23="I (Incomplete)"), 0, IF(AW28&gt;=65%, 1, 0))</f>
        <v>0</v>
      </c>
      <c r="BJ28" s="181">
        <f>IF(OR(GradeSheet!$I23="W (Withdrawn)", GradeSheet!$I23="I (Incomplete)"), 0, IF(AX28&gt;=65%, 1, 0))</f>
        <v>0</v>
      </c>
      <c r="BK28" s="181">
        <f>IF(OR(GradeSheet!$I23="W (Withdrawn)", GradeSheet!$I23="I (Incomplete)"), 0, IF(AY28&gt;=65%, 1, 0))</f>
        <v>0</v>
      </c>
      <c r="BL28" s="181">
        <f>IF(OR(GradeSheet!$I23="W (Withdrawn)", GradeSheet!$I23="I (Incomplete)"), 0, IF(AZ28&gt;=65%, 1, 0))</f>
        <v>0</v>
      </c>
      <c r="BM28" s="181">
        <f>IF(OR(GradeSheet!$I23="W (Withdrawn)", GradeSheet!$I23="I (Incomplete)"), 0, IF(BA28&gt;=65%, 1, 0))</f>
        <v>0</v>
      </c>
      <c r="BN28" s="181">
        <f>IF(OR(GradeSheet!$I23="W (Withdrawn)", GradeSheet!$I23="I (Incomplete)"), 0, IF(BB28&gt;=65%, 1, 0))</f>
        <v>0</v>
      </c>
      <c r="BO28" s="181">
        <f>IF(OR(GradeSheet!$I23="W (Withdrawn)", GradeSheet!$I23="I (Incomplete)"), 0, IF(BC28&gt;=65%, 1, 0))</f>
        <v>0</v>
      </c>
      <c r="BP28" s="181">
        <f>IF(OR(GradeSheet!$I23="W (Withdrawn)", GradeSheet!$I23="I (Incomplete)"), 0, IF(BD28&gt;=65%, 1, 0))</f>
        <v>0</v>
      </c>
      <c r="BQ28" s="181">
        <f>IF(OR(GradeSheet!$I23="W (Withdrawn)", GradeSheet!$I23="I (Incomplete)"), 0, IF(BE28&gt;=65%, 1, 0))</f>
        <v>0</v>
      </c>
      <c r="BR28" s="181">
        <f>IF(OR(GradeSheet!$I23="W (Withdrawn)", GradeSheet!$I23="I (Incomplete)"), 0, IF(BF28&gt;=65%, 1, 0))</f>
        <v>0</v>
      </c>
    </row>
    <row r="29" ht="15.75" customHeight="1">
      <c r="A29" s="165">
        <v>15.0</v>
      </c>
      <c r="B29" s="69">
        <v>2.23014061E8</v>
      </c>
      <c r="C29" s="71" t="s">
        <v>122</v>
      </c>
      <c r="D29" s="166">
        <f>ROUNDUP((GradeSheet!D24/30)*12,0)
</f>
        <v>8</v>
      </c>
      <c r="E29" s="168">
        <f>GradeSheet!D24-D29</f>
        <v>11</v>
      </c>
      <c r="F29" s="170"/>
      <c r="G29" s="170"/>
      <c r="H29" s="170"/>
      <c r="I29" s="170"/>
      <c r="J29" s="168">
        <f>INT(GradeSheet!E24/2)</f>
        <v>10</v>
      </c>
      <c r="K29" s="168">
        <f>GradeSheet!E24-J29</f>
        <v>10</v>
      </c>
      <c r="L29" s="168"/>
      <c r="M29" s="170"/>
      <c r="N29" s="170"/>
      <c r="O29" s="170"/>
      <c r="P29" s="171">
        <f>ROUNDUP((RawMarks!M16/30)*10,0)</f>
        <v>9</v>
      </c>
      <c r="Q29" s="172">
        <f>GradeSheet!F24-P29</f>
        <v>17</v>
      </c>
      <c r="R29" s="172"/>
      <c r="S29" s="172"/>
      <c r="T29" s="174"/>
      <c r="U29" s="175"/>
      <c r="V29" s="176"/>
      <c r="W29" s="174"/>
      <c r="X29" s="174"/>
      <c r="Y29" s="174"/>
      <c r="Z29" s="174"/>
      <c r="AA29" s="175"/>
      <c r="AB29" s="177">
        <f t="shared" si="8"/>
        <v>27</v>
      </c>
      <c r="AC29" s="178">
        <f t="shared" si="11"/>
        <v>38</v>
      </c>
      <c r="AD29" s="206">
        <f t="shared" ref="AD29:AE29" si="45">SUM(X29,F29,L29)</f>
        <v>0</v>
      </c>
      <c r="AE29" s="206">
        <f t="shared" si="45"/>
        <v>0</v>
      </c>
      <c r="AF29" s="178">
        <f t="shared" si="13"/>
        <v>0</v>
      </c>
      <c r="AG29" s="206">
        <f t="shared" si="14"/>
        <v>0</v>
      </c>
      <c r="AH29" s="179">
        <f t="shared" ref="AH29:AM29" si="46">IF(AB29 = 0, 0, AB29/AB$14)</f>
        <v>0.6428571429</v>
      </c>
      <c r="AI29" s="179">
        <f t="shared" si="46"/>
        <v>0.6551724138</v>
      </c>
      <c r="AJ29" s="179">
        <f t="shared" si="46"/>
        <v>0</v>
      </c>
      <c r="AK29" s="179">
        <f t="shared" si="46"/>
        <v>0</v>
      </c>
      <c r="AL29" s="179">
        <f t="shared" si="46"/>
        <v>0</v>
      </c>
      <c r="AM29" s="179">
        <f t="shared" si="46"/>
        <v>0</v>
      </c>
      <c r="AN29" s="181">
        <f>IF(OR(GradeSheet!$I24="W (Withdrawn)", GradeSheet!$I24="I (Incomplete)"), 0, IF(AH29&gt;=55%, 1, 0))</f>
        <v>1</v>
      </c>
      <c r="AO29" s="181">
        <f>IF(OR(GradeSheet!$I24="W (Withdrawn)", GradeSheet!$I24="I (Incomplete)"), 0, IF(AI29&gt;=55%, 1, 0))</f>
        <v>1</v>
      </c>
      <c r="AP29" s="181">
        <f>IF(OR(GradeSheet!$I24="W (Withdrawn)", GradeSheet!$I24="I (Incomplete)"), 0, IF(AJ29&gt;=55%, 1, 0))</f>
        <v>0</v>
      </c>
      <c r="AQ29" s="181">
        <f>IF(OR(GradeSheet!$I24="W (Withdrawn)", GradeSheet!$I24="I (Incomplete)"), 0, IF(AK29&gt;=55%, 1, 0))</f>
        <v>0</v>
      </c>
      <c r="AR29" s="181">
        <f>IF(OR(GradeSheet!$I24="W (Withdrawn)", GradeSheet!$I24="I (Incomplete)"), 0, IF(AL29&gt;=55%, 1, 0))</f>
        <v>0</v>
      </c>
      <c r="AS29" s="181">
        <f>IF(OR(GradeSheet!$I24="W (Withdrawn)", GradeSheet!$I24="I (Incomplete)"), 0, IF(AM29&gt;=55%, 1, 0))</f>
        <v>0</v>
      </c>
      <c r="AT29" s="135"/>
      <c r="AU29" s="185">
        <f t="shared" si="16"/>
        <v>0</v>
      </c>
      <c r="AV29" s="185">
        <f t="shared" si="17"/>
        <v>0</v>
      </c>
      <c r="AW29" s="185">
        <f t="array" ref="AW29">IF($AV$9=0,0,MMULT($AH29:$AM29, AV$3:AV$8)/$AV$9)</f>
        <v>0</v>
      </c>
      <c r="AX29" s="185">
        <f t="array" ref="AX29">IF($AW$9=0,0,MMULT($AH29:$AM29, AW$3:AW$8)/$AW$9)</f>
        <v>0</v>
      </c>
      <c r="AY29" s="185">
        <f t="shared" si="18"/>
        <v>0</v>
      </c>
      <c r="AZ29" s="185">
        <f t="array" ref="AZ29">IF($AY$9=0,0,MMULT($AH29:$AM29, AY$3:AY$8)/$AY$9)</f>
        <v>0</v>
      </c>
      <c r="BA29" s="185">
        <f t="array" ref="BA29">IF($AZ$9=0,0,MMULT($AH29:$AM29, AZ$3:AZ$8)/$AZ$9)</f>
        <v>0</v>
      </c>
      <c r="BB29" s="185">
        <f t="array" ref="BB29">IF($BA$9=0,0,MMULT($AH29:$AM29, BA$3:BA$8)/$BA$9)</f>
        <v>0</v>
      </c>
      <c r="BC29" s="185">
        <f t="array" ref="BC29">IF($BB$9=0,0,MMULT($AH29:$AM29, BB$3:BB$8)/$BB$9)</f>
        <v>0</v>
      </c>
      <c r="BD29" s="185">
        <f t="array" ref="BD29">IF($BC$9=0,0,MMULT($AH29:$AM29, BC$3:BC$8)/$BC$9)</f>
        <v>0</v>
      </c>
      <c r="BE29" s="185">
        <f t="shared" si="19"/>
        <v>0</v>
      </c>
      <c r="BF29" s="185">
        <f t="shared" si="20"/>
        <v>0</v>
      </c>
      <c r="BG29" s="181">
        <f>IF(OR(GradeSheet!$I24="W (Withdrawn)", GradeSheet!$I24="I (Incomplete)"), 0, IF(AU29&gt;=65%, 1, 0))</f>
        <v>0</v>
      </c>
      <c r="BH29" s="181">
        <f>IF(OR(GradeSheet!$I24="W (Withdrawn)", GradeSheet!$I24="I (Incomplete)"), 0, IF(AV29&gt;=65%, 1, 0))</f>
        <v>0</v>
      </c>
      <c r="BI29" s="181">
        <f>IF(OR(GradeSheet!$I24="W (Withdrawn)", GradeSheet!$I24="I (Incomplete)"), 0, IF(AW29&gt;=65%, 1, 0))</f>
        <v>0</v>
      </c>
      <c r="BJ29" s="181">
        <f>IF(OR(GradeSheet!$I24="W (Withdrawn)", GradeSheet!$I24="I (Incomplete)"), 0, IF(AX29&gt;=65%, 1, 0))</f>
        <v>0</v>
      </c>
      <c r="BK29" s="181">
        <f>IF(OR(GradeSheet!$I24="W (Withdrawn)", GradeSheet!$I24="I (Incomplete)"), 0, IF(AY29&gt;=65%, 1, 0))</f>
        <v>0</v>
      </c>
      <c r="BL29" s="181">
        <f>IF(OR(GradeSheet!$I24="W (Withdrawn)", GradeSheet!$I24="I (Incomplete)"), 0, IF(AZ29&gt;=65%, 1, 0))</f>
        <v>0</v>
      </c>
      <c r="BM29" s="181">
        <f>IF(OR(GradeSheet!$I24="W (Withdrawn)", GradeSheet!$I24="I (Incomplete)"), 0, IF(BA29&gt;=65%, 1, 0))</f>
        <v>0</v>
      </c>
      <c r="BN29" s="181">
        <f>IF(OR(GradeSheet!$I24="W (Withdrawn)", GradeSheet!$I24="I (Incomplete)"), 0, IF(BB29&gt;=65%, 1, 0))</f>
        <v>0</v>
      </c>
      <c r="BO29" s="181">
        <f>IF(OR(GradeSheet!$I24="W (Withdrawn)", GradeSheet!$I24="I (Incomplete)"), 0, IF(BC29&gt;=65%, 1, 0))</f>
        <v>0</v>
      </c>
      <c r="BP29" s="181">
        <f>IF(OR(GradeSheet!$I24="W (Withdrawn)", GradeSheet!$I24="I (Incomplete)"), 0, IF(BD29&gt;=65%, 1, 0))</f>
        <v>0</v>
      </c>
      <c r="BQ29" s="181">
        <f>IF(OR(GradeSheet!$I24="W (Withdrawn)", GradeSheet!$I24="I (Incomplete)"), 0, IF(BE29&gt;=65%, 1, 0))</f>
        <v>0</v>
      </c>
      <c r="BR29" s="181">
        <f>IF(OR(GradeSheet!$I24="W (Withdrawn)", GradeSheet!$I24="I (Incomplete)"), 0, IF(BF29&gt;=65%, 1, 0))</f>
        <v>0</v>
      </c>
    </row>
    <row r="30" ht="15.75" customHeight="1">
      <c r="A30" s="201">
        <v>16.0</v>
      </c>
      <c r="B30" s="69">
        <v>2.23014085E8</v>
      </c>
      <c r="C30" s="71" t="s">
        <v>124</v>
      </c>
      <c r="D30" s="166">
        <f>ROUNDUP((GradeSheet!D25/30)*12,0)
</f>
        <v>6</v>
      </c>
      <c r="E30" s="168">
        <f>GradeSheet!D25-D30</f>
        <v>8</v>
      </c>
      <c r="F30" s="170"/>
      <c r="G30" s="170"/>
      <c r="H30" s="170"/>
      <c r="I30" s="170"/>
      <c r="J30" s="168">
        <f>INT(GradeSheet!E25/2)</f>
        <v>10</v>
      </c>
      <c r="K30" s="168">
        <f>GradeSheet!E25-J30</f>
        <v>10</v>
      </c>
      <c r="L30" s="168"/>
      <c r="M30" s="170"/>
      <c r="N30" s="170"/>
      <c r="O30" s="170"/>
      <c r="P30" s="171">
        <f>ROUNDUP((RawMarks!M17/30)*10,0)</f>
        <v>8</v>
      </c>
      <c r="Q30" s="172">
        <f>GradeSheet!F25-P30</f>
        <v>16</v>
      </c>
      <c r="R30" s="172"/>
      <c r="S30" s="172"/>
      <c r="T30" s="174"/>
      <c r="U30" s="175"/>
      <c r="V30" s="176"/>
      <c r="W30" s="174"/>
      <c r="X30" s="174"/>
      <c r="Y30" s="174"/>
      <c r="Z30" s="174"/>
      <c r="AA30" s="175"/>
      <c r="AB30" s="177">
        <f t="shared" si="8"/>
        <v>24</v>
      </c>
      <c r="AC30" s="178">
        <f t="shared" si="11"/>
        <v>34</v>
      </c>
      <c r="AD30" s="206">
        <f t="shared" ref="AD30:AE30" si="47">SUM(X30,F30,L30)</f>
        <v>0</v>
      </c>
      <c r="AE30" s="206">
        <f t="shared" si="47"/>
        <v>0</v>
      </c>
      <c r="AF30" s="178">
        <f t="shared" si="13"/>
        <v>0</v>
      </c>
      <c r="AG30" s="206">
        <f t="shared" si="14"/>
        <v>0</v>
      </c>
      <c r="AH30" s="179">
        <f t="shared" ref="AH30:AM30" si="48">IF(AB30 = 0, 0, AB30/AB$14)</f>
        <v>0.5714285714</v>
      </c>
      <c r="AI30" s="179">
        <f t="shared" si="48"/>
        <v>0.5862068966</v>
      </c>
      <c r="AJ30" s="179">
        <f t="shared" si="48"/>
        <v>0</v>
      </c>
      <c r="AK30" s="179">
        <f t="shared" si="48"/>
        <v>0</v>
      </c>
      <c r="AL30" s="179">
        <f t="shared" si="48"/>
        <v>0</v>
      </c>
      <c r="AM30" s="179">
        <f t="shared" si="48"/>
        <v>0</v>
      </c>
      <c r="AN30" s="181">
        <f>IF(OR(GradeSheet!$I25="W (Withdrawn)", GradeSheet!$I25="I (Incomplete)"), 0, IF(AH30&gt;=55%, 1, 0))</f>
        <v>1</v>
      </c>
      <c r="AO30" s="181">
        <f>IF(OR(GradeSheet!$I25="W (Withdrawn)", GradeSheet!$I25="I (Incomplete)"), 0, IF(AI30&gt;=55%, 1, 0))</f>
        <v>1</v>
      </c>
      <c r="AP30" s="181">
        <f>IF(OR(GradeSheet!$I25="W (Withdrawn)", GradeSheet!$I25="I (Incomplete)"), 0, IF(AJ30&gt;=55%, 1, 0))</f>
        <v>0</v>
      </c>
      <c r="AQ30" s="181">
        <f>IF(OR(GradeSheet!$I25="W (Withdrawn)", GradeSheet!$I25="I (Incomplete)"), 0, IF(AK30&gt;=55%, 1, 0))</f>
        <v>0</v>
      </c>
      <c r="AR30" s="181">
        <f>IF(OR(GradeSheet!$I25="W (Withdrawn)", GradeSheet!$I25="I (Incomplete)"), 0, IF(AL30&gt;=55%, 1, 0))</f>
        <v>0</v>
      </c>
      <c r="AS30" s="181">
        <f>IF(OR(GradeSheet!$I25="W (Withdrawn)", GradeSheet!$I25="I (Incomplete)"), 0, IF(AM30&gt;=55%, 1, 0))</f>
        <v>0</v>
      </c>
      <c r="AT30" s="135"/>
      <c r="AU30" s="185">
        <f t="shared" si="16"/>
        <v>0</v>
      </c>
      <c r="AV30" s="185">
        <f t="shared" si="17"/>
        <v>0</v>
      </c>
      <c r="AW30" s="185">
        <f t="array" ref="AW30">IF($AV$9=0,0,MMULT($AH30:$AM30, AV$3:AV$8)/$AV$9)</f>
        <v>0</v>
      </c>
      <c r="AX30" s="185">
        <f t="array" ref="AX30">IF($AW$9=0,0,MMULT($AH30:$AM30, AW$3:AW$8)/$AW$9)</f>
        <v>0</v>
      </c>
      <c r="AY30" s="185">
        <f t="shared" si="18"/>
        <v>0</v>
      </c>
      <c r="AZ30" s="185">
        <f t="array" ref="AZ30">IF($AY$9=0,0,MMULT($AH30:$AM30, AY$3:AY$8)/$AY$9)</f>
        <v>0</v>
      </c>
      <c r="BA30" s="185">
        <f t="array" ref="BA30">IF($AZ$9=0,0,MMULT($AH30:$AM30, AZ$3:AZ$8)/$AZ$9)</f>
        <v>0</v>
      </c>
      <c r="BB30" s="185">
        <f t="array" ref="BB30">IF($BA$9=0,0,MMULT($AH30:$AM30, BA$3:BA$8)/$BA$9)</f>
        <v>0</v>
      </c>
      <c r="BC30" s="185">
        <f t="array" ref="BC30">IF($BB$9=0,0,MMULT($AH30:$AM30, BB$3:BB$8)/$BB$9)</f>
        <v>0</v>
      </c>
      <c r="BD30" s="185">
        <f t="array" ref="BD30">IF($BC$9=0,0,MMULT($AH30:$AM30, BC$3:BC$8)/$BC$9)</f>
        <v>0</v>
      </c>
      <c r="BE30" s="185">
        <f t="shared" si="19"/>
        <v>0</v>
      </c>
      <c r="BF30" s="185">
        <f t="shared" si="20"/>
        <v>0</v>
      </c>
      <c r="BG30" s="181">
        <f>IF(OR(GradeSheet!$I25="W (Withdrawn)", GradeSheet!$I25="I (Incomplete)"), 0, IF(AU30&gt;=65%, 1, 0))</f>
        <v>0</v>
      </c>
      <c r="BH30" s="181">
        <f>IF(OR(GradeSheet!$I25="W (Withdrawn)", GradeSheet!$I25="I (Incomplete)"), 0, IF(AV30&gt;=65%, 1, 0))</f>
        <v>0</v>
      </c>
      <c r="BI30" s="181">
        <f>IF(OR(GradeSheet!$I25="W (Withdrawn)", GradeSheet!$I25="I (Incomplete)"), 0, IF(AW30&gt;=65%, 1, 0))</f>
        <v>0</v>
      </c>
      <c r="BJ30" s="181">
        <f>IF(OR(GradeSheet!$I25="W (Withdrawn)", GradeSheet!$I25="I (Incomplete)"), 0, IF(AX30&gt;=65%, 1, 0))</f>
        <v>0</v>
      </c>
      <c r="BK30" s="181">
        <f>IF(OR(GradeSheet!$I25="W (Withdrawn)", GradeSheet!$I25="I (Incomplete)"), 0, IF(AY30&gt;=65%, 1, 0))</f>
        <v>0</v>
      </c>
      <c r="BL30" s="181">
        <f>IF(OR(GradeSheet!$I25="W (Withdrawn)", GradeSheet!$I25="I (Incomplete)"), 0, IF(AZ30&gt;=65%, 1, 0))</f>
        <v>0</v>
      </c>
      <c r="BM30" s="181">
        <f>IF(OR(GradeSheet!$I25="W (Withdrawn)", GradeSheet!$I25="I (Incomplete)"), 0, IF(BA30&gt;=65%, 1, 0))</f>
        <v>0</v>
      </c>
      <c r="BN30" s="181">
        <f>IF(OR(GradeSheet!$I25="W (Withdrawn)", GradeSheet!$I25="I (Incomplete)"), 0, IF(BB30&gt;=65%, 1, 0))</f>
        <v>0</v>
      </c>
      <c r="BO30" s="181">
        <f>IF(OR(GradeSheet!$I25="W (Withdrawn)", GradeSheet!$I25="I (Incomplete)"), 0, IF(BC30&gt;=65%, 1, 0))</f>
        <v>0</v>
      </c>
      <c r="BP30" s="181">
        <f>IF(OR(GradeSheet!$I25="W (Withdrawn)", GradeSheet!$I25="I (Incomplete)"), 0, IF(BD30&gt;=65%, 1, 0))</f>
        <v>0</v>
      </c>
      <c r="BQ30" s="181">
        <f>IF(OR(GradeSheet!$I25="W (Withdrawn)", GradeSheet!$I25="I (Incomplete)"), 0, IF(BE30&gt;=65%, 1, 0))</f>
        <v>0</v>
      </c>
      <c r="BR30" s="181">
        <f>IF(OR(GradeSheet!$I25="W (Withdrawn)", GradeSheet!$I25="I (Incomplete)"), 0, IF(BF30&gt;=65%, 1, 0))</f>
        <v>0</v>
      </c>
    </row>
    <row r="31" ht="15.75" customHeight="1">
      <c r="A31" s="165">
        <v>17.0</v>
      </c>
      <c r="B31" s="69">
        <v>2.23014088E8</v>
      </c>
      <c r="C31" s="71" t="s">
        <v>125</v>
      </c>
      <c r="D31" s="166">
        <f>ROUNDUP((GradeSheet!D26/30)*12,0)
</f>
        <v>7</v>
      </c>
      <c r="E31" s="168">
        <f>GradeSheet!D26-D31</f>
        <v>10</v>
      </c>
      <c r="F31" s="170"/>
      <c r="G31" s="170"/>
      <c r="H31" s="170"/>
      <c r="I31" s="170"/>
      <c r="J31" s="168">
        <f>INT(GradeSheet!E26/2)</f>
        <v>17</v>
      </c>
      <c r="K31" s="168">
        <f>GradeSheet!E26-J31</f>
        <v>18</v>
      </c>
      <c r="L31" s="168"/>
      <c r="M31" s="170"/>
      <c r="N31" s="170"/>
      <c r="O31" s="170"/>
      <c r="P31" s="171">
        <f>ROUNDUP((RawMarks!M18/30)*10,0)</f>
        <v>9</v>
      </c>
      <c r="Q31" s="172">
        <f>GradeSheet!F26-P31</f>
        <v>17</v>
      </c>
      <c r="R31" s="172"/>
      <c r="S31" s="172"/>
      <c r="T31" s="174"/>
      <c r="U31" s="175"/>
      <c r="V31" s="176"/>
      <c r="W31" s="174"/>
      <c r="X31" s="174"/>
      <c r="Y31" s="174"/>
      <c r="Z31" s="174"/>
      <c r="AA31" s="175"/>
      <c r="AB31" s="177">
        <f t="shared" si="8"/>
        <v>33</v>
      </c>
      <c r="AC31" s="178">
        <f t="shared" si="11"/>
        <v>45</v>
      </c>
      <c r="AD31" s="206">
        <f t="shared" ref="AD31:AE31" si="49">SUM(X31,F31,L31)</f>
        <v>0</v>
      </c>
      <c r="AE31" s="206">
        <f t="shared" si="49"/>
        <v>0</v>
      </c>
      <c r="AF31" s="178">
        <f t="shared" si="13"/>
        <v>0</v>
      </c>
      <c r="AG31" s="206">
        <f t="shared" si="14"/>
        <v>0</v>
      </c>
      <c r="AH31" s="179">
        <f t="shared" ref="AH31:AM31" si="50">IF(AB31 = 0, 0, AB31/AB$14)</f>
        <v>0.7857142857</v>
      </c>
      <c r="AI31" s="179">
        <f t="shared" si="50"/>
        <v>0.775862069</v>
      </c>
      <c r="AJ31" s="179">
        <f t="shared" si="50"/>
        <v>0</v>
      </c>
      <c r="AK31" s="179">
        <f t="shared" si="50"/>
        <v>0</v>
      </c>
      <c r="AL31" s="179">
        <f t="shared" si="50"/>
        <v>0</v>
      </c>
      <c r="AM31" s="179">
        <f t="shared" si="50"/>
        <v>0</v>
      </c>
      <c r="AN31" s="181">
        <f>IF(OR(GradeSheet!$I26="W (Withdrawn)", GradeSheet!$I26="I (Incomplete)"), 0, IF(AH31&gt;=55%, 1, 0))</f>
        <v>1</v>
      </c>
      <c r="AO31" s="181">
        <f>IF(OR(GradeSheet!$I26="W (Withdrawn)", GradeSheet!$I26="I (Incomplete)"), 0, IF(AI31&gt;=55%, 1, 0))</f>
        <v>1</v>
      </c>
      <c r="AP31" s="181">
        <f>IF(OR(GradeSheet!$I26="W (Withdrawn)", GradeSheet!$I26="I (Incomplete)"), 0, IF(AJ31&gt;=55%, 1, 0))</f>
        <v>0</v>
      </c>
      <c r="AQ31" s="181">
        <f>IF(OR(GradeSheet!$I26="W (Withdrawn)", GradeSheet!$I26="I (Incomplete)"), 0, IF(AK31&gt;=55%, 1, 0))</f>
        <v>0</v>
      </c>
      <c r="AR31" s="181">
        <f>IF(OR(GradeSheet!$I26="W (Withdrawn)", GradeSheet!$I26="I (Incomplete)"), 0, IF(AL31&gt;=55%, 1, 0))</f>
        <v>0</v>
      </c>
      <c r="AS31" s="181">
        <f>IF(OR(GradeSheet!$I26="W (Withdrawn)", GradeSheet!$I26="I (Incomplete)"), 0, IF(AM31&gt;=55%, 1, 0))</f>
        <v>0</v>
      </c>
      <c r="AT31" s="135"/>
      <c r="AU31" s="185">
        <f t="shared" si="16"/>
        <v>0</v>
      </c>
      <c r="AV31" s="185">
        <f t="shared" si="17"/>
        <v>0</v>
      </c>
      <c r="AW31" s="185">
        <f t="array" ref="AW31">IF($AV$9=0,0,MMULT($AH31:$AM31, AV$3:AV$8)/$AV$9)</f>
        <v>0</v>
      </c>
      <c r="AX31" s="185">
        <f t="array" ref="AX31">IF($AW$9=0,0,MMULT($AH31:$AM31, AW$3:AW$8)/$AW$9)</f>
        <v>0</v>
      </c>
      <c r="AY31" s="185">
        <f t="shared" si="18"/>
        <v>0</v>
      </c>
      <c r="AZ31" s="185">
        <f t="array" ref="AZ31">IF($AY$9=0,0,MMULT($AH31:$AM31, AY$3:AY$8)/$AY$9)</f>
        <v>0</v>
      </c>
      <c r="BA31" s="185">
        <f t="array" ref="BA31">IF($AZ$9=0,0,MMULT($AH31:$AM31, AZ$3:AZ$8)/$AZ$9)</f>
        <v>0</v>
      </c>
      <c r="BB31" s="185">
        <f t="array" ref="BB31">IF($BA$9=0,0,MMULT($AH31:$AM31, BA$3:BA$8)/$BA$9)</f>
        <v>0</v>
      </c>
      <c r="BC31" s="185">
        <f t="array" ref="BC31">IF($BB$9=0,0,MMULT($AH31:$AM31, BB$3:BB$8)/$BB$9)</f>
        <v>0</v>
      </c>
      <c r="BD31" s="185">
        <f t="array" ref="BD31">IF($BC$9=0,0,MMULT($AH31:$AM31, BC$3:BC$8)/$BC$9)</f>
        <v>0</v>
      </c>
      <c r="BE31" s="185">
        <f t="shared" si="19"/>
        <v>0</v>
      </c>
      <c r="BF31" s="185">
        <f t="shared" si="20"/>
        <v>0</v>
      </c>
      <c r="BG31" s="181">
        <f>IF(OR(GradeSheet!$I26="W (Withdrawn)", GradeSheet!$I26="I (Incomplete)"), 0, IF(AU31&gt;=65%, 1, 0))</f>
        <v>0</v>
      </c>
      <c r="BH31" s="181">
        <f>IF(OR(GradeSheet!$I26="W (Withdrawn)", GradeSheet!$I26="I (Incomplete)"), 0, IF(AV31&gt;=65%, 1, 0))</f>
        <v>0</v>
      </c>
      <c r="BI31" s="181">
        <f>IF(OR(GradeSheet!$I26="W (Withdrawn)", GradeSheet!$I26="I (Incomplete)"), 0, IF(AW31&gt;=65%, 1, 0))</f>
        <v>0</v>
      </c>
      <c r="BJ31" s="181">
        <f>IF(OR(GradeSheet!$I26="W (Withdrawn)", GradeSheet!$I26="I (Incomplete)"), 0, IF(AX31&gt;=65%, 1, 0))</f>
        <v>0</v>
      </c>
      <c r="BK31" s="181">
        <f>IF(OR(GradeSheet!$I26="W (Withdrawn)", GradeSheet!$I26="I (Incomplete)"), 0, IF(AY31&gt;=65%, 1, 0))</f>
        <v>0</v>
      </c>
      <c r="BL31" s="181">
        <f>IF(OR(GradeSheet!$I26="W (Withdrawn)", GradeSheet!$I26="I (Incomplete)"), 0, IF(AZ31&gt;=65%, 1, 0))</f>
        <v>0</v>
      </c>
      <c r="BM31" s="181">
        <f>IF(OR(GradeSheet!$I26="W (Withdrawn)", GradeSheet!$I26="I (Incomplete)"), 0, IF(BA31&gt;=65%, 1, 0))</f>
        <v>0</v>
      </c>
      <c r="BN31" s="181">
        <f>IF(OR(GradeSheet!$I26="W (Withdrawn)", GradeSheet!$I26="I (Incomplete)"), 0, IF(BB31&gt;=65%, 1, 0))</f>
        <v>0</v>
      </c>
      <c r="BO31" s="181">
        <f>IF(OR(GradeSheet!$I26="W (Withdrawn)", GradeSheet!$I26="I (Incomplete)"), 0, IF(BC31&gt;=65%, 1, 0))</f>
        <v>0</v>
      </c>
      <c r="BP31" s="181">
        <f>IF(OR(GradeSheet!$I26="W (Withdrawn)", GradeSheet!$I26="I (Incomplete)"), 0, IF(BD31&gt;=65%, 1, 0))</f>
        <v>0</v>
      </c>
      <c r="BQ31" s="181">
        <f>IF(OR(GradeSheet!$I26="W (Withdrawn)", GradeSheet!$I26="I (Incomplete)"), 0, IF(BE31&gt;=65%, 1, 0))</f>
        <v>0</v>
      </c>
      <c r="BR31" s="181">
        <f>IF(OR(GradeSheet!$I26="W (Withdrawn)", GradeSheet!$I26="I (Incomplete)"), 0, IF(BF31&gt;=65%, 1, 0))</f>
        <v>0</v>
      </c>
    </row>
    <row r="32" ht="15.75" customHeight="1">
      <c r="A32" s="201">
        <v>18.0</v>
      </c>
      <c r="B32" s="69">
        <v>2.23014116E8</v>
      </c>
      <c r="C32" s="71" t="s">
        <v>126</v>
      </c>
      <c r="D32" s="166">
        <f>ROUNDUP((GradeSheet!D27/30)*12,0)
</f>
        <v>12</v>
      </c>
      <c r="E32" s="168">
        <f>GradeSheet!D27-D32</f>
        <v>17</v>
      </c>
      <c r="F32" s="170"/>
      <c r="G32" s="170"/>
      <c r="H32" s="170"/>
      <c r="I32" s="170"/>
      <c r="J32" s="168">
        <f>INT(GradeSheet!E27/2)</f>
        <v>16</v>
      </c>
      <c r="K32" s="168">
        <f>GradeSheet!E27-J32</f>
        <v>16</v>
      </c>
      <c r="L32" s="168"/>
      <c r="M32" s="170"/>
      <c r="N32" s="170"/>
      <c r="O32" s="170"/>
      <c r="P32" s="171">
        <f>ROUNDUP((RawMarks!M19/30)*10,0)</f>
        <v>8</v>
      </c>
      <c r="Q32" s="172">
        <f>GradeSheet!F27-P32</f>
        <v>16</v>
      </c>
      <c r="R32" s="172"/>
      <c r="S32" s="172"/>
      <c r="T32" s="174"/>
      <c r="U32" s="175"/>
      <c r="V32" s="176"/>
      <c r="W32" s="174"/>
      <c r="X32" s="174"/>
      <c r="Y32" s="174"/>
      <c r="Z32" s="174"/>
      <c r="AA32" s="175"/>
      <c r="AB32" s="177">
        <f t="shared" si="8"/>
        <v>36</v>
      </c>
      <c r="AC32" s="178">
        <f t="shared" si="11"/>
        <v>49</v>
      </c>
      <c r="AD32" s="206">
        <f t="shared" ref="AD32:AE32" si="51">SUM(X32,F32,L32)</f>
        <v>0</v>
      </c>
      <c r="AE32" s="206">
        <f t="shared" si="51"/>
        <v>0</v>
      </c>
      <c r="AF32" s="178">
        <f t="shared" si="13"/>
        <v>0</v>
      </c>
      <c r="AG32" s="206">
        <f t="shared" si="14"/>
        <v>0</v>
      </c>
      <c r="AH32" s="179">
        <f t="shared" ref="AH32:AM32" si="52">IF(AB32 = 0, 0, AB32/AB$14)</f>
        <v>0.8571428571</v>
      </c>
      <c r="AI32" s="179">
        <f t="shared" si="52"/>
        <v>0.8448275862</v>
      </c>
      <c r="AJ32" s="179">
        <f t="shared" si="52"/>
        <v>0</v>
      </c>
      <c r="AK32" s="179">
        <f t="shared" si="52"/>
        <v>0</v>
      </c>
      <c r="AL32" s="179">
        <f t="shared" si="52"/>
        <v>0</v>
      </c>
      <c r="AM32" s="179">
        <f t="shared" si="52"/>
        <v>0</v>
      </c>
      <c r="AN32" s="181">
        <f>IF(OR(GradeSheet!$I27="W (Withdrawn)", GradeSheet!$I27="I (Incomplete)"), 0, IF(AH32&gt;=55%, 1, 0))</f>
        <v>1</v>
      </c>
      <c r="AO32" s="181">
        <f>IF(OR(GradeSheet!$I27="W (Withdrawn)", GradeSheet!$I27="I (Incomplete)"), 0, IF(AI32&gt;=55%, 1, 0))</f>
        <v>1</v>
      </c>
      <c r="AP32" s="181">
        <f>IF(OR(GradeSheet!$I27="W (Withdrawn)", GradeSheet!$I27="I (Incomplete)"), 0, IF(AJ32&gt;=55%, 1, 0))</f>
        <v>0</v>
      </c>
      <c r="AQ32" s="181">
        <f>IF(OR(GradeSheet!$I27="W (Withdrawn)", GradeSheet!$I27="I (Incomplete)"), 0, IF(AK32&gt;=55%, 1, 0))</f>
        <v>0</v>
      </c>
      <c r="AR32" s="181">
        <f>IF(OR(GradeSheet!$I27="W (Withdrawn)", GradeSheet!$I27="I (Incomplete)"), 0, IF(AL32&gt;=55%, 1, 0))</f>
        <v>0</v>
      </c>
      <c r="AS32" s="181">
        <f>IF(OR(GradeSheet!$I27="W (Withdrawn)", GradeSheet!$I27="I (Incomplete)"), 0, IF(AM32&gt;=55%, 1, 0))</f>
        <v>0</v>
      </c>
      <c r="AT32" s="135"/>
      <c r="AU32" s="185">
        <f t="shared" si="16"/>
        <v>0</v>
      </c>
      <c r="AV32" s="185">
        <f t="shared" si="17"/>
        <v>0</v>
      </c>
      <c r="AW32" s="185">
        <f t="array" ref="AW32">IF($AV$9=0,0,MMULT($AH32:$AM32, AV$3:AV$8)/$AV$9)</f>
        <v>0</v>
      </c>
      <c r="AX32" s="185">
        <f t="array" ref="AX32">IF($AW$9=0,0,MMULT($AH32:$AM32, AW$3:AW$8)/$AW$9)</f>
        <v>0</v>
      </c>
      <c r="AY32" s="185">
        <f t="shared" si="18"/>
        <v>0</v>
      </c>
      <c r="AZ32" s="185">
        <f t="array" ref="AZ32">IF($AY$9=0,0,MMULT($AH32:$AM32, AY$3:AY$8)/$AY$9)</f>
        <v>0</v>
      </c>
      <c r="BA32" s="185">
        <f t="array" ref="BA32">IF($AZ$9=0,0,MMULT($AH32:$AM32, AZ$3:AZ$8)/$AZ$9)</f>
        <v>0</v>
      </c>
      <c r="BB32" s="185">
        <f t="array" ref="BB32">IF($BA$9=0,0,MMULT($AH32:$AM32, BA$3:BA$8)/$BA$9)</f>
        <v>0</v>
      </c>
      <c r="BC32" s="185">
        <f t="array" ref="BC32">IF($BB$9=0,0,MMULT($AH32:$AM32, BB$3:BB$8)/$BB$9)</f>
        <v>0</v>
      </c>
      <c r="BD32" s="185">
        <f t="array" ref="BD32">IF($BC$9=0,0,MMULT($AH32:$AM32, BC$3:BC$8)/$BC$9)</f>
        <v>0</v>
      </c>
      <c r="BE32" s="185">
        <f t="shared" si="19"/>
        <v>0</v>
      </c>
      <c r="BF32" s="185">
        <f t="shared" si="20"/>
        <v>0</v>
      </c>
      <c r="BG32" s="181">
        <f>IF(OR(GradeSheet!$I27="W (Withdrawn)", GradeSheet!$I27="I (Incomplete)"), 0, IF(AU32&gt;=65%, 1, 0))</f>
        <v>0</v>
      </c>
      <c r="BH32" s="181">
        <f>IF(OR(GradeSheet!$I27="W (Withdrawn)", GradeSheet!$I27="I (Incomplete)"), 0, IF(AV32&gt;=65%, 1, 0))</f>
        <v>0</v>
      </c>
      <c r="BI32" s="181">
        <f>IF(OR(GradeSheet!$I27="W (Withdrawn)", GradeSheet!$I27="I (Incomplete)"), 0, IF(AW32&gt;=65%, 1, 0))</f>
        <v>0</v>
      </c>
      <c r="BJ32" s="181">
        <f>IF(OR(GradeSheet!$I27="W (Withdrawn)", GradeSheet!$I27="I (Incomplete)"), 0, IF(AX32&gt;=65%, 1, 0))</f>
        <v>0</v>
      </c>
      <c r="BK32" s="181">
        <f>IF(OR(GradeSheet!$I27="W (Withdrawn)", GradeSheet!$I27="I (Incomplete)"), 0, IF(AY32&gt;=65%, 1, 0))</f>
        <v>0</v>
      </c>
      <c r="BL32" s="181">
        <f>IF(OR(GradeSheet!$I27="W (Withdrawn)", GradeSheet!$I27="I (Incomplete)"), 0, IF(AZ32&gt;=65%, 1, 0))</f>
        <v>0</v>
      </c>
      <c r="BM32" s="181">
        <f>IF(OR(GradeSheet!$I27="W (Withdrawn)", GradeSheet!$I27="I (Incomplete)"), 0, IF(BA32&gt;=65%, 1, 0))</f>
        <v>0</v>
      </c>
      <c r="BN32" s="181">
        <f>IF(OR(GradeSheet!$I27="W (Withdrawn)", GradeSheet!$I27="I (Incomplete)"), 0, IF(BB32&gt;=65%, 1, 0))</f>
        <v>0</v>
      </c>
      <c r="BO32" s="181">
        <f>IF(OR(GradeSheet!$I27="W (Withdrawn)", GradeSheet!$I27="I (Incomplete)"), 0, IF(BC32&gt;=65%, 1, 0))</f>
        <v>0</v>
      </c>
      <c r="BP32" s="181">
        <f>IF(OR(GradeSheet!$I27="W (Withdrawn)", GradeSheet!$I27="I (Incomplete)"), 0, IF(BD32&gt;=65%, 1, 0))</f>
        <v>0</v>
      </c>
      <c r="BQ32" s="181">
        <f>IF(OR(GradeSheet!$I27="W (Withdrawn)", GradeSheet!$I27="I (Incomplete)"), 0, IF(BE32&gt;=65%, 1, 0))</f>
        <v>0</v>
      </c>
      <c r="BR32" s="181">
        <f>IF(OR(GradeSheet!$I27="W (Withdrawn)", GradeSheet!$I27="I (Incomplete)"), 0, IF(BF32&gt;=65%, 1, 0))</f>
        <v>0</v>
      </c>
    </row>
    <row r="33" ht="15.75" customHeight="1">
      <c r="A33" s="165">
        <v>19.0</v>
      </c>
      <c r="B33" s="69">
        <v>2.2301412E8</v>
      </c>
      <c r="C33" s="71" t="s">
        <v>128</v>
      </c>
      <c r="D33" s="166">
        <f>ROUNDUP((GradeSheet!D28/30)*12,0)
</f>
        <v>6</v>
      </c>
      <c r="E33" s="168">
        <f>GradeSheet!D28-D33</f>
        <v>7</v>
      </c>
      <c r="F33" s="170"/>
      <c r="G33" s="170"/>
      <c r="H33" s="170"/>
      <c r="I33" s="170"/>
      <c r="J33" s="168">
        <f>INT(GradeSheet!E28/2)</f>
        <v>12</v>
      </c>
      <c r="K33" s="168">
        <f>GradeSheet!E28-J33</f>
        <v>13</v>
      </c>
      <c r="L33" s="168"/>
      <c r="M33" s="170"/>
      <c r="N33" s="170"/>
      <c r="O33" s="170"/>
      <c r="P33" s="171">
        <f>ROUNDUP((RawMarks!M20/30)*10,0)</f>
        <v>4</v>
      </c>
      <c r="Q33" s="172">
        <f>GradeSheet!F28-P33</f>
        <v>8</v>
      </c>
      <c r="R33" s="172"/>
      <c r="S33" s="172"/>
      <c r="T33" s="174"/>
      <c r="U33" s="175"/>
      <c r="V33" s="176"/>
      <c r="W33" s="174"/>
      <c r="X33" s="174"/>
      <c r="Y33" s="174"/>
      <c r="Z33" s="174"/>
      <c r="AA33" s="175"/>
      <c r="AB33" s="177">
        <f t="shared" si="8"/>
        <v>22</v>
      </c>
      <c r="AC33" s="178">
        <f t="shared" si="11"/>
        <v>28</v>
      </c>
      <c r="AD33" s="206">
        <f t="shared" ref="AD33:AE33" si="53">SUM(X33,F33,L33)</f>
        <v>0</v>
      </c>
      <c r="AE33" s="206">
        <f t="shared" si="53"/>
        <v>0</v>
      </c>
      <c r="AF33" s="178">
        <f t="shared" si="13"/>
        <v>0</v>
      </c>
      <c r="AG33" s="206">
        <f t="shared" si="14"/>
        <v>0</v>
      </c>
      <c r="AH33" s="179">
        <f t="shared" ref="AH33:AM33" si="54">IF(AB33 = 0, 0, AB33/AB$14)</f>
        <v>0.5238095238</v>
      </c>
      <c r="AI33" s="179">
        <f t="shared" si="54"/>
        <v>0.4827586207</v>
      </c>
      <c r="AJ33" s="179">
        <f t="shared" si="54"/>
        <v>0</v>
      </c>
      <c r="AK33" s="179">
        <f t="shared" si="54"/>
        <v>0</v>
      </c>
      <c r="AL33" s="179">
        <f t="shared" si="54"/>
        <v>0</v>
      </c>
      <c r="AM33" s="179">
        <f t="shared" si="54"/>
        <v>0</v>
      </c>
      <c r="AN33" s="181">
        <f>IF(OR(GradeSheet!$I28="W (Withdrawn)", GradeSheet!$I28="I (Incomplete)"), 0, IF(AH33&gt;=55%, 1, 0))</f>
        <v>0</v>
      </c>
      <c r="AO33" s="181">
        <f>IF(OR(GradeSheet!$I28="W (Withdrawn)", GradeSheet!$I28="I (Incomplete)"), 0, IF(AI33&gt;=55%, 1, 0))</f>
        <v>0</v>
      </c>
      <c r="AP33" s="181">
        <f>IF(OR(GradeSheet!$I28="W (Withdrawn)", GradeSheet!$I28="I (Incomplete)"), 0, IF(AJ33&gt;=55%, 1, 0))</f>
        <v>0</v>
      </c>
      <c r="AQ33" s="181">
        <f>IF(OR(GradeSheet!$I28="W (Withdrawn)", GradeSheet!$I28="I (Incomplete)"), 0, IF(AK33&gt;=55%, 1, 0))</f>
        <v>0</v>
      </c>
      <c r="AR33" s="181">
        <f>IF(OR(GradeSheet!$I28="W (Withdrawn)", GradeSheet!$I28="I (Incomplete)"), 0, IF(AL33&gt;=55%, 1, 0))</f>
        <v>0</v>
      </c>
      <c r="AS33" s="181">
        <f>IF(OR(GradeSheet!$I28="W (Withdrawn)", GradeSheet!$I28="I (Incomplete)"), 0, IF(AM33&gt;=55%, 1, 0))</f>
        <v>0</v>
      </c>
      <c r="AT33" s="135"/>
      <c r="AU33" s="185">
        <f t="shared" si="16"/>
        <v>0</v>
      </c>
      <c r="AV33" s="185">
        <f t="shared" si="17"/>
        <v>0</v>
      </c>
      <c r="AW33" s="185">
        <f t="array" ref="AW33">IF($AV$9=0,0,MMULT($AH33:$AM33, AV$3:AV$8)/$AV$9)</f>
        <v>0</v>
      </c>
      <c r="AX33" s="185">
        <f t="array" ref="AX33">IF($AW$9=0,0,MMULT($AH33:$AM33, AW$3:AW$8)/$AW$9)</f>
        <v>0</v>
      </c>
      <c r="AY33" s="185">
        <f t="shared" si="18"/>
        <v>0</v>
      </c>
      <c r="AZ33" s="185">
        <f t="array" ref="AZ33">IF($AY$9=0,0,MMULT($AH33:$AM33, AY$3:AY$8)/$AY$9)</f>
        <v>0</v>
      </c>
      <c r="BA33" s="185">
        <f t="array" ref="BA33">IF($AZ$9=0,0,MMULT($AH33:$AM33, AZ$3:AZ$8)/$AZ$9)</f>
        <v>0</v>
      </c>
      <c r="BB33" s="185">
        <f t="array" ref="BB33">IF($BA$9=0,0,MMULT($AH33:$AM33, BA$3:BA$8)/$BA$9)</f>
        <v>0</v>
      </c>
      <c r="BC33" s="185">
        <f t="array" ref="BC33">IF($BB$9=0,0,MMULT($AH33:$AM33, BB$3:BB$8)/$BB$9)</f>
        <v>0</v>
      </c>
      <c r="BD33" s="185">
        <f t="array" ref="BD33">IF($BC$9=0,0,MMULT($AH33:$AM33, BC$3:BC$8)/$BC$9)</f>
        <v>0</v>
      </c>
      <c r="BE33" s="185">
        <f t="shared" si="19"/>
        <v>0</v>
      </c>
      <c r="BF33" s="185">
        <f t="shared" si="20"/>
        <v>0</v>
      </c>
      <c r="BG33" s="181">
        <f>IF(OR(GradeSheet!$I28="W (Withdrawn)", GradeSheet!$I28="I (Incomplete)"), 0, IF(AU33&gt;=65%, 1, 0))</f>
        <v>0</v>
      </c>
      <c r="BH33" s="181">
        <f>IF(OR(GradeSheet!$I28="W (Withdrawn)", GradeSheet!$I28="I (Incomplete)"), 0, IF(AV33&gt;=65%, 1, 0))</f>
        <v>0</v>
      </c>
      <c r="BI33" s="181">
        <f>IF(OR(GradeSheet!$I28="W (Withdrawn)", GradeSheet!$I28="I (Incomplete)"), 0, IF(AW33&gt;=65%, 1, 0))</f>
        <v>0</v>
      </c>
      <c r="BJ33" s="181">
        <f>IF(OR(GradeSheet!$I28="W (Withdrawn)", GradeSheet!$I28="I (Incomplete)"), 0, IF(AX33&gt;=65%, 1, 0))</f>
        <v>0</v>
      </c>
      <c r="BK33" s="181">
        <f>IF(OR(GradeSheet!$I28="W (Withdrawn)", GradeSheet!$I28="I (Incomplete)"), 0, IF(AY33&gt;=65%, 1, 0))</f>
        <v>0</v>
      </c>
      <c r="BL33" s="181">
        <f>IF(OR(GradeSheet!$I28="W (Withdrawn)", GradeSheet!$I28="I (Incomplete)"), 0, IF(AZ33&gt;=65%, 1, 0))</f>
        <v>0</v>
      </c>
      <c r="BM33" s="181">
        <f>IF(OR(GradeSheet!$I28="W (Withdrawn)", GradeSheet!$I28="I (Incomplete)"), 0, IF(BA33&gt;=65%, 1, 0))</f>
        <v>0</v>
      </c>
      <c r="BN33" s="181">
        <f>IF(OR(GradeSheet!$I28="W (Withdrawn)", GradeSheet!$I28="I (Incomplete)"), 0, IF(BB33&gt;=65%, 1, 0))</f>
        <v>0</v>
      </c>
      <c r="BO33" s="181">
        <f>IF(OR(GradeSheet!$I28="W (Withdrawn)", GradeSheet!$I28="I (Incomplete)"), 0, IF(BC33&gt;=65%, 1, 0))</f>
        <v>0</v>
      </c>
      <c r="BP33" s="181">
        <f>IF(OR(GradeSheet!$I28="W (Withdrawn)", GradeSheet!$I28="I (Incomplete)"), 0, IF(BD33&gt;=65%, 1, 0))</f>
        <v>0</v>
      </c>
      <c r="BQ33" s="181">
        <f>IF(OR(GradeSheet!$I28="W (Withdrawn)", GradeSheet!$I28="I (Incomplete)"), 0, IF(BE33&gt;=65%, 1, 0))</f>
        <v>0</v>
      </c>
      <c r="BR33" s="181">
        <f>IF(OR(GradeSheet!$I28="W (Withdrawn)", GradeSheet!$I28="I (Incomplete)"), 0, IF(BF33&gt;=65%, 1, 0))</f>
        <v>0</v>
      </c>
    </row>
    <row r="34" ht="15.75" customHeight="1">
      <c r="A34" s="201">
        <v>20.0</v>
      </c>
      <c r="B34" s="69">
        <v>2.23014176E8</v>
      </c>
      <c r="C34" s="71" t="s">
        <v>130</v>
      </c>
      <c r="D34" s="166">
        <f>ROUNDUP((GradeSheet!D29/30)*12,0)
</f>
        <v>8</v>
      </c>
      <c r="E34" s="168">
        <f>GradeSheet!D29-D34</f>
        <v>10</v>
      </c>
      <c r="F34" s="170"/>
      <c r="G34" s="170"/>
      <c r="H34" s="170"/>
      <c r="I34" s="170"/>
      <c r="J34" s="168">
        <f>INT(GradeSheet!E29/2)</f>
        <v>12</v>
      </c>
      <c r="K34" s="168">
        <f>GradeSheet!E29-J34</f>
        <v>13</v>
      </c>
      <c r="L34" s="168"/>
      <c r="M34" s="170"/>
      <c r="N34" s="170"/>
      <c r="O34" s="170"/>
      <c r="P34" s="171">
        <f>ROUNDUP((RawMarks!M21/30)*10,0)</f>
        <v>10</v>
      </c>
      <c r="Q34" s="172">
        <f>GradeSheet!F29-P34</f>
        <v>18</v>
      </c>
      <c r="R34" s="172"/>
      <c r="S34" s="172"/>
      <c r="T34" s="174"/>
      <c r="U34" s="175"/>
      <c r="V34" s="176"/>
      <c r="W34" s="174"/>
      <c r="X34" s="174"/>
      <c r="Y34" s="174"/>
      <c r="Z34" s="174"/>
      <c r="AA34" s="175"/>
      <c r="AB34" s="177">
        <f t="shared" si="8"/>
        <v>30</v>
      </c>
      <c r="AC34" s="178">
        <f t="shared" si="11"/>
        <v>41</v>
      </c>
      <c r="AD34" s="206">
        <f t="shared" ref="AD34:AE34" si="55">SUM(X34,F34,L34)</f>
        <v>0</v>
      </c>
      <c r="AE34" s="206">
        <f t="shared" si="55"/>
        <v>0</v>
      </c>
      <c r="AF34" s="178">
        <f t="shared" si="13"/>
        <v>0</v>
      </c>
      <c r="AG34" s="206">
        <f t="shared" si="14"/>
        <v>0</v>
      </c>
      <c r="AH34" s="179">
        <f t="shared" ref="AH34:AM34" si="56">IF(AB34 = 0, 0, AB34/AB$14)</f>
        <v>0.7142857143</v>
      </c>
      <c r="AI34" s="179">
        <f t="shared" si="56"/>
        <v>0.7068965517</v>
      </c>
      <c r="AJ34" s="179">
        <f t="shared" si="56"/>
        <v>0</v>
      </c>
      <c r="AK34" s="179">
        <f t="shared" si="56"/>
        <v>0</v>
      </c>
      <c r="AL34" s="179">
        <f t="shared" si="56"/>
        <v>0</v>
      </c>
      <c r="AM34" s="179">
        <f t="shared" si="56"/>
        <v>0</v>
      </c>
      <c r="AN34" s="181">
        <f>IF(OR(GradeSheet!$I29="W (Withdrawn)", GradeSheet!$I29="I (Incomplete)"), 0, IF(AH34&gt;=55%, 1, 0))</f>
        <v>1</v>
      </c>
      <c r="AO34" s="181">
        <f>IF(OR(GradeSheet!$I29="W (Withdrawn)", GradeSheet!$I29="I (Incomplete)"), 0, IF(AI34&gt;=55%, 1, 0))</f>
        <v>1</v>
      </c>
      <c r="AP34" s="181">
        <f>IF(OR(GradeSheet!$I29="W (Withdrawn)", GradeSheet!$I29="I (Incomplete)"), 0, IF(AJ34&gt;=55%, 1, 0))</f>
        <v>0</v>
      </c>
      <c r="AQ34" s="181">
        <f>IF(OR(GradeSheet!$I29="W (Withdrawn)", GradeSheet!$I29="I (Incomplete)"), 0, IF(AK34&gt;=55%, 1, 0))</f>
        <v>0</v>
      </c>
      <c r="AR34" s="181">
        <f>IF(OR(GradeSheet!$I29="W (Withdrawn)", GradeSheet!$I29="I (Incomplete)"), 0, IF(AL34&gt;=55%, 1, 0))</f>
        <v>0</v>
      </c>
      <c r="AS34" s="181">
        <f>IF(OR(GradeSheet!$I29="W (Withdrawn)", GradeSheet!$I29="I (Incomplete)"), 0, IF(AM34&gt;=55%, 1, 0))</f>
        <v>0</v>
      </c>
      <c r="AT34" s="135"/>
      <c r="AU34" s="185">
        <f t="shared" si="16"/>
        <v>0</v>
      </c>
      <c r="AV34" s="185">
        <f t="shared" si="17"/>
        <v>0</v>
      </c>
      <c r="AW34" s="185">
        <f t="array" ref="AW34">IF($AV$9=0,0,MMULT($AH34:$AM34, AV$3:AV$8)/$AV$9)</f>
        <v>0</v>
      </c>
      <c r="AX34" s="185">
        <f t="array" ref="AX34">IF($AW$9=0,0,MMULT($AH34:$AM34, AW$3:AW$8)/$AW$9)</f>
        <v>0</v>
      </c>
      <c r="AY34" s="185">
        <f t="shared" si="18"/>
        <v>0</v>
      </c>
      <c r="AZ34" s="185">
        <f t="array" ref="AZ34">IF($AY$9=0,0,MMULT($AH34:$AM34, AY$3:AY$8)/$AY$9)</f>
        <v>0</v>
      </c>
      <c r="BA34" s="185">
        <f t="array" ref="BA34">IF($AZ$9=0,0,MMULT($AH34:$AM34, AZ$3:AZ$8)/$AZ$9)</f>
        <v>0</v>
      </c>
      <c r="BB34" s="185">
        <f t="array" ref="BB34">IF($BA$9=0,0,MMULT($AH34:$AM34, BA$3:BA$8)/$BA$9)</f>
        <v>0</v>
      </c>
      <c r="BC34" s="185">
        <f t="array" ref="BC34">IF($BB$9=0,0,MMULT($AH34:$AM34, BB$3:BB$8)/$BB$9)</f>
        <v>0</v>
      </c>
      <c r="BD34" s="185">
        <f t="array" ref="BD34">IF($BC$9=0,0,MMULT($AH34:$AM34, BC$3:BC$8)/$BC$9)</f>
        <v>0</v>
      </c>
      <c r="BE34" s="185">
        <f t="shared" si="19"/>
        <v>0</v>
      </c>
      <c r="BF34" s="185">
        <f t="shared" si="20"/>
        <v>0</v>
      </c>
      <c r="BG34" s="181">
        <f>IF(OR(GradeSheet!$I29="W (Withdrawn)", GradeSheet!$I29="I (Incomplete)"), 0, IF(AU34&gt;=65%, 1, 0))</f>
        <v>0</v>
      </c>
      <c r="BH34" s="181">
        <f>IF(OR(GradeSheet!$I29="W (Withdrawn)", GradeSheet!$I29="I (Incomplete)"), 0, IF(AV34&gt;=65%, 1, 0))</f>
        <v>0</v>
      </c>
      <c r="BI34" s="181">
        <f>IF(OR(GradeSheet!$I29="W (Withdrawn)", GradeSheet!$I29="I (Incomplete)"), 0, IF(AW34&gt;=65%, 1, 0))</f>
        <v>0</v>
      </c>
      <c r="BJ34" s="181">
        <f>IF(OR(GradeSheet!$I29="W (Withdrawn)", GradeSheet!$I29="I (Incomplete)"), 0, IF(AX34&gt;=65%, 1, 0))</f>
        <v>0</v>
      </c>
      <c r="BK34" s="181">
        <f>IF(OR(GradeSheet!$I29="W (Withdrawn)", GradeSheet!$I29="I (Incomplete)"), 0, IF(AY34&gt;=65%, 1, 0))</f>
        <v>0</v>
      </c>
      <c r="BL34" s="181">
        <f>IF(OR(GradeSheet!$I29="W (Withdrawn)", GradeSheet!$I29="I (Incomplete)"), 0, IF(AZ34&gt;=65%, 1, 0))</f>
        <v>0</v>
      </c>
      <c r="BM34" s="181">
        <f>IF(OR(GradeSheet!$I29="W (Withdrawn)", GradeSheet!$I29="I (Incomplete)"), 0, IF(BA34&gt;=65%, 1, 0))</f>
        <v>0</v>
      </c>
      <c r="BN34" s="181">
        <f>IF(OR(GradeSheet!$I29="W (Withdrawn)", GradeSheet!$I29="I (Incomplete)"), 0, IF(BB34&gt;=65%, 1, 0))</f>
        <v>0</v>
      </c>
      <c r="BO34" s="181">
        <f>IF(OR(GradeSheet!$I29="W (Withdrawn)", GradeSheet!$I29="I (Incomplete)"), 0, IF(BC34&gt;=65%, 1, 0))</f>
        <v>0</v>
      </c>
      <c r="BP34" s="181">
        <f>IF(OR(GradeSheet!$I29="W (Withdrawn)", GradeSheet!$I29="I (Incomplete)"), 0, IF(BD34&gt;=65%, 1, 0))</f>
        <v>0</v>
      </c>
      <c r="BQ34" s="181">
        <f>IF(OR(GradeSheet!$I29="W (Withdrawn)", GradeSheet!$I29="I (Incomplete)"), 0, IF(BE34&gt;=65%, 1, 0))</f>
        <v>0</v>
      </c>
      <c r="BR34" s="181">
        <f>IF(OR(GradeSheet!$I29="W (Withdrawn)", GradeSheet!$I29="I (Incomplete)"), 0, IF(BF34&gt;=65%, 1, 0))</f>
        <v>0</v>
      </c>
    </row>
    <row r="35" ht="15.75" customHeight="1">
      <c r="A35" s="165">
        <v>21.0</v>
      </c>
      <c r="B35" s="69">
        <v>2.23014219E8</v>
      </c>
      <c r="C35" s="71" t="s">
        <v>133</v>
      </c>
      <c r="D35" s="166">
        <f>ROUNDUP((GradeSheet!D30/30)*12,0)
</f>
        <v>11</v>
      </c>
      <c r="E35" s="168">
        <f>GradeSheet!D30-D35</f>
        <v>15</v>
      </c>
      <c r="F35" s="170"/>
      <c r="G35" s="170"/>
      <c r="H35" s="170"/>
      <c r="I35" s="170"/>
      <c r="J35" s="168">
        <f>INT(GradeSheet!E30/2)</f>
        <v>16</v>
      </c>
      <c r="K35" s="168">
        <f>GradeSheet!E30-J35</f>
        <v>16</v>
      </c>
      <c r="L35" s="168"/>
      <c r="M35" s="170"/>
      <c r="N35" s="170"/>
      <c r="O35" s="170"/>
      <c r="P35" s="171">
        <f>ROUNDUP((RawMarks!M22/30)*10,0)</f>
        <v>9</v>
      </c>
      <c r="Q35" s="172">
        <f>GradeSheet!F30-P35</f>
        <v>16</v>
      </c>
      <c r="R35" s="172"/>
      <c r="S35" s="172"/>
      <c r="T35" s="174"/>
      <c r="U35" s="175"/>
      <c r="V35" s="176"/>
      <c r="W35" s="174"/>
      <c r="X35" s="174"/>
      <c r="Y35" s="174"/>
      <c r="Z35" s="174"/>
      <c r="AA35" s="175"/>
      <c r="AB35" s="177">
        <f t="shared" si="8"/>
        <v>36</v>
      </c>
      <c r="AC35" s="178">
        <f t="shared" si="11"/>
        <v>47</v>
      </c>
      <c r="AD35" s="206">
        <f t="shared" ref="AD35:AE35" si="57">SUM(X35,F35,L35)</f>
        <v>0</v>
      </c>
      <c r="AE35" s="206">
        <f t="shared" si="57"/>
        <v>0</v>
      </c>
      <c r="AF35" s="178">
        <f t="shared" si="13"/>
        <v>0</v>
      </c>
      <c r="AG35" s="206">
        <f t="shared" si="14"/>
        <v>0</v>
      </c>
      <c r="AH35" s="179">
        <f t="shared" ref="AH35:AM35" si="58">IF(AB35 = 0, 0, AB35/AB$14)</f>
        <v>0.8571428571</v>
      </c>
      <c r="AI35" s="179">
        <f t="shared" si="58"/>
        <v>0.8103448276</v>
      </c>
      <c r="AJ35" s="179">
        <f t="shared" si="58"/>
        <v>0</v>
      </c>
      <c r="AK35" s="179">
        <f t="shared" si="58"/>
        <v>0</v>
      </c>
      <c r="AL35" s="179">
        <f t="shared" si="58"/>
        <v>0</v>
      </c>
      <c r="AM35" s="179">
        <f t="shared" si="58"/>
        <v>0</v>
      </c>
      <c r="AN35" s="181">
        <f>IF(OR(GradeSheet!$I30="W (Withdrawn)", GradeSheet!$I30="I (Incomplete)"), 0, IF(AH35&gt;=55%, 1, 0))</f>
        <v>1</v>
      </c>
      <c r="AO35" s="181">
        <f>IF(OR(GradeSheet!$I30="W (Withdrawn)", GradeSheet!$I30="I (Incomplete)"), 0, IF(AI35&gt;=55%, 1, 0))</f>
        <v>1</v>
      </c>
      <c r="AP35" s="181">
        <f>IF(OR(GradeSheet!$I30="W (Withdrawn)", GradeSheet!$I30="I (Incomplete)"), 0, IF(AJ35&gt;=55%, 1, 0))</f>
        <v>0</v>
      </c>
      <c r="AQ35" s="181">
        <f>IF(OR(GradeSheet!$I30="W (Withdrawn)", GradeSheet!$I30="I (Incomplete)"), 0, IF(AK35&gt;=55%, 1, 0))</f>
        <v>0</v>
      </c>
      <c r="AR35" s="181">
        <f>IF(OR(GradeSheet!$I30="W (Withdrawn)", GradeSheet!$I30="I (Incomplete)"), 0, IF(AL35&gt;=55%, 1, 0))</f>
        <v>0</v>
      </c>
      <c r="AS35" s="181">
        <f>IF(OR(GradeSheet!$I30="W (Withdrawn)", GradeSheet!$I30="I (Incomplete)"), 0, IF(AM35&gt;=55%, 1, 0))</f>
        <v>0</v>
      </c>
      <c r="AT35" s="135"/>
      <c r="AU35" s="185">
        <f t="shared" si="16"/>
        <v>0</v>
      </c>
      <c r="AV35" s="185">
        <f t="shared" si="17"/>
        <v>0</v>
      </c>
      <c r="AW35" s="185">
        <f t="array" ref="AW35">IF($AV$9=0,0,MMULT($AH35:$AM35, AV$3:AV$8)/$AV$9)</f>
        <v>0</v>
      </c>
      <c r="AX35" s="185">
        <f t="array" ref="AX35">IF($AW$9=0,0,MMULT($AH35:$AM35, AW$3:AW$8)/$AW$9)</f>
        <v>0</v>
      </c>
      <c r="AY35" s="185">
        <f t="shared" si="18"/>
        <v>0</v>
      </c>
      <c r="AZ35" s="185">
        <f t="array" ref="AZ35">IF($AY$9=0,0,MMULT($AH35:$AM35, AY$3:AY$8)/$AY$9)</f>
        <v>0</v>
      </c>
      <c r="BA35" s="185">
        <f t="array" ref="BA35">IF($AZ$9=0,0,MMULT($AH35:$AM35, AZ$3:AZ$8)/$AZ$9)</f>
        <v>0</v>
      </c>
      <c r="BB35" s="185">
        <f t="array" ref="BB35">IF($BA$9=0,0,MMULT($AH35:$AM35, BA$3:BA$8)/$BA$9)</f>
        <v>0</v>
      </c>
      <c r="BC35" s="185">
        <f t="array" ref="BC35">IF($BB$9=0,0,MMULT($AH35:$AM35, BB$3:BB$8)/$BB$9)</f>
        <v>0</v>
      </c>
      <c r="BD35" s="185">
        <f t="array" ref="BD35">IF($BC$9=0,0,MMULT($AH35:$AM35, BC$3:BC$8)/$BC$9)</f>
        <v>0</v>
      </c>
      <c r="BE35" s="185">
        <f t="shared" si="19"/>
        <v>0</v>
      </c>
      <c r="BF35" s="185">
        <f t="shared" si="20"/>
        <v>0</v>
      </c>
      <c r="BG35" s="181">
        <f>IF(OR(GradeSheet!$I30="W (Withdrawn)", GradeSheet!$I30="I (Incomplete)"), 0, IF(AU35&gt;=65%, 1, 0))</f>
        <v>0</v>
      </c>
      <c r="BH35" s="181">
        <f>IF(OR(GradeSheet!$I30="W (Withdrawn)", GradeSheet!$I30="I (Incomplete)"), 0, IF(AV35&gt;=65%, 1, 0))</f>
        <v>0</v>
      </c>
      <c r="BI35" s="181">
        <f>IF(OR(GradeSheet!$I30="W (Withdrawn)", GradeSheet!$I30="I (Incomplete)"), 0, IF(AW35&gt;=65%, 1, 0))</f>
        <v>0</v>
      </c>
      <c r="BJ35" s="181">
        <f>IF(OR(GradeSheet!$I30="W (Withdrawn)", GradeSheet!$I30="I (Incomplete)"), 0, IF(AX35&gt;=65%, 1, 0))</f>
        <v>0</v>
      </c>
      <c r="BK35" s="181">
        <f>IF(OR(GradeSheet!$I30="W (Withdrawn)", GradeSheet!$I30="I (Incomplete)"), 0, IF(AY35&gt;=65%, 1, 0))</f>
        <v>0</v>
      </c>
      <c r="BL35" s="181">
        <f>IF(OR(GradeSheet!$I30="W (Withdrawn)", GradeSheet!$I30="I (Incomplete)"), 0, IF(AZ35&gt;=65%, 1, 0))</f>
        <v>0</v>
      </c>
      <c r="BM35" s="181">
        <f>IF(OR(GradeSheet!$I30="W (Withdrawn)", GradeSheet!$I30="I (Incomplete)"), 0, IF(BA35&gt;=65%, 1, 0))</f>
        <v>0</v>
      </c>
      <c r="BN35" s="181">
        <f>IF(OR(GradeSheet!$I30="W (Withdrawn)", GradeSheet!$I30="I (Incomplete)"), 0, IF(BB35&gt;=65%, 1, 0))</f>
        <v>0</v>
      </c>
      <c r="BO35" s="181">
        <f>IF(OR(GradeSheet!$I30="W (Withdrawn)", GradeSheet!$I30="I (Incomplete)"), 0, IF(BC35&gt;=65%, 1, 0))</f>
        <v>0</v>
      </c>
      <c r="BP35" s="181">
        <f>IF(OR(GradeSheet!$I30="W (Withdrawn)", GradeSheet!$I30="I (Incomplete)"), 0, IF(BD35&gt;=65%, 1, 0))</f>
        <v>0</v>
      </c>
      <c r="BQ35" s="181">
        <f>IF(OR(GradeSheet!$I30="W (Withdrawn)", GradeSheet!$I30="I (Incomplete)"), 0, IF(BE35&gt;=65%, 1, 0))</f>
        <v>0</v>
      </c>
      <c r="BR35" s="181">
        <f>IF(OR(GradeSheet!$I30="W (Withdrawn)", GradeSheet!$I30="I (Incomplete)"), 0, IF(BF35&gt;=65%, 1, 0))</f>
        <v>0</v>
      </c>
    </row>
    <row r="36" ht="15.75" customHeight="1">
      <c r="A36" s="201">
        <v>22.0</v>
      </c>
      <c r="B36" s="69">
        <v>2.31014003E8</v>
      </c>
      <c r="C36" s="71" t="s">
        <v>136</v>
      </c>
      <c r="D36" s="166">
        <f>ROUNDUP((GradeSheet!D31/30)*12,0)
</f>
        <v>8</v>
      </c>
      <c r="E36" s="168">
        <f>GradeSheet!D31-D36</f>
        <v>11</v>
      </c>
      <c r="F36" s="170"/>
      <c r="G36" s="170"/>
      <c r="H36" s="170"/>
      <c r="I36" s="170"/>
      <c r="J36" s="168">
        <f>INT(GradeSheet!E31/2)</f>
        <v>17</v>
      </c>
      <c r="K36" s="168">
        <f>GradeSheet!E31-J36</f>
        <v>18</v>
      </c>
      <c r="L36" s="168"/>
      <c r="M36" s="170"/>
      <c r="N36" s="170"/>
      <c r="O36" s="170"/>
      <c r="P36" s="171">
        <f>ROUNDUP((RawMarks!M23/30)*10,0)</f>
        <v>8</v>
      </c>
      <c r="Q36" s="172">
        <f>GradeSheet!F31-P36</f>
        <v>16</v>
      </c>
      <c r="R36" s="172"/>
      <c r="S36" s="172"/>
      <c r="T36" s="174"/>
      <c r="U36" s="175"/>
      <c r="V36" s="176"/>
      <c r="W36" s="174"/>
      <c r="X36" s="174"/>
      <c r="Y36" s="174"/>
      <c r="Z36" s="174"/>
      <c r="AA36" s="175"/>
      <c r="AB36" s="177">
        <f t="shared" si="8"/>
        <v>33</v>
      </c>
      <c r="AC36" s="178">
        <f t="shared" si="11"/>
        <v>45</v>
      </c>
      <c r="AD36" s="206">
        <f t="shared" ref="AD36:AE36" si="59">SUM(X36,F36,L36)</f>
        <v>0</v>
      </c>
      <c r="AE36" s="206">
        <f t="shared" si="59"/>
        <v>0</v>
      </c>
      <c r="AF36" s="178">
        <f t="shared" si="13"/>
        <v>0</v>
      </c>
      <c r="AG36" s="206">
        <f t="shared" si="14"/>
        <v>0</v>
      </c>
      <c r="AH36" s="179">
        <f t="shared" ref="AH36:AM36" si="60">IF(AB36 = 0, 0, AB36/AB$14)</f>
        <v>0.7857142857</v>
      </c>
      <c r="AI36" s="179">
        <f t="shared" si="60"/>
        <v>0.775862069</v>
      </c>
      <c r="AJ36" s="179">
        <f t="shared" si="60"/>
        <v>0</v>
      </c>
      <c r="AK36" s="179">
        <f t="shared" si="60"/>
        <v>0</v>
      </c>
      <c r="AL36" s="179">
        <f t="shared" si="60"/>
        <v>0</v>
      </c>
      <c r="AM36" s="179">
        <f t="shared" si="60"/>
        <v>0</v>
      </c>
      <c r="AN36" s="181">
        <f>IF(OR(GradeSheet!$I31="W (Withdrawn)", GradeSheet!$I31="I (Incomplete)"), 0, IF(AH36&gt;=55%, 1, 0))</f>
        <v>1</v>
      </c>
      <c r="AO36" s="181">
        <f>IF(OR(GradeSheet!$I31="W (Withdrawn)", GradeSheet!$I31="I (Incomplete)"), 0, IF(AI36&gt;=55%, 1, 0))</f>
        <v>1</v>
      </c>
      <c r="AP36" s="181">
        <f>IF(OR(GradeSheet!$I31="W (Withdrawn)", GradeSheet!$I31="I (Incomplete)"), 0, IF(AJ36&gt;=55%, 1, 0))</f>
        <v>0</v>
      </c>
      <c r="AQ36" s="181">
        <f>IF(OR(GradeSheet!$I31="W (Withdrawn)", GradeSheet!$I31="I (Incomplete)"), 0, IF(AK36&gt;=55%, 1, 0))</f>
        <v>0</v>
      </c>
      <c r="AR36" s="181">
        <f>IF(OR(GradeSheet!$I31="W (Withdrawn)", GradeSheet!$I31="I (Incomplete)"), 0, IF(AL36&gt;=55%, 1, 0))</f>
        <v>0</v>
      </c>
      <c r="AS36" s="181">
        <f>IF(OR(GradeSheet!$I31="W (Withdrawn)", GradeSheet!$I31="I (Incomplete)"), 0, IF(AM36&gt;=55%, 1, 0))</f>
        <v>0</v>
      </c>
      <c r="AT36" s="135"/>
      <c r="AU36" s="185">
        <f t="shared" si="16"/>
        <v>0</v>
      </c>
      <c r="AV36" s="185">
        <f t="shared" si="17"/>
        <v>0</v>
      </c>
      <c r="AW36" s="185">
        <f t="array" ref="AW36">IF($AV$9=0,0,MMULT($AH36:$AM36, AV$3:AV$8)/$AV$9)</f>
        <v>0</v>
      </c>
      <c r="AX36" s="185">
        <f t="array" ref="AX36">IF($AW$9=0,0,MMULT($AH36:$AM36, AW$3:AW$8)/$AW$9)</f>
        <v>0</v>
      </c>
      <c r="AY36" s="185">
        <f t="shared" si="18"/>
        <v>0</v>
      </c>
      <c r="AZ36" s="185">
        <f t="array" ref="AZ36">IF($AY$9=0,0,MMULT($AH36:$AM36, AY$3:AY$8)/$AY$9)</f>
        <v>0</v>
      </c>
      <c r="BA36" s="185">
        <f t="array" ref="BA36">IF($AZ$9=0,0,MMULT($AH36:$AM36, AZ$3:AZ$8)/$AZ$9)</f>
        <v>0</v>
      </c>
      <c r="BB36" s="185">
        <f t="array" ref="BB36">IF($BA$9=0,0,MMULT($AH36:$AM36, BA$3:BA$8)/$BA$9)</f>
        <v>0</v>
      </c>
      <c r="BC36" s="185">
        <f t="array" ref="BC36">IF($BB$9=0,0,MMULT($AH36:$AM36, BB$3:BB$8)/$BB$9)</f>
        <v>0</v>
      </c>
      <c r="BD36" s="185">
        <f t="array" ref="BD36">IF($BC$9=0,0,MMULT($AH36:$AM36, BC$3:BC$8)/$BC$9)</f>
        <v>0</v>
      </c>
      <c r="BE36" s="185">
        <f t="shared" si="19"/>
        <v>0</v>
      </c>
      <c r="BF36" s="185">
        <f t="shared" si="20"/>
        <v>0</v>
      </c>
      <c r="BG36" s="181">
        <f>IF(OR(GradeSheet!$I31="W (Withdrawn)", GradeSheet!$I31="I (Incomplete)"), 0, IF(AU36&gt;=65%, 1, 0))</f>
        <v>0</v>
      </c>
      <c r="BH36" s="181">
        <f>IF(OR(GradeSheet!$I31="W (Withdrawn)", GradeSheet!$I31="I (Incomplete)"), 0, IF(AV36&gt;=65%, 1, 0))</f>
        <v>0</v>
      </c>
      <c r="BI36" s="181">
        <f>IF(OR(GradeSheet!$I31="W (Withdrawn)", GradeSheet!$I31="I (Incomplete)"), 0, IF(AW36&gt;=65%, 1, 0))</f>
        <v>0</v>
      </c>
      <c r="BJ36" s="181">
        <f>IF(OR(GradeSheet!$I31="W (Withdrawn)", GradeSheet!$I31="I (Incomplete)"), 0, IF(AX36&gt;=65%, 1, 0))</f>
        <v>0</v>
      </c>
      <c r="BK36" s="181">
        <f>IF(OR(GradeSheet!$I31="W (Withdrawn)", GradeSheet!$I31="I (Incomplete)"), 0, IF(AY36&gt;=65%, 1, 0))</f>
        <v>0</v>
      </c>
      <c r="BL36" s="181">
        <f>IF(OR(GradeSheet!$I31="W (Withdrawn)", GradeSheet!$I31="I (Incomplete)"), 0, IF(AZ36&gt;=65%, 1, 0))</f>
        <v>0</v>
      </c>
      <c r="BM36" s="181">
        <f>IF(OR(GradeSheet!$I31="W (Withdrawn)", GradeSheet!$I31="I (Incomplete)"), 0, IF(BA36&gt;=65%, 1, 0))</f>
        <v>0</v>
      </c>
      <c r="BN36" s="181">
        <f>IF(OR(GradeSheet!$I31="W (Withdrawn)", GradeSheet!$I31="I (Incomplete)"), 0, IF(BB36&gt;=65%, 1, 0))</f>
        <v>0</v>
      </c>
      <c r="BO36" s="181">
        <f>IF(OR(GradeSheet!$I31="W (Withdrawn)", GradeSheet!$I31="I (Incomplete)"), 0, IF(BC36&gt;=65%, 1, 0))</f>
        <v>0</v>
      </c>
      <c r="BP36" s="181">
        <f>IF(OR(GradeSheet!$I31="W (Withdrawn)", GradeSheet!$I31="I (Incomplete)"), 0, IF(BD36&gt;=65%, 1, 0))</f>
        <v>0</v>
      </c>
      <c r="BQ36" s="181">
        <f>IF(OR(GradeSheet!$I31="W (Withdrawn)", GradeSheet!$I31="I (Incomplete)"), 0, IF(BE36&gt;=65%, 1, 0))</f>
        <v>0</v>
      </c>
      <c r="BR36" s="181">
        <f>IF(OR(GradeSheet!$I31="W (Withdrawn)", GradeSheet!$I31="I (Incomplete)"), 0, IF(BF36&gt;=65%, 1, 0))</f>
        <v>0</v>
      </c>
    </row>
    <row r="37" ht="15.75" customHeight="1">
      <c r="A37" s="165">
        <v>23.0</v>
      </c>
      <c r="B37" s="69">
        <v>2.31014007E8</v>
      </c>
      <c r="C37" s="71" t="s">
        <v>139</v>
      </c>
      <c r="D37" s="166">
        <f>ROUNDUP((GradeSheet!D32/30)*12,0)
</f>
        <v>12</v>
      </c>
      <c r="E37" s="168">
        <f>GradeSheet!D32-D37</f>
        <v>18</v>
      </c>
      <c r="F37" s="170"/>
      <c r="G37" s="170"/>
      <c r="H37" s="170"/>
      <c r="I37" s="170"/>
      <c r="J37" s="168">
        <f>INT(GradeSheet!E32/2)</f>
        <v>17</v>
      </c>
      <c r="K37" s="168">
        <f>GradeSheet!E32-J37</f>
        <v>18</v>
      </c>
      <c r="L37" s="168"/>
      <c r="M37" s="170"/>
      <c r="N37" s="170"/>
      <c r="O37" s="170"/>
      <c r="P37" s="171">
        <f>ROUNDUP((RawMarks!M24/30)*10,0)</f>
        <v>10</v>
      </c>
      <c r="Q37" s="172">
        <f>GradeSheet!F32-P37</f>
        <v>20</v>
      </c>
      <c r="R37" s="172"/>
      <c r="S37" s="172"/>
      <c r="T37" s="174"/>
      <c r="U37" s="175"/>
      <c r="V37" s="176"/>
      <c r="W37" s="174"/>
      <c r="X37" s="174"/>
      <c r="Y37" s="174"/>
      <c r="Z37" s="174"/>
      <c r="AA37" s="175"/>
      <c r="AB37" s="177">
        <f t="shared" si="8"/>
        <v>39</v>
      </c>
      <c r="AC37" s="178">
        <f t="shared" si="11"/>
        <v>56</v>
      </c>
      <c r="AD37" s="206">
        <f t="shared" ref="AD37:AE37" si="61">SUM(X37,F37,L37)</f>
        <v>0</v>
      </c>
      <c r="AE37" s="206">
        <f t="shared" si="61"/>
        <v>0</v>
      </c>
      <c r="AF37" s="178">
        <f t="shared" si="13"/>
        <v>0</v>
      </c>
      <c r="AG37" s="206">
        <f t="shared" si="14"/>
        <v>0</v>
      </c>
      <c r="AH37" s="179">
        <f t="shared" ref="AH37:AM37" si="62">IF(AB37 = 0, 0, AB37/AB$14)</f>
        <v>0.9285714286</v>
      </c>
      <c r="AI37" s="179">
        <f t="shared" si="62"/>
        <v>0.9655172414</v>
      </c>
      <c r="AJ37" s="179">
        <f t="shared" si="62"/>
        <v>0</v>
      </c>
      <c r="AK37" s="179">
        <f t="shared" si="62"/>
        <v>0</v>
      </c>
      <c r="AL37" s="179">
        <f t="shared" si="62"/>
        <v>0</v>
      </c>
      <c r="AM37" s="179">
        <f t="shared" si="62"/>
        <v>0</v>
      </c>
      <c r="AN37" s="181">
        <f>IF(OR(GradeSheet!$I32="W (Withdrawn)", GradeSheet!$I32="I (Incomplete)"), 0, IF(AH37&gt;=55%, 1, 0))</f>
        <v>1</v>
      </c>
      <c r="AO37" s="181">
        <f>IF(OR(GradeSheet!$I32="W (Withdrawn)", GradeSheet!$I32="I (Incomplete)"), 0, IF(AI37&gt;=55%, 1, 0))</f>
        <v>1</v>
      </c>
      <c r="AP37" s="181">
        <f>IF(OR(GradeSheet!$I32="W (Withdrawn)", GradeSheet!$I32="I (Incomplete)"), 0, IF(AJ37&gt;=55%, 1, 0))</f>
        <v>0</v>
      </c>
      <c r="AQ37" s="181">
        <f>IF(OR(GradeSheet!$I32="W (Withdrawn)", GradeSheet!$I32="I (Incomplete)"), 0, IF(AK37&gt;=55%, 1, 0))</f>
        <v>0</v>
      </c>
      <c r="AR37" s="181">
        <f>IF(OR(GradeSheet!$I32="W (Withdrawn)", GradeSheet!$I32="I (Incomplete)"), 0, IF(AL37&gt;=55%, 1, 0))</f>
        <v>0</v>
      </c>
      <c r="AS37" s="181">
        <f>IF(OR(GradeSheet!$I32="W (Withdrawn)", GradeSheet!$I32="I (Incomplete)"), 0, IF(AM37&gt;=55%, 1, 0))</f>
        <v>0</v>
      </c>
      <c r="AT37" s="135"/>
      <c r="AU37" s="185">
        <f t="shared" si="16"/>
        <v>0</v>
      </c>
      <c r="AV37" s="185">
        <f t="shared" si="17"/>
        <v>0</v>
      </c>
      <c r="AW37" s="185">
        <f t="array" ref="AW37">IF($AV$9=0,0,MMULT($AH37:$AM37, AV$3:AV$8)/$AV$9)</f>
        <v>0</v>
      </c>
      <c r="AX37" s="185">
        <f t="array" ref="AX37">IF($AW$9=0,0,MMULT($AH37:$AM37, AW$3:AW$8)/$AW$9)</f>
        <v>0</v>
      </c>
      <c r="AY37" s="185">
        <f t="shared" si="18"/>
        <v>0</v>
      </c>
      <c r="AZ37" s="185">
        <f t="array" ref="AZ37">IF($AY$9=0,0,MMULT($AH37:$AM37, AY$3:AY$8)/$AY$9)</f>
        <v>0</v>
      </c>
      <c r="BA37" s="185">
        <f t="array" ref="BA37">IF($AZ$9=0,0,MMULT($AH37:$AM37, AZ$3:AZ$8)/$AZ$9)</f>
        <v>0</v>
      </c>
      <c r="BB37" s="185">
        <f t="array" ref="BB37">IF($BA$9=0,0,MMULT($AH37:$AM37, BA$3:BA$8)/$BA$9)</f>
        <v>0</v>
      </c>
      <c r="BC37" s="185">
        <f t="array" ref="BC37">IF($BB$9=0,0,MMULT($AH37:$AM37, BB$3:BB$8)/$BB$9)</f>
        <v>0</v>
      </c>
      <c r="BD37" s="185">
        <f t="array" ref="BD37">IF($BC$9=0,0,MMULT($AH37:$AM37, BC$3:BC$8)/$BC$9)</f>
        <v>0</v>
      </c>
      <c r="BE37" s="185">
        <f t="shared" si="19"/>
        <v>0</v>
      </c>
      <c r="BF37" s="185">
        <f t="shared" si="20"/>
        <v>0</v>
      </c>
      <c r="BG37" s="181">
        <f>IF(OR(GradeSheet!$I32="W (Withdrawn)", GradeSheet!$I32="I (Incomplete)"), 0, IF(AU37&gt;=65%, 1, 0))</f>
        <v>0</v>
      </c>
      <c r="BH37" s="181">
        <f>IF(OR(GradeSheet!$I32="W (Withdrawn)", GradeSheet!$I32="I (Incomplete)"), 0, IF(AV37&gt;=65%, 1, 0))</f>
        <v>0</v>
      </c>
      <c r="BI37" s="181">
        <f>IF(OR(GradeSheet!$I32="W (Withdrawn)", GradeSheet!$I32="I (Incomplete)"), 0, IF(AW37&gt;=65%, 1, 0))</f>
        <v>0</v>
      </c>
      <c r="BJ37" s="181">
        <f>IF(OR(GradeSheet!$I32="W (Withdrawn)", GradeSheet!$I32="I (Incomplete)"), 0, IF(AX37&gt;=65%, 1, 0))</f>
        <v>0</v>
      </c>
      <c r="BK37" s="181">
        <f>IF(OR(GradeSheet!$I32="W (Withdrawn)", GradeSheet!$I32="I (Incomplete)"), 0, IF(AY37&gt;=65%, 1, 0))</f>
        <v>0</v>
      </c>
      <c r="BL37" s="181">
        <f>IF(OR(GradeSheet!$I32="W (Withdrawn)", GradeSheet!$I32="I (Incomplete)"), 0, IF(AZ37&gt;=65%, 1, 0))</f>
        <v>0</v>
      </c>
      <c r="BM37" s="181">
        <f>IF(OR(GradeSheet!$I32="W (Withdrawn)", GradeSheet!$I32="I (Incomplete)"), 0, IF(BA37&gt;=65%, 1, 0))</f>
        <v>0</v>
      </c>
      <c r="BN37" s="181">
        <f>IF(OR(GradeSheet!$I32="W (Withdrawn)", GradeSheet!$I32="I (Incomplete)"), 0, IF(BB37&gt;=65%, 1, 0))</f>
        <v>0</v>
      </c>
      <c r="BO37" s="181">
        <f>IF(OR(GradeSheet!$I32="W (Withdrawn)", GradeSheet!$I32="I (Incomplete)"), 0, IF(BC37&gt;=65%, 1, 0))</f>
        <v>0</v>
      </c>
      <c r="BP37" s="181">
        <f>IF(OR(GradeSheet!$I32="W (Withdrawn)", GradeSheet!$I32="I (Incomplete)"), 0, IF(BD37&gt;=65%, 1, 0))</f>
        <v>0</v>
      </c>
      <c r="BQ37" s="181">
        <f>IF(OR(GradeSheet!$I32="W (Withdrawn)", GradeSheet!$I32="I (Incomplete)"), 0, IF(BE37&gt;=65%, 1, 0))</f>
        <v>0</v>
      </c>
      <c r="BR37" s="181">
        <f>IF(OR(GradeSheet!$I32="W (Withdrawn)", GradeSheet!$I32="I (Incomplete)"), 0, IF(BF37&gt;=65%, 1, 0))</f>
        <v>0</v>
      </c>
    </row>
    <row r="38" ht="15.75" customHeight="1">
      <c r="A38" s="201">
        <v>24.0</v>
      </c>
      <c r="B38" s="69">
        <v>2.31014025E8</v>
      </c>
      <c r="C38" s="71" t="s">
        <v>141</v>
      </c>
      <c r="D38" s="166">
        <f>ROUNDUP((GradeSheet!D33/30)*12,0)
</f>
        <v>9</v>
      </c>
      <c r="E38" s="168">
        <f>GradeSheet!D33-D38</f>
        <v>13</v>
      </c>
      <c r="F38" s="170"/>
      <c r="G38" s="170"/>
      <c r="H38" s="170"/>
      <c r="I38" s="170"/>
      <c r="J38" s="168">
        <f>INT(GradeSheet!E33/2)</f>
        <v>17</v>
      </c>
      <c r="K38" s="168">
        <f>GradeSheet!E33-J38</f>
        <v>18</v>
      </c>
      <c r="L38" s="168"/>
      <c r="M38" s="170"/>
      <c r="N38" s="170"/>
      <c r="O38" s="170"/>
      <c r="P38" s="171">
        <f>ROUNDUP((RawMarks!M25/30)*10,0)</f>
        <v>10</v>
      </c>
      <c r="Q38" s="172">
        <f>GradeSheet!F33-P38</f>
        <v>18</v>
      </c>
      <c r="R38" s="172"/>
      <c r="S38" s="172"/>
      <c r="T38" s="174"/>
      <c r="U38" s="175"/>
      <c r="V38" s="176"/>
      <c r="W38" s="174"/>
      <c r="X38" s="174"/>
      <c r="Y38" s="174"/>
      <c r="Z38" s="174"/>
      <c r="AA38" s="175"/>
      <c r="AB38" s="177">
        <f t="shared" si="8"/>
        <v>36</v>
      </c>
      <c r="AC38" s="178">
        <f t="shared" si="11"/>
        <v>49</v>
      </c>
      <c r="AD38" s="206">
        <f t="shared" ref="AD38:AE38" si="63">SUM(X38,F38,L38)</f>
        <v>0</v>
      </c>
      <c r="AE38" s="206">
        <f t="shared" si="63"/>
        <v>0</v>
      </c>
      <c r="AF38" s="178">
        <f t="shared" si="13"/>
        <v>0</v>
      </c>
      <c r="AG38" s="206">
        <f t="shared" si="14"/>
        <v>0</v>
      </c>
      <c r="AH38" s="179">
        <f t="shared" ref="AH38:AM38" si="64">IF(AB38 = 0, 0, AB38/AB$14)</f>
        <v>0.8571428571</v>
      </c>
      <c r="AI38" s="179">
        <f t="shared" si="64"/>
        <v>0.8448275862</v>
      </c>
      <c r="AJ38" s="179">
        <f t="shared" si="64"/>
        <v>0</v>
      </c>
      <c r="AK38" s="179">
        <f t="shared" si="64"/>
        <v>0</v>
      </c>
      <c r="AL38" s="179">
        <f t="shared" si="64"/>
        <v>0</v>
      </c>
      <c r="AM38" s="179">
        <f t="shared" si="64"/>
        <v>0</v>
      </c>
      <c r="AN38" s="181">
        <f>IF(OR(GradeSheet!$I33="W (Withdrawn)", GradeSheet!$I33="I (Incomplete)"), 0, IF(AH38&gt;=55%, 1, 0))</f>
        <v>1</v>
      </c>
      <c r="AO38" s="181">
        <f>IF(OR(GradeSheet!$I33="W (Withdrawn)", GradeSheet!$I33="I (Incomplete)"), 0, IF(AI38&gt;=55%, 1, 0))</f>
        <v>1</v>
      </c>
      <c r="AP38" s="181">
        <f>IF(OR(GradeSheet!$I33="W (Withdrawn)", GradeSheet!$I33="I (Incomplete)"), 0, IF(AJ38&gt;=55%, 1, 0))</f>
        <v>0</v>
      </c>
      <c r="AQ38" s="181">
        <f>IF(OR(GradeSheet!$I33="W (Withdrawn)", GradeSheet!$I33="I (Incomplete)"), 0, IF(AK38&gt;=55%, 1, 0))</f>
        <v>0</v>
      </c>
      <c r="AR38" s="181">
        <f>IF(OR(GradeSheet!$I33="W (Withdrawn)", GradeSheet!$I33="I (Incomplete)"), 0, IF(AL38&gt;=55%, 1, 0))</f>
        <v>0</v>
      </c>
      <c r="AS38" s="181">
        <f>IF(OR(GradeSheet!$I33="W (Withdrawn)", GradeSheet!$I33="I (Incomplete)"), 0, IF(AM38&gt;=55%, 1, 0))</f>
        <v>0</v>
      </c>
      <c r="AT38" s="135"/>
      <c r="AU38" s="185">
        <f t="shared" si="16"/>
        <v>0</v>
      </c>
      <c r="AV38" s="185">
        <f t="shared" si="17"/>
        <v>0</v>
      </c>
      <c r="AW38" s="185">
        <f t="array" ref="AW38">IF($AV$9=0,0,MMULT($AH38:$AM38, AV$3:AV$8)/$AV$9)</f>
        <v>0</v>
      </c>
      <c r="AX38" s="185">
        <f t="array" ref="AX38">IF($AW$9=0,0,MMULT($AH38:$AM38, AW$3:AW$8)/$AW$9)</f>
        <v>0</v>
      </c>
      <c r="AY38" s="185">
        <f t="shared" si="18"/>
        <v>0</v>
      </c>
      <c r="AZ38" s="185">
        <f t="array" ref="AZ38">IF($AY$9=0,0,MMULT($AH38:$AM38, AY$3:AY$8)/$AY$9)</f>
        <v>0</v>
      </c>
      <c r="BA38" s="185">
        <f t="array" ref="BA38">IF($AZ$9=0,0,MMULT($AH38:$AM38, AZ$3:AZ$8)/$AZ$9)</f>
        <v>0</v>
      </c>
      <c r="BB38" s="185">
        <f t="array" ref="BB38">IF($BA$9=0,0,MMULT($AH38:$AM38, BA$3:BA$8)/$BA$9)</f>
        <v>0</v>
      </c>
      <c r="BC38" s="185">
        <f t="array" ref="BC38">IF($BB$9=0,0,MMULT($AH38:$AM38, BB$3:BB$8)/$BB$9)</f>
        <v>0</v>
      </c>
      <c r="BD38" s="185">
        <f t="array" ref="BD38">IF($BC$9=0,0,MMULT($AH38:$AM38, BC$3:BC$8)/$BC$9)</f>
        <v>0</v>
      </c>
      <c r="BE38" s="185">
        <f t="shared" si="19"/>
        <v>0</v>
      </c>
      <c r="BF38" s="185">
        <f t="shared" si="20"/>
        <v>0</v>
      </c>
      <c r="BG38" s="181">
        <f>IF(OR(GradeSheet!$I33="W (Withdrawn)", GradeSheet!$I33="I (Incomplete)"), 0, IF(AU38&gt;=65%, 1, 0))</f>
        <v>0</v>
      </c>
      <c r="BH38" s="181">
        <f>IF(OR(GradeSheet!$I33="W (Withdrawn)", GradeSheet!$I33="I (Incomplete)"), 0, IF(AV38&gt;=65%, 1, 0))</f>
        <v>0</v>
      </c>
      <c r="BI38" s="181">
        <f>IF(OR(GradeSheet!$I33="W (Withdrawn)", GradeSheet!$I33="I (Incomplete)"), 0, IF(AW38&gt;=65%, 1, 0))</f>
        <v>0</v>
      </c>
      <c r="BJ38" s="181">
        <f>IF(OR(GradeSheet!$I33="W (Withdrawn)", GradeSheet!$I33="I (Incomplete)"), 0, IF(AX38&gt;=65%, 1, 0))</f>
        <v>0</v>
      </c>
      <c r="BK38" s="181">
        <f>IF(OR(GradeSheet!$I33="W (Withdrawn)", GradeSheet!$I33="I (Incomplete)"), 0, IF(AY38&gt;=65%, 1, 0))</f>
        <v>0</v>
      </c>
      <c r="BL38" s="181">
        <f>IF(OR(GradeSheet!$I33="W (Withdrawn)", GradeSheet!$I33="I (Incomplete)"), 0, IF(AZ38&gt;=65%, 1, 0))</f>
        <v>0</v>
      </c>
      <c r="BM38" s="181">
        <f>IF(OR(GradeSheet!$I33="W (Withdrawn)", GradeSheet!$I33="I (Incomplete)"), 0, IF(BA38&gt;=65%, 1, 0))</f>
        <v>0</v>
      </c>
      <c r="BN38" s="181">
        <f>IF(OR(GradeSheet!$I33="W (Withdrawn)", GradeSheet!$I33="I (Incomplete)"), 0, IF(BB38&gt;=65%, 1, 0))</f>
        <v>0</v>
      </c>
      <c r="BO38" s="181">
        <f>IF(OR(GradeSheet!$I33="W (Withdrawn)", GradeSheet!$I33="I (Incomplete)"), 0, IF(BC38&gt;=65%, 1, 0))</f>
        <v>0</v>
      </c>
      <c r="BP38" s="181">
        <f>IF(OR(GradeSheet!$I33="W (Withdrawn)", GradeSheet!$I33="I (Incomplete)"), 0, IF(BD38&gt;=65%, 1, 0))</f>
        <v>0</v>
      </c>
      <c r="BQ38" s="181">
        <f>IF(OR(GradeSheet!$I33="W (Withdrawn)", GradeSheet!$I33="I (Incomplete)"), 0, IF(BE38&gt;=65%, 1, 0))</f>
        <v>0</v>
      </c>
      <c r="BR38" s="181">
        <f>IF(OR(GradeSheet!$I33="W (Withdrawn)", GradeSheet!$I33="I (Incomplete)"), 0, IF(BF38&gt;=65%, 1, 0))</f>
        <v>0</v>
      </c>
    </row>
    <row r="39" ht="15.75" customHeight="1">
      <c r="A39" s="165">
        <v>25.0</v>
      </c>
      <c r="B39" s="69">
        <v>2.31014059E8</v>
      </c>
      <c r="C39" s="71" t="s">
        <v>144</v>
      </c>
      <c r="D39" s="166">
        <f>ROUNDUP((GradeSheet!D34/30)*12,0)
</f>
        <v>6</v>
      </c>
      <c r="E39" s="168">
        <f>GradeSheet!D34-D39</f>
        <v>8</v>
      </c>
      <c r="F39" s="170"/>
      <c r="G39" s="170"/>
      <c r="H39" s="170"/>
      <c r="I39" s="170"/>
      <c r="J39" s="168">
        <f>INT(GradeSheet!E34/2)</f>
        <v>17</v>
      </c>
      <c r="K39" s="168">
        <f>GradeSheet!E34-J39</f>
        <v>18</v>
      </c>
      <c r="L39" s="168"/>
      <c r="M39" s="170"/>
      <c r="N39" s="170"/>
      <c r="O39" s="170"/>
      <c r="P39" s="171">
        <f>ROUNDUP((RawMarks!M26/30)*10,0)</f>
        <v>8</v>
      </c>
      <c r="Q39" s="172">
        <f>GradeSheet!F34-P39</f>
        <v>16</v>
      </c>
      <c r="R39" s="172"/>
      <c r="S39" s="172"/>
      <c r="T39" s="174"/>
      <c r="U39" s="175"/>
      <c r="V39" s="176"/>
      <c r="W39" s="174"/>
      <c r="X39" s="174"/>
      <c r="Y39" s="174"/>
      <c r="Z39" s="174"/>
      <c r="AA39" s="175"/>
      <c r="AB39" s="177">
        <f t="shared" si="8"/>
        <v>31</v>
      </c>
      <c r="AC39" s="178">
        <f t="shared" si="11"/>
        <v>42</v>
      </c>
      <c r="AD39" s="206">
        <f t="shared" ref="AD39:AE39" si="65">SUM(X39,F39,L39)</f>
        <v>0</v>
      </c>
      <c r="AE39" s="206">
        <f t="shared" si="65"/>
        <v>0</v>
      </c>
      <c r="AF39" s="178">
        <f t="shared" si="13"/>
        <v>0</v>
      </c>
      <c r="AG39" s="206">
        <f t="shared" si="14"/>
        <v>0</v>
      </c>
      <c r="AH39" s="179">
        <f t="shared" ref="AH39:AM39" si="66">IF(AB39 = 0, 0, AB39/AB$14)</f>
        <v>0.7380952381</v>
      </c>
      <c r="AI39" s="179">
        <f t="shared" si="66"/>
        <v>0.724137931</v>
      </c>
      <c r="AJ39" s="179">
        <f t="shared" si="66"/>
        <v>0</v>
      </c>
      <c r="AK39" s="179">
        <f t="shared" si="66"/>
        <v>0</v>
      </c>
      <c r="AL39" s="179">
        <f t="shared" si="66"/>
        <v>0</v>
      </c>
      <c r="AM39" s="179">
        <f t="shared" si="66"/>
        <v>0</v>
      </c>
      <c r="AN39" s="181">
        <f>IF(OR(GradeSheet!$I34="W (Withdrawn)", GradeSheet!$I34="I (Incomplete)"), 0, IF(AH39&gt;=55%, 1, 0))</f>
        <v>1</v>
      </c>
      <c r="AO39" s="181">
        <f>IF(OR(GradeSheet!$I34="W (Withdrawn)", GradeSheet!$I34="I (Incomplete)"), 0, IF(AI39&gt;=55%, 1, 0))</f>
        <v>1</v>
      </c>
      <c r="AP39" s="181">
        <f>IF(OR(GradeSheet!$I34="W (Withdrawn)", GradeSheet!$I34="I (Incomplete)"), 0, IF(AJ39&gt;=55%, 1, 0))</f>
        <v>0</v>
      </c>
      <c r="AQ39" s="181">
        <f>IF(OR(GradeSheet!$I34="W (Withdrawn)", GradeSheet!$I34="I (Incomplete)"), 0, IF(AK39&gt;=55%, 1, 0))</f>
        <v>0</v>
      </c>
      <c r="AR39" s="181">
        <f>IF(OR(GradeSheet!$I34="W (Withdrawn)", GradeSheet!$I34="I (Incomplete)"), 0, IF(AL39&gt;=55%, 1, 0))</f>
        <v>0</v>
      </c>
      <c r="AS39" s="181">
        <f>IF(OR(GradeSheet!$I34="W (Withdrawn)", GradeSheet!$I34="I (Incomplete)"), 0, IF(AM39&gt;=55%, 1, 0))</f>
        <v>0</v>
      </c>
      <c r="AT39" s="135"/>
      <c r="AU39" s="185">
        <f t="shared" si="16"/>
        <v>0</v>
      </c>
      <c r="AV39" s="185">
        <f t="shared" si="17"/>
        <v>0</v>
      </c>
      <c r="AW39" s="185">
        <f t="array" ref="AW39">IF($AV$9=0,0,MMULT($AH39:$AM39, AV$3:AV$8)/$AV$9)</f>
        <v>0</v>
      </c>
      <c r="AX39" s="185">
        <f t="array" ref="AX39">IF($AW$9=0,0,MMULT($AH39:$AM39, AW$3:AW$8)/$AW$9)</f>
        <v>0</v>
      </c>
      <c r="AY39" s="185">
        <f t="shared" si="18"/>
        <v>0</v>
      </c>
      <c r="AZ39" s="185">
        <f t="array" ref="AZ39">IF($AY$9=0,0,MMULT($AH39:$AM39, AY$3:AY$8)/$AY$9)</f>
        <v>0</v>
      </c>
      <c r="BA39" s="185">
        <f t="array" ref="BA39">IF($AZ$9=0,0,MMULT($AH39:$AM39, AZ$3:AZ$8)/$AZ$9)</f>
        <v>0</v>
      </c>
      <c r="BB39" s="185">
        <f t="array" ref="BB39">IF($BA$9=0,0,MMULT($AH39:$AM39, BA$3:BA$8)/$BA$9)</f>
        <v>0</v>
      </c>
      <c r="BC39" s="185">
        <f t="array" ref="BC39">IF($BB$9=0,0,MMULT($AH39:$AM39, BB$3:BB$8)/$BB$9)</f>
        <v>0</v>
      </c>
      <c r="BD39" s="185">
        <f t="array" ref="BD39">IF($BC$9=0,0,MMULT($AH39:$AM39, BC$3:BC$8)/$BC$9)</f>
        <v>0</v>
      </c>
      <c r="BE39" s="185">
        <f t="shared" si="19"/>
        <v>0</v>
      </c>
      <c r="BF39" s="185">
        <f t="shared" si="20"/>
        <v>0</v>
      </c>
      <c r="BG39" s="181">
        <f>IF(OR(GradeSheet!$I34="W (Withdrawn)", GradeSheet!$I34="I (Incomplete)"), 0, IF(AU39&gt;=65%, 1, 0))</f>
        <v>0</v>
      </c>
      <c r="BH39" s="181">
        <f>IF(OR(GradeSheet!$I34="W (Withdrawn)", GradeSheet!$I34="I (Incomplete)"), 0, IF(AV39&gt;=65%, 1, 0))</f>
        <v>0</v>
      </c>
      <c r="BI39" s="181">
        <f>IF(OR(GradeSheet!$I34="W (Withdrawn)", GradeSheet!$I34="I (Incomplete)"), 0, IF(AW39&gt;=65%, 1, 0))</f>
        <v>0</v>
      </c>
      <c r="BJ39" s="181">
        <f>IF(OR(GradeSheet!$I34="W (Withdrawn)", GradeSheet!$I34="I (Incomplete)"), 0, IF(AX39&gt;=65%, 1, 0))</f>
        <v>0</v>
      </c>
      <c r="BK39" s="181">
        <f>IF(OR(GradeSheet!$I34="W (Withdrawn)", GradeSheet!$I34="I (Incomplete)"), 0, IF(AY39&gt;=65%, 1, 0))</f>
        <v>0</v>
      </c>
      <c r="BL39" s="181">
        <f>IF(OR(GradeSheet!$I34="W (Withdrawn)", GradeSheet!$I34="I (Incomplete)"), 0, IF(AZ39&gt;=65%, 1, 0))</f>
        <v>0</v>
      </c>
      <c r="BM39" s="181">
        <f>IF(OR(GradeSheet!$I34="W (Withdrawn)", GradeSheet!$I34="I (Incomplete)"), 0, IF(BA39&gt;=65%, 1, 0))</f>
        <v>0</v>
      </c>
      <c r="BN39" s="181">
        <f>IF(OR(GradeSheet!$I34="W (Withdrawn)", GradeSheet!$I34="I (Incomplete)"), 0, IF(BB39&gt;=65%, 1, 0))</f>
        <v>0</v>
      </c>
      <c r="BO39" s="181">
        <f>IF(OR(GradeSheet!$I34="W (Withdrawn)", GradeSheet!$I34="I (Incomplete)"), 0, IF(BC39&gt;=65%, 1, 0))</f>
        <v>0</v>
      </c>
      <c r="BP39" s="181">
        <f>IF(OR(GradeSheet!$I34="W (Withdrawn)", GradeSheet!$I34="I (Incomplete)"), 0, IF(BD39&gt;=65%, 1, 0))</f>
        <v>0</v>
      </c>
      <c r="BQ39" s="181">
        <f>IF(OR(GradeSheet!$I34="W (Withdrawn)", GradeSheet!$I34="I (Incomplete)"), 0, IF(BE39&gt;=65%, 1, 0))</f>
        <v>0</v>
      </c>
      <c r="BR39" s="181">
        <f>IF(OR(GradeSheet!$I34="W (Withdrawn)", GradeSheet!$I34="I (Incomplete)"), 0, IF(BF39&gt;=65%, 1, 0))</f>
        <v>0</v>
      </c>
    </row>
    <row r="40" ht="15.75" customHeight="1">
      <c r="A40" s="201">
        <v>26.0</v>
      </c>
      <c r="B40" s="69">
        <v>2.31014097E8</v>
      </c>
      <c r="C40" s="71" t="s">
        <v>146</v>
      </c>
      <c r="D40" s="166">
        <f>ROUNDUP((GradeSheet!D35/30)*12,0)
</f>
        <v>0</v>
      </c>
      <c r="E40" s="168">
        <f>GradeSheet!D35-D40</f>
        <v>0</v>
      </c>
      <c r="F40" s="170"/>
      <c r="G40" s="170"/>
      <c r="H40" s="170"/>
      <c r="I40" s="170"/>
      <c r="J40" s="168">
        <f>INT(GradeSheet!E35/2)</f>
        <v>0</v>
      </c>
      <c r="K40" s="168">
        <f>GradeSheet!E35-J40</f>
        <v>0</v>
      </c>
      <c r="L40" s="168"/>
      <c r="M40" s="170"/>
      <c r="N40" s="170"/>
      <c r="O40" s="170"/>
      <c r="P40" s="171">
        <f>ROUNDUP((RawMarks!M27/30)*10,0)</f>
        <v>0</v>
      </c>
      <c r="Q40" s="172">
        <f>GradeSheet!F35-P40</f>
        <v>0</v>
      </c>
      <c r="R40" s="172"/>
      <c r="S40" s="172"/>
      <c r="T40" s="174"/>
      <c r="U40" s="175"/>
      <c r="V40" s="176"/>
      <c r="W40" s="174"/>
      <c r="X40" s="174"/>
      <c r="Y40" s="174"/>
      <c r="Z40" s="174"/>
      <c r="AA40" s="175"/>
      <c r="AB40" s="177">
        <f t="shared" si="8"/>
        <v>0</v>
      </c>
      <c r="AC40" s="178">
        <f t="shared" si="11"/>
        <v>0</v>
      </c>
      <c r="AD40" s="206">
        <f t="shared" ref="AD40:AE40" si="67">SUM(X40,F40,L40)</f>
        <v>0</v>
      </c>
      <c r="AE40" s="206">
        <f t="shared" si="67"/>
        <v>0</v>
      </c>
      <c r="AF40" s="178">
        <f t="shared" si="13"/>
        <v>0</v>
      </c>
      <c r="AG40" s="206">
        <f t="shared" si="14"/>
        <v>0</v>
      </c>
      <c r="AH40" s="179">
        <f t="shared" ref="AH40:AM40" si="68">IF(AB40 = 0, 0, AB40/AB$14)</f>
        <v>0</v>
      </c>
      <c r="AI40" s="179">
        <f t="shared" si="68"/>
        <v>0</v>
      </c>
      <c r="AJ40" s="179">
        <f t="shared" si="68"/>
        <v>0</v>
      </c>
      <c r="AK40" s="179">
        <f t="shared" si="68"/>
        <v>0</v>
      </c>
      <c r="AL40" s="179">
        <f t="shared" si="68"/>
        <v>0</v>
      </c>
      <c r="AM40" s="179">
        <f t="shared" si="68"/>
        <v>0</v>
      </c>
      <c r="AN40" s="181">
        <f>IF(OR(GradeSheet!$I35="W (Withdrawn)", GradeSheet!$I35="I (Incomplete)"), 0, IF(AH40&gt;=55%, 1, 0))</f>
        <v>0</v>
      </c>
      <c r="AO40" s="181">
        <f>IF(OR(GradeSheet!$I35="W (Withdrawn)", GradeSheet!$I35="I (Incomplete)"), 0, IF(AI40&gt;=55%, 1, 0))</f>
        <v>0</v>
      </c>
      <c r="AP40" s="181">
        <f>IF(OR(GradeSheet!$I35="W (Withdrawn)", GradeSheet!$I35="I (Incomplete)"), 0, IF(AJ40&gt;=55%, 1, 0))</f>
        <v>0</v>
      </c>
      <c r="AQ40" s="181">
        <f>IF(OR(GradeSheet!$I35="W (Withdrawn)", GradeSheet!$I35="I (Incomplete)"), 0, IF(AK40&gt;=55%, 1, 0))</f>
        <v>0</v>
      </c>
      <c r="AR40" s="181">
        <f>IF(OR(GradeSheet!$I35="W (Withdrawn)", GradeSheet!$I35="I (Incomplete)"), 0, IF(AL40&gt;=55%, 1, 0))</f>
        <v>0</v>
      </c>
      <c r="AS40" s="181">
        <f>IF(OR(GradeSheet!$I35="W (Withdrawn)", GradeSheet!$I35="I (Incomplete)"), 0, IF(AM40&gt;=55%, 1, 0))</f>
        <v>0</v>
      </c>
      <c r="AT40" s="135"/>
      <c r="AU40" s="185">
        <f t="shared" si="16"/>
        <v>0</v>
      </c>
      <c r="AV40" s="185">
        <f t="shared" si="17"/>
        <v>0</v>
      </c>
      <c r="AW40" s="185">
        <f t="array" ref="AW40">IF($AV$9=0,0,MMULT($AH40:$AM40, AV$3:AV$8)/$AV$9)</f>
        <v>0</v>
      </c>
      <c r="AX40" s="185">
        <f t="array" ref="AX40">IF($AW$9=0,0,MMULT($AH40:$AM40, AW$3:AW$8)/$AW$9)</f>
        <v>0</v>
      </c>
      <c r="AY40" s="185">
        <f t="shared" si="18"/>
        <v>0</v>
      </c>
      <c r="AZ40" s="185">
        <f t="array" ref="AZ40">IF($AY$9=0,0,MMULT($AH40:$AM40, AY$3:AY$8)/$AY$9)</f>
        <v>0</v>
      </c>
      <c r="BA40" s="185">
        <f t="array" ref="BA40">IF($AZ$9=0,0,MMULT($AH40:$AM40, AZ$3:AZ$8)/$AZ$9)</f>
        <v>0</v>
      </c>
      <c r="BB40" s="185">
        <f t="array" ref="BB40">IF($BA$9=0,0,MMULT($AH40:$AM40, BA$3:BA$8)/$BA$9)</f>
        <v>0</v>
      </c>
      <c r="BC40" s="185">
        <f t="array" ref="BC40">IF($BB$9=0,0,MMULT($AH40:$AM40, BB$3:BB$8)/$BB$9)</f>
        <v>0</v>
      </c>
      <c r="BD40" s="185">
        <f t="array" ref="BD40">IF($BC$9=0,0,MMULT($AH40:$AM40, BC$3:BC$8)/$BC$9)</f>
        <v>0</v>
      </c>
      <c r="BE40" s="185">
        <f t="shared" si="19"/>
        <v>0</v>
      </c>
      <c r="BF40" s="185">
        <f t="shared" si="20"/>
        <v>0</v>
      </c>
      <c r="BG40" s="181">
        <f>IF(OR(GradeSheet!$I35="W (Withdrawn)", GradeSheet!$I35="I (Incomplete)"), 0, IF(AU40&gt;=65%, 1, 0))</f>
        <v>0</v>
      </c>
      <c r="BH40" s="181">
        <f>IF(OR(GradeSheet!$I35="W (Withdrawn)", GradeSheet!$I35="I (Incomplete)"), 0, IF(AV40&gt;=65%, 1, 0))</f>
        <v>0</v>
      </c>
      <c r="BI40" s="181">
        <f>IF(OR(GradeSheet!$I35="W (Withdrawn)", GradeSheet!$I35="I (Incomplete)"), 0, IF(AW40&gt;=65%, 1, 0))</f>
        <v>0</v>
      </c>
      <c r="BJ40" s="181">
        <f>IF(OR(GradeSheet!$I35="W (Withdrawn)", GradeSheet!$I35="I (Incomplete)"), 0, IF(AX40&gt;=65%, 1, 0))</f>
        <v>0</v>
      </c>
      <c r="BK40" s="181">
        <f>IF(OR(GradeSheet!$I35="W (Withdrawn)", GradeSheet!$I35="I (Incomplete)"), 0, IF(AY40&gt;=65%, 1, 0))</f>
        <v>0</v>
      </c>
      <c r="BL40" s="181">
        <f>IF(OR(GradeSheet!$I35="W (Withdrawn)", GradeSheet!$I35="I (Incomplete)"), 0, IF(AZ40&gt;=65%, 1, 0))</f>
        <v>0</v>
      </c>
      <c r="BM40" s="181">
        <f>IF(OR(GradeSheet!$I35="W (Withdrawn)", GradeSheet!$I35="I (Incomplete)"), 0, IF(BA40&gt;=65%, 1, 0))</f>
        <v>0</v>
      </c>
      <c r="BN40" s="181">
        <f>IF(OR(GradeSheet!$I35="W (Withdrawn)", GradeSheet!$I35="I (Incomplete)"), 0, IF(BB40&gt;=65%, 1, 0))</f>
        <v>0</v>
      </c>
      <c r="BO40" s="181">
        <f>IF(OR(GradeSheet!$I35="W (Withdrawn)", GradeSheet!$I35="I (Incomplete)"), 0, IF(BC40&gt;=65%, 1, 0))</f>
        <v>0</v>
      </c>
      <c r="BP40" s="181">
        <f>IF(OR(GradeSheet!$I35="W (Withdrawn)", GradeSheet!$I35="I (Incomplete)"), 0, IF(BD40&gt;=65%, 1, 0))</f>
        <v>0</v>
      </c>
      <c r="BQ40" s="181">
        <f>IF(OR(GradeSheet!$I35="W (Withdrawn)", GradeSheet!$I35="I (Incomplete)"), 0, IF(BE40&gt;=65%, 1, 0))</f>
        <v>0</v>
      </c>
      <c r="BR40" s="181">
        <f>IF(OR(GradeSheet!$I35="W (Withdrawn)", GradeSheet!$I35="I (Incomplete)"), 0, IF(BF40&gt;=65%, 1, 0))</f>
        <v>0</v>
      </c>
    </row>
    <row r="41" ht="15.75" customHeight="1">
      <c r="A41" s="165">
        <v>27.0</v>
      </c>
      <c r="B41" s="69">
        <v>2.31014101E8</v>
      </c>
      <c r="C41" s="71" t="s">
        <v>148</v>
      </c>
      <c r="D41" s="166">
        <f>ROUNDUP((GradeSheet!D36/30)*12,0)
</f>
        <v>8</v>
      </c>
      <c r="E41" s="168">
        <f>GradeSheet!D36-D41</f>
        <v>12</v>
      </c>
      <c r="F41" s="170"/>
      <c r="G41" s="170"/>
      <c r="H41" s="170"/>
      <c r="I41" s="170"/>
      <c r="J41" s="168">
        <f>INT(GradeSheet!E36/2)</f>
        <v>10</v>
      </c>
      <c r="K41" s="168">
        <f>GradeSheet!E36-J41</f>
        <v>10</v>
      </c>
      <c r="L41" s="168"/>
      <c r="M41" s="170"/>
      <c r="N41" s="170"/>
      <c r="O41" s="170"/>
      <c r="P41" s="171">
        <f>ROUNDUP((RawMarks!M28/30)*10,0)</f>
        <v>4</v>
      </c>
      <c r="Q41" s="172">
        <f>GradeSheet!F36-P41</f>
        <v>6</v>
      </c>
      <c r="R41" s="172"/>
      <c r="S41" s="172"/>
      <c r="T41" s="174"/>
      <c r="U41" s="175"/>
      <c r="V41" s="176"/>
      <c r="W41" s="174"/>
      <c r="X41" s="174"/>
      <c r="Y41" s="174"/>
      <c r="Z41" s="174"/>
      <c r="AA41" s="175"/>
      <c r="AB41" s="177">
        <f t="shared" si="8"/>
        <v>22</v>
      </c>
      <c r="AC41" s="178">
        <f t="shared" si="11"/>
        <v>28</v>
      </c>
      <c r="AD41" s="206">
        <f t="shared" ref="AD41:AE41" si="69">SUM(X41,F41,L41)</f>
        <v>0</v>
      </c>
      <c r="AE41" s="206">
        <f t="shared" si="69"/>
        <v>0</v>
      </c>
      <c r="AF41" s="178">
        <f t="shared" si="13"/>
        <v>0</v>
      </c>
      <c r="AG41" s="206">
        <f t="shared" si="14"/>
        <v>0</v>
      </c>
      <c r="AH41" s="179">
        <f t="shared" ref="AH41:AM41" si="70">IF(AB41 = 0, 0, AB41/AB$14)</f>
        <v>0.5238095238</v>
      </c>
      <c r="AI41" s="179">
        <f t="shared" si="70"/>
        <v>0.4827586207</v>
      </c>
      <c r="AJ41" s="179">
        <f t="shared" si="70"/>
        <v>0</v>
      </c>
      <c r="AK41" s="179">
        <f t="shared" si="70"/>
        <v>0</v>
      </c>
      <c r="AL41" s="179">
        <f t="shared" si="70"/>
        <v>0</v>
      </c>
      <c r="AM41" s="179">
        <f t="shared" si="70"/>
        <v>0</v>
      </c>
      <c r="AN41" s="181">
        <f>IF(OR(GradeSheet!$I36="W (Withdrawn)", GradeSheet!$I36="I (Incomplete)"), 0, IF(AH41&gt;=55%, 1, 0))</f>
        <v>0</v>
      </c>
      <c r="AO41" s="181">
        <f>IF(OR(GradeSheet!$I36="W (Withdrawn)", GradeSheet!$I36="I (Incomplete)"), 0, IF(AI41&gt;=55%, 1, 0))</f>
        <v>0</v>
      </c>
      <c r="AP41" s="181">
        <f>IF(OR(GradeSheet!$I36="W (Withdrawn)", GradeSheet!$I36="I (Incomplete)"), 0, IF(AJ41&gt;=55%, 1, 0))</f>
        <v>0</v>
      </c>
      <c r="AQ41" s="181">
        <f>IF(OR(GradeSheet!$I36="W (Withdrawn)", GradeSheet!$I36="I (Incomplete)"), 0, IF(AK41&gt;=55%, 1, 0))</f>
        <v>0</v>
      </c>
      <c r="AR41" s="181">
        <f>IF(OR(GradeSheet!$I36="W (Withdrawn)", GradeSheet!$I36="I (Incomplete)"), 0, IF(AL41&gt;=55%, 1, 0))</f>
        <v>0</v>
      </c>
      <c r="AS41" s="181">
        <f>IF(OR(GradeSheet!$I36="W (Withdrawn)", GradeSheet!$I36="I (Incomplete)"), 0, IF(AM41&gt;=55%, 1, 0))</f>
        <v>0</v>
      </c>
      <c r="AT41" s="135"/>
      <c r="AU41" s="185">
        <f t="shared" si="16"/>
        <v>0</v>
      </c>
      <c r="AV41" s="185">
        <f t="shared" si="17"/>
        <v>0</v>
      </c>
      <c r="AW41" s="185">
        <f t="array" ref="AW41">IF($AV$9=0,0,MMULT($AH41:$AM41, AV$3:AV$8)/$AV$9)</f>
        <v>0</v>
      </c>
      <c r="AX41" s="185">
        <f t="array" ref="AX41">IF($AW$9=0,0,MMULT($AH41:$AM41, AW$3:AW$8)/$AW$9)</f>
        <v>0</v>
      </c>
      <c r="AY41" s="185">
        <f t="shared" si="18"/>
        <v>0</v>
      </c>
      <c r="AZ41" s="185">
        <f t="array" ref="AZ41">IF($AY$9=0,0,MMULT($AH41:$AM41, AY$3:AY$8)/$AY$9)</f>
        <v>0</v>
      </c>
      <c r="BA41" s="185">
        <f t="array" ref="BA41">IF($AZ$9=0,0,MMULT($AH41:$AM41, AZ$3:AZ$8)/$AZ$9)</f>
        <v>0</v>
      </c>
      <c r="BB41" s="185">
        <f t="array" ref="BB41">IF($BA$9=0,0,MMULT($AH41:$AM41, BA$3:BA$8)/$BA$9)</f>
        <v>0</v>
      </c>
      <c r="BC41" s="185">
        <f t="array" ref="BC41">IF($BB$9=0,0,MMULT($AH41:$AM41, BB$3:BB$8)/$BB$9)</f>
        <v>0</v>
      </c>
      <c r="BD41" s="185">
        <f t="array" ref="BD41">IF($BC$9=0,0,MMULT($AH41:$AM41, BC$3:BC$8)/$BC$9)</f>
        <v>0</v>
      </c>
      <c r="BE41" s="185">
        <f t="shared" si="19"/>
        <v>0</v>
      </c>
      <c r="BF41" s="185">
        <f t="shared" si="20"/>
        <v>0</v>
      </c>
      <c r="BG41" s="181">
        <f>IF(OR(GradeSheet!$I36="W (Withdrawn)", GradeSheet!$I36="I (Incomplete)"), 0, IF(AU41&gt;=65%, 1, 0))</f>
        <v>0</v>
      </c>
      <c r="BH41" s="181">
        <f>IF(OR(GradeSheet!$I36="W (Withdrawn)", GradeSheet!$I36="I (Incomplete)"), 0, IF(AV41&gt;=65%, 1, 0))</f>
        <v>0</v>
      </c>
      <c r="BI41" s="181">
        <f>IF(OR(GradeSheet!$I36="W (Withdrawn)", GradeSheet!$I36="I (Incomplete)"), 0, IF(AW41&gt;=65%, 1, 0))</f>
        <v>0</v>
      </c>
      <c r="BJ41" s="181">
        <f>IF(OR(GradeSheet!$I36="W (Withdrawn)", GradeSheet!$I36="I (Incomplete)"), 0, IF(AX41&gt;=65%, 1, 0))</f>
        <v>0</v>
      </c>
      <c r="BK41" s="181">
        <f>IF(OR(GradeSheet!$I36="W (Withdrawn)", GradeSheet!$I36="I (Incomplete)"), 0, IF(AY41&gt;=65%, 1, 0))</f>
        <v>0</v>
      </c>
      <c r="BL41" s="181">
        <f>IF(OR(GradeSheet!$I36="W (Withdrawn)", GradeSheet!$I36="I (Incomplete)"), 0, IF(AZ41&gt;=65%, 1, 0))</f>
        <v>0</v>
      </c>
      <c r="BM41" s="181">
        <f>IF(OR(GradeSheet!$I36="W (Withdrawn)", GradeSheet!$I36="I (Incomplete)"), 0, IF(BA41&gt;=65%, 1, 0))</f>
        <v>0</v>
      </c>
      <c r="BN41" s="181">
        <f>IF(OR(GradeSheet!$I36="W (Withdrawn)", GradeSheet!$I36="I (Incomplete)"), 0, IF(BB41&gt;=65%, 1, 0))</f>
        <v>0</v>
      </c>
      <c r="BO41" s="181">
        <f>IF(OR(GradeSheet!$I36="W (Withdrawn)", GradeSheet!$I36="I (Incomplete)"), 0, IF(BC41&gt;=65%, 1, 0))</f>
        <v>0</v>
      </c>
      <c r="BP41" s="181">
        <f>IF(OR(GradeSheet!$I36="W (Withdrawn)", GradeSheet!$I36="I (Incomplete)"), 0, IF(BD41&gt;=65%, 1, 0))</f>
        <v>0</v>
      </c>
      <c r="BQ41" s="181">
        <f>IF(OR(GradeSheet!$I36="W (Withdrawn)", GradeSheet!$I36="I (Incomplete)"), 0, IF(BE41&gt;=65%, 1, 0))</f>
        <v>0</v>
      </c>
      <c r="BR41" s="181">
        <f>IF(OR(GradeSheet!$I36="W (Withdrawn)", GradeSheet!$I36="I (Incomplete)"), 0, IF(BF41&gt;=65%, 1, 0))</f>
        <v>0</v>
      </c>
    </row>
    <row r="42" ht="15.75" customHeight="1">
      <c r="A42" s="201">
        <v>28.0</v>
      </c>
      <c r="B42" s="69">
        <v>2.31014102E8</v>
      </c>
      <c r="C42" s="71" t="s">
        <v>149</v>
      </c>
      <c r="D42" s="166">
        <f>ROUNDUP((GradeSheet!D37/30)*12,0)
</f>
        <v>0</v>
      </c>
      <c r="E42" s="168">
        <f>GradeSheet!D37-D42</f>
        <v>0</v>
      </c>
      <c r="F42" s="170"/>
      <c r="G42" s="170"/>
      <c r="H42" s="170"/>
      <c r="I42" s="170"/>
      <c r="J42" s="168">
        <f>INT(GradeSheet!E37/2)</f>
        <v>0</v>
      </c>
      <c r="K42" s="168">
        <f>GradeSheet!E37-J42</f>
        <v>0</v>
      </c>
      <c r="L42" s="168"/>
      <c r="M42" s="170"/>
      <c r="N42" s="170"/>
      <c r="O42" s="170"/>
      <c r="P42" s="171">
        <f>ROUNDUP((RawMarks!M29/30)*10,0)</f>
        <v>0</v>
      </c>
      <c r="Q42" s="172">
        <f>GradeSheet!F37-P42</f>
        <v>0</v>
      </c>
      <c r="R42" s="172"/>
      <c r="S42" s="172"/>
      <c r="T42" s="174"/>
      <c r="U42" s="175"/>
      <c r="V42" s="176"/>
      <c r="W42" s="174"/>
      <c r="X42" s="174"/>
      <c r="Y42" s="174"/>
      <c r="Z42" s="174"/>
      <c r="AA42" s="175"/>
      <c r="AB42" s="177">
        <f t="shared" si="8"/>
        <v>0</v>
      </c>
      <c r="AC42" s="178">
        <f t="shared" si="11"/>
        <v>0</v>
      </c>
      <c r="AD42" s="206">
        <f t="shared" ref="AD42:AE42" si="71">SUM(X42,F42,L42)</f>
        <v>0</v>
      </c>
      <c r="AE42" s="206">
        <f t="shared" si="71"/>
        <v>0</v>
      </c>
      <c r="AF42" s="178">
        <f t="shared" si="13"/>
        <v>0</v>
      </c>
      <c r="AG42" s="206">
        <f t="shared" si="14"/>
        <v>0</v>
      </c>
      <c r="AH42" s="179">
        <f t="shared" ref="AH42:AM42" si="72">IF(AB42 = 0, 0, AB42/AB$14)</f>
        <v>0</v>
      </c>
      <c r="AI42" s="179">
        <f t="shared" si="72"/>
        <v>0</v>
      </c>
      <c r="AJ42" s="179">
        <f t="shared" si="72"/>
        <v>0</v>
      </c>
      <c r="AK42" s="179">
        <f t="shared" si="72"/>
        <v>0</v>
      </c>
      <c r="AL42" s="179">
        <f t="shared" si="72"/>
        <v>0</v>
      </c>
      <c r="AM42" s="179">
        <f t="shared" si="72"/>
        <v>0</v>
      </c>
      <c r="AN42" s="181">
        <f>IF(OR(GradeSheet!$I37="W (Withdrawn)", GradeSheet!$I37="I (Incomplete)"), 0, IF(AH42&gt;=55%, 1, 0))</f>
        <v>0</v>
      </c>
      <c r="AO42" s="181">
        <f>IF(OR(GradeSheet!$I37="W (Withdrawn)", GradeSheet!$I37="I (Incomplete)"), 0, IF(AI42&gt;=55%, 1, 0))</f>
        <v>0</v>
      </c>
      <c r="AP42" s="181">
        <f>IF(OR(GradeSheet!$I37="W (Withdrawn)", GradeSheet!$I37="I (Incomplete)"), 0, IF(AJ42&gt;=55%, 1, 0))</f>
        <v>0</v>
      </c>
      <c r="AQ42" s="181">
        <f>IF(OR(GradeSheet!$I37="W (Withdrawn)", GradeSheet!$I37="I (Incomplete)"), 0, IF(AK42&gt;=55%, 1, 0))</f>
        <v>0</v>
      </c>
      <c r="AR42" s="181">
        <f>IF(OR(GradeSheet!$I37="W (Withdrawn)", GradeSheet!$I37="I (Incomplete)"), 0, IF(AL42&gt;=55%, 1, 0))</f>
        <v>0</v>
      </c>
      <c r="AS42" s="181">
        <f>IF(OR(GradeSheet!$I37="W (Withdrawn)", GradeSheet!$I37="I (Incomplete)"), 0, IF(AM42&gt;=55%, 1, 0))</f>
        <v>0</v>
      </c>
      <c r="AT42" s="135"/>
      <c r="AU42" s="185">
        <f t="shared" si="16"/>
        <v>0</v>
      </c>
      <c r="AV42" s="185">
        <f t="shared" si="17"/>
        <v>0</v>
      </c>
      <c r="AW42" s="185">
        <f t="array" ref="AW42">IF($AV$9=0,0,MMULT($AH42:$AM42, AV$3:AV$8)/$AV$9)</f>
        <v>0</v>
      </c>
      <c r="AX42" s="185">
        <f t="array" ref="AX42">IF($AW$9=0,0,MMULT($AH42:$AM42, AW$3:AW$8)/$AW$9)</f>
        <v>0</v>
      </c>
      <c r="AY42" s="185">
        <f t="shared" si="18"/>
        <v>0</v>
      </c>
      <c r="AZ42" s="185">
        <f t="array" ref="AZ42">IF($AY$9=0,0,MMULT($AH42:$AM42, AY$3:AY$8)/$AY$9)</f>
        <v>0</v>
      </c>
      <c r="BA42" s="185">
        <f t="array" ref="BA42">IF($AZ$9=0,0,MMULT($AH42:$AM42, AZ$3:AZ$8)/$AZ$9)</f>
        <v>0</v>
      </c>
      <c r="BB42" s="185">
        <f t="array" ref="BB42">IF($BA$9=0,0,MMULT($AH42:$AM42, BA$3:BA$8)/$BA$9)</f>
        <v>0</v>
      </c>
      <c r="BC42" s="185">
        <f t="array" ref="BC42">IF($BB$9=0,0,MMULT($AH42:$AM42, BB$3:BB$8)/$BB$9)</f>
        <v>0</v>
      </c>
      <c r="BD42" s="185">
        <f t="array" ref="BD42">IF($BC$9=0,0,MMULT($AH42:$AM42, BC$3:BC$8)/$BC$9)</f>
        <v>0</v>
      </c>
      <c r="BE42" s="185">
        <f t="shared" si="19"/>
        <v>0</v>
      </c>
      <c r="BF42" s="185">
        <f t="shared" si="20"/>
        <v>0</v>
      </c>
      <c r="BG42" s="181">
        <f>IF(OR(GradeSheet!$I37="W (Withdrawn)", GradeSheet!$I37="I (Incomplete)"), 0, IF(AU42&gt;=65%, 1, 0))</f>
        <v>0</v>
      </c>
      <c r="BH42" s="181">
        <f>IF(OR(GradeSheet!$I37="W (Withdrawn)", GradeSheet!$I37="I (Incomplete)"), 0, IF(AV42&gt;=65%, 1, 0))</f>
        <v>0</v>
      </c>
      <c r="BI42" s="181">
        <f>IF(OR(GradeSheet!$I37="W (Withdrawn)", GradeSheet!$I37="I (Incomplete)"), 0, IF(AW42&gt;=65%, 1, 0))</f>
        <v>0</v>
      </c>
      <c r="BJ42" s="181">
        <f>IF(OR(GradeSheet!$I37="W (Withdrawn)", GradeSheet!$I37="I (Incomplete)"), 0, IF(AX42&gt;=65%, 1, 0))</f>
        <v>0</v>
      </c>
      <c r="BK42" s="181">
        <f>IF(OR(GradeSheet!$I37="W (Withdrawn)", GradeSheet!$I37="I (Incomplete)"), 0, IF(AY42&gt;=65%, 1, 0))</f>
        <v>0</v>
      </c>
      <c r="BL42" s="181">
        <f>IF(OR(GradeSheet!$I37="W (Withdrawn)", GradeSheet!$I37="I (Incomplete)"), 0, IF(AZ42&gt;=65%, 1, 0))</f>
        <v>0</v>
      </c>
      <c r="BM42" s="181">
        <f>IF(OR(GradeSheet!$I37="W (Withdrawn)", GradeSheet!$I37="I (Incomplete)"), 0, IF(BA42&gt;=65%, 1, 0))</f>
        <v>0</v>
      </c>
      <c r="BN42" s="181">
        <f>IF(OR(GradeSheet!$I37="W (Withdrawn)", GradeSheet!$I37="I (Incomplete)"), 0, IF(BB42&gt;=65%, 1, 0))</f>
        <v>0</v>
      </c>
      <c r="BO42" s="181">
        <f>IF(OR(GradeSheet!$I37="W (Withdrawn)", GradeSheet!$I37="I (Incomplete)"), 0, IF(BC42&gt;=65%, 1, 0))</f>
        <v>0</v>
      </c>
      <c r="BP42" s="181">
        <f>IF(OR(GradeSheet!$I37="W (Withdrawn)", GradeSheet!$I37="I (Incomplete)"), 0, IF(BD42&gt;=65%, 1, 0))</f>
        <v>0</v>
      </c>
      <c r="BQ42" s="181">
        <f>IF(OR(GradeSheet!$I37="W (Withdrawn)", GradeSheet!$I37="I (Incomplete)"), 0, IF(BE42&gt;=65%, 1, 0))</f>
        <v>0</v>
      </c>
      <c r="BR42" s="181">
        <f>IF(OR(GradeSheet!$I37="W (Withdrawn)", GradeSheet!$I37="I (Incomplete)"), 0, IF(BF42&gt;=65%, 1, 0))</f>
        <v>0</v>
      </c>
    </row>
    <row r="43" ht="15.75" customHeight="1">
      <c r="A43" s="165">
        <v>29.0</v>
      </c>
      <c r="B43" s="69">
        <v>2.31014136E8</v>
      </c>
      <c r="C43" s="71" t="s">
        <v>150</v>
      </c>
      <c r="D43" s="166">
        <f>ROUNDUP((GradeSheet!D38/30)*12,0)
</f>
        <v>0</v>
      </c>
      <c r="E43" s="168">
        <f>GradeSheet!D38-D43</f>
        <v>0</v>
      </c>
      <c r="F43" s="170"/>
      <c r="G43" s="170"/>
      <c r="H43" s="170"/>
      <c r="I43" s="170"/>
      <c r="J43" s="168">
        <f>INT(GradeSheet!E38/2)</f>
        <v>0</v>
      </c>
      <c r="K43" s="168">
        <f>GradeSheet!E38-J43</f>
        <v>0</v>
      </c>
      <c r="L43" s="168"/>
      <c r="M43" s="170"/>
      <c r="N43" s="170"/>
      <c r="O43" s="170"/>
      <c r="P43" s="171">
        <f>ROUNDUP((RawMarks!M30/30)*10,0)</f>
        <v>0</v>
      </c>
      <c r="Q43" s="172">
        <f>GradeSheet!F38-P43</f>
        <v>0</v>
      </c>
      <c r="R43" s="172"/>
      <c r="S43" s="172"/>
      <c r="T43" s="174"/>
      <c r="U43" s="175"/>
      <c r="V43" s="176"/>
      <c r="W43" s="174"/>
      <c r="X43" s="174"/>
      <c r="Y43" s="174"/>
      <c r="Z43" s="174"/>
      <c r="AA43" s="175"/>
      <c r="AB43" s="177">
        <f t="shared" si="8"/>
        <v>0</v>
      </c>
      <c r="AC43" s="178">
        <f t="shared" si="11"/>
        <v>0</v>
      </c>
      <c r="AD43" s="206">
        <f t="shared" ref="AD43:AE43" si="73">SUM(X43,F43,L43)</f>
        <v>0</v>
      </c>
      <c r="AE43" s="206">
        <f t="shared" si="73"/>
        <v>0</v>
      </c>
      <c r="AF43" s="178">
        <f t="shared" si="13"/>
        <v>0</v>
      </c>
      <c r="AG43" s="206">
        <f t="shared" si="14"/>
        <v>0</v>
      </c>
      <c r="AH43" s="179">
        <f t="shared" ref="AH43:AM43" si="74">IF(AB43 = 0, 0, AB43/AB$14)</f>
        <v>0</v>
      </c>
      <c r="AI43" s="179">
        <f t="shared" si="74"/>
        <v>0</v>
      </c>
      <c r="AJ43" s="179">
        <f t="shared" si="74"/>
        <v>0</v>
      </c>
      <c r="AK43" s="179">
        <f t="shared" si="74"/>
        <v>0</v>
      </c>
      <c r="AL43" s="179">
        <f t="shared" si="74"/>
        <v>0</v>
      </c>
      <c r="AM43" s="179">
        <f t="shared" si="74"/>
        <v>0</v>
      </c>
      <c r="AN43" s="181">
        <f>IF(OR(GradeSheet!$I38="W (Withdrawn)", GradeSheet!$I38="I (Incomplete)"), 0, IF(AH43&gt;=55%, 1, 0))</f>
        <v>0</v>
      </c>
      <c r="AO43" s="181">
        <f>IF(OR(GradeSheet!$I38="W (Withdrawn)", GradeSheet!$I38="I (Incomplete)"), 0, IF(AI43&gt;=55%, 1, 0))</f>
        <v>0</v>
      </c>
      <c r="AP43" s="181">
        <f>IF(OR(GradeSheet!$I38="W (Withdrawn)", GradeSheet!$I38="I (Incomplete)"), 0, IF(AJ43&gt;=55%, 1, 0))</f>
        <v>0</v>
      </c>
      <c r="AQ43" s="181">
        <f>IF(OR(GradeSheet!$I38="W (Withdrawn)", GradeSheet!$I38="I (Incomplete)"), 0, IF(AK43&gt;=55%, 1, 0))</f>
        <v>0</v>
      </c>
      <c r="AR43" s="181">
        <f>IF(OR(GradeSheet!$I38="W (Withdrawn)", GradeSheet!$I38="I (Incomplete)"), 0, IF(AL43&gt;=55%, 1, 0))</f>
        <v>0</v>
      </c>
      <c r="AS43" s="181">
        <f>IF(OR(GradeSheet!$I38="W (Withdrawn)", GradeSheet!$I38="I (Incomplete)"), 0, IF(AM43&gt;=55%, 1, 0))</f>
        <v>0</v>
      </c>
      <c r="AT43" s="135"/>
      <c r="AU43" s="185">
        <f t="shared" si="16"/>
        <v>0</v>
      </c>
      <c r="AV43" s="185">
        <f t="shared" si="17"/>
        <v>0</v>
      </c>
      <c r="AW43" s="185">
        <f t="array" ref="AW43">IF($AV$9=0,0,MMULT($AH43:$AM43, AV$3:AV$8)/$AV$9)</f>
        <v>0</v>
      </c>
      <c r="AX43" s="185">
        <f t="array" ref="AX43">IF($AW$9=0,0,MMULT($AH43:$AM43, AW$3:AW$8)/$AW$9)</f>
        <v>0</v>
      </c>
      <c r="AY43" s="185">
        <f t="shared" si="18"/>
        <v>0</v>
      </c>
      <c r="AZ43" s="185">
        <f t="array" ref="AZ43">IF($AY$9=0,0,MMULT($AH43:$AM43, AY$3:AY$8)/$AY$9)</f>
        <v>0</v>
      </c>
      <c r="BA43" s="185">
        <f t="array" ref="BA43">IF($AZ$9=0,0,MMULT($AH43:$AM43, AZ$3:AZ$8)/$AZ$9)</f>
        <v>0</v>
      </c>
      <c r="BB43" s="185">
        <f t="array" ref="BB43">IF($BA$9=0,0,MMULT($AH43:$AM43, BA$3:BA$8)/$BA$9)</f>
        <v>0</v>
      </c>
      <c r="BC43" s="185">
        <f t="array" ref="BC43">IF($BB$9=0,0,MMULT($AH43:$AM43, BB$3:BB$8)/$BB$9)</f>
        <v>0</v>
      </c>
      <c r="BD43" s="185">
        <f t="array" ref="BD43">IF($BC$9=0,0,MMULT($AH43:$AM43, BC$3:BC$8)/$BC$9)</f>
        <v>0</v>
      </c>
      <c r="BE43" s="185">
        <f t="shared" si="19"/>
        <v>0</v>
      </c>
      <c r="BF43" s="185">
        <f t="shared" si="20"/>
        <v>0</v>
      </c>
      <c r="BG43" s="181">
        <f>IF(OR(GradeSheet!$I38="W (Withdrawn)", GradeSheet!$I38="I (Incomplete)"), 0, IF(AU43&gt;=65%, 1, 0))</f>
        <v>0</v>
      </c>
      <c r="BH43" s="181">
        <f>IF(OR(GradeSheet!$I38="W (Withdrawn)", GradeSheet!$I38="I (Incomplete)"), 0, IF(AV43&gt;=65%, 1, 0))</f>
        <v>0</v>
      </c>
      <c r="BI43" s="181">
        <f>IF(OR(GradeSheet!$I38="W (Withdrawn)", GradeSheet!$I38="I (Incomplete)"), 0, IF(AW43&gt;=65%, 1, 0))</f>
        <v>0</v>
      </c>
      <c r="BJ43" s="181">
        <f>IF(OR(GradeSheet!$I38="W (Withdrawn)", GradeSheet!$I38="I (Incomplete)"), 0, IF(AX43&gt;=65%, 1, 0))</f>
        <v>0</v>
      </c>
      <c r="BK43" s="181">
        <f>IF(OR(GradeSheet!$I38="W (Withdrawn)", GradeSheet!$I38="I (Incomplete)"), 0, IF(AY43&gt;=65%, 1, 0))</f>
        <v>0</v>
      </c>
      <c r="BL43" s="181">
        <f>IF(OR(GradeSheet!$I38="W (Withdrawn)", GradeSheet!$I38="I (Incomplete)"), 0, IF(AZ43&gt;=65%, 1, 0))</f>
        <v>0</v>
      </c>
      <c r="BM43" s="181">
        <f>IF(OR(GradeSheet!$I38="W (Withdrawn)", GradeSheet!$I38="I (Incomplete)"), 0, IF(BA43&gt;=65%, 1, 0))</f>
        <v>0</v>
      </c>
      <c r="BN43" s="181">
        <f>IF(OR(GradeSheet!$I38="W (Withdrawn)", GradeSheet!$I38="I (Incomplete)"), 0, IF(BB43&gt;=65%, 1, 0))</f>
        <v>0</v>
      </c>
      <c r="BO43" s="181">
        <f>IF(OR(GradeSheet!$I38="W (Withdrawn)", GradeSheet!$I38="I (Incomplete)"), 0, IF(BC43&gt;=65%, 1, 0))</f>
        <v>0</v>
      </c>
      <c r="BP43" s="181">
        <f>IF(OR(GradeSheet!$I38="W (Withdrawn)", GradeSheet!$I38="I (Incomplete)"), 0, IF(BD43&gt;=65%, 1, 0))</f>
        <v>0</v>
      </c>
      <c r="BQ43" s="181">
        <f>IF(OR(GradeSheet!$I38="W (Withdrawn)", GradeSheet!$I38="I (Incomplete)"), 0, IF(BE43&gt;=65%, 1, 0))</f>
        <v>0</v>
      </c>
      <c r="BR43" s="181">
        <f>IF(OR(GradeSheet!$I38="W (Withdrawn)", GradeSheet!$I38="I (Incomplete)"), 0, IF(BF43&gt;=65%, 1, 0))</f>
        <v>0</v>
      </c>
    </row>
    <row r="44" ht="15.75" customHeight="1">
      <c r="A44" s="201">
        <v>30.0</v>
      </c>
      <c r="B44" s="69">
        <v>2.31014148E8</v>
      </c>
      <c r="C44" s="71" t="s">
        <v>152</v>
      </c>
      <c r="D44" s="166">
        <f>ROUNDUP((GradeSheet!D39/30)*12,0)
</f>
        <v>6</v>
      </c>
      <c r="E44" s="168">
        <f>GradeSheet!D39-D44</f>
        <v>7</v>
      </c>
      <c r="F44" s="170"/>
      <c r="G44" s="170"/>
      <c r="H44" s="170"/>
      <c r="I44" s="170"/>
      <c r="J44" s="168">
        <f>INT(GradeSheet!E39/2)</f>
        <v>10</v>
      </c>
      <c r="K44" s="168">
        <f>GradeSheet!E39-J44</f>
        <v>10</v>
      </c>
      <c r="L44" s="168"/>
      <c r="M44" s="170"/>
      <c r="N44" s="170"/>
      <c r="O44" s="170"/>
      <c r="P44" s="171">
        <f>ROUNDUP((RawMarks!M31/30)*10,0)</f>
        <v>9</v>
      </c>
      <c r="Q44" s="172">
        <f>GradeSheet!F39-P44</f>
        <v>16</v>
      </c>
      <c r="R44" s="172"/>
      <c r="S44" s="172"/>
      <c r="T44" s="174"/>
      <c r="U44" s="175"/>
      <c r="V44" s="176"/>
      <c r="W44" s="174"/>
      <c r="X44" s="174"/>
      <c r="Y44" s="174"/>
      <c r="Z44" s="174"/>
      <c r="AA44" s="175"/>
      <c r="AB44" s="177">
        <f t="shared" si="8"/>
        <v>25</v>
      </c>
      <c r="AC44" s="178">
        <f t="shared" si="11"/>
        <v>33</v>
      </c>
      <c r="AD44" s="206">
        <f t="shared" ref="AD44:AE44" si="75">SUM(X44,F44,L44)</f>
        <v>0</v>
      </c>
      <c r="AE44" s="206">
        <f t="shared" si="75"/>
        <v>0</v>
      </c>
      <c r="AF44" s="178">
        <f t="shared" si="13"/>
        <v>0</v>
      </c>
      <c r="AG44" s="206">
        <f t="shared" si="14"/>
        <v>0</v>
      </c>
      <c r="AH44" s="179">
        <f t="shared" ref="AH44:AM44" si="76">IF(AB44 = 0, 0, AB44/AB$14)</f>
        <v>0.5952380952</v>
      </c>
      <c r="AI44" s="179">
        <f t="shared" si="76"/>
        <v>0.5689655172</v>
      </c>
      <c r="AJ44" s="179">
        <f t="shared" si="76"/>
        <v>0</v>
      </c>
      <c r="AK44" s="179">
        <f t="shared" si="76"/>
        <v>0</v>
      </c>
      <c r="AL44" s="179">
        <f t="shared" si="76"/>
        <v>0</v>
      </c>
      <c r="AM44" s="179">
        <f t="shared" si="76"/>
        <v>0</v>
      </c>
      <c r="AN44" s="181">
        <f>IF(OR(GradeSheet!$I39="W (Withdrawn)", GradeSheet!$I39="I (Incomplete)"), 0, IF(AH44&gt;=55%, 1, 0))</f>
        <v>1</v>
      </c>
      <c r="AO44" s="181">
        <f>IF(OR(GradeSheet!$I39="W (Withdrawn)", GradeSheet!$I39="I (Incomplete)"), 0, IF(AI44&gt;=55%, 1, 0))</f>
        <v>1</v>
      </c>
      <c r="AP44" s="181">
        <f>IF(OR(GradeSheet!$I39="W (Withdrawn)", GradeSheet!$I39="I (Incomplete)"), 0, IF(AJ44&gt;=55%, 1, 0))</f>
        <v>0</v>
      </c>
      <c r="AQ44" s="181">
        <f>IF(OR(GradeSheet!$I39="W (Withdrawn)", GradeSheet!$I39="I (Incomplete)"), 0, IF(AK44&gt;=55%, 1, 0))</f>
        <v>0</v>
      </c>
      <c r="AR44" s="181">
        <f>IF(OR(GradeSheet!$I39="W (Withdrawn)", GradeSheet!$I39="I (Incomplete)"), 0, IF(AL44&gt;=55%, 1, 0))</f>
        <v>0</v>
      </c>
      <c r="AS44" s="181">
        <f>IF(OR(GradeSheet!$I39="W (Withdrawn)", GradeSheet!$I39="I (Incomplete)"), 0, IF(AM44&gt;=55%, 1, 0))</f>
        <v>0</v>
      </c>
      <c r="AT44" s="135"/>
      <c r="AU44" s="185">
        <f t="shared" si="16"/>
        <v>0</v>
      </c>
      <c r="AV44" s="185">
        <f t="shared" si="17"/>
        <v>0</v>
      </c>
      <c r="AW44" s="185">
        <f t="array" ref="AW44">IF($AV$9=0,0,MMULT($AH44:$AM44, AV$3:AV$8)/$AV$9)</f>
        <v>0</v>
      </c>
      <c r="AX44" s="185">
        <f t="array" ref="AX44">IF($AW$9=0,0,MMULT($AH44:$AM44, AW$3:AW$8)/$AW$9)</f>
        <v>0</v>
      </c>
      <c r="AY44" s="185">
        <f t="shared" si="18"/>
        <v>0</v>
      </c>
      <c r="AZ44" s="185">
        <f t="array" ref="AZ44">IF($AY$9=0,0,MMULT($AH44:$AM44, AY$3:AY$8)/$AY$9)</f>
        <v>0</v>
      </c>
      <c r="BA44" s="185">
        <f t="array" ref="BA44">IF($AZ$9=0,0,MMULT($AH44:$AM44, AZ$3:AZ$8)/$AZ$9)</f>
        <v>0</v>
      </c>
      <c r="BB44" s="185">
        <f t="array" ref="BB44">IF($BA$9=0,0,MMULT($AH44:$AM44, BA$3:BA$8)/$BA$9)</f>
        <v>0</v>
      </c>
      <c r="BC44" s="185">
        <f t="array" ref="BC44">IF($BB$9=0,0,MMULT($AH44:$AM44, BB$3:BB$8)/$BB$9)</f>
        <v>0</v>
      </c>
      <c r="BD44" s="185">
        <f t="array" ref="BD44">IF($BC$9=0,0,MMULT($AH44:$AM44, BC$3:BC$8)/$BC$9)</f>
        <v>0</v>
      </c>
      <c r="BE44" s="185">
        <f t="shared" si="19"/>
        <v>0</v>
      </c>
      <c r="BF44" s="185">
        <f t="shared" si="20"/>
        <v>0</v>
      </c>
      <c r="BG44" s="181">
        <f>IF(OR(GradeSheet!$I39="W (Withdrawn)", GradeSheet!$I39="I (Incomplete)"), 0, IF(AU44&gt;=65%, 1, 0))</f>
        <v>0</v>
      </c>
      <c r="BH44" s="181">
        <f>IF(OR(GradeSheet!$I39="W (Withdrawn)", GradeSheet!$I39="I (Incomplete)"), 0, IF(AV44&gt;=65%, 1, 0))</f>
        <v>0</v>
      </c>
      <c r="BI44" s="181">
        <f>IF(OR(GradeSheet!$I39="W (Withdrawn)", GradeSheet!$I39="I (Incomplete)"), 0, IF(AW44&gt;=65%, 1, 0))</f>
        <v>0</v>
      </c>
      <c r="BJ44" s="181">
        <f>IF(OR(GradeSheet!$I39="W (Withdrawn)", GradeSheet!$I39="I (Incomplete)"), 0, IF(AX44&gt;=65%, 1, 0))</f>
        <v>0</v>
      </c>
      <c r="BK44" s="181">
        <f>IF(OR(GradeSheet!$I39="W (Withdrawn)", GradeSheet!$I39="I (Incomplete)"), 0, IF(AY44&gt;=65%, 1, 0))</f>
        <v>0</v>
      </c>
      <c r="BL44" s="181">
        <f>IF(OR(GradeSheet!$I39="W (Withdrawn)", GradeSheet!$I39="I (Incomplete)"), 0, IF(AZ44&gt;=65%, 1, 0))</f>
        <v>0</v>
      </c>
      <c r="BM44" s="181">
        <f>IF(OR(GradeSheet!$I39="W (Withdrawn)", GradeSheet!$I39="I (Incomplete)"), 0, IF(BA44&gt;=65%, 1, 0))</f>
        <v>0</v>
      </c>
      <c r="BN44" s="181">
        <f>IF(OR(GradeSheet!$I39="W (Withdrawn)", GradeSheet!$I39="I (Incomplete)"), 0, IF(BB44&gt;=65%, 1, 0))</f>
        <v>0</v>
      </c>
      <c r="BO44" s="181">
        <f>IF(OR(GradeSheet!$I39="W (Withdrawn)", GradeSheet!$I39="I (Incomplete)"), 0, IF(BC44&gt;=65%, 1, 0))</f>
        <v>0</v>
      </c>
      <c r="BP44" s="181">
        <f>IF(OR(GradeSheet!$I39="W (Withdrawn)", GradeSheet!$I39="I (Incomplete)"), 0, IF(BD44&gt;=65%, 1, 0))</f>
        <v>0</v>
      </c>
      <c r="BQ44" s="181">
        <f>IF(OR(GradeSheet!$I39="W (Withdrawn)", GradeSheet!$I39="I (Incomplete)"), 0, IF(BE44&gt;=65%, 1, 0))</f>
        <v>0</v>
      </c>
      <c r="BR44" s="181">
        <f>IF(OR(GradeSheet!$I39="W (Withdrawn)", GradeSheet!$I39="I (Incomplete)"), 0, IF(BF44&gt;=65%, 1, 0))</f>
        <v>0</v>
      </c>
    </row>
    <row r="45" ht="15.75" customHeight="1">
      <c r="A45" s="165">
        <v>31.0</v>
      </c>
      <c r="B45" s="69">
        <v>2.32014029E8</v>
      </c>
      <c r="C45" s="71" t="s">
        <v>154</v>
      </c>
      <c r="D45" s="166">
        <f>ROUNDUP((GradeSheet!D40/30)*12,0)
</f>
        <v>9</v>
      </c>
      <c r="E45" s="168">
        <f>GradeSheet!D40-D45</f>
        <v>12</v>
      </c>
      <c r="F45" s="170"/>
      <c r="G45" s="170"/>
      <c r="H45" s="170"/>
      <c r="I45" s="170"/>
      <c r="J45" s="168">
        <f>INT(GradeSheet!E40/2)</f>
        <v>16</v>
      </c>
      <c r="K45" s="168">
        <f>GradeSheet!E40-J45</f>
        <v>16</v>
      </c>
      <c r="L45" s="168"/>
      <c r="M45" s="170"/>
      <c r="N45" s="170"/>
      <c r="O45" s="170"/>
      <c r="P45" s="171">
        <f>ROUNDUP((RawMarks!M32/30)*10,0)</f>
        <v>8</v>
      </c>
      <c r="Q45" s="172">
        <f>GradeSheet!F40-P45</f>
        <v>16</v>
      </c>
      <c r="R45" s="172"/>
      <c r="S45" s="172"/>
      <c r="T45" s="174"/>
      <c r="U45" s="175"/>
      <c r="V45" s="176"/>
      <c r="W45" s="174"/>
      <c r="X45" s="174"/>
      <c r="Y45" s="174"/>
      <c r="Z45" s="174"/>
      <c r="AA45" s="175"/>
      <c r="AB45" s="177">
        <f t="shared" si="8"/>
        <v>33</v>
      </c>
      <c r="AC45" s="178">
        <f t="shared" si="11"/>
        <v>44</v>
      </c>
      <c r="AD45" s="206">
        <f t="shared" ref="AD45:AE45" si="77">SUM(X45,F45,L45)</f>
        <v>0</v>
      </c>
      <c r="AE45" s="206">
        <f t="shared" si="77"/>
        <v>0</v>
      </c>
      <c r="AF45" s="178">
        <f t="shared" si="13"/>
        <v>0</v>
      </c>
      <c r="AG45" s="206">
        <f t="shared" si="14"/>
        <v>0</v>
      </c>
      <c r="AH45" s="179">
        <f t="shared" ref="AH45:AM45" si="78">IF(AB45 = 0, 0, AB45/AB$14)</f>
        <v>0.7857142857</v>
      </c>
      <c r="AI45" s="179">
        <f t="shared" si="78"/>
        <v>0.7586206897</v>
      </c>
      <c r="AJ45" s="179">
        <f t="shared" si="78"/>
        <v>0</v>
      </c>
      <c r="AK45" s="179">
        <f t="shared" si="78"/>
        <v>0</v>
      </c>
      <c r="AL45" s="179">
        <f t="shared" si="78"/>
        <v>0</v>
      </c>
      <c r="AM45" s="179">
        <f t="shared" si="78"/>
        <v>0</v>
      </c>
      <c r="AN45" s="181">
        <f>IF(OR(GradeSheet!$I40="W (Withdrawn)", GradeSheet!$I40="I (Incomplete)"), 0, IF(AH45&gt;=55%, 1, 0))</f>
        <v>1</v>
      </c>
      <c r="AO45" s="181">
        <f>IF(OR(GradeSheet!$I40="W (Withdrawn)", GradeSheet!$I40="I (Incomplete)"), 0, IF(AI45&gt;=55%, 1, 0))</f>
        <v>1</v>
      </c>
      <c r="AP45" s="181">
        <f>IF(OR(GradeSheet!$I40="W (Withdrawn)", GradeSheet!$I40="I (Incomplete)"), 0, IF(AJ45&gt;=55%, 1, 0))</f>
        <v>0</v>
      </c>
      <c r="AQ45" s="181">
        <f>IF(OR(GradeSheet!$I40="W (Withdrawn)", GradeSheet!$I40="I (Incomplete)"), 0, IF(AK45&gt;=55%, 1, 0))</f>
        <v>0</v>
      </c>
      <c r="AR45" s="181">
        <f>IF(OR(GradeSheet!$I40="W (Withdrawn)", GradeSheet!$I40="I (Incomplete)"), 0, IF(AL45&gt;=55%, 1, 0))</f>
        <v>0</v>
      </c>
      <c r="AS45" s="181">
        <f>IF(OR(GradeSheet!$I40="W (Withdrawn)", GradeSheet!$I40="I (Incomplete)"), 0, IF(AM45&gt;=55%, 1, 0))</f>
        <v>0</v>
      </c>
      <c r="AT45" s="135"/>
      <c r="AU45" s="185">
        <f t="shared" si="16"/>
        <v>0</v>
      </c>
      <c r="AV45" s="185">
        <f t="shared" si="17"/>
        <v>0</v>
      </c>
      <c r="AW45" s="185">
        <f t="array" ref="AW45">IF($AV$9=0,0,MMULT($AH45:$AM45, AV$3:AV$8)/$AV$9)</f>
        <v>0</v>
      </c>
      <c r="AX45" s="185">
        <f t="array" ref="AX45">IF($AW$9=0,0,MMULT($AH45:$AM45, AW$3:AW$8)/$AW$9)</f>
        <v>0</v>
      </c>
      <c r="AY45" s="185">
        <f t="shared" si="18"/>
        <v>0</v>
      </c>
      <c r="AZ45" s="185">
        <f t="array" ref="AZ45">IF($AY$9=0,0,MMULT($AH45:$AM45, AY$3:AY$8)/$AY$9)</f>
        <v>0</v>
      </c>
      <c r="BA45" s="185">
        <f t="array" ref="BA45">IF($AZ$9=0,0,MMULT($AH45:$AM45, AZ$3:AZ$8)/$AZ$9)</f>
        <v>0</v>
      </c>
      <c r="BB45" s="185">
        <f t="array" ref="BB45">IF($BA$9=0,0,MMULT($AH45:$AM45, BA$3:BA$8)/$BA$9)</f>
        <v>0</v>
      </c>
      <c r="BC45" s="185">
        <f t="array" ref="BC45">IF($BB$9=0,0,MMULT($AH45:$AM45, BB$3:BB$8)/$BB$9)</f>
        <v>0</v>
      </c>
      <c r="BD45" s="185">
        <f t="array" ref="BD45">IF($BC$9=0,0,MMULT($AH45:$AM45, BC$3:BC$8)/$BC$9)</f>
        <v>0</v>
      </c>
      <c r="BE45" s="185">
        <f t="shared" si="19"/>
        <v>0</v>
      </c>
      <c r="BF45" s="185">
        <f t="shared" si="20"/>
        <v>0</v>
      </c>
      <c r="BG45" s="181">
        <f>IF(OR(GradeSheet!$I40="W (Withdrawn)", GradeSheet!$I40="I (Incomplete)"), 0, IF(AU45&gt;=65%, 1, 0))</f>
        <v>0</v>
      </c>
      <c r="BH45" s="181">
        <f>IF(OR(GradeSheet!$I40="W (Withdrawn)", GradeSheet!$I40="I (Incomplete)"), 0, IF(AV45&gt;=65%, 1, 0))</f>
        <v>0</v>
      </c>
      <c r="BI45" s="181">
        <f>IF(OR(GradeSheet!$I40="W (Withdrawn)", GradeSheet!$I40="I (Incomplete)"), 0, IF(AW45&gt;=65%, 1, 0))</f>
        <v>0</v>
      </c>
      <c r="BJ45" s="181">
        <f>IF(OR(GradeSheet!$I40="W (Withdrawn)", GradeSheet!$I40="I (Incomplete)"), 0, IF(AX45&gt;=65%, 1, 0))</f>
        <v>0</v>
      </c>
      <c r="BK45" s="181">
        <f>IF(OR(GradeSheet!$I40="W (Withdrawn)", GradeSheet!$I40="I (Incomplete)"), 0, IF(AY45&gt;=65%, 1, 0))</f>
        <v>0</v>
      </c>
      <c r="BL45" s="181">
        <f>IF(OR(GradeSheet!$I40="W (Withdrawn)", GradeSheet!$I40="I (Incomplete)"), 0, IF(AZ45&gt;=65%, 1, 0))</f>
        <v>0</v>
      </c>
      <c r="BM45" s="181">
        <f>IF(OR(GradeSheet!$I40="W (Withdrawn)", GradeSheet!$I40="I (Incomplete)"), 0, IF(BA45&gt;=65%, 1, 0))</f>
        <v>0</v>
      </c>
      <c r="BN45" s="181">
        <f>IF(OR(GradeSheet!$I40="W (Withdrawn)", GradeSheet!$I40="I (Incomplete)"), 0, IF(BB45&gt;=65%, 1, 0))</f>
        <v>0</v>
      </c>
      <c r="BO45" s="181">
        <f>IF(OR(GradeSheet!$I40="W (Withdrawn)", GradeSheet!$I40="I (Incomplete)"), 0, IF(BC45&gt;=65%, 1, 0))</f>
        <v>0</v>
      </c>
      <c r="BP45" s="181">
        <f>IF(OR(GradeSheet!$I40="W (Withdrawn)", GradeSheet!$I40="I (Incomplete)"), 0, IF(BD45&gt;=65%, 1, 0))</f>
        <v>0</v>
      </c>
      <c r="BQ45" s="181">
        <f>IF(OR(GradeSheet!$I40="W (Withdrawn)", GradeSheet!$I40="I (Incomplete)"), 0, IF(BE45&gt;=65%, 1, 0))</f>
        <v>0</v>
      </c>
      <c r="BR45" s="181">
        <f>IF(OR(GradeSheet!$I40="W (Withdrawn)", GradeSheet!$I40="I (Incomplete)"), 0, IF(BF45&gt;=65%, 1, 0))</f>
        <v>0</v>
      </c>
    </row>
    <row r="46" ht="15.75" customHeight="1">
      <c r="A46" s="201">
        <v>32.0</v>
      </c>
      <c r="B46" s="69">
        <v>2.32014033E8</v>
      </c>
      <c r="C46" s="71" t="s">
        <v>159</v>
      </c>
      <c r="D46" s="166">
        <f>ROUNDUP((GradeSheet!D41/30)*12,0)
</f>
        <v>10</v>
      </c>
      <c r="E46" s="168">
        <f>GradeSheet!D41-D46</f>
        <v>15</v>
      </c>
      <c r="F46" s="170"/>
      <c r="G46" s="170"/>
      <c r="H46" s="170"/>
      <c r="I46" s="170"/>
      <c r="J46" s="168">
        <f>INT(GradeSheet!E41/2)</f>
        <v>17</v>
      </c>
      <c r="K46" s="168">
        <f>GradeSheet!E41-J46</f>
        <v>18</v>
      </c>
      <c r="L46" s="168"/>
      <c r="M46" s="170"/>
      <c r="N46" s="170"/>
      <c r="O46" s="170"/>
      <c r="P46" s="171">
        <f>ROUNDUP((RawMarks!M33/30)*10,0)</f>
        <v>9</v>
      </c>
      <c r="Q46" s="172">
        <f>GradeSheet!F41-P46</f>
        <v>16</v>
      </c>
      <c r="R46" s="172"/>
      <c r="S46" s="172"/>
      <c r="T46" s="174"/>
      <c r="U46" s="175"/>
      <c r="V46" s="176"/>
      <c r="W46" s="174"/>
      <c r="X46" s="174"/>
      <c r="Y46" s="174"/>
      <c r="Z46" s="174"/>
      <c r="AA46" s="175"/>
      <c r="AB46" s="177">
        <f t="shared" si="8"/>
        <v>36</v>
      </c>
      <c r="AC46" s="178">
        <f t="shared" si="11"/>
        <v>49</v>
      </c>
      <c r="AD46" s="206">
        <f t="shared" ref="AD46:AE46" si="79">SUM(X46,F46,L46)</f>
        <v>0</v>
      </c>
      <c r="AE46" s="206">
        <f t="shared" si="79"/>
        <v>0</v>
      </c>
      <c r="AF46" s="178">
        <f t="shared" si="13"/>
        <v>0</v>
      </c>
      <c r="AG46" s="206">
        <f t="shared" si="14"/>
        <v>0</v>
      </c>
      <c r="AH46" s="179">
        <f t="shared" ref="AH46:AM46" si="80">IF(AB46 = 0, 0, AB46/AB$14)</f>
        <v>0.8571428571</v>
      </c>
      <c r="AI46" s="179">
        <f t="shared" si="80"/>
        <v>0.8448275862</v>
      </c>
      <c r="AJ46" s="179">
        <f t="shared" si="80"/>
        <v>0</v>
      </c>
      <c r="AK46" s="179">
        <f t="shared" si="80"/>
        <v>0</v>
      </c>
      <c r="AL46" s="179">
        <f t="shared" si="80"/>
        <v>0</v>
      </c>
      <c r="AM46" s="179">
        <f t="shared" si="80"/>
        <v>0</v>
      </c>
      <c r="AN46" s="181">
        <f>IF(OR(GradeSheet!$I41="W (Withdrawn)", GradeSheet!$I41="I (Incomplete)"), 0, IF(AH46&gt;=55%, 1, 0))</f>
        <v>1</v>
      </c>
      <c r="AO46" s="181">
        <f>IF(OR(GradeSheet!$I41="W (Withdrawn)", GradeSheet!$I41="I (Incomplete)"), 0, IF(AI46&gt;=55%, 1, 0))</f>
        <v>1</v>
      </c>
      <c r="AP46" s="181">
        <f>IF(OR(GradeSheet!$I41="W (Withdrawn)", GradeSheet!$I41="I (Incomplete)"), 0, IF(AJ46&gt;=55%, 1, 0))</f>
        <v>0</v>
      </c>
      <c r="AQ46" s="181">
        <f>IF(OR(GradeSheet!$I41="W (Withdrawn)", GradeSheet!$I41="I (Incomplete)"), 0, IF(AK46&gt;=55%, 1, 0))</f>
        <v>0</v>
      </c>
      <c r="AR46" s="181">
        <f>IF(OR(GradeSheet!$I41="W (Withdrawn)", GradeSheet!$I41="I (Incomplete)"), 0, IF(AL46&gt;=55%, 1, 0))</f>
        <v>0</v>
      </c>
      <c r="AS46" s="181">
        <f>IF(OR(GradeSheet!$I41="W (Withdrawn)", GradeSheet!$I41="I (Incomplete)"), 0, IF(AM46&gt;=55%, 1, 0))</f>
        <v>0</v>
      </c>
      <c r="AT46" s="135"/>
      <c r="AU46" s="185">
        <f t="shared" si="16"/>
        <v>0</v>
      </c>
      <c r="AV46" s="185">
        <f t="shared" si="17"/>
        <v>0</v>
      </c>
      <c r="AW46" s="185">
        <f t="array" ref="AW46">IF($AV$9=0,0,MMULT($AH46:$AM46, AV$3:AV$8)/$AV$9)</f>
        <v>0</v>
      </c>
      <c r="AX46" s="185">
        <f t="array" ref="AX46">IF($AW$9=0,0,MMULT($AH46:$AM46, AW$3:AW$8)/$AW$9)</f>
        <v>0</v>
      </c>
      <c r="AY46" s="185">
        <f t="shared" si="18"/>
        <v>0</v>
      </c>
      <c r="AZ46" s="185">
        <f t="array" ref="AZ46">IF($AY$9=0,0,MMULT($AH46:$AM46, AY$3:AY$8)/$AY$9)</f>
        <v>0</v>
      </c>
      <c r="BA46" s="185">
        <f t="array" ref="BA46">IF($AZ$9=0,0,MMULT($AH46:$AM46, AZ$3:AZ$8)/$AZ$9)</f>
        <v>0</v>
      </c>
      <c r="BB46" s="185">
        <f t="array" ref="BB46">IF($BA$9=0,0,MMULT($AH46:$AM46, BA$3:BA$8)/$BA$9)</f>
        <v>0</v>
      </c>
      <c r="BC46" s="185">
        <f t="array" ref="BC46">IF($BB$9=0,0,MMULT($AH46:$AM46, BB$3:BB$8)/$BB$9)</f>
        <v>0</v>
      </c>
      <c r="BD46" s="185">
        <f t="array" ref="BD46">IF($BC$9=0,0,MMULT($AH46:$AM46, BC$3:BC$8)/$BC$9)</f>
        <v>0</v>
      </c>
      <c r="BE46" s="185">
        <f t="shared" si="19"/>
        <v>0</v>
      </c>
      <c r="BF46" s="185">
        <f t="shared" si="20"/>
        <v>0</v>
      </c>
      <c r="BG46" s="181">
        <f>IF(OR(GradeSheet!$I41="W (Withdrawn)", GradeSheet!$I41="I (Incomplete)"), 0, IF(AU46&gt;=65%, 1, 0))</f>
        <v>0</v>
      </c>
      <c r="BH46" s="181">
        <f>IF(OR(GradeSheet!$I41="W (Withdrawn)", GradeSheet!$I41="I (Incomplete)"), 0, IF(AV46&gt;=65%, 1, 0))</f>
        <v>0</v>
      </c>
      <c r="BI46" s="181">
        <f>IF(OR(GradeSheet!$I41="W (Withdrawn)", GradeSheet!$I41="I (Incomplete)"), 0, IF(AW46&gt;=65%, 1, 0))</f>
        <v>0</v>
      </c>
      <c r="BJ46" s="181">
        <f>IF(OR(GradeSheet!$I41="W (Withdrawn)", GradeSheet!$I41="I (Incomplete)"), 0, IF(AX46&gt;=65%, 1, 0))</f>
        <v>0</v>
      </c>
      <c r="BK46" s="181">
        <f>IF(OR(GradeSheet!$I41="W (Withdrawn)", GradeSheet!$I41="I (Incomplete)"), 0, IF(AY46&gt;=65%, 1, 0))</f>
        <v>0</v>
      </c>
      <c r="BL46" s="181">
        <f>IF(OR(GradeSheet!$I41="W (Withdrawn)", GradeSheet!$I41="I (Incomplete)"), 0, IF(AZ46&gt;=65%, 1, 0))</f>
        <v>0</v>
      </c>
      <c r="BM46" s="181">
        <f>IF(OR(GradeSheet!$I41="W (Withdrawn)", GradeSheet!$I41="I (Incomplete)"), 0, IF(BA46&gt;=65%, 1, 0))</f>
        <v>0</v>
      </c>
      <c r="BN46" s="181">
        <f>IF(OR(GradeSheet!$I41="W (Withdrawn)", GradeSheet!$I41="I (Incomplete)"), 0, IF(BB46&gt;=65%, 1, 0))</f>
        <v>0</v>
      </c>
      <c r="BO46" s="181">
        <f>IF(OR(GradeSheet!$I41="W (Withdrawn)", GradeSheet!$I41="I (Incomplete)"), 0, IF(BC46&gt;=65%, 1, 0))</f>
        <v>0</v>
      </c>
      <c r="BP46" s="181">
        <f>IF(OR(GradeSheet!$I41="W (Withdrawn)", GradeSheet!$I41="I (Incomplete)"), 0, IF(BD46&gt;=65%, 1, 0))</f>
        <v>0</v>
      </c>
      <c r="BQ46" s="181">
        <f>IF(OR(GradeSheet!$I41="W (Withdrawn)", GradeSheet!$I41="I (Incomplete)"), 0, IF(BE46&gt;=65%, 1, 0))</f>
        <v>0</v>
      </c>
      <c r="BR46" s="181">
        <f>IF(OR(GradeSheet!$I41="W (Withdrawn)", GradeSheet!$I41="I (Incomplete)"), 0, IF(BF46&gt;=65%, 1, 0))</f>
        <v>0</v>
      </c>
    </row>
    <row r="47" ht="15.75" customHeight="1">
      <c r="A47" s="165">
        <v>33.0</v>
      </c>
      <c r="B47" s="69">
        <v>2.32014036E8</v>
      </c>
      <c r="C47" s="71" t="s">
        <v>162</v>
      </c>
      <c r="D47" s="166">
        <f>ROUNDUP((GradeSheet!D42/30)*12,0)
</f>
        <v>9</v>
      </c>
      <c r="E47" s="168">
        <f>GradeSheet!D42-D47</f>
        <v>13</v>
      </c>
      <c r="F47" s="170"/>
      <c r="G47" s="170"/>
      <c r="H47" s="170"/>
      <c r="I47" s="170"/>
      <c r="J47" s="168">
        <f>INT(GradeSheet!E42/2)</f>
        <v>16</v>
      </c>
      <c r="K47" s="168">
        <f>GradeSheet!E42-J47</f>
        <v>16</v>
      </c>
      <c r="L47" s="168"/>
      <c r="M47" s="170"/>
      <c r="N47" s="170"/>
      <c r="O47" s="170"/>
      <c r="P47" s="171">
        <f>ROUNDUP((RawMarks!M34/30)*10,0)</f>
        <v>1</v>
      </c>
      <c r="Q47" s="172">
        <f>GradeSheet!F42-P47</f>
        <v>1</v>
      </c>
      <c r="R47" s="172"/>
      <c r="S47" s="172"/>
      <c r="T47" s="174"/>
      <c r="U47" s="175"/>
      <c r="V47" s="176"/>
      <c r="W47" s="174"/>
      <c r="X47" s="174"/>
      <c r="Y47" s="174"/>
      <c r="Z47" s="174"/>
      <c r="AA47" s="175"/>
      <c r="AB47" s="177">
        <f t="shared" si="8"/>
        <v>26</v>
      </c>
      <c r="AC47" s="178">
        <f t="shared" si="11"/>
        <v>30</v>
      </c>
      <c r="AD47" s="206">
        <f t="shared" ref="AD47:AE47" si="81">SUM(X47,F47,L47)</f>
        <v>0</v>
      </c>
      <c r="AE47" s="206">
        <f t="shared" si="81"/>
        <v>0</v>
      </c>
      <c r="AF47" s="178">
        <f t="shared" si="13"/>
        <v>0</v>
      </c>
      <c r="AG47" s="206">
        <f t="shared" si="14"/>
        <v>0</v>
      </c>
      <c r="AH47" s="179">
        <f t="shared" ref="AH47:AM47" si="82">IF(AB47 = 0, 0, AB47/AB$14)</f>
        <v>0.619047619</v>
      </c>
      <c r="AI47" s="179">
        <f t="shared" si="82"/>
        <v>0.5172413793</v>
      </c>
      <c r="AJ47" s="179">
        <f t="shared" si="82"/>
        <v>0</v>
      </c>
      <c r="AK47" s="179">
        <f t="shared" si="82"/>
        <v>0</v>
      </c>
      <c r="AL47" s="179">
        <f t="shared" si="82"/>
        <v>0</v>
      </c>
      <c r="AM47" s="179">
        <f t="shared" si="82"/>
        <v>0</v>
      </c>
      <c r="AN47" s="181">
        <f>IF(OR(GradeSheet!$I42="W (Withdrawn)", GradeSheet!$I42="I (Incomplete)"), 0, IF(AH47&gt;=55%, 1, 0))</f>
        <v>1</v>
      </c>
      <c r="AO47" s="181">
        <f>IF(OR(GradeSheet!$I42="W (Withdrawn)", GradeSheet!$I42="I (Incomplete)"), 0, IF(AI47&gt;=55%, 1, 0))</f>
        <v>0</v>
      </c>
      <c r="AP47" s="181">
        <f>IF(OR(GradeSheet!$I42="W (Withdrawn)", GradeSheet!$I42="I (Incomplete)"), 0, IF(AJ47&gt;=55%, 1, 0))</f>
        <v>0</v>
      </c>
      <c r="AQ47" s="181">
        <f>IF(OR(GradeSheet!$I42="W (Withdrawn)", GradeSheet!$I42="I (Incomplete)"), 0, IF(AK47&gt;=55%, 1, 0))</f>
        <v>0</v>
      </c>
      <c r="AR47" s="181">
        <f>IF(OR(GradeSheet!$I42="W (Withdrawn)", GradeSheet!$I42="I (Incomplete)"), 0, IF(AL47&gt;=55%, 1, 0))</f>
        <v>0</v>
      </c>
      <c r="AS47" s="181">
        <f>IF(OR(GradeSheet!$I42="W (Withdrawn)", GradeSheet!$I42="I (Incomplete)"), 0, IF(AM47&gt;=55%, 1, 0))</f>
        <v>0</v>
      </c>
      <c r="AT47" s="135"/>
      <c r="AU47" s="185">
        <f t="shared" si="16"/>
        <v>0</v>
      </c>
      <c r="AV47" s="185">
        <f t="shared" si="17"/>
        <v>0</v>
      </c>
      <c r="AW47" s="185">
        <f t="array" ref="AW47">IF($AV$9=0,0,MMULT($AH47:$AM47, AV$3:AV$8)/$AV$9)</f>
        <v>0</v>
      </c>
      <c r="AX47" s="185">
        <f t="array" ref="AX47">IF($AW$9=0,0,MMULT($AH47:$AM47, AW$3:AW$8)/$AW$9)</f>
        <v>0</v>
      </c>
      <c r="AY47" s="185">
        <f t="shared" si="18"/>
        <v>0</v>
      </c>
      <c r="AZ47" s="185">
        <f t="array" ref="AZ47">IF($AY$9=0,0,MMULT($AH47:$AM47, AY$3:AY$8)/$AY$9)</f>
        <v>0</v>
      </c>
      <c r="BA47" s="185">
        <f t="array" ref="BA47">IF($AZ$9=0,0,MMULT($AH47:$AM47, AZ$3:AZ$8)/$AZ$9)</f>
        <v>0</v>
      </c>
      <c r="BB47" s="185">
        <f t="array" ref="BB47">IF($BA$9=0,0,MMULT($AH47:$AM47, BA$3:BA$8)/$BA$9)</f>
        <v>0</v>
      </c>
      <c r="BC47" s="185">
        <f t="array" ref="BC47">IF($BB$9=0,0,MMULT($AH47:$AM47, BB$3:BB$8)/$BB$9)</f>
        <v>0</v>
      </c>
      <c r="BD47" s="185">
        <f t="array" ref="BD47">IF($BC$9=0,0,MMULT($AH47:$AM47, BC$3:BC$8)/$BC$9)</f>
        <v>0</v>
      </c>
      <c r="BE47" s="185">
        <f t="shared" si="19"/>
        <v>0</v>
      </c>
      <c r="BF47" s="185">
        <f t="shared" si="20"/>
        <v>0</v>
      </c>
      <c r="BG47" s="181">
        <f>IF(OR(GradeSheet!$I42="W (Withdrawn)", GradeSheet!$I42="I (Incomplete)"), 0, IF(AU47&gt;=65%, 1, 0))</f>
        <v>0</v>
      </c>
      <c r="BH47" s="181">
        <f>IF(OR(GradeSheet!$I42="W (Withdrawn)", GradeSheet!$I42="I (Incomplete)"), 0, IF(AV47&gt;=65%, 1, 0))</f>
        <v>0</v>
      </c>
      <c r="BI47" s="181">
        <f>IF(OR(GradeSheet!$I42="W (Withdrawn)", GradeSheet!$I42="I (Incomplete)"), 0, IF(AW47&gt;=65%, 1, 0))</f>
        <v>0</v>
      </c>
      <c r="BJ47" s="181">
        <f>IF(OR(GradeSheet!$I42="W (Withdrawn)", GradeSheet!$I42="I (Incomplete)"), 0, IF(AX47&gt;=65%, 1, 0))</f>
        <v>0</v>
      </c>
      <c r="BK47" s="181">
        <f>IF(OR(GradeSheet!$I42="W (Withdrawn)", GradeSheet!$I42="I (Incomplete)"), 0, IF(AY47&gt;=65%, 1, 0))</f>
        <v>0</v>
      </c>
      <c r="BL47" s="181">
        <f>IF(OR(GradeSheet!$I42="W (Withdrawn)", GradeSheet!$I42="I (Incomplete)"), 0, IF(AZ47&gt;=65%, 1, 0))</f>
        <v>0</v>
      </c>
      <c r="BM47" s="181">
        <f>IF(OR(GradeSheet!$I42="W (Withdrawn)", GradeSheet!$I42="I (Incomplete)"), 0, IF(BA47&gt;=65%, 1, 0))</f>
        <v>0</v>
      </c>
      <c r="BN47" s="181">
        <f>IF(OR(GradeSheet!$I42="W (Withdrawn)", GradeSheet!$I42="I (Incomplete)"), 0, IF(BB47&gt;=65%, 1, 0))</f>
        <v>0</v>
      </c>
      <c r="BO47" s="181">
        <f>IF(OR(GradeSheet!$I42="W (Withdrawn)", GradeSheet!$I42="I (Incomplete)"), 0, IF(BC47&gt;=65%, 1, 0))</f>
        <v>0</v>
      </c>
      <c r="BP47" s="181">
        <f>IF(OR(GradeSheet!$I42="W (Withdrawn)", GradeSheet!$I42="I (Incomplete)"), 0, IF(BD47&gt;=65%, 1, 0))</f>
        <v>0</v>
      </c>
      <c r="BQ47" s="181">
        <f>IF(OR(GradeSheet!$I42="W (Withdrawn)", GradeSheet!$I42="I (Incomplete)"), 0, IF(BE47&gt;=65%, 1, 0))</f>
        <v>0</v>
      </c>
      <c r="BR47" s="181">
        <f>IF(OR(GradeSheet!$I42="W (Withdrawn)", GradeSheet!$I42="I (Incomplete)"), 0, IF(BF47&gt;=65%, 1, 0))</f>
        <v>0</v>
      </c>
    </row>
    <row r="48" ht="15.75" customHeight="1">
      <c r="A48" s="201">
        <v>34.0</v>
      </c>
      <c r="B48" s="69">
        <v>2.32014062E8</v>
      </c>
      <c r="C48" s="71" t="s">
        <v>165</v>
      </c>
      <c r="D48" s="166">
        <f>ROUNDUP((GradeSheet!D43/30)*12,0)
</f>
        <v>11</v>
      </c>
      <c r="E48" s="168">
        <f>GradeSheet!D43-D48</f>
        <v>15</v>
      </c>
      <c r="F48" s="170"/>
      <c r="G48" s="170"/>
      <c r="H48" s="170"/>
      <c r="I48" s="170"/>
      <c r="J48" s="168">
        <f>INT(GradeSheet!E43/2)</f>
        <v>16</v>
      </c>
      <c r="K48" s="168">
        <f>GradeSheet!E43-J48</f>
        <v>16</v>
      </c>
      <c r="L48" s="168"/>
      <c r="M48" s="170"/>
      <c r="N48" s="170"/>
      <c r="O48" s="170"/>
      <c r="P48" s="171">
        <f>ROUNDUP((RawMarks!M35/30)*10,0)</f>
        <v>5</v>
      </c>
      <c r="Q48" s="172">
        <f>GradeSheet!F43-P48</f>
        <v>10</v>
      </c>
      <c r="R48" s="172"/>
      <c r="S48" s="172"/>
      <c r="T48" s="174"/>
      <c r="U48" s="175"/>
      <c r="V48" s="176"/>
      <c r="W48" s="174"/>
      <c r="X48" s="174"/>
      <c r="Y48" s="174"/>
      <c r="Z48" s="174"/>
      <c r="AA48" s="175"/>
      <c r="AB48" s="177">
        <f t="shared" si="8"/>
        <v>32</v>
      </c>
      <c r="AC48" s="178">
        <f t="shared" si="11"/>
        <v>41</v>
      </c>
      <c r="AD48" s="206">
        <f t="shared" ref="AD48:AE48" si="83">SUM(X48,F48,L48)</f>
        <v>0</v>
      </c>
      <c r="AE48" s="206">
        <f t="shared" si="83"/>
        <v>0</v>
      </c>
      <c r="AF48" s="178">
        <f t="shared" si="13"/>
        <v>0</v>
      </c>
      <c r="AG48" s="206">
        <f t="shared" si="14"/>
        <v>0</v>
      </c>
      <c r="AH48" s="179">
        <f t="shared" ref="AH48:AM48" si="84">IF(AB48 = 0, 0, AB48/AB$14)</f>
        <v>0.7619047619</v>
      </c>
      <c r="AI48" s="179">
        <f t="shared" si="84"/>
        <v>0.7068965517</v>
      </c>
      <c r="AJ48" s="179">
        <f t="shared" si="84"/>
        <v>0</v>
      </c>
      <c r="AK48" s="179">
        <f t="shared" si="84"/>
        <v>0</v>
      </c>
      <c r="AL48" s="179">
        <f t="shared" si="84"/>
        <v>0</v>
      </c>
      <c r="AM48" s="179">
        <f t="shared" si="84"/>
        <v>0</v>
      </c>
      <c r="AN48" s="181">
        <f>IF(OR(GradeSheet!$I43="W (Withdrawn)", GradeSheet!$I43="I (Incomplete)"), 0, IF(AH48&gt;=55%, 1, 0))</f>
        <v>1</v>
      </c>
      <c r="AO48" s="181">
        <f>IF(OR(GradeSheet!$I43="W (Withdrawn)", GradeSheet!$I43="I (Incomplete)"), 0, IF(AI48&gt;=55%, 1, 0))</f>
        <v>1</v>
      </c>
      <c r="AP48" s="181">
        <f>IF(OR(GradeSheet!$I43="W (Withdrawn)", GradeSheet!$I43="I (Incomplete)"), 0, IF(AJ48&gt;=55%, 1, 0))</f>
        <v>0</v>
      </c>
      <c r="AQ48" s="181">
        <f>IF(OR(GradeSheet!$I43="W (Withdrawn)", GradeSheet!$I43="I (Incomplete)"), 0, IF(AK48&gt;=55%, 1, 0))</f>
        <v>0</v>
      </c>
      <c r="AR48" s="181">
        <f>IF(OR(GradeSheet!$I43="W (Withdrawn)", GradeSheet!$I43="I (Incomplete)"), 0, IF(AL48&gt;=55%, 1, 0))</f>
        <v>0</v>
      </c>
      <c r="AS48" s="181">
        <f>IF(OR(GradeSheet!$I43="W (Withdrawn)", GradeSheet!$I43="I (Incomplete)"), 0, IF(AM48&gt;=55%, 1, 0))</f>
        <v>0</v>
      </c>
      <c r="AT48" s="135"/>
      <c r="AU48" s="185">
        <f t="shared" si="16"/>
        <v>0</v>
      </c>
      <c r="AV48" s="185">
        <f t="shared" si="17"/>
        <v>0</v>
      </c>
      <c r="AW48" s="185">
        <f t="array" ref="AW48">IF($AV$9=0,0,MMULT($AH48:$AM48, AV$3:AV$8)/$AV$9)</f>
        <v>0</v>
      </c>
      <c r="AX48" s="185">
        <f t="array" ref="AX48">IF($AW$9=0,0,MMULT($AH48:$AM48, AW$3:AW$8)/$AW$9)</f>
        <v>0</v>
      </c>
      <c r="AY48" s="185">
        <f t="shared" si="18"/>
        <v>0</v>
      </c>
      <c r="AZ48" s="185">
        <f t="array" ref="AZ48">IF($AY$9=0,0,MMULT($AH48:$AM48, AY$3:AY$8)/$AY$9)</f>
        <v>0</v>
      </c>
      <c r="BA48" s="185">
        <f t="array" ref="BA48">IF($AZ$9=0,0,MMULT($AH48:$AM48, AZ$3:AZ$8)/$AZ$9)</f>
        <v>0</v>
      </c>
      <c r="BB48" s="185">
        <f t="array" ref="BB48">IF($BA$9=0,0,MMULT($AH48:$AM48, BA$3:BA$8)/$BA$9)</f>
        <v>0</v>
      </c>
      <c r="BC48" s="185">
        <f t="array" ref="BC48">IF($BB$9=0,0,MMULT($AH48:$AM48, BB$3:BB$8)/$BB$9)</f>
        <v>0</v>
      </c>
      <c r="BD48" s="185">
        <f t="array" ref="BD48">IF($BC$9=0,0,MMULT($AH48:$AM48, BC$3:BC$8)/$BC$9)</f>
        <v>0</v>
      </c>
      <c r="BE48" s="185">
        <f t="shared" si="19"/>
        <v>0</v>
      </c>
      <c r="BF48" s="185">
        <f t="shared" si="20"/>
        <v>0</v>
      </c>
      <c r="BG48" s="181">
        <f>IF(OR(GradeSheet!$I43="W (Withdrawn)", GradeSheet!$I43="I (Incomplete)"), 0, IF(AU48&gt;=65%, 1, 0))</f>
        <v>0</v>
      </c>
      <c r="BH48" s="181">
        <f>IF(OR(GradeSheet!$I43="W (Withdrawn)", GradeSheet!$I43="I (Incomplete)"), 0, IF(AV48&gt;=65%, 1, 0))</f>
        <v>0</v>
      </c>
      <c r="BI48" s="181">
        <f>IF(OR(GradeSheet!$I43="W (Withdrawn)", GradeSheet!$I43="I (Incomplete)"), 0, IF(AW48&gt;=65%, 1, 0))</f>
        <v>0</v>
      </c>
      <c r="BJ48" s="181">
        <f>IF(OR(GradeSheet!$I43="W (Withdrawn)", GradeSheet!$I43="I (Incomplete)"), 0, IF(AX48&gt;=65%, 1, 0))</f>
        <v>0</v>
      </c>
      <c r="BK48" s="181">
        <f>IF(OR(GradeSheet!$I43="W (Withdrawn)", GradeSheet!$I43="I (Incomplete)"), 0, IF(AY48&gt;=65%, 1, 0))</f>
        <v>0</v>
      </c>
      <c r="BL48" s="181">
        <f>IF(OR(GradeSheet!$I43="W (Withdrawn)", GradeSheet!$I43="I (Incomplete)"), 0, IF(AZ48&gt;=65%, 1, 0))</f>
        <v>0</v>
      </c>
      <c r="BM48" s="181">
        <f>IF(OR(GradeSheet!$I43="W (Withdrawn)", GradeSheet!$I43="I (Incomplete)"), 0, IF(BA48&gt;=65%, 1, 0))</f>
        <v>0</v>
      </c>
      <c r="BN48" s="181">
        <f>IF(OR(GradeSheet!$I43="W (Withdrawn)", GradeSheet!$I43="I (Incomplete)"), 0, IF(BB48&gt;=65%, 1, 0))</f>
        <v>0</v>
      </c>
      <c r="BO48" s="181">
        <f>IF(OR(GradeSheet!$I43="W (Withdrawn)", GradeSheet!$I43="I (Incomplete)"), 0, IF(BC48&gt;=65%, 1, 0))</f>
        <v>0</v>
      </c>
      <c r="BP48" s="181">
        <f>IF(OR(GradeSheet!$I43="W (Withdrawn)", GradeSheet!$I43="I (Incomplete)"), 0, IF(BD48&gt;=65%, 1, 0))</f>
        <v>0</v>
      </c>
      <c r="BQ48" s="181">
        <f>IF(OR(GradeSheet!$I43="W (Withdrawn)", GradeSheet!$I43="I (Incomplete)"), 0, IF(BE48&gt;=65%, 1, 0))</f>
        <v>0</v>
      </c>
      <c r="BR48" s="181">
        <f>IF(OR(GradeSheet!$I43="W (Withdrawn)", GradeSheet!$I43="I (Incomplete)"), 0, IF(BF48&gt;=65%, 1, 0))</f>
        <v>0</v>
      </c>
    </row>
    <row r="49" ht="15.75" customHeight="1">
      <c r="A49" s="165">
        <v>35.0</v>
      </c>
      <c r="B49" s="69">
        <v>2.32014106E8</v>
      </c>
      <c r="C49" s="71" t="s">
        <v>167</v>
      </c>
      <c r="D49" s="166">
        <f>ROUNDUP((GradeSheet!D44/30)*12,0)
</f>
        <v>10</v>
      </c>
      <c r="E49" s="168">
        <f>GradeSheet!D44-D49</f>
        <v>13</v>
      </c>
      <c r="F49" s="170"/>
      <c r="G49" s="170"/>
      <c r="H49" s="170"/>
      <c r="I49" s="170"/>
      <c r="J49" s="168">
        <f>INT(GradeSheet!E44/2)</f>
        <v>16</v>
      </c>
      <c r="K49" s="168">
        <f>GradeSheet!E44-J49</f>
        <v>16</v>
      </c>
      <c r="L49" s="168"/>
      <c r="M49" s="170"/>
      <c r="N49" s="170"/>
      <c r="O49" s="170"/>
      <c r="P49" s="171">
        <f>ROUNDUP((RawMarks!M36/30)*10,0)</f>
        <v>7</v>
      </c>
      <c r="Q49" s="172">
        <f>GradeSheet!F44-P49</f>
        <v>13</v>
      </c>
      <c r="R49" s="172"/>
      <c r="S49" s="172"/>
      <c r="T49" s="174"/>
      <c r="U49" s="175"/>
      <c r="V49" s="176"/>
      <c r="W49" s="174"/>
      <c r="X49" s="174"/>
      <c r="Y49" s="174"/>
      <c r="Z49" s="174"/>
      <c r="AA49" s="175"/>
      <c r="AB49" s="177">
        <f t="shared" si="8"/>
        <v>33</v>
      </c>
      <c r="AC49" s="178">
        <f t="shared" si="11"/>
        <v>42</v>
      </c>
      <c r="AD49" s="206">
        <f t="shared" ref="AD49:AE49" si="85">SUM(X49,F49,L49)</f>
        <v>0</v>
      </c>
      <c r="AE49" s="206">
        <f t="shared" si="85"/>
        <v>0</v>
      </c>
      <c r="AF49" s="178">
        <f t="shared" si="13"/>
        <v>0</v>
      </c>
      <c r="AG49" s="206">
        <f t="shared" si="14"/>
        <v>0</v>
      </c>
      <c r="AH49" s="179">
        <f t="shared" ref="AH49:AM49" si="86">IF(AB49 = 0, 0, AB49/AB$14)</f>
        <v>0.7857142857</v>
      </c>
      <c r="AI49" s="179">
        <f t="shared" si="86"/>
        <v>0.724137931</v>
      </c>
      <c r="AJ49" s="179">
        <f t="shared" si="86"/>
        <v>0</v>
      </c>
      <c r="AK49" s="179">
        <f t="shared" si="86"/>
        <v>0</v>
      </c>
      <c r="AL49" s="179">
        <f t="shared" si="86"/>
        <v>0</v>
      </c>
      <c r="AM49" s="179">
        <f t="shared" si="86"/>
        <v>0</v>
      </c>
      <c r="AN49" s="181">
        <f>IF(OR(GradeSheet!$I44="W (Withdrawn)", GradeSheet!$I44="I (Incomplete)"), 0, IF(AH49&gt;=55%, 1, 0))</f>
        <v>1</v>
      </c>
      <c r="AO49" s="181">
        <f>IF(OR(GradeSheet!$I44="W (Withdrawn)", GradeSheet!$I44="I (Incomplete)"), 0, IF(AI49&gt;=55%, 1, 0))</f>
        <v>1</v>
      </c>
      <c r="AP49" s="181">
        <f>IF(OR(GradeSheet!$I44="W (Withdrawn)", GradeSheet!$I44="I (Incomplete)"), 0, IF(AJ49&gt;=55%, 1, 0))</f>
        <v>0</v>
      </c>
      <c r="AQ49" s="181">
        <f>IF(OR(GradeSheet!$I44="W (Withdrawn)", GradeSheet!$I44="I (Incomplete)"), 0, IF(AK49&gt;=55%, 1, 0))</f>
        <v>0</v>
      </c>
      <c r="AR49" s="181">
        <f>IF(OR(GradeSheet!$I44="W (Withdrawn)", GradeSheet!$I44="I (Incomplete)"), 0, IF(AL49&gt;=55%, 1, 0))</f>
        <v>0</v>
      </c>
      <c r="AS49" s="181">
        <f>IF(OR(GradeSheet!$I44="W (Withdrawn)", GradeSheet!$I44="I (Incomplete)"), 0, IF(AM49&gt;=55%, 1, 0))</f>
        <v>0</v>
      </c>
      <c r="AT49" s="135"/>
      <c r="AU49" s="185">
        <f t="shared" si="16"/>
        <v>0</v>
      </c>
      <c r="AV49" s="185">
        <f t="shared" si="17"/>
        <v>0</v>
      </c>
      <c r="AW49" s="185">
        <f t="array" ref="AW49">IF($AV$9=0,0,MMULT($AH49:$AM49, AV$3:AV$8)/$AV$9)</f>
        <v>0</v>
      </c>
      <c r="AX49" s="185">
        <f t="array" ref="AX49">IF($AW$9=0,0,MMULT($AH49:$AM49, AW$3:AW$8)/$AW$9)</f>
        <v>0</v>
      </c>
      <c r="AY49" s="185">
        <f t="shared" si="18"/>
        <v>0</v>
      </c>
      <c r="AZ49" s="185">
        <f t="array" ref="AZ49">IF($AY$9=0,0,MMULT($AH49:$AM49, AY$3:AY$8)/$AY$9)</f>
        <v>0</v>
      </c>
      <c r="BA49" s="185">
        <f t="array" ref="BA49">IF($AZ$9=0,0,MMULT($AH49:$AM49, AZ$3:AZ$8)/$AZ$9)</f>
        <v>0</v>
      </c>
      <c r="BB49" s="185">
        <f t="array" ref="BB49">IF($BA$9=0,0,MMULT($AH49:$AM49, BA$3:BA$8)/$BA$9)</f>
        <v>0</v>
      </c>
      <c r="BC49" s="185">
        <f t="array" ref="BC49">IF($BB$9=0,0,MMULT($AH49:$AM49, BB$3:BB$8)/$BB$9)</f>
        <v>0</v>
      </c>
      <c r="BD49" s="185">
        <f t="array" ref="BD49">IF($BC$9=0,0,MMULT($AH49:$AM49, BC$3:BC$8)/$BC$9)</f>
        <v>0</v>
      </c>
      <c r="BE49" s="185">
        <f t="shared" si="19"/>
        <v>0</v>
      </c>
      <c r="BF49" s="185">
        <f t="shared" si="20"/>
        <v>0</v>
      </c>
      <c r="BG49" s="181">
        <f>IF(OR(GradeSheet!$I44="W (Withdrawn)", GradeSheet!$I44="I (Incomplete)"), 0, IF(AU49&gt;=65%, 1, 0))</f>
        <v>0</v>
      </c>
      <c r="BH49" s="181">
        <f>IF(OR(GradeSheet!$I44="W (Withdrawn)", GradeSheet!$I44="I (Incomplete)"), 0, IF(AV49&gt;=65%, 1, 0))</f>
        <v>0</v>
      </c>
      <c r="BI49" s="181">
        <f>IF(OR(GradeSheet!$I44="W (Withdrawn)", GradeSheet!$I44="I (Incomplete)"), 0, IF(AW49&gt;=65%, 1, 0))</f>
        <v>0</v>
      </c>
      <c r="BJ49" s="181">
        <f>IF(OR(GradeSheet!$I44="W (Withdrawn)", GradeSheet!$I44="I (Incomplete)"), 0, IF(AX49&gt;=65%, 1, 0))</f>
        <v>0</v>
      </c>
      <c r="BK49" s="181">
        <f>IF(OR(GradeSheet!$I44="W (Withdrawn)", GradeSheet!$I44="I (Incomplete)"), 0, IF(AY49&gt;=65%, 1, 0))</f>
        <v>0</v>
      </c>
      <c r="BL49" s="181">
        <f>IF(OR(GradeSheet!$I44="W (Withdrawn)", GradeSheet!$I44="I (Incomplete)"), 0, IF(AZ49&gt;=65%, 1, 0))</f>
        <v>0</v>
      </c>
      <c r="BM49" s="181">
        <f>IF(OR(GradeSheet!$I44="W (Withdrawn)", GradeSheet!$I44="I (Incomplete)"), 0, IF(BA49&gt;=65%, 1, 0))</f>
        <v>0</v>
      </c>
      <c r="BN49" s="181">
        <f>IF(OR(GradeSheet!$I44="W (Withdrawn)", GradeSheet!$I44="I (Incomplete)"), 0, IF(BB49&gt;=65%, 1, 0))</f>
        <v>0</v>
      </c>
      <c r="BO49" s="181">
        <f>IF(OR(GradeSheet!$I44="W (Withdrawn)", GradeSheet!$I44="I (Incomplete)"), 0, IF(BC49&gt;=65%, 1, 0))</f>
        <v>0</v>
      </c>
      <c r="BP49" s="181">
        <f>IF(OR(GradeSheet!$I44="W (Withdrawn)", GradeSheet!$I44="I (Incomplete)"), 0, IF(BD49&gt;=65%, 1, 0))</f>
        <v>0</v>
      </c>
      <c r="BQ49" s="181">
        <f>IF(OR(GradeSheet!$I44="W (Withdrawn)", GradeSheet!$I44="I (Incomplete)"), 0, IF(BE49&gt;=65%, 1, 0))</f>
        <v>0</v>
      </c>
      <c r="BR49" s="181">
        <f>IF(OR(GradeSheet!$I44="W (Withdrawn)", GradeSheet!$I44="I (Incomplete)"), 0, IF(BF49&gt;=65%, 1, 0))</f>
        <v>0</v>
      </c>
    </row>
    <row r="50" ht="15.75" customHeight="1">
      <c r="A50" s="201">
        <v>36.0</v>
      </c>
      <c r="B50" s="69">
        <v>2.32014141E8</v>
      </c>
      <c r="C50" s="71" t="s">
        <v>168</v>
      </c>
      <c r="D50" s="166">
        <f>ROUNDUP((GradeSheet!D45/30)*12,0)
</f>
        <v>11</v>
      </c>
      <c r="E50" s="168">
        <f>GradeSheet!D45-D50</f>
        <v>15</v>
      </c>
      <c r="F50" s="170"/>
      <c r="G50" s="170"/>
      <c r="H50" s="170"/>
      <c r="I50" s="170"/>
      <c r="J50" s="168">
        <f>INT(GradeSheet!E45/2)</f>
        <v>16</v>
      </c>
      <c r="K50" s="168">
        <f>GradeSheet!E45-J50</f>
        <v>16</v>
      </c>
      <c r="L50" s="168"/>
      <c r="M50" s="170"/>
      <c r="N50" s="170"/>
      <c r="O50" s="170"/>
      <c r="P50" s="171">
        <f>ROUNDUP((RawMarks!M37/30)*10,0)</f>
        <v>7</v>
      </c>
      <c r="Q50" s="172">
        <f>GradeSheet!F45-P50</f>
        <v>13</v>
      </c>
      <c r="R50" s="172"/>
      <c r="S50" s="172"/>
      <c r="T50" s="174"/>
      <c r="U50" s="175"/>
      <c r="V50" s="176"/>
      <c r="W50" s="174"/>
      <c r="X50" s="174"/>
      <c r="Y50" s="174"/>
      <c r="Z50" s="174"/>
      <c r="AA50" s="175"/>
      <c r="AB50" s="177">
        <f t="shared" si="8"/>
        <v>34</v>
      </c>
      <c r="AC50" s="178">
        <f t="shared" si="11"/>
        <v>44</v>
      </c>
      <c r="AD50" s="206">
        <f t="shared" ref="AD50:AE50" si="87">SUM(X50,F50,L50)</f>
        <v>0</v>
      </c>
      <c r="AE50" s="206">
        <f t="shared" si="87"/>
        <v>0</v>
      </c>
      <c r="AF50" s="178">
        <f t="shared" si="13"/>
        <v>0</v>
      </c>
      <c r="AG50" s="206">
        <f t="shared" si="14"/>
        <v>0</v>
      </c>
      <c r="AH50" s="179">
        <f t="shared" ref="AH50:AM50" si="88">IF(AB50 = 0, 0, AB50/AB$14)</f>
        <v>0.8095238095</v>
      </c>
      <c r="AI50" s="179">
        <f t="shared" si="88"/>
        <v>0.7586206897</v>
      </c>
      <c r="AJ50" s="179">
        <f t="shared" si="88"/>
        <v>0</v>
      </c>
      <c r="AK50" s="179">
        <f t="shared" si="88"/>
        <v>0</v>
      </c>
      <c r="AL50" s="179">
        <f t="shared" si="88"/>
        <v>0</v>
      </c>
      <c r="AM50" s="179">
        <f t="shared" si="88"/>
        <v>0</v>
      </c>
      <c r="AN50" s="181">
        <f>IF(OR(GradeSheet!$I45="W (Withdrawn)", GradeSheet!$I45="I (Incomplete)"), 0, IF(AH50&gt;=55%, 1, 0))</f>
        <v>1</v>
      </c>
      <c r="AO50" s="181">
        <f>IF(OR(GradeSheet!$I45="W (Withdrawn)", GradeSheet!$I45="I (Incomplete)"), 0, IF(AI50&gt;=55%, 1, 0))</f>
        <v>1</v>
      </c>
      <c r="AP50" s="181">
        <f>IF(OR(GradeSheet!$I45="W (Withdrawn)", GradeSheet!$I45="I (Incomplete)"), 0, IF(AJ50&gt;=55%, 1, 0))</f>
        <v>0</v>
      </c>
      <c r="AQ50" s="181">
        <f>IF(OR(GradeSheet!$I45="W (Withdrawn)", GradeSheet!$I45="I (Incomplete)"), 0, IF(AK50&gt;=55%, 1, 0))</f>
        <v>0</v>
      </c>
      <c r="AR50" s="181">
        <f>IF(OR(GradeSheet!$I45="W (Withdrawn)", GradeSheet!$I45="I (Incomplete)"), 0, IF(AL50&gt;=55%, 1, 0))</f>
        <v>0</v>
      </c>
      <c r="AS50" s="181">
        <f>IF(OR(GradeSheet!$I45="W (Withdrawn)", GradeSheet!$I45="I (Incomplete)"), 0, IF(AM50&gt;=55%, 1, 0))</f>
        <v>0</v>
      </c>
      <c r="AT50" s="135"/>
      <c r="AU50" s="185">
        <f t="shared" si="16"/>
        <v>0</v>
      </c>
      <c r="AV50" s="185">
        <f t="shared" si="17"/>
        <v>0</v>
      </c>
      <c r="AW50" s="185">
        <f t="array" ref="AW50">IF($AV$9=0,0,MMULT($AH50:$AM50, AV$3:AV$8)/$AV$9)</f>
        <v>0</v>
      </c>
      <c r="AX50" s="185">
        <f t="array" ref="AX50">IF($AW$9=0,0,MMULT($AH50:$AM50, AW$3:AW$8)/$AW$9)</f>
        <v>0</v>
      </c>
      <c r="AY50" s="185">
        <f t="shared" si="18"/>
        <v>0</v>
      </c>
      <c r="AZ50" s="185">
        <f t="array" ref="AZ50">IF($AY$9=0,0,MMULT($AH50:$AM50, AY$3:AY$8)/$AY$9)</f>
        <v>0</v>
      </c>
      <c r="BA50" s="185">
        <f t="array" ref="BA50">IF($AZ$9=0,0,MMULT($AH50:$AM50, AZ$3:AZ$8)/$AZ$9)</f>
        <v>0</v>
      </c>
      <c r="BB50" s="185">
        <f t="array" ref="BB50">IF($BA$9=0,0,MMULT($AH50:$AM50, BA$3:BA$8)/$BA$9)</f>
        <v>0</v>
      </c>
      <c r="BC50" s="185">
        <f t="array" ref="BC50">IF($BB$9=0,0,MMULT($AH50:$AM50, BB$3:BB$8)/$BB$9)</f>
        <v>0</v>
      </c>
      <c r="BD50" s="185">
        <f t="array" ref="BD50">IF($BC$9=0,0,MMULT($AH50:$AM50, BC$3:BC$8)/$BC$9)</f>
        <v>0</v>
      </c>
      <c r="BE50" s="185">
        <f t="shared" si="19"/>
        <v>0</v>
      </c>
      <c r="BF50" s="185">
        <f t="shared" si="20"/>
        <v>0</v>
      </c>
      <c r="BG50" s="181">
        <f>IF(OR(GradeSheet!$I45="W (Withdrawn)", GradeSheet!$I45="I (Incomplete)"), 0, IF(AU50&gt;=65%, 1, 0))</f>
        <v>0</v>
      </c>
      <c r="BH50" s="181">
        <f>IF(OR(GradeSheet!$I45="W (Withdrawn)", GradeSheet!$I45="I (Incomplete)"), 0, IF(AV50&gt;=65%, 1, 0))</f>
        <v>0</v>
      </c>
      <c r="BI50" s="181">
        <f>IF(OR(GradeSheet!$I45="W (Withdrawn)", GradeSheet!$I45="I (Incomplete)"), 0, IF(AW50&gt;=65%, 1, 0))</f>
        <v>0</v>
      </c>
      <c r="BJ50" s="181">
        <f>IF(OR(GradeSheet!$I45="W (Withdrawn)", GradeSheet!$I45="I (Incomplete)"), 0, IF(AX50&gt;=65%, 1, 0))</f>
        <v>0</v>
      </c>
      <c r="BK50" s="181">
        <f>IF(OR(GradeSheet!$I45="W (Withdrawn)", GradeSheet!$I45="I (Incomplete)"), 0, IF(AY50&gt;=65%, 1, 0))</f>
        <v>0</v>
      </c>
      <c r="BL50" s="181">
        <f>IF(OR(GradeSheet!$I45="W (Withdrawn)", GradeSheet!$I45="I (Incomplete)"), 0, IF(AZ50&gt;=65%, 1, 0))</f>
        <v>0</v>
      </c>
      <c r="BM50" s="181">
        <f>IF(OR(GradeSheet!$I45="W (Withdrawn)", GradeSheet!$I45="I (Incomplete)"), 0, IF(BA50&gt;=65%, 1, 0))</f>
        <v>0</v>
      </c>
      <c r="BN50" s="181">
        <f>IF(OR(GradeSheet!$I45="W (Withdrawn)", GradeSheet!$I45="I (Incomplete)"), 0, IF(BB50&gt;=65%, 1, 0))</f>
        <v>0</v>
      </c>
      <c r="BO50" s="181">
        <f>IF(OR(GradeSheet!$I45="W (Withdrawn)", GradeSheet!$I45="I (Incomplete)"), 0, IF(BC50&gt;=65%, 1, 0))</f>
        <v>0</v>
      </c>
      <c r="BP50" s="181">
        <f>IF(OR(GradeSheet!$I45="W (Withdrawn)", GradeSheet!$I45="I (Incomplete)"), 0, IF(BD50&gt;=65%, 1, 0))</f>
        <v>0</v>
      </c>
      <c r="BQ50" s="181">
        <f>IF(OR(GradeSheet!$I45="W (Withdrawn)", GradeSheet!$I45="I (Incomplete)"), 0, IF(BE50&gt;=65%, 1, 0))</f>
        <v>0</v>
      </c>
      <c r="BR50" s="181">
        <f>IF(OR(GradeSheet!$I45="W (Withdrawn)", GradeSheet!$I45="I (Incomplete)"), 0, IF(BF50&gt;=65%, 1, 0))</f>
        <v>0</v>
      </c>
    </row>
    <row r="51" ht="15.75" customHeight="1">
      <c r="A51" s="165"/>
      <c r="B51" s="69"/>
      <c r="C51" s="91"/>
      <c r="D51" s="274"/>
      <c r="E51" s="168"/>
      <c r="F51" s="170"/>
      <c r="G51" s="170"/>
      <c r="H51" s="170"/>
      <c r="I51" s="170"/>
      <c r="J51" s="168"/>
      <c r="K51" s="168"/>
      <c r="L51" s="168"/>
      <c r="M51" s="170"/>
      <c r="N51" s="170"/>
      <c r="O51" s="170"/>
      <c r="P51" s="171"/>
      <c r="Q51" s="172"/>
      <c r="R51" s="172"/>
      <c r="S51" s="172"/>
      <c r="T51" s="174"/>
      <c r="U51" s="175"/>
      <c r="V51" s="176"/>
      <c r="W51" s="174"/>
      <c r="X51" s="174"/>
      <c r="Y51" s="174"/>
      <c r="Z51" s="174"/>
      <c r="AA51" s="175"/>
      <c r="AB51" s="177">
        <f t="shared" ref="AB51:AE51" si="89">SUM(V51,D51,J51)</f>
        <v>0</v>
      </c>
      <c r="AC51" s="178">
        <f t="shared" si="89"/>
        <v>0</v>
      </c>
      <c r="AD51" s="206">
        <f t="shared" si="89"/>
        <v>0</v>
      </c>
      <c r="AE51" s="206">
        <f t="shared" si="89"/>
        <v>0</v>
      </c>
      <c r="AF51" s="178">
        <f t="shared" si="13"/>
        <v>0</v>
      </c>
      <c r="AG51" s="206">
        <f t="shared" si="14"/>
        <v>0</v>
      </c>
      <c r="AH51" s="179">
        <f t="shared" ref="AH51:AM51" si="90">IF(AB51 = 0, 0, AB51/AB$14)</f>
        <v>0</v>
      </c>
      <c r="AI51" s="179">
        <f t="shared" si="90"/>
        <v>0</v>
      </c>
      <c r="AJ51" s="179">
        <f t="shared" si="90"/>
        <v>0</v>
      </c>
      <c r="AK51" s="179">
        <f t="shared" si="90"/>
        <v>0</v>
      </c>
      <c r="AL51" s="179">
        <f t="shared" si="90"/>
        <v>0</v>
      </c>
      <c r="AM51" s="179">
        <f t="shared" si="90"/>
        <v>0</v>
      </c>
      <c r="AN51" s="181">
        <f>IF(OR(GradeSheet!$I46="W (Withdrawn)", GradeSheet!$I46="I (Incomplete)"), 0, IF(AH51&gt;=55%, 1, 0))</f>
        <v>0</v>
      </c>
      <c r="AO51" s="181">
        <f>IF(OR(GradeSheet!$I46="W (Withdrawn)", GradeSheet!$I46="I (Incomplete)"), 0, IF(AI51&gt;=55%, 1, 0))</f>
        <v>0</v>
      </c>
      <c r="AP51" s="181">
        <f>IF(OR(GradeSheet!$I46="W (Withdrawn)", GradeSheet!$I46="I (Incomplete)"), 0, IF(AJ51&gt;=55%, 1, 0))</f>
        <v>0</v>
      </c>
      <c r="AQ51" s="181">
        <f>IF(OR(GradeSheet!$I46="W (Withdrawn)", GradeSheet!$I46="I (Incomplete)"), 0, IF(AK51&gt;=55%, 1, 0))</f>
        <v>0</v>
      </c>
      <c r="AR51" s="181">
        <f>IF(OR(GradeSheet!$I46="W (Withdrawn)", GradeSheet!$I46="I (Incomplete)"), 0, IF(AL51&gt;=55%, 1, 0))</f>
        <v>0</v>
      </c>
      <c r="AS51" s="181">
        <f>IF(OR(GradeSheet!$I46="W (Withdrawn)", GradeSheet!$I46="I (Incomplete)"), 0, IF(AM51&gt;=55%, 1, 0))</f>
        <v>0</v>
      </c>
      <c r="AT51" s="135"/>
      <c r="AU51" s="185">
        <f t="shared" si="16"/>
        <v>0</v>
      </c>
      <c r="AV51" s="185">
        <f t="shared" si="17"/>
        <v>0</v>
      </c>
      <c r="AW51" s="185">
        <f t="array" ref="AW51">IF($AV$9=0,0,MMULT($AH51:$AM51, AV$3:AV$8)/$AV$9)</f>
        <v>0</v>
      </c>
      <c r="AX51" s="185">
        <f t="array" ref="AX51">IF($AW$9=0,0,MMULT($AH51:$AM51, AW$3:AW$8)/$AW$9)</f>
        <v>0</v>
      </c>
      <c r="AY51" s="185">
        <f t="shared" si="18"/>
        <v>0</v>
      </c>
      <c r="AZ51" s="185">
        <f t="array" ref="AZ51">IF($AY$9=0,0,MMULT($AH51:$AM51, AY$3:AY$8)/$AY$9)</f>
        <v>0</v>
      </c>
      <c r="BA51" s="185">
        <f t="array" ref="BA51">IF($AZ$9=0,0,MMULT($AH51:$AM51, AZ$3:AZ$8)/$AZ$9)</f>
        <v>0</v>
      </c>
      <c r="BB51" s="185">
        <f t="array" ref="BB51">IF($BA$9=0,0,MMULT($AH51:$AM51, BA$3:BA$8)/$BA$9)</f>
        <v>0</v>
      </c>
      <c r="BC51" s="185">
        <f t="array" ref="BC51">IF($BB$9=0,0,MMULT($AH51:$AM51, BB$3:BB$8)/$BB$9)</f>
        <v>0</v>
      </c>
      <c r="BD51" s="185">
        <f t="array" ref="BD51">IF($BC$9=0,0,MMULT($AH51:$AM51, BC$3:BC$8)/$BC$9)</f>
        <v>0</v>
      </c>
      <c r="BE51" s="185">
        <f t="shared" si="19"/>
        <v>0</v>
      </c>
      <c r="BF51" s="185">
        <f t="shared" si="20"/>
        <v>0</v>
      </c>
      <c r="BG51" s="181">
        <f>IF(OR(GradeSheet!$I46="W (Withdrawn)", GradeSheet!$I46="I (Incomplete)"), 0, IF(AU51&gt;=65%, 1, 0))</f>
        <v>0</v>
      </c>
      <c r="BH51" s="181">
        <f>IF(OR(GradeSheet!$I46="W (Withdrawn)", GradeSheet!$I46="I (Incomplete)"), 0, IF(AV51&gt;=65%, 1, 0))</f>
        <v>0</v>
      </c>
      <c r="BI51" s="181">
        <f>IF(OR(GradeSheet!$I46="W (Withdrawn)", GradeSheet!$I46="I (Incomplete)"), 0, IF(AW51&gt;=65%, 1, 0))</f>
        <v>0</v>
      </c>
      <c r="BJ51" s="181">
        <f>IF(OR(GradeSheet!$I46="W (Withdrawn)", GradeSheet!$I46="I (Incomplete)"), 0, IF(AX51&gt;=65%, 1, 0))</f>
        <v>0</v>
      </c>
      <c r="BK51" s="181">
        <f>IF(OR(GradeSheet!$I46="W (Withdrawn)", GradeSheet!$I46="I (Incomplete)"), 0, IF(AY51&gt;=65%, 1, 0))</f>
        <v>0</v>
      </c>
      <c r="BL51" s="181">
        <f>IF(OR(GradeSheet!$I46="W (Withdrawn)", GradeSheet!$I46="I (Incomplete)"), 0, IF(AZ51&gt;=65%, 1, 0))</f>
        <v>0</v>
      </c>
      <c r="BM51" s="181">
        <f>IF(OR(GradeSheet!$I46="W (Withdrawn)", GradeSheet!$I46="I (Incomplete)"), 0, IF(BA51&gt;=65%, 1, 0))</f>
        <v>0</v>
      </c>
      <c r="BN51" s="181">
        <f>IF(OR(GradeSheet!$I46="W (Withdrawn)", GradeSheet!$I46="I (Incomplete)"), 0, IF(BB51&gt;=65%, 1, 0))</f>
        <v>0</v>
      </c>
      <c r="BO51" s="181">
        <f>IF(OR(GradeSheet!$I46="W (Withdrawn)", GradeSheet!$I46="I (Incomplete)"), 0, IF(BC51&gt;=65%, 1, 0))</f>
        <v>0</v>
      </c>
      <c r="BP51" s="181">
        <f>IF(OR(GradeSheet!$I46="W (Withdrawn)", GradeSheet!$I46="I (Incomplete)"), 0, IF(BD51&gt;=65%, 1, 0))</f>
        <v>0</v>
      </c>
      <c r="BQ51" s="181">
        <f>IF(OR(GradeSheet!$I46="W (Withdrawn)", GradeSheet!$I46="I (Incomplete)"), 0, IF(BE51&gt;=65%, 1, 0))</f>
        <v>0</v>
      </c>
      <c r="BR51" s="181">
        <f>IF(OR(GradeSheet!$I46="W (Withdrawn)", GradeSheet!$I46="I (Incomplete)"), 0, IF(BF51&gt;=65%, 1, 0))</f>
        <v>0</v>
      </c>
    </row>
    <row r="52" ht="15.75" customHeight="1">
      <c r="A52" s="201"/>
      <c r="B52" s="69"/>
      <c r="C52" s="91"/>
      <c r="D52" s="168"/>
      <c r="E52" s="168"/>
      <c r="F52" s="170"/>
      <c r="G52" s="170"/>
      <c r="H52" s="170"/>
      <c r="I52" s="170"/>
      <c r="J52" s="168"/>
      <c r="K52" s="168"/>
      <c r="L52" s="168"/>
      <c r="M52" s="170"/>
      <c r="N52" s="170"/>
      <c r="O52" s="170"/>
      <c r="P52" s="171"/>
      <c r="Q52" s="172"/>
      <c r="R52" s="172"/>
      <c r="S52" s="172"/>
      <c r="T52" s="174"/>
      <c r="U52" s="175"/>
      <c r="V52" s="176"/>
      <c r="W52" s="174"/>
      <c r="X52" s="174"/>
      <c r="Y52" s="174"/>
      <c r="Z52" s="174"/>
      <c r="AA52" s="175"/>
      <c r="AB52" s="177">
        <f t="shared" ref="AB52:AE52" si="91">SUM(V52,D52,J52)</f>
        <v>0</v>
      </c>
      <c r="AC52" s="178">
        <f t="shared" si="91"/>
        <v>0</v>
      </c>
      <c r="AD52" s="206">
        <f t="shared" si="91"/>
        <v>0</v>
      </c>
      <c r="AE52" s="206">
        <f t="shared" si="91"/>
        <v>0</v>
      </c>
      <c r="AF52" s="178">
        <f t="shared" si="13"/>
        <v>0</v>
      </c>
      <c r="AG52" s="206">
        <f t="shared" si="14"/>
        <v>0</v>
      </c>
      <c r="AH52" s="179">
        <f t="shared" ref="AH52:AM52" si="92">IF(AB52 = 0, 0, AB52/AB$14)</f>
        <v>0</v>
      </c>
      <c r="AI52" s="179">
        <f t="shared" si="92"/>
        <v>0</v>
      </c>
      <c r="AJ52" s="179">
        <f t="shared" si="92"/>
        <v>0</v>
      </c>
      <c r="AK52" s="179">
        <f t="shared" si="92"/>
        <v>0</v>
      </c>
      <c r="AL52" s="179">
        <f t="shared" si="92"/>
        <v>0</v>
      </c>
      <c r="AM52" s="179">
        <f t="shared" si="92"/>
        <v>0</v>
      </c>
      <c r="AN52" s="181">
        <f>IF(OR(GradeSheet!$I47="W (Withdrawn)", GradeSheet!$I47="I (Incomplete)"), 0, IF(AH52&gt;=55%, 1, 0))</f>
        <v>0</v>
      </c>
      <c r="AO52" s="181">
        <f>IF(OR(GradeSheet!$I47="W (Withdrawn)", GradeSheet!$I47="I (Incomplete)"), 0, IF(AI52&gt;=55%, 1, 0))</f>
        <v>0</v>
      </c>
      <c r="AP52" s="181">
        <f>IF(OR(GradeSheet!$I47="W (Withdrawn)", GradeSheet!$I47="I (Incomplete)"), 0, IF(AJ52&gt;=55%, 1, 0))</f>
        <v>0</v>
      </c>
      <c r="AQ52" s="181">
        <f>IF(OR(GradeSheet!$I47="W (Withdrawn)", GradeSheet!$I47="I (Incomplete)"), 0, IF(AK52&gt;=55%, 1, 0))</f>
        <v>0</v>
      </c>
      <c r="AR52" s="181">
        <f>IF(OR(GradeSheet!$I47="W (Withdrawn)", GradeSheet!$I47="I (Incomplete)"), 0, IF(AL52&gt;=55%, 1, 0))</f>
        <v>0</v>
      </c>
      <c r="AS52" s="181">
        <f>IF(OR(GradeSheet!$I47="W (Withdrawn)", GradeSheet!$I47="I (Incomplete)"), 0, IF(AM52&gt;=55%, 1, 0))</f>
        <v>0</v>
      </c>
      <c r="AT52" s="135"/>
      <c r="AU52" s="185">
        <f t="shared" si="16"/>
        <v>0</v>
      </c>
      <c r="AV52" s="185">
        <f t="shared" si="17"/>
        <v>0</v>
      </c>
      <c r="AW52" s="185">
        <f t="array" ref="AW52">IF($AV$9=0,0,MMULT($AH52:$AM52, AV$3:AV$8)/$AV$9)</f>
        <v>0</v>
      </c>
      <c r="AX52" s="185">
        <f t="array" ref="AX52">IF($AW$9=0,0,MMULT($AH52:$AM52, AW$3:AW$8)/$AW$9)</f>
        <v>0</v>
      </c>
      <c r="AY52" s="185">
        <f t="shared" si="18"/>
        <v>0</v>
      </c>
      <c r="AZ52" s="185">
        <f t="array" ref="AZ52">IF($AY$9=0,0,MMULT($AH52:$AM52, AY$3:AY$8)/$AY$9)</f>
        <v>0</v>
      </c>
      <c r="BA52" s="185">
        <f t="array" ref="BA52">IF($AZ$9=0,0,MMULT($AH52:$AM52, AZ$3:AZ$8)/$AZ$9)</f>
        <v>0</v>
      </c>
      <c r="BB52" s="185">
        <f t="array" ref="BB52">IF($BA$9=0,0,MMULT($AH52:$AM52, BA$3:BA$8)/$BA$9)</f>
        <v>0</v>
      </c>
      <c r="BC52" s="185">
        <f t="array" ref="BC52">IF($BB$9=0,0,MMULT($AH52:$AM52, BB$3:BB$8)/$BB$9)</f>
        <v>0</v>
      </c>
      <c r="BD52" s="185">
        <f t="array" ref="BD52">IF($BC$9=0,0,MMULT($AH52:$AM52, BC$3:BC$8)/$BC$9)</f>
        <v>0</v>
      </c>
      <c r="BE52" s="185">
        <f t="shared" si="19"/>
        <v>0</v>
      </c>
      <c r="BF52" s="185">
        <f t="shared" si="20"/>
        <v>0</v>
      </c>
      <c r="BG52" s="181">
        <f>IF(OR(GradeSheet!$I47="W (Withdrawn)", GradeSheet!$I47="I (Incomplete)"), 0, IF(AU52&gt;=65%, 1, 0))</f>
        <v>0</v>
      </c>
      <c r="BH52" s="181">
        <f>IF(OR(GradeSheet!$I47="W (Withdrawn)", GradeSheet!$I47="I (Incomplete)"), 0, IF(AV52&gt;=65%, 1, 0))</f>
        <v>0</v>
      </c>
      <c r="BI52" s="181">
        <f>IF(OR(GradeSheet!$I47="W (Withdrawn)", GradeSheet!$I47="I (Incomplete)"), 0, IF(AW52&gt;=65%, 1, 0))</f>
        <v>0</v>
      </c>
      <c r="BJ52" s="181">
        <f>IF(OR(GradeSheet!$I47="W (Withdrawn)", GradeSheet!$I47="I (Incomplete)"), 0, IF(AX52&gt;=65%, 1, 0))</f>
        <v>0</v>
      </c>
      <c r="BK52" s="181">
        <f>IF(OR(GradeSheet!$I47="W (Withdrawn)", GradeSheet!$I47="I (Incomplete)"), 0, IF(AY52&gt;=65%, 1, 0))</f>
        <v>0</v>
      </c>
      <c r="BL52" s="181">
        <f>IF(OR(GradeSheet!$I47="W (Withdrawn)", GradeSheet!$I47="I (Incomplete)"), 0, IF(AZ52&gt;=65%, 1, 0))</f>
        <v>0</v>
      </c>
      <c r="BM52" s="181">
        <f>IF(OR(GradeSheet!$I47="W (Withdrawn)", GradeSheet!$I47="I (Incomplete)"), 0, IF(BA52&gt;=65%, 1, 0))</f>
        <v>0</v>
      </c>
      <c r="BN52" s="181">
        <f>IF(OR(GradeSheet!$I47="W (Withdrawn)", GradeSheet!$I47="I (Incomplete)"), 0, IF(BB52&gt;=65%, 1, 0))</f>
        <v>0</v>
      </c>
      <c r="BO52" s="181">
        <f>IF(OR(GradeSheet!$I47="W (Withdrawn)", GradeSheet!$I47="I (Incomplete)"), 0, IF(BC52&gt;=65%, 1, 0))</f>
        <v>0</v>
      </c>
      <c r="BP52" s="181">
        <f>IF(OR(GradeSheet!$I47="W (Withdrawn)", GradeSheet!$I47="I (Incomplete)"), 0, IF(BD52&gt;=65%, 1, 0))</f>
        <v>0</v>
      </c>
      <c r="BQ52" s="181">
        <f>IF(OR(GradeSheet!$I47="W (Withdrawn)", GradeSheet!$I47="I (Incomplete)"), 0, IF(BE52&gt;=65%, 1, 0))</f>
        <v>0</v>
      </c>
      <c r="BR52" s="181">
        <f>IF(OR(GradeSheet!$I47="W (Withdrawn)", GradeSheet!$I47="I (Incomplete)"), 0, IF(BF52&gt;=65%, 1, 0))</f>
        <v>0</v>
      </c>
    </row>
    <row r="53" ht="15.75" customHeight="1">
      <c r="A53" s="165"/>
      <c r="B53" s="69"/>
      <c r="C53" s="91"/>
      <c r="D53" s="168"/>
      <c r="E53" s="168"/>
      <c r="F53" s="170"/>
      <c r="G53" s="170"/>
      <c r="H53" s="170"/>
      <c r="I53" s="170"/>
      <c r="J53" s="168"/>
      <c r="K53" s="168"/>
      <c r="L53" s="168"/>
      <c r="M53" s="170"/>
      <c r="N53" s="170"/>
      <c r="O53" s="170"/>
      <c r="P53" s="171"/>
      <c r="Q53" s="172"/>
      <c r="R53" s="172"/>
      <c r="S53" s="172"/>
      <c r="T53" s="174"/>
      <c r="U53" s="175"/>
      <c r="V53" s="176"/>
      <c r="W53" s="174"/>
      <c r="X53" s="174"/>
      <c r="Y53" s="174"/>
      <c r="Z53" s="174"/>
      <c r="AA53" s="175"/>
      <c r="AB53" s="177">
        <f t="shared" ref="AB53:AE53" si="93">SUM(V53,D53,J53)</f>
        <v>0</v>
      </c>
      <c r="AC53" s="178">
        <f t="shared" si="93"/>
        <v>0</v>
      </c>
      <c r="AD53" s="206">
        <f t="shared" si="93"/>
        <v>0</v>
      </c>
      <c r="AE53" s="206">
        <f t="shared" si="93"/>
        <v>0</v>
      </c>
      <c r="AF53" s="178">
        <f t="shared" si="13"/>
        <v>0</v>
      </c>
      <c r="AG53" s="206">
        <f t="shared" si="14"/>
        <v>0</v>
      </c>
      <c r="AH53" s="179">
        <f t="shared" ref="AH53:AM53" si="94">IF(AB53 = 0, 0, AB53/AB$14)</f>
        <v>0</v>
      </c>
      <c r="AI53" s="179">
        <f t="shared" si="94"/>
        <v>0</v>
      </c>
      <c r="AJ53" s="179">
        <f t="shared" si="94"/>
        <v>0</v>
      </c>
      <c r="AK53" s="179">
        <f t="shared" si="94"/>
        <v>0</v>
      </c>
      <c r="AL53" s="179">
        <f t="shared" si="94"/>
        <v>0</v>
      </c>
      <c r="AM53" s="179">
        <f t="shared" si="94"/>
        <v>0</v>
      </c>
      <c r="AN53" s="181">
        <f>IF(OR(GradeSheet!$I48="W (Withdrawn)", GradeSheet!$I48="I (Incomplete)"), 0, IF(AH53&gt;=55%, 1, 0))</f>
        <v>0</v>
      </c>
      <c r="AO53" s="181">
        <f>IF(OR(GradeSheet!$I48="W (Withdrawn)", GradeSheet!$I48="I (Incomplete)"), 0, IF(AI53&gt;=55%, 1, 0))</f>
        <v>0</v>
      </c>
      <c r="AP53" s="181">
        <f>IF(OR(GradeSheet!$I48="W (Withdrawn)", GradeSheet!$I48="I (Incomplete)"), 0, IF(AJ53&gt;=55%, 1, 0))</f>
        <v>0</v>
      </c>
      <c r="AQ53" s="181">
        <f>IF(OR(GradeSheet!$I48="W (Withdrawn)", GradeSheet!$I48="I (Incomplete)"), 0, IF(AK53&gt;=55%, 1, 0))</f>
        <v>0</v>
      </c>
      <c r="AR53" s="181">
        <f>IF(OR(GradeSheet!$I48="W (Withdrawn)", GradeSheet!$I48="I (Incomplete)"), 0, IF(AL53&gt;=55%, 1, 0))</f>
        <v>0</v>
      </c>
      <c r="AS53" s="181">
        <f>IF(OR(GradeSheet!$I48="W (Withdrawn)", GradeSheet!$I48="I (Incomplete)"), 0, IF(AM53&gt;=55%, 1, 0))</f>
        <v>0</v>
      </c>
      <c r="AT53" s="135"/>
      <c r="AU53" s="185">
        <f t="shared" si="16"/>
        <v>0</v>
      </c>
      <c r="AV53" s="185">
        <f t="shared" si="17"/>
        <v>0</v>
      </c>
      <c r="AW53" s="185">
        <f t="array" ref="AW53">IF($AV$9=0,0,MMULT($AH53:$AM53, AV$3:AV$8)/$AV$9)</f>
        <v>0</v>
      </c>
      <c r="AX53" s="185">
        <f t="array" ref="AX53">IF($AW$9=0,0,MMULT($AH53:$AM53, AW$3:AW$8)/$AW$9)</f>
        <v>0</v>
      </c>
      <c r="AY53" s="185">
        <f t="shared" si="18"/>
        <v>0</v>
      </c>
      <c r="AZ53" s="185">
        <f t="array" ref="AZ53">IF($AY$9=0,0,MMULT($AH53:$AM53, AY$3:AY$8)/$AY$9)</f>
        <v>0</v>
      </c>
      <c r="BA53" s="185">
        <f t="array" ref="BA53">IF($AZ$9=0,0,MMULT($AH53:$AM53, AZ$3:AZ$8)/$AZ$9)</f>
        <v>0</v>
      </c>
      <c r="BB53" s="185">
        <f t="array" ref="BB53">IF($BA$9=0,0,MMULT($AH53:$AM53, BA$3:BA$8)/$BA$9)</f>
        <v>0</v>
      </c>
      <c r="BC53" s="185">
        <f t="array" ref="BC53">IF($BB$9=0,0,MMULT($AH53:$AM53, BB$3:BB$8)/$BB$9)</f>
        <v>0</v>
      </c>
      <c r="BD53" s="185">
        <f t="array" ref="BD53">IF($BC$9=0,0,MMULT($AH53:$AM53, BC$3:BC$8)/$BC$9)</f>
        <v>0</v>
      </c>
      <c r="BE53" s="185">
        <f t="shared" si="19"/>
        <v>0</v>
      </c>
      <c r="BF53" s="185">
        <f t="shared" si="20"/>
        <v>0</v>
      </c>
      <c r="BG53" s="181">
        <f>IF(OR(GradeSheet!$I48="W (Withdrawn)", GradeSheet!$I48="I (Incomplete)"), 0, IF(AU53&gt;=65%, 1, 0))</f>
        <v>0</v>
      </c>
      <c r="BH53" s="181">
        <f>IF(OR(GradeSheet!$I48="W (Withdrawn)", GradeSheet!$I48="I (Incomplete)"), 0, IF(AV53&gt;=65%, 1, 0))</f>
        <v>0</v>
      </c>
      <c r="BI53" s="181">
        <f>IF(OR(GradeSheet!$I48="W (Withdrawn)", GradeSheet!$I48="I (Incomplete)"), 0, IF(AW53&gt;=65%, 1, 0))</f>
        <v>0</v>
      </c>
      <c r="BJ53" s="181">
        <f>IF(OR(GradeSheet!$I48="W (Withdrawn)", GradeSheet!$I48="I (Incomplete)"), 0, IF(AX53&gt;=65%, 1, 0))</f>
        <v>0</v>
      </c>
      <c r="BK53" s="181">
        <f>IF(OR(GradeSheet!$I48="W (Withdrawn)", GradeSheet!$I48="I (Incomplete)"), 0, IF(AY53&gt;=65%, 1, 0))</f>
        <v>0</v>
      </c>
      <c r="BL53" s="181">
        <f>IF(OR(GradeSheet!$I48="W (Withdrawn)", GradeSheet!$I48="I (Incomplete)"), 0, IF(AZ53&gt;=65%, 1, 0))</f>
        <v>0</v>
      </c>
      <c r="BM53" s="181">
        <f>IF(OR(GradeSheet!$I48="W (Withdrawn)", GradeSheet!$I48="I (Incomplete)"), 0, IF(BA53&gt;=65%, 1, 0))</f>
        <v>0</v>
      </c>
      <c r="BN53" s="181">
        <f>IF(OR(GradeSheet!$I48="W (Withdrawn)", GradeSheet!$I48="I (Incomplete)"), 0, IF(BB53&gt;=65%, 1, 0))</f>
        <v>0</v>
      </c>
      <c r="BO53" s="181">
        <f>IF(OR(GradeSheet!$I48="W (Withdrawn)", GradeSheet!$I48="I (Incomplete)"), 0, IF(BC53&gt;=65%, 1, 0))</f>
        <v>0</v>
      </c>
      <c r="BP53" s="181">
        <f>IF(OR(GradeSheet!$I48="W (Withdrawn)", GradeSheet!$I48="I (Incomplete)"), 0, IF(BD53&gt;=65%, 1, 0))</f>
        <v>0</v>
      </c>
      <c r="BQ53" s="181">
        <f>IF(OR(GradeSheet!$I48="W (Withdrawn)", GradeSheet!$I48="I (Incomplete)"), 0, IF(BE53&gt;=65%, 1, 0))</f>
        <v>0</v>
      </c>
      <c r="BR53" s="181">
        <f>IF(OR(GradeSheet!$I48="W (Withdrawn)", GradeSheet!$I48="I (Incomplete)"), 0, IF(BF53&gt;=65%, 1, 0))</f>
        <v>0</v>
      </c>
    </row>
    <row r="54" ht="15.75" customHeight="1">
      <c r="A54" s="201"/>
      <c r="B54" s="69"/>
      <c r="C54" s="91"/>
      <c r="D54" s="168"/>
      <c r="E54" s="168"/>
      <c r="F54" s="170"/>
      <c r="G54" s="170"/>
      <c r="H54" s="170"/>
      <c r="I54" s="170"/>
      <c r="J54" s="168"/>
      <c r="K54" s="168"/>
      <c r="L54" s="168"/>
      <c r="M54" s="170"/>
      <c r="N54" s="170"/>
      <c r="O54" s="170"/>
      <c r="P54" s="171"/>
      <c r="Q54" s="172"/>
      <c r="R54" s="172"/>
      <c r="S54" s="172"/>
      <c r="T54" s="174"/>
      <c r="U54" s="175"/>
      <c r="V54" s="176"/>
      <c r="W54" s="174"/>
      <c r="X54" s="174"/>
      <c r="Y54" s="174"/>
      <c r="Z54" s="174"/>
      <c r="AA54" s="175"/>
      <c r="AB54" s="177">
        <f t="shared" ref="AB54:AE54" si="95">SUM(V54,D54,J54)</f>
        <v>0</v>
      </c>
      <c r="AC54" s="178">
        <f t="shared" si="95"/>
        <v>0</v>
      </c>
      <c r="AD54" s="206">
        <f t="shared" si="95"/>
        <v>0</v>
      </c>
      <c r="AE54" s="206">
        <f t="shared" si="95"/>
        <v>0</v>
      </c>
      <c r="AF54" s="178">
        <f t="shared" si="13"/>
        <v>0</v>
      </c>
      <c r="AG54" s="206">
        <f t="shared" si="14"/>
        <v>0</v>
      </c>
      <c r="AH54" s="179">
        <f t="shared" ref="AH54:AM54" si="96">IF(AB54 = 0, 0, AB54/AB$14)</f>
        <v>0</v>
      </c>
      <c r="AI54" s="179">
        <f t="shared" si="96"/>
        <v>0</v>
      </c>
      <c r="AJ54" s="179">
        <f t="shared" si="96"/>
        <v>0</v>
      </c>
      <c r="AK54" s="179">
        <f t="shared" si="96"/>
        <v>0</v>
      </c>
      <c r="AL54" s="179">
        <f t="shared" si="96"/>
        <v>0</v>
      </c>
      <c r="AM54" s="179">
        <f t="shared" si="96"/>
        <v>0</v>
      </c>
      <c r="AN54" s="181">
        <f>IF(OR(GradeSheet!$I49="W (Withdrawn)", GradeSheet!$I49="I (Incomplete)"), 0, IF(AH54&gt;=55%, 1, 0))</f>
        <v>0</v>
      </c>
      <c r="AO54" s="128">
        <f>IF(OR(GradeSheet!$I49="W (Withdrawn)", GradeSheet!$I49="I (Incomplete)"), 0, IF(AI54&gt;=55%, 1, 0))</f>
        <v>0</v>
      </c>
      <c r="AP54" s="128">
        <f>IF(OR(GradeSheet!$I49="W (Withdrawn)", GradeSheet!$I49="I (Incomplete)"), 0, IF(AJ54&gt;=55%, 1, 0))</f>
        <v>0</v>
      </c>
      <c r="AQ54" s="128">
        <f>IF(OR(GradeSheet!$I49="W (Withdrawn)", GradeSheet!$I49="I (Incomplete)"), 0, IF(AK54&gt;=55%, 1, 0))</f>
        <v>0</v>
      </c>
      <c r="AR54" s="128">
        <f>IF(OR(GradeSheet!$I49="W (Withdrawn)", GradeSheet!$I49="I (Incomplete)"), 0, IF(AL54&gt;=55%, 1, 0))</f>
        <v>0</v>
      </c>
      <c r="AS54" s="128">
        <f>IF(OR(GradeSheet!$I49="W (Withdrawn)", GradeSheet!$I49="I (Incomplete)"), 0, IF(AM54&gt;=55%, 1, 0))</f>
        <v>0</v>
      </c>
      <c r="AT54" s="135"/>
      <c r="AU54" s="185">
        <f t="shared" si="16"/>
        <v>0</v>
      </c>
      <c r="AV54" s="185">
        <f t="shared" si="17"/>
        <v>0</v>
      </c>
      <c r="AW54" s="185">
        <f t="array" ref="AW54">IF($AV$9=0,0,MMULT($AH54:$AM54, AV$3:AV$8)/$AV$9)</f>
        <v>0</v>
      </c>
      <c r="AX54" s="185">
        <f t="array" ref="AX54">IF($AW$9=0,0,MMULT($AH54:$AM54, AW$3:AW$8)/$AW$9)</f>
        <v>0</v>
      </c>
      <c r="AY54" s="185">
        <f t="shared" si="18"/>
        <v>0</v>
      </c>
      <c r="AZ54" s="185">
        <f t="array" ref="AZ54">IF($AY$9=0,0,MMULT($AH54:$AM54, AY$3:AY$8)/$AY$9)</f>
        <v>0</v>
      </c>
      <c r="BA54" s="185">
        <f t="array" ref="BA54">IF($AZ$9=0,0,MMULT($AH54:$AM54, AZ$3:AZ$8)/$AZ$9)</f>
        <v>0</v>
      </c>
      <c r="BB54" s="185">
        <f t="array" ref="BB54">IF($BA$9=0,0,MMULT($AH54:$AM54, BA$3:BA$8)/$BA$9)</f>
        <v>0</v>
      </c>
      <c r="BC54" s="185">
        <f t="array" ref="BC54">IF($BB$9=0,0,MMULT($AH54:$AM54, BB$3:BB$8)/$BB$9)</f>
        <v>0</v>
      </c>
      <c r="BD54" s="185">
        <f t="array" ref="BD54">IF($BC$9=0,0,MMULT($AH54:$AM54, BC$3:BC$8)/$BC$9)</f>
        <v>0</v>
      </c>
      <c r="BE54" s="185">
        <f t="shared" si="19"/>
        <v>0</v>
      </c>
      <c r="BF54" s="185">
        <f t="shared" si="20"/>
        <v>0</v>
      </c>
      <c r="BG54" s="128">
        <f>IF(OR(GradeSheet!$I49="W (Withdrawn)", GradeSheet!$I49="I (Incomplete)"), 0, IF(AU54&gt;=65%, 1, 0))</f>
        <v>0</v>
      </c>
      <c r="BH54" s="128">
        <f>IF(OR(GradeSheet!$I49="W (Withdrawn)", GradeSheet!$I49="I (Incomplete)"), 0, IF(AV54&gt;=65%, 1, 0))</f>
        <v>0</v>
      </c>
      <c r="BI54" s="128">
        <f>IF(OR(GradeSheet!$I49="W (Withdrawn)", GradeSheet!$I49="I (Incomplete)"), 0, IF(AW54&gt;=65%, 1, 0))</f>
        <v>0</v>
      </c>
      <c r="BJ54" s="128">
        <f>IF(OR(GradeSheet!$I49="W (Withdrawn)", GradeSheet!$I49="I (Incomplete)"), 0, IF(AX54&gt;=65%, 1, 0))</f>
        <v>0</v>
      </c>
      <c r="BK54" s="128">
        <f>IF(OR(GradeSheet!$I49="W (Withdrawn)", GradeSheet!$I49="I (Incomplete)"), 0, IF(AY54&gt;=65%, 1, 0))</f>
        <v>0</v>
      </c>
      <c r="BL54" s="128">
        <f>IF(OR(GradeSheet!$I49="W (Withdrawn)", GradeSheet!$I49="I (Incomplete)"), 0, IF(AZ54&gt;=65%, 1, 0))</f>
        <v>0</v>
      </c>
      <c r="BM54" s="128">
        <f>IF(OR(GradeSheet!$I49="W (Withdrawn)", GradeSheet!$I49="I (Incomplete)"), 0, IF(BA54&gt;=65%, 1, 0))</f>
        <v>0</v>
      </c>
      <c r="BN54" s="128">
        <f>IF(OR(GradeSheet!$I49="W (Withdrawn)", GradeSheet!$I49="I (Incomplete)"), 0, IF(BB54&gt;=65%, 1, 0))</f>
        <v>0</v>
      </c>
      <c r="BO54" s="128">
        <f>IF(OR(GradeSheet!$I49="W (Withdrawn)", GradeSheet!$I49="I (Incomplete)"), 0, IF(BC54&gt;=65%, 1, 0))</f>
        <v>0</v>
      </c>
      <c r="BP54" s="128">
        <f>IF(OR(GradeSheet!$I49="W (Withdrawn)", GradeSheet!$I49="I (Incomplete)"), 0, IF(BD54&gt;=65%, 1, 0))</f>
        <v>0</v>
      </c>
      <c r="BQ54" s="128">
        <f>IF(OR(GradeSheet!$I49="W (Withdrawn)", GradeSheet!$I49="I (Incomplete)"), 0, IF(BE54&gt;=65%, 1, 0))</f>
        <v>0</v>
      </c>
      <c r="BR54" s="128">
        <f>IF(OR(GradeSheet!$I49="W (Withdrawn)", GradeSheet!$I49="I (Incomplete)"), 0, IF(BF54&gt;=65%, 1, 0))</f>
        <v>0</v>
      </c>
    </row>
    <row r="55" ht="15.75" customHeight="1">
      <c r="A55" s="201"/>
      <c r="B55" s="69"/>
      <c r="C55" s="91"/>
      <c r="D55" s="168"/>
      <c r="E55" s="168"/>
      <c r="F55" s="170"/>
      <c r="G55" s="170"/>
      <c r="H55" s="170"/>
      <c r="I55" s="170"/>
      <c r="J55" s="168"/>
      <c r="K55" s="168"/>
      <c r="L55" s="168"/>
      <c r="M55" s="170"/>
      <c r="N55" s="170"/>
      <c r="O55" s="170"/>
      <c r="P55" s="171"/>
      <c r="Q55" s="172"/>
      <c r="R55" s="172"/>
      <c r="S55" s="172"/>
      <c r="T55" s="174"/>
      <c r="U55" s="175"/>
      <c r="V55" s="176"/>
      <c r="W55" s="174"/>
      <c r="X55" s="174"/>
      <c r="Y55" s="174"/>
      <c r="Z55" s="174"/>
      <c r="AA55" s="175"/>
      <c r="AB55" s="177">
        <f t="shared" ref="AB55:AE55" si="97">SUM(V55,D55,J55)</f>
        <v>0</v>
      </c>
      <c r="AC55" s="178">
        <f t="shared" si="97"/>
        <v>0</v>
      </c>
      <c r="AD55" s="206">
        <f t="shared" si="97"/>
        <v>0</v>
      </c>
      <c r="AE55" s="206">
        <f t="shared" si="97"/>
        <v>0</v>
      </c>
      <c r="AF55" s="178">
        <f t="shared" si="13"/>
        <v>0</v>
      </c>
      <c r="AG55" s="206">
        <f t="shared" si="14"/>
        <v>0</v>
      </c>
      <c r="AH55" s="179">
        <f t="shared" ref="AH55:AM55" si="98">IF(AB55 = 0, 0, AB55/AB$14)</f>
        <v>0</v>
      </c>
      <c r="AI55" s="179">
        <f t="shared" si="98"/>
        <v>0</v>
      </c>
      <c r="AJ55" s="179">
        <f t="shared" si="98"/>
        <v>0</v>
      </c>
      <c r="AK55" s="179">
        <f t="shared" si="98"/>
        <v>0</v>
      </c>
      <c r="AL55" s="179">
        <f t="shared" si="98"/>
        <v>0</v>
      </c>
      <c r="AM55" s="179">
        <f t="shared" si="98"/>
        <v>0</v>
      </c>
      <c r="AN55" s="181">
        <f>IF(OR(GradeSheet!$I50="W (Withdrawn)", GradeSheet!$I50="I (Incomplete)"), 0, IF(AH55&gt;=55%, 1, 0))</f>
        <v>0</v>
      </c>
      <c r="AO55" s="128">
        <f>IF(OR(GradeSheet!$I50="W (Withdrawn)", GradeSheet!$I50="I (Incomplete)"), 0, IF(AI55&gt;=55%, 1, 0))</f>
        <v>0</v>
      </c>
      <c r="AP55" s="128">
        <f>IF(OR(GradeSheet!$I50="W (Withdrawn)", GradeSheet!$I50="I (Incomplete)"), 0, IF(AJ55&gt;=55%, 1, 0))</f>
        <v>0</v>
      </c>
      <c r="AQ55" s="128">
        <f>IF(OR(GradeSheet!$I50="W (Withdrawn)", GradeSheet!$I50="I (Incomplete)"), 0, IF(AK55&gt;=55%, 1, 0))</f>
        <v>0</v>
      </c>
      <c r="AR55" s="128">
        <f>IF(OR(GradeSheet!$I50="W (Withdrawn)", GradeSheet!$I50="I (Incomplete)"), 0, IF(AL55&gt;=55%, 1, 0))</f>
        <v>0</v>
      </c>
      <c r="AS55" s="128">
        <f>IF(OR(GradeSheet!$I50="W (Withdrawn)", GradeSheet!$I50="I (Incomplete)"), 0, IF(AM55&gt;=55%, 1, 0))</f>
        <v>0</v>
      </c>
      <c r="AT55" s="135"/>
      <c r="AU55" s="185">
        <f t="shared" si="16"/>
        <v>0</v>
      </c>
      <c r="AV55" s="185">
        <f t="shared" si="17"/>
        <v>0</v>
      </c>
      <c r="AW55" s="185">
        <f t="array" ref="AW55">IF($AV$9=0,0,MMULT($AH55:$AM55, AV$3:AV$8)/$AV$9)</f>
        <v>0</v>
      </c>
      <c r="AX55" s="185">
        <f t="array" ref="AX55">IF($AW$9=0,0,MMULT($AH55:$AM55, AW$3:AW$8)/$AW$9)</f>
        <v>0</v>
      </c>
      <c r="AY55" s="185">
        <f t="shared" si="18"/>
        <v>0</v>
      </c>
      <c r="AZ55" s="185">
        <f t="array" ref="AZ55">IF($AY$9=0,0,MMULT($AH55:$AM55, AY$3:AY$8)/$AY$9)</f>
        <v>0</v>
      </c>
      <c r="BA55" s="185">
        <f t="array" ref="BA55">IF($AZ$9=0,0,MMULT($AH55:$AM55, AZ$3:AZ$8)/$AZ$9)</f>
        <v>0</v>
      </c>
      <c r="BB55" s="185">
        <f t="array" ref="BB55">IF($BA$9=0,0,MMULT($AH55:$AM55, BA$3:BA$8)/$BA$9)</f>
        <v>0</v>
      </c>
      <c r="BC55" s="185">
        <f t="array" ref="BC55">IF($BB$9=0,0,MMULT($AH55:$AM55, BB$3:BB$8)/$BB$9)</f>
        <v>0</v>
      </c>
      <c r="BD55" s="185">
        <f t="array" ref="BD55">IF($BC$9=0,0,MMULT($AH55:$AM55, BC$3:BC$8)/$BC$9)</f>
        <v>0</v>
      </c>
      <c r="BE55" s="185">
        <f t="shared" si="19"/>
        <v>0</v>
      </c>
      <c r="BF55" s="185">
        <f t="shared" si="20"/>
        <v>0</v>
      </c>
      <c r="BG55" s="128">
        <f>IF(OR(GradeSheet!$I50="W (Withdrawn)", GradeSheet!$I50="I (Incomplete)"), 0, IF(AU55&gt;=65%, 1, 0))</f>
        <v>0</v>
      </c>
      <c r="BH55" s="128">
        <f>IF(OR(GradeSheet!$I50="W (Withdrawn)", GradeSheet!$I50="I (Incomplete)"), 0, IF(AV55&gt;=65%, 1, 0))</f>
        <v>0</v>
      </c>
      <c r="BI55" s="128">
        <f>IF(OR(GradeSheet!$I50="W (Withdrawn)", GradeSheet!$I50="I (Incomplete)"), 0, IF(AW55&gt;=65%, 1, 0))</f>
        <v>0</v>
      </c>
      <c r="BJ55" s="128">
        <f>IF(OR(GradeSheet!$I50="W (Withdrawn)", GradeSheet!$I50="I (Incomplete)"), 0, IF(AX55&gt;=65%, 1, 0))</f>
        <v>0</v>
      </c>
      <c r="BK55" s="128">
        <f>IF(OR(GradeSheet!$I50="W (Withdrawn)", GradeSheet!$I50="I (Incomplete)"), 0, IF(AY55&gt;=65%, 1, 0))</f>
        <v>0</v>
      </c>
      <c r="BL55" s="128">
        <f>IF(OR(GradeSheet!$I50="W (Withdrawn)", GradeSheet!$I50="I (Incomplete)"), 0, IF(AZ55&gt;=65%, 1, 0))</f>
        <v>0</v>
      </c>
      <c r="BM55" s="128">
        <f>IF(OR(GradeSheet!$I50="W (Withdrawn)", GradeSheet!$I50="I (Incomplete)"), 0, IF(BA55&gt;=65%, 1, 0))</f>
        <v>0</v>
      </c>
      <c r="BN55" s="128">
        <f>IF(OR(GradeSheet!$I50="W (Withdrawn)", GradeSheet!$I50="I (Incomplete)"), 0, IF(BB55&gt;=65%, 1, 0))</f>
        <v>0</v>
      </c>
      <c r="BO55" s="128">
        <f>IF(OR(GradeSheet!$I50="W (Withdrawn)", GradeSheet!$I50="I (Incomplete)"), 0, IF(BC55&gt;=65%, 1, 0))</f>
        <v>0</v>
      </c>
      <c r="BP55" s="128">
        <f>IF(OR(GradeSheet!$I50="W (Withdrawn)", GradeSheet!$I50="I (Incomplete)"), 0, IF(BD55&gt;=65%, 1, 0))</f>
        <v>0</v>
      </c>
      <c r="BQ55" s="128">
        <f>IF(OR(GradeSheet!$I50="W (Withdrawn)", GradeSheet!$I50="I (Incomplete)"), 0, IF(BE55&gt;=65%, 1, 0))</f>
        <v>0</v>
      </c>
      <c r="BR55" s="128">
        <f>IF(OR(GradeSheet!$I50="W (Withdrawn)", GradeSheet!$I50="I (Incomplete)"), 0, IF(BF55&gt;=65%, 1, 0))</f>
        <v>0</v>
      </c>
    </row>
    <row r="56" ht="15.75" customHeight="1">
      <c r="A56" s="275"/>
      <c r="B56" s="69"/>
      <c r="C56" s="91"/>
      <c r="D56" s="276"/>
      <c r="E56" s="168"/>
      <c r="F56" s="277"/>
      <c r="G56" s="278"/>
      <c r="H56" s="278"/>
      <c r="I56" s="278"/>
      <c r="J56" s="168"/>
      <c r="K56" s="168"/>
      <c r="L56" s="168"/>
      <c r="M56" s="278"/>
      <c r="N56" s="278"/>
      <c r="O56" s="279"/>
      <c r="P56" s="280"/>
      <c r="Q56" s="280"/>
      <c r="R56" s="280"/>
      <c r="S56" s="280"/>
      <c r="T56" s="278"/>
      <c r="U56" s="279"/>
      <c r="V56" s="278"/>
      <c r="W56" s="278"/>
      <c r="X56" s="278"/>
      <c r="Y56" s="278"/>
      <c r="Z56" s="278"/>
      <c r="AA56" s="279"/>
      <c r="AB56" s="177">
        <f t="shared" ref="AB56:AE56" si="99">SUM(V56,D56,J56)</f>
        <v>0</v>
      </c>
      <c r="AC56" s="178">
        <f t="shared" si="99"/>
        <v>0</v>
      </c>
      <c r="AD56" s="281">
        <f t="shared" si="99"/>
        <v>0</v>
      </c>
      <c r="AE56" s="281">
        <f t="shared" si="99"/>
        <v>0</v>
      </c>
      <c r="AF56" s="281">
        <f t="shared" si="13"/>
        <v>0</v>
      </c>
      <c r="AG56" s="281">
        <f t="shared" si="14"/>
        <v>0</v>
      </c>
      <c r="AH56" s="179">
        <f t="shared" ref="AH56:AM56" si="100">IF(AB56 = 0, 0, AB56/AB$14)</f>
        <v>0</v>
      </c>
      <c r="AI56" s="282">
        <f t="shared" si="100"/>
        <v>0</v>
      </c>
      <c r="AJ56" s="282">
        <f t="shared" si="100"/>
        <v>0</v>
      </c>
      <c r="AK56" s="282">
        <f t="shared" si="100"/>
        <v>0</v>
      </c>
      <c r="AL56" s="282">
        <f t="shared" si="100"/>
        <v>0</v>
      </c>
      <c r="AM56" s="282">
        <f t="shared" si="100"/>
        <v>0</v>
      </c>
      <c r="AN56" s="181">
        <f>IF(OR(GradeSheet!$I51="W (Withdrawn)", GradeSheet!$I51="I (Incomplete)"), 0, IF(AH56&gt;=55%, 1, 0))</f>
        <v>0</v>
      </c>
      <c r="AO56" s="283">
        <f>IF(OR(GradeSheet!$I51="W (Withdrawn)", GradeSheet!$I51="I (Incomplete)"), 0, IF(AI56&gt;=55%, 1, 0))</f>
        <v>0</v>
      </c>
      <c r="AP56" s="283">
        <f>IF(OR(GradeSheet!$I51="W (Withdrawn)", GradeSheet!$I51="I (Incomplete)"), 0, IF(AJ56&gt;=55%, 1, 0))</f>
        <v>0</v>
      </c>
      <c r="AQ56" s="283">
        <f>IF(OR(GradeSheet!$I51="W (Withdrawn)", GradeSheet!$I51="I (Incomplete)"), 0, IF(AK56&gt;=55%, 1, 0))</f>
        <v>0</v>
      </c>
      <c r="AR56" s="283">
        <f>IF(OR(GradeSheet!$I51="W (Withdrawn)", GradeSheet!$I51="I (Incomplete)"), 0, IF(AL56&gt;=55%, 1, 0))</f>
        <v>0</v>
      </c>
      <c r="AS56" s="284">
        <f>IF(OR(GradeSheet!$I51="W (Withdrawn)", GradeSheet!$I51="I (Incomplete)"), 0, IF(AM56&gt;=55%, 1, 0))</f>
        <v>0</v>
      </c>
      <c r="AT56" s="285"/>
      <c r="AU56" s="286">
        <f t="array" ref="AU56">IF($AT$9=0,0,MMULT($AH56:$AM56, AT$3:AT$8)/$AT$9)</f>
        <v>0</v>
      </c>
      <c r="AV56" s="286">
        <f t="array" ref="AV56">IF($AU$9=0,0,MMULT($AH56:$AM56, AU$3:AU$8)/$AU$9)</f>
        <v>0</v>
      </c>
      <c r="AW56" s="286">
        <f t="array" ref="AW56">IF($AV$9=0,0,MMULT($AH56:$AM56, AV$3:AV$8)/$AV$9)</f>
        <v>0</v>
      </c>
      <c r="AX56" s="286">
        <f t="array" ref="AX56">IF($AW$9=0,0,MMULT($AH56:$AM56, AW$3:AW$8)/$AW$9)</f>
        <v>0</v>
      </c>
      <c r="AY56" s="286">
        <f t="array" ref="AY56">IF($AX$9=0,0,MMULT($AH56:$AM56, AX$3:AX$8)/$AX$9)</f>
        <v>0</v>
      </c>
      <c r="AZ56" s="286">
        <f t="array" ref="AZ56">IF($AY$9=0,0,MMULT($AH56:$AM56, AY$3:AY$8)/$AY$9)</f>
        <v>0</v>
      </c>
      <c r="BA56" s="286">
        <f t="array" ref="BA56">IF($AZ$9=0,0,MMULT($AH56:$AM56, AZ$3:AZ$8)/$AZ$9)</f>
        <v>0</v>
      </c>
      <c r="BB56" s="286">
        <f t="array" ref="BB56">IF($BA$9=0,0,MMULT($AH56:$AM56, BA$3:BA$8)/$BA$9)</f>
        <v>0</v>
      </c>
      <c r="BC56" s="286">
        <f t="array" ref="BC56">IF($BB$9=0,0,MMULT($AH56:$AM56, BB$3:BB$8)/$BB$9)</f>
        <v>0</v>
      </c>
      <c r="BD56" s="286">
        <f t="array" ref="BD56">IF($BC$9=0,0,MMULT($AH56:$AM56, BC$3:BC$8)/$BC$9)</f>
        <v>0</v>
      </c>
      <c r="BE56" s="286">
        <f t="array" ref="BE56">IF($BD$9=0,0,MMULT($AH56:$AM56, BD$3:BD$8)/$BD$9)</f>
        <v>0</v>
      </c>
      <c r="BF56" s="286">
        <f t="array" ref="BF56">IF($BE$9=0,0,MMULT($AH56:$AM56, BE$3:BE$8)/$BE$9)</f>
        <v>0</v>
      </c>
      <c r="BG56" s="283">
        <f>IF(OR(GradeSheet!$I51="W (Withdrawn)", GradeSheet!$I51="I (Incomplete)"), 0, IF(AU56&gt;=65%, 1, 0))</f>
        <v>0</v>
      </c>
      <c r="BH56" s="283">
        <f>IF(OR(GradeSheet!$I51="W (Withdrawn)", GradeSheet!$I51="I (Incomplete)"), 0, IF(AV56&gt;=65%, 1, 0))</f>
        <v>0</v>
      </c>
      <c r="BI56" s="283">
        <f>IF(OR(GradeSheet!$I51="W (Withdrawn)", GradeSheet!$I51="I (Incomplete)"), 0, IF(AW56&gt;=65%, 1, 0))</f>
        <v>0</v>
      </c>
      <c r="BJ56" s="283">
        <f>IF(OR(GradeSheet!$I51="W (Withdrawn)", GradeSheet!$I51="I (Incomplete)"), 0, IF(AX56&gt;=65%, 1, 0))</f>
        <v>0</v>
      </c>
      <c r="BK56" s="283">
        <f>IF(OR(GradeSheet!$I51="W (Withdrawn)", GradeSheet!$I51="I (Incomplete)"), 0, IF(AY56&gt;=65%, 1, 0))</f>
        <v>0</v>
      </c>
      <c r="BL56" s="283">
        <f>IF(OR(GradeSheet!$I51="W (Withdrawn)", GradeSheet!$I51="I (Incomplete)"), 0, IF(AZ56&gt;=65%, 1, 0))</f>
        <v>0</v>
      </c>
      <c r="BM56" s="283">
        <f>IF(OR(GradeSheet!$I51="W (Withdrawn)", GradeSheet!$I51="I (Incomplete)"), 0, IF(BA56&gt;=65%, 1, 0))</f>
        <v>0</v>
      </c>
      <c r="BN56" s="283">
        <f>IF(OR(GradeSheet!$I51="W (Withdrawn)", GradeSheet!$I51="I (Incomplete)"), 0, IF(BB56&gt;=65%, 1, 0))</f>
        <v>0</v>
      </c>
      <c r="BO56" s="283">
        <f>IF(OR(GradeSheet!$I51="W (Withdrawn)", GradeSheet!$I51="I (Incomplete)"), 0, IF(BC56&gt;=65%, 1, 0))</f>
        <v>0</v>
      </c>
      <c r="BP56" s="283">
        <f>IF(OR(GradeSheet!$I51="W (Withdrawn)", GradeSheet!$I51="I (Incomplete)"), 0, IF(BD56&gt;=65%, 1, 0))</f>
        <v>0</v>
      </c>
      <c r="BQ56" s="283">
        <f>IF(OR(GradeSheet!$I51="W (Withdrawn)", GradeSheet!$I51="I (Incomplete)"), 0, IF(BE56&gt;=65%, 1, 0))</f>
        <v>0</v>
      </c>
      <c r="BR56" s="284">
        <f>IF(OR(GradeSheet!$I51="W (Withdrawn)", GradeSheet!$I51="I (Incomplete)"), 0, IF(BF56&gt;=65%, 1, 0))</f>
        <v>0</v>
      </c>
    </row>
    <row r="57" ht="15.75" customHeight="1">
      <c r="A57" s="287"/>
      <c r="B57" s="288"/>
      <c r="C57" s="289"/>
      <c r="D57" s="290"/>
      <c r="E57" s="290"/>
      <c r="F57" s="291"/>
      <c r="G57" s="291"/>
      <c r="H57" s="291"/>
      <c r="I57" s="291"/>
      <c r="J57" s="290"/>
      <c r="K57" s="290"/>
      <c r="L57" s="290"/>
      <c r="M57" s="291"/>
      <c r="N57" s="291"/>
      <c r="O57" s="292"/>
      <c r="P57" s="293"/>
      <c r="Q57" s="293"/>
      <c r="R57" s="293"/>
      <c r="S57" s="293"/>
      <c r="T57" s="291"/>
      <c r="U57" s="292"/>
      <c r="V57" s="291"/>
      <c r="W57" s="291"/>
      <c r="X57" s="291"/>
      <c r="Y57" s="291"/>
      <c r="Z57" s="291"/>
      <c r="AA57" s="292"/>
      <c r="AB57" s="294"/>
      <c r="AC57" s="294"/>
      <c r="AD57" s="294"/>
      <c r="AE57" s="294"/>
      <c r="AF57" s="294"/>
      <c r="AG57" s="294"/>
      <c r="AH57" s="295"/>
      <c r="AI57" s="295"/>
      <c r="AJ57" s="295"/>
      <c r="AK57" s="295"/>
      <c r="AL57" s="295"/>
      <c r="AM57" s="295"/>
      <c r="AN57" s="296"/>
      <c r="AO57" s="296"/>
      <c r="AP57" s="296"/>
      <c r="AQ57" s="296"/>
      <c r="AR57" s="296"/>
      <c r="AS57" s="284"/>
      <c r="AT57" s="297"/>
      <c r="AU57" s="298"/>
      <c r="AV57" s="298"/>
      <c r="AW57" s="298"/>
      <c r="AX57" s="298"/>
      <c r="AY57" s="298"/>
      <c r="AZ57" s="298"/>
      <c r="BA57" s="298"/>
      <c r="BB57" s="298"/>
      <c r="BC57" s="298"/>
      <c r="BD57" s="298"/>
      <c r="BE57" s="298"/>
      <c r="BF57" s="298"/>
      <c r="BG57" s="296"/>
      <c r="BH57" s="296"/>
      <c r="BI57" s="296"/>
      <c r="BJ57" s="296"/>
      <c r="BK57" s="296"/>
      <c r="BL57" s="296"/>
      <c r="BM57" s="296"/>
      <c r="BN57" s="296"/>
      <c r="BO57" s="296"/>
      <c r="BP57" s="296"/>
      <c r="BQ57" s="296"/>
      <c r="BR57" s="296"/>
    </row>
    <row r="58" ht="15.75" customHeight="1">
      <c r="A58" s="299">
        <v>42.0</v>
      </c>
      <c r="B58" s="300" t="s">
        <v>207</v>
      </c>
      <c r="C58" s="102"/>
      <c r="D58" s="301">
        <f t="shared" ref="D58:W58" si="101">AVERAGE(D15:D56)</f>
        <v>6.944444444</v>
      </c>
      <c r="E58" s="301">
        <f t="shared" si="101"/>
        <v>9.555555556</v>
      </c>
      <c r="F58" s="301" t="str">
        <f t="shared" si="101"/>
        <v>#DIV/0!</v>
      </c>
      <c r="G58" s="301" t="str">
        <f t="shared" si="101"/>
        <v>#DIV/0!</v>
      </c>
      <c r="H58" s="301" t="str">
        <f t="shared" si="101"/>
        <v>#DIV/0!</v>
      </c>
      <c r="I58" s="301" t="str">
        <f t="shared" si="101"/>
        <v>#DIV/0!</v>
      </c>
      <c r="J58" s="301">
        <f t="shared" si="101"/>
        <v>11.61111111</v>
      </c>
      <c r="K58" s="301">
        <f t="shared" si="101"/>
        <v>12.02777778</v>
      </c>
      <c r="L58" s="301" t="str">
        <f t="shared" si="101"/>
        <v>#DIV/0!</v>
      </c>
      <c r="M58" s="301" t="str">
        <f t="shared" si="101"/>
        <v>#DIV/0!</v>
      </c>
      <c r="N58" s="301" t="str">
        <f t="shared" si="101"/>
        <v>#DIV/0!</v>
      </c>
      <c r="O58" s="301" t="str">
        <f t="shared" si="101"/>
        <v>#DIV/0!</v>
      </c>
      <c r="P58" s="301">
        <f t="shared" si="101"/>
        <v>6.277777778</v>
      </c>
      <c r="Q58" s="301">
        <f t="shared" si="101"/>
        <v>11.72222222</v>
      </c>
      <c r="R58" s="301" t="str">
        <f t="shared" si="101"/>
        <v>#DIV/0!</v>
      </c>
      <c r="S58" s="301" t="str">
        <f t="shared" si="101"/>
        <v>#DIV/0!</v>
      </c>
      <c r="T58" s="301" t="str">
        <f t="shared" si="101"/>
        <v>#DIV/0!</v>
      </c>
      <c r="U58" s="301" t="str">
        <f t="shared" si="101"/>
        <v>#DIV/0!</v>
      </c>
      <c r="V58" s="301" t="str">
        <f t="shared" si="101"/>
        <v>#DIV/0!</v>
      </c>
      <c r="W58" s="301" t="str">
        <f t="shared" si="101"/>
        <v>#DIV/0!</v>
      </c>
      <c r="X58" s="302" t="str">
        <f t="shared" ref="X58:AF58" si="102">AVERAGE(X15:X54)</f>
        <v>#DIV/0!</v>
      </c>
      <c r="Y58" s="302" t="str">
        <f t="shared" si="102"/>
        <v>#DIV/0!</v>
      </c>
      <c r="Z58" s="302" t="str">
        <f t="shared" si="102"/>
        <v>#DIV/0!</v>
      </c>
      <c r="AA58" s="302" t="str">
        <f t="shared" si="102"/>
        <v>#DIV/0!</v>
      </c>
      <c r="AB58" s="301">
        <f t="shared" si="102"/>
        <v>22.35</v>
      </c>
      <c r="AC58" s="301">
        <f t="shared" si="102"/>
        <v>29.975</v>
      </c>
      <c r="AD58" s="301">
        <f t="shared" si="102"/>
        <v>0</v>
      </c>
      <c r="AE58" s="301">
        <f t="shared" si="102"/>
        <v>0</v>
      </c>
      <c r="AF58" s="301">
        <f t="shared" si="102"/>
        <v>0</v>
      </c>
      <c r="AG58" s="301">
        <f>AVERAGE(AG15:AG55)</f>
        <v>0</v>
      </c>
      <c r="AH58" s="151">
        <f>(SUMIFS(AH15:AH56,GradeSheet!I10:GradeSheet!I51,"&lt;&gt;W (Withdrawn)",GradeSheet!I10:GradeSheet!I51,"&lt;&gt;I (Incomplete)"))/($A$58-GradeSheet!$E$65-GradeSheet!$E$66)</f>
        <v>0.5899470899</v>
      </c>
      <c r="AI58" s="151">
        <f>(SUMIFS(AI15:AI56,GradeSheet!J10:GradeSheet!J51,"&lt;&gt;W (Withdrawn)",GradeSheet!J10:GradeSheet!J51,"&lt;&gt;I (Incomplete)"))/($A$58-GradeSheet!$E$65-GradeSheet!$E$66)</f>
        <v>0.5742337165</v>
      </c>
      <c r="AJ58" s="151">
        <f>(SUMIFS(AJ15:AJ56,GradeSheet!K10:GradeSheet!K51,"&lt;&gt;W (Withdrawn)",GradeSheet!K10:GradeSheet!K51,"&lt;&gt;I (Incomplete)"))/($A$58-GradeSheet!$E$65-GradeSheet!$E$66)</f>
        <v>0</v>
      </c>
      <c r="AK58" s="151">
        <f>(SUMIFS(AK15:AK56,GradeSheet!L10:GradeSheet!L51,"&lt;&gt;W (Withdrawn)",GradeSheet!L10:GradeSheet!L51,"&lt;&gt;I (Incomplete)"))/($A$58-GradeSheet!$E$65-GradeSheet!$E$66)</f>
        <v>0</v>
      </c>
      <c r="AL58" s="151">
        <f>(SUMIFS(AL15:AL56,GradeSheet!M10:GradeSheet!M51,"&lt;&gt;W (Withdrawn)",GradeSheet!M10:GradeSheet!M51,"&lt;&gt;I (Incomplete)"))/($A$58-GradeSheet!$E$65-GradeSheet!$E$66)</f>
        <v>0</v>
      </c>
      <c r="AM58" s="151">
        <f>(SUMIFS(AM15:AM56,GradeSheet!N10:GradeSheet!N51,"&lt;&gt;W (Withdrawn)",GradeSheet!N10:GradeSheet!N51,"&lt;&gt;I (Incomplete)"))/($A$58-GradeSheet!$E$65-GradeSheet!$E$66)</f>
        <v>0</v>
      </c>
      <c r="AN58" s="149">
        <f t="shared" ref="AN58:AS58" si="103">SUM(AN15:AN54)</f>
        <v>26</v>
      </c>
      <c r="AO58" s="149">
        <f t="shared" si="103"/>
        <v>25</v>
      </c>
      <c r="AP58" s="149">
        <f t="shared" si="103"/>
        <v>0</v>
      </c>
      <c r="AQ58" s="149">
        <f t="shared" si="103"/>
        <v>0</v>
      </c>
      <c r="AR58" s="149">
        <f t="shared" si="103"/>
        <v>0</v>
      </c>
      <c r="AS58" s="149">
        <f t="shared" si="103"/>
        <v>0</v>
      </c>
      <c r="AT58" s="135"/>
      <c r="AU58" s="151" t="str">
        <f>(SUMIFS(AU15:AU54,GradeSheet!M10:GradeSheet!#REF!,"&lt;&gt;W (Withdrawn)",GradeSheet!M10:GradeSheet!#REF!,"&lt;&gt;I (Incomplete)"))/($A$56-GradeSheet!$H$63-GradeSheet!$H$64)</f>
        <v>#ERROR!</v>
      </c>
      <c r="AV58" s="151" t="str">
        <f>(SUMIFS(AV15:AV54,GradeSheet!N10:GradeSheet!#REF!,"&lt;&gt;W (Withdrawn)",GradeSheet!N10:GradeSheet!#REF!,"&lt;&gt;I (Incomplete)"))/($A$56-GradeSheet!$H$63-GradeSheet!$H$64)</f>
        <v>#ERROR!</v>
      </c>
      <c r="AW58" s="151" t="str">
        <f>(SUMIFS(AW15:AW54,GradeSheet!O10:GradeSheet!#REF!,"&lt;&gt;W (Withdrawn)",GradeSheet!O10:GradeSheet!#REF!,"&lt;&gt;I (Incomplete)"))/($A$56-GradeSheet!$H$63-GradeSheet!$H$64)</f>
        <v>#ERROR!</v>
      </c>
      <c r="AX58" s="151" t="str">
        <f>(SUMIFS(AX15:AX54,GradeSheet!P10:GradeSheet!#REF!,"&lt;&gt;W (Withdrawn)",GradeSheet!P10:GradeSheet!#REF!,"&lt;&gt;I (Incomplete)"))/($A$56-GradeSheet!$H$63-GradeSheet!$H$64)</f>
        <v>#ERROR!</v>
      </c>
      <c r="AY58" s="151" t="str">
        <f>(SUMIFS(AY15:AY54,GradeSheet!Q10:GradeSheet!#REF!,"&lt;&gt;W (Withdrawn)",GradeSheet!Q10:GradeSheet!#REF!,"&lt;&gt;I (Incomplete)"))/($A$56-GradeSheet!$H$63-GradeSheet!$H$64)</f>
        <v>#ERROR!</v>
      </c>
      <c r="AZ58" s="151" t="str">
        <f>(SUMIFS(AZ15:AZ54,GradeSheet!R10:GradeSheet!#REF!,"&lt;&gt;W (Withdrawn)",GradeSheet!R10:GradeSheet!#REF!,"&lt;&gt;I (Incomplete)"))/($A$56-GradeSheet!$H$63-GradeSheet!$H$64)</f>
        <v>#ERROR!</v>
      </c>
      <c r="BA58" s="151" t="str">
        <f>(SUMIFS(BA15:BA54,GradeSheet!S10:GradeSheet!#REF!,"&lt;&gt;W (Withdrawn)",GradeSheet!S10:GradeSheet!#REF!,"&lt;&gt;I (Incomplete)"))/($A$56-GradeSheet!$H$63-GradeSheet!$H$64)</f>
        <v>#ERROR!</v>
      </c>
      <c r="BB58" s="151" t="str">
        <f>(SUMIFS(BB15:BB54,GradeSheet!T10:GradeSheet!#REF!,"&lt;&gt;W (Withdrawn)",GradeSheet!T10:GradeSheet!#REF!,"&lt;&gt;I (Incomplete)"))/($A$56-GradeSheet!$H$63-GradeSheet!$H$64)</f>
        <v>#ERROR!</v>
      </c>
      <c r="BC58" s="151" t="str">
        <f>(SUMIFS(BC15:BC54,GradeSheet!U10:GradeSheet!#REF!,"&lt;&gt;W (Withdrawn)",GradeSheet!U10:GradeSheet!#REF!,"&lt;&gt;I (Incomplete)"))/($A$56-GradeSheet!$H$63-GradeSheet!$H$64)</f>
        <v>#ERROR!</v>
      </c>
      <c r="BD58" s="151" t="str">
        <f>(SUMIFS(BD15:BD54,GradeSheet!V10:GradeSheet!#REF!,"&lt;&gt;W (Withdrawn)",GradeSheet!V10:GradeSheet!#REF!,"&lt;&gt;I (Incomplete)"))/($A$56-GradeSheet!$H$63-GradeSheet!$H$64)</f>
        <v>#ERROR!</v>
      </c>
      <c r="BE58" s="151" t="str">
        <f>(SUMIFS(BE15:BE54,GradeSheet!W10:GradeSheet!#REF!,"&lt;&gt;W (Withdrawn)",GradeSheet!W10:GradeSheet!#REF!,"&lt;&gt;I (Incomplete)"))/($A$56-GradeSheet!$H$63-GradeSheet!$H$64)</f>
        <v>#ERROR!</v>
      </c>
      <c r="BF58" s="151" t="str">
        <f>(SUMIFS(BF15:BF54,GradeSheet!X10:GradeSheet!#REF!,"&lt;&gt;W (Withdrawn)",GradeSheet!X10:GradeSheet!#REF!,"&lt;&gt;I (Incomplete)"))/($A$56-GradeSheet!$H$63-GradeSheet!$H$64)</f>
        <v>#ERROR!</v>
      </c>
      <c r="BG58" s="149">
        <f t="shared" ref="BG58:BR58" si="104">SUM(BG15:BG54)</f>
        <v>0</v>
      </c>
      <c r="BH58" s="144">
        <f t="shared" si="104"/>
        <v>0</v>
      </c>
      <c r="BI58" s="144">
        <f t="shared" si="104"/>
        <v>0</v>
      </c>
      <c r="BJ58" s="144">
        <f t="shared" si="104"/>
        <v>0</v>
      </c>
      <c r="BK58" s="144">
        <f t="shared" si="104"/>
        <v>0</v>
      </c>
      <c r="BL58" s="144">
        <f t="shared" si="104"/>
        <v>0</v>
      </c>
      <c r="BM58" s="144">
        <f t="shared" si="104"/>
        <v>0</v>
      </c>
      <c r="BN58" s="144">
        <f t="shared" si="104"/>
        <v>0</v>
      </c>
      <c r="BO58" s="144">
        <f t="shared" si="104"/>
        <v>0</v>
      </c>
      <c r="BP58" s="144">
        <f t="shared" si="104"/>
        <v>0</v>
      </c>
      <c r="BQ58" s="144">
        <f t="shared" si="104"/>
        <v>0</v>
      </c>
      <c r="BR58" s="303">
        <f t="shared" si="104"/>
        <v>0</v>
      </c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304"/>
      <c r="AI60" s="304"/>
      <c r="AJ60" s="304"/>
      <c r="AK60" s="304"/>
      <c r="AL60" s="304"/>
      <c r="AM60" s="304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</row>
    <row r="61" ht="15.75" customHeight="1">
      <c r="A61" s="6"/>
      <c r="B61" s="6"/>
      <c r="C61" s="30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304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</row>
    <row r="62" ht="15.75" customHeight="1">
      <c r="A62" s="6"/>
      <c r="B62" s="19" t="s">
        <v>54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</row>
    <row r="63" ht="15.75" customHeight="1">
      <c r="A63" s="6"/>
      <c r="B63" s="19" t="s">
        <v>182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</row>
    <row r="64" ht="15.75" customHeight="1">
      <c r="A64" s="6"/>
      <c r="B64" s="19" t="str">
        <f>GradeSheet!$B$68</f>
        <v>Department of CSE, ULAB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304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304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30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P12:U12"/>
    <mergeCell ref="V12:AA12"/>
    <mergeCell ref="B58:C58"/>
    <mergeCell ref="B62:C62"/>
    <mergeCell ref="B63:C63"/>
    <mergeCell ref="B64:C64"/>
    <mergeCell ref="AB12:AG12"/>
    <mergeCell ref="AH12:AM12"/>
    <mergeCell ref="AN12:AS12"/>
    <mergeCell ref="AU12:BF12"/>
    <mergeCell ref="AN14:AS14"/>
    <mergeCell ref="BG14:BR14"/>
    <mergeCell ref="C1:I1"/>
    <mergeCell ref="AU1:BG1"/>
    <mergeCell ref="A11:C13"/>
    <mergeCell ref="AB11:AS11"/>
    <mergeCell ref="AU11:BR11"/>
    <mergeCell ref="D12:I12"/>
    <mergeCell ref="J12:O12"/>
    <mergeCell ref="BG12:BR12"/>
  </mergeCells>
  <printOptions/>
  <pageMargins bottom="0.75" footer="0.0" header="0.0" left="0.25" right="0.25" top="0.75"/>
  <pageSetup paperSize="9" orientation="landscape"/>
  <headerFooter>
    <oddHeader>&amp;LDepartment of CSE, ULAB&amp;CCO_POAttainmentAnalysis&amp;RCSE004(00)</oddHeader>
    <oddFooter>&amp;RCSE004(00)Page 1 of 1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43"/>
    <col customWidth="1" min="2" max="2" width="32.0"/>
    <col customWidth="1" min="3" max="3" width="22.71"/>
    <col customWidth="1" min="4" max="4" width="16.86"/>
    <col customWidth="1" min="5" max="24" width="9.14"/>
  </cols>
  <sheetData>
    <row r="1" ht="35.25" customHeight="1">
      <c r="A1" s="210" t="s">
        <v>178</v>
      </c>
      <c r="B1" s="101"/>
      <c r="C1" s="101"/>
      <c r="D1" s="102"/>
      <c r="E1" s="211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</row>
    <row r="2" ht="15.75" customHeight="1">
      <c r="A2" s="214" t="s">
        <v>31</v>
      </c>
      <c r="B2" s="217" t="str">
        <f>GradeSheet!$E$2</f>
        <v>CSE 4460</v>
      </c>
      <c r="C2" s="218" t="s">
        <v>33</v>
      </c>
      <c r="D2" s="219">
        <f>GradeSheet!$H$2</f>
        <v>2</v>
      </c>
      <c r="E2" s="211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</row>
    <row r="3" ht="16.5" customHeight="1">
      <c r="A3" s="214" t="s">
        <v>43</v>
      </c>
      <c r="B3" s="217" t="str">
        <f>GradeSheet!$E$3</f>
        <v>Big Data Analytics Lab</v>
      </c>
      <c r="C3" s="221" t="s">
        <v>47</v>
      </c>
      <c r="D3" s="222" t="str">
        <f>GradeSheet!$H$3</f>
        <v>Spring 2026</v>
      </c>
      <c r="E3" s="211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</row>
    <row r="4" ht="15.75" customHeight="1">
      <c r="A4" s="214" t="s">
        <v>50</v>
      </c>
      <c r="B4" s="226">
        <f>GradeSheet!$E$4</f>
        <v>1</v>
      </c>
      <c r="C4" s="228" t="s">
        <v>183</v>
      </c>
      <c r="D4" s="229">
        <f>GradeSheet!$E$67</f>
        <v>36</v>
      </c>
      <c r="E4" s="211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</row>
    <row r="5" ht="15.75" customHeight="1">
      <c r="A5" s="211"/>
      <c r="B5" s="211"/>
      <c r="C5" s="211"/>
      <c r="D5" s="211"/>
      <c r="E5" s="211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</row>
    <row r="6" ht="15.75" customHeight="1">
      <c r="A6" s="230" t="s">
        <v>186</v>
      </c>
      <c r="B6" s="231"/>
      <c r="C6" s="232" t="s">
        <v>187</v>
      </c>
      <c r="D6" s="233" t="s">
        <v>82</v>
      </c>
      <c r="E6" s="211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</row>
    <row r="7" ht="15.75" customHeight="1">
      <c r="A7" s="234" t="s">
        <v>21</v>
      </c>
      <c r="B7" s="235"/>
      <c r="C7" s="236" t="s">
        <v>188</v>
      </c>
      <c r="D7" s="237">
        <f>CO_PO_AttainmentAnalysis!AN58/(GradeSheet!E67-GradeSheet!E66-GradeSheet!E65)</f>
        <v>0.8666666667</v>
      </c>
      <c r="E7" s="211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12"/>
      <c r="T7" s="212"/>
      <c r="U7" s="212"/>
      <c r="V7" s="212"/>
      <c r="W7" s="212"/>
      <c r="X7" s="212"/>
    </row>
    <row r="8" ht="15.75" customHeight="1">
      <c r="A8" s="230" t="s">
        <v>22</v>
      </c>
      <c r="B8" s="101"/>
      <c r="C8" s="238"/>
      <c r="D8" s="237">
        <f>CO_PO_AttainmentAnalysis!$AO$58/(GradeSheet!E67-GradeSheet!E66-GradeSheet!E65)</f>
        <v>0.8333333333</v>
      </c>
      <c r="E8" s="211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12"/>
      <c r="R8" s="212"/>
      <c r="S8" s="212"/>
      <c r="T8" s="212"/>
      <c r="U8" s="212"/>
      <c r="V8" s="212"/>
      <c r="W8" s="212"/>
      <c r="X8" s="212"/>
    </row>
    <row r="9" ht="15.75" customHeight="1">
      <c r="A9" s="234" t="s">
        <v>24</v>
      </c>
      <c r="B9" s="235"/>
      <c r="C9" s="238"/>
      <c r="D9" s="237">
        <f>CO_PO_AttainmentAnalysis!$AP$58/(GradeSheet!E67-GradeSheet!E66-GradeSheet!E65)</f>
        <v>0</v>
      </c>
      <c r="E9" s="211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</row>
    <row r="10" ht="15.75" customHeight="1">
      <c r="A10" s="234" t="s">
        <v>25</v>
      </c>
      <c r="B10" s="235"/>
      <c r="C10" s="238"/>
      <c r="D10" s="237">
        <f>CO_PO_AttainmentAnalysis!$AQ$58/(GradeSheet!E67-GradeSheet!E66-GradeSheet!E65)</f>
        <v>0</v>
      </c>
      <c r="E10" s="211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2"/>
      <c r="T10" s="212"/>
      <c r="U10" s="212"/>
      <c r="V10" s="212"/>
      <c r="W10" s="212"/>
      <c r="X10" s="212"/>
    </row>
    <row r="11" ht="15.75" customHeight="1">
      <c r="A11" s="234" t="s">
        <v>27</v>
      </c>
      <c r="B11" s="235"/>
      <c r="C11" s="238"/>
      <c r="D11" s="237">
        <f>CO_PO_AttainmentAnalysis!$AR$58/(GradeSheet!E67-GradeSheet!E66-GradeSheet!E65)</f>
        <v>0</v>
      </c>
      <c r="E11" s="211"/>
      <c r="F11" s="212"/>
      <c r="G11" s="212"/>
      <c r="H11" s="212"/>
      <c r="I11" s="212"/>
      <c r="J11" s="212"/>
      <c r="K11" s="212"/>
      <c r="L11" s="212"/>
      <c r="M11" s="212"/>
      <c r="N11" s="212"/>
      <c r="O11" s="212"/>
      <c r="P11" s="212"/>
      <c r="Q11" s="212"/>
      <c r="R11" s="212"/>
      <c r="S11" s="212"/>
      <c r="T11" s="212"/>
      <c r="U11" s="212"/>
      <c r="V11" s="212"/>
      <c r="W11" s="212"/>
      <c r="X11" s="212"/>
    </row>
    <row r="12" ht="15.75" customHeight="1">
      <c r="A12" s="234" t="s">
        <v>28</v>
      </c>
      <c r="B12" s="235"/>
      <c r="C12" s="239"/>
      <c r="D12" s="237">
        <f>CO_PO_AttainmentAnalysis!$AS$58/(GradeSheet!E67-GradeSheet!E66-GradeSheet!E65)</f>
        <v>0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</row>
    <row r="13" ht="15.75" customHeight="1">
      <c r="A13" s="211"/>
      <c r="B13" s="211"/>
      <c r="C13" s="211"/>
      <c r="D13" s="211"/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</row>
    <row r="14" ht="27.0" customHeight="1">
      <c r="A14" s="240" t="s">
        <v>189</v>
      </c>
      <c r="B14" s="137"/>
      <c r="C14" s="137"/>
      <c r="D14" s="137"/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2"/>
      <c r="S14" s="212"/>
      <c r="T14" s="212"/>
      <c r="U14" s="212"/>
      <c r="V14" s="212"/>
      <c r="W14" s="212"/>
      <c r="X14" s="212"/>
    </row>
    <row r="15" ht="15.75" customHeight="1">
      <c r="A15" s="241"/>
      <c r="B15" s="37"/>
      <c r="C15" s="37"/>
      <c r="D15" s="25"/>
      <c r="E15" s="242"/>
      <c r="F15" s="243"/>
      <c r="G15" s="243"/>
      <c r="H15" s="243"/>
      <c r="I15" s="243"/>
      <c r="J15" s="212"/>
      <c r="K15" s="212"/>
      <c r="L15" s="212"/>
      <c r="M15" s="212"/>
      <c r="N15" s="212"/>
      <c r="O15" s="212"/>
      <c r="P15" s="212"/>
      <c r="Q15" s="212"/>
      <c r="R15" s="212"/>
      <c r="S15" s="212"/>
      <c r="T15" s="212"/>
      <c r="U15" s="212"/>
      <c r="V15" s="212"/>
      <c r="W15" s="212"/>
      <c r="X15" s="212"/>
    </row>
    <row r="16" ht="16.5" customHeight="1">
      <c r="A16" s="244"/>
      <c r="B16" s="37"/>
      <c r="C16" s="37"/>
      <c r="D16" s="25"/>
      <c r="E16" s="242"/>
      <c r="F16" s="243"/>
      <c r="G16" s="243"/>
      <c r="H16" s="243"/>
      <c r="I16" s="243"/>
      <c r="J16" s="212"/>
      <c r="K16" s="212"/>
      <c r="L16" s="212"/>
      <c r="M16" s="212"/>
      <c r="N16" s="212"/>
      <c r="O16" s="212"/>
      <c r="P16" s="212"/>
      <c r="Q16" s="212"/>
      <c r="R16" s="212"/>
      <c r="S16" s="212"/>
      <c r="T16" s="212"/>
      <c r="U16" s="212"/>
      <c r="V16" s="212"/>
      <c r="W16" s="212"/>
      <c r="X16" s="212"/>
    </row>
    <row r="17" ht="15.75" customHeight="1">
      <c r="A17" s="245"/>
      <c r="B17" s="37"/>
      <c r="C17" s="37"/>
      <c r="D17" s="25"/>
      <c r="E17" s="242"/>
      <c r="F17" s="243"/>
      <c r="G17" s="243"/>
      <c r="H17" s="243"/>
      <c r="I17" s="243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X17" s="212"/>
    </row>
    <row r="18" ht="15.75" customHeight="1">
      <c r="A18" s="245"/>
      <c r="B18" s="37"/>
      <c r="C18" s="37"/>
      <c r="D18" s="25"/>
      <c r="E18" s="242"/>
      <c r="F18" s="243"/>
      <c r="G18" s="243"/>
      <c r="H18" s="243"/>
      <c r="I18" s="243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X18" s="212"/>
    </row>
    <row r="19" ht="15.75" customHeight="1">
      <c r="A19" s="246"/>
      <c r="B19" s="37"/>
      <c r="C19" s="37"/>
      <c r="D19" s="25"/>
      <c r="E19" s="242"/>
      <c r="F19" s="243"/>
      <c r="G19" s="243"/>
      <c r="H19" s="243"/>
      <c r="I19" s="243"/>
      <c r="J19" s="212"/>
      <c r="K19" s="212"/>
      <c r="L19" s="212"/>
      <c r="M19" s="212"/>
      <c r="N19" s="212"/>
      <c r="O19" s="212"/>
      <c r="P19" s="212"/>
      <c r="Q19" s="212"/>
      <c r="R19" s="212"/>
      <c r="S19" s="212"/>
      <c r="T19" s="212"/>
      <c r="U19" s="212"/>
      <c r="V19" s="212"/>
      <c r="W19" s="212"/>
      <c r="X19" s="212"/>
    </row>
    <row r="20" ht="15.75" customHeight="1">
      <c r="A20" s="246"/>
      <c r="B20" s="37"/>
      <c r="C20" s="37"/>
      <c r="D20" s="25"/>
      <c r="E20" s="242"/>
      <c r="F20" s="243"/>
      <c r="G20" s="243"/>
      <c r="H20" s="243"/>
      <c r="I20" s="243"/>
      <c r="J20" s="212"/>
      <c r="K20" s="212"/>
      <c r="L20" s="212"/>
      <c r="M20" s="212"/>
      <c r="N20" s="212"/>
      <c r="O20" s="212"/>
      <c r="P20" s="212"/>
      <c r="Q20" s="212"/>
      <c r="R20" s="212"/>
      <c r="S20" s="212"/>
      <c r="T20" s="212"/>
      <c r="U20" s="212"/>
      <c r="V20" s="212"/>
      <c r="W20" s="212"/>
      <c r="X20" s="212"/>
    </row>
    <row r="21" ht="15.75" customHeight="1">
      <c r="A21" s="247"/>
      <c r="B21" s="248"/>
      <c r="C21" s="248"/>
      <c r="D21" s="249"/>
      <c r="E21" s="242"/>
      <c r="F21" s="243"/>
      <c r="G21" s="243"/>
      <c r="H21" s="243"/>
      <c r="I21" s="243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X21" s="212"/>
    </row>
    <row r="22" ht="15.75" customHeight="1">
      <c r="A22" s="246"/>
      <c r="B22" s="37"/>
      <c r="C22" s="37"/>
      <c r="D22" s="25"/>
      <c r="E22" s="242"/>
      <c r="F22" s="243"/>
      <c r="G22" s="243"/>
      <c r="H22" s="243"/>
      <c r="I22" s="243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X22" s="212"/>
    </row>
    <row r="23" ht="15.75" customHeight="1">
      <c r="A23" s="250"/>
      <c r="B23" s="37"/>
      <c r="C23" s="37"/>
      <c r="D23" s="25"/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X23" s="212"/>
    </row>
    <row r="24" ht="15.75" customHeight="1">
      <c r="A24" s="250"/>
      <c r="B24" s="37"/>
      <c r="C24" s="37"/>
      <c r="D24" s="25"/>
      <c r="E24" s="212"/>
      <c r="F24" s="212"/>
      <c r="G24" s="212"/>
      <c r="H24" s="212"/>
      <c r="I24" s="212"/>
      <c r="J24" s="212"/>
      <c r="K24" s="212"/>
      <c r="L24" s="212"/>
      <c r="M24" s="212"/>
      <c r="N24" s="212"/>
      <c r="O24" s="212"/>
      <c r="P24" s="212"/>
      <c r="Q24" s="212"/>
      <c r="R24" s="212"/>
      <c r="S24" s="212"/>
      <c r="T24" s="212"/>
      <c r="U24" s="212"/>
      <c r="V24" s="212"/>
      <c r="W24" s="212"/>
      <c r="X24" s="212"/>
    </row>
    <row r="25" ht="15.75" customHeight="1">
      <c r="A25" s="250"/>
      <c r="B25" s="37"/>
      <c r="C25" s="37"/>
      <c r="D25" s="25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</row>
    <row r="26" ht="15.75" customHeight="1">
      <c r="A26" s="212"/>
      <c r="B26" s="212"/>
      <c r="C26" s="212"/>
      <c r="D26" s="252" t="s">
        <v>190</v>
      </c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212"/>
      <c r="V26" s="212"/>
      <c r="W26" s="212"/>
      <c r="X26" s="212"/>
    </row>
    <row r="27" ht="15.75" customHeight="1">
      <c r="A27" s="212"/>
      <c r="B27" s="212"/>
      <c r="C27" s="212"/>
      <c r="D27" s="25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212"/>
      <c r="V27" s="212"/>
      <c r="W27" s="212"/>
      <c r="X27" s="212"/>
    </row>
    <row r="28" ht="15.75" customHeight="1">
      <c r="A28" s="212"/>
      <c r="B28" s="212"/>
      <c r="C28" s="212"/>
      <c r="D28" s="252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Q28" s="212"/>
      <c r="R28" s="212"/>
      <c r="S28" s="212"/>
      <c r="T28" s="212"/>
      <c r="U28" s="212"/>
      <c r="V28" s="212"/>
      <c r="W28" s="212"/>
      <c r="X28" s="212"/>
    </row>
    <row r="29" ht="15.75" customHeight="1">
      <c r="A29" s="212"/>
      <c r="B29" s="212"/>
      <c r="C29" s="212"/>
      <c r="D29" s="25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X29" s="212"/>
    </row>
    <row r="30" ht="15.75" customHeight="1">
      <c r="A30" s="212"/>
      <c r="B30" s="212"/>
      <c r="C30" s="212"/>
      <c r="D30" s="252"/>
      <c r="E30" s="212"/>
      <c r="F30" s="212"/>
      <c r="G30" s="212"/>
      <c r="H30" s="212"/>
      <c r="I30" s="212"/>
      <c r="J30" s="212"/>
      <c r="K30" s="212"/>
      <c r="L30" s="212"/>
      <c r="M30" s="212"/>
      <c r="N30" s="212"/>
      <c r="O30" s="212"/>
      <c r="P30" s="212"/>
      <c r="Q30" s="212"/>
      <c r="R30" s="212"/>
      <c r="S30" s="212"/>
      <c r="T30" s="212"/>
      <c r="U30" s="212"/>
      <c r="V30" s="212"/>
      <c r="W30" s="212"/>
      <c r="X30" s="212"/>
    </row>
    <row r="31" ht="15.75" customHeight="1">
      <c r="A31" s="212"/>
      <c r="B31" s="212"/>
      <c r="C31" s="212"/>
      <c r="D31" s="25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12"/>
      <c r="Q31" s="212"/>
      <c r="R31" s="212"/>
      <c r="S31" s="212"/>
      <c r="T31" s="212"/>
      <c r="U31" s="212"/>
      <c r="V31" s="212"/>
      <c r="W31" s="212"/>
      <c r="X31" s="212"/>
    </row>
    <row r="32" ht="15.75" customHeight="1">
      <c r="A32" s="212"/>
      <c r="B32" s="212"/>
      <c r="C32" s="212"/>
      <c r="D32" s="212"/>
      <c r="E32" s="212"/>
      <c r="F32" s="212"/>
      <c r="G32" s="212"/>
      <c r="H32" s="212"/>
      <c r="I32" s="212"/>
      <c r="J32" s="212"/>
      <c r="K32" s="212"/>
      <c r="L32" s="212"/>
      <c r="M32" s="212"/>
      <c r="N32" s="212"/>
      <c r="O32" s="212"/>
      <c r="P32" s="212"/>
      <c r="Q32" s="212"/>
      <c r="R32" s="212"/>
      <c r="S32" s="212"/>
      <c r="T32" s="212"/>
      <c r="U32" s="212"/>
      <c r="V32" s="212"/>
      <c r="W32" s="212"/>
      <c r="X32" s="212"/>
    </row>
    <row r="33" ht="15.75" customHeight="1">
      <c r="A33" s="253" t="s">
        <v>191</v>
      </c>
      <c r="B33" s="254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2"/>
      <c r="T33" s="212"/>
      <c r="U33" s="212"/>
      <c r="V33" s="212"/>
      <c r="W33" s="212"/>
      <c r="X33" s="212"/>
    </row>
    <row r="34" ht="15.75" customHeight="1">
      <c r="A34" s="253" t="s">
        <v>192</v>
      </c>
      <c r="B34" s="255" t="str">
        <f>GradeSheet!$E$5</f>
        <v>Foysal Ahmed</v>
      </c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2"/>
      <c r="O34" s="212"/>
      <c r="P34" s="212"/>
      <c r="Q34" s="212"/>
      <c r="R34" s="212"/>
      <c r="S34" s="212"/>
      <c r="T34" s="212"/>
      <c r="U34" s="212"/>
      <c r="V34" s="212"/>
      <c r="W34" s="212"/>
      <c r="X34" s="212"/>
    </row>
    <row r="35" ht="15.75" customHeight="1">
      <c r="A35" s="253" t="s">
        <v>193</v>
      </c>
      <c r="B35" s="256">
        <f>TODAY()</f>
        <v>46233</v>
      </c>
      <c r="C35" s="212"/>
      <c r="D35" s="212"/>
      <c r="E35" s="212"/>
      <c r="F35" s="212"/>
      <c r="G35" s="212"/>
      <c r="H35" s="212"/>
      <c r="I35" s="212"/>
      <c r="J35" s="212"/>
      <c r="K35" s="212"/>
      <c r="L35" s="212"/>
      <c r="M35" s="212"/>
      <c r="N35" s="212"/>
      <c r="O35" s="212"/>
      <c r="P35" s="212"/>
      <c r="Q35" s="212"/>
      <c r="R35" s="212"/>
      <c r="S35" s="212"/>
      <c r="T35" s="212"/>
      <c r="U35" s="212"/>
      <c r="V35" s="212"/>
      <c r="W35" s="212"/>
      <c r="X35" s="212"/>
    </row>
    <row r="36" ht="15.75" customHeight="1">
      <c r="A36" s="253"/>
      <c r="B36" s="256"/>
      <c r="C36" s="212"/>
      <c r="D36" s="212"/>
      <c r="E36" s="212"/>
      <c r="F36" s="212"/>
      <c r="G36" s="212"/>
      <c r="H36" s="212"/>
      <c r="I36" s="212"/>
      <c r="J36" s="212"/>
      <c r="K36" s="212"/>
      <c r="L36" s="212"/>
      <c r="M36" s="212"/>
      <c r="N36" s="212"/>
      <c r="O36" s="212"/>
      <c r="P36" s="212"/>
      <c r="Q36" s="212"/>
      <c r="R36" s="212"/>
      <c r="S36" s="212"/>
      <c r="T36" s="212"/>
      <c r="U36" s="212"/>
      <c r="V36" s="212"/>
      <c r="W36" s="212"/>
      <c r="X36" s="212"/>
    </row>
    <row r="37" ht="15.75" customHeight="1">
      <c r="A37" s="257"/>
      <c r="B37" s="51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</row>
    <row r="38" ht="15.75" customHeight="1">
      <c r="A38" s="212"/>
      <c r="B38" s="212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Q38" s="212"/>
      <c r="R38" s="212"/>
      <c r="S38" s="212"/>
      <c r="T38" s="212"/>
      <c r="U38" s="212"/>
      <c r="V38" s="212"/>
      <c r="W38" s="212"/>
      <c r="X38" s="212"/>
    </row>
    <row r="39" ht="15.75" customHeight="1">
      <c r="A39" s="212"/>
      <c r="B39" s="212"/>
      <c r="C39" s="212"/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2"/>
      <c r="X39" s="212"/>
    </row>
    <row r="40" ht="15.75" customHeight="1">
      <c r="A40" s="212"/>
      <c r="B40" s="212"/>
      <c r="C40" s="212"/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2"/>
      <c r="X40" s="212"/>
    </row>
    <row r="41" ht="15.75" customHeight="1">
      <c r="A41" s="212"/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2"/>
      <c r="X41" s="212"/>
    </row>
    <row r="42" ht="15.75" customHeight="1">
      <c r="A42" s="212"/>
      <c r="B42" s="212"/>
      <c r="C42" s="212"/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2"/>
      <c r="X42" s="212"/>
    </row>
    <row r="43" ht="15.75" customHeight="1">
      <c r="A43" s="212"/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Q43" s="212"/>
      <c r="R43" s="212"/>
      <c r="S43" s="212"/>
      <c r="T43" s="212"/>
      <c r="U43" s="212"/>
      <c r="V43" s="212"/>
      <c r="W43" s="212"/>
      <c r="X43" s="212"/>
    </row>
    <row r="44" ht="15.75" customHeight="1">
      <c r="A44" s="212"/>
      <c r="B44" s="212"/>
      <c r="C44" s="212"/>
      <c r="D44" s="212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</row>
    <row r="45" ht="15.75" customHeight="1">
      <c r="A45" s="212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2"/>
      <c r="X45" s="212"/>
    </row>
    <row r="46" ht="15.75" customHeight="1">
      <c r="A46" s="212"/>
      <c r="B46" s="212"/>
      <c r="C46" s="212"/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2"/>
      <c r="X46" s="212"/>
    </row>
    <row r="47" ht="15.75" customHeight="1">
      <c r="A47" s="212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2"/>
      <c r="S47" s="212"/>
      <c r="T47" s="212"/>
      <c r="U47" s="212"/>
      <c r="V47" s="212"/>
      <c r="W47" s="212"/>
      <c r="X47" s="212"/>
    </row>
    <row r="48" ht="15.75" customHeight="1">
      <c r="A48" s="212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2"/>
      <c r="T48" s="212"/>
      <c r="U48" s="212"/>
      <c r="V48" s="212"/>
      <c r="W48" s="212"/>
      <c r="X48" s="212"/>
    </row>
    <row r="49" ht="15.75" customHeight="1">
      <c r="A49" s="212"/>
      <c r="B49" s="212"/>
      <c r="C49" s="212"/>
      <c r="D49" s="212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Q49" s="212"/>
      <c r="R49" s="212"/>
      <c r="S49" s="212"/>
      <c r="T49" s="212"/>
      <c r="U49" s="212"/>
      <c r="V49" s="212"/>
      <c r="W49" s="212"/>
      <c r="X49" s="212"/>
    </row>
    <row r="50" ht="15.75" customHeight="1">
      <c r="A50" s="212"/>
      <c r="B50" s="212"/>
      <c r="C50" s="212"/>
      <c r="D50" s="212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/>
      <c r="S50" s="212"/>
      <c r="T50" s="212"/>
      <c r="U50" s="212"/>
      <c r="V50" s="212"/>
      <c r="W50" s="212"/>
      <c r="X50" s="212"/>
    </row>
    <row r="51" ht="15.75" customHeight="1">
      <c r="A51" s="212"/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Q51" s="212"/>
      <c r="R51" s="212"/>
      <c r="S51" s="212"/>
      <c r="T51" s="212"/>
      <c r="U51" s="212"/>
      <c r="V51" s="212"/>
      <c r="W51" s="212"/>
      <c r="X51" s="212"/>
    </row>
    <row r="52" ht="15.75" customHeight="1">
      <c r="A52" s="212"/>
      <c r="B52" s="212"/>
      <c r="C52" s="212"/>
      <c r="D52" s="212"/>
      <c r="E52" s="212"/>
      <c r="F52" s="212"/>
      <c r="G52" s="212"/>
      <c r="H52" s="212"/>
      <c r="I52" s="212"/>
      <c r="J52" s="212"/>
      <c r="K52" s="212"/>
      <c r="L52" s="212"/>
      <c r="M52" s="212"/>
      <c r="N52" s="212"/>
      <c r="O52" s="212"/>
      <c r="P52" s="212"/>
      <c r="Q52" s="212"/>
      <c r="R52" s="212"/>
      <c r="S52" s="212"/>
      <c r="T52" s="212"/>
      <c r="U52" s="212"/>
      <c r="V52" s="212"/>
      <c r="W52" s="212"/>
      <c r="X52" s="212"/>
    </row>
    <row r="53" ht="15.75" customHeight="1">
      <c r="A53" s="212"/>
      <c r="B53" s="212"/>
      <c r="C53" s="212"/>
      <c r="D53" s="212"/>
      <c r="E53" s="212"/>
      <c r="F53" s="212"/>
      <c r="G53" s="212"/>
      <c r="H53" s="212"/>
      <c r="I53" s="212"/>
      <c r="J53" s="212"/>
      <c r="K53" s="212"/>
      <c r="L53" s="212"/>
      <c r="M53" s="212"/>
      <c r="N53" s="212"/>
      <c r="O53" s="212"/>
      <c r="P53" s="212"/>
      <c r="Q53" s="212"/>
      <c r="R53" s="212"/>
      <c r="S53" s="212"/>
      <c r="T53" s="212"/>
      <c r="U53" s="212"/>
      <c r="V53" s="212"/>
      <c r="W53" s="212"/>
      <c r="X53" s="212"/>
    </row>
    <row r="54" ht="15.75" customHeight="1">
      <c r="A54" s="212"/>
      <c r="B54" s="212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</row>
    <row r="55" ht="15.75" customHeight="1">
      <c r="A55" s="212"/>
      <c r="B55" s="212"/>
      <c r="C55" s="212"/>
      <c r="D55" s="212"/>
      <c r="E55" s="212"/>
      <c r="F55" s="212"/>
      <c r="G55" s="212"/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</row>
    <row r="56" ht="15.75" customHeight="1">
      <c r="A56" s="212"/>
      <c r="B56" s="212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</row>
    <row r="57" ht="15.75" customHeight="1">
      <c r="A57" s="212"/>
      <c r="B57" s="212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</row>
    <row r="58" ht="15.75" customHeight="1">
      <c r="A58" s="212"/>
      <c r="B58" s="212"/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</row>
    <row r="59" ht="15.75" customHeight="1">
      <c r="A59" s="212"/>
      <c r="B59" s="212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</row>
    <row r="60" ht="15.75" customHeight="1">
      <c r="A60" s="212"/>
      <c r="B60" s="212"/>
      <c r="C60" s="212"/>
      <c r="D60" s="212"/>
      <c r="E60" s="212"/>
      <c r="F60" s="212"/>
      <c r="G60" s="212"/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</row>
    <row r="61" ht="15.75" customHeight="1">
      <c r="A61" s="212"/>
      <c r="B61" s="212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</row>
    <row r="62" ht="15.75" customHeight="1">
      <c r="A62" s="212"/>
      <c r="B62" s="212"/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</row>
    <row r="63" ht="15.75" customHeight="1">
      <c r="A63" s="212"/>
      <c r="B63" s="212"/>
      <c r="C63" s="212"/>
      <c r="D63" s="212"/>
      <c r="E63" s="212"/>
      <c r="F63" s="212"/>
      <c r="G63" s="212"/>
      <c r="H63" s="212"/>
      <c r="I63" s="212"/>
      <c r="J63" s="212"/>
      <c r="K63" s="212"/>
      <c r="L63" s="212"/>
      <c r="M63" s="212"/>
      <c r="N63" s="212"/>
      <c r="O63" s="212"/>
      <c r="P63" s="212"/>
      <c r="Q63" s="212"/>
      <c r="R63" s="212"/>
      <c r="S63" s="212"/>
      <c r="T63" s="212"/>
      <c r="U63" s="212"/>
      <c r="V63" s="212"/>
      <c r="W63" s="212"/>
      <c r="X63" s="212"/>
    </row>
    <row r="64" ht="15.75" customHeight="1">
      <c r="A64" s="212"/>
      <c r="B64" s="212"/>
      <c r="C64" s="212"/>
      <c r="D64" s="212"/>
      <c r="E64" s="212"/>
      <c r="F64" s="212"/>
      <c r="G64" s="212"/>
      <c r="H64" s="212"/>
      <c r="I64" s="212"/>
      <c r="J64" s="212"/>
      <c r="K64" s="212"/>
      <c r="L64" s="212"/>
      <c r="M64" s="212"/>
      <c r="N64" s="212"/>
      <c r="O64" s="212"/>
      <c r="P64" s="212"/>
      <c r="Q64" s="212"/>
      <c r="R64" s="212"/>
      <c r="S64" s="212"/>
      <c r="T64" s="212"/>
      <c r="U64" s="212"/>
      <c r="V64" s="212"/>
      <c r="W64" s="212"/>
      <c r="X64" s="212"/>
    </row>
    <row r="65" ht="15.75" customHeight="1">
      <c r="A65" s="212"/>
      <c r="B65" s="212"/>
      <c r="C65" s="212"/>
      <c r="D65" s="212"/>
      <c r="E65" s="212"/>
      <c r="F65" s="212"/>
      <c r="G65" s="212"/>
      <c r="H65" s="212"/>
      <c r="I65" s="212"/>
      <c r="J65" s="212"/>
      <c r="K65" s="212"/>
      <c r="L65" s="212"/>
      <c r="M65" s="212"/>
      <c r="N65" s="212"/>
      <c r="O65" s="212"/>
      <c r="P65" s="212"/>
      <c r="Q65" s="212"/>
      <c r="R65" s="212"/>
      <c r="S65" s="212"/>
      <c r="T65" s="212"/>
      <c r="U65" s="212"/>
      <c r="V65" s="212"/>
      <c r="W65" s="212"/>
      <c r="X65" s="212"/>
    </row>
    <row r="66" ht="15.75" customHeight="1">
      <c r="A66" s="212"/>
      <c r="B66" s="212"/>
      <c r="C66" s="212"/>
      <c r="D66" s="212"/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</row>
    <row r="67" ht="15.75" customHeight="1">
      <c r="A67" s="212"/>
      <c r="B67" s="212"/>
      <c r="C67" s="212"/>
      <c r="D67" s="212"/>
      <c r="E67" s="212"/>
      <c r="F67" s="212"/>
      <c r="G67" s="212"/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</row>
    <row r="68" ht="15.75" customHeight="1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</row>
    <row r="69" ht="15.75" customHeight="1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</row>
    <row r="70" ht="15.75" customHeight="1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</row>
    <row r="71" ht="15.75" customHeight="1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</row>
    <row r="72" ht="15.75" customHeight="1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  <c r="N72" s="212"/>
      <c r="O72" s="212"/>
      <c r="P72" s="212"/>
      <c r="Q72" s="212"/>
      <c r="R72" s="212"/>
      <c r="S72" s="212"/>
      <c r="T72" s="212"/>
      <c r="U72" s="212"/>
      <c r="V72" s="212"/>
      <c r="W72" s="212"/>
      <c r="X72" s="212"/>
    </row>
    <row r="73" ht="15.75" customHeight="1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  <c r="N73" s="212"/>
      <c r="O73" s="212"/>
      <c r="P73" s="212"/>
      <c r="Q73" s="212"/>
      <c r="R73" s="212"/>
      <c r="S73" s="212"/>
      <c r="T73" s="212"/>
      <c r="U73" s="212"/>
      <c r="V73" s="212"/>
      <c r="W73" s="212"/>
      <c r="X73" s="212"/>
    </row>
    <row r="74" ht="15.75" customHeight="1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  <c r="N74" s="212"/>
      <c r="O74" s="212"/>
      <c r="P74" s="212"/>
      <c r="Q74" s="212"/>
      <c r="R74" s="212"/>
      <c r="S74" s="212"/>
      <c r="T74" s="212"/>
      <c r="U74" s="212"/>
      <c r="V74" s="212"/>
      <c r="W74" s="212"/>
      <c r="X74" s="212"/>
    </row>
    <row r="75" ht="15.75" customHeight="1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  <c r="N75" s="212"/>
      <c r="O75" s="212"/>
      <c r="P75" s="212"/>
      <c r="Q75" s="212"/>
      <c r="R75" s="212"/>
      <c r="S75" s="212"/>
      <c r="T75" s="212"/>
      <c r="U75" s="212"/>
      <c r="V75" s="212"/>
      <c r="W75" s="212"/>
      <c r="X75" s="212"/>
    </row>
    <row r="76" ht="15.75" customHeight="1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</row>
    <row r="77" ht="15.75" customHeight="1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  <c r="N77" s="212"/>
      <c r="O77" s="212"/>
      <c r="P77" s="212"/>
      <c r="Q77" s="212"/>
      <c r="R77" s="212"/>
      <c r="S77" s="212"/>
      <c r="T77" s="212"/>
      <c r="U77" s="212"/>
      <c r="V77" s="212"/>
      <c r="W77" s="212"/>
      <c r="X77" s="212"/>
    </row>
    <row r="78" ht="15.75" customHeight="1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  <c r="N78" s="212"/>
      <c r="O78" s="212"/>
      <c r="P78" s="212"/>
      <c r="Q78" s="212"/>
      <c r="R78" s="212"/>
      <c r="S78" s="212"/>
      <c r="T78" s="212"/>
      <c r="U78" s="212"/>
      <c r="V78" s="212"/>
      <c r="W78" s="212"/>
      <c r="X78" s="212"/>
    </row>
    <row r="79" ht="15.75" customHeight="1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</row>
    <row r="80" ht="15.75" customHeight="1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  <c r="N80" s="212"/>
      <c r="O80" s="212"/>
      <c r="P80" s="212"/>
      <c r="Q80" s="212"/>
      <c r="R80" s="212"/>
      <c r="S80" s="212"/>
      <c r="T80" s="212"/>
      <c r="U80" s="212"/>
      <c r="V80" s="212"/>
      <c r="W80" s="212"/>
      <c r="X80" s="212"/>
    </row>
    <row r="81" ht="15.75" customHeight="1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  <c r="N81" s="212"/>
      <c r="O81" s="212"/>
      <c r="P81" s="212"/>
      <c r="Q81" s="212"/>
      <c r="R81" s="212"/>
      <c r="S81" s="212"/>
      <c r="T81" s="212"/>
      <c r="U81" s="212"/>
      <c r="V81" s="212"/>
      <c r="W81" s="212"/>
      <c r="X81" s="212"/>
    </row>
    <row r="82" ht="15.75" customHeight="1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</row>
    <row r="83" ht="15.75" customHeight="1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</row>
    <row r="84" ht="15.75" customHeight="1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  <c r="N84" s="212"/>
      <c r="O84" s="212"/>
      <c r="P84" s="212"/>
      <c r="Q84" s="212"/>
      <c r="R84" s="212"/>
      <c r="S84" s="212"/>
      <c r="T84" s="212"/>
      <c r="U84" s="212"/>
      <c r="V84" s="212"/>
      <c r="W84" s="212"/>
      <c r="X84" s="212"/>
    </row>
    <row r="85" ht="15.75" customHeight="1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  <c r="N85" s="212"/>
      <c r="O85" s="212"/>
      <c r="P85" s="212"/>
      <c r="Q85" s="212"/>
      <c r="R85" s="212"/>
      <c r="S85" s="212"/>
      <c r="T85" s="212"/>
      <c r="U85" s="212"/>
      <c r="V85" s="212"/>
      <c r="W85" s="212"/>
      <c r="X85" s="212"/>
    </row>
    <row r="86" ht="15.75" customHeight="1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</row>
    <row r="87" ht="15.75" customHeight="1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  <c r="N87" s="212"/>
      <c r="O87" s="212"/>
      <c r="P87" s="212"/>
      <c r="Q87" s="212"/>
      <c r="R87" s="212"/>
      <c r="S87" s="212"/>
      <c r="T87" s="212"/>
      <c r="U87" s="212"/>
      <c r="V87" s="212"/>
      <c r="W87" s="212"/>
      <c r="X87" s="212"/>
    </row>
    <row r="88" ht="15.75" customHeight="1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212"/>
    </row>
    <row r="89" ht="15.75" customHeight="1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2"/>
    </row>
    <row r="90" ht="15.75" customHeight="1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212"/>
    </row>
    <row r="91" ht="15.75" customHeight="1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212"/>
    </row>
    <row r="92" ht="15.75" customHeight="1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212"/>
    </row>
    <row r="93" ht="15.75" customHeight="1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  <c r="N93" s="212"/>
      <c r="O93" s="212"/>
      <c r="P93" s="212"/>
      <c r="Q93" s="212"/>
      <c r="R93" s="212"/>
      <c r="S93" s="212"/>
      <c r="T93" s="212"/>
      <c r="U93" s="212"/>
      <c r="V93" s="212"/>
      <c r="W93" s="212"/>
      <c r="X93" s="212"/>
    </row>
    <row r="94" ht="15.75" customHeight="1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212"/>
    </row>
    <row r="95" ht="15.75" customHeight="1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  <c r="N95" s="212"/>
      <c r="O95" s="212"/>
      <c r="P95" s="212"/>
      <c r="Q95" s="212"/>
      <c r="R95" s="212"/>
      <c r="S95" s="212"/>
      <c r="T95" s="212"/>
      <c r="U95" s="212"/>
      <c r="V95" s="212"/>
      <c r="W95" s="212"/>
      <c r="X95" s="212"/>
    </row>
    <row r="96" ht="15.75" customHeight="1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  <c r="N96" s="212"/>
      <c r="O96" s="212"/>
      <c r="P96" s="212"/>
      <c r="Q96" s="212"/>
      <c r="R96" s="212"/>
      <c r="S96" s="212"/>
      <c r="T96" s="212"/>
      <c r="U96" s="212"/>
      <c r="V96" s="212"/>
      <c r="W96" s="212"/>
      <c r="X96" s="212"/>
    </row>
    <row r="97" ht="15.75" customHeight="1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212"/>
    </row>
    <row r="98" ht="15.75" customHeight="1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212"/>
    </row>
    <row r="99" ht="15.75" customHeight="1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  <c r="N99" s="212"/>
      <c r="O99" s="212"/>
      <c r="P99" s="212"/>
      <c r="Q99" s="212"/>
      <c r="R99" s="212"/>
      <c r="S99" s="212"/>
      <c r="T99" s="212"/>
      <c r="U99" s="212"/>
      <c r="V99" s="212"/>
      <c r="W99" s="212"/>
      <c r="X99" s="212"/>
    </row>
    <row r="100" ht="15.75" customHeight="1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  <c r="N100" s="212"/>
      <c r="O100" s="212"/>
      <c r="P100" s="212"/>
      <c r="Q100" s="212"/>
      <c r="R100" s="212"/>
      <c r="S100" s="212"/>
      <c r="T100" s="212"/>
      <c r="U100" s="212"/>
      <c r="V100" s="212"/>
      <c r="W100" s="212"/>
      <c r="X100" s="212"/>
    </row>
    <row r="101" ht="15.75" customHeight="1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  <c r="N101" s="212"/>
      <c r="O101" s="212"/>
      <c r="P101" s="212"/>
      <c r="Q101" s="212"/>
      <c r="R101" s="212"/>
      <c r="S101" s="212"/>
      <c r="T101" s="212"/>
      <c r="U101" s="212"/>
      <c r="V101" s="212"/>
      <c r="W101" s="212"/>
      <c r="X101" s="212"/>
    </row>
    <row r="102" ht="15.75" customHeight="1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  <c r="N102" s="212"/>
      <c r="O102" s="212"/>
      <c r="P102" s="212"/>
      <c r="Q102" s="212"/>
      <c r="R102" s="212"/>
      <c r="S102" s="212"/>
      <c r="T102" s="212"/>
      <c r="U102" s="212"/>
      <c r="V102" s="212"/>
      <c r="W102" s="212"/>
      <c r="X102" s="212"/>
    </row>
    <row r="103" ht="15.75" customHeight="1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  <c r="N103" s="212"/>
      <c r="O103" s="212"/>
      <c r="P103" s="212"/>
      <c r="Q103" s="212"/>
      <c r="R103" s="212"/>
      <c r="S103" s="212"/>
      <c r="T103" s="212"/>
      <c r="U103" s="212"/>
      <c r="V103" s="212"/>
      <c r="W103" s="212"/>
      <c r="X103" s="212"/>
    </row>
    <row r="104" ht="15.75" customHeight="1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  <c r="N104" s="212"/>
      <c r="O104" s="212"/>
      <c r="P104" s="212"/>
      <c r="Q104" s="212"/>
      <c r="R104" s="212"/>
      <c r="S104" s="212"/>
      <c r="T104" s="212"/>
      <c r="U104" s="212"/>
      <c r="V104" s="212"/>
      <c r="W104" s="212"/>
      <c r="X104" s="212"/>
    </row>
    <row r="105" ht="15.75" customHeight="1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  <c r="N105" s="212"/>
      <c r="O105" s="212"/>
      <c r="P105" s="212"/>
      <c r="Q105" s="212"/>
      <c r="R105" s="212"/>
      <c r="S105" s="212"/>
      <c r="T105" s="212"/>
      <c r="U105" s="212"/>
      <c r="V105" s="212"/>
      <c r="W105" s="212"/>
      <c r="X105" s="212"/>
    </row>
    <row r="106" ht="15.75" customHeight="1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</row>
    <row r="107" ht="15.75" customHeight="1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212"/>
      <c r="V107" s="212"/>
      <c r="W107" s="212"/>
      <c r="X107" s="212"/>
    </row>
    <row r="108" ht="15.75" customHeight="1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</row>
    <row r="109" ht="15.75" customHeight="1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  <c r="N109" s="212"/>
      <c r="O109" s="212"/>
      <c r="P109" s="212"/>
      <c r="Q109" s="212"/>
      <c r="R109" s="212"/>
      <c r="S109" s="212"/>
      <c r="T109" s="212"/>
      <c r="U109" s="212"/>
      <c r="V109" s="212"/>
      <c r="W109" s="212"/>
      <c r="X109" s="212"/>
    </row>
    <row r="110" ht="15.75" customHeight="1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  <c r="N110" s="212"/>
      <c r="O110" s="212"/>
      <c r="P110" s="212"/>
      <c r="Q110" s="212"/>
      <c r="R110" s="212"/>
      <c r="S110" s="212"/>
      <c r="T110" s="212"/>
      <c r="U110" s="212"/>
      <c r="V110" s="212"/>
      <c r="W110" s="212"/>
      <c r="X110" s="212"/>
    </row>
    <row r="111" ht="15.75" customHeight="1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  <c r="N111" s="212"/>
      <c r="O111" s="212"/>
      <c r="P111" s="212"/>
      <c r="Q111" s="212"/>
      <c r="R111" s="212"/>
      <c r="S111" s="212"/>
      <c r="T111" s="212"/>
      <c r="U111" s="212"/>
      <c r="V111" s="212"/>
      <c r="W111" s="212"/>
      <c r="X111" s="212"/>
    </row>
    <row r="112" ht="15.75" customHeight="1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  <c r="N112" s="212"/>
      <c r="O112" s="212"/>
      <c r="P112" s="212"/>
      <c r="Q112" s="212"/>
      <c r="R112" s="212"/>
      <c r="S112" s="212"/>
      <c r="T112" s="212"/>
      <c r="U112" s="212"/>
      <c r="V112" s="212"/>
      <c r="W112" s="212"/>
      <c r="X112" s="212"/>
    </row>
    <row r="113" ht="15.75" customHeight="1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2"/>
      <c r="P113" s="212"/>
      <c r="Q113" s="212"/>
      <c r="R113" s="212"/>
      <c r="S113" s="212"/>
      <c r="T113" s="212"/>
      <c r="U113" s="212"/>
      <c r="V113" s="212"/>
      <c r="W113" s="212"/>
      <c r="X113" s="212"/>
    </row>
    <row r="114" ht="15.75" customHeight="1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  <c r="N114" s="212"/>
      <c r="O114" s="212"/>
      <c r="P114" s="212"/>
      <c r="Q114" s="212"/>
      <c r="R114" s="212"/>
      <c r="S114" s="212"/>
      <c r="T114" s="212"/>
      <c r="U114" s="212"/>
      <c r="V114" s="212"/>
      <c r="W114" s="212"/>
      <c r="X114" s="212"/>
    </row>
    <row r="115" ht="15.75" customHeight="1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  <c r="N115" s="212"/>
      <c r="O115" s="212"/>
      <c r="P115" s="212"/>
      <c r="Q115" s="212"/>
      <c r="R115" s="212"/>
      <c r="S115" s="212"/>
      <c r="T115" s="212"/>
      <c r="U115" s="212"/>
      <c r="V115" s="212"/>
      <c r="W115" s="212"/>
      <c r="X115" s="212"/>
    </row>
    <row r="116" ht="15.75" customHeight="1">
      <c r="A116" s="212"/>
      <c r="B116" s="212"/>
      <c r="C116" s="212"/>
      <c r="D116" s="212"/>
      <c r="E116" s="212"/>
      <c r="F116" s="212"/>
      <c r="G116" s="212"/>
      <c r="H116" s="212"/>
      <c r="I116" s="212"/>
      <c r="J116" s="212"/>
      <c r="K116" s="212"/>
      <c r="L116" s="212"/>
      <c r="M116" s="212"/>
      <c r="N116" s="212"/>
      <c r="O116" s="212"/>
      <c r="P116" s="212"/>
      <c r="Q116" s="212"/>
      <c r="R116" s="212"/>
      <c r="S116" s="212"/>
      <c r="T116" s="212"/>
      <c r="U116" s="212"/>
      <c r="V116" s="212"/>
      <c r="W116" s="212"/>
      <c r="X116" s="212"/>
    </row>
    <row r="117" ht="15.75" customHeight="1">
      <c r="A117" s="212"/>
      <c r="B117" s="212"/>
      <c r="C117" s="212"/>
      <c r="D117" s="212"/>
      <c r="E117" s="212"/>
      <c r="F117" s="212"/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/>
      <c r="U117" s="212"/>
      <c r="V117" s="212"/>
      <c r="W117" s="212"/>
      <c r="X117" s="212"/>
    </row>
    <row r="118" ht="15.75" customHeight="1">
      <c r="A118" s="212"/>
      <c r="B118" s="212"/>
      <c r="C118" s="212"/>
      <c r="D118" s="212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212"/>
      <c r="V118" s="212"/>
      <c r="W118" s="212"/>
      <c r="X118" s="212"/>
    </row>
    <row r="119" ht="15.75" customHeight="1">
      <c r="A119" s="212"/>
      <c r="B119" s="212"/>
      <c r="C119" s="212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212"/>
      <c r="V119" s="212"/>
      <c r="W119" s="212"/>
      <c r="X119" s="212"/>
    </row>
    <row r="120" ht="15.75" customHeight="1">
      <c r="A120" s="212"/>
      <c r="B120" s="212"/>
      <c r="C120" s="212"/>
      <c r="D120" s="212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212"/>
      <c r="V120" s="212"/>
      <c r="W120" s="212"/>
      <c r="X120" s="212"/>
    </row>
    <row r="121" ht="15.75" customHeight="1">
      <c r="A121" s="212"/>
      <c r="B121" s="212"/>
      <c r="C121" s="212"/>
      <c r="D121" s="212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212"/>
      <c r="V121" s="212"/>
      <c r="W121" s="212"/>
      <c r="X121" s="212"/>
    </row>
    <row r="122" ht="15.75" customHeight="1">
      <c r="A122" s="212"/>
      <c r="B122" s="212"/>
      <c r="C122" s="212"/>
      <c r="D122" s="212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212"/>
      <c r="V122" s="212"/>
      <c r="W122" s="212"/>
      <c r="X122" s="212"/>
    </row>
    <row r="123" ht="15.75" customHeight="1">
      <c r="A123" s="212"/>
      <c r="B123" s="212"/>
      <c r="C123" s="212"/>
      <c r="D123" s="212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212"/>
      <c r="V123" s="212"/>
      <c r="W123" s="212"/>
      <c r="X123" s="212"/>
    </row>
    <row r="124" ht="15.75" customHeight="1">
      <c r="A124" s="212"/>
      <c r="B124" s="212"/>
      <c r="C124" s="212"/>
      <c r="D124" s="212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212"/>
      <c r="V124" s="212"/>
      <c r="W124" s="212"/>
      <c r="X124" s="212"/>
    </row>
    <row r="125" ht="15.75" customHeight="1">
      <c r="A125" s="212"/>
      <c r="B125" s="212"/>
      <c r="C125" s="212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  <c r="U125" s="212"/>
      <c r="V125" s="212"/>
      <c r="W125" s="212"/>
      <c r="X125" s="212"/>
    </row>
    <row r="126" ht="15.75" customHeight="1">
      <c r="A126" s="212"/>
      <c r="B126" s="212"/>
      <c r="C126" s="212"/>
      <c r="D126" s="212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  <c r="U126" s="212"/>
      <c r="V126" s="212"/>
      <c r="W126" s="212"/>
      <c r="X126" s="212"/>
    </row>
    <row r="127" ht="15.75" customHeight="1">
      <c r="A127" s="212"/>
      <c r="B127" s="212"/>
      <c r="C127" s="212"/>
      <c r="D127" s="212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  <c r="U127" s="212"/>
      <c r="V127" s="212"/>
      <c r="W127" s="212"/>
      <c r="X127" s="212"/>
    </row>
    <row r="128" ht="15.75" customHeight="1">
      <c r="A128" s="212"/>
      <c r="B128" s="212"/>
      <c r="C128" s="212"/>
      <c r="D128" s="212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</row>
    <row r="129" ht="15.75" customHeight="1">
      <c r="A129" s="212"/>
      <c r="B129" s="212"/>
      <c r="C129" s="212"/>
      <c r="D129" s="212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212"/>
      <c r="V129" s="212"/>
      <c r="W129" s="212"/>
      <c r="X129" s="212"/>
    </row>
    <row r="130" ht="15.75" customHeight="1">
      <c r="A130" s="212"/>
      <c r="B130" s="212"/>
      <c r="C130" s="212"/>
      <c r="D130" s="212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212"/>
      <c r="V130" s="212"/>
      <c r="W130" s="212"/>
      <c r="X130" s="212"/>
    </row>
    <row r="131" ht="15.75" customHeight="1">
      <c r="A131" s="212"/>
      <c r="B131" s="212"/>
      <c r="C131" s="212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212"/>
      <c r="V131" s="212"/>
      <c r="W131" s="212"/>
      <c r="X131" s="212"/>
    </row>
    <row r="132" ht="15.75" customHeight="1">
      <c r="A132" s="212"/>
      <c r="B132" s="212"/>
      <c r="C132" s="212"/>
      <c r="D132" s="212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212"/>
      <c r="V132" s="212"/>
      <c r="W132" s="212"/>
      <c r="X132" s="212"/>
    </row>
    <row r="133" ht="15.75" customHeight="1">
      <c r="A133" s="212"/>
      <c r="B133" s="212"/>
      <c r="C133" s="212"/>
      <c r="D133" s="212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212"/>
      <c r="V133" s="212"/>
      <c r="W133" s="212"/>
      <c r="X133" s="212"/>
    </row>
    <row r="134" ht="15.75" customHeight="1">
      <c r="A134" s="212"/>
      <c r="B134" s="212"/>
      <c r="C134" s="212"/>
      <c r="D134" s="212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212"/>
      <c r="V134" s="212"/>
      <c r="W134" s="212"/>
      <c r="X134" s="212"/>
    </row>
    <row r="135" ht="15.75" customHeight="1">
      <c r="A135" s="212"/>
      <c r="B135" s="212"/>
      <c r="C135" s="212"/>
      <c r="D135" s="212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</row>
    <row r="136" ht="15.75" customHeight="1">
      <c r="A136" s="212"/>
      <c r="B136" s="212"/>
      <c r="C136" s="212"/>
      <c r="D136" s="212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  <c r="U136" s="212"/>
      <c r="V136" s="212"/>
      <c r="W136" s="212"/>
      <c r="X136" s="212"/>
    </row>
    <row r="137" ht="15.75" customHeight="1">
      <c r="A137" s="212"/>
      <c r="B137" s="212"/>
      <c r="C137" s="212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</row>
    <row r="138" ht="15.75" customHeight="1">
      <c r="A138" s="212"/>
      <c r="B138" s="212"/>
      <c r="C138" s="212"/>
      <c r="D138" s="212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</row>
    <row r="139" ht="15.75" customHeight="1">
      <c r="A139" s="212"/>
      <c r="B139" s="212"/>
      <c r="C139" s="212"/>
      <c r="D139" s="212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</row>
    <row r="140" ht="15.75" customHeight="1">
      <c r="A140" s="212"/>
      <c r="B140" s="212"/>
      <c r="C140" s="212"/>
      <c r="D140" s="212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</row>
    <row r="141" ht="15.75" customHeight="1">
      <c r="A141" s="212"/>
      <c r="B141" s="212"/>
      <c r="C141" s="212"/>
      <c r="D141" s="212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</row>
    <row r="142" ht="15.75" customHeight="1">
      <c r="A142" s="212"/>
      <c r="B142" s="212"/>
      <c r="C142" s="212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</row>
    <row r="143" ht="15.75" customHeight="1">
      <c r="A143" s="212"/>
      <c r="B143" s="212"/>
      <c r="C143" s="212"/>
      <c r="D143" s="212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</row>
    <row r="144" ht="15.75" customHeight="1">
      <c r="A144" s="212"/>
      <c r="B144" s="212"/>
      <c r="C144" s="212"/>
      <c r="D144" s="212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</row>
    <row r="145" ht="15.75" customHeight="1">
      <c r="A145" s="212"/>
      <c r="B145" s="212"/>
      <c r="C145" s="212"/>
      <c r="D145" s="212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</row>
    <row r="146" ht="15.75" customHeight="1">
      <c r="A146" s="212"/>
      <c r="B146" s="212"/>
      <c r="C146" s="212"/>
      <c r="D146" s="212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</row>
    <row r="147" ht="15.75" customHeight="1">
      <c r="A147" s="212"/>
      <c r="B147" s="212"/>
      <c r="C147" s="212"/>
      <c r="D147" s="212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</row>
    <row r="148" ht="15.75" customHeight="1">
      <c r="A148" s="212"/>
      <c r="B148" s="212"/>
      <c r="C148" s="212"/>
      <c r="D148" s="212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</row>
    <row r="149" ht="15.75" customHeight="1">
      <c r="A149" s="212"/>
      <c r="B149" s="212"/>
      <c r="C149" s="212"/>
      <c r="D149" s="212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</row>
    <row r="150" ht="15.75" customHeight="1">
      <c r="A150" s="212"/>
      <c r="B150" s="212"/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</row>
    <row r="151" ht="15.75" customHeight="1">
      <c r="A151" s="212"/>
      <c r="B151" s="212"/>
      <c r="C151" s="212"/>
      <c r="D151" s="212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</row>
    <row r="152" ht="15.75" customHeight="1">
      <c r="A152" s="212"/>
      <c r="B152" s="212"/>
      <c r="C152" s="212"/>
      <c r="D152" s="212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</row>
    <row r="153" ht="15.75" customHeight="1">
      <c r="A153" s="212"/>
      <c r="B153" s="212"/>
      <c r="C153" s="212"/>
      <c r="D153" s="212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</row>
    <row r="154" ht="15.75" customHeight="1">
      <c r="A154" s="212"/>
      <c r="B154" s="212"/>
      <c r="C154" s="212"/>
      <c r="D154" s="212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</row>
    <row r="155" ht="15.75" customHeight="1">
      <c r="A155" s="212"/>
      <c r="B155" s="212"/>
      <c r="C155" s="212"/>
      <c r="D155" s="212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</row>
    <row r="156" ht="15.75" customHeight="1">
      <c r="A156" s="212"/>
      <c r="B156" s="212"/>
      <c r="C156" s="212"/>
      <c r="D156" s="212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</row>
    <row r="157" ht="15.75" customHeight="1">
      <c r="A157" s="212"/>
      <c r="B157" s="212"/>
      <c r="C157" s="212"/>
      <c r="D157" s="212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</row>
    <row r="158" ht="15.75" customHeight="1">
      <c r="A158" s="212"/>
      <c r="B158" s="212"/>
      <c r="C158" s="212"/>
      <c r="D158" s="212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</row>
    <row r="159" ht="15.75" customHeight="1">
      <c r="A159" s="212"/>
      <c r="B159" s="212"/>
      <c r="C159" s="212"/>
      <c r="D159" s="212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</row>
    <row r="160" ht="15.75" customHeight="1">
      <c r="A160" s="212"/>
      <c r="B160" s="212"/>
      <c r="C160" s="212"/>
      <c r="D160" s="212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</row>
    <row r="161" ht="15.75" customHeight="1">
      <c r="A161" s="212"/>
      <c r="B161" s="212"/>
      <c r="C161" s="212"/>
      <c r="D161" s="212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</row>
    <row r="162" ht="15.75" customHeight="1">
      <c r="A162" s="212"/>
      <c r="B162" s="212"/>
      <c r="C162" s="212"/>
      <c r="D162" s="212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</row>
    <row r="163" ht="15.75" customHeight="1">
      <c r="A163" s="212"/>
      <c r="B163" s="212"/>
      <c r="C163" s="212"/>
      <c r="D163" s="212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</row>
    <row r="164" ht="15.75" customHeight="1">
      <c r="A164" s="212"/>
      <c r="B164" s="212"/>
      <c r="C164" s="212"/>
      <c r="D164" s="212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</row>
    <row r="165" ht="15.75" customHeight="1">
      <c r="A165" s="212"/>
      <c r="B165" s="212"/>
      <c r="C165" s="212"/>
      <c r="D165" s="212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</row>
    <row r="166" ht="15.75" customHeight="1">
      <c r="A166" s="212"/>
      <c r="B166" s="212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</row>
    <row r="167" ht="15.75" customHeight="1">
      <c r="A167" s="212"/>
      <c r="B167" s="212"/>
      <c r="C167" s="212"/>
      <c r="D167" s="212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</row>
    <row r="168" ht="15.75" customHeight="1">
      <c r="A168" s="212"/>
      <c r="B168" s="212"/>
      <c r="C168" s="212"/>
      <c r="D168" s="212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</row>
    <row r="169" ht="15.75" customHeight="1">
      <c r="A169" s="212"/>
      <c r="B169" s="212"/>
      <c r="C169" s="212"/>
      <c r="D169" s="212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</row>
    <row r="170" ht="15.75" customHeight="1">
      <c r="A170" s="212"/>
      <c r="B170" s="212"/>
      <c r="C170" s="212"/>
      <c r="D170" s="212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</row>
    <row r="171" ht="15.75" customHeight="1">
      <c r="A171" s="212"/>
      <c r="B171" s="212"/>
      <c r="C171" s="212"/>
      <c r="D171" s="212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</row>
    <row r="172" ht="15.75" customHeight="1">
      <c r="A172" s="212"/>
      <c r="B172" s="212"/>
      <c r="C172" s="212"/>
      <c r="D172" s="212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</row>
    <row r="173" ht="15.75" customHeight="1">
      <c r="A173" s="212"/>
      <c r="B173" s="212"/>
      <c r="C173" s="212"/>
      <c r="D173" s="212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</row>
    <row r="174" ht="15.75" customHeight="1">
      <c r="A174" s="212"/>
      <c r="B174" s="212"/>
      <c r="C174" s="212"/>
      <c r="D174" s="212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</row>
    <row r="175" ht="15.75" customHeight="1">
      <c r="A175" s="212"/>
      <c r="B175" s="212"/>
      <c r="C175" s="212"/>
      <c r="D175" s="212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</row>
    <row r="176" ht="15.75" customHeight="1">
      <c r="A176" s="212"/>
      <c r="B176" s="212"/>
      <c r="C176" s="212"/>
      <c r="D176" s="212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</row>
    <row r="177" ht="15.75" customHeight="1">
      <c r="A177" s="212"/>
      <c r="B177" s="212"/>
      <c r="C177" s="212"/>
      <c r="D177" s="212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</row>
    <row r="178" ht="15.75" customHeight="1">
      <c r="A178" s="212"/>
      <c r="B178" s="212"/>
      <c r="C178" s="212"/>
      <c r="D178" s="212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</row>
    <row r="179" ht="15.75" customHeight="1">
      <c r="A179" s="212"/>
      <c r="B179" s="212"/>
      <c r="C179" s="212"/>
      <c r="D179" s="212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</row>
    <row r="180" ht="15.75" customHeight="1">
      <c r="A180" s="212"/>
      <c r="B180" s="212"/>
      <c r="C180" s="212"/>
      <c r="D180" s="212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</row>
    <row r="181" ht="15.75" customHeight="1">
      <c r="A181" s="212"/>
      <c r="B181" s="212"/>
      <c r="C181" s="212"/>
      <c r="D181" s="212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</row>
    <row r="182" ht="15.75" customHeight="1">
      <c r="A182" s="212"/>
      <c r="B182" s="212"/>
      <c r="C182" s="212"/>
      <c r="D182" s="212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</row>
    <row r="183" ht="15.75" customHeight="1">
      <c r="A183" s="212"/>
      <c r="B183" s="212"/>
      <c r="C183" s="212"/>
      <c r="D183" s="212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</row>
    <row r="184" ht="15.75" customHeight="1">
      <c r="A184" s="212"/>
      <c r="B184" s="212"/>
      <c r="C184" s="212"/>
      <c r="D184" s="212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</row>
    <row r="185" ht="15.75" customHeight="1">
      <c r="A185" s="212"/>
      <c r="B185" s="212"/>
      <c r="C185" s="212"/>
      <c r="D185" s="212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</row>
    <row r="186" ht="15.75" customHeight="1">
      <c r="A186" s="212"/>
      <c r="B186" s="212"/>
      <c r="C186" s="212"/>
      <c r="D186" s="212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</row>
    <row r="187" ht="15.75" customHeight="1">
      <c r="A187" s="212"/>
      <c r="B187" s="212"/>
      <c r="C187" s="212"/>
      <c r="D187" s="212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</row>
    <row r="188" ht="15.75" customHeight="1">
      <c r="A188" s="212"/>
      <c r="B188" s="212"/>
      <c r="C188" s="212"/>
      <c r="D188" s="212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</row>
    <row r="189" ht="15.75" customHeight="1">
      <c r="A189" s="212"/>
      <c r="B189" s="212"/>
      <c r="C189" s="212"/>
      <c r="D189" s="212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</row>
    <row r="190" ht="15.75" customHeight="1">
      <c r="A190" s="212"/>
      <c r="B190" s="212"/>
      <c r="C190" s="212"/>
      <c r="D190" s="212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</row>
    <row r="191" ht="15.75" customHeight="1">
      <c r="A191" s="212"/>
      <c r="B191" s="212"/>
      <c r="C191" s="212"/>
      <c r="D191" s="212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</row>
    <row r="192" ht="15.75" customHeight="1">
      <c r="A192" s="212"/>
      <c r="B192" s="212"/>
      <c r="C192" s="212"/>
      <c r="D192" s="212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</row>
    <row r="193" ht="15.75" customHeight="1">
      <c r="A193" s="212"/>
      <c r="B193" s="212"/>
      <c r="C193" s="212"/>
      <c r="D193" s="212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</row>
    <row r="194" ht="15.75" customHeight="1">
      <c r="A194" s="212"/>
      <c r="B194" s="212"/>
      <c r="C194" s="212"/>
      <c r="D194" s="212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</row>
    <row r="195" ht="15.75" customHeight="1">
      <c r="A195" s="212"/>
      <c r="B195" s="212"/>
      <c r="C195" s="212"/>
      <c r="D195" s="212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</row>
    <row r="196" ht="15.75" customHeight="1">
      <c r="A196" s="212"/>
      <c r="B196" s="212"/>
      <c r="C196" s="212"/>
      <c r="D196" s="212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</row>
    <row r="197" ht="15.75" customHeight="1">
      <c r="A197" s="212"/>
      <c r="B197" s="212"/>
      <c r="C197" s="212"/>
      <c r="D197" s="212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</row>
    <row r="198" ht="15.75" customHeight="1">
      <c r="A198" s="212"/>
      <c r="B198" s="212"/>
      <c r="C198" s="212"/>
      <c r="D198" s="212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</row>
    <row r="199" ht="15.75" customHeight="1">
      <c r="A199" s="212"/>
      <c r="B199" s="212"/>
      <c r="C199" s="212"/>
      <c r="D199" s="212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</row>
    <row r="200" ht="15.75" customHeight="1">
      <c r="A200" s="212"/>
      <c r="B200" s="212"/>
      <c r="C200" s="212"/>
      <c r="D200" s="212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</row>
    <row r="201" ht="15.75" customHeight="1">
      <c r="A201" s="212"/>
      <c r="B201" s="212"/>
      <c r="C201" s="212"/>
      <c r="D201" s="212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</row>
    <row r="202" ht="15.75" customHeight="1">
      <c r="A202" s="212"/>
      <c r="B202" s="212"/>
      <c r="C202" s="212"/>
      <c r="D202" s="212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</row>
    <row r="203" ht="15.75" customHeight="1">
      <c r="A203" s="212"/>
      <c r="B203" s="212"/>
      <c r="C203" s="212"/>
      <c r="D203" s="212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</row>
    <row r="204" ht="15.75" customHeight="1">
      <c r="A204" s="212"/>
      <c r="B204" s="212"/>
      <c r="C204" s="212"/>
      <c r="D204" s="212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</row>
    <row r="205" ht="15.75" customHeight="1">
      <c r="A205" s="212"/>
      <c r="B205" s="212"/>
      <c r="C205" s="212"/>
      <c r="D205" s="212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</row>
    <row r="206" ht="15.75" customHeight="1">
      <c r="A206" s="212"/>
      <c r="B206" s="212"/>
      <c r="C206" s="212"/>
      <c r="D206" s="212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</row>
    <row r="207" ht="15.75" customHeight="1">
      <c r="A207" s="212"/>
      <c r="B207" s="212"/>
      <c r="C207" s="212"/>
      <c r="D207" s="212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</row>
    <row r="208" ht="15.75" customHeight="1">
      <c r="A208" s="212"/>
      <c r="B208" s="212"/>
      <c r="C208" s="212"/>
      <c r="D208" s="212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</row>
    <row r="209" ht="15.75" customHeight="1">
      <c r="A209" s="212"/>
      <c r="B209" s="212"/>
      <c r="C209" s="212"/>
      <c r="D209" s="212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</row>
    <row r="210" ht="15.75" customHeight="1">
      <c r="A210" s="212"/>
      <c r="B210" s="212"/>
      <c r="C210" s="212"/>
      <c r="D210" s="212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</row>
    <row r="211" ht="15.75" customHeight="1">
      <c r="A211" s="212"/>
      <c r="B211" s="212"/>
      <c r="C211" s="212"/>
      <c r="D211" s="212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</row>
    <row r="212" ht="15.75" customHeight="1">
      <c r="A212" s="212"/>
      <c r="B212" s="212"/>
      <c r="C212" s="212"/>
      <c r="D212" s="212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</row>
    <row r="213" ht="15.75" customHeight="1">
      <c r="A213" s="212"/>
      <c r="B213" s="212"/>
      <c r="C213" s="212"/>
      <c r="D213" s="212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</row>
    <row r="214" ht="15.75" customHeight="1">
      <c r="A214" s="212"/>
      <c r="B214" s="212"/>
      <c r="C214" s="212"/>
      <c r="D214" s="212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</row>
    <row r="215" ht="15.75" customHeight="1">
      <c r="A215" s="212"/>
      <c r="B215" s="212"/>
      <c r="C215" s="212"/>
      <c r="D215" s="212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</row>
    <row r="216" ht="15.75" customHeight="1">
      <c r="A216" s="212"/>
      <c r="B216" s="212"/>
      <c r="C216" s="212"/>
      <c r="D216" s="212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</row>
    <row r="217" ht="15.75" customHeight="1">
      <c r="A217" s="212"/>
      <c r="B217" s="212"/>
      <c r="C217" s="212"/>
      <c r="D217" s="212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</row>
    <row r="218" ht="15.75" customHeight="1">
      <c r="A218" s="212"/>
      <c r="B218" s="212"/>
      <c r="C218" s="212"/>
      <c r="D218" s="212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</row>
    <row r="219" ht="15.75" customHeight="1">
      <c r="A219" s="212"/>
      <c r="B219" s="212"/>
      <c r="C219" s="212"/>
      <c r="D219" s="212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</row>
    <row r="220" ht="15.75" customHeight="1">
      <c r="A220" s="212"/>
      <c r="B220" s="212"/>
      <c r="C220" s="212"/>
      <c r="D220" s="212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</row>
    <row r="221" ht="15.75" customHeight="1">
      <c r="A221" s="212"/>
      <c r="B221" s="212"/>
      <c r="C221" s="212"/>
      <c r="D221" s="212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</row>
    <row r="222" ht="15.75" customHeight="1">
      <c r="A222" s="212"/>
      <c r="B222" s="212"/>
      <c r="C222" s="212"/>
      <c r="D222" s="212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</row>
    <row r="223" ht="15.75" customHeight="1">
      <c r="A223" s="212"/>
      <c r="B223" s="212"/>
      <c r="C223" s="212"/>
      <c r="D223" s="212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</row>
    <row r="224" ht="15.75" customHeight="1">
      <c r="A224" s="212"/>
      <c r="B224" s="212"/>
      <c r="C224" s="212"/>
      <c r="D224" s="212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</row>
    <row r="225" ht="15.75" customHeight="1">
      <c r="A225" s="212"/>
      <c r="B225" s="212"/>
      <c r="C225" s="212"/>
      <c r="D225" s="212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</row>
    <row r="226" ht="15.75" customHeight="1">
      <c r="A226" s="212"/>
      <c r="B226" s="212"/>
      <c r="C226" s="212"/>
      <c r="D226" s="212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</row>
    <row r="227" ht="15.75" customHeight="1">
      <c r="A227" s="212"/>
      <c r="B227" s="212"/>
      <c r="C227" s="212"/>
      <c r="D227" s="212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</row>
    <row r="228" ht="15.75" customHeight="1">
      <c r="A228" s="212"/>
      <c r="B228" s="212"/>
      <c r="C228" s="212"/>
      <c r="D228" s="212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</row>
    <row r="229" ht="15.75" customHeight="1">
      <c r="A229" s="212"/>
      <c r="B229" s="212"/>
      <c r="C229" s="212"/>
      <c r="D229" s="212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</row>
    <row r="230" ht="15.75" customHeight="1">
      <c r="A230" s="212"/>
      <c r="B230" s="212"/>
      <c r="C230" s="212"/>
      <c r="D230" s="212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</row>
    <row r="231" ht="15.75" customHeight="1">
      <c r="A231" s="212"/>
      <c r="B231" s="212"/>
      <c r="C231" s="212"/>
      <c r="D231" s="212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</row>
    <row r="232" ht="15.75" customHeight="1">
      <c r="A232" s="212"/>
      <c r="B232" s="212"/>
      <c r="C232" s="212"/>
      <c r="D232" s="212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</row>
    <row r="233" ht="15.75" customHeight="1">
      <c r="A233" s="212"/>
      <c r="B233" s="212"/>
      <c r="C233" s="212"/>
      <c r="D233" s="212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</row>
    <row r="234" ht="15.75" customHeight="1">
      <c r="A234" s="212"/>
      <c r="B234" s="212"/>
      <c r="C234" s="212"/>
      <c r="D234" s="212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</row>
    <row r="235" ht="15.75" customHeight="1">
      <c r="A235" s="212"/>
      <c r="B235" s="212"/>
      <c r="C235" s="212"/>
      <c r="D235" s="212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1:B11"/>
    <mergeCell ref="A12:B12"/>
    <mergeCell ref="A1:D1"/>
    <mergeCell ref="A6:B6"/>
    <mergeCell ref="A7:B7"/>
    <mergeCell ref="C7:C12"/>
    <mergeCell ref="A8:B8"/>
    <mergeCell ref="A9:B9"/>
    <mergeCell ref="A10:B10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20:D20"/>
  </mergeCells>
  <dataValidations>
    <dataValidation type="list" allowBlank="1" showErrorMessage="1" sqref="B2:B3">
      <formula1>Course_Code</formula1>
    </dataValidation>
  </dataValidations>
  <printOptions/>
  <pageMargins bottom="0.75" footer="0.0" header="0.0" left="0.7" right="0.7" top="0.75"/>
  <pageSetup paperSize="9" orientation="portrait"/>
  <headerFooter>
    <oddHeader>&amp;LDepartment of CSE, ULAB&amp;CCQI Form&amp;RCSE005(00)</oddHeader>
    <oddFooter>&amp;LGenerated on &amp;D &amp;T&amp;CPage &amp;P of 1&amp;RCSE005(00) Page &amp;P of 1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1.86"/>
    <col customWidth="1" min="3" max="3" width="27.14"/>
    <col customWidth="1" min="4" max="7" width="3.86"/>
    <col customWidth="1" min="8" max="8" width="13.86"/>
    <col customWidth="1" min="9" max="9" width="10.29"/>
    <col customWidth="1" min="10" max="10" width="15.57"/>
    <col customWidth="1" min="11" max="11" width="8.57"/>
    <col customWidth="1" min="12" max="12" width="10.29"/>
    <col customWidth="1" min="13" max="13" width="15.14"/>
    <col customWidth="1" min="14" max="14" width="11.71"/>
    <col customWidth="1" min="15" max="15" width="14.0"/>
    <col customWidth="1" hidden="1" min="16" max="16" width="14.43"/>
  </cols>
  <sheetData>
    <row r="1" ht="15.75" customHeight="1">
      <c r="A1" s="258" t="s">
        <v>194</v>
      </c>
      <c r="B1" s="258" t="s">
        <v>62</v>
      </c>
      <c r="C1" s="259" t="s">
        <v>195</v>
      </c>
      <c r="D1" s="260" t="s">
        <v>196</v>
      </c>
      <c r="E1" s="260" t="s">
        <v>197</v>
      </c>
      <c r="F1" s="260" t="s">
        <v>198</v>
      </c>
      <c r="G1" s="260" t="s">
        <v>199</v>
      </c>
      <c r="H1" s="261" t="s">
        <v>200</v>
      </c>
      <c r="I1" s="260" t="s">
        <v>201</v>
      </c>
      <c r="J1" s="259" t="s">
        <v>202</v>
      </c>
      <c r="K1" s="259" t="s">
        <v>203</v>
      </c>
      <c r="L1" s="259" t="s">
        <v>204</v>
      </c>
      <c r="M1" s="259" t="s">
        <v>205</v>
      </c>
      <c r="N1" s="259" t="s">
        <v>206</v>
      </c>
      <c r="O1" s="261" t="s">
        <v>2</v>
      </c>
      <c r="P1" s="262"/>
      <c r="Q1" s="262"/>
      <c r="R1" s="262"/>
      <c r="S1" s="262"/>
      <c r="T1" s="263"/>
      <c r="U1" s="263"/>
      <c r="V1" s="263"/>
      <c r="W1" s="263"/>
      <c r="X1" s="263"/>
      <c r="Y1" s="263"/>
      <c r="Z1" s="263"/>
      <c r="AA1" s="263"/>
      <c r="AB1" s="263"/>
      <c r="AC1" s="263"/>
      <c r="AD1" s="263"/>
      <c r="AE1" s="263"/>
      <c r="AF1" s="263"/>
      <c r="AG1" s="263"/>
      <c r="AH1" s="263"/>
      <c r="AI1" s="263"/>
    </row>
    <row r="2" ht="15.75" customHeight="1">
      <c r="A2" s="264">
        <v>1.0</v>
      </c>
      <c r="B2" s="264">
        <v>2.01014102E8</v>
      </c>
      <c r="C2" s="265" t="s">
        <v>73</v>
      </c>
      <c r="D2" s="266">
        <v>0.0</v>
      </c>
      <c r="E2" s="266">
        <v>2.0</v>
      </c>
      <c r="F2" s="266">
        <v>2.0</v>
      </c>
      <c r="G2" s="266">
        <v>0.0</v>
      </c>
      <c r="H2" s="267">
        <f t="shared" ref="H2:H18" si="1">ROUNDUP((SUM(D2:G2)/8)*15, 0)</f>
        <v>8</v>
      </c>
      <c r="I2" s="266">
        <v>6.0</v>
      </c>
      <c r="J2" s="265">
        <v>5.0</v>
      </c>
      <c r="K2" s="265">
        <f t="shared" ref="K2:K37" si="2">SUM(H2:J2)</f>
        <v>19</v>
      </c>
      <c r="L2" s="265">
        <v>32.0</v>
      </c>
      <c r="M2" s="265">
        <v>25.0</v>
      </c>
      <c r="N2" s="265">
        <f t="shared" ref="N2:N37" si="3">SUM(K2:M2)</f>
        <v>76</v>
      </c>
      <c r="O2" s="265" t="str">
        <f t="shared" ref="O2:O3" si="4">IFS(
N2&gt;=95,"A+",
N2&gt;=85,"A",
N2&gt;=80,"A-",
N2&gt;=75,"B+",
N2&gt;=70,"B",
N2&gt;=65,"B-",
N2&gt;=60,"C+",
N2&gt;=55,"C",
N2&gt;=50,"D",
N2&lt;50,"F"
)</f>
        <v>B+</v>
      </c>
      <c r="P2" s="262"/>
      <c r="Q2" s="262"/>
      <c r="R2" s="262"/>
      <c r="S2" s="262"/>
      <c r="T2" s="263"/>
      <c r="U2" s="263"/>
      <c r="V2" s="263"/>
      <c r="W2" s="263"/>
      <c r="X2" s="263"/>
      <c r="Y2" s="263"/>
      <c r="Z2" s="263"/>
      <c r="AA2" s="263"/>
      <c r="AB2" s="263"/>
      <c r="AC2" s="263"/>
      <c r="AD2" s="263"/>
      <c r="AE2" s="263"/>
      <c r="AF2" s="263"/>
      <c r="AG2" s="263"/>
      <c r="AH2" s="263"/>
      <c r="AI2" s="263"/>
    </row>
    <row r="3" ht="15.75" customHeight="1">
      <c r="A3" s="264">
        <v>2.0</v>
      </c>
      <c r="B3" s="264">
        <v>2.13014022E8</v>
      </c>
      <c r="C3" s="265" t="s">
        <v>74</v>
      </c>
      <c r="D3" s="266">
        <v>2.0</v>
      </c>
      <c r="E3" s="266">
        <v>1.0</v>
      </c>
      <c r="F3" s="266">
        <v>2.0</v>
      </c>
      <c r="G3" s="266">
        <v>0.0</v>
      </c>
      <c r="H3" s="267">
        <f t="shared" si="1"/>
        <v>10</v>
      </c>
      <c r="I3" s="266">
        <v>7.0</v>
      </c>
      <c r="J3" s="265">
        <v>5.0</v>
      </c>
      <c r="K3" s="265">
        <f t="shared" si="2"/>
        <v>22</v>
      </c>
      <c r="L3" s="265">
        <v>25.0</v>
      </c>
      <c r="M3" s="265">
        <v>20.0</v>
      </c>
      <c r="N3" s="265">
        <f t="shared" si="3"/>
        <v>67</v>
      </c>
      <c r="O3" s="265" t="str">
        <f t="shared" si="4"/>
        <v>B-</v>
      </c>
      <c r="P3" s="262"/>
      <c r="Q3" s="262"/>
      <c r="R3" s="262"/>
      <c r="S3" s="262"/>
      <c r="T3" s="263"/>
      <c r="U3" s="263"/>
      <c r="V3" s="263"/>
      <c r="W3" s="263"/>
      <c r="X3" s="263"/>
      <c r="Y3" s="263"/>
      <c r="Z3" s="263"/>
      <c r="AA3" s="263"/>
      <c r="AB3" s="263"/>
      <c r="AC3" s="263"/>
      <c r="AD3" s="263"/>
      <c r="AE3" s="263"/>
      <c r="AF3" s="263"/>
      <c r="AG3" s="263"/>
      <c r="AH3" s="263"/>
      <c r="AI3" s="263"/>
    </row>
    <row r="4" ht="15.75" customHeight="1">
      <c r="A4" s="264">
        <v>3.0</v>
      </c>
      <c r="B4" s="264">
        <v>2.21014083E8</v>
      </c>
      <c r="C4" s="268" t="s">
        <v>75</v>
      </c>
      <c r="D4" s="266">
        <v>2.0</v>
      </c>
      <c r="E4" s="266">
        <v>2.0</v>
      </c>
      <c r="F4" s="266">
        <v>2.0</v>
      </c>
      <c r="G4" s="266">
        <v>0.0</v>
      </c>
      <c r="H4" s="267">
        <f t="shared" si="1"/>
        <v>12</v>
      </c>
      <c r="I4" s="266">
        <v>0.0</v>
      </c>
      <c r="J4" s="265"/>
      <c r="K4" s="265">
        <f t="shared" si="2"/>
        <v>12</v>
      </c>
      <c r="L4" s="265"/>
      <c r="M4" s="265"/>
      <c r="N4" s="265">
        <f t="shared" si="3"/>
        <v>12</v>
      </c>
      <c r="O4" s="268" t="s">
        <v>114</v>
      </c>
      <c r="P4" s="262"/>
      <c r="Q4" s="262"/>
      <c r="R4" s="262"/>
      <c r="S4" s="262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</row>
    <row r="5" ht="15.75" customHeight="1">
      <c r="A5" s="264">
        <v>4.0</v>
      </c>
      <c r="B5" s="264">
        <v>2.21014111E8</v>
      </c>
      <c r="C5" s="265" t="s">
        <v>78</v>
      </c>
      <c r="D5" s="266">
        <v>0.0</v>
      </c>
      <c r="E5" s="266">
        <v>0.0</v>
      </c>
      <c r="F5" s="266">
        <v>0.0</v>
      </c>
      <c r="G5" s="266">
        <v>0.0</v>
      </c>
      <c r="H5" s="267">
        <f t="shared" si="1"/>
        <v>0</v>
      </c>
      <c r="I5" s="266">
        <v>6.0</v>
      </c>
      <c r="J5" s="265">
        <v>5.0</v>
      </c>
      <c r="K5" s="265">
        <f t="shared" si="2"/>
        <v>11</v>
      </c>
      <c r="L5" s="265">
        <v>30.0</v>
      </c>
      <c r="M5" s="265">
        <v>24.0</v>
      </c>
      <c r="N5" s="265">
        <f t="shared" si="3"/>
        <v>65</v>
      </c>
      <c r="O5" s="265" t="str">
        <f>IFS(
N5&gt;=95,"A+",
N5&gt;=85,"A",
N5&gt;=80,"A-",
N5&gt;=75,"B+",
N5&gt;=70,"B",
N5&gt;=65,"B-",
N5&gt;=60,"C+",
N5&gt;=55,"C",
N5&gt;=50,"D",
N5&lt;50,"F"
)</f>
        <v>B-</v>
      </c>
      <c r="P5" s="262"/>
      <c r="Q5" s="262"/>
      <c r="R5" s="262"/>
      <c r="S5" s="262"/>
      <c r="T5" s="263"/>
      <c r="U5" s="263"/>
      <c r="V5" s="263"/>
      <c r="W5" s="263"/>
      <c r="X5" s="263"/>
      <c r="Y5" s="263"/>
      <c r="Z5" s="263"/>
      <c r="AA5" s="263"/>
      <c r="AB5" s="263"/>
      <c r="AC5" s="263"/>
      <c r="AD5" s="263"/>
      <c r="AE5" s="263"/>
      <c r="AF5" s="263"/>
      <c r="AG5" s="263"/>
      <c r="AH5" s="263"/>
      <c r="AI5" s="263"/>
    </row>
    <row r="6" ht="15.75" customHeight="1">
      <c r="A6" s="264">
        <v>5.0</v>
      </c>
      <c r="B6" s="264">
        <v>2.21014129E8</v>
      </c>
      <c r="C6" s="269" t="s">
        <v>79</v>
      </c>
      <c r="D6" s="266">
        <v>2.0</v>
      </c>
      <c r="E6" s="266">
        <v>0.0</v>
      </c>
      <c r="F6" s="266">
        <v>0.0</v>
      </c>
      <c r="G6" s="266">
        <v>0.0</v>
      </c>
      <c r="H6" s="267">
        <f t="shared" si="1"/>
        <v>4</v>
      </c>
      <c r="I6" s="266">
        <v>0.0</v>
      </c>
      <c r="J6" s="265"/>
      <c r="K6" s="265">
        <f t="shared" si="2"/>
        <v>4</v>
      </c>
      <c r="L6" s="265"/>
      <c r="M6" s="265"/>
      <c r="N6" s="265">
        <f t="shared" si="3"/>
        <v>4</v>
      </c>
      <c r="O6" s="269" t="s">
        <v>116</v>
      </c>
      <c r="P6" s="262"/>
      <c r="Q6" s="262"/>
      <c r="R6" s="262"/>
      <c r="S6" s="262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</row>
    <row r="7" ht="15.75" customHeight="1">
      <c r="A7" s="264">
        <v>6.0</v>
      </c>
      <c r="B7" s="264">
        <v>2.21014136E8</v>
      </c>
      <c r="C7" s="265" t="s">
        <v>83</v>
      </c>
      <c r="D7" s="266">
        <v>2.0</v>
      </c>
      <c r="E7" s="266">
        <v>2.0</v>
      </c>
      <c r="F7" s="266">
        <v>0.0</v>
      </c>
      <c r="G7" s="266">
        <v>2.0</v>
      </c>
      <c r="H7" s="267">
        <f t="shared" si="1"/>
        <v>12</v>
      </c>
      <c r="I7" s="266">
        <v>10.0</v>
      </c>
      <c r="J7" s="265">
        <v>5.0</v>
      </c>
      <c r="K7" s="265">
        <f t="shared" si="2"/>
        <v>27</v>
      </c>
      <c r="L7" s="265">
        <v>30.0</v>
      </c>
      <c r="M7" s="265">
        <v>28.0</v>
      </c>
      <c r="N7" s="265">
        <f t="shared" si="3"/>
        <v>85</v>
      </c>
      <c r="O7" s="265" t="str">
        <f t="shared" ref="O7:O9" si="5">IFS(
N7&gt;=95,"A+",
N7&gt;=85,"A",
N7&gt;=80,"A-",
N7&gt;=75,"B+",
N7&gt;=70,"B",
N7&gt;=65,"B-",
N7&gt;=60,"C+",
N7&gt;=55,"C",
N7&gt;=50,"D",
N7&lt;50,"F"
)</f>
        <v>A</v>
      </c>
      <c r="P7" s="262"/>
      <c r="Q7" s="262"/>
      <c r="R7" s="262"/>
      <c r="S7" s="262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  <c r="AI7" s="263"/>
    </row>
    <row r="8" ht="15.75" customHeight="1">
      <c r="A8" s="264">
        <v>7.0</v>
      </c>
      <c r="B8" s="264">
        <v>2.22014021E8</v>
      </c>
      <c r="C8" s="265" t="s">
        <v>89</v>
      </c>
      <c r="D8" s="266">
        <v>0.0</v>
      </c>
      <c r="E8" s="266">
        <v>0.0</v>
      </c>
      <c r="F8" s="266">
        <v>2.0</v>
      </c>
      <c r="G8" s="266">
        <v>0.0</v>
      </c>
      <c r="H8" s="267">
        <f t="shared" si="1"/>
        <v>4</v>
      </c>
      <c r="I8" s="266">
        <v>5.0</v>
      </c>
      <c r="J8" s="265">
        <v>5.0</v>
      </c>
      <c r="K8" s="265">
        <f t="shared" si="2"/>
        <v>14</v>
      </c>
      <c r="L8" s="265">
        <v>25.0</v>
      </c>
      <c r="M8" s="265">
        <v>22.0</v>
      </c>
      <c r="N8" s="265">
        <f t="shared" si="3"/>
        <v>61</v>
      </c>
      <c r="O8" s="265" t="str">
        <f t="shared" si="5"/>
        <v>C+</v>
      </c>
      <c r="P8" s="262"/>
      <c r="Q8" s="262"/>
      <c r="R8" s="262"/>
      <c r="S8" s="262"/>
      <c r="T8" s="263"/>
      <c r="U8" s="263"/>
      <c r="V8" s="263"/>
      <c r="W8" s="263"/>
      <c r="X8" s="263"/>
      <c r="Y8" s="263"/>
      <c r="Z8" s="263"/>
      <c r="AA8" s="263"/>
      <c r="AB8" s="263"/>
      <c r="AC8" s="263"/>
      <c r="AD8" s="263"/>
      <c r="AE8" s="263"/>
      <c r="AF8" s="263"/>
      <c r="AG8" s="263"/>
      <c r="AH8" s="263"/>
      <c r="AI8" s="263"/>
    </row>
    <row r="9" ht="15.75" customHeight="1">
      <c r="A9" s="264">
        <v>8.0</v>
      </c>
      <c r="B9" s="264">
        <v>2.22014031E8</v>
      </c>
      <c r="C9" s="265" t="s">
        <v>95</v>
      </c>
      <c r="D9" s="266">
        <v>2.0</v>
      </c>
      <c r="E9" s="266">
        <v>2.0</v>
      </c>
      <c r="F9" s="266">
        <v>3.0</v>
      </c>
      <c r="G9" s="266">
        <v>0.0</v>
      </c>
      <c r="H9" s="267">
        <f t="shared" si="1"/>
        <v>14</v>
      </c>
      <c r="I9" s="266">
        <v>10.0</v>
      </c>
      <c r="J9" s="265">
        <v>5.0</v>
      </c>
      <c r="K9" s="265">
        <f t="shared" si="2"/>
        <v>29</v>
      </c>
      <c r="L9" s="265">
        <v>35.0</v>
      </c>
      <c r="M9" s="265">
        <v>26.0</v>
      </c>
      <c r="N9" s="265">
        <f t="shared" si="3"/>
        <v>90</v>
      </c>
      <c r="O9" s="265" t="str">
        <f t="shared" si="5"/>
        <v>A</v>
      </c>
      <c r="P9" s="262"/>
      <c r="Q9" s="262"/>
      <c r="R9" s="262"/>
      <c r="S9" s="262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</row>
    <row r="10" ht="15.75" customHeight="1">
      <c r="A10" s="264">
        <v>9.0</v>
      </c>
      <c r="B10" s="264">
        <v>2.22014057E8</v>
      </c>
      <c r="C10" s="269" t="s">
        <v>96</v>
      </c>
      <c r="D10" s="266">
        <v>0.0</v>
      </c>
      <c r="E10" s="266">
        <v>0.0</v>
      </c>
      <c r="F10" s="266">
        <v>0.0</v>
      </c>
      <c r="G10" s="266">
        <v>0.0</v>
      </c>
      <c r="H10" s="267">
        <f t="shared" si="1"/>
        <v>0</v>
      </c>
      <c r="I10" s="266">
        <v>0.0</v>
      </c>
      <c r="J10" s="265"/>
      <c r="K10" s="265">
        <f t="shared" si="2"/>
        <v>0</v>
      </c>
      <c r="L10" s="265"/>
      <c r="M10" s="265"/>
      <c r="N10" s="265">
        <f t="shared" si="3"/>
        <v>0</v>
      </c>
      <c r="O10" s="269" t="s">
        <v>116</v>
      </c>
      <c r="P10" s="262"/>
      <c r="Q10" s="262"/>
      <c r="R10" s="262"/>
      <c r="S10" s="262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</row>
    <row r="11" ht="15.75" customHeight="1">
      <c r="A11" s="264">
        <v>10.0</v>
      </c>
      <c r="B11" s="264">
        <v>2.22014059E8</v>
      </c>
      <c r="C11" s="269" t="s">
        <v>97</v>
      </c>
      <c r="D11" s="267"/>
      <c r="E11" s="267"/>
      <c r="F11" s="267"/>
      <c r="G11" s="267"/>
      <c r="H11" s="267">
        <f t="shared" si="1"/>
        <v>0</v>
      </c>
      <c r="I11" s="267"/>
      <c r="J11" s="265"/>
      <c r="K11" s="265">
        <f t="shared" si="2"/>
        <v>0</v>
      </c>
      <c r="L11" s="265"/>
      <c r="M11" s="265"/>
      <c r="N11" s="265">
        <f t="shared" si="3"/>
        <v>0</v>
      </c>
      <c r="O11" s="269" t="s">
        <v>116</v>
      </c>
      <c r="P11" s="262"/>
      <c r="Q11" s="262"/>
      <c r="R11" s="262"/>
      <c r="S11" s="262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</row>
    <row r="12" ht="15.75" customHeight="1">
      <c r="A12" s="264">
        <v>11.0</v>
      </c>
      <c r="B12" s="264">
        <v>2.2201409E8</v>
      </c>
      <c r="C12" s="265" t="s">
        <v>100</v>
      </c>
      <c r="D12" s="266">
        <v>0.0</v>
      </c>
      <c r="E12" s="266">
        <v>1.0</v>
      </c>
      <c r="F12" s="266">
        <v>0.0</v>
      </c>
      <c r="G12" s="266">
        <v>0.0</v>
      </c>
      <c r="H12" s="267">
        <f t="shared" si="1"/>
        <v>2</v>
      </c>
      <c r="I12" s="266">
        <v>5.0</v>
      </c>
      <c r="J12" s="265">
        <v>5.0</v>
      </c>
      <c r="K12" s="265">
        <f t="shared" si="2"/>
        <v>12</v>
      </c>
      <c r="L12" s="265">
        <v>25.0</v>
      </c>
      <c r="M12" s="265">
        <v>24.0</v>
      </c>
      <c r="N12" s="265">
        <f t="shared" si="3"/>
        <v>61</v>
      </c>
      <c r="O12" s="265" t="str">
        <f t="shared" ref="O12:O26" si="6">IFS(
N12&gt;=95,"A+",
N12&gt;=85,"A",
N12&gt;=80,"A-",
N12&gt;=75,"B+",
N12&gt;=70,"B",
N12&gt;=65,"B-",
N12&gt;=60,"C+",
N12&gt;=55,"C",
N12&gt;=50,"D",
N12&lt;50,"F"
)</f>
        <v>C+</v>
      </c>
      <c r="P12" s="262"/>
      <c r="Q12" s="262"/>
      <c r="R12" s="262"/>
      <c r="S12" s="262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</row>
    <row r="13" ht="15.75" customHeight="1">
      <c r="A13" s="264">
        <v>12.0</v>
      </c>
      <c r="B13" s="264">
        <v>2.22014097E8</v>
      </c>
      <c r="C13" s="265" t="s">
        <v>103</v>
      </c>
      <c r="D13" s="266">
        <v>0.0</v>
      </c>
      <c r="E13" s="266">
        <v>2.0</v>
      </c>
      <c r="F13" s="266">
        <v>0.0</v>
      </c>
      <c r="G13" s="266">
        <v>2.0</v>
      </c>
      <c r="H13" s="267">
        <f t="shared" si="1"/>
        <v>8</v>
      </c>
      <c r="I13" s="266">
        <v>0.0</v>
      </c>
      <c r="J13" s="265">
        <v>5.0</v>
      </c>
      <c r="K13" s="265">
        <f t="shared" si="2"/>
        <v>13</v>
      </c>
      <c r="L13" s="267">
        <v>25.0</v>
      </c>
      <c r="M13" s="267">
        <v>14.0</v>
      </c>
      <c r="N13" s="265">
        <f t="shared" si="3"/>
        <v>52</v>
      </c>
      <c r="O13" s="265" t="str">
        <f t="shared" si="6"/>
        <v>D</v>
      </c>
      <c r="P13" s="263"/>
      <c r="Q13" s="262"/>
      <c r="R13" s="262"/>
      <c r="S13" s="262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</row>
    <row r="14" ht="15.75" customHeight="1">
      <c r="A14" s="264">
        <v>13.0</v>
      </c>
      <c r="B14" s="264">
        <v>2.23014012E8</v>
      </c>
      <c r="C14" s="265" t="s">
        <v>117</v>
      </c>
      <c r="D14" s="266">
        <v>0.0</v>
      </c>
      <c r="E14" s="266">
        <v>0.0</v>
      </c>
      <c r="F14" s="266">
        <v>0.0</v>
      </c>
      <c r="G14" s="266">
        <v>0.0</v>
      </c>
      <c r="H14" s="267">
        <f t="shared" si="1"/>
        <v>0</v>
      </c>
      <c r="I14" s="266">
        <v>0.0</v>
      </c>
      <c r="J14" s="265">
        <v>5.0</v>
      </c>
      <c r="K14" s="265">
        <f t="shared" si="2"/>
        <v>5</v>
      </c>
      <c r="L14" s="265">
        <v>25.0</v>
      </c>
      <c r="M14" s="265">
        <v>28.0</v>
      </c>
      <c r="N14" s="265">
        <f t="shared" si="3"/>
        <v>58</v>
      </c>
      <c r="O14" s="265" t="str">
        <f t="shared" si="6"/>
        <v>C</v>
      </c>
      <c r="P14" s="262"/>
      <c r="Q14" s="262"/>
      <c r="R14" s="262"/>
      <c r="S14" s="262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</row>
    <row r="15" ht="15.75" customHeight="1">
      <c r="A15" s="264">
        <v>14.0</v>
      </c>
      <c r="B15" s="264">
        <v>2.23014025E8</v>
      </c>
      <c r="C15" s="265" t="s">
        <v>119</v>
      </c>
      <c r="D15" s="266">
        <v>2.0</v>
      </c>
      <c r="E15" s="266">
        <v>2.0</v>
      </c>
      <c r="F15" s="266">
        <v>3.0</v>
      </c>
      <c r="G15" s="266">
        <v>0.0</v>
      </c>
      <c r="H15" s="267">
        <f t="shared" si="1"/>
        <v>14</v>
      </c>
      <c r="I15" s="266">
        <v>10.0</v>
      </c>
      <c r="J15" s="265">
        <v>5.0</v>
      </c>
      <c r="K15" s="265">
        <f t="shared" si="2"/>
        <v>29</v>
      </c>
      <c r="L15" s="265">
        <v>35.0</v>
      </c>
      <c r="M15" s="265">
        <v>25.0</v>
      </c>
      <c r="N15" s="265">
        <f t="shared" si="3"/>
        <v>89</v>
      </c>
      <c r="O15" s="265" t="str">
        <f t="shared" si="6"/>
        <v>A</v>
      </c>
      <c r="P15" s="262"/>
      <c r="Q15" s="262"/>
      <c r="R15" s="262"/>
      <c r="S15" s="262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</row>
    <row r="16" ht="15.75" customHeight="1">
      <c r="A16" s="264">
        <v>15.0</v>
      </c>
      <c r="B16" s="264">
        <v>2.23014061E8</v>
      </c>
      <c r="C16" s="265" t="s">
        <v>122</v>
      </c>
      <c r="D16" s="266">
        <v>2.0</v>
      </c>
      <c r="E16" s="266">
        <v>0.0</v>
      </c>
      <c r="F16" s="266">
        <v>2.0</v>
      </c>
      <c r="G16" s="266">
        <v>0.0</v>
      </c>
      <c r="H16" s="267">
        <f t="shared" si="1"/>
        <v>8</v>
      </c>
      <c r="I16" s="266">
        <v>6.0</v>
      </c>
      <c r="J16" s="265">
        <v>5.0</v>
      </c>
      <c r="K16" s="265">
        <f t="shared" si="2"/>
        <v>19</v>
      </c>
      <c r="L16" s="265">
        <v>20.0</v>
      </c>
      <c r="M16" s="265">
        <v>26.0</v>
      </c>
      <c r="N16" s="265">
        <f t="shared" si="3"/>
        <v>65</v>
      </c>
      <c r="O16" s="265" t="str">
        <f t="shared" si="6"/>
        <v>B-</v>
      </c>
      <c r="P16" s="262"/>
      <c r="Q16" s="262"/>
      <c r="R16" s="262"/>
      <c r="S16" s="262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</row>
    <row r="17" ht="15.75" customHeight="1">
      <c r="A17" s="264">
        <v>16.0</v>
      </c>
      <c r="B17" s="264">
        <v>2.23014085E8</v>
      </c>
      <c r="C17" s="265" t="s">
        <v>124</v>
      </c>
      <c r="D17" s="266">
        <v>2.0</v>
      </c>
      <c r="E17" s="266">
        <v>0.0</v>
      </c>
      <c r="F17" s="266">
        <v>0.0</v>
      </c>
      <c r="G17" s="266">
        <v>0.0</v>
      </c>
      <c r="H17" s="267">
        <f t="shared" si="1"/>
        <v>4</v>
      </c>
      <c r="I17" s="266">
        <v>5.0</v>
      </c>
      <c r="J17" s="265">
        <v>5.0</v>
      </c>
      <c r="K17" s="265">
        <f t="shared" si="2"/>
        <v>14</v>
      </c>
      <c r="L17" s="265">
        <v>20.0</v>
      </c>
      <c r="M17" s="265">
        <v>24.0</v>
      </c>
      <c r="N17" s="265">
        <f t="shared" si="3"/>
        <v>58</v>
      </c>
      <c r="O17" s="265" t="str">
        <f t="shared" si="6"/>
        <v>C</v>
      </c>
      <c r="P17" s="262"/>
      <c r="Q17" s="262"/>
      <c r="R17" s="262"/>
      <c r="S17" s="262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</row>
    <row r="18" ht="15.75" customHeight="1">
      <c r="A18" s="264">
        <v>17.0</v>
      </c>
      <c r="B18" s="264">
        <v>2.23014088E8</v>
      </c>
      <c r="C18" s="265" t="s">
        <v>125</v>
      </c>
      <c r="D18" s="266">
        <v>2.0</v>
      </c>
      <c r="E18" s="266">
        <v>2.0</v>
      </c>
      <c r="F18" s="266">
        <v>0.0</v>
      </c>
      <c r="G18" s="266">
        <v>2.0</v>
      </c>
      <c r="H18" s="267">
        <f t="shared" si="1"/>
        <v>12</v>
      </c>
      <c r="I18" s="266">
        <v>0.0</v>
      </c>
      <c r="J18" s="265">
        <v>5.0</v>
      </c>
      <c r="K18" s="265">
        <f t="shared" si="2"/>
        <v>17</v>
      </c>
      <c r="L18" s="265">
        <v>35.0</v>
      </c>
      <c r="M18" s="265">
        <v>26.0</v>
      </c>
      <c r="N18" s="265">
        <f t="shared" si="3"/>
        <v>78</v>
      </c>
      <c r="O18" s="265" t="str">
        <f t="shared" si="6"/>
        <v>B+</v>
      </c>
      <c r="P18" s="262"/>
      <c r="Q18" s="262"/>
      <c r="R18" s="262"/>
      <c r="S18" s="262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</row>
    <row r="19" ht="15.75" customHeight="1">
      <c r="A19" s="264">
        <v>18.0</v>
      </c>
      <c r="B19" s="264">
        <v>2.23014116E8</v>
      </c>
      <c r="C19" s="265" t="s">
        <v>126</v>
      </c>
      <c r="D19" s="266">
        <v>2.0</v>
      </c>
      <c r="E19" s="266">
        <v>2.0</v>
      </c>
      <c r="F19" s="266">
        <v>3.0</v>
      </c>
      <c r="G19" s="266">
        <v>2.0</v>
      </c>
      <c r="H19" s="267">
        <v>15.0</v>
      </c>
      <c r="I19" s="266">
        <v>9.0</v>
      </c>
      <c r="J19" s="265">
        <v>5.0</v>
      </c>
      <c r="K19" s="265">
        <f t="shared" si="2"/>
        <v>29</v>
      </c>
      <c r="L19" s="265">
        <v>32.0</v>
      </c>
      <c r="M19" s="265">
        <v>24.0</v>
      </c>
      <c r="N19" s="265">
        <f t="shared" si="3"/>
        <v>85</v>
      </c>
      <c r="O19" s="265" t="str">
        <f t="shared" si="6"/>
        <v>A</v>
      </c>
      <c r="P19" s="262"/>
      <c r="Q19" s="262"/>
      <c r="R19" s="262"/>
      <c r="S19" s="262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</row>
    <row r="20" ht="15.75" customHeight="1">
      <c r="A20" s="264">
        <v>19.0</v>
      </c>
      <c r="B20" s="264">
        <v>2.2301412E8</v>
      </c>
      <c r="C20" s="265" t="s">
        <v>128</v>
      </c>
      <c r="D20" s="266">
        <v>2.0</v>
      </c>
      <c r="E20" s="266">
        <v>0.0</v>
      </c>
      <c r="F20" s="266">
        <v>2.0</v>
      </c>
      <c r="G20" s="266">
        <v>0.0</v>
      </c>
      <c r="H20" s="267">
        <f t="shared" ref="H20:H23" si="7">ROUNDUP((SUM(D20:G20)/8)*15, 0)</f>
        <v>8</v>
      </c>
      <c r="I20" s="266">
        <v>0.0</v>
      </c>
      <c r="J20" s="265">
        <v>5.0</v>
      </c>
      <c r="K20" s="265">
        <f t="shared" si="2"/>
        <v>13</v>
      </c>
      <c r="L20" s="265">
        <v>25.0</v>
      </c>
      <c r="M20" s="265">
        <v>12.0</v>
      </c>
      <c r="N20" s="265">
        <f t="shared" si="3"/>
        <v>50</v>
      </c>
      <c r="O20" s="265" t="str">
        <f t="shared" si="6"/>
        <v>D</v>
      </c>
      <c r="P20" s="262"/>
      <c r="Q20" s="262"/>
      <c r="R20" s="262"/>
      <c r="S20" s="262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</row>
    <row r="21" ht="15.75" customHeight="1">
      <c r="A21" s="264">
        <v>20.0</v>
      </c>
      <c r="B21" s="264">
        <v>2.23014176E8</v>
      </c>
      <c r="C21" s="265" t="s">
        <v>130</v>
      </c>
      <c r="D21" s="266">
        <v>2.0</v>
      </c>
      <c r="E21" s="266">
        <v>2.0</v>
      </c>
      <c r="F21" s="266">
        <v>0.0</v>
      </c>
      <c r="G21" s="266">
        <v>0.0</v>
      </c>
      <c r="H21" s="267">
        <f t="shared" si="7"/>
        <v>8</v>
      </c>
      <c r="I21" s="266">
        <v>5.0</v>
      </c>
      <c r="J21" s="265">
        <v>5.0</v>
      </c>
      <c r="K21" s="265">
        <f t="shared" si="2"/>
        <v>18</v>
      </c>
      <c r="L21" s="265">
        <v>25.0</v>
      </c>
      <c r="M21" s="265">
        <v>28.0</v>
      </c>
      <c r="N21" s="265">
        <f t="shared" si="3"/>
        <v>71</v>
      </c>
      <c r="O21" s="265" t="str">
        <f t="shared" si="6"/>
        <v>B</v>
      </c>
      <c r="P21" s="262"/>
      <c r="Q21" s="262"/>
      <c r="R21" s="262"/>
      <c r="S21" s="262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</row>
    <row r="22" ht="15.75" customHeight="1">
      <c r="A22" s="264">
        <v>21.0</v>
      </c>
      <c r="B22" s="264">
        <v>2.23014219E8</v>
      </c>
      <c r="C22" s="265" t="s">
        <v>133</v>
      </c>
      <c r="D22" s="266">
        <v>2.0</v>
      </c>
      <c r="E22" s="266">
        <v>2.0</v>
      </c>
      <c r="F22" s="266">
        <v>2.0</v>
      </c>
      <c r="G22" s="266">
        <v>2.0</v>
      </c>
      <c r="H22" s="267">
        <f t="shared" si="7"/>
        <v>15</v>
      </c>
      <c r="I22" s="266">
        <v>6.0</v>
      </c>
      <c r="J22" s="265">
        <v>5.0</v>
      </c>
      <c r="K22" s="265">
        <f t="shared" si="2"/>
        <v>26</v>
      </c>
      <c r="L22" s="265">
        <v>32.0</v>
      </c>
      <c r="M22" s="265">
        <v>25.0</v>
      </c>
      <c r="N22" s="265">
        <f t="shared" si="3"/>
        <v>83</v>
      </c>
      <c r="O22" s="265" t="str">
        <f t="shared" si="6"/>
        <v>A-</v>
      </c>
      <c r="P22" s="262"/>
      <c r="Q22" s="262"/>
      <c r="R22" s="262"/>
      <c r="S22" s="262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</row>
    <row r="23" ht="15.75" customHeight="1">
      <c r="A23" s="264">
        <v>22.0</v>
      </c>
      <c r="B23" s="264">
        <v>2.31014003E8</v>
      </c>
      <c r="C23" s="265" t="s">
        <v>136</v>
      </c>
      <c r="D23" s="266">
        <v>2.0</v>
      </c>
      <c r="E23" s="266">
        <v>2.0</v>
      </c>
      <c r="F23" s="266">
        <v>0.0</v>
      </c>
      <c r="G23" s="266">
        <v>0.0</v>
      </c>
      <c r="H23" s="267">
        <f t="shared" si="7"/>
        <v>8</v>
      </c>
      <c r="I23" s="266">
        <v>6.0</v>
      </c>
      <c r="J23" s="265">
        <v>5.0</v>
      </c>
      <c r="K23" s="265">
        <f t="shared" si="2"/>
        <v>19</v>
      </c>
      <c r="L23" s="265">
        <v>35.0</v>
      </c>
      <c r="M23" s="267">
        <v>24.0</v>
      </c>
      <c r="N23" s="265">
        <f t="shared" si="3"/>
        <v>78</v>
      </c>
      <c r="O23" s="265" t="str">
        <f t="shared" si="6"/>
        <v>B+</v>
      </c>
      <c r="P23" s="263"/>
      <c r="Q23" s="263"/>
      <c r="R23" s="262"/>
      <c r="S23" s="262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</row>
    <row r="24" ht="15.75" customHeight="1">
      <c r="A24" s="264">
        <v>23.0</v>
      </c>
      <c r="B24" s="264">
        <v>2.31014007E8</v>
      </c>
      <c r="C24" s="265" t="s">
        <v>139</v>
      </c>
      <c r="D24" s="266">
        <v>2.0</v>
      </c>
      <c r="E24" s="266">
        <v>2.0</v>
      </c>
      <c r="F24" s="266">
        <v>3.0</v>
      </c>
      <c r="G24" s="266">
        <v>2.0</v>
      </c>
      <c r="H24" s="267">
        <v>15.0</v>
      </c>
      <c r="I24" s="266">
        <v>10.0</v>
      </c>
      <c r="J24" s="265">
        <v>5.0</v>
      </c>
      <c r="K24" s="265">
        <f t="shared" si="2"/>
        <v>30</v>
      </c>
      <c r="L24" s="265">
        <v>35.0</v>
      </c>
      <c r="M24" s="265">
        <v>30.0</v>
      </c>
      <c r="N24" s="265">
        <f t="shared" si="3"/>
        <v>95</v>
      </c>
      <c r="O24" s="265" t="str">
        <f t="shared" si="6"/>
        <v>A+</v>
      </c>
      <c r="P24" s="262"/>
      <c r="Q24" s="262"/>
      <c r="R24" s="262"/>
      <c r="S24" s="262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</row>
    <row r="25" ht="15.75" customHeight="1">
      <c r="A25" s="264">
        <v>24.0</v>
      </c>
      <c r="B25" s="264">
        <v>2.31014025E8</v>
      </c>
      <c r="C25" s="265" t="s">
        <v>141</v>
      </c>
      <c r="D25" s="266">
        <v>2.0</v>
      </c>
      <c r="E25" s="266">
        <v>2.0</v>
      </c>
      <c r="F25" s="266">
        <v>2.0</v>
      </c>
      <c r="G25" s="266">
        <v>0.0</v>
      </c>
      <c r="H25" s="267">
        <f t="shared" ref="H25:H37" si="8">ROUNDUP((SUM(D25:G25)/8)*15, 0)</f>
        <v>12</v>
      </c>
      <c r="I25" s="266">
        <v>5.0</v>
      </c>
      <c r="J25" s="265">
        <v>5.0</v>
      </c>
      <c r="K25" s="265">
        <f t="shared" si="2"/>
        <v>22</v>
      </c>
      <c r="L25" s="265">
        <v>35.0</v>
      </c>
      <c r="M25" s="265">
        <v>28.0</v>
      </c>
      <c r="N25" s="265">
        <f t="shared" si="3"/>
        <v>85</v>
      </c>
      <c r="O25" s="265" t="str">
        <f t="shared" si="6"/>
        <v>A</v>
      </c>
      <c r="P25" s="262"/>
      <c r="Q25" s="262"/>
      <c r="R25" s="262"/>
      <c r="S25" s="262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</row>
    <row r="26" ht="15.75" customHeight="1">
      <c r="A26" s="264">
        <v>25.0</v>
      </c>
      <c r="B26" s="264">
        <v>2.31014059E8</v>
      </c>
      <c r="C26" s="265" t="s">
        <v>144</v>
      </c>
      <c r="D26" s="266">
        <v>0.0</v>
      </c>
      <c r="E26" s="266">
        <v>0.0</v>
      </c>
      <c r="F26" s="266">
        <v>0.0</v>
      </c>
      <c r="G26" s="266">
        <v>2.0</v>
      </c>
      <c r="H26" s="267">
        <f t="shared" si="8"/>
        <v>4</v>
      </c>
      <c r="I26" s="266">
        <v>5.0</v>
      </c>
      <c r="J26" s="265">
        <v>5.0</v>
      </c>
      <c r="K26" s="265">
        <f t="shared" si="2"/>
        <v>14</v>
      </c>
      <c r="L26" s="265">
        <v>35.0</v>
      </c>
      <c r="M26" s="265">
        <v>24.0</v>
      </c>
      <c r="N26" s="265">
        <f t="shared" si="3"/>
        <v>73</v>
      </c>
      <c r="O26" s="265" t="str">
        <f t="shared" si="6"/>
        <v>B</v>
      </c>
      <c r="P26" s="262"/>
      <c r="Q26" s="262"/>
      <c r="R26" s="262"/>
      <c r="S26" s="262"/>
      <c r="T26" s="263"/>
      <c r="U26" s="263"/>
      <c r="V26" s="263"/>
      <c r="W26" s="263"/>
      <c r="X26" s="263"/>
      <c r="Y26" s="263"/>
      <c r="Z26" s="263"/>
      <c r="AA26" s="263"/>
      <c r="AB26" s="263"/>
      <c r="AC26" s="263"/>
      <c r="AD26" s="263"/>
      <c r="AE26" s="263"/>
      <c r="AF26" s="263"/>
      <c r="AG26" s="263"/>
      <c r="AH26" s="263"/>
      <c r="AI26" s="263"/>
    </row>
    <row r="27" ht="15.75" customHeight="1">
      <c r="A27" s="264">
        <v>26.0</v>
      </c>
      <c r="B27" s="264">
        <v>2.31014097E8</v>
      </c>
      <c r="C27" s="269" t="s">
        <v>146</v>
      </c>
      <c r="D27" s="267"/>
      <c r="E27" s="267"/>
      <c r="F27" s="267"/>
      <c r="G27" s="267"/>
      <c r="H27" s="267">
        <f t="shared" si="8"/>
        <v>0</v>
      </c>
      <c r="I27" s="267"/>
      <c r="J27" s="265"/>
      <c r="K27" s="265">
        <f t="shared" si="2"/>
        <v>0</v>
      </c>
      <c r="L27" s="265"/>
      <c r="M27" s="265"/>
      <c r="N27" s="265">
        <f t="shared" si="3"/>
        <v>0</v>
      </c>
      <c r="O27" s="269" t="s">
        <v>116</v>
      </c>
      <c r="P27" s="262"/>
      <c r="Q27" s="262"/>
      <c r="R27" s="262"/>
      <c r="S27" s="262"/>
      <c r="T27" s="263"/>
      <c r="U27" s="263"/>
      <c r="V27" s="263"/>
      <c r="W27" s="263"/>
      <c r="X27" s="263"/>
      <c r="Y27" s="263"/>
      <c r="Z27" s="263"/>
      <c r="AA27" s="263"/>
      <c r="AB27" s="263"/>
      <c r="AC27" s="263"/>
      <c r="AD27" s="263"/>
      <c r="AE27" s="263"/>
      <c r="AF27" s="263"/>
      <c r="AG27" s="263"/>
      <c r="AH27" s="263"/>
      <c r="AI27" s="263"/>
    </row>
    <row r="28" ht="15.75" customHeight="1">
      <c r="A28" s="264">
        <v>27.0</v>
      </c>
      <c r="B28" s="264">
        <v>2.31014101E8</v>
      </c>
      <c r="C28" s="265" t="s">
        <v>148</v>
      </c>
      <c r="D28" s="266">
        <v>2.0</v>
      </c>
      <c r="E28" s="266">
        <v>1.0</v>
      </c>
      <c r="F28" s="266">
        <v>2.0</v>
      </c>
      <c r="G28" s="266">
        <v>0.0</v>
      </c>
      <c r="H28" s="267">
        <f t="shared" si="8"/>
        <v>10</v>
      </c>
      <c r="I28" s="266">
        <v>5.0</v>
      </c>
      <c r="J28" s="265">
        <v>5.0</v>
      </c>
      <c r="K28" s="265">
        <f t="shared" si="2"/>
        <v>20</v>
      </c>
      <c r="L28" s="265">
        <v>20.0</v>
      </c>
      <c r="M28" s="265">
        <v>10.0</v>
      </c>
      <c r="N28" s="265">
        <f t="shared" si="3"/>
        <v>50</v>
      </c>
      <c r="O28" s="265" t="str">
        <f>IFS(
N28&gt;=95,"A+",
N28&gt;=85,"A",
N28&gt;=80,"A-",
N28&gt;=75,"B+",
N28&gt;=70,"B",
N28&gt;=65,"B-",
N28&gt;=60,"C+",
N28&gt;=55,"C",
N28&gt;=50,"D",
N28&lt;50,"F"
)</f>
        <v>D</v>
      </c>
      <c r="P28" s="262"/>
      <c r="Q28" s="262"/>
      <c r="R28" s="262"/>
      <c r="S28" s="262"/>
      <c r="T28" s="263"/>
      <c r="U28" s="263"/>
      <c r="V28" s="263"/>
      <c r="W28" s="263"/>
      <c r="X28" s="263"/>
      <c r="Y28" s="263"/>
      <c r="Z28" s="263"/>
      <c r="AA28" s="263"/>
      <c r="AB28" s="263"/>
      <c r="AC28" s="263"/>
      <c r="AD28" s="263"/>
      <c r="AE28" s="263"/>
      <c r="AF28" s="263"/>
      <c r="AG28" s="263"/>
      <c r="AH28" s="263"/>
      <c r="AI28" s="263"/>
    </row>
    <row r="29" ht="15.75" customHeight="1">
      <c r="A29" s="264">
        <v>28.0</v>
      </c>
      <c r="B29" s="264">
        <v>2.31014102E8</v>
      </c>
      <c r="C29" s="269" t="s">
        <v>149</v>
      </c>
      <c r="D29" s="266">
        <v>0.0</v>
      </c>
      <c r="E29" s="266">
        <v>0.0</v>
      </c>
      <c r="F29" s="266">
        <v>0.0</v>
      </c>
      <c r="G29" s="266">
        <v>0.0</v>
      </c>
      <c r="H29" s="267">
        <f t="shared" si="8"/>
        <v>0</v>
      </c>
      <c r="I29" s="266">
        <v>0.0</v>
      </c>
      <c r="J29" s="265"/>
      <c r="K29" s="265">
        <f t="shared" si="2"/>
        <v>0</v>
      </c>
      <c r="L29" s="265"/>
      <c r="M29" s="265"/>
      <c r="N29" s="265">
        <f t="shared" si="3"/>
        <v>0</v>
      </c>
      <c r="O29" s="269" t="s">
        <v>116</v>
      </c>
      <c r="P29" s="262"/>
      <c r="Q29" s="262"/>
      <c r="R29" s="262"/>
      <c r="S29" s="262"/>
      <c r="T29" s="263"/>
      <c r="U29" s="263"/>
      <c r="V29" s="263"/>
      <c r="W29" s="263"/>
      <c r="X29" s="263"/>
      <c r="Y29" s="263"/>
      <c r="Z29" s="263"/>
      <c r="AA29" s="263"/>
      <c r="AB29" s="263"/>
      <c r="AC29" s="263"/>
      <c r="AD29" s="263"/>
      <c r="AE29" s="263"/>
      <c r="AF29" s="263"/>
      <c r="AG29" s="263"/>
      <c r="AH29" s="263"/>
      <c r="AI29" s="263"/>
    </row>
    <row r="30" ht="15.75" customHeight="1">
      <c r="A30" s="264">
        <v>29.0</v>
      </c>
      <c r="B30" s="264">
        <v>2.31014136E8</v>
      </c>
      <c r="C30" s="269" t="s">
        <v>150</v>
      </c>
      <c r="D30" s="266">
        <v>0.0</v>
      </c>
      <c r="E30" s="266">
        <v>0.0</v>
      </c>
      <c r="F30" s="266">
        <v>0.0</v>
      </c>
      <c r="G30" s="266">
        <v>0.0</v>
      </c>
      <c r="H30" s="267">
        <f t="shared" si="8"/>
        <v>0</v>
      </c>
      <c r="I30" s="266">
        <v>0.0</v>
      </c>
      <c r="J30" s="265"/>
      <c r="K30" s="265">
        <f t="shared" si="2"/>
        <v>0</v>
      </c>
      <c r="L30" s="265"/>
      <c r="M30" s="265"/>
      <c r="N30" s="265">
        <f t="shared" si="3"/>
        <v>0</v>
      </c>
      <c r="O30" s="269" t="s">
        <v>116</v>
      </c>
      <c r="P30" s="262"/>
      <c r="Q30" s="262"/>
      <c r="R30" s="262"/>
      <c r="S30" s="262"/>
      <c r="T30" s="263"/>
      <c r="U30" s="263"/>
      <c r="V30" s="263"/>
      <c r="W30" s="263"/>
      <c r="X30" s="263"/>
      <c r="Y30" s="263"/>
      <c r="Z30" s="263"/>
      <c r="AA30" s="263"/>
      <c r="AB30" s="263"/>
      <c r="AC30" s="263"/>
      <c r="AD30" s="263"/>
      <c r="AE30" s="263"/>
      <c r="AF30" s="263"/>
      <c r="AG30" s="263"/>
      <c r="AH30" s="263"/>
      <c r="AI30" s="263"/>
    </row>
    <row r="31" ht="15.75" customHeight="1">
      <c r="A31" s="264">
        <v>30.0</v>
      </c>
      <c r="B31" s="264">
        <v>2.31014148E8</v>
      </c>
      <c r="C31" s="265" t="s">
        <v>152</v>
      </c>
      <c r="D31" s="266">
        <v>0.0</v>
      </c>
      <c r="E31" s="266">
        <v>0.0</v>
      </c>
      <c r="F31" s="266">
        <v>2.0</v>
      </c>
      <c r="G31" s="266">
        <v>2.0</v>
      </c>
      <c r="H31" s="267">
        <f t="shared" si="8"/>
        <v>8</v>
      </c>
      <c r="I31" s="266">
        <v>0.0</v>
      </c>
      <c r="J31" s="265">
        <v>5.0</v>
      </c>
      <c r="K31" s="265">
        <f t="shared" si="2"/>
        <v>13</v>
      </c>
      <c r="L31" s="265">
        <v>20.0</v>
      </c>
      <c r="M31" s="265">
        <v>25.0</v>
      </c>
      <c r="N31" s="265">
        <f t="shared" si="3"/>
        <v>58</v>
      </c>
      <c r="O31" s="265" t="str">
        <f t="shared" ref="O31:O37" si="9">IFS(
N31&gt;=95,"A+",
N31&gt;=85,"A",
N31&gt;=80,"A-",
N31&gt;=75,"B+",
N31&gt;=70,"B",
N31&gt;=65,"B-",
N31&gt;=60,"C+",
N31&gt;=55,"C",
N31&gt;=50,"D",
N31&lt;50,"F"
)</f>
        <v>C</v>
      </c>
      <c r="P31" s="262"/>
      <c r="Q31" s="262"/>
      <c r="R31" s="262"/>
      <c r="S31" s="262"/>
      <c r="T31" s="263"/>
      <c r="U31" s="263"/>
      <c r="V31" s="263"/>
      <c r="W31" s="263"/>
      <c r="X31" s="263"/>
      <c r="Y31" s="263"/>
      <c r="Z31" s="263"/>
      <c r="AA31" s="263"/>
      <c r="AB31" s="263"/>
      <c r="AC31" s="263"/>
      <c r="AD31" s="263"/>
      <c r="AE31" s="263"/>
      <c r="AF31" s="263"/>
      <c r="AG31" s="263"/>
      <c r="AH31" s="263"/>
      <c r="AI31" s="263"/>
    </row>
    <row r="32" ht="15.75" customHeight="1">
      <c r="A32" s="264">
        <v>31.0</v>
      </c>
      <c r="B32" s="264">
        <v>2.32014029E8</v>
      </c>
      <c r="C32" s="265" t="s">
        <v>154</v>
      </c>
      <c r="D32" s="266">
        <v>2.0</v>
      </c>
      <c r="E32" s="266">
        <v>1.0</v>
      </c>
      <c r="F32" s="266">
        <v>2.0</v>
      </c>
      <c r="G32" s="266">
        <v>0.0</v>
      </c>
      <c r="H32" s="267">
        <f t="shared" si="8"/>
        <v>10</v>
      </c>
      <c r="I32" s="266">
        <v>6.0</v>
      </c>
      <c r="J32" s="265">
        <v>5.0</v>
      </c>
      <c r="K32" s="265">
        <f t="shared" si="2"/>
        <v>21</v>
      </c>
      <c r="L32" s="265">
        <v>32.0</v>
      </c>
      <c r="M32" s="265">
        <v>24.0</v>
      </c>
      <c r="N32" s="265">
        <f t="shared" si="3"/>
        <v>77</v>
      </c>
      <c r="O32" s="265" t="str">
        <f t="shared" si="9"/>
        <v>B+</v>
      </c>
      <c r="P32" s="262"/>
      <c r="Q32" s="262"/>
      <c r="R32" s="262"/>
      <c r="S32" s="262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3"/>
      <c r="AE32" s="263"/>
      <c r="AF32" s="263"/>
      <c r="AG32" s="263"/>
      <c r="AH32" s="263"/>
      <c r="AI32" s="263"/>
    </row>
    <row r="33" ht="15.75" customHeight="1">
      <c r="A33" s="264">
        <v>32.0</v>
      </c>
      <c r="B33" s="264">
        <v>2.32014033E8</v>
      </c>
      <c r="C33" s="265" t="s">
        <v>159</v>
      </c>
      <c r="D33" s="266">
        <v>2.0</v>
      </c>
      <c r="E33" s="266">
        <v>1.0</v>
      </c>
      <c r="F33" s="266">
        <v>2.0</v>
      </c>
      <c r="G33" s="266">
        <v>2.0</v>
      </c>
      <c r="H33" s="267">
        <f t="shared" si="8"/>
        <v>14</v>
      </c>
      <c r="I33" s="266">
        <v>6.0</v>
      </c>
      <c r="J33" s="265">
        <v>5.0</v>
      </c>
      <c r="K33" s="265">
        <f t="shared" si="2"/>
        <v>25</v>
      </c>
      <c r="L33" s="265">
        <v>35.0</v>
      </c>
      <c r="M33" s="265">
        <v>25.0</v>
      </c>
      <c r="N33" s="265">
        <f t="shared" si="3"/>
        <v>85</v>
      </c>
      <c r="O33" s="265" t="str">
        <f t="shared" si="9"/>
        <v>A</v>
      </c>
      <c r="P33" s="262"/>
      <c r="Q33" s="262"/>
      <c r="R33" s="262"/>
      <c r="S33" s="262"/>
      <c r="T33" s="263"/>
      <c r="U33" s="263"/>
      <c r="V33" s="263"/>
      <c r="W33" s="263"/>
      <c r="X33" s="263"/>
      <c r="Y33" s="263"/>
      <c r="Z33" s="263"/>
      <c r="AA33" s="263"/>
      <c r="AB33" s="263"/>
      <c r="AC33" s="263"/>
      <c r="AD33" s="263"/>
      <c r="AE33" s="263"/>
      <c r="AF33" s="263"/>
      <c r="AG33" s="263"/>
      <c r="AH33" s="263"/>
      <c r="AI33" s="263"/>
    </row>
    <row r="34" ht="15.75" customHeight="1">
      <c r="A34" s="264">
        <v>33.0</v>
      </c>
      <c r="B34" s="264">
        <v>2.32014036E8</v>
      </c>
      <c r="C34" s="265" t="s">
        <v>162</v>
      </c>
      <c r="D34" s="266">
        <v>2.0</v>
      </c>
      <c r="E34" s="266">
        <v>2.0</v>
      </c>
      <c r="F34" s="266">
        <v>2.0</v>
      </c>
      <c r="G34" s="266">
        <v>0.0</v>
      </c>
      <c r="H34" s="267">
        <f t="shared" si="8"/>
        <v>12</v>
      </c>
      <c r="I34" s="266">
        <v>5.0</v>
      </c>
      <c r="J34" s="265">
        <v>5.0</v>
      </c>
      <c r="K34" s="265">
        <f t="shared" si="2"/>
        <v>22</v>
      </c>
      <c r="L34" s="265">
        <v>32.0</v>
      </c>
      <c r="M34" s="267">
        <v>2.0</v>
      </c>
      <c r="N34" s="265">
        <f t="shared" si="3"/>
        <v>56</v>
      </c>
      <c r="O34" s="265" t="str">
        <f t="shared" si="9"/>
        <v>C</v>
      </c>
      <c r="P34" s="262"/>
      <c r="Q34" s="262"/>
      <c r="R34" s="262"/>
      <c r="S34" s="262"/>
      <c r="T34" s="263"/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3"/>
      <c r="AF34" s="263"/>
      <c r="AG34" s="263"/>
      <c r="AH34" s="263"/>
      <c r="AI34" s="263"/>
    </row>
    <row r="35" ht="15.75" customHeight="1">
      <c r="A35" s="264">
        <v>34.0</v>
      </c>
      <c r="B35" s="264">
        <v>2.32014062E8</v>
      </c>
      <c r="C35" s="265" t="s">
        <v>165</v>
      </c>
      <c r="D35" s="266">
        <v>2.0</v>
      </c>
      <c r="E35" s="266">
        <v>2.0</v>
      </c>
      <c r="F35" s="266">
        <v>2.0</v>
      </c>
      <c r="G35" s="266">
        <v>2.0</v>
      </c>
      <c r="H35" s="267">
        <f t="shared" si="8"/>
        <v>15</v>
      </c>
      <c r="I35" s="266">
        <v>6.0</v>
      </c>
      <c r="J35" s="265">
        <v>5.0</v>
      </c>
      <c r="K35" s="265">
        <f t="shared" si="2"/>
        <v>26</v>
      </c>
      <c r="L35" s="265">
        <v>32.0</v>
      </c>
      <c r="M35" s="265">
        <v>15.0</v>
      </c>
      <c r="N35" s="265">
        <f t="shared" si="3"/>
        <v>73</v>
      </c>
      <c r="O35" s="265" t="str">
        <f t="shared" si="9"/>
        <v>B</v>
      </c>
      <c r="P35" s="262"/>
      <c r="Q35" s="262"/>
      <c r="R35" s="262"/>
      <c r="S35" s="262"/>
      <c r="T35" s="263"/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3"/>
      <c r="AF35" s="263"/>
      <c r="AG35" s="263"/>
      <c r="AH35" s="263"/>
      <c r="AI35" s="263"/>
    </row>
    <row r="36" ht="15.75" customHeight="1">
      <c r="A36" s="264">
        <v>35.0</v>
      </c>
      <c r="B36" s="264">
        <v>2.32014106E8</v>
      </c>
      <c r="C36" s="265" t="s">
        <v>167</v>
      </c>
      <c r="D36" s="266">
        <v>2.0</v>
      </c>
      <c r="E36" s="266">
        <v>2.0</v>
      </c>
      <c r="F36" s="266">
        <v>2.0</v>
      </c>
      <c r="G36" s="266">
        <v>0.0</v>
      </c>
      <c r="H36" s="267">
        <f t="shared" si="8"/>
        <v>12</v>
      </c>
      <c r="I36" s="266">
        <v>6.0</v>
      </c>
      <c r="J36" s="265">
        <v>5.0</v>
      </c>
      <c r="K36" s="265">
        <f t="shared" si="2"/>
        <v>23</v>
      </c>
      <c r="L36" s="265">
        <v>32.0</v>
      </c>
      <c r="M36" s="265">
        <v>20.0</v>
      </c>
      <c r="N36" s="265">
        <f t="shared" si="3"/>
        <v>75</v>
      </c>
      <c r="O36" s="265" t="str">
        <f t="shared" si="9"/>
        <v>B+</v>
      </c>
      <c r="P36" s="262"/>
      <c r="Q36" s="262"/>
      <c r="R36" s="262"/>
      <c r="S36" s="262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3"/>
      <c r="AF36" s="263"/>
      <c r="AG36" s="263"/>
      <c r="AH36" s="263"/>
      <c r="AI36" s="263"/>
    </row>
    <row r="37" ht="15.75" customHeight="1">
      <c r="A37" s="264">
        <v>36.0</v>
      </c>
      <c r="B37" s="264">
        <v>2.32014141E8</v>
      </c>
      <c r="C37" s="265" t="s">
        <v>168</v>
      </c>
      <c r="D37" s="266">
        <v>2.0</v>
      </c>
      <c r="E37" s="266">
        <v>2.0</v>
      </c>
      <c r="F37" s="266">
        <v>3.0</v>
      </c>
      <c r="G37" s="266">
        <v>0.0</v>
      </c>
      <c r="H37" s="267">
        <f t="shared" si="8"/>
        <v>14</v>
      </c>
      <c r="I37" s="266">
        <v>7.0</v>
      </c>
      <c r="J37" s="265">
        <v>5.0</v>
      </c>
      <c r="K37" s="265">
        <f t="shared" si="2"/>
        <v>26</v>
      </c>
      <c r="L37" s="265">
        <v>32.0</v>
      </c>
      <c r="M37" s="265">
        <v>20.0</v>
      </c>
      <c r="N37" s="265">
        <f t="shared" si="3"/>
        <v>78</v>
      </c>
      <c r="O37" s="265" t="str">
        <f t="shared" si="9"/>
        <v>B+</v>
      </c>
      <c r="P37" s="262"/>
      <c r="Q37" s="262"/>
      <c r="R37" s="262"/>
      <c r="S37" s="262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</row>
    <row r="38" ht="15.75" customHeight="1">
      <c r="AF38" s="270"/>
      <c r="AG38" s="270"/>
      <c r="AH38" s="270"/>
      <c r="AI38" s="270"/>
    </row>
    <row r="39" ht="15.75" customHeight="1">
      <c r="A39" s="271"/>
      <c r="B39" s="271"/>
      <c r="C39" s="271"/>
      <c r="D39" s="271"/>
      <c r="E39" s="271"/>
      <c r="F39" s="271"/>
      <c r="G39" s="271"/>
      <c r="H39" s="263"/>
      <c r="I39" s="271"/>
      <c r="J39" s="271"/>
      <c r="K39" s="271"/>
      <c r="L39" s="271"/>
      <c r="M39" s="272"/>
      <c r="N39" s="271"/>
      <c r="O39" s="262"/>
      <c r="P39" s="271"/>
      <c r="Q39" s="271"/>
      <c r="R39" s="271"/>
      <c r="S39" s="271"/>
      <c r="T39" s="263"/>
      <c r="U39" s="263"/>
      <c r="V39" s="263"/>
      <c r="W39" s="263"/>
      <c r="X39" s="263"/>
      <c r="Y39" s="263"/>
      <c r="Z39" s="263"/>
      <c r="AA39" s="263"/>
      <c r="AB39" s="263"/>
      <c r="AC39" s="263"/>
      <c r="AD39" s="263"/>
      <c r="AE39" s="263"/>
      <c r="AF39" s="263"/>
      <c r="AG39" s="263"/>
      <c r="AH39" s="263"/>
      <c r="AI39" s="263"/>
    </row>
    <row r="40" ht="15.75" customHeight="1">
      <c r="A40" s="271"/>
      <c r="B40" s="271"/>
      <c r="C40" s="271"/>
      <c r="D40" s="271"/>
      <c r="E40" s="271"/>
      <c r="F40" s="271"/>
      <c r="G40" s="271"/>
      <c r="H40" s="263"/>
      <c r="I40" s="271"/>
      <c r="J40" s="271"/>
      <c r="K40" s="271"/>
      <c r="L40" s="271"/>
      <c r="M40" s="272"/>
      <c r="N40" s="271"/>
      <c r="O40" s="262"/>
      <c r="P40" s="271"/>
      <c r="Q40" s="271"/>
      <c r="R40" s="271"/>
      <c r="S40" s="271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</row>
    <row r="41" ht="15.75" customHeight="1">
      <c r="A41" s="271"/>
      <c r="B41" s="271"/>
      <c r="C41" s="271"/>
      <c r="D41" s="271"/>
      <c r="E41" s="271"/>
      <c r="F41" s="271"/>
      <c r="G41" s="271"/>
      <c r="H41" s="263"/>
      <c r="I41" s="271"/>
      <c r="J41" s="271"/>
      <c r="K41" s="271"/>
      <c r="L41" s="271"/>
      <c r="M41" s="272"/>
      <c r="N41" s="271"/>
      <c r="O41" s="262"/>
      <c r="P41" s="271"/>
      <c r="Q41" s="271"/>
      <c r="R41" s="271"/>
      <c r="S41" s="271"/>
      <c r="T41" s="263"/>
      <c r="U41" s="263"/>
      <c r="V41" s="263"/>
      <c r="W41" s="263"/>
      <c r="X41" s="263"/>
      <c r="Y41" s="263"/>
      <c r="Z41" s="263"/>
      <c r="AA41" s="263"/>
      <c r="AB41" s="263"/>
      <c r="AC41" s="263"/>
      <c r="AD41" s="263"/>
      <c r="AE41" s="263"/>
      <c r="AF41" s="263"/>
      <c r="AG41" s="263"/>
      <c r="AH41" s="263"/>
      <c r="AI41" s="263"/>
    </row>
    <row r="42" ht="15.75" customHeight="1">
      <c r="A42" s="271"/>
      <c r="B42" s="271"/>
      <c r="C42" s="271"/>
      <c r="D42" s="271"/>
      <c r="E42" s="271"/>
      <c r="F42" s="271"/>
      <c r="G42" s="271"/>
      <c r="H42" s="263"/>
      <c r="I42" s="271"/>
      <c r="J42" s="271"/>
      <c r="K42" s="271"/>
      <c r="L42" s="271"/>
      <c r="M42" s="272"/>
      <c r="N42" s="271"/>
      <c r="O42" s="262"/>
      <c r="P42" s="271"/>
      <c r="Q42" s="271"/>
      <c r="R42" s="271"/>
      <c r="S42" s="271"/>
      <c r="T42" s="263"/>
      <c r="U42" s="263"/>
      <c r="V42" s="263"/>
      <c r="W42" s="263"/>
      <c r="X42" s="263"/>
      <c r="Y42" s="263"/>
      <c r="Z42" s="263"/>
      <c r="AA42" s="263"/>
      <c r="AB42" s="263"/>
      <c r="AC42" s="263"/>
      <c r="AD42" s="263"/>
      <c r="AE42" s="263"/>
      <c r="AF42" s="263"/>
      <c r="AG42" s="263"/>
      <c r="AH42" s="263"/>
      <c r="AI42" s="263"/>
    </row>
    <row r="43" ht="15.75" customHeight="1">
      <c r="A43" s="271"/>
      <c r="B43" s="271"/>
      <c r="C43" s="271"/>
      <c r="D43" s="271"/>
      <c r="E43" s="271"/>
      <c r="F43" s="271"/>
      <c r="G43" s="271"/>
      <c r="H43" s="263"/>
      <c r="I43" s="271"/>
      <c r="J43" s="271"/>
      <c r="K43" s="271"/>
      <c r="L43" s="271"/>
      <c r="M43" s="272"/>
      <c r="N43" s="271"/>
      <c r="O43" s="262"/>
      <c r="P43" s="271"/>
      <c r="Q43" s="271"/>
      <c r="R43" s="271"/>
      <c r="S43" s="271"/>
      <c r="T43" s="263"/>
      <c r="U43" s="263"/>
      <c r="V43" s="263"/>
      <c r="W43" s="263"/>
      <c r="X43" s="263"/>
      <c r="Y43" s="263"/>
      <c r="Z43" s="263"/>
      <c r="AA43" s="263"/>
      <c r="AB43" s="263"/>
      <c r="AC43" s="263"/>
      <c r="AD43" s="263"/>
      <c r="AE43" s="263"/>
      <c r="AF43" s="263"/>
      <c r="AG43" s="263"/>
      <c r="AH43" s="263"/>
      <c r="AI43" s="263"/>
    </row>
    <row r="44" ht="15.75" customHeight="1">
      <c r="A44" s="271"/>
      <c r="B44" s="271"/>
      <c r="C44" s="271"/>
      <c r="D44" s="271"/>
      <c r="E44" s="271"/>
      <c r="F44" s="271"/>
      <c r="G44" s="271"/>
      <c r="H44" s="263"/>
      <c r="I44" s="271"/>
      <c r="J44" s="271"/>
      <c r="K44" s="271"/>
      <c r="L44" s="271"/>
      <c r="M44" s="272"/>
      <c r="N44" s="271"/>
      <c r="O44" s="262"/>
      <c r="P44" s="271"/>
      <c r="Q44" s="271"/>
      <c r="R44" s="271"/>
      <c r="S44" s="271"/>
      <c r="T44" s="263"/>
      <c r="U44" s="263"/>
      <c r="V44" s="263"/>
      <c r="W44" s="263"/>
      <c r="X44" s="263"/>
      <c r="Y44" s="263"/>
      <c r="Z44" s="263"/>
      <c r="AA44" s="263"/>
      <c r="AB44" s="263"/>
      <c r="AC44" s="263"/>
      <c r="AD44" s="263"/>
      <c r="AE44" s="263"/>
      <c r="AF44" s="263"/>
      <c r="AG44" s="263"/>
      <c r="AH44" s="263"/>
      <c r="AI44" s="263"/>
    </row>
    <row r="45" ht="15.75" customHeight="1">
      <c r="A45" s="271"/>
      <c r="B45" s="271"/>
      <c r="C45" s="271"/>
      <c r="D45" s="271"/>
      <c r="E45" s="271"/>
      <c r="F45" s="271"/>
      <c r="G45" s="271"/>
      <c r="H45" s="263"/>
      <c r="I45" s="271"/>
      <c r="J45" s="271"/>
      <c r="K45" s="271"/>
      <c r="L45" s="271"/>
      <c r="M45" s="272"/>
      <c r="N45" s="271"/>
      <c r="O45" s="262"/>
      <c r="P45" s="271"/>
      <c r="Q45" s="271"/>
      <c r="R45" s="271"/>
      <c r="S45" s="271"/>
      <c r="T45" s="263"/>
      <c r="U45" s="263"/>
      <c r="V45" s="263"/>
      <c r="W45" s="263"/>
      <c r="X45" s="263"/>
      <c r="Y45" s="263"/>
      <c r="Z45" s="263"/>
      <c r="AA45" s="263"/>
      <c r="AB45" s="263"/>
      <c r="AC45" s="263"/>
      <c r="AD45" s="263"/>
      <c r="AE45" s="263"/>
      <c r="AF45" s="263"/>
      <c r="AG45" s="263"/>
      <c r="AH45" s="263"/>
      <c r="AI45" s="263"/>
    </row>
    <row r="46" ht="15.75" customHeight="1">
      <c r="A46" s="271"/>
      <c r="B46" s="271"/>
      <c r="C46" s="271"/>
      <c r="D46" s="271"/>
      <c r="E46" s="271"/>
      <c r="F46" s="271"/>
      <c r="G46" s="271"/>
      <c r="H46" s="263"/>
      <c r="I46" s="271"/>
      <c r="J46" s="271"/>
      <c r="K46" s="271"/>
      <c r="L46" s="271"/>
      <c r="M46" s="272"/>
      <c r="N46" s="271"/>
      <c r="O46" s="271"/>
      <c r="P46" s="271"/>
      <c r="Q46" s="271"/>
      <c r="R46" s="271"/>
      <c r="S46" s="271"/>
      <c r="T46" s="263"/>
      <c r="U46" s="263"/>
      <c r="V46" s="263"/>
      <c r="W46" s="263"/>
      <c r="X46" s="263"/>
      <c r="Y46" s="263"/>
      <c r="Z46" s="263"/>
      <c r="AA46" s="263"/>
      <c r="AB46" s="263"/>
      <c r="AC46" s="263"/>
      <c r="AD46" s="263"/>
      <c r="AE46" s="263"/>
      <c r="AF46" s="263"/>
      <c r="AG46" s="263"/>
      <c r="AH46" s="263"/>
      <c r="AI46" s="263"/>
    </row>
    <row r="47" ht="15.75" customHeight="1">
      <c r="A47" s="271"/>
      <c r="B47" s="271"/>
      <c r="C47" s="271"/>
      <c r="D47" s="271"/>
      <c r="E47" s="271"/>
      <c r="F47" s="271"/>
      <c r="G47" s="271"/>
      <c r="H47" s="263"/>
      <c r="I47" s="271"/>
      <c r="J47" s="271"/>
      <c r="K47" s="271"/>
      <c r="L47" s="271"/>
      <c r="M47" s="272"/>
      <c r="N47" s="271"/>
      <c r="O47" s="271"/>
      <c r="P47" s="271"/>
      <c r="Q47" s="271"/>
      <c r="R47" s="271"/>
      <c r="S47" s="271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3"/>
      <c r="AE47" s="263"/>
      <c r="AF47" s="263"/>
      <c r="AG47" s="263"/>
      <c r="AH47" s="263"/>
      <c r="AI47" s="263"/>
    </row>
    <row r="48" ht="15.75" customHeight="1">
      <c r="A48" s="271"/>
      <c r="B48" s="271"/>
      <c r="C48" s="271"/>
      <c r="D48" s="271"/>
      <c r="E48" s="271"/>
      <c r="F48" s="271"/>
      <c r="G48" s="271"/>
      <c r="H48" s="263"/>
      <c r="I48" s="271"/>
      <c r="J48" s="271"/>
      <c r="K48" s="271"/>
      <c r="L48" s="271"/>
      <c r="M48" s="272"/>
      <c r="N48" s="271"/>
      <c r="O48" s="271"/>
      <c r="P48" s="271"/>
      <c r="Q48" s="271"/>
      <c r="R48" s="271"/>
      <c r="S48" s="271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3"/>
      <c r="AE48" s="263"/>
      <c r="AF48" s="263"/>
      <c r="AG48" s="263"/>
      <c r="AH48" s="263"/>
      <c r="AI48" s="263"/>
    </row>
    <row r="49" ht="15.75" customHeight="1">
      <c r="A49" s="271"/>
      <c r="B49" s="271"/>
      <c r="C49" s="271"/>
      <c r="D49" s="271"/>
      <c r="E49" s="271"/>
      <c r="F49" s="271"/>
      <c r="G49" s="271"/>
      <c r="H49" s="263"/>
      <c r="I49" s="271"/>
      <c r="J49" s="271"/>
      <c r="K49" s="271"/>
      <c r="L49" s="271"/>
      <c r="M49" s="272"/>
      <c r="N49" s="271"/>
      <c r="O49" s="271"/>
      <c r="P49" s="271"/>
      <c r="Q49" s="271"/>
      <c r="R49" s="271"/>
      <c r="S49" s="271"/>
      <c r="T49" s="263"/>
      <c r="U49" s="263"/>
      <c r="V49" s="263"/>
      <c r="W49" s="263"/>
      <c r="X49" s="263"/>
      <c r="Y49" s="263"/>
      <c r="Z49" s="263"/>
      <c r="AA49" s="263"/>
      <c r="AB49" s="263"/>
      <c r="AC49" s="263"/>
      <c r="AD49" s="263"/>
      <c r="AE49" s="263"/>
      <c r="AF49" s="263"/>
      <c r="AG49" s="263"/>
      <c r="AH49" s="263"/>
      <c r="AI49" s="263"/>
    </row>
    <row r="50" ht="15.75" customHeight="1">
      <c r="A50" s="271"/>
      <c r="B50" s="271"/>
      <c r="C50" s="271"/>
      <c r="D50" s="271"/>
      <c r="E50" s="271"/>
      <c r="F50" s="271"/>
      <c r="G50" s="271"/>
      <c r="H50" s="263"/>
      <c r="I50" s="271"/>
      <c r="J50" s="271"/>
      <c r="K50" s="271"/>
      <c r="L50" s="271"/>
      <c r="M50" s="272"/>
      <c r="N50" s="271"/>
      <c r="O50" s="271"/>
      <c r="P50" s="271"/>
      <c r="Q50" s="271"/>
      <c r="R50" s="271"/>
      <c r="S50" s="271"/>
      <c r="T50" s="263"/>
      <c r="U50" s="263"/>
      <c r="V50" s="263"/>
      <c r="W50" s="263"/>
      <c r="X50" s="263"/>
      <c r="Y50" s="263"/>
      <c r="Z50" s="263"/>
      <c r="AA50" s="263"/>
      <c r="AB50" s="263"/>
      <c r="AC50" s="263"/>
      <c r="AD50" s="263"/>
      <c r="AE50" s="263"/>
      <c r="AF50" s="263"/>
      <c r="AG50" s="263"/>
      <c r="AH50" s="263"/>
      <c r="AI50" s="263"/>
    </row>
    <row r="51" ht="15.75" customHeight="1">
      <c r="A51" s="271"/>
      <c r="B51" s="271"/>
      <c r="C51" s="271"/>
      <c r="D51" s="271"/>
      <c r="E51" s="271"/>
      <c r="F51" s="271"/>
      <c r="G51" s="271"/>
      <c r="H51" s="263"/>
      <c r="I51" s="271"/>
      <c r="J51" s="271"/>
      <c r="K51" s="271"/>
      <c r="L51" s="271"/>
      <c r="M51" s="272"/>
      <c r="N51" s="271"/>
      <c r="O51" s="271"/>
      <c r="P51" s="271"/>
      <c r="Q51" s="271"/>
      <c r="R51" s="271"/>
      <c r="S51" s="271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</row>
    <row r="52" ht="15.75" customHeight="1">
      <c r="A52" s="271"/>
      <c r="B52" s="271"/>
      <c r="C52" s="271"/>
      <c r="D52" s="271"/>
      <c r="E52" s="271"/>
      <c r="F52" s="271"/>
      <c r="G52" s="271"/>
      <c r="H52" s="263"/>
      <c r="I52" s="271"/>
      <c r="J52" s="271"/>
      <c r="K52" s="271"/>
      <c r="L52" s="271"/>
      <c r="M52" s="272"/>
      <c r="N52" s="271"/>
      <c r="O52" s="271"/>
      <c r="P52" s="271"/>
      <c r="Q52" s="271"/>
      <c r="R52" s="271"/>
      <c r="S52" s="271"/>
      <c r="T52" s="263"/>
      <c r="U52" s="263"/>
      <c r="V52" s="263"/>
      <c r="W52" s="263"/>
      <c r="X52" s="263"/>
      <c r="Y52" s="263"/>
      <c r="Z52" s="263"/>
      <c r="AA52" s="263"/>
      <c r="AB52" s="263"/>
      <c r="AC52" s="263"/>
      <c r="AD52" s="263"/>
      <c r="AE52" s="263"/>
      <c r="AF52" s="263"/>
      <c r="AG52" s="263"/>
      <c r="AH52" s="263"/>
      <c r="AI52" s="263"/>
    </row>
    <row r="53" ht="15.75" customHeight="1">
      <c r="A53" s="271"/>
      <c r="B53" s="271"/>
      <c r="C53" s="271"/>
      <c r="D53" s="271"/>
      <c r="E53" s="271"/>
      <c r="F53" s="271"/>
      <c r="G53" s="271"/>
      <c r="H53" s="263"/>
      <c r="I53" s="271"/>
      <c r="J53" s="271"/>
      <c r="K53" s="271"/>
      <c r="L53" s="271"/>
      <c r="M53" s="272"/>
      <c r="N53" s="271"/>
      <c r="O53" s="271"/>
      <c r="P53" s="271"/>
      <c r="Q53" s="271"/>
      <c r="R53" s="271"/>
      <c r="S53" s="271"/>
      <c r="T53" s="263"/>
      <c r="U53" s="263"/>
      <c r="V53" s="263"/>
      <c r="W53" s="263"/>
      <c r="X53" s="263"/>
      <c r="Y53" s="263"/>
      <c r="Z53" s="263"/>
      <c r="AA53" s="263"/>
      <c r="AB53" s="263"/>
      <c r="AC53" s="263"/>
      <c r="AD53" s="263"/>
      <c r="AE53" s="263"/>
      <c r="AF53" s="263"/>
      <c r="AG53" s="263"/>
      <c r="AH53" s="263"/>
      <c r="AI53" s="263"/>
    </row>
    <row r="54" ht="15.75" customHeight="1">
      <c r="A54" s="271"/>
      <c r="B54" s="271"/>
      <c r="C54" s="271"/>
      <c r="D54" s="271"/>
      <c r="E54" s="271"/>
      <c r="F54" s="271"/>
      <c r="G54" s="271"/>
      <c r="H54" s="263"/>
      <c r="I54" s="271"/>
      <c r="J54" s="271"/>
      <c r="K54" s="271"/>
      <c r="L54" s="271"/>
      <c r="M54" s="272"/>
      <c r="N54" s="271"/>
      <c r="O54" s="271"/>
      <c r="P54" s="271"/>
      <c r="Q54" s="271"/>
      <c r="R54" s="271"/>
      <c r="S54" s="271"/>
      <c r="T54" s="263"/>
      <c r="U54" s="263"/>
      <c r="V54" s="263"/>
      <c r="W54" s="263"/>
      <c r="X54" s="263"/>
      <c r="Y54" s="263"/>
      <c r="Z54" s="263"/>
      <c r="AA54" s="263"/>
      <c r="AB54" s="263"/>
      <c r="AC54" s="263"/>
      <c r="AD54" s="263"/>
      <c r="AE54" s="263"/>
      <c r="AF54" s="263"/>
      <c r="AG54" s="263"/>
      <c r="AH54" s="263"/>
      <c r="AI54" s="263"/>
    </row>
    <row r="55" ht="15.75" customHeight="1">
      <c r="A55" s="271"/>
      <c r="B55" s="271"/>
      <c r="C55" s="271"/>
      <c r="D55" s="271"/>
      <c r="E55" s="271"/>
      <c r="F55" s="271"/>
      <c r="G55" s="271"/>
      <c r="H55" s="263"/>
      <c r="I55" s="271"/>
      <c r="J55" s="271"/>
      <c r="K55" s="271"/>
      <c r="L55" s="271"/>
      <c r="M55" s="272"/>
      <c r="N55" s="271"/>
      <c r="O55" s="271"/>
      <c r="P55" s="271"/>
      <c r="Q55" s="271"/>
      <c r="R55" s="271"/>
      <c r="S55" s="271"/>
      <c r="T55" s="263"/>
      <c r="U55" s="263"/>
      <c r="V55" s="263"/>
      <c r="W55" s="263"/>
      <c r="X55" s="263"/>
      <c r="Y55" s="263"/>
      <c r="Z55" s="263"/>
      <c r="AA55" s="263"/>
      <c r="AB55" s="263"/>
      <c r="AC55" s="263"/>
      <c r="AD55" s="263"/>
      <c r="AE55" s="263"/>
      <c r="AF55" s="263"/>
      <c r="AG55" s="263"/>
      <c r="AH55" s="263"/>
      <c r="AI55" s="263"/>
    </row>
    <row r="56" ht="15.75" customHeight="1">
      <c r="A56" s="271"/>
      <c r="B56" s="271"/>
      <c r="C56" s="271"/>
      <c r="D56" s="271"/>
      <c r="E56" s="271"/>
      <c r="F56" s="271"/>
      <c r="G56" s="271"/>
      <c r="H56" s="263"/>
      <c r="I56" s="271"/>
      <c r="J56" s="271"/>
      <c r="K56" s="271"/>
      <c r="L56" s="271"/>
      <c r="M56" s="272"/>
      <c r="N56" s="271"/>
      <c r="O56" s="271"/>
      <c r="P56" s="271"/>
      <c r="Q56" s="271"/>
      <c r="R56" s="271"/>
      <c r="S56" s="271"/>
      <c r="T56" s="263"/>
      <c r="U56" s="263"/>
      <c r="V56" s="263"/>
      <c r="W56" s="263"/>
      <c r="X56" s="263"/>
      <c r="Y56" s="263"/>
      <c r="Z56" s="263"/>
      <c r="AA56" s="263"/>
      <c r="AB56" s="263"/>
      <c r="AC56" s="263"/>
      <c r="AD56" s="263"/>
      <c r="AE56" s="263"/>
      <c r="AF56" s="263"/>
      <c r="AG56" s="263"/>
      <c r="AH56" s="263"/>
      <c r="AI56" s="263"/>
    </row>
    <row r="57" ht="15.75" customHeight="1">
      <c r="A57" s="271"/>
      <c r="B57" s="271"/>
      <c r="C57" s="271"/>
      <c r="D57" s="271"/>
      <c r="E57" s="271"/>
      <c r="F57" s="271"/>
      <c r="G57" s="271"/>
      <c r="H57" s="263"/>
      <c r="I57" s="271"/>
      <c r="J57" s="271"/>
      <c r="K57" s="271"/>
      <c r="L57" s="271"/>
      <c r="M57" s="272"/>
      <c r="N57" s="271"/>
      <c r="O57" s="271"/>
      <c r="P57" s="271"/>
      <c r="Q57" s="271"/>
      <c r="R57" s="271"/>
      <c r="S57" s="271"/>
      <c r="T57" s="263"/>
      <c r="U57" s="263"/>
      <c r="V57" s="263"/>
      <c r="W57" s="263"/>
      <c r="X57" s="263"/>
      <c r="Y57" s="263"/>
      <c r="Z57" s="263"/>
      <c r="AA57" s="263"/>
      <c r="AB57" s="263"/>
      <c r="AC57" s="263"/>
      <c r="AD57" s="263"/>
      <c r="AE57" s="263"/>
      <c r="AF57" s="263"/>
      <c r="AG57" s="263"/>
      <c r="AH57" s="263"/>
      <c r="AI57" s="263"/>
    </row>
    <row r="58" ht="15.75" customHeight="1">
      <c r="A58" s="271"/>
      <c r="B58" s="271"/>
      <c r="C58" s="271"/>
      <c r="D58" s="271"/>
      <c r="E58" s="271"/>
      <c r="F58" s="271"/>
      <c r="G58" s="271"/>
      <c r="H58" s="263"/>
      <c r="I58" s="271"/>
      <c r="J58" s="271"/>
      <c r="K58" s="271"/>
      <c r="L58" s="271"/>
      <c r="M58" s="272"/>
      <c r="N58" s="271"/>
      <c r="O58" s="271"/>
      <c r="P58" s="271"/>
      <c r="Q58" s="271"/>
      <c r="R58" s="271"/>
      <c r="S58" s="271"/>
      <c r="T58" s="263"/>
      <c r="U58" s="263"/>
      <c r="V58" s="263"/>
      <c r="W58" s="263"/>
      <c r="X58" s="263"/>
      <c r="Y58" s="263"/>
      <c r="Z58" s="263"/>
      <c r="AA58" s="263"/>
      <c r="AB58" s="263"/>
      <c r="AC58" s="263"/>
      <c r="AD58" s="263"/>
      <c r="AE58" s="263"/>
      <c r="AF58" s="263"/>
      <c r="AG58" s="263"/>
      <c r="AH58" s="263"/>
      <c r="AI58" s="263"/>
    </row>
    <row r="59" ht="15.75" customHeight="1">
      <c r="A59" s="271"/>
      <c r="B59" s="271"/>
      <c r="C59" s="271"/>
      <c r="D59" s="271"/>
      <c r="E59" s="271"/>
      <c r="F59" s="271"/>
      <c r="G59" s="271"/>
      <c r="H59" s="263"/>
      <c r="I59" s="271"/>
      <c r="J59" s="271"/>
      <c r="K59" s="271"/>
      <c r="L59" s="271"/>
      <c r="M59" s="272"/>
      <c r="N59" s="271"/>
      <c r="O59" s="271"/>
      <c r="P59" s="271"/>
      <c r="Q59" s="271"/>
      <c r="R59" s="271"/>
      <c r="S59" s="271"/>
      <c r="T59" s="263"/>
      <c r="U59" s="263"/>
      <c r="V59" s="263"/>
      <c r="W59" s="263"/>
      <c r="X59" s="263"/>
      <c r="Y59" s="263"/>
      <c r="Z59" s="263"/>
      <c r="AA59" s="263"/>
      <c r="AB59" s="263"/>
      <c r="AC59" s="263"/>
      <c r="AD59" s="263"/>
      <c r="AE59" s="263"/>
      <c r="AF59" s="263"/>
      <c r="AG59" s="263"/>
      <c r="AH59" s="263"/>
      <c r="AI59" s="263"/>
    </row>
    <row r="60" ht="15.75" customHeight="1">
      <c r="A60" s="271"/>
      <c r="B60" s="271"/>
      <c r="C60" s="271"/>
      <c r="D60" s="271"/>
      <c r="E60" s="271"/>
      <c r="F60" s="271"/>
      <c r="G60" s="271"/>
      <c r="H60" s="263"/>
      <c r="I60" s="271"/>
      <c r="J60" s="271"/>
      <c r="K60" s="271"/>
      <c r="L60" s="271"/>
      <c r="M60" s="272"/>
      <c r="N60" s="271"/>
      <c r="O60" s="271"/>
      <c r="P60" s="271"/>
      <c r="Q60" s="271"/>
      <c r="R60" s="271"/>
      <c r="S60" s="271"/>
      <c r="T60" s="263"/>
      <c r="U60" s="263"/>
      <c r="V60" s="263"/>
      <c r="W60" s="263"/>
      <c r="X60" s="263"/>
      <c r="Y60" s="263"/>
      <c r="Z60" s="263"/>
      <c r="AA60" s="263"/>
      <c r="AB60" s="263"/>
      <c r="AC60" s="263"/>
      <c r="AD60" s="263"/>
      <c r="AE60" s="263"/>
      <c r="AF60" s="263"/>
      <c r="AG60" s="263"/>
      <c r="AH60" s="263"/>
      <c r="AI60" s="263"/>
    </row>
    <row r="61" ht="15.75" customHeight="1">
      <c r="A61" s="271"/>
      <c r="B61" s="271"/>
      <c r="C61" s="271"/>
      <c r="D61" s="271"/>
      <c r="E61" s="271"/>
      <c r="F61" s="271"/>
      <c r="G61" s="271"/>
      <c r="H61" s="263"/>
      <c r="I61" s="271"/>
      <c r="J61" s="271"/>
      <c r="K61" s="271"/>
      <c r="L61" s="271"/>
      <c r="M61" s="272"/>
      <c r="N61" s="271"/>
      <c r="O61" s="271"/>
      <c r="P61" s="271"/>
      <c r="Q61" s="271"/>
      <c r="R61" s="271"/>
      <c r="S61" s="271"/>
      <c r="T61" s="263"/>
      <c r="U61" s="263"/>
      <c r="V61" s="263"/>
      <c r="W61" s="263"/>
      <c r="X61" s="263"/>
      <c r="Y61" s="263"/>
      <c r="Z61" s="263"/>
      <c r="AA61" s="263"/>
      <c r="AB61" s="263"/>
      <c r="AC61" s="263"/>
      <c r="AD61" s="263"/>
      <c r="AE61" s="263"/>
      <c r="AF61" s="263"/>
      <c r="AG61" s="263"/>
      <c r="AH61" s="263"/>
      <c r="AI61" s="263"/>
    </row>
    <row r="62" ht="15.75" customHeight="1">
      <c r="A62" s="271"/>
      <c r="B62" s="271"/>
      <c r="C62" s="271"/>
      <c r="D62" s="271"/>
      <c r="E62" s="271"/>
      <c r="F62" s="271"/>
      <c r="G62" s="271"/>
      <c r="H62" s="263"/>
      <c r="I62" s="271"/>
      <c r="J62" s="271"/>
      <c r="K62" s="271"/>
      <c r="L62" s="271"/>
      <c r="M62" s="272"/>
      <c r="N62" s="271"/>
      <c r="O62" s="271"/>
      <c r="P62" s="271"/>
      <c r="Q62" s="271"/>
      <c r="R62" s="271"/>
      <c r="S62" s="271"/>
      <c r="T62" s="263"/>
      <c r="U62" s="263"/>
      <c r="V62" s="263"/>
      <c r="W62" s="263"/>
      <c r="X62" s="263"/>
      <c r="Y62" s="263"/>
      <c r="Z62" s="263"/>
      <c r="AA62" s="263"/>
      <c r="AB62" s="263"/>
      <c r="AC62" s="263"/>
      <c r="AD62" s="263"/>
      <c r="AE62" s="263"/>
      <c r="AF62" s="263"/>
      <c r="AG62" s="263"/>
      <c r="AH62" s="263"/>
      <c r="AI62" s="263"/>
    </row>
    <row r="63" ht="15.75" customHeight="1">
      <c r="A63" s="271"/>
      <c r="B63" s="271"/>
      <c r="C63" s="271"/>
      <c r="D63" s="271"/>
      <c r="E63" s="271"/>
      <c r="F63" s="271"/>
      <c r="G63" s="271"/>
      <c r="H63" s="263"/>
      <c r="I63" s="271"/>
      <c r="J63" s="271"/>
      <c r="K63" s="271"/>
      <c r="L63" s="271"/>
      <c r="M63" s="272"/>
      <c r="N63" s="271"/>
      <c r="O63" s="271"/>
      <c r="P63" s="271"/>
      <c r="Q63" s="271"/>
      <c r="R63" s="271"/>
      <c r="S63" s="271"/>
      <c r="T63" s="263"/>
      <c r="U63" s="263"/>
      <c r="V63" s="263"/>
      <c r="W63" s="263"/>
      <c r="X63" s="263"/>
      <c r="Y63" s="263"/>
      <c r="Z63" s="263"/>
      <c r="AA63" s="263"/>
      <c r="AB63" s="263"/>
      <c r="AC63" s="263"/>
      <c r="AD63" s="263"/>
      <c r="AE63" s="263"/>
      <c r="AF63" s="263"/>
      <c r="AG63" s="263"/>
      <c r="AH63" s="263"/>
      <c r="AI63" s="263"/>
    </row>
    <row r="64" ht="15.75" customHeight="1">
      <c r="A64" s="271"/>
      <c r="B64" s="271"/>
      <c r="C64" s="271"/>
      <c r="D64" s="271"/>
      <c r="E64" s="271"/>
      <c r="F64" s="271"/>
      <c r="G64" s="271"/>
      <c r="H64" s="263"/>
      <c r="I64" s="271"/>
      <c r="J64" s="271"/>
      <c r="K64" s="271"/>
      <c r="L64" s="271"/>
      <c r="M64" s="272"/>
      <c r="N64" s="271"/>
      <c r="O64" s="271"/>
      <c r="P64" s="271"/>
      <c r="Q64" s="271"/>
      <c r="R64" s="271"/>
      <c r="S64" s="271"/>
      <c r="T64" s="263"/>
      <c r="U64" s="263"/>
      <c r="V64" s="263"/>
      <c r="W64" s="263"/>
      <c r="X64" s="263"/>
      <c r="Y64" s="263"/>
      <c r="Z64" s="263"/>
      <c r="AA64" s="263"/>
      <c r="AB64" s="263"/>
      <c r="AC64" s="263"/>
      <c r="AD64" s="263"/>
      <c r="AE64" s="263"/>
      <c r="AF64" s="263"/>
      <c r="AG64" s="263"/>
      <c r="AH64" s="263"/>
      <c r="AI64" s="263"/>
    </row>
    <row r="65" ht="15.75" customHeight="1">
      <c r="A65" s="271"/>
      <c r="B65" s="271"/>
      <c r="C65" s="271"/>
      <c r="D65" s="271"/>
      <c r="E65" s="271"/>
      <c r="F65" s="271"/>
      <c r="G65" s="271"/>
      <c r="H65" s="263"/>
      <c r="I65" s="271"/>
      <c r="J65" s="271"/>
      <c r="K65" s="271"/>
      <c r="L65" s="271"/>
      <c r="M65" s="272"/>
      <c r="N65" s="271"/>
      <c r="O65" s="271"/>
      <c r="P65" s="271"/>
      <c r="Q65" s="271"/>
      <c r="R65" s="271"/>
      <c r="S65" s="271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</row>
    <row r="66" ht="15.75" customHeight="1">
      <c r="A66" s="271"/>
      <c r="B66" s="271"/>
      <c r="C66" s="271"/>
      <c r="D66" s="271"/>
      <c r="E66" s="271"/>
      <c r="F66" s="271"/>
      <c r="G66" s="271"/>
      <c r="H66" s="263"/>
      <c r="I66" s="271"/>
      <c r="J66" s="271"/>
      <c r="K66" s="271"/>
      <c r="L66" s="271"/>
      <c r="M66" s="272"/>
      <c r="N66" s="271"/>
      <c r="O66" s="271"/>
      <c r="P66" s="271"/>
      <c r="Q66" s="271"/>
      <c r="R66" s="271"/>
      <c r="S66" s="271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3"/>
    </row>
    <row r="67" ht="15.75" customHeight="1">
      <c r="A67" s="271"/>
      <c r="B67" s="271"/>
      <c r="C67" s="271"/>
      <c r="D67" s="271"/>
      <c r="E67" s="271"/>
      <c r="F67" s="271"/>
      <c r="G67" s="271"/>
      <c r="H67" s="263"/>
      <c r="I67" s="271"/>
      <c r="J67" s="271"/>
      <c r="K67" s="271"/>
      <c r="L67" s="271"/>
      <c r="M67" s="272"/>
      <c r="N67" s="271"/>
      <c r="O67" s="271"/>
      <c r="P67" s="271"/>
      <c r="Q67" s="271"/>
      <c r="R67" s="271"/>
      <c r="S67" s="271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</row>
    <row r="68" ht="15.75" customHeight="1">
      <c r="A68" s="271"/>
      <c r="B68" s="271"/>
      <c r="C68" s="271"/>
      <c r="D68" s="271"/>
      <c r="E68" s="271"/>
      <c r="F68" s="271"/>
      <c r="G68" s="271"/>
      <c r="H68" s="263"/>
      <c r="I68" s="271"/>
      <c r="J68" s="271"/>
      <c r="K68" s="271"/>
      <c r="L68" s="271"/>
      <c r="M68" s="272"/>
      <c r="N68" s="271"/>
      <c r="O68" s="271"/>
      <c r="P68" s="271"/>
      <c r="Q68" s="271"/>
      <c r="R68" s="271"/>
      <c r="S68" s="271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</row>
    <row r="69" ht="15.75" customHeight="1">
      <c r="A69" s="271"/>
      <c r="B69" s="271"/>
      <c r="C69" s="271"/>
      <c r="D69" s="271"/>
      <c r="E69" s="271"/>
      <c r="F69" s="271"/>
      <c r="G69" s="271"/>
      <c r="H69" s="263"/>
      <c r="I69" s="271"/>
      <c r="J69" s="271"/>
      <c r="K69" s="271"/>
      <c r="L69" s="271"/>
      <c r="M69" s="272"/>
      <c r="N69" s="271"/>
      <c r="O69" s="271"/>
      <c r="P69" s="271"/>
      <c r="Q69" s="271"/>
      <c r="R69" s="271"/>
      <c r="S69" s="271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</row>
    <row r="70" ht="15.75" customHeight="1">
      <c r="A70" s="271"/>
      <c r="B70" s="271"/>
      <c r="C70" s="271"/>
      <c r="D70" s="271"/>
      <c r="E70" s="271"/>
      <c r="F70" s="271"/>
      <c r="G70" s="271"/>
      <c r="H70" s="263"/>
      <c r="I70" s="271"/>
      <c r="J70" s="271"/>
      <c r="K70" s="271"/>
      <c r="L70" s="271"/>
      <c r="M70" s="272"/>
      <c r="N70" s="271"/>
      <c r="O70" s="271"/>
      <c r="P70" s="271"/>
      <c r="Q70" s="271"/>
      <c r="R70" s="271"/>
      <c r="S70" s="271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</row>
    <row r="71" ht="15.75" customHeight="1">
      <c r="A71" s="271"/>
      <c r="B71" s="271"/>
      <c r="C71" s="271"/>
      <c r="D71" s="271"/>
      <c r="E71" s="271"/>
      <c r="F71" s="271"/>
      <c r="G71" s="271"/>
      <c r="H71" s="263"/>
      <c r="I71" s="271"/>
      <c r="J71" s="271"/>
      <c r="K71" s="271"/>
      <c r="L71" s="271"/>
      <c r="M71" s="272"/>
      <c r="N71" s="271"/>
      <c r="O71" s="271"/>
      <c r="P71" s="271"/>
      <c r="Q71" s="271"/>
      <c r="R71" s="271"/>
      <c r="S71" s="271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</row>
    <row r="72" ht="15.75" customHeight="1">
      <c r="A72" s="271"/>
      <c r="B72" s="271"/>
      <c r="C72" s="271"/>
      <c r="D72" s="271"/>
      <c r="E72" s="271"/>
      <c r="F72" s="271"/>
      <c r="G72" s="271"/>
      <c r="H72" s="263"/>
      <c r="I72" s="271"/>
      <c r="J72" s="271"/>
      <c r="K72" s="271"/>
      <c r="L72" s="271"/>
      <c r="M72" s="272"/>
      <c r="N72" s="271"/>
      <c r="O72" s="271"/>
      <c r="P72" s="271"/>
      <c r="Q72" s="271"/>
      <c r="R72" s="271"/>
      <c r="S72" s="271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</row>
    <row r="73" ht="15.75" customHeight="1">
      <c r="A73" s="263"/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7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</row>
    <row r="74" ht="15.75" customHeight="1">
      <c r="A74" s="263"/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7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</row>
    <row r="75" ht="15.75" customHeight="1">
      <c r="A75" s="263"/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7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263"/>
    </row>
    <row r="76" ht="15.75" customHeight="1">
      <c r="A76" s="263"/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7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</row>
    <row r="77" ht="15.75" customHeight="1">
      <c r="A77" s="263"/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7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  <c r="AB77" s="263"/>
      <c r="AC77" s="263"/>
      <c r="AD77" s="263"/>
      <c r="AE77" s="263"/>
      <c r="AF77" s="263"/>
      <c r="AG77" s="263"/>
      <c r="AH77" s="263"/>
      <c r="AI77" s="263"/>
    </row>
    <row r="78" ht="15.75" customHeight="1">
      <c r="A78" s="263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7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  <c r="AB78" s="263"/>
      <c r="AC78" s="263"/>
      <c r="AD78" s="263"/>
      <c r="AE78" s="263"/>
      <c r="AF78" s="263"/>
      <c r="AG78" s="263"/>
      <c r="AH78" s="263"/>
      <c r="AI78" s="263"/>
    </row>
    <row r="79" ht="15.75" customHeight="1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7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  <c r="AB79" s="263"/>
      <c r="AC79" s="263"/>
      <c r="AD79" s="263"/>
      <c r="AE79" s="263"/>
      <c r="AF79" s="263"/>
      <c r="AG79" s="263"/>
      <c r="AH79" s="263"/>
      <c r="AI79" s="263"/>
    </row>
    <row r="80" ht="15.75" customHeight="1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7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  <c r="AB80" s="263"/>
      <c r="AC80" s="263"/>
      <c r="AD80" s="263"/>
      <c r="AE80" s="263"/>
      <c r="AF80" s="263"/>
      <c r="AG80" s="263"/>
      <c r="AH80" s="263"/>
      <c r="AI80" s="263"/>
    </row>
    <row r="81" ht="15.75" customHeight="1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7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  <c r="AB81" s="263"/>
      <c r="AC81" s="263"/>
      <c r="AD81" s="263"/>
      <c r="AE81" s="263"/>
      <c r="AF81" s="263"/>
      <c r="AG81" s="263"/>
      <c r="AH81" s="263"/>
      <c r="AI81" s="263"/>
    </row>
    <row r="82" ht="15.75" customHeight="1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7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  <c r="AB82" s="263"/>
      <c r="AC82" s="263"/>
      <c r="AD82" s="263"/>
      <c r="AE82" s="263"/>
      <c r="AF82" s="263"/>
      <c r="AG82" s="263"/>
      <c r="AH82" s="263"/>
      <c r="AI82" s="263"/>
    </row>
    <row r="83" ht="15.75" customHeight="1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7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63"/>
    </row>
    <row r="84" ht="15.75" customHeight="1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7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3"/>
    </row>
    <row r="85" ht="15.75" customHeight="1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7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</row>
    <row r="86" ht="15.75" customHeight="1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7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  <c r="AF86" s="263"/>
      <c r="AG86" s="263"/>
      <c r="AH86" s="263"/>
      <c r="AI86" s="263"/>
    </row>
    <row r="87" ht="15.75" customHeight="1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7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3"/>
    </row>
    <row r="88" ht="15.75" customHeight="1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7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3"/>
    </row>
    <row r="89" ht="15.75" customHeight="1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7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</row>
    <row r="90" ht="15.75" customHeight="1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7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  <c r="AB90" s="263"/>
      <c r="AC90" s="263"/>
      <c r="AD90" s="263"/>
      <c r="AE90" s="263"/>
      <c r="AF90" s="263"/>
      <c r="AG90" s="263"/>
      <c r="AH90" s="263"/>
      <c r="AI90" s="263"/>
    </row>
    <row r="91" ht="15.75" customHeight="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7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  <c r="AB91" s="263"/>
      <c r="AC91" s="263"/>
      <c r="AD91" s="263"/>
      <c r="AE91" s="263"/>
      <c r="AF91" s="263"/>
      <c r="AG91" s="263"/>
      <c r="AH91" s="263"/>
      <c r="AI91" s="263"/>
    </row>
    <row r="92" ht="15.75" customHeight="1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7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  <c r="AB92" s="263"/>
      <c r="AC92" s="263"/>
      <c r="AD92" s="263"/>
      <c r="AE92" s="263"/>
      <c r="AF92" s="263"/>
      <c r="AG92" s="263"/>
      <c r="AH92" s="263"/>
      <c r="AI92" s="263"/>
    </row>
    <row r="93" ht="15.75" customHeight="1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7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  <c r="AB93" s="263"/>
      <c r="AC93" s="263"/>
      <c r="AD93" s="263"/>
      <c r="AE93" s="263"/>
      <c r="AF93" s="263"/>
      <c r="AG93" s="263"/>
      <c r="AH93" s="263"/>
      <c r="AI93" s="263"/>
    </row>
    <row r="94" ht="15.75" customHeight="1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7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  <c r="AB94" s="263"/>
      <c r="AC94" s="263"/>
      <c r="AD94" s="263"/>
      <c r="AE94" s="263"/>
      <c r="AF94" s="263"/>
      <c r="AG94" s="263"/>
      <c r="AH94" s="263"/>
      <c r="AI94" s="263"/>
    </row>
    <row r="95" ht="15.75" customHeight="1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7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  <c r="AB95" s="263"/>
      <c r="AC95" s="263"/>
      <c r="AD95" s="263"/>
      <c r="AE95" s="263"/>
      <c r="AF95" s="263"/>
      <c r="AG95" s="263"/>
      <c r="AH95" s="263"/>
      <c r="AI95" s="263"/>
    </row>
    <row r="96" ht="15.75" customHeight="1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7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  <c r="AB96" s="263"/>
      <c r="AC96" s="263"/>
      <c r="AD96" s="263"/>
      <c r="AE96" s="263"/>
      <c r="AF96" s="263"/>
      <c r="AG96" s="263"/>
      <c r="AH96" s="263"/>
      <c r="AI96" s="263"/>
    </row>
    <row r="97" ht="15.75" customHeight="1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7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  <c r="AB97" s="263"/>
      <c r="AC97" s="263"/>
      <c r="AD97" s="263"/>
      <c r="AE97" s="263"/>
      <c r="AF97" s="263"/>
      <c r="AG97" s="263"/>
      <c r="AH97" s="263"/>
      <c r="AI97" s="263"/>
    </row>
    <row r="98" ht="15.75" customHeight="1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7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  <c r="AB98" s="263"/>
      <c r="AC98" s="263"/>
      <c r="AD98" s="263"/>
      <c r="AE98" s="263"/>
      <c r="AF98" s="263"/>
      <c r="AG98" s="263"/>
      <c r="AH98" s="263"/>
      <c r="AI98" s="263"/>
    </row>
    <row r="99" ht="15.75" customHeight="1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7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  <c r="AB99" s="263"/>
      <c r="AC99" s="263"/>
      <c r="AD99" s="263"/>
      <c r="AE99" s="263"/>
      <c r="AF99" s="263"/>
      <c r="AG99" s="263"/>
      <c r="AH99" s="263"/>
      <c r="AI99" s="263"/>
    </row>
    <row r="100" ht="15.75" customHeight="1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7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  <c r="AB100" s="263"/>
      <c r="AC100" s="263"/>
      <c r="AD100" s="263"/>
      <c r="AE100" s="263"/>
      <c r="AF100" s="263"/>
      <c r="AG100" s="263"/>
      <c r="AH100" s="263"/>
      <c r="AI100" s="263"/>
    </row>
    <row r="101" ht="15.75" customHeight="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7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  <c r="AB101" s="263"/>
      <c r="AC101" s="263"/>
      <c r="AD101" s="263"/>
      <c r="AE101" s="263"/>
      <c r="AF101" s="263"/>
      <c r="AG101" s="263"/>
      <c r="AH101" s="263"/>
      <c r="AI101" s="263"/>
    </row>
    <row r="102" ht="15.75" customHeight="1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7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  <c r="AB102" s="263"/>
      <c r="AC102" s="263"/>
      <c r="AD102" s="263"/>
      <c r="AE102" s="263"/>
      <c r="AF102" s="263"/>
      <c r="AG102" s="263"/>
      <c r="AH102" s="263"/>
      <c r="AI102" s="263"/>
    </row>
    <row r="103" ht="15.75" customHeight="1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7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  <c r="AB103" s="263"/>
      <c r="AC103" s="263"/>
      <c r="AD103" s="263"/>
      <c r="AE103" s="263"/>
      <c r="AF103" s="263"/>
      <c r="AG103" s="263"/>
      <c r="AH103" s="263"/>
      <c r="AI103" s="263"/>
    </row>
    <row r="104" ht="15.75" customHeight="1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7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63"/>
      <c r="AF104" s="263"/>
      <c r="AG104" s="263"/>
      <c r="AH104" s="263"/>
      <c r="AI104" s="263"/>
    </row>
    <row r="105" ht="15.75" customHeight="1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7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</row>
    <row r="106" ht="15.75" customHeight="1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7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  <c r="AB106" s="263"/>
      <c r="AC106" s="263"/>
      <c r="AD106" s="263"/>
      <c r="AE106" s="263"/>
      <c r="AF106" s="263"/>
      <c r="AG106" s="263"/>
      <c r="AH106" s="263"/>
      <c r="AI106" s="263"/>
    </row>
    <row r="107" ht="15.75" customHeight="1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7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</row>
    <row r="108" ht="15.75" customHeight="1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7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  <c r="AB108" s="263"/>
      <c r="AC108" s="263"/>
      <c r="AD108" s="263"/>
      <c r="AE108" s="263"/>
      <c r="AF108" s="263"/>
      <c r="AG108" s="263"/>
      <c r="AH108" s="263"/>
      <c r="AI108" s="263"/>
    </row>
    <row r="109" ht="15.75" customHeight="1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7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</row>
    <row r="110" ht="15.75" customHeight="1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7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  <c r="AB110" s="263"/>
      <c r="AC110" s="263"/>
      <c r="AD110" s="263"/>
      <c r="AE110" s="263"/>
      <c r="AF110" s="263"/>
      <c r="AG110" s="263"/>
      <c r="AH110" s="263"/>
      <c r="AI110" s="263"/>
    </row>
    <row r="111" ht="15.75" customHeight="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7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</row>
    <row r="112" ht="15.75" customHeight="1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7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  <c r="AB112" s="263"/>
      <c r="AC112" s="263"/>
      <c r="AD112" s="263"/>
      <c r="AE112" s="263"/>
      <c r="AF112" s="263"/>
      <c r="AG112" s="263"/>
      <c r="AH112" s="263"/>
      <c r="AI112" s="263"/>
    </row>
    <row r="113" ht="15.75" customHeight="1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7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  <c r="AB113" s="263"/>
      <c r="AC113" s="263"/>
      <c r="AD113" s="263"/>
      <c r="AE113" s="263"/>
      <c r="AF113" s="263"/>
      <c r="AG113" s="263"/>
      <c r="AH113" s="263"/>
      <c r="AI113" s="263"/>
    </row>
    <row r="114" ht="15.75" customHeight="1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7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  <c r="AB114" s="263"/>
      <c r="AC114" s="263"/>
      <c r="AD114" s="263"/>
      <c r="AE114" s="263"/>
      <c r="AF114" s="263"/>
      <c r="AG114" s="263"/>
      <c r="AH114" s="263"/>
      <c r="AI114" s="263"/>
    </row>
    <row r="115" ht="15.75" customHeight="1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7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  <c r="AB115" s="263"/>
      <c r="AC115" s="263"/>
      <c r="AD115" s="263"/>
      <c r="AE115" s="263"/>
      <c r="AF115" s="263"/>
      <c r="AG115" s="263"/>
      <c r="AH115" s="263"/>
      <c r="AI115" s="263"/>
    </row>
    <row r="116" ht="15.75" customHeight="1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7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  <c r="AB116" s="263"/>
      <c r="AC116" s="263"/>
      <c r="AD116" s="263"/>
      <c r="AE116" s="263"/>
      <c r="AF116" s="263"/>
      <c r="AG116" s="263"/>
      <c r="AH116" s="263"/>
      <c r="AI116" s="263"/>
    </row>
    <row r="117" ht="15.75" customHeight="1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7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  <c r="AB117" s="263"/>
      <c r="AC117" s="263"/>
      <c r="AD117" s="263"/>
      <c r="AE117" s="263"/>
      <c r="AF117" s="263"/>
      <c r="AG117" s="263"/>
      <c r="AH117" s="263"/>
      <c r="AI117" s="263"/>
    </row>
    <row r="118" ht="15.75" customHeight="1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7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  <c r="AB118" s="263"/>
      <c r="AC118" s="263"/>
      <c r="AD118" s="263"/>
      <c r="AE118" s="263"/>
      <c r="AF118" s="263"/>
      <c r="AG118" s="263"/>
      <c r="AH118" s="263"/>
      <c r="AI118" s="263"/>
    </row>
    <row r="119" ht="15.75" customHeight="1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7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  <c r="AB119" s="263"/>
      <c r="AC119" s="263"/>
      <c r="AD119" s="263"/>
      <c r="AE119" s="263"/>
      <c r="AF119" s="263"/>
      <c r="AG119" s="263"/>
      <c r="AH119" s="263"/>
      <c r="AI119" s="263"/>
    </row>
    <row r="120" ht="15.75" customHeight="1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7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  <c r="AB120" s="263"/>
      <c r="AC120" s="263"/>
      <c r="AD120" s="263"/>
      <c r="AE120" s="263"/>
      <c r="AF120" s="263"/>
      <c r="AG120" s="263"/>
      <c r="AH120" s="263"/>
      <c r="AI120" s="263"/>
    </row>
    <row r="121" ht="15.75" customHeight="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7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  <c r="AB121" s="263"/>
      <c r="AC121" s="263"/>
      <c r="AD121" s="263"/>
      <c r="AE121" s="263"/>
      <c r="AF121" s="263"/>
      <c r="AG121" s="263"/>
      <c r="AH121" s="263"/>
      <c r="AI121" s="263"/>
    </row>
    <row r="122" ht="15.75" customHeight="1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7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</row>
    <row r="123" ht="15.75" customHeight="1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7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  <c r="AB123" s="263"/>
      <c r="AC123" s="263"/>
      <c r="AD123" s="263"/>
      <c r="AE123" s="263"/>
      <c r="AF123" s="263"/>
      <c r="AG123" s="263"/>
      <c r="AH123" s="263"/>
      <c r="AI123" s="263"/>
    </row>
    <row r="124" ht="15.75" customHeight="1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7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  <c r="AB124" s="263"/>
      <c r="AC124" s="263"/>
      <c r="AD124" s="263"/>
      <c r="AE124" s="263"/>
      <c r="AF124" s="263"/>
      <c r="AG124" s="263"/>
      <c r="AH124" s="263"/>
      <c r="AI124" s="263"/>
    </row>
    <row r="125" ht="15.75" customHeight="1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7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  <c r="AB125" s="263"/>
      <c r="AC125" s="263"/>
      <c r="AD125" s="263"/>
      <c r="AE125" s="263"/>
      <c r="AF125" s="263"/>
      <c r="AG125" s="263"/>
      <c r="AH125" s="263"/>
      <c r="AI125" s="263"/>
    </row>
    <row r="126" ht="15.75" customHeight="1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7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  <c r="AB126" s="263"/>
      <c r="AC126" s="263"/>
      <c r="AD126" s="263"/>
      <c r="AE126" s="263"/>
      <c r="AF126" s="263"/>
      <c r="AG126" s="263"/>
      <c r="AH126" s="263"/>
      <c r="AI126" s="263"/>
    </row>
    <row r="127" ht="15.75" customHeight="1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7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  <c r="AB127" s="263"/>
      <c r="AC127" s="263"/>
      <c r="AD127" s="263"/>
      <c r="AE127" s="263"/>
      <c r="AF127" s="263"/>
      <c r="AG127" s="263"/>
      <c r="AH127" s="263"/>
      <c r="AI127" s="263"/>
    </row>
    <row r="128" ht="15.75" customHeight="1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7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  <c r="AB128" s="263"/>
      <c r="AC128" s="263"/>
      <c r="AD128" s="263"/>
      <c r="AE128" s="263"/>
      <c r="AF128" s="263"/>
      <c r="AG128" s="263"/>
      <c r="AH128" s="263"/>
      <c r="AI128" s="263"/>
    </row>
    <row r="129" ht="15.75" customHeight="1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7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  <c r="AB129" s="263"/>
      <c r="AC129" s="263"/>
      <c r="AD129" s="263"/>
      <c r="AE129" s="263"/>
      <c r="AF129" s="263"/>
      <c r="AG129" s="263"/>
      <c r="AH129" s="263"/>
      <c r="AI129" s="263"/>
    </row>
    <row r="130" ht="15.75" customHeight="1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7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  <c r="AB130" s="263"/>
      <c r="AC130" s="263"/>
      <c r="AD130" s="263"/>
      <c r="AE130" s="263"/>
      <c r="AF130" s="263"/>
      <c r="AG130" s="263"/>
      <c r="AH130" s="263"/>
      <c r="AI130" s="263"/>
    </row>
    <row r="131" ht="15.75" customHeight="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7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  <c r="AB131" s="263"/>
      <c r="AC131" s="263"/>
      <c r="AD131" s="263"/>
      <c r="AE131" s="263"/>
      <c r="AF131" s="263"/>
      <c r="AG131" s="263"/>
      <c r="AH131" s="263"/>
      <c r="AI131" s="263"/>
    </row>
    <row r="132" ht="15.75" customHeight="1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7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  <c r="AB132" s="263"/>
      <c r="AC132" s="263"/>
      <c r="AD132" s="263"/>
      <c r="AE132" s="263"/>
      <c r="AF132" s="263"/>
      <c r="AG132" s="263"/>
      <c r="AH132" s="263"/>
      <c r="AI132" s="263"/>
    </row>
    <row r="133" ht="15.75" customHeight="1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7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  <c r="AB133" s="263"/>
      <c r="AC133" s="263"/>
      <c r="AD133" s="263"/>
      <c r="AE133" s="263"/>
      <c r="AF133" s="263"/>
      <c r="AG133" s="263"/>
      <c r="AH133" s="263"/>
      <c r="AI133" s="263"/>
    </row>
    <row r="134" ht="15.75" customHeight="1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7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</row>
    <row r="135" ht="15.75" customHeight="1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7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  <c r="AB135" s="263"/>
      <c r="AC135" s="263"/>
      <c r="AD135" s="263"/>
      <c r="AE135" s="263"/>
      <c r="AF135" s="263"/>
      <c r="AG135" s="263"/>
      <c r="AH135" s="263"/>
      <c r="AI135" s="263"/>
    </row>
    <row r="136" ht="15.75" customHeight="1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7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  <c r="AB136" s="263"/>
      <c r="AC136" s="263"/>
      <c r="AD136" s="263"/>
      <c r="AE136" s="263"/>
      <c r="AF136" s="263"/>
      <c r="AG136" s="263"/>
      <c r="AH136" s="263"/>
      <c r="AI136" s="263"/>
    </row>
    <row r="137" ht="15.75" customHeight="1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7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  <c r="AB137" s="263"/>
      <c r="AC137" s="263"/>
      <c r="AD137" s="263"/>
      <c r="AE137" s="263"/>
      <c r="AF137" s="263"/>
      <c r="AG137" s="263"/>
      <c r="AH137" s="263"/>
      <c r="AI137" s="263"/>
    </row>
    <row r="138" ht="15.75" customHeight="1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7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  <c r="AB138" s="263"/>
      <c r="AC138" s="263"/>
      <c r="AD138" s="263"/>
      <c r="AE138" s="263"/>
      <c r="AF138" s="263"/>
      <c r="AG138" s="263"/>
      <c r="AH138" s="263"/>
      <c r="AI138" s="263"/>
    </row>
    <row r="139" ht="15.75" customHeight="1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7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  <c r="AB139" s="263"/>
      <c r="AC139" s="263"/>
      <c r="AD139" s="263"/>
      <c r="AE139" s="263"/>
      <c r="AF139" s="263"/>
      <c r="AG139" s="263"/>
      <c r="AH139" s="263"/>
      <c r="AI139" s="263"/>
    </row>
    <row r="140" ht="15.75" customHeight="1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7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  <c r="AB140" s="263"/>
      <c r="AC140" s="263"/>
      <c r="AD140" s="263"/>
      <c r="AE140" s="263"/>
      <c r="AF140" s="263"/>
      <c r="AG140" s="263"/>
      <c r="AH140" s="263"/>
      <c r="AI140" s="263"/>
    </row>
    <row r="141" ht="15.75" customHeight="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7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  <c r="AB141" s="263"/>
      <c r="AC141" s="263"/>
      <c r="AD141" s="263"/>
      <c r="AE141" s="263"/>
      <c r="AF141" s="263"/>
      <c r="AG141" s="263"/>
      <c r="AH141" s="263"/>
      <c r="AI141" s="263"/>
    </row>
    <row r="142" ht="15.75" customHeight="1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7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  <c r="AB142" s="263"/>
      <c r="AC142" s="263"/>
      <c r="AD142" s="263"/>
      <c r="AE142" s="263"/>
      <c r="AF142" s="263"/>
      <c r="AG142" s="263"/>
      <c r="AH142" s="263"/>
      <c r="AI142" s="263"/>
    </row>
    <row r="143" ht="15.75" customHeight="1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7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</row>
    <row r="144" ht="15.75" customHeight="1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7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  <c r="AB144" s="263"/>
      <c r="AC144" s="263"/>
      <c r="AD144" s="263"/>
      <c r="AE144" s="263"/>
      <c r="AF144" s="263"/>
      <c r="AG144" s="263"/>
      <c r="AH144" s="263"/>
      <c r="AI144" s="263"/>
    </row>
    <row r="145" ht="15.75" customHeight="1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7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  <c r="AB145" s="263"/>
      <c r="AC145" s="263"/>
      <c r="AD145" s="263"/>
      <c r="AE145" s="263"/>
      <c r="AF145" s="263"/>
      <c r="AG145" s="263"/>
      <c r="AH145" s="263"/>
      <c r="AI145" s="263"/>
    </row>
    <row r="146" ht="15.75" customHeight="1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7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  <c r="AB146" s="263"/>
      <c r="AC146" s="263"/>
      <c r="AD146" s="263"/>
      <c r="AE146" s="263"/>
      <c r="AF146" s="263"/>
      <c r="AG146" s="263"/>
      <c r="AH146" s="263"/>
      <c r="AI146" s="263"/>
    </row>
    <row r="147" ht="15.75" customHeight="1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7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  <c r="AB147" s="263"/>
      <c r="AC147" s="263"/>
      <c r="AD147" s="263"/>
      <c r="AE147" s="263"/>
      <c r="AF147" s="263"/>
      <c r="AG147" s="263"/>
      <c r="AH147" s="263"/>
      <c r="AI147" s="263"/>
    </row>
    <row r="148" ht="15.75" customHeight="1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7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  <c r="AB148" s="263"/>
      <c r="AC148" s="263"/>
      <c r="AD148" s="263"/>
      <c r="AE148" s="263"/>
      <c r="AF148" s="263"/>
      <c r="AG148" s="263"/>
      <c r="AH148" s="263"/>
      <c r="AI148" s="263"/>
    </row>
    <row r="149" ht="15.75" customHeight="1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7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  <c r="AB149" s="263"/>
      <c r="AC149" s="263"/>
      <c r="AD149" s="263"/>
      <c r="AE149" s="263"/>
      <c r="AF149" s="263"/>
      <c r="AG149" s="263"/>
      <c r="AH149" s="263"/>
      <c r="AI149" s="263"/>
    </row>
    <row r="150" ht="15.75" customHeight="1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7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  <c r="AB150" s="263"/>
      <c r="AC150" s="263"/>
      <c r="AD150" s="263"/>
      <c r="AE150" s="263"/>
      <c r="AF150" s="263"/>
      <c r="AG150" s="263"/>
      <c r="AH150" s="263"/>
      <c r="AI150" s="263"/>
    </row>
    <row r="151" ht="15.75" customHeight="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7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  <c r="AB151" s="263"/>
      <c r="AC151" s="263"/>
      <c r="AD151" s="263"/>
      <c r="AE151" s="263"/>
      <c r="AF151" s="263"/>
      <c r="AG151" s="263"/>
      <c r="AH151" s="263"/>
      <c r="AI151" s="263"/>
    </row>
    <row r="152" ht="15.75" customHeight="1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7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  <c r="AB152" s="263"/>
      <c r="AC152" s="263"/>
      <c r="AD152" s="263"/>
      <c r="AE152" s="263"/>
      <c r="AF152" s="263"/>
      <c r="AG152" s="263"/>
      <c r="AH152" s="263"/>
      <c r="AI152" s="263"/>
    </row>
    <row r="153" ht="15.75" customHeight="1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7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  <c r="AB153" s="263"/>
      <c r="AC153" s="263"/>
      <c r="AD153" s="263"/>
      <c r="AE153" s="263"/>
      <c r="AF153" s="263"/>
      <c r="AG153" s="263"/>
      <c r="AH153" s="263"/>
      <c r="AI153" s="263"/>
    </row>
    <row r="154" ht="15.75" customHeight="1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7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3"/>
      <c r="AG154" s="263"/>
      <c r="AH154" s="263"/>
      <c r="AI154" s="263"/>
    </row>
    <row r="155" ht="15.75" customHeight="1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7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  <c r="AB155" s="263"/>
      <c r="AC155" s="263"/>
      <c r="AD155" s="263"/>
      <c r="AE155" s="263"/>
      <c r="AF155" s="263"/>
      <c r="AG155" s="263"/>
      <c r="AH155" s="263"/>
      <c r="AI155" s="263"/>
    </row>
    <row r="156" ht="15.75" customHeight="1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7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  <c r="AB156" s="263"/>
      <c r="AC156" s="263"/>
      <c r="AD156" s="263"/>
      <c r="AE156" s="263"/>
      <c r="AF156" s="263"/>
      <c r="AG156" s="263"/>
      <c r="AH156" s="263"/>
      <c r="AI156" s="263"/>
    </row>
    <row r="157" ht="15.75" customHeight="1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7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  <c r="AB157" s="263"/>
      <c r="AC157" s="263"/>
      <c r="AD157" s="263"/>
      <c r="AE157" s="263"/>
      <c r="AF157" s="263"/>
      <c r="AG157" s="263"/>
      <c r="AH157" s="263"/>
      <c r="AI157" s="263"/>
    </row>
    <row r="158" ht="15.75" customHeight="1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7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  <c r="AB158" s="263"/>
      <c r="AC158" s="263"/>
      <c r="AD158" s="263"/>
      <c r="AE158" s="263"/>
      <c r="AF158" s="263"/>
      <c r="AG158" s="263"/>
      <c r="AH158" s="263"/>
      <c r="AI158" s="263"/>
    </row>
    <row r="159" ht="15.75" customHeight="1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7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  <c r="AB159" s="263"/>
      <c r="AC159" s="263"/>
      <c r="AD159" s="263"/>
      <c r="AE159" s="263"/>
      <c r="AF159" s="263"/>
      <c r="AG159" s="263"/>
      <c r="AH159" s="263"/>
      <c r="AI159" s="263"/>
    </row>
    <row r="160" ht="15.75" customHeight="1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7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  <c r="AB160" s="263"/>
      <c r="AC160" s="263"/>
      <c r="AD160" s="263"/>
      <c r="AE160" s="263"/>
      <c r="AF160" s="263"/>
      <c r="AG160" s="263"/>
      <c r="AH160" s="263"/>
      <c r="AI160" s="263"/>
    </row>
    <row r="161" ht="15.75" customHeight="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7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  <c r="AB161" s="263"/>
      <c r="AC161" s="263"/>
      <c r="AD161" s="263"/>
      <c r="AE161" s="263"/>
      <c r="AF161" s="263"/>
      <c r="AG161" s="263"/>
      <c r="AH161" s="263"/>
      <c r="AI161" s="263"/>
    </row>
    <row r="162" ht="15.75" customHeight="1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7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</row>
    <row r="163" ht="15.75" customHeight="1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7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</row>
    <row r="164" ht="15.75" customHeight="1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7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</row>
    <row r="165" ht="15.75" customHeight="1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7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</row>
    <row r="166" ht="15.75" customHeight="1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7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</row>
    <row r="167" ht="15.75" customHeight="1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7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</row>
    <row r="168" ht="15.75" customHeight="1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7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</row>
    <row r="169" ht="15.75" customHeight="1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7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</row>
    <row r="170" ht="15.75" customHeight="1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7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</row>
    <row r="171" ht="15.75" customHeight="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7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</row>
    <row r="172" ht="15.75" customHeight="1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7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</row>
    <row r="173" ht="15.75" customHeight="1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7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</row>
    <row r="174" ht="15.75" customHeight="1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7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</row>
    <row r="175" ht="15.75" customHeight="1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7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</row>
    <row r="176" ht="15.75" customHeight="1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7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</row>
    <row r="177" ht="15.75" customHeight="1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7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</row>
    <row r="178" ht="15.75" customHeight="1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7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</row>
    <row r="179" ht="15.75" customHeight="1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7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</row>
    <row r="180" ht="15.75" customHeight="1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7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</row>
    <row r="181" ht="15.75" customHeight="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7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</row>
    <row r="182" ht="15.75" customHeight="1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7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</row>
    <row r="183" ht="15.75" customHeight="1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7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</row>
    <row r="184" ht="15.75" customHeight="1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7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</row>
    <row r="185" ht="15.75" customHeight="1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7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</row>
    <row r="186" ht="15.75" customHeight="1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7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  <c r="AB186" s="263"/>
      <c r="AC186" s="263"/>
      <c r="AD186" s="263"/>
      <c r="AE186" s="263"/>
      <c r="AF186" s="263"/>
      <c r="AG186" s="263"/>
      <c r="AH186" s="263"/>
      <c r="AI186" s="263"/>
    </row>
    <row r="187" ht="15.75" customHeight="1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7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  <c r="AB187" s="263"/>
      <c r="AC187" s="263"/>
      <c r="AD187" s="263"/>
      <c r="AE187" s="263"/>
      <c r="AF187" s="263"/>
      <c r="AG187" s="263"/>
      <c r="AH187" s="263"/>
      <c r="AI187" s="263"/>
    </row>
    <row r="188" ht="15.75" customHeight="1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7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3"/>
      <c r="AG188" s="263"/>
      <c r="AH188" s="263"/>
      <c r="AI188" s="263"/>
    </row>
    <row r="189" ht="15.75" customHeight="1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7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  <c r="AB189" s="263"/>
      <c r="AC189" s="263"/>
      <c r="AD189" s="263"/>
      <c r="AE189" s="263"/>
      <c r="AF189" s="263"/>
      <c r="AG189" s="263"/>
      <c r="AH189" s="263"/>
      <c r="AI189" s="263"/>
    </row>
    <row r="190" ht="15.75" customHeight="1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7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  <c r="AB190" s="263"/>
      <c r="AC190" s="263"/>
      <c r="AD190" s="263"/>
      <c r="AE190" s="263"/>
      <c r="AF190" s="263"/>
      <c r="AG190" s="263"/>
      <c r="AH190" s="263"/>
      <c r="AI190" s="263"/>
    </row>
    <row r="191" ht="15.75" customHeight="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7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</row>
    <row r="192" ht="15.75" customHeight="1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7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  <c r="AB192" s="263"/>
      <c r="AC192" s="263"/>
      <c r="AD192" s="263"/>
      <c r="AE192" s="263"/>
      <c r="AF192" s="263"/>
      <c r="AG192" s="263"/>
      <c r="AH192" s="263"/>
      <c r="AI192" s="263"/>
    </row>
    <row r="193" ht="15.75" customHeight="1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7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  <c r="AB193" s="263"/>
      <c r="AC193" s="263"/>
      <c r="AD193" s="263"/>
      <c r="AE193" s="263"/>
      <c r="AF193" s="263"/>
      <c r="AG193" s="263"/>
      <c r="AH193" s="263"/>
      <c r="AI193" s="263"/>
    </row>
    <row r="194" ht="15.75" customHeight="1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7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  <c r="AB194" s="263"/>
      <c r="AC194" s="263"/>
      <c r="AD194" s="263"/>
      <c r="AE194" s="263"/>
      <c r="AF194" s="263"/>
      <c r="AG194" s="263"/>
      <c r="AH194" s="263"/>
      <c r="AI194" s="263"/>
    </row>
    <row r="195" ht="15.75" customHeight="1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7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  <c r="AB195" s="263"/>
      <c r="AC195" s="263"/>
      <c r="AD195" s="263"/>
      <c r="AE195" s="263"/>
      <c r="AF195" s="263"/>
      <c r="AG195" s="263"/>
      <c r="AH195" s="263"/>
      <c r="AI195" s="263"/>
    </row>
    <row r="196" ht="15.75" customHeight="1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7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  <c r="AB196" s="263"/>
      <c r="AC196" s="263"/>
      <c r="AD196" s="263"/>
      <c r="AE196" s="263"/>
      <c r="AF196" s="263"/>
      <c r="AG196" s="263"/>
      <c r="AH196" s="263"/>
      <c r="AI196" s="263"/>
    </row>
    <row r="197" ht="15.75" customHeight="1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7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  <c r="AB197" s="263"/>
      <c r="AC197" s="263"/>
      <c r="AD197" s="263"/>
      <c r="AE197" s="263"/>
      <c r="AF197" s="263"/>
      <c r="AG197" s="263"/>
      <c r="AH197" s="263"/>
      <c r="AI197" s="263"/>
    </row>
    <row r="198" ht="15.75" customHeight="1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7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  <c r="AB198" s="263"/>
      <c r="AC198" s="263"/>
      <c r="AD198" s="263"/>
      <c r="AE198" s="263"/>
      <c r="AF198" s="263"/>
      <c r="AG198" s="263"/>
      <c r="AH198" s="263"/>
      <c r="AI198" s="263"/>
    </row>
    <row r="199" ht="15.75" customHeight="1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7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  <c r="AB199" s="263"/>
      <c r="AC199" s="263"/>
      <c r="AD199" s="263"/>
      <c r="AE199" s="263"/>
      <c r="AF199" s="263"/>
      <c r="AG199" s="263"/>
      <c r="AH199" s="263"/>
      <c r="AI199" s="263"/>
    </row>
    <row r="200" ht="15.75" customHeight="1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7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  <c r="AB200" s="263"/>
      <c r="AC200" s="263"/>
      <c r="AD200" s="263"/>
      <c r="AE200" s="263"/>
      <c r="AF200" s="263"/>
      <c r="AG200" s="263"/>
      <c r="AH200" s="263"/>
      <c r="AI200" s="263"/>
    </row>
    <row r="201" ht="15.75" customHeight="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7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  <c r="AB201" s="263"/>
      <c r="AC201" s="263"/>
      <c r="AD201" s="263"/>
      <c r="AE201" s="263"/>
      <c r="AF201" s="263"/>
      <c r="AG201" s="263"/>
      <c r="AH201" s="263"/>
      <c r="AI201" s="263"/>
    </row>
    <row r="202" ht="15.75" customHeight="1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7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  <c r="AB202" s="263"/>
      <c r="AC202" s="263"/>
      <c r="AD202" s="263"/>
      <c r="AE202" s="263"/>
      <c r="AF202" s="263"/>
      <c r="AG202" s="263"/>
      <c r="AH202" s="263"/>
      <c r="AI202" s="263"/>
    </row>
    <row r="203" ht="15.75" customHeight="1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7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  <c r="AB203" s="263"/>
      <c r="AC203" s="263"/>
      <c r="AD203" s="263"/>
      <c r="AE203" s="263"/>
      <c r="AF203" s="263"/>
      <c r="AG203" s="263"/>
      <c r="AH203" s="263"/>
      <c r="AI203" s="263"/>
    </row>
    <row r="204" ht="15.75" customHeight="1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7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  <c r="AB204" s="263"/>
      <c r="AC204" s="263"/>
      <c r="AD204" s="263"/>
      <c r="AE204" s="263"/>
      <c r="AF204" s="263"/>
      <c r="AG204" s="263"/>
      <c r="AH204" s="263"/>
      <c r="AI204" s="263"/>
    </row>
    <row r="205" ht="15.75" customHeight="1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7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  <c r="AB205" s="263"/>
      <c r="AC205" s="263"/>
      <c r="AD205" s="263"/>
      <c r="AE205" s="263"/>
      <c r="AF205" s="263"/>
      <c r="AG205" s="263"/>
      <c r="AH205" s="263"/>
      <c r="AI205" s="263"/>
    </row>
    <row r="206" ht="15.75" customHeight="1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7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  <c r="AB206" s="263"/>
      <c r="AC206" s="263"/>
      <c r="AD206" s="263"/>
      <c r="AE206" s="263"/>
      <c r="AF206" s="263"/>
      <c r="AG206" s="263"/>
      <c r="AH206" s="263"/>
      <c r="AI206" s="263"/>
    </row>
    <row r="207" ht="15.75" customHeight="1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7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  <c r="AB207" s="263"/>
      <c r="AC207" s="263"/>
      <c r="AD207" s="263"/>
      <c r="AE207" s="263"/>
      <c r="AF207" s="263"/>
      <c r="AG207" s="263"/>
      <c r="AH207" s="263"/>
      <c r="AI207" s="263"/>
    </row>
    <row r="208" ht="15.75" customHeight="1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7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  <c r="AB208" s="263"/>
      <c r="AC208" s="263"/>
      <c r="AD208" s="263"/>
      <c r="AE208" s="263"/>
      <c r="AF208" s="263"/>
      <c r="AG208" s="263"/>
      <c r="AH208" s="263"/>
      <c r="AI208" s="263"/>
    </row>
    <row r="209" ht="15.75" customHeight="1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7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  <c r="AB209" s="263"/>
      <c r="AC209" s="263"/>
      <c r="AD209" s="263"/>
      <c r="AE209" s="263"/>
      <c r="AF209" s="263"/>
      <c r="AG209" s="263"/>
      <c r="AH209" s="263"/>
      <c r="AI209" s="263"/>
    </row>
    <row r="210" ht="15.75" customHeight="1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7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  <c r="AB210" s="263"/>
      <c r="AC210" s="263"/>
      <c r="AD210" s="263"/>
      <c r="AE210" s="263"/>
      <c r="AF210" s="263"/>
      <c r="AG210" s="263"/>
      <c r="AH210" s="263"/>
      <c r="AI210" s="263"/>
    </row>
    <row r="211" ht="15.75" customHeight="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7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  <c r="AB211" s="263"/>
      <c r="AC211" s="263"/>
      <c r="AD211" s="263"/>
      <c r="AE211" s="263"/>
      <c r="AF211" s="263"/>
      <c r="AG211" s="263"/>
      <c r="AH211" s="263"/>
      <c r="AI211" s="263"/>
    </row>
    <row r="212" ht="15.75" customHeight="1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7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  <c r="AB212" s="263"/>
      <c r="AC212" s="263"/>
      <c r="AD212" s="263"/>
      <c r="AE212" s="263"/>
      <c r="AF212" s="263"/>
      <c r="AG212" s="263"/>
      <c r="AH212" s="263"/>
      <c r="AI212" s="263"/>
    </row>
    <row r="213" ht="15.75" customHeight="1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7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  <c r="AB213" s="263"/>
      <c r="AC213" s="263"/>
      <c r="AD213" s="263"/>
      <c r="AE213" s="263"/>
      <c r="AF213" s="263"/>
      <c r="AG213" s="263"/>
      <c r="AH213" s="263"/>
      <c r="AI213" s="263"/>
    </row>
    <row r="214" ht="15.75" customHeight="1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7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  <c r="AB214" s="263"/>
      <c r="AC214" s="263"/>
      <c r="AD214" s="263"/>
      <c r="AE214" s="263"/>
      <c r="AF214" s="263"/>
      <c r="AG214" s="263"/>
      <c r="AH214" s="263"/>
      <c r="AI214" s="263"/>
    </row>
    <row r="215" ht="15.75" customHeight="1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7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  <c r="AB215" s="263"/>
      <c r="AC215" s="263"/>
      <c r="AD215" s="263"/>
      <c r="AE215" s="263"/>
      <c r="AF215" s="263"/>
      <c r="AG215" s="263"/>
      <c r="AH215" s="263"/>
      <c r="AI215" s="263"/>
    </row>
    <row r="216" ht="15.75" customHeight="1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7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  <c r="AB216" s="263"/>
      <c r="AC216" s="263"/>
      <c r="AD216" s="263"/>
      <c r="AE216" s="263"/>
      <c r="AF216" s="263"/>
      <c r="AG216" s="263"/>
      <c r="AH216" s="263"/>
      <c r="AI216" s="263"/>
    </row>
    <row r="217" ht="15.75" customHeight="1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7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  <c r="AB217" s="263"/>
      <c r="AC217" s="263"/>
      <c r="AD217" s="263"/>
      <c r="AE217" s="263"/>
      <c r="AF217" s="263"/>
      <c r="AG217" s="263"/>
      <c r="AH217" s="263"/>
      <c r="AI217" s="263"/>
    </row>
    <row r="218" ht="15.75" customHeight="1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7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  <c r="AB218" s="263"/>
      <c r="AC218" s="263"/>
      <c r="AD218" s="263"/>
      <c r="AE218" s="263"/>
      <c r="AF218" s="263"/>
      <c r="AG218" s="263"/>
      <c r="AH218" s="263"/>
      <c r="AI218" s="263"/>
    </row>
    <row r="219" ht="15.75" customHeight="1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7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  <c r="AB219" s="263"/>
      <c r="AC219" s="263"/>
      <c r="AD219" s="263"/>
      <c r="AE219" s="263"/>
      <c r="AF219" s="263"/>
      <c r="AG219" s="263"/>
      <c r="AH219" s="263"/>
      <c r="AI219" s="263"/>
    </row>
    <row r="220" ht="15.75" customHeight="1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7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  <c r="AB220" s="263"/>
      <c r="AC220" s="263"/>
      <c r="AD220" s="263"/>
      <c r="AE220" s="263"/>
      <c r="AF220" s="263"/>
      <c r="AG220" s="263"/>
      <c r="AH220" s="263"/>
      <c r="AI220" s="263"/>
    </row>
    <row r="221" ht="15.75" customHeight="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7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  <c r="AB221" s="263"/>
      <c r="AC221" s="263"/>
      <c r="AD221" s="263"/>
      <c r="AE221" s="263"/>
      <c r="AF221" s="263"/>
      <c r="AG221" s="263"/>
      <c r="AH221" s="263"/>
      <c r="AI221" s="263"/>
    </row>
    <row r="222" ht="15.75" customHeight="1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7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  <c r="AB222" s="263"/>
      <c r="AC222" s="263"/>
      <c r="AD222" s="263"/>
      <c r="AE222" s="263"/>
      <c r="AF222" s="263"/>
      <c r="AG222" s="263"/>
      <c r="AH222" s="263"/>
      <c r="AI222" s="263"/>
    </row>
    <row r="223" ht="15.75" customHeight="1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7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  <c r="AB223" s="263"/>
      <c r="AC223" s="263"/>
      <c r="AD223" s="263"/>
      <c r="AE223" s="263"/>
      <c r="AF223" s="263"/>
      <c r="AG223" s="263"/>
      <c r="AH223" s="263"/>
      <c r="AI223" s="263"/>
    </row>
    <row r="224" ht="15.75" customHeight="1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7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  <c r="AB224" s="263"/>
      <c r="AC224" s="263"/>
      <c r="AD224" s="263"/>
      <c r="AE224" s="263"/>
      <c r="AF224" s="263"/>
      <c r="AG224" s="263"/>
      <c r="AH224" s="263"/>
      <c r="AI224" s="263"/>
    </row>
    <row r="225" ht="15.75" customHeight="1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7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  <c r="AB225" s="263"/>
      <c r="AC225" s="263"/>
      <c r="AD225" s="263"/>
      <c r="AE225" s="263"/>
      <c r="AF225" s="263"/>
      <c r="AG225" s="263"/>
      <c r="AH225" s="263"/>
      <c r="AI225" s="263"/>
    </row>
    <row r="226" ht="15.75" customHeight="1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7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  <c r="AB226" s="263"/>
      <c r="AC226" s="263"/>
      <c r="AD226" s="263"/>
      <c r="AE226" s="263"/>
      <c r="AF226" s="263"/>
      <c r="AG226" s="263"/>
      <c r="AH226" s="263"/>
      <c r="AI226" s="263"/>
    </row>
    <row r="227" ht="15.75" customHeight="1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7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  <c r="AB227" s="263"/>
      <c r="AC227" s="263"/>
      <c r="AD227" s="263"/>
      <c r="AE227" s="263"/>
      <c r="AF227" s="263"/>
      <c r="AG227" s="263"/>
      <c r="AH227" s="263"/>
      <c r="AI227" s="263"/>
    </row>
    <row r="228" ht="15.75" customHeight="1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7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  <c r="AB228" s="263"/>
      <c r="AC228" s="263"/>
      <c r="AD228" s="263"/>
      <c r="AE228" s="263"/>
      <c r="AF228" s="263"/>
      <c r="AG228" s="263"/>
      <c r="AH228" s="263"/>
      <c r="AI228" s="263"/>
    </row>
    <row r="229" ht="15.75" customHeight="1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7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  <c r="AB229" s="263"/>
      <c r="AC229" s="263"/>
      <c r="AD229" s="263"/>
      <c r="AE229" s="263"/>
      <c r="AF229" s="263"/>
      <c r="AG229" s="263"/>
      <c r="AH229" s="263"/>
      <c r="AI229" s="263"/>
    </row>
    <row r="230" ht="15.75" customHeight="1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7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  <c r="AB230" s="263"/>
      <c r="AC230" s="263"/>
      <c r="AD230" s="263"/>
      <c r="AE230" s="263"/>
      <c r="AF230" s="263"/>
      <c r="AG230" s="263"/>
      <c r="AH230" s="263"/>
      <c r="AI230" s="263"/>
    </row>
    <row r="231" ht="15.75" customHeight="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7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  <c r="AB231" s="263"/>
      <c r="AC231" s="263"/>
      <c r="AD231" s="263"/>
      <c r="AE231" s="263"/>
      <c r="AF231" s="263"/>
      <c r="AG231" s="263"/>
      <c r="AH231" s="263"/>
      <c r="AI231" s="263"/>
    </row>
    <row r="232" ht="15.75" customHeight="1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7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  <c r="AB232" s="263"/>
      <c r="AC232" s="263"/>
      <c r="AD232" s="263"/>
      <c r="AE232" s="263"/>
      <c r="AF232" s="263"/>
      <c r="AG232" s="263"/>
      <c r="AH232" s="263"/>
      <c r="AI232" s="263"/>
    </row>
    <row r="233" ht="15.75" customHeight="1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7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  <c r="AB233" s="263"/>
      <c r="AC233" s="263"/>
      <c r="AD233" s="263"/>
      <c r="AE233" s="263"/>
      <c r="AF233" s="263"/>
      <c r="AG233" s="263"/>
      <c r="AH233" s="263"/>
      <c r="AI233" s="263"/>
    </row>
    <row r="234" ht="15.75" customHeight="1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7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  <c r="AB234" s="263"/>
      <c r="AC234" s="263"/>
      <c r="AD234" s="263"/>
      <c r="AE234" s="263"/>
      <c r="AF234" s="263"/>
      <c r="AG234" s="263"/>
      <c r="AH234" s="263"/>
      <c r="AI234" s="263"/>
    </row>
    <row r="235" ht="15.75" customHeight="1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7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  <c r="AB235" s="263"/>
      <c r="AC235" s="263"/>
      <c r="AD235" s="263"/>
      <c r="AE235" s="263"/>
      <c r="AF235" s="263"/>
      <c r="AG235" s="263"/>
      <c r="AH235" s="263"/>
      <c r="AI235" s="263"/>
    </row>
    <row r="236" ht="15.75" customHeight="1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7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  <c r="AB236" s="263"/>
      <c r="AC236" s="263"/>
      <c r="AD236" s="263"/>
      <c r="AE236" s="263"/>
      <c r="AF236" s="263"/>
      <c r="AG236" s="263"/>
      <c r="AH236" s="263"/>
      <c r="AI236" s="263"/>
    </row>
    <row r="237" ht="15.75" customHeight="1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7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  <c r="AB237" s="263"/>
      <c r="AC237" s="263"/>
      <c r="AD237" s="263"/>
      <c r="AE237" s="263"/>
      <c r="AF237" s="263"/>
      <c r="AG237" s="263"/>
      <c r="AH237" s="263"/>
      <c r="AI237" s="263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